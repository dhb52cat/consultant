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440" tabRatio="726" firstSheet="1" activeTab="2"/>
  </bookViews>
  <sheets>
    <sheet name="待定问题列表" sheetId="1" state="hidden" r:id="rId1"/>
    <sheet name="原型" sheetId="2" r:id="rId2"/>
    <sheet name="新系统" sheetId="6" r:id="rId3"/>
    <sheet name="Sheet2" sheetId="8" r:id="rId4"/>
    <sheet name="变更" sheetId="9" r:id="rId5"/>
    <sheet name="Sheet1" sheetId="7" state="hidden" r:id="rId6"/>
    <sheet name="外汇-与存单合并" sheetId="3" state="hidden" r:id="rId7"/>
    <sheet name="同业存单-与存单合并" sheetId="4" state="hidden" r:id="rId8"/>
    <sheet name="商业承兑汇票-新增" sheetId="5" state="hidden" r:id="rId9"/>
  </sheets>
  <definedNames>
    <definedName name="_xlnm._FilterDatabase" localSheetId="1" hidden="1">原型!$A$1:$N$134</definedName>
    <definedName name="_xlnm._FilterDatabase" localSheetId="3" hidden="1">Sheet2!$A$1:$F$206</definedName>
    <definedName name="输入方式">#REF!</definedName>
  </definedNames>
  <calcPr calcId="144525"/>
</workbook>
</file>

<file path=xl/sharedStrings.xml><?xml version="1.0" encoding="utf-8"?>
<sst xmlns="http://schemas.openxmlformats.org/spreadsheetml/2006/main" count="4050" uniqueCount="619">
  <si>
    <t xml:space="preserve"> Amarsoft Technology Co., Ltd.</t>
  </si>
  <si>
    <t>待定问题跟踪列表</t>
  </si>
  <si>
    <t>编号</t>
  </si>
  <si>
    <t>问题分类</t>
  </si>
  <si>
    <t>问题描述</t>
  </si>
  <si>
    <t>问题提出时间</t>
  </si>
  <si>
    <t>跟踪人</t>
  </si>
  <si>
    <t>解决状态</t>
  </si>
  <si>
    <t>解决时间</t>
  </si>
  <si>
    <t>解决方案</t>
  </si>
  <si>
    <t>解决人</t>
  </si>
  <si>
    <t>数据标准要求</t>
  </si>
  <si>
    <t>目前对于质押品类型为同业存单的数据项标准缺失，因此需要贝老师与金融市场部相关同事商议给出同业存单的数据标准</t>
  </si>
  <si>
    <t>贝隽希、蒋敏</t>
  </si>
  <si>
    <t>已解决</t>
  </si>
  <si>
    <t>已提供</t>
  </si>
  <si>
    <t>贝隽希</t>
  </si>
  <si>
    <t>数据采集要求</t>
  </si>
  <si>
    <t>目前在房地产成本法估值计算时需要用到建筑物剩余使用年限，对于实际的业务操作过程中，国家法律法规对于建筑物剩余使用年限的计算方法以及管理约定是如何定义的，需要蒋老师确定</t>
  </si>
  <si>
    <t>蒋敏</t>
  </si>
  <si>
    <t>1、土地使用权年限的标准：根据我国《城镇国有土地使用权出让和转让暂行条例》第12条规定，土地使用权出让最高年限按下列用途确定：A).居住用地70年;B).工业用地50年;C).教育、科技、文化、卫生、体育用地年限为50年;D).商业、旅游、娱乐用地40年;E).仓储用地50年;F).综合或者其他用地50年。
2、土地使用权年限的计算：按照开始缴纳土地出让金的时间开始算起，从开发商取得《国有土地许可证》的时间来核定其土地使用年限。
3、土地剩余使用年限的计算：在房产证上一般都会有写明一个使用截止日。如果没写，看房产证上的批地时间是什么时候，然后再加上70年，就是房屋土地的使用到期日，再减去使用过的时间，就是剩下的期限了。
4、二手房的土地剩余使用年限的计算：举个例子说明：
(1)如已购公房和央产房的土地是以划拨方式取得的，即从该楼的第一套房屋首次进入二手房市场，缴纳土地出让金之日起核定其土地出让年限。其他房屋上市时，依上述办法分别计算使用年限，最终保证同一宗土地、同一栋楼的土地出让年限终止日相同。 例如：某栋钢混结构房屋1998年竣工，该楼第一套房屋首次进入二手房市场的交易日期为2000年，因此该栋楼的整体土地使用年限也从2000年开始算起，即最终土地使用年限截止日期为2070年。2003年业主将这套房屋出售，那么购房者购买后的土地使用年限为70年-(2003年-2000年)=67年。也就是说，新业主即将有67年的土地使用时间，该套房屋的新购买时间2003年+67年=2070年。同一宗土地、同一栋楼的土地出让年限终止日相同。
(2)如已购公有住房新占土地是以出让方式取得的，其70年的土地使用年限以原签署的《国有土地使用权出让合同》或《转让合同》，以及下发的《国有土地使用证》核定土地使用年限为准。(一般是从竣工日期算起) 例如：某砖混结构的房屋1997年竣工，它的《国有土地使用证》下发时间为2000年，而该房屋所下发的《国有土地使用证》上标注的使用年限为“1997年至2067年”，也就是说该房屋的土地使用年限从1997年开始算起。那么，如果这套房屋的业主于2004年出售该房产，其新的土地使用年限=70年-(2004年-1997年)=63年。该套房屋的新购买时间2004年+交易后核定的土地年限年63年=2067年，即这套房屋的最终土地使用年限到2067年为止。</t>
  </si>
  <si>
    <t>对于抵质押品类型为金融质押品-存单或存款的分类定义：目前风险政策部的纪老师确定将我行存款类押品放入至其他质押品类别下，个人认为这样不合理，需要与纪老师重新商定！</t>
  </si>
  <si>
    <t>未解决</t>
  </si>
  <si>
    <t>对于抵质押品的公共数据项中，抵质押品合格性数据的数据标准定义需要明确，合格性认定每年做一次，如果在押品系统上线后，其合格性认定的算法取值如何处理？</t>
  </si>
  <si>
    <t>解决中</t>
  </si>
  <si>
    <t>对于金融市场业务中可交易的债券，是否与企业信贷服务系统中的债券信息加以区分？对于债券、股票、基金等押品，其唯一性识别要素该如何定义？是否就无核心识别要素，仅存在疑似就可以？实际业务上，是否已控制债券以及股票的总量？</t>
  </si>
  <si>
    <t>数据管理要求</t>
  </si>
  <si>
    <t>对于抵质押品类型为我行出售的贵金属和金交所托管的贵金属两种类型，唯一性识别要素是如何确定的，需要业务部门进一步明确</t>
  </si>
  <si>
    <t>业务专家</t>
  </si>
  <si>
    <t>对于抵质押品类型为应收账款-交易类应收账款、收费权类应收账款、其他类应收账款等，在实际的业务操作过程中是如何定义押品的？以公路收费权为例，除收费权登记号、收费期间之外，对于收费路段范围的定义如何？</t>
  </si>
  <si>
    <t>陆蔚峰</t>
  </si>
  <si>
    <t>对于抵质押品类型为其他押品-货权类中包括仓单和提单两种类型，但是抵质押品数据项中，仅针对仓单的数据项，未体现提单的数据项定义。</t>
  </si>
  <si>
    <t>对于抵质押品类型为其他押品-实物存货，唯一性识别要素是如何确定的，需要业务部门进一步明确</t>
  </si>
  <si>
    <t>目前对于抵质押品类型为其他押品-交通运输设备-船舶、在建船舶以及航空器、在建航空器的唯一性识别要素是如何定义的？</t>
  </si>
  <si>
    <t>对于抵质押品类型为其他押品-出口退税账户，需业务部门明确出口退税账户的数据项定义是否满足实际业务要求？</t>
  </si>
  <si>
    <t>对于抵质押品类型为其他押品-资源资产-采矿权、森林和林木使用权、林地使用权、海域使用权、荒地土地承包经营权等，在实际的业务操作过程中是如何定义押品的？唯一性识别要素当如何定义？</t>
  </si>
  <si>
    <t>系统四级分类</t>
  </si>
  <si>
    <t>全匹配</t>
  </si>
  <si>
    <t>匹配234</t>
  </si>
  <si>
    <t>匹配34</t>
  </si>
  <si>
    <t>匹配1</t>
  </si>
  <si>
    <t>匹配2</t>
  </si>
  <si>
    <t>匹配3</t>
  </si>
  <si>
    <t>匹配4</t>
  </si>
  <si>
    <t>一级分类</t>
  </si>
  <si>
    <t>二级分类</t>
  </si>
  <si>
    <t>三级分类</t>
  </si>
  <si>
    <t>四级分类</t>
  </si>
  <si>
    <t>金融质押品</t>
  </si>
  <si>
    <t>现金及其等价物</t>
  </si>
  <si>
    <t>存单或存款</t>
  </si>
  <si>
    <t>我行存单</t>
  </si>
  <si>
    <t>他行存单</t>
  </si>
  <si>
    <t>保证金</t>
  </si>
  <si>
    <t>贵金属</t>
  </si>
  <si>
    <t>我行出售的贵金属</t>
  </si>
  <si>
    <t>金交所托管的贵金属</t>
  </si>
  <si>
    <t>黄金</t>
  </si>
  <si>
    <t>标准银、铂金等其他贵金属</t>
  </si>
  <si>
    <t>标准银铂金等其他贵金属</t>
  </si>
  <si>
    <t>同业存单</t>
  </si>
  <si>
    <t>债券</t>
  </si>
  <si>
    <t>国债</t>
  </si>
  <si>
    <t>储蓄国债</t>
  </si>
  <si>
    <t>凭证国债</t>
  </si>
  <si>
    <t>记账式国债</t>
  </si>
  <si>
    <t>地方政府债券</t>
  </si>
  <si>
    <t>境内地方债</t>
  </si>
  <si>
    <t>央票</t>
  </si>
  <si>
    <t>央行票据</t>
  </si>
  <si>
    <t>政策性金融债</t>
  </si>
  <si>
    <t>商业性金融债</t>
  </si>
  <si>
    <t>工、农、中、建、交、邮储六家国有大型银行发行的金融债</t>
  </si>
  <si>
    <t>工农中建交邮储六家国有大型银行发行的金融债</t>
  </si>
  <si>
    <t>我行发行的金融债</t>
  </si>
  <si>
    <t>其他银行（不含农村合作银行、村镇银行、农村信用合作社等）发行的金融债</t>
  </si>
  <si>
    <t>其他银行不含农村合作银行村镇银行农村信用合作社等发行的金融债</t>
  </si>
  <si>
    <t>非银行金融机构发行的金融债</t>
  </si>
  <si>
    <t>非金融企业债</t>
  </si>
  <si>
    <t>企业债</t>
  </si>
  <si>
    <t>公司债</t>
  </si>
  <si>
    <t>短期融资券</t>
  </si>
  <si>
    <t>中期票据</t>
  </si>
  <si>
    <t>政府机构债券</t>
  </si>
  <si>
    <t>境内的汇金公司、铁路总公司、以及原铁道部等政府支持机构发行的债券</t>
  </si>
  <si>
    <t>境内的汇金公司铁路总公司以及原铁道部等政府支持机构发行的债券</t>
  </si>
  <si>
    <t>其他债券</t>
  </si>
  <si>
    <t>票据</t>
  </si>
  <si>
    <t>银行承兑汇票</t>
  </si>
  <si>
    <t>国家开发银行、中国进出口银行和中国农业发展银行发行的银行承兑汇票</t>
  </si>
  <si>
    <t>国家开发银行中国进出口银行和中国农业发展银行发行的银行承兑汇票</t>
  </si>
  <si>
    <t>工、农、中、建、交、邮储六家国有大型银行发行的银行承兑汇票</t>
  </si>
  <si>
    <t>工农中建交邮储六家国有大型银行发行的银行承兑汇票</t>
  </si>
  <si>
    <t>我行发行的银行承兑汇票</t>
  </si>
  <si>
    <t>其他银行（不含农村合作银行、村镇银行、农村信用合作社等）发行的银行承兑汇票</t>
  </si>
  <si>
    <t>其他银行不含农村合作银行村镇银行农村信用合作社等发行的银行承兑汇票</t>
  </si>
  <si>
    <t>商业承兑汇票</t>
  </si>
  <si>
    <t>商业承兑汇票-中石油集团成员企业签发</t>
  </si>
  <si>
    <t>商业承兑汇票中石油集团成员企业签发</t>
  </si>
  <si>
    <t>商业承兑汇票-其他企业签发</t>
  </si>
  <si>
    <t>商业承兑汇票其他企业签发</t>
  </si>
  <si>
    <t>股票（权）/基金</t>
  </si>
  <si>
    <t>上市公司股票（权）</t>
  </si>
  <si>
    <t>上市金融机构流通股股票（权）</t>
  </si>
  <si>
    <t>股票权基金</t>
  </si>
  <si>
    <t>上市公司股票权</t>
  </si>
  <si>
    <t>上市金融机构流通股股票权</t>
  </si>
  <si>
    <t>其他上市公司流通股股票（权）</t>
  </si>
  <si>
    <t>其他上市公司流通股股票权</t>
  </si>
  <si>
    <t>非上市公司股票（权）</t>
  </si>
  <si>
    <t>未上市公司股票或股权</t>
  </si>
  <si>
    <t>非上市公司股票权</t>
  </si>
  <si>
    <t>上市后禁止流通的股票</t>
  </si>
  <si>
    <t>基金</t>
  </si>
  <si>
    <t>货币型、债券型基金</t>
  </si>
  <si>
    <t>货币型债券型基金</t>
  </si>
  <si>
    <t>混合型、股票型基金</t>
  </si>
  <si>
    <t>混合型股票型基金</t>
  </si>
  <si>
    <t>保单</t>
  </si>
  <si>
    <t>依法可以质押的具有现金价值的人寿保险单</t>
  </si>
  <si>
    <t>资产管理产品（不含公募基金）</t>
  </si>
  <si>
    <t>我行理财产品</t>
  </si>
  <si>
    <t>资产管理产品不含公募基金</t>
  </si>
  <si>
    <t>其他金融质押品</t>
  </si>
  <si>
    <t>房地产</t>
  </si>
  <si>
    <t>居住用房地产</t>
  </si>
  <si>
    <t>普通商品房</t>
  </si>
  <si>
    <t>公寓</t>
  </si>
  <si>
    <t>别墅</t>
  </si>
  <si>
    <t>政策性住房</t>
  </si>
  <si>
    <t>商业用房地产</t>
  </si>
  <si>
    <t>商铺</t>
  </si>
  <si>
    <t>商场</t>
  </si>
  <si>
    <t>宾馆/酒店</t>
  </si>
  <si>
    <t>宾馆酒店</t>
  </si>
  <si>
    <t>商住两用房</t>
  </si>
  <si>
    <t>办公用房地产</t>
  </si>
  <si>
    <t>写字楼/办公用房</t>
  </si>
  <si>
    <t>写字楼办公用房</t>
  </si>
  <si>
    <t>工业用房地产</t>
  </si>
  <si>
    <t>工业厂房</t>
  </si>
  <si>
    <t>仓库</t>
  </si>
  <si>
    <t>土地使用权</t>
  </si>
  <si>
    <t>居住用建设用地使用权</t>
  </si>
  <si>
    <t>国有建设用地使用权-出让</t>
  </si>
  <si>
    <t>国有建设用地使用权出让</t>
  </si>
  <si>
    <t>国有建设用地使用权-划拨</t>
  </si>
  <si>
    <t>国有建设用地使用权划拨</t>
  </si>
  <si>
    <t>农村住房财产权</t>
  </si>
  <si>
    <t>经营性建设用地使用权</t>
  </si>
  <si>
    <t>集体/农村经营性建设用地使用权</t>
  </si>
  <si>
    <t>集体农村经营性建设用地使用权</t>
  </si>
  <si>
    <t>农村土地承包经营权</t>
  </si>
  <si>
    <t>房产类在建工程（不含土地使用权）</t>
  </si>
  <si>
    <t>居住用房产类在建工程</t>
  </si>
  <si>
    <t>房产类在建工程不含土地使用权</t>
  </si>
  <si>
    <t>经营性房产类在建工程</t>
  </si>
  <si>
    <t>商业用房产类在建工程</t>
  </si>
  <si>
    <t>办公用房产类在建工程</t>
  </si>
  <si>
    <t>房产类在建工程
（不含土地使用权）</t>
  </si>
  <si>
    <t>工业用房产类在建工程</t>
  </si>
  <si>
    <t>其他房地产类押品</t>
  </si>
  <si>
    <t>应收账款</t>
  </si>
  <si>
    <t>普通应收账款（交易类）</t>
  </si>
  <si>
    <t>普通应收账款-中石油集团成员单位</t>
  </si>
  <si>
    <t>交易准备阶段或交易签约但未实施阶段对应应收账款</t>
  </si>
  <si>
    <t>普通应收账款交易类</t>
  </si>
  <si>
    <t>普通应收账款中石油集团成员单位</t>
  </si>
  <si>
    <t>交易实施阶段（已实质产生工作量阶段）对应应收账款</t>
  </si>
  <si>
    <t>交易实施阶段已实质产生工作量阶段对应应收账款</t>
  </si>
  <si>
    <t>结算阶段对应应收账款</t>
  </si>
  <si>
    <t>普通应收账款-其他企业</t>
  </si>
  <si>
    <t>其他企业普通应收账款</t>
  </si>
  <si>
    <t>普通应收账款其他企业</t>
  </si>
  <si>
    <t>收费权类应收账款</t>
  </si>
  <si>
    <t>公路收费权</t>
  </si>
  <si>
    <t>经营性公路收费权</t>
  </si>
  <si>
    <t>政府还贷公路收费权</t>
  </si>
  <si>
    <t>城市基础设施收费权</t>
  </si>
  <si>
    <t>燃气收费权</t>
  </si>
  <si>
    <t>供热收费权</t>
  </si>
  <si>
    <t>管道收费权</t>
  </si>
  <si>
    <t>学校收费权</t>
  </si>
  <si>
    <t>高等学校学生公寓收费权</t>
  </si>
  <si>
    <t>其他应收账款</t>
  </si>
  <si>
    <t>其他押品</t>
  </si>
  <si>
    <t>实物存货</t>
  </si>
  <si>
    <t>大宗商品</t>
  </si>
  <si>
    <t>油气类存货</t>
  </si>
  <si>
    <t>化工类存货</t>
  </si>
  <si>
    <t>其他大宗商品</t>
  </si>
  <si>
    <t>非大宗商品</t>
  </si>
  <si>
    <t>其他非大宗商品</t>
  </si>
  <si>
    <t>货权</t>
  </si>
  <si>
    <t>标准仓单（仅包括作为唯一货权凭证的仓单）</t>
  </si>
  <si>
    <t>油气类仓单</t>
  </si>
  <si>
    <t>标准仓单仅包括作为唯一货权凭证的仓单</t>
  </si>
  <si>
    <t>化工类仓单</t>
  </si>
  <si>
    <t>其他标准仓单</t>
  </si>
  <si>
    <t>非标准仓单（仅包括作为唯一货权凭证的仓单）</t>
  </si>
  <si>
    <t>非标准仓单仅包括作为唯一货权凭证的仓单</t>
  </si>
  <si>
    <t>其他非标准仓单</t>
  </si>
  <si>
    <t>提单</t>
  </si>
  <si>
    <t>油气类提单</t>
  </si>
  <si>
    <t>化工类提单</t>
  </si>
  <si>
    <t>其他提单</t>
  </si>
  <si>
    <t>出口退税账户</t>
  </si>
  <si>
    <t>机器设备</t>
  </si>
  <si>
    <t>通用设备</t>
  </si>
  <si>
    <t>专用设备</t>
  </si>
  <si>
    <t>石油专用设备</t>
  </si>
  <si>
    <t>非石油专用设备</t>
  </si>
  <si>
    <t>交通运输设备</t>
  </si>
  <si>
    <t>车辆</t>
  </si>
  <si>
    <t>自用车辆</t>
  </si>
  <si>
    <t>运营车辆</t>
  </si>
  <si>
    <t>油气运输类专用车</t>
  </si>
  <si>
    <t>压裂车</t>
  </si>
  <si>
    <t>工程车</t>
  </si>
  <si>
    <t>其他特种车辆</t>
  </si>
  <si>
    <t>船舶</t>
  </si>
  <si>
    <t>客运船舶</t>
  </si>
  <si>
    <t>货运船舶</t>
  </si>
  <si>
    <t>其他类型船舶</t>
  </si>
  <si>
    <t>航空器</t>
  </si>
  <si>
    <t>客运飞机</t>
  </si>
  <si>
    <t>货运飞机</t>
  </si>
  <si>
    <t>飞机发动机</t>
  </si>
  <si>
    <t>其他飞机配套设备</t>
  </si>
  <si>
    <t>其它类型航空器</t>
  </si>
  <si>
    <t>其他交通运输设备</t>
  </si>
  <si>
    <t>资源资产</t>
  </si>
  <si>
    <t>矿业权</t>
  </si>
  <si>
    <t>采矿权</t>
  </si>
  <si>
    <t>探矿权</t>
  </si>
  <si>
    <t>林权</t>
  </si>
  <si>
    <t>森林和林木所有权与使用权</t>
  </si>
  <si>
    <t>林地使用权</t>
  </si>
  <si>
    <t>海域使用权</t>
  </si>
  <si>
    <t>其他资源资产</t>
  </si>
  <si>
    <t>碳排放权</t>
  </si>
  <si>
    <t>排污权</t>
  </si>
  <si>
    <t>可转让知识产权中的财产权</t>
  </si>
  <si>
    <t>注册商标专用权</t>
  </si>
  <si>
    <t>专利权</t>
  </si>
  <si>
    <t>著作权</t>
  </si>
  <si>
    <t>其他知识产权</t>
  </si>
  <si>
    <t>特殊建筑构造物</t>
  </si>
  <si>
    <t>车位、车库</t>
  </si>
  <si>
    <t>车位车库</t>
  </si>
  <si>
    <t>加油（气）站</t>
  </si>
  <si>
    <t>加油气站</t>
  </si>
  <si>
    <t>铁路</t>
  </si>
  <si>
    <t>机场</t>
  </si>
  <si>
    <t>码头</t>
  </si>
  <si>
    <t>港口</t>
  </si>
  <si>
    <t>公路</t>
  </si>
  <si>
    <t>水坝</t>
  </si>
  <si>
    <t>储油罐</t>
  </si>
  <si>
    <t>管道</t>
  </si>
  <si>
    <t>其他以上未包括的押品</t>
  </si>
  <si>
    <t>特许经营权</t>
  </si>
  <si>
    <t>活畜</t>
  </si>
  <si>
    <t>1、准入押品目录中区分了表内表外业务的押品且抵质押率不同，是否需要增加押品分类；
2、准入押品目录二级、三级分类、四级分类与原型有差距，如债券中的三级和四级分类；房地产和其他押品中的二、三、四级分类；
3、部分押品分类准入目录中有，新系统中没有或者新系统中有，准入目录没有，需确认；</t>
  </si>
  <si>
    <t>一级菜单</t>
  </si>
  <si>
    <t>二级菜单</t>
  </si>
  <si>
    <t>三级菜单</t>
  </si>
  <si>
    <t>四级菜单</t>
  </si>
  <si>
    <t>金融债</t>
  </si>
  <si>
    <t>其他金融债</t>
  </si>
  <si>
    <t>商业银行企业债/公司债</t>
  </si>
  <si>
    <t>商业银行企业债公司债</t>
  </si>
  <si>
    <t>非银行金融机构企业债/公司债</t>
  </si>
  <si>
    <t>非银行金融机构企业债公司债</t>
  </si>
  <si>
    <t>政府支持机构债</t>
  </si>
  <si>
    <t>其他公司企业债/公司债</t>
  </si>
  <si>
    <t>其他公司企业债公司债</t>
  </si>
  <si>
    <t>境外市场发行的债券</t>
  </si>
  <si>
    <t>境外市场发行的人民币债券</t>
  </si>
  <si>
    <t>境外市场发行的外币债券</t>
  </si>
  <si>
    <t>其他票据</t>
  </si>
  <si>
    <t>上市公司股票(权)</t>
  </si>
  <si>
    <t>上市金融机构流通股股票(权)</t>
  </si>
  <si>
    <t>其他上市公司流通股股票(权)</t>
  </si>
  <si>
    <t>非上市公司股票(权)</t>
  </si>
  <si>
    <t>活期一本通</t>
  </si>
  <si>
    <t>定期一本通</t>
  </si>
  <si>
    <t>非标准工业厂房</t>
  </si>
  <si>
    <t>工业用地使用权</t>
  </si>
  <si>
    <t>储备土地使用权</t>
  </si>
  <si>
    <t>房产类在建工程(不含土地使用权)</t>
  </si>
  <si>
    <t>交易类应收账款</t>
  </si>
  <si>
    <t>电信网络收费权</t>
  </si>
  <si>
    <t>农村电网建设与改造工程电费收费权</t>
  </si>
  <si>
    <t>仓单(仅包括作为唯一货权凭证的仓库)</t>
  </si>
  <si>
    <t>标准仓单</t>
  </si>
  <si>
    <t>仓单仅包括作为唯一货权凭证的仓库</t>
  </si>
  <si>
    <t>非标准仓单</t>
  </si>
  <si>
    <t>载货汽车</t>
  </si>
  <si>
    <t>大中型载客汽车</t>
  </si>
  <si>
    <t>小型载客汽车</t>
  </si>
  <si>
    <t>牵引车</t>
  </si>
  <si>
    <t>挂车</t>
  </si>
  <si>
    <t>散货船</t>
  </si>
  <si>
    <t>集散箱船</t>
  </si>
  <si>
    <t>油船</t>
  </si>
  <si>
    <t>多用途船</t>
  </si>
  <si>
    <t>海工船</t>
  </si>
  <si>
    <t>拖船</t>
  </si>
  <si>
    <t>驳船</t>
  </si>
  <si>
    <t>渔船</t>
  </si>
  <si>
    <t>在建船舶/航空器</t>
  </si>
  <si>
    <t>在建船舶</t>
  </si>
  <si>
    <t>在建船舶航空器</t>
  </si>
  <si>
    <t>在建航空器</t>
  </si>
  <si>
    <t>车位/车库</t>
  </si>
  <si>
    <t>井巷</t>
  </si>
  <si>
    <t>`CLRTYPEID`</t>
  </si>
  <si>
    <t>`CLRTYPENAME`</t>
  </si>
  <si>
    <t>`PARENTNODEID`</t>
  </si>
  <si>
    <t>`ISLEAFNODE`</t>
  </si>
  <si>
    <t>`CLRTABLENAME`</t>
  </si>
  <si>
    <t>`TEMPLETNO`</t>
  </si>
  <si>
    <t>CLR_ASSET_REALTY</t>
  </si>
  <si>
    <t>CLRRealtyBuilding</t>
  </si>
  <si>
    <t>CLR_ASSET_FINANCE</t>
  </si>
  <si>
    <t>CLRDespositInfo</t>
  </si>
  <si>
    <t>CLRCashInfo</t>
  </si>
  <si>
    <t>CLRPreciousInfo</t>
  </si>
  <si>
    <t>CLRDespositData</t>
  </si>
  <si>
    <t>CLRBond</t>
  </si>
  <si>
    <t>地方债</t>
  </si>
  <si>
    <t>公司类债券</t>
  </si>
  <si>
    <t>CLRAcceptance</t>
  </si>
  <si>
    <t>CLROtherAcceptance</t>
  </si>
  <si>
    <t>可转让股票(权)/基金</t>
  </si>
  <si>
    <t>CLRStockInData</t>
  </si>
  <si>
    <t>非上市金融机构股票(权)</t>
  </si>
  <si>
    <t>CLRStockNotInData</t>
  </si>
  <si>
    <t>其他非上市公司股票(权)</t>
  </si>
  <si>
    <t>CLRFund</t>
  </si>
  <si>
    <t>具有现金价值的人寿保险单</t>
  </si>
  <si>
    <t>具有现金价值的人寿保险单(需被保人同意)</t>
  </si>
  <si>
    <t>CLRPolicy</t>
  </si>
  <si>
    <t>CLROtherfinance</t>
  </si>
  <si>
    <t>商用房地产和居住用房地产</t>
  </si>
  <si>
    <t>CLRRealtyLive</t>
  </si>
  <si>
    <t>政策性住房(限于特定产品)</t>
  </si>
  <si>
    <t>商用房地产</t>
  </si>
  <si>
    <t>商铺或商场</t>
  </si>
  <si>
    <t>CLRRealtyBusiness</t>
  </si>
  <si>
    <t>办公用房</t>
  </si>
  <si>
    <t>标准工业厂房</t>
  </si>
  <si>
    <t>CLRRealtyIndustry</t>
  </si>
  <si>
    <t>出让方式取得的国有建设用地使用权</t>
  </si>
  <si>
    <t>CLRRealtyRight</t>
  </si>
  <si>
    <t>划拨方式取得的国有建设用地使用权</t>
  </si>
  <si>
    <t>集体建设用地使用权</t>
  </si>
  <si>
    <t>商用建设用地使用权</t>
  </si>
  <si>
    <t>居住类房产类在建工程</t>
  </si>
  <si>
    <t>商用房产类在建工程</t>
  </si>
  <si>
    <t>其他商用房和居住用房地产</t>
  </si>
  <si>
    <t>CLROtherhouse</t>
  </si>
  <si>
    <t>CLR_ASSET_RECEIVABLE</t>
  </si>
  <si>
    <t>CLRTransactional</t>
  </si>
  <si>
    <t>CLRRoadtoll</t>
  </si>
  <si>
    <t>CLRinfrastructuretoll</t>
  </si>
  <si>
    <t>CLRPowergridtoll</t>
  </si>
  <si>
    <t>CLROthertoll</t>
  </si>
  <si>
    <t>实货存货</t>
  </si>
  <si>
    <t>CLR_ASSET_OTHERS_INVENTORY</t>
  </si>
  <si>
    <t>CLRPhysicalinventory</t>
  </si>
  <si>
    <t>CLRWarehousereceipt</t>
  </si>
  <si>
    <t>CLRBilloflading</t>
  </si>
  <si>
    <t>CLRExporttaxrebate</t>
  </si>
  <si>
    <t>CLR_ASSET_OTHERS_EQUIPMENT</t>
  </si>
  <si>
    <t>CLRMachine</t>
  </si>
  <si>
    <t>CLRVehicle</t>
  </si>
  <si>
    <t>CLRShip</t>
  </si>
  <si>
    <t>客运船</t>
  </si>
  <si>
    <t>CLRAircraft</t>
  </si>
  <si>
    <t>其他类型航空器</t>
  </si>
  <si>
    <t>CLRBuildShip</t>
  </si>
  <si>
    <t>CLRBuildAircraft</t>
  </si>
  <si>
    <t>CLR_ASSET_OTHERS_RESOURCE</t>
  </si>
  <si>
    <t>CLRMiningrights</t>
  </si>
  <si>
    <t>森林和林木所要权与使用权</t>
  </si>
  <si>
    <t>CLRWoodlanduserights</t>
  </si>
  <si>
    <t>CLRSeauserights</t>
  </si>
  <si>
    <t>以招标/拍卖/公开协商等方式取得的荒地(荒山/荒沟/荒丘/荒滩)的土地承包经营权</t>
  </si>
  <si>
    <t>CLROtheruserights</t>
  </si>
  <si>
    <t>CLR_ASSET_OTHERS_TLPR</t>
  </si>
  <si>
    <t>CLRTrademarkrights</t>
  </si>
  <si>
    <t>CLRPatent</t>
  </si>
  <si>
    <t>CLRCopyright</t>
  </si>
  <si>
    <t>CLR_ASSET_OTHERS_SBC</t>
  </si>
  <si>
    <t>CLRSpecialbuilding</t>
  </si>
  <si>
    <t>加油站</t>
  </si>
  <si>
    <t>商用房地产和居住用房地产 改为 房地产</t>
  </si>
  <si>
    <t>可转让股票(权)/基金 改为 股票（权）/基金</t>
  </si>
  <si>
    <t>实货存货 改为 实物存货</t>
  </si>
  <si>
    <t>交易类应收账款 改为 普通应收账款（交易类）</t>
  </si>
  <si>
    <t>其他商用房和居住用房地产 改为 其他房地产类押品</t>
  </si>
  <si>
    <t>加油站 改为 加油（气）站</t>
  </si>
  <si>
    <t>商用房产类在建工程 改为 经营性房产类在建工程</t>
  </si>
  <si>
    <t>商用建设用地使用权 改为 经营性建设用地使用权</t>
  </si>
  <si>
    <t>商用房地产 改为 商业用房地产</t>
  </si>
  <si>
    <t>具有现金价值的人寿保险单 改为 保单</t>
  </si>
  <si>
    <t>地方债 改为 地方政府债券</t>
  </si>
  <si>
    <t>公司类债券 改为 非金融企业债</t>
  </si>
  <si>
    <t>非上市金融机构股票(权) 改为 未上市公司股票或股权</t>
  </si>
  <si>
    <t>其他非上市公司股票(权) 改为 上市后禁止流通的股票</t>
  </si>
  <si>
    <t>具有现金价值的人寿保险单(需被保人同意) 改为 依法可以质押的具有现金价值的人寿保险单</t>
  </si>
  <si>
    <t>政策性住房(限于特定产品) 改为 政策性住房</t>
  </si>
  <si>
    <t>商铺或商场 改为 商铺</t>
  </si>
  <si>
    <t>办公用房 改为 写字楼/办公用房</t>
  </si>
  <si>
    <t>标准工业厂房 改为 工业厂房</t>
  </si>
  <si>
    <t>出让方式取得的国有建设用地使用权 改为 国有建设用地使用权-出让</t>
  </si>
  <si>
    <t>划拨方式取得的国有建设用地使用权 改为 国有建设用地使用权-划拨</t>
  </si>
  <si>
    <t>集体建设用地使用权 改为 农村住房财产权</t>
  </si>
  <si>
    <t>集体建设用地使用权 改为 集体/农村经营性建设用地使用权</t>
  </si>
  <si>
    <t>居住类房产类在建工程 改为 居住用房产类在建工程</t>
  </si>
  <si>
    <t>客运船 改为 客运船舶</t>
  </si>
  <si>
    <t>其他类型航空器 改为 其它类型航空器</t>
  </si>
  <si>
    <t>森林和林木所要权与使用权 改为 森林和林木所有权与使用权</t>
  </si>
  <si>
    <t>以招标/拍卖/公开协商等方式取得的荒地(荒山/荒沟/荒丘/荒滩)的土地承包经营权 改为 其他资源资产</t>
  </si>
  <si>
    <t>可转让股票权基金</t>
  </si>
  <si>
    <t>非上市金融机构股票权</t>
  </si>
  <si>
    <t>其他非上市公司股票权</t>
  </si>
  <si>
    <t>具有现金价值的人寿保险单需被保人同意</t>
  </si>
  <si>
    <t>政策性住房限于特定产品</t>
  </si>
  <si>
    <t>房产类在建工程
不含土地使用权</t>
  </si>
  <si>
    <t>以招标拍卖公开协商等方式取得的荒地荒山荒沟荒丘荒滩的土地承包经营权</t>
  </si>
  <si>
    <t>返回目录</t>
  </si>
  <si>
    <t>数据项名称</t>
  </si>
  <si>
    <t>数据项格式</t>
  </si>
  <si>
    <t>数据项代码值</t>
  </si>
  <si>
    <t>数据项来源</t>
  </si>
  <si>
    <t>数据项业务含义</t>
  </si>
  <si>
    <t>数据项应用场景要求</t>
  </si>
  <si>
    <t>数据项必输性校验要求</t>
  </si>
  <si>
    <t>数据唯一性识别要求</t>
  </si>
  <si>
    <t>备注</t>
  </si>
  <si>
    <t>码值</t>
  </si>
  <si>
    <t>字段名</t>
  </si>
  <si>
    <t>是否必输</t>
  </si>
  <si>
    <t>代码值</t>
  </si>
  <si>
    <t>核心识别要素</t>
  </si>
  <si>
    <t>辅助识别要素</t>
  </si>
  <si>
    <t>质押外汇帐户帐号</t>
  </si>
  <si>
    <t/>
  </si>
  <si>
    <t>押品数据标准模型</t>
  </si>
  <si>
    <t>GuarantyRightID</t>
  </si>
  <si>
    <t>外汇存款类型</t>
  </si>
  <si>
    <t>见代码表</t>
  </si>
  <si>
    <t>ThirdParty1</t>
  </si>
  <si>
    <t>是</t>
  </si>
  <si>
    <t>币种</t>
  </si>
  <si>
    <t>ThirdParty2</t>
  </si>
  <si>
    <t>金额</t>
  </si>
  <si>
    <t>GuarantyAmount</t>
  </si>
  <si>
    <t>折人民币金额(按当前汇率)</t>
  </si>
  <si>
    <t>AboutSum1</t>
  </si>
  <si>
    <t>押品类型</t>
  </si>
  <si>
    <t>getItemName('GuarantyList',GuarantyType) as GuarantyTypeName</t>
  </si>
  <si>
    <t>质押物类型</t>
  </si>
  <si>
    <t>抵质押人信息</t>
  </si>
  <si>
    <t>CertType</t>
  </si>
  <si>
    <t>出质人证件类型</t>
  </si>
  <si>
    <t>Ent04-营业执照(统一代码),Ind09-外国人居留证,Ent03-其他企业证件,Ind08-临时身份证,Ind10-警官证,Ind04-军官证,Ind02-户口簿,Ind05-士兵证,Ent01-组织机构代码证,Ind06-港澳居民来往内地通行证,Ind07-台湾同胞来往内地通行证,Ind01-身份证,Ent02-营业执照(旧版),Ind03-护照,Ind11-其他个人证件</t>
  </si>
  <si>
    <t>CertID</t>
  </si>
  <si>
    <t>出质人证件号码</t>
  </si>
  <si>
    <t>OwnerName</t>
  </si>
  <si>
    <t>出质人名称</t>
  </si>
  <si>
    <t>LoanCardNo</t>
  </si>
  <si>
    <t>出质人中征码(贷款卡号)</t>
  </si>
  <si>
    <t>OwnerType</t>
  </si>
  <si>
    <t>出质人类型</t>
  </si>
  <si>
    <t>06-自然人,07-其它,01-一般法人单位,02-专业担保公司,03-银行,04-保险公司,05-证券公司</t>
  </si>
  <si>
    <t>WheaFirstSignee</t>
  </si>
  <si>
    <t>是否第一抵押权人</t>
  </si>
  <si>
    <t>1-是,2-否</t>
  </si>
  <si>
    <t>合格认定信息</t>
  </si>
  <si>
    <t>GuarantyConvenAtt as GuarantyConvenAtt</t>
  </si>
  <si>
    <t>查封便利性</t>
  </si>
  <si>
    <t>010-对于不动产无查封障碍，对于动产由我行监管,020-对于不动产查封有一定障碍，对于动产存放地点相对固定,030-对于不动产查封有障碍，对于动产存放地点难掌握和控制</t>
  </si>
  <si>
    <t>GuarantyEffAtt as GuarantyEffAtt</t>
  </si>
  <si>
    <t>法律有效性</t>
  </si>
  <si>
    <t>010-抵押合法且依法登记,020-法律虽含糊但基本有效,030-抵押不合法或依法需登记未登记</t>
  </si>
  <si>
    <t>GuarantyRelateAtt as GuarantyRelateAtt</t>
  </si>
  <si>
    <t>抵质押品与借款人第一还款来源的相关性</t>
  </si>
  <si>
    <t>010-无关,020-有一定相关性,030-高度相关,040-完全相关</t>
  </si>
  <si>
    <t>GuarantyBeMoneyAtt as GuarantyBeMoneyAtt</t>
  </si>
  <si>
    <t>变现能力</t>
  </si>
  <si>
    <t>010-通用但变现较不易,020-通用且变现容易,030-专用性强,040-无法变现</t>
  </si>
  <si>
    <t>GuarantyValueAtt as GuarantyValueAtt</t>
  </si>
  <si>
    <t>价值波动性</t>
  </si>
  <si>
    <t>010-有升值潜力或波动小,020-价值波动中,030-价值波动大,040-价值波动剧烈</t>
  </si>
  <si>
    <t>价值信息</t>
  </si>
  <si>
    <t>EvalCurrency</t>
  </si>
  <si>
    <t>质押物币种</t>
  </si>
  <si>
    <t>EvalNetValue</t>
  </si>
  <si>
    <t>质押物金额</t>
  </si>
  <si>
    <t>GuarantyCurrency</t>
  </si>
  <si>
    <t>质押币种</t>
  </si>
  <si>
    <t>ConfirmValue</t>
  </si>
  <si>
    <t>质押金额</t>
  </si>
  <si>
    <t>公共信息</t>
  </si>
  <si>
    <t>Remark</t>
  </si>
  <si>
    <t>getUserName(InputUserID) as InputUserName</t>
  </si>
  <si>
    <t>登记人</t>
  </si>
  <si>
    <t>getOrgName(InputOrgID) as InputOrgName</t>
  </si>
  <si>
    <t>登记机构</t>
  </si>
  <si>
    <t>InputDate</t>
  </si>
  <si>
    <t>登记日期</t>
  </si>
  <si>
    <t>UpdateDate</t>
  </si>
  <si>
    <t>更新日期</t>
  </si>
  <si>
    <t>UserInPutDate</t>
  </si>
  <si>
    <t>押品登记日期</t>
  </si>
  <si>
    <t>UserInPutOrgName</t>
  </si>
  <si>
    <t>押品登记机构</t>
  </si>
  <si>
    <t>存单号</t>
  </si>
  <si>
    <t>编号(长度32)</t>
  </si>
  <si>
    <t>表示存单的唯一性标示号码</t>
  </si>
  <si>
    <t>用户押品数据唯一性识别场景</t>
  </si>
  <si>
    <t>※  必输</t>
  </si>
  <si>
    <t>√</t>
  </si>
  <si>
    <t>账号</t>
  </si>
  <si>
    <t>存单账号</t>
  </si>
  <si>
    <t>¤  非必输</t>
  </si>
  <si>
    <t>如果是他行存单，则是否需要记录相应的存单账号信息</t>
  </si>
  <si>
    <t>户名</t>
  </si>
  <si>
    <t>名称(长度80)</t>
  </si>
  <si>
    <t>存单户名</t>
  </si>
  <si>
    <t>用于押品数据唯一性识别场景</t>
  </si>
  <si>
    <t>储蓄方式</t>
  </si>
  <si>
    <t>代码(长度2)</t>
  </si>
  <si>
    <t>01.活期储蓄
02.整存整取
03.零存整取
04.整存零取
05.存本取息
06.定活两便
07.通知存款
08.其他</t>
  </si>
  <si>
    <t>表示存款的储蓄方式</t>
  </si>
  <si>
    <t>存单所属行行号</t>
  </si>
  <si>
    <t>代码(长度18)</t>
  </si>
  <si>
    <t>详见人民银行发布的金融机构行号</t>
  </si>
  <si>
    <t>人民银行发布的金融机构行号</t>
  </si>
  <si>
    <t>存单所属行名称</t>
  </si>
  <si>
    <t>代码(长度8)</t>
  </si>
  <si>
    <t>详见代码表</t>
  </si>
  <si>
    <t>存单币种</t>
  </si>
  <si>
    <t>金额(长度24.6)</t>
  </si>
  <si>
    <t>存单金额</t>
  </si>
  <si>
    <t>利率</t>
  </si>
  <si>
    <t>利率(长度10.6)</t>
  </si>
  <si>
    <t>存单利率</t>
  </si>
  <si>
    <t>起息日期</t>
  </si>
  <si>
    <t>日期(长度10)</t>
  </si>
  <si>
    <t>存款起息日期，一般情况下为存入日期的下一日期</t>
  </si>
  <si>
    <t>到期日期</t>
  </si>
  <si>
    <t>存款到期日期，通过存入日期与到期日期可以计算存单的存期</t>
  </si>
  <si>
    <t>是否有必要增加？</t>
  </si>
  <si>
    <t>数据项必须性校验要求</t>
  </si>
  <si>
    <t>票据号</t>
  </si>
  <si>
    <t>※  必须</t>
  </si>
  <si>
    <t>票据号码</t>
  </si>
  <si>
    <t>票据类型</t>
  </si>
  <si>
    <t>01.银行汇票
02.公共部门实体承兑汇票
03.银行本票
04.公共部门实体发行的本票
05.其他商业本票
06.支票
07.其他票据</t>
  </si>
  <si>
    <t>01-汇票,02-本票,03-支票</t>
  </si>
  <si>
    <t>票面币种</t>
  </si>
  <si>
    <t>详见代码项</t>
  </si>
  <si>
    <t>票面金额</t>
  </si>
  <si>
    <t>签发日期</t>
  </si>
  <si>
    <t>出票日期</t>
  </si>
  <si>
    <t>票据用途</t>
  </si>
  <si>
    <t>01.转账
02.现金</t>
  </si>
  <si>
    <t>¤  非必须</t>
  </si>
  <si>
    <t>收款人</t>
  </si>
  <si>
    <t>收款人是指票据到期后有权收取票据所载金额的人，又称票据权利人，是票据的主债权人。收款人有权要求付款人付款，如果被拒绝付款，有权向出票人以及票据上的其它债务人追索票款。</t>
  </si>
  <si>
    <t>出票人</t>
  </si>
  <si>
    <t>出票人是开立票据并将其交付给他人的法人、其它组织或者个人。出票人对收款人及正当持票人承担票据在提示付款或承兑时必须付款或者承兑的保证责任。是指依法定方式签发票据并将票据交付给收款人的人。</t>
  </si>
  <si>
    <t>GuarantyName</t>
  </si>
  <si>
    <t>出票人账号</t>
  </si>
  <si>
    <t>出票地</t>
  </si>
  <si>
    <t>属性集(长度320)</t>
  </si>
  <si>
    <t>持票人</t>
  </si>
  <si>
    <t>持票人是指持有票据的人。持票人一般是收款人，但在特殊情形下，持票人与收款人也可能是不一致的。</t>
  </si>
  <si>
    <t>付款人</t>
  </si>
  <si>
    <t>付款地</t>
  </si>
  <si>
    <t>IsSwitch</t>
  </si>
  <si>
    <t>是否可转换债券</t>
  </si>
  <si>
    <t>IsSWStock</t>
  </si>
  <si>
    <t>转换的债券是否是主要指数股票</t>
  </si>
  <si>
    <t>IsSWTrading</t>
  </si>
  <si>
    <t>转换的债券是否在交易所挂牌</t>
  </si>
  <si>
    <t>getItemName('IssuingEntity',IssuingEntity) as IssuingEntityName</t>
  </si>
  <si>
    <t>发行主体机构</t>
  </si>
  <si>
    <t>getItemName('OutsideORG',OutsideORG) as OutsideORGName</t>
  </si>
  <si>
    <t>外部评级机构</t>
  </si>
  <si>
    <t>OutsideGrade</t>
  </si>
  <si>
    <t>外部评级结果区间</t>
  </si>
  <si>
    <t>1-AA-（含）以上或P-1/A-1/A-1+/F1/F1+,2-AA-（不含）至BBB-（含）或A-2/A-3/P-2/P-3/F2/F3,3-BBB-（不含）至BB-（含）,4-BB-（不含）以下或A-3/P-3/F3（不含）以下</t>
  </si>
  <si>
    <t>IsofBank</t>
  </si>
  <si>
    <t>是否银行发行</t>
  </si>
  <si>
    <t>IsofTrading</t>
  </si>
  <si>
    <t>是否交易所交易</t>
  </si>
  <si>
    <t>IsDebtFirst</t>
  </si>
  <si>
    <t>是否具有优先债务的性质</t>
  </si>
  <si>
    <t>IsFluidity</t>
  </si>
  <si>
    <t>是否具有充分的流动性</t>
  </si>
  <si>
    <t>IsOverGrade</t>
  </si>
  <si>
    <t>发行人发行的同一级别债券外部评级</t>
  </si>
  <si>
    <t>IsofCountry</t>
  </si>
  <si>
    <t>是否收购国有银行而定向发行的债券</t>
  </si>
  <si>
    <t>GuarantyResouce</t>
  </si>
  <si>
    <t>出票行</t>
  </si>
  <si>
    <t>ThirdParty3</t>
  </si>
  <si>
    <t>付款行</t>
  </si>
  <si>
    <t>GuarantyDate</t>
  </si>
  <si>
    <t>OwnerTime</t>
  </si>
  <si>
    <t>有效期</t>
  </si>
  <si>
    <t>01-人民币,02-英镑,03-港币,07-瑞典克朗,05-瑞士法郎,10-日元,12-澳大利亚元,14-欧元,04-美元,51-加拿大元</t>
  </si>
  <si>
    <t>共有信息</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</si>
</sst>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176" formatCode="yyyy/mm/dd"/>
    <numFmt numFmtId="43" formatCode="_ * #,##0.00_ ;_ * \-#,##0.00_ ;_ * &quot;-&quot;??_ ;_ @_ "/>
    <numFmt numFmtId="42" formatCode="_ &quot;￥&quot;* #,##0_ ;_ &quot;￥&quot;* \-#,##0_ ;_ &quot;￥&quot;* &quot;-&quot;_ ;_ @_ "/>
  </numFmts>
  <fonts count="50">
    <font>
      <sz val="9"/>
      <color indexed="8"/>
      <name val="微软雅黑"/>
      <charset val="134"/>
    </font>
    <font>
      <u/>
      <sz val="9"/>
      <color indexed="30"/>
      <name val="微软雅黑"/>
      <charset val="134"/>
    </font>
    <font>
      <b/>
      <sz val="10"/>
      <color indexed="9"/>
      <name val="微软雅黑"/>
      <charset val="134"/>
    </font>
    <font>
      <sz val="10"/>
      <name val="Microsoft Sans Serif"/>
      <charset val="134"/>
    </font>
    <font>
      <i/>
      <sz val="12"/>
      <name val="微软雅黑"/>
      <charset val="134"/>
    </font>
    <font>
      <i/>
      <sz val="12"/>
      <color indexed="8"/>
      <name val="微软雅黑"/>
      <charset val="134"/>
    </font>
    <font>
      <sz val="9"/>
      <color indexed="10"/>
      <name val="微软雅黑"/>
      <charset val="134"/>
    </font>
    <font>
      <sz val="9"/>
      <name val="微软雅黑"/>
      <charset val="134"/>
    </font>
    <font>
      <sz val="10"/>
      <color indexed="10"/>
      <name val="宋体"/>
      <charset val="134"/>
    </font>
    <font>
      <b/>
      <sz val="9"/>
      <color rgb="FFFFFFFF"/>
      <name val="华文楷体"/>
      <charset val="134"/>
    </font>
    <font>
      <sz val="9"/>
      <color rgb="FF000000"/>
      <name val="华文楷体"/>
      <charset val="134"/>
    </font>
    <font>
      <sz val="9"/>
      <color theme="1"/>
      <name val="华文楷体"/>
      <charset val="134"/>
    </font>
    <font>
      <sz val="9"/>
      <color theme="1"/>
      <name val="楷体"/>
      <charset val="134"/>
    </font>
    <font>
      <sz val="9"/>
      <color theme="1"/>
      <name val="微软雅黑"/>
      <charset val="134"/>
    </font>
    <font>
      <sz val="9"/>
      <name val="楷体"/>
      <charset val="134"/>
    </font>
    <font>
      <b/>
      <sz val="11"/>
      <name val="等线"/>
      <charset val="134"/>
      <scheme val="minor"/>
    </font>
    <font>
      <sz val="9"/>
      <name val="华文楷体"/>
      <charset val="134"/>
    </font>
    <font>
      <sz val="12"/>
      <name val="宋体"/>
      <charset val="134"/>
    </font>
    <font>
      <sz val="11"/>
      <color theme="1"/>
      <name val="等线"/>
      <charset val="134"/>
      <scheme val="minor"/>
    </font>
    <font>
      <u/>
      <sz val="9"/>
      <color rgb="FF800080"/>
      <name val="微软雅黑"/>
      <charset val="134"/>
    </font>
    <font>
      <sz val="9"/>
      <color indexed="8"/>
      <name val="楷体"/>
      <charset val="134"/>
    </font>
    <font>
      <i/>
      <sz val="12"/>
      <name val="华文琥珀"/>
      <charset val="134"/>
    </font>
    <font>
      <sz val="12"/>
      <color indexed="8"/>
      <name val="华文新魏"/>
      <charset val="134"/>
    </font>
    <font>
      <b/>
      <sz val="9"/>
      <color indexed="9"/>
      <name val="微软雅黑"/>
      <charset val="134"/>
    </font>
    <font>
      <b/>
      <sz val="10"/>
      <color indexed="9"/>
      <name val="华文楷体"/>
      <charset val="134"/>
    </font>
    <font>
      <b/>
      <sz val="9"/>
      <color indexed="8"/>
      <name val="华文楷体"/>
      <charset val="134"/>
    </font>
    <font>
      <sz val="9"/>
      <color indexed="8"/>
      <name val="华文楷体"/>
      <charset val="134"/>
    </font>
    <font>
      <sz val="11"/>
      <color rgb="FFFA7D00"/>
      <name val="等线"/>
      <charset val="0"/>
      <scheme val="minor"/>
    </font>
    <font>
      <sz val="11"/>
      <color theme="1"/>
      <name val="等线"/>
      <charset val="0"/>
      <scheme val="minor"/>
    </font>
    <font>
      <b/>
      <sz val="13"/>
      <color theme="3"/>
      <name val="等线"/>
      <charset val="134"/>
      <scheme val="minor"/>
    </font>
    <font>
      <sz val="11"/>
      <color theme="0"/>
      <name val="等线"/>
      <charset val="0"/>
      <scheme val="minor"/>
    </font>
    <font>
      <sz val="10"/>
      <name val="Arial"/>
      <charset val="134"/>
    </font>
    <font>
      <sz val="11"/>
      <color rgb="FFFF0000"/>
      <name val="等线"/>
      <charset val="0"/>
      <scheme val="minor"/>
    </font>
    <font>
      <u/>
      <sz val="11"/>
      <color rgb="FF800080"/>
      <name val="等线"/>
      <charset val="0"/>
      <scheme val="minor"/>
    </font>
    <font>
      <b/>
      <sz val="11"/>
      <color rgb="FF3F3F3F"/>
      <name val="等线"/>
      <charset val="0"/>
      <scheme val="minor"/>
    </font>
    <font>
      <sz val="11"/>
      <color rgb="FF006100"/>
      <name val="等线"/>
      <charset val="0"/>
      <scheme val="minor"/>
    </font>
    <font>
      <sz val="11"/>
      <color indexed="8"/>
      <name val="宋体"/>
      <charset val="134"/>
    </font>
    <font>
      <b/>
      <sz val="15"/>
      <color theme="3"/>
      <name val="等线"/>
      <charset val="134"/>
      <scheme val="minor"/>
    </font>
    <font>
      <b/>
      <sz val="11"/>
      <color rgb="FFFFFFFF"/>
      <name val="等线"/>
      <charset val="0"/>
      <scheme val="minor"/>
    </font>
    <font>
      <sz val="11"/>
      <color rgb="FF9C6500"/>
      <name val="等线"/>
      <charset val="0"/>
      <scheme val="minor"/>
    </font>
    <font>
      <b/>
      <sz val="11"/>
      <color rgb="FFFA7D00"/>
      <name val="等线"/>
      <charset val="0"/>
      <scheme val="minor"/>
    </font>
    <font>
      <b/>
      <sz val="11"/>
      <color theme="3"/>
      <name val="等线"/>
      <charset val="134"/>
      <scheme val="minor"/>
    </font>
    <font>
      <b/>
      <sz val="18"/>
      <color theme="3"/>
      <name val="等线"/>
      <charset val="134"/>
      <scheme val="minor"/>
    </font>
    <font>
      <sz val="11"/>
      <color rgb="FF3F3F76"/>
      <name val="等线"/>
      <charset val="0"/>
      <scheme val="minor"/>
    </font>
    <font>
      <sz val="11"/>
      <color rgb="FF9C0006"/>
      <name val="等线"/>
      <charset val="0"/>
      <scheme val="minor"/>
    </font>
    <font>
      <b/>
      <sz val="11"/>
      <color theme="1"/>
      <name val="等线"/>
      <charset val="0"/>
      <scheme val="minor"/>
    </font>
    <font>
      <i/>
      <sz val="11"/>
      <color rgb="FF7F7F7F"/>
      <name val="等线"/>
      <charset val="0"/>
      <scheme val="minor"/>
    </font>
    <font>
      <sz val="10"/>
      <color indexed="8"/>
      <name val="Arial"/>
      <charset val="134"/>
    </font>
    <font>
      <sz val="11"/>
      <color indexed="8"/>
      <name val="等线"/>
      <charset val="134"/>
    </font>
    <font>
      <sz val="12"/>
      <color indexed="8"/>
      <name val="等线"/>
      <charset val="134"/>
    </font>
  </fonts>
  <fills count="48">
    <fill>
      <patternFill patternType="none"/>
    </fill>
    <fill>
      <patternFill patternType="gray125"/>
    </fill>
    <fill>
      <patternFill patternType="solid">
        <fgColor indexed="56"/>
        <bgColor indexed="64"/>
      </patternFill>
    </fill>
    <fill>
      <patternFill patternType="solid">
        <fgColor indexed="13"/>
        <bgColor indexed="64"/>
      </patternFill>
    </fill>
    <fill>
      <patternFill patternType="solid">
        <fgColor theme="9" tint="0.8"/>
        <bgColor indexed="64"/>
      </patternFill>
    </fill>
    <fill>
      <patternFill patternType="solid">
        <fgColor rgb="FF003366"/>
        <bgColor rgb="FF333399"/>
      </patternFill>
    </fill>
    <fill>
      <patternFill patternType="solid">
        <fgColor rgb="FFFFFFFF"/>
        <bgColor rgb="FFFFFFCC"/>
      </patternFill>
    </fill>
    <fill>
      <patternFill patternType="solid">
        <fgColor theme="0"/>
        <bgColor rgb="FFFFFFCC"/>
      </patternFill>
    </fill>
    <fill>
      <patternFill patternType="solid">
        <fgColor theme="0"/>
        <bgColor indexed="64"/>
      </patternFill>
    </fill>
    <fill>
      <patternFill patternType="solid">
        <fgColor theme="0"/>
        <bgColor rgb="FF00CCFF"/>
      </patternFill>
    </fill>
    <fill>
      <patternFill patternType="solid">
        <fgColor theme="0"/>
        <bgColor rgb="FFFF9900"/>
      </patternFill>
    </fill>
    <fill>
      <patternFill patternType="solid">
        <fgColor theme="0"/>
        <bgColor rgb="FF808080"/>
      </patternFill>
    </fill>
    <fill>
      <patternFill patternType="solid">
        <fgColor theme="0"/>
        <bgColor rgb="FFFFFF00"/>
      </patternFill>
    </fill>
    <fill>
      <patternFill patternType="solid">
        <fgColor theme="0"/>
        <bgColor rgb="FF548235"/>
      </patternFill>
    </fill>
    <fill>
      <patternFill patternType="solid">
        <fgColor rgb="FF92D050"/>
        <bgColor indexed="64"/>
      </patternFill>
    </fill>
    <fill>
      <patternFill patternType="solid">
        <fgColor rgb="FFFFFF00"/>
        <bgColor indexed="64"/>
      </patternFill>
    </fill>
    <fill>
      <patternFill patternType="solid">
        <fgColor rgb="FFFFFF00"/>
        <bgColor rgb="FFFFFFCC"/>
      </patternFill>
    </fill>
    <fill>
      <patternFill patternType="solid">
        <fgColor theme="4" tint="0.599993896298105"/>
        <bgColor indexed="64"/>
      </patternFill>
    </fill>
    <fill>
      <patternFill patternType="solid">
        <fgColor rgb="FFFFFFCC"/>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rgb="FFC6EFCE"/>
        <bgColor indexed="64"/>
      </patternFill>
    </fill>
    <fill>
      <patternFill patternType="solid">
        <fgColor theme="7" tint="0.399975585192419"/>
        <bgColor indexed="64"/>
      </patternFill>
    </fill>
    <fill>
      <patternFill patternType="solid">
        <fgColor rgb="FFA5A5A5"/>
        <bgColor indexed="64"/>
      </patternFill>
    </fill>
    <fill>
      <patternFill patternType="solid">
        <fgColor rgb="FFFFEB9C"/>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7"/>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9"/>
        <bgColor indexed="64"/>
      </patternFill>
    </fill>
    <fill>
      <patternFill patternType="solid">
        <fgColor theme="4"/>
        <bgColor indexed="64"/>
      </patternFill>
    </fill>
    <fill>
      <patternFill patternType="solid">
        <fgColor theme="8" tint="0.399975585192419"/>
        <bgColor indexed="64"/>
      </patternFill>
    </fill>
  </fills>
  <borders count="36">
    <border>
      <left/>
      <right/>
      <top/>
      <bottom/>
      <diagonal/>
    </border>
    <border>
      <left/>
      <right/>
      <top/>
      <bottom style="thick">
        <color indexed="63"/>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thick">
        <color indexed="62"/>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s>
  <cellStyleXfs count="62">
    <xf numFmtId="0" fontId="0" fillId="0" borderId="0">
      <alignment vertical="center"/>
    </xf>
    <xf numFmtId="0" fontId="31" fillId="0" borderId="0">
      <alignment vertical="center"/>
    </xf>
    <xf numFmtId="0" fontId="31" fillId="0" borderId="0"/>
    <xf numFmtId="0" fontId="18" fillId="0" borderId="0">
      <alignment vertical="center"/>
    </xf>
    <xf numFmtId="0" fontId="36" fillId="0" borderId="0"/>
    <xf numFmtId="0" fontId="48" fillId="0" borderId="0">
      <alignment vertical="center"/>
    </xf>
    <xf numFmtId="0" fontId="48" fillId="0" borderId="0"/>
    <xf numFmtId="0" fontId="17" fillId="0" borderId="0"/>
    <xf numFmtId="0" fontId="49" fillId="0" borderId="0"/>
    <xf numFmtId="0" fontId="47" fillId="0" borderId="0"/>
    <xf numFmtId="0" fontId="30" fillId="41" borderId="0">
      <alignment vertical="center"/>
    </xf>
    <xf numFmtId="0" fontId="28" fillId="40" borderId="0">
      <alignment vertical="center"/>
    </xf>
    <xf numFmtId="0" fontId="36" fillId="0" borderId="0">
      <alignment vertical="center"/>
    </xf>
    <xf numFmtId="0" fontId="30" fillId="38" borderId="0">
      <alignment vertical="center"/>
    </xf>
    <xf numFmtId="0" fontId="43" fillId="34" borderId="33">
      <alignment vertical="center"/>
    </xf>
    <xf numFmtId="0" fontId="28" fillId="35" borderId="0">
      <alignment vertical="center"/>
    </xf>
    <xf numFmtId="0" fontId="28" fillId="44" borderId="0">
      <alignment vertical="center"/>
    </xf>
    <xf numFmtId="44" fontId="18" fillId="0" borderId="0">
      <alignment vertical="center"/>
    </xf>
    <xf numFmtId="0" fontId="30" fillId="33" borderId="0">
      <alignment vertical="center"/>
    </xf>
    <xf numFmtId="9" fontId="18" fillId="0" borderId="0">
      <alignment vertical="center"/>
    </xf>
    <xf numFmtId="0" fontId="30" fillId="43" borderId="0">
      <alignment vertical="center"/>
    </xf>
    <xf numFmtId="0" fontId="30" fillId="47" borderId="0">
      <alignment vertical="center"/>
    </xf>
    <xf numFmtId="0" fontId="30" fillId="31" borderId="0">
      <alignment vertical="center"/>
    </xf>
    <xf numFmtId="0" fontId="30" fillId="30" borderId="0">
      <alignment vertical="center"/>
    </xf>
    <xf numFmtId="0" fontId="30" fillId="26" borderId="0">
      <alignment vertical="center"/>
    </xf>
    <xf numFmtId="0" fontId="40" fillId="24" borderId="33">
      <alignment vertical="center"/>
    </xf>
    <xf numFmtId="0" fontId="30" fillId="46" borderId="0">
      <alignment vertical="center"/>
    </xf>
    <xf numFmtId="0" fontId="39" fillId="28" borderId="0">
      <alignment vertical="center"/>
    </xf>
    <xf numFmtId="0" fontId="28" fillId="22" borderId="0">
      <alignment vertical="center"/>
    </xf>
    <xf numFmtId="0" fontId="35" fillId="25" borderId="0">
      <alignment vertical="center"/>
    </xf>
    <xf numFmtId="0" fontId="28" fillId="39" borderId="0">
      <alignment vertical="center"/>
    </xf>
    <xf numFmtId="0" fontId="45" fillId="0" borderId="34">
      <alignment vertical="center"/>
    </xf>
    <xf numFmtId="0" fontId="44" fillId="36" borderId="0">
      <alignment vertical="center"/>
    </xf>
    <xf numFmtId="0" fontId="38" fillId="27" borderId="32">
      <alignment vertical="center"/>
    </xf>
    <xf numFmtId="0" fontId="34" fillId="24" borderId="31">
      <alignment vertical="center"/>
    </xf>
    <xf numFmtId="0" fontId="37" fillId="0" borderId="29">
      <alignment vertical="center"/>
    </xf>
    <xf numFmtId="0" fontId="46" fillId="0" borderId="0">
      <alignment vertical="center"/>
    </xf>
    <xf numFmtId="0" fontId="28" fillId="37" borderId="0">
      <alignment vertical="center"/>
    </xf>
    <xf numFmtId="0" fontId="41" fillId="0" borderId="0">
      <alignment vertical="center"/>
    </xf>
    <xf numFmtId="42" fontId="18" fillId="0" borderId="0">
      <alignment vertical="center"/>
    </xf>
    <xf numFmtId="0" fontId="0" fillId="0" borderId="0">
      <alignment vertical="center"/>
    </xf>
    <xf numFmtId="0" fontId="28" fillId="23" borderId="0">
      <alignment vertical="center"/>
    </xf>
    <xf numFmtId="43" fontId="18" fillId="0" borderId="0">
      <alignment vertical="center"/>
    </xf>
    <xf numFmtId="0" fontId="33" fillId="0" borderId="0">
      <alignment vertical="center"/>
    </xf>
    <xf numFmtId="0" fontId="42" fillId="0" borderId="0">
      <alignment vertical="center"/>
    </xf>
    <xf numFmtId="0" fontId="18" fillId="0" borderId="0"/>
    <xf numFmtId="0" fontId="28" fillId="21" borderId="0">
      <alignment vertical="center"/>
    </xf>
    <xf numFmtId="0" fontId="32" fillId="0" borderId="0">
      <alignment vertical="center"/>
    </xf>
    <xf numFmtId="0" fontId="30" fillId="20" borderId="0">
      <alignment vertical="center"/>
    </xf>
    <xf numFmtId="0" fontId="18" fillId="18" borderId="30">
      <alignment vertical="center"/>
    </xf>
    <xf numFmtId="0" fontId="28" fillId="42" borderId="0">
      <alignment vertical="center"/>
    </xf>
    <xf numFmtId="0" fontId="30" fillId="32" borderId="0">
      <alignment vertical="center"/>
    </xf>
    <xf numFmtId="0" fontId="28" fillId="29" borderId="0">
      <alignment vertical="center"/>
    </xf>
    <xf numFmtId="0" fontId="1" fillId="0" borderId="0">
      <alignment vertical="center"/>
    </xf>
    <xf numFmtId="41" fontId="18" fillId="0" borderId="0">
      <alignment vertical="center"/>
    </xf>
    <xf numFmtId="0" fontId="29" fillId="0" borderId="29">
      <alignment vertical="center"/>
    </xf>
    <xf numFmtId="0" fontId="28" fillId="19" borderId="0">
      <alignment vertical="center"/>
    </xf>
    <xf numFmtId="0" fontId="41" fillId="0" borderId="35">
      <alignment vertical="center"/>
    </xf>
    <xf numFmtId="0" fontId="30" fillId="45" borderId="0">
      <alignment vertical="center"/>
    </xf>
    <xf numFmtId="0" fontId="28" fillId="17" borderId="0">
      <alignment vertical="center"/>
    </xf>
    <xf numFmtId="0" fontId="17" fillId="0" borderId="0"/>
    <xf numFmtId="0" fontId="27" fillId="0" borderId="28">
      <alignment vertical="center"/>
    </xf>
  </cellStyleXfs>
  <cellXfs count="136">
    <xf numFmtId="0" fontId="0" fillId="0" borderId="0" xfId="0" applyAlignment="1">
      <alignment vertical="center"/>
    </xf>
    <xf numFmtId="0" fontId="0" fillId="0" borderId="1" xfId="0" applyBorder="1" applyAlignment="1">
      <alignment vertical="center"/>
    </xf>
    <xf numFmtId="0" fontId="1" fillId="0" borderId="0" xfId="53" applyAlignment="1">
      <alignment vertical="center"/>
    </xf>
    <xf numFmtId="0" fontId="0" fillId="0" borderId="0" xfId="0" applyAlignment="1">
      <alignment horizontal="center" vertical="center" wrapText="1"/>
    </xf>
    <xf numFmtId="0" fontId="0" fillId="0" borderId="0" xfId="0" applyAlignment="1">
      <alignmen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0" borderId="4" xfId="0" applyBorder="1" applyAlignment="1"/>
    <xf numFmtId="0" fontId="0" fillId="0" borderId="5" xfId="0" applyBorder="1" applyAlignment="1"/>
    <xf numFmtId="0" fontId="0" fillId="0" borderId="6" xfId="0" applyBorder="1" applyAlignment="1">
      <alignment vertical="center"/>
    </xf>
    <xf numFmtId="0" fontId="0" fillId="0" borderId="7" xfId="0" applyBorder="1" applyAlignment="1">
      <alignment vertical="center"/>
    </xf>
    <xf numFmtId="0" fontId="0" fillId="0" borderId="7" xfId="0" applyBorder="1" applyAlignment="1">
      <alignment vertical="center" wrapText="1"/>
    </xf>
    <xf numFmtId="0" fontId="0" fillId="0" borderId="8" xfId="0" applyBorder="1" applyAlignment="1">
      <alignment vertical="center"/>
    </xf>
    <xf numFmtId="0" fontId="0" fillId="0" borderId="9" xfId="0" applyBorder="1" applyAlignment="1">
      <alignment vertical="center"/>
    </xf>
    <xf numFmtId="49" fontId="3" fillId="0" borderId="7" xfId="0" applyNumberFormat="1" applyFont="1" applyBorder="1" applyAlignment="1">
      <alignment vertical="top"/>
    </xf>
    <xf numFmtId="0" fontId="4" fillId="0" borderId="0" xfId="53" applyFont="1" applyAlignment="1">
      <alignment horizontal="left"/>
    </xf>
    <xf numFmtId="0" fontId="5" fillId="0" borderId="0" xfId="6" applyFont="1" applyAlignment="1">
      <alignment horizontal="left"/>
    </xf>
    <xf numFmtId="0" fontId="0" fillId="0" borderId="7" xfId="0" applyBorder="1" applyAlignment="1">
      <alignment horizontal="center" vertical="center"/>
    </xf>
    <xf numFmtId="0" fontId="0" fillId="0" borderId="9" xfId="0" applyBorder="1" applyAlignment="1">
      <alignment horizontal="center" vertical="center"/>
    </xf>
    <xf numFmtId="176" fontId="0" fillId="0" borderId="0" xfId="0" applyNumberFormat="1" applyAlignment="1">
      <alignment horizontal="center" vertical="center"/>
    </xf>
    <xf numFmtId="49" fontId="0" fillId="0" borderId="10" xfId="0" applyNumberFormat="1" applyBorder="1" applyAlignment="1">
      <alignment horizontal="center" vertical="center"/>
    </xf>
    <xf numFmtId="0" fontId="0" fillId="0" borderId="11" xfId="0" applyBorder="1" applyAlignment="1"/>
    <xf numFmtId="0" fontId="2" fillId="2" borderId="12"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13" xfId="0" applyBorder="1" applyAlignment="1"/>
    <xf numFmtId="0" fontId="6" fillId="0" borderId="7" xfId="0" applyFont="1" applyBorder="1" applyAlignment="1">
      <alignment horizontal="center" vertical="center"/>
    </xf>
    <xf numFmtId="0" fontId="0" fillId="0" borderId="14" xfId="0" applyBorder="1" applyAlignment="1">
      <alignment vertical="center"/>
    </xf>
    <xf numFmtId="0" fontId="0" fillId="0" borderId="14" xfId="0" applyBorder="1" applyAlignment="1">
      <alignment vertical="center" wrapText="1"/>
    </xf>
    <xf numFmtId="0" fontId="0" fillId="0" borderId="15" xfId="0" applyBorder="1" applyAlignment="1">
      <alignment vertical="center"/>
    </xf>
    <xf numFmtId="0" fontId="0" fillId="0" borderId="1" xfId="0" applyBorder="1" applyAlignment="1">
      <alignment horizontal="center" vertical="center" wrapText="1"/>
    </xf>
    <xf numFmtId="0" fontId="1" fillId="0" borderId="0" xfId="53" applyAlignment="1">
      <alignment horizontal="left"/>
    </xf>
    <xf numFmtId="0" fontId="0" fillId="3" borderId="0" xfId="0" applyFill="1" applyAlignment="1">
      <alignment vertical="center"/>
    </xf>
    <xf numFmtId="0" fontId="0" fillId="0" borderId="16" xfId="0" applyBorder="1" applyAlignment="1"/>
    <xf numFmtId="0" fontId="1" fillId="0" borderId="0" xfId="53" applyAlignment="1">
      <alignment horizontal="lef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7" fillId="0" borderId="6" xfId="0" applyNumberFormat="1" applyFont="1" applyBorder="1" applyAlignment="1">
      <alignment horizontal="left" vertical="top" wrapText="1"/>
    </xf>
    <xf numFmtId="0" fontId="0" fillId="0" borderId="7" xfId="0" applyBorder="1" applyAlignment="1">
      <alignment horizontal="left" vertical="center" wrapText="1"/>
    </xf>
    <xf numFmtId="49" fontId="7" fillId="0" borderId="7" xfId="0" applyNumberFormat="1" applyFont="1" applyBorder="1" applyAlignment="1">
      <alignment horizontal="left" vertical="top" wrapText="1"/>
    </xf>
    <xf numFmtId="49" fontId="7" fillId="3" borderId="6" xfId="0" applyNumberFormat="1" applyFont="1" applyFill="1" applyBorder="1" applyAlignment="1">
      <alignment horizontal="left" vertical="top" wrapText="1"/>
    </xf>
    <xf numFmtId="49" fontId="3" fillId="0" borderId="0" xfId="0" applyNumberFormat="1" applyFont="1" applyAlignment="1">
      <alignment vertical="top"/>
    </xf>
    <xf numFmtId="49" fontId="8" fillId="0" borderId="0" xfId="0" applyNumberFormat="1" applyFont="1" applyAlignment="1">
      <alignment vertical="top"/>
    </xf>
    <xf numFmtId="0" fontId="4" fillId="0" borderId="0" xfId="53" applyFont="1" applyAlignment="1">
      <alignment horizontal="left" wrapText="1"/>
    </xf>
    <xf numFmtId="0" fontId="5" fillId="0" borderId="0" xfId="6" applyFont="1" applyAlignment="1">
      <alignment horizontal="left" wrapText="1"/>
    </xf>
    <xf numFmtId="176" fontId="0" fillId="0" borderId="0" xfId="0" applyNumberFormat="1" applyAlignment="1">
      <alignment horizontal="center" vertical="center" wrapText="1"/>
    </xf>
    <xf numFmtId="0" fontId="2" fillId="2" borderId="7" xfId="0" applyFont="1" applyFill="1" applyBorder="1" applyAlignment="1">
      <alignment horizontal="center" vertical="center" wrapText="1"/>
    </xf>
    <xf numFmtId="0" fontId="6" fillId="0" borderId="7" xfId="0" applyFont="1" applyBorder="1" applyAlignment="1">
      <alignment horizontal="left" vertical="center" wrapText="1"/>
    </xf>
    <xf numFmtId="49" fontId="0" fillId="0" borderId="10" xfId="0" applyNumberFormat="1" applyBorder="1" applyAlignment="1">
      <alignment horizontal="center" vertical="center" wrapText="1"/>
    </xf>
    <xf numFmtId="0" fontId="2" fillId="2" borderId="12" xfId="0" applyFont="1" applyFill="1" applyBorder="1" applyAlignment="1">
      <alignment horizontal="center" vertical="center" wrapText="1"/>
    </xf>
    <xf numFmtId="0" fontId="0" fillId="0" borderId="14" xfId="0" applyBorder="1" applyAlignment="1">
      <alignment horizontal="left" vertical="center" wrapText="1"/>
    </xf>
    <xf numFmtId="0" fontId="0" fillId="0" borderId="1" xfId="0" applyBorder="1" applyAlignment="1">
      <alignment vertical="center" wrapText="1"/>
    </xf>
    <xf numFmtId="0" fontId="0" fillId="4" borderId="0" xfId="0" applyFill="1" applyAlignment="1">
      <alignment horizontal="center" vertical="center"/>
    </xf>
    <xf numFmtId="0" fontId="9" fillId="5" borderId="7" xfId="0" applyFont="1" applyFill="1" applyBorder="1" applyAlignment="1">
      <alignment horizontal="center"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1" fillId="0" borderId="17" xfId="0" applyFont="1" applyBorder="1" applyAlignment="1">
      <alignment horizontal="center" vertical="center" wrapText="1"/>
    </xf>
    <xf numFmtId="0" fontId="10" fillId="0" borderId="7" xfId="0" applyFont="1" applyBorder="1" applyAlignment="1">
      <alignment vertical="center" wrapText="1"/>
    </xf>
    <xf numFmtId="0" fontId="11" fillId="6" borderId="7" xfId="0" applyFont="1" applyFill="1" applyBorder="1" applyAlignment="1">
      <alignment horizontal="left" vertical="center" wrapText="1"/>
    </xf>
    <xf numFmtId="0" fontId="11" fillId="7" borderId="7" xfId="0" applyFont="1" applyFill="1" applyBorder="1" applyAlignment="1">
      <alignment vertical="center" wrapText="1"/>
    </xf>
    <xf numFmtId="0" fontId="10" fillId="7" borderId="7" xfId="0" applyFont="1" applyFill="1" applyBorder="1" applyAlignment="1">
      <alignment vertical="center" wrapText="1"/>
    </xf>
    <xf numFmtId="0" fontId="10" fillId="6" borderId="7" xfId="0" applyFont="1" applyFill="1" applyBorder="1" applyAlignment="1">
      <alignment vertical="center" wrapText="1"/>
    </xf>
    <xf numFmtId="0" fontId="11" fillId="6" borderId="7" xfId="0" applyFont="1" applyFill="1" applyBorder="1" applyAlignment="1">
      <alignment vertical="center" wrapText="1"/>
    </xf>
    <xf numFmtId="49" fontId="12" fillId="8" borderId="7" xfId="2" applyNumberFormat="1" applyFont="1" applyFill="1" applyBorder="1" applyAlignment="1">
      <alignment horizontal="left" vertical="center" wrapText="1"/>
    </xf>
    <xf numFmtId="49" fontId="12" fillId="0" borderId="7" xfId="2" applyNumberFormat="1" applyFont="1" applyBorder="1" applyAlignment="1">
      <alignment horizontal="left" vertical="center" wrapText="1"/>
    </xf>
    <xf numFmtId="0" fontId="11" fillId="0" borderId="7" xfId="0" applyFont="1" applyBorder="1" applyAlignment="1">
      <alignment vertical="center" wrapText="1"/>
    </xf>
    <xf numFmtId="0" fontId="12" fillId="0" borderId="7" xfId="0" applyFont="1" applyBorder="1" applyAlignment="1">
      <alignment horizontal="left" vertical="center" wrapText="1"/>
    </xf>
    <xf numFmtId="0" fontId="12" fillId="8" borderId="7" xfId="1" applyFont="1" applyFill="1" applyBorder="1" applyAlignment="1">
      <alignment horizontal="left" vertical="center" wrapText="1"/>
    </xf>
    <xf numFmtId="0" fontId="12" fillId="8" borderId="7" xfId="0" applyFont="1" applyFill="1" applyBorder="1" applyAlignment="1">
      <alignment horizontal="left" vertical="center" wrapText="1"/>
    </xf>
    <xf numFmtId="0" fontId="12" fillId="8" borderId="7" xfId="0" applyFont="1" applyFill="1" applyBorder="1" applyAlignment="1">
      <alignment vertical="center" wrapText="1"/>
    </xf>
    <xf numFmtId="0" fontId="12" fillId="8" borderId="7" xfId="0" applyFont="1" applyFill="1" applyBorder="1" applyAlignment="1">
      <alignment vertical="center"/>
    </xf>
    <xf numFmtId="0" fontId="0" fillId="0" borderId="17" xfId="0" applyBorder="1" applyAlignment="1">
      <alignment vertical="center"/>
    </xf>
    <xf numFmtId="0" fontId="13" fillId="0" borderId="7" xfId="0" applyFont="1" applyBorder="1" applyAlignment="1">
      <alignment horizontal="center" vertical="center"/>
    </xf>
    <xf numFmtId="0" fontId="11" fillId="0" borderId="17" xfId="0" applyFont="1" applyBorder="1" applyAlignment="1">
      <alignment horizontal="left" vertical="center" wrapText="1"/>
    </xf>
    <xf numFmtId="0" fontId="14" fillId="0" borderId="7" xfId="0" applyFont="1" applyBorder="1" applyAlignment="1">
      <alignment horizontal="left" vertical="center" wrapText="1"/>
    </xf>
    <xf numFmtId="0" fontId="11" fillId="9" borderId="17" xfId="0" applyFont="1" applyFill="1" applyBorder="1" applyAlignment="1">
      <alignment horizontal="center" vertical="center" wrapText="1"/>
    </xf>
    <xf numFmtId="0" fontId="11" fillId="8" borderId="17" xfId="0" applyFont="1" applyFill="1" applyBorder="1" applyAlignment="1">
      <alignment horizontal="left" vertical="center" wrapText="1"/>
    </xf>
    <xf numFmtId="0" fontId="10" fillId="8" borderId="7" xfId="0" applyFont="1" applyFill="1" applyBorder="1" applyAlignment="1">
      <alignment vertical="center" wrapText="1"/>
    </xf>
    <xf numFmtId="0" fontId="11" fillId="10" borderId="17" xfId="0" applyFont="1" applyFill="1" applyBorder="1" applyAlignment="1">
      <alignment horizontal="left" vertical="center" wrapText="1"/>
    </xf>
    <xf numFmtId="0" fontId="11" fillId="8" borderId="17" xfId="0" applyFont="1" applyFill="1" applyBorder="1" applyAlignment="1">
      <alignment vertical="center" wrapText="1"/>
    </xf>
    <xf numFmtId="0" fontId="11" fillId="11" borderId="17" xfId="0" applyFont="1" applyFill="1" applyBorder="1" applyAlignment="1">
      <alignment vertical="center" wrapText="1"/>
    </xf>
    <xf numFmtId="0" fontId="11" fillId="8" borderId="7" xfId="0" applyFont="1" applyFill="1" applyBorder="1" applyAlignment="1">
      <alignment vertical="center" wrapText="1"/>
    </xf>
    <xf numFmtId="0" fontId="15" fillId="0" borderId="7" xfId="0" applyFont="1" applyFill="1" applyBorder="1" applyAlignment="1">
      <alignment horizontal="center" vertical="top"/>
    </xf>
    <xf numFmtId="0" fontId="10" fillId="8" borderId="17" xfId="0" applyFont="1" applyFill="1" applyBorder="1" applyAlignment="1">
      <alignment horizontal="left" vertical="center" wrapText="1"/>
    </xf>
    <xf numFmtId="0" fontId="11" fillId="12" borderId="17" xfId="0" applyFont="1" applyFill="1" applyBorder="1" applyAlignment="1">
      <alignment horizontal="left" vertical="center" wrapText="1"/>
    </xf>
    <xf numFmtId="0" fontId="16" fillId="8" borderId="7" xfId="0" applyFont="1" applyFill="1" applyBorder="1" applyAlignment="1">
      <alignment vertical="center" wrapText="1"/>
    </xf>
    <xf numFmtId="0" fontId="0" fillId="0" borderId="7" xfId="0" applyBorder="1" applyAlignment="1">
      <alignment horizontal="left" vertical="center"/>
    </xf>
    <xf numFmtId="0" fontId="11" fillId="12" borderId="7" xfId="0" applyFont="1" applyFill="1" applyBorder="1" applyAlignment="1">
      <alignment horizontal="left" vertical="center" wrapText="1"/>
    </xf>
    <xf numFmtId="0" fontId="11" fillId="8" borderId="5" xfId="0" applyFont="1" applyFill="1" applyBorder="1" applyAlignment="1">
      <alignment horizontal="center" vertical="center" wrapText="1"/>
    </xf>
    <xf numFmtId="0" fontId="10" fillId="8" borderId="16" xfId="0" applyFont="1" applyFill="1" applyBorder="1" applyAlignment="1">
      <alignment vertical="center" wrapText="1"/>
    </xf>
    <xf numFmtId="0" fontId="11" fillId="8" borderId="7" xfId="0" applyFont="1" applyFill="1" applyBorder="1" applyAlignment="1">
      <alignment horizontal="center" vertical="center" wrapText="1"/>
    </xf>
    <xf numFmtId="0" fontId="11" fillId="8" borderId="7" xfId="0" applyFont="1" applyFill="1" applyBorder="1" applyAlignment="1">
      <alignment horizontal="left" vertical="center" wrapText="1"/>
    </xf>
    <xf numFmtId="0" fontId="11" fillId="10" borderId="17" xfId="0" applyFont="1" applyFill="1" applyBorder="1" applyAlignment="1">
      <alignment horizontal="center" vertical="center" wrapText="1"/>
    </xf>
    <xf numFmtId="49" fontId="14" fillId="0" borderId="7" xfId="2" applyNumberFormat="1" applyFont="1" applyBorder="1" applyAlignment="1">
      <alignment horizontal="left" vertical="center" wrapText="1"/>
    </xf>
    <xf numFmtId="0" fontId="11" fillId="11" borderId="7" xfId="0" applyFont="1" applyFill="1" applyBorder="1" applyAlignment="1">
      <alignment horizontal="left" vertical="center" wrapText="1"/>
    </xf>
    <xf numFmtId="0" fontId="11" fillId="13" borderId="7" xfId="0" applyFont="1" applyFill="1" applyBorder="1" applyAlignment="1">
      <alignment horizontal="left" vertical="center" wrapText="1"/>
    </xf>
    <xf numFmtId="0" fontId="12" fillId="14" borderId="16" xfId="0" applyFont="1" applyFill="1" applyBorder="1" applyAlignment="1">
      <alignment horizontal="left" vertical="center" wrapText="1"/>
    </xf>
    <xf numFmtId="0" fontId="12" fillId="14" borderId="7" xfId="0" applyFont="1" applyFill="1" applyBorder="1" applyAlignment="1">
      <alignment horizontal="left" vertical="center" wrapText="1"/>
    </xf>
    <xf numFmtId="0" fontId="14" fillId="14" borderId="7" xfId="0" applyFont="1" applyFill="1" applyBorder="1" applyAlignment="1">
      <alignment horizontal="left" vertical="center" wrapText="1"/>
    </xf>
    <xf numFmtId="0" fontId="0" fillId="14" borderId="0" xfId="0" applyFill="1" applyAlignment="1">
      <alignment vertical="center"/>
    </xf>
    <xf numFmtId="0" fontId="17" fillId="0" borderId="0" xfId="0" applyFont="1" applyFill="1" applyBorder="1" applyAlignment="1">
      <alignment vertical="center"/>
    </xf>
    <xf numFmtId="0" fontId="18" fillId="0" borderId="0" xfId="0" applyFont="1" applyFill="1" applyAlignment="1"/>
    <xf numFmtId="0" fontId="1" fillId="15" borderId="0" xfId="53" applyFill="1">
      <alignment vertical="center"/>
    </xf>
    <xf numFmtId="0" fontId="19" fillId="15" borderId="0" xfId="53" applyFont="1" applyFill="1">
      <alignment vertical="center"/>
    </xf>
    <xf numFmtId="0" fontId="0" fillId="15" borderId="0" xfId="0" applyFill="1" applyAlignment="1">
      <alignment vertical="center"/>
    </xf>
    <xf numFmtId="0" fontId="11" fillId="16" borderId="7" xfId="0" applyFont="1" applyFill="1" applyBorder="1" applyAlignment="1">
      <alignment horizontal="left" vertical="center" wrapText="1"/>
    </xf>
    <xf numFmtId="0" fontId="19" fillId="0" borderId="0" xfId="53" applyFont="1" applyFill="1">
      <alignment vertical="center"/>
    </xf>
    <xf numFmtId="0" fontId="11" fillId="15" borderId="7" xfId="0" applyFont="1" applyFill="1" applyBorder="1" applyAlignment="1">
      <alignment vertical="center" wrapText="1"/>
    </xf>
    <xf numFmtId="0" fontId="11" fillId="15" borderId="7" xfId="0" applyFont="1" applyFill="1" applyBorder="1" applyAlignment="1">
      <alignment horizontal="left" vertical="center" wrapText="1"/>
    </xf>
    <xf numFmtId="0" fontId="0" fillId="8" borderId="0" xfId="0" applyFill="1" applyAlignment="1">
      <alignment vertical="center"/>
    </xf>
    <xf numFmtId="0" fontId="0" fillId="0" borderId="0" xfId="0" applyAlignment="1"/>
    <xf numFmtId="0" fontId="20" fillId="0" borderId="7" xfId="0" applyBorder="1" applyAlignment="1">
      <alignment vertical="center" wrapText="1"/>
    </xf>
    <xf numFmtId="0" fontId="20" fillId="0" borderId="7" xfId="0" applyBorder="1" applyAlignment="1">
      <alignment horizontal="left" vertical="center" wrapText="1"/>
    </xf>
    <xf numFmtId="0" fontId="20" fillId="0" borderId="7" xfId="0" applyBorder="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21" fillId="0" borderId="10" xfId="53" applyFont="1" applyBorder="1" applyAlignment="1">
      <alignment horizontal="left"/>
    </xf>
    <xf numFmtId="0" fontId="0" fillId="0" borderId="10" xfId="0" applyBorder="1" applyAlignment="1">
      <alignment vertical="center"/>
    </xf>
    <xf numFmtId="176" fontId="0" fillId="0" borderId="10" xfId="0" applyNumberFormat="1" applyBorder="1" applyAlignment="1">
      <alignment horizontal="center" vertical="center"/>
    </xf>
    <xf numFmtId="0" fontId="22" fillId="0" borderId="0" xfId="0" applyFont="1" applyAlignment="1">
      <alignment vertical="center"/>
    </xf>
    <xf numFmtId="0" fontId="23" fillId="0" borderId="18" xfId="0" applyFont="1" applyBorder="1" applyAlignment="1">
      <alignment horizontal="center" vertical="center" wrapText="1"/>
    </xf>
    <xf numFmtId="0" fontId="24" fillId="2" borderId="19" xfId="0" applyFont="1" applyFill="1" applyBorder="1" applyAlignment="1">
      <alignment horizontal="center" vertical="center"/>
    </xf>
    <xf numFmtId="0" fontId="24" fillId="2" borderId="20" xfId="0" applyFont="1" applyFill="1" applyBorder="1" applyAlignment="1">
      <alignment horizontal="center" vertical="center"/>
    </xf>
    <xf numFmtId="0" fontId="0" fillId="0" borderId="18" xfId="0" applyBorder="1" applyAlignment="1">
      <alignment vertical="center" wrapText="1"/>
    </xf>
    <xf numFmtId="0" fontId="25" fillId="0" borderId="21" xfId="0" applyFont="1" applyBorder="1" applyAlignment="1">
      <alignment horizontal="center" vertical="center" wrapText="1"/>
    </xf>
    <xf numFmtId="0" fontId="26" fillId="0" borderId="22" xfId="0" applyBorder="1" applyAlignment="1">
      <alignment vertical="center" wrapText="1"/>
    </xf>
    <xf numFmtId="0" fontId="16" fillId="0" borderId="22" xfId="53" applyFont="1" applyBorder="1" applyAlignment="1">
      <alignment vertical="center" wrapText="1"/>
    </xf>
    <xf numFmtId="0" fontId="25" fillId="0" borderId="23" xfId="0" applyFont="1" applyBorder="1" applyAlignment="1">
      <alignment horizontal="center" vertical="center" wrapText="1"/>
    </xf>
    <xf numFmtId="0" fontId="26" fillId="0" borderId="24" xfId="0" applyBorder="1" applyAlignment="1">
      <alignment vertical="center" wrapText="1"/>
    </xf>
    <xf numFmtId="0" fontId="0" fillId="0" borderId="1" xfId="0" applyBorder="1" applyAlignment="1">
      <alignment horizontal="center" vertical="center"/>
    </xf>
    <xf numFmtId="0" fontId="24" fillId="2" borderId="20" xfId="0" applyFont="1" applyFill="1" applyBorder="1" applyAlignment="1">
      <alignment horizontal="center" vertical="center" wrapText="1"/>
    </xf>
    <xf numFmtId="14" fontId="26" fillId="0" borderId="22" xfId="0" applyNumberFormat="1" applyBorder="1" applyAlignment="1">
      <alignment horizontal="center" vertical="center" wrapText="1"/>
    </xf>
    <xf numFmtId="0" fontId="26" fillId="0" borderId="22" xfId="0" applyBorder="1" applyAlignment="1">
      <alignment horizontal="center" vertical="center" wrapText="1"/>
    </xf>
    <xf numFmtId="0" fontId="26" fillId="0" borderId="24" xfId="0" applyBorder="1" applyAlignment="1">
      <alignment horizontal="center" vertical="center" wrapText="1"/>
    </xf>
    <xf numFmtId="0" fontId="24" fillId="2" borderId="25" xfId="0" applyFont="1" applyFill="1" applyBorder="1" applyAlignment="1">
      <alignment horizontal="center" vertical="center"/>
    </xf>
    <xf numFmtId="0" fontId="26" fillId="0" borderId="26" xfId="0" applyBorder="1" applyAlignment="1">
      <alignment horizontal="center" vertical="center" wrapText="1"/>
    </xf>
    <xf numFmtId="0" fontId="26" fillId="0" borderId="27" xfId="0" applyBorder="1" applyAlignment="1">
      <alignment horizontal="center" vertical="center" wrapText="1"/>
    </xf>
  </cellXfs>
  <cellStyles count="62">
    <cellStyle name="常规" xfId="0" builtinId="0"/>
    <cellStyle name="样式 1 2" xfId="1"/>
    <cellStyle name="样式 1" xfId="2"/>
    <cellStyle name="常规 6 2" xfId="3"/>
    <cellStyle name="常规 4" xfId="4"/>
    <cellStyle name="常规 2 3 2 2" xfId="5"/>
    <cellStyle name="常规 2" xfId="6"/>
    <cellStyle name="Normal 5" xfId="7"/>
    <cellStyle name="Normal 3 2" xfId="8"/>
    <cellStyle name="Normal 2 4" xfId="9"/>
    <cellStyle name="60% - 强调文字颜色 6" xfId="10" builtinId="52"/>
    <cellStyle name="20% - 强调文字颜色 4" xfId="11" builtinId="42"/>
    <cellStyle name="常规 2 3 2" xfId="12"/>
    <cellStyle name="强调文字颜色 4" xfId="13" builtinId="41"/>
    <cellStyle name="输入" xfId="14" builtinId="20"/>
    <cellStyle name="40% - 强调文字颜色 3" xfId="15" builtinId="39"/>
    <cellStyle name="20% - 强调文字颜色 3" xfId="16" builtinId="38"/>
    <cellStyle name="货币" xfId="17" builtinId="4"/>
    <cellStyle name="强调文字颜色 3" xfId="18" builtinId="37"/>
    <cellStyle name="百分比" xfId="19" builtinId="5"/>
    <cellStyle name="60% - 强调文字颜色 2" xfId="20" builtinId="36"/>
    <cellStyle name="60% - 强调文字颜色 5" xfId="21" builtinId="48"/>
    <cellStyle name="强调文字颜色 2" xfId="22" builtinId="33"/>
    <cellStyle name="60% - 强调文字颜色 1" xfId="23" builtinId="32"/>
    <cellStyle name="60% - 强调文字颜色 4" xfId="24" builtinId="44"/>
    <cellStyle name="计算" xfId="25" builtinId="22"/>
    <cellStyle name="强调文字颜色 1" xfId="26" builtinId="29"/>
    <cellStyle name="适中" xfId="27" builtinId="28"/>
    <cellStyle name="20% - 强调文字颜色 5" xfId="28" builtinId="46"/>
    <cellStyle name="好" xfId="29" builtinId="26"/>
    <cellStyle name="20% - 强调文字颜色 1" xfId="30" builtinId="30"/>
    <cellStyle name="汇总" xfId="31" builtinId="25"/>
    <cellStyle name="差" xfId="32" builtinId="27"/>
    <cellStyle name="检查单元格" xfId="33" builtinId="23"/>
    <cellStyle name="输出" xfId="34" builtinId="21"/>
    <cellStyle name="标题 1" xfId="35" builtinId="16"/>
    <cellStyle name="解释性文本" xfId="36" builtinId="53"/>
    <cellStyle name="20% - 强调文字颜色 2" xfId="37" builtinId="34"/>
    <cellStyle name="标题 4" xfId="38" builtinId="19"/>
    <cellStyle name="货币[0]" xfId="39" builtinId="7"/>
    <cellStyle name="常规 2 2" xfId="40"/>
    <cellStyle name="40% - 强调文字颜色 4" xfId="41" builtinId="43"/>
    <cellStyle name="千位分隔" xfId="42" builtinId="3"/>
    <cellStyle name="已访问的超链接" xfId="43" builtinId="9"/>
    <cellStyle name="标题" xfId="44" builtinId="15"/>
    <cellStyle name="常规 8" xfId="45"/>
    <cellStyle name="40% - 强调文字颜色 2" xfId="46" builtinId="35"/>
    <cellStyle name="警告文本" xfId="47" builtinId="11"/>
    <cellStyle name="60% - 强调文字颜色 3" xfId="48" builtinId="40"/>
    <cellStyle name="注释" xfId="49" builtinId="10"/>
    <cellStyle name="20% - 强调文字颜色 6" xfId="50" builtinId="50"/>
    <cellStyle name="强调文字颜色 5" xfId="51" builtinId="45"/>
    <cellStyle name="40% - 强调文字颜色 6" xfId="52" builtinId="51"/>
    <cellStyle name="超链接" xfId="53" builtinId="8"/>
    <cellStyle name="千位分隔[0]" xfId="54" builtinId="6"/>
    <cellStyle name="标题 2" xfId="55" builtinId="17"/>
    <cellStyle name="40% - 强调文字颜色 5" xfId="56" builtinId="47"/>
    <cellStyle name="标题 3" xfId="57" builtinId="18"/>
    <cellStyle name="强调文字颜色 6" xfId="58" builtinId="49"/>
    <cellStyle name="40% - 强调文字颜色 1" xfId="59" builtinId="31"/>
    <cellStyle name="常规 3" xfId="60"/>
    <cellStyle name="链接单元格" xfId="61" builtinId="24"/>
  </cellStyles>
  <dxfs count="2">
    <dxf>
      <fill>
        <patternFill patternType="solid">
          <bgColor rgb="FF92D05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showGridLines="0" zoomScale="130" zoomScaleNormal="130" topLeftCell="A10" workbookViewId="0">
      <selection activeCell="C15" sqref="C15"/>
    </sheetView>
  </sheetViews>
  <sheetFormatPr defaultColWidth="9.28571428571429" defaultRowHeight="13.6"/>
  <cols>
    <col min="1" max="1" width="5.57142857142857" style="109" customWidth="1"/>
    <col min="2" max="2" width="5.28571428571429" customWidth="1"/>
    <col min="3" max="3" width="13.2857142857143" customWidth="1"/>
    <col min="4" max="4" width="40.4285714285714" customWidth="1"/>
    <col min="5" max="5" width="13" style="4" customWidth="1"/>
    <col min="6" max="6" width="12.7142857142857" style="4" customWidth="1"/>
    <col min="7" max="7" width="10.2857142857143" style="114" customWidth="1"/>
    <col min="8" max="8" width="10.2857142857143" style="109" customWidth="1"/>
    <col min="9" max="9" width="66.7142857142857" style="109" customWidth="1"/>
  </cols>
  <sheetData>
    <row r="1" s="1" customFormat="1" ht="16.5" customHeight="1" spans="1:7">
      <c r="A1" s="115" t="s">
        <v>0</v>
      </c>
      <c r="B1" s="116"/>
      <c r="C1" s="117"/>
      <c r="D1" s="117"/>
      <c r="E1" s="29"/>
      <c r="F1" s="29"/>
      <c r="G1" s="128"/>
    </row>
    <row r="2" ht="17.25" customHeight="1" spans="1:6">
      <c r="A2" s="118" t="s">
        <v>1</v>
      </c>
      <c r="C2" s="19"/>
      <c r="D2" s="114"/>
      <c r="E2" s="3"/>
      <c r="F2" s="3"/>
    </row>
    <row r="3" ht="27" customHeight="1" spans="1:10">
      <c r="A3" s="119"/>
      <c r="B3" s="120" t="s">
        <v>2</v>
      </c>
      <c r="C3" s="121" t="s">
        <v>3</v>
      </c>
      <c r="D3" s="121" t="s">
        <v>4</v>
      </c>
      <c r="E3" s="129" t="s">
        <v>5</v>
      </c>
      <c r="F3" s="121" t="s">
        <v>6</v>
      </c>
      <c r="G3" s="121" t="s">
        <v>7</v>
      </c>
      <c r="H3" s="121" t="s">
        <v>8</v>
      </c>
      <c r="I3" s="121" t="s">
        <v>9</v>
      </c>
      <c r="J3" s="133" t="s">
        <v>10</v>
      </c>
    </row>
    <row r="4" ht="36" customHeight="1" spans="1:10">
      <c r="A4" s="122"/>
      <c r="B4" s="123">
        <v>1</v>
      </c>
      <c r="C4" s="124" t="s">
        <v>11</v>
      </c>
      <c r="D4" s="125" t="s">
        <v>12</v>
      </c>
      <c r="E4" s="130">
        <v>41921</v>
      </c>
      <c r="F4" s="131" t="s">
        <v>13</v>
      </c>
      <c r="G4" s="131" t="s">
        <v>14</v>
      </c>
      <c r="H4" s="130">
        <v>41935</v>
      </c>
      <c r="I4" s="124" t="s">
        <v>15</v>
      </c>
      <c r="J4" s="134" t="s">
        <v>16</v>
      </c>
    </row>
    <row r="5" ht="252" customHeight="1" spans="1:10">
      <c r="A5" s="122"/>
      <c r="B5" s="123">
        <v>2</v>
      </c>
      <c r="C5" s="124" t="s">
        <v>17</v>
      </c>
      <c r="D5" s="125" t="s">
        <v>18</v>
      </c>
      <c r="E5" s="130">
        <v>41923</v>
      </c>
      <c r="F5" s="131" t="s">
        <v>19</v>
      </c>
      <c r="G5" s="131" t="s">
        <v>14</v>
      </c>
      <c r="H5" s="130">
        <v>41925</v>
      </c>
      <c r="I5" s="124" t="s">
        <v>20</v>
      </c>
      <c r="J5" s="134" t="s">
        <v>19</v>
      </c>
    </row>
    <row r="6" ht="48" customHeight="1" spans="1:10">
      <c r="A6" s="122"/>
      <c r="B6" s="123">
        <v>3</v>
      </c>
      <c r="C6" s="124" t="s">
        <v>11</v>
      </c>
      <c r="D6" s="125" t="s">
        <v>21</v>
      </c>
      <c r="E6" s="130">
        <v>41923</v>
      </c>
      <c r="F6" s="131" t="s">
        <v>13</v>
      </c>
      <c r="G6" s="131" t="s">
        <v>22</v>
      </c>
      <c r="H6" s="131"/>
      <c r="I6" s="124"/>
      <c r="J6" s="134"/>
    </row>
    <row r="7" ht="48" customHeight="1" spans="1:10">
      <c r="A7" s="122"/>
      <c r="B7" s="123">
        <v>4</v>
      </c>
      <c r="C7" s="124" t="s">
        <v>11</v>
      </c>
      <c r="D7" s="125" t="s">
        <v>23</v>
      </c>
      <c r="E7" s="130">
        <v>41925</v>
      </c>
      <c r="F7" s="131" t="s">
        <v>13</v>
      </c>
      <c r="G7" s="131" t="s">
        <v>24</v>
      </c>
      <c r="H7" s="131"/>
      <c r="I7" s="124"/>
      <c r="J7" s="134"/>
    </row>
    <row r="8" ht="60" customHeight="1" spans="1:10">
      <c r="A8" s="122"/>
      <c r="B8" s="123">
        <v>5</v>
      </c>
      <c r="C8" s="124" t="s">
        <v>11</v>
      </c>
      <c r="D8" s="125" t="s">
        <v>25</v>
      </c>
      <c r="E8" s="130">
        <v>41930</v>
      </c>
      <c r="F8" s="131" t="s">
        <v>13</v>
      </c>
      <c r="G8" s="131" t="s">
        <v>22</v>
      </c>
      <c r="H8" s="131"/>
      <c r="I8" s="124"/>
      <c r="J8" s="134"/>
    </row>
    <row r="9" ht="36" customHeight="1" spans="1:10">
      <c r="A9" s="122"/>
      <c r="B9" s="123">
        <v>6</v>
      </c>
      <c r="C9" s="124" t="s">
        <v>26</v>
      </c>
      <c r="D9" s="125" t="s">
        <v>27</v>
      </c>
      <c r="E9" s="130">
        <v>41934</v>
      </c>
      <c r="F9" s="131" t="s">
        <v>28</v>
      </c>
      <c r="G9" s="131" t="s">
        <v>22</v>
      </c>
      <c r="H9" s="131"/>
      <c r="I9" s="124"/>
      <c r="J9" s="134"/>
    </row>
    <row r="10" ht="60" customHeight="1" spans="1:10">
      <c r="A10" s="122"/>
      <c r="B10" s="123">
        <v>7</v>
      </c>
      <c r="C10" s="124" t="s">
        <v>26</v>
      </c>
      <c r="D10" s="125" t="s">
        <v>29</v>
      </c>
      <c r="E10" s="130">
        <v>41934</v>
      </c>
      <c r="F10" s="131" t="s">
        <v>30</v>
      </c>
      <c r="G10" s="131" t="s">
        <v>22</v>
      </c>
      <c r="H10" s="131"/>
      <c r="I10" s="124"/>
      <c r="J10" s="134"/>
    </row>
    <row r="11" ht="36" customHeight="1" spans="1:10">
      <c r="A11" s="122"/>
      <c r="B11" s="123">
        <v>8</v>
      </c>
      <c r="C11" s="124" t="s">
        <v>11</v>
      </c>
      <c r="D11" s="125" t="s">
        <v>31</v>
      </c>
      <c r="E11" s="130">
        <v>41934</v>
      </c>
      <c r="F11" s="131" t="s">
        <v>28</v>
      </c>
      <c r="G11" s="131" t="s">
        <v>22</v>
      </c>
      <c r="H11" s="131"/>
      <c r="I11" s="124"/>
      <c r="J11" s="134"/>
    </row>
    <row r="12" ht="24" customHeight="1" spans="1:10">
      <c r="A12" s="122"/>
      <c r="B12" s="123">
        <v>9</v>
      </c>
      <c r="C12" s="124" t="s">
        <v>26</v>
      </c>
      <c r="D12" s="125" t="s">
        <v>32</v>
      </c>
      <c r="E12" s="130">
        <v>41934</v>
      </c>
      <c r="F12" s="131" t="s">
        <v>28</v>
      </c>
      <c r="G12" s="131" t="s">
        <v>22</v>
      </c>
      <c r="H12" s="131"/>
      <c r="I12" s="124"/>
      <c r="J12" s="134"/>
    </row>
    <row r="13" ht="36" customHeight="1" spans="1:10">
      <c r="A13" s="122"/>
      <c r="B13" s="123">
        <v>10</v>
      </c>
      <c r="C13" s="124" t="s">
        <v>26</v>
      </c>
      <c r="D13" s="125" t="s">
        <v>33</v>
      </c>
      <c r="E13" s="130">
        <v>41934</v>
      </c>
      <c r="F13" s="131" t="s">
        <v>28</v>
      </c>
      <c r="G13" s="131" t="s">
        <v>22</v>
      </c>
      <c r="H13" s="131"/>
      <c r="I13" s="124"/>
      <c r="J13" s="134"/>
    </row>
    <row r="14" ht="36" customHeight="1" spans="1:10">
      <c r="A14" s="122"/>
      <c r="B14" s="123">
        <v>11</v>
      </c>
      <c r="C14" s="124" t="s">
        <v>11</v>
      </c>
      <c r="D14" s="125" t="s">
        <v>34</v>
      </c>
      <c r="E14" s="130">
        <v>41934</v>
      </c>
      <c r="F14" s="131" t="s">
        <v>28</v>
      </c>
      <c r="G14" s="131" t="s">
        <v>22</v>
      </c>
      <c r="H14" s="131"/>
      <c r="I14" s="124"/>
      <c r="J14" s="134"/>
    </row>
    <row r="15" ht="48" customHeight="1" spans="1:10">
      <c r="A15" s="122"/>
      <c r="B15" s="123">
        <v>12</v>
      </c>
      <c r="C15" s="124" t="s">
        <v>26</v>
      </c>
      <c r="D15" s="125" t="s">
        <v>35</v>
      </c>
      <c r="E15" s="130">
        <v>41934</v>
      </c>
      <c r="F15" s="131" t="s">
        <v>28</v>
      </c>
      <c r="G15" s="131" t="s">
        <v>22</v>
      </c>
      <c r="H15" s="131"/>
      <c r="I15" s="124"/>
      <c r="J15" s="134"/>
    </row>
    <row r="16" spans="1:10">
      <c r="A16" s="122"/>
      <c r="B16" s="123"/>
      <c r="C16" s="124"/>
      <c r="D16" s="125"/>
      <c r="E16" s="131"/>
      <c r="F16" s="131"/>
      <c r="G16" s="131"/>
      <c r="H16" s="131"/>
      <c r="I16" s="124"/>
      <c r="J16" s="134"/>
    </row>
    <row r="17" ht="15" customHeight="1" spans="1:10">
      <c r="A17" s="122"/>
      <c r="B17" s="126"/>
      <c r="C17" s="127"/>
      <c r="D17" s="127"/>
      <c r="E17" s="132"/>
      <c r="F17" s="132"/>
      <c r="G17" s="132"/>
      <c r="H17" s="132"/>
      <c r="I17" s="127"/>
      <c r="J17" s="135"/>
    </row>
  </sheetData>
  <sheetProtection password="B8FF" sheet="1" objects="1" scenarios="1"/>
  <dataValidations count="1">
    <dataValidation type="list" allowBlank="1" showInputMessage="1" showErrorMessage="1" sqref="G4:G17">
      <formula1>"未解决,解决中,已解决"</formula1>
    </dataValidation>
  </dataValidations>
  <pageMargins left="0.698611111111111" right="0.698611111111111"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6"/>
  <sheetViews>
    <sheetView zoomScale="130" zoomScaleNormal="130" workbookViewId="0">
      <pane ySplit="1" topLeftCell="A5" activePane="bottomLeft" state="frozen"/>
      <selection/>
      <selection pane="bottomLeft" activeCell="K1" sqref="K$1:R$1048576"/>
    </sheetView>
  </sheetViews>
  <sheetFormatPr defaultColWidth="9.14285714285714" defaultRowHeight="13.6"/>
  <cols>
    <col min="1" max="1" width="24.5714285714286" style="109" customWidth="1"/>
    <col min="2" max="2" width="57.3392857142857" style="109" customWidth="1"/>
    <col min="3" max="3" width="29.2857142857143" style="109" customWidth="1"/>
    <col min="4" max="4" width="31.9642857142857" style="109" customWidth="1"/>
    <col min="5" max="5" width="102" hidden="1" customWidth="1"/>
    <col min="6" max="6" width="48.6517857142857" hidden="1" customWidth="1"/>
    <col min="7" max="7" width="80" hidden="1" customWidth="1"/>
    <col min="8" max="14" width="15.2857142857143" hidden="1" customWidth="1"/>
    <col min="15" max="15" width="9.14285714285714" hidden="1" customWidth="1"/>
    <col min="16" max="16" width="22.0892857142857" hidden="1" customWidth="1"/>
    <col min="17" max="18" width="9.14285714285714" hidden="1" customWidth="1"/>
  </cols>
  <sheetData>
    <row r="1" ht="13" customHeight="1" spans="1:18">
      <c r="A1" s="51" t="s">
        <v>36</v>
      </c>
      <c r="B1" t="s">
        <v>36</v>
      </c>
      <c r="C1" t="s">
        <v>36</v>
      </c>
      <c r="D1" t="s">
        <v>36</v>
      </c>
      <c r="E1" t="str">
        <f t="shared" ref="E1:E12" si="0">CLEAN(A1)&amp;"|"&amp;CLEAN(B1)&amp;"|"&amp;CLEAN(C1)&amp;"|"&amp;CLEAN(D1)</f>
        <v>系统四级分类|系统四级分类|系统四级分类|系统四级分类</v>
      </c>
      <c r="F1" t="str">
        <f>CLEAN(B1)&amp;"|"&amp;CLEAN(C1)&amp;"|"&amp;CLEAN(D1)</f>
        <v>系统四级分类|系统四级分类|系统四级分类</v>
      </c>
      <c r="G1" t="str">
        <f>CLEAN(C1)&amp;"|"&amp;CLEAN(D1)</f>
        <v>系统四级分类|系统四级分类</v>
      </c>
      <c r="H1" t="s">
        <v>37</v>
      </c>
      <c r="I1" t="s">
        <v>38</v>
      </c>
      <c r="J1" t="s">
        <v>39</v>
      </c>
      <c r="K1" t="s">
        <v>40</v>
      </c>
      <c r="L1" t="s">
        <v>41</v>
      </c>
      <c r="M1" t="s">
        <v>42</v>
      </c>
      <c r="N1" t="s">
        <v>43</v>
      </c>
      <c r="O1" s="51" t="s">
        <v>36</v>
      </c>
      <c r="P1" t="s">
        <v>36</v>
      </c>
      <c r="Q1" t="s">
        <v>36</v>
      </c>
      <c r="R1" t="s">
        <v>36</v>
      </c>
    </row>
    <row r="2" ht="14" spans="1:18">
      <c r="A2" s="52" t="s">
        <v>44</v>
      </c>
      <c r="B2" s="52" t="s">
        <v>45</v>
      </c>
      <c r="C2" s="52" t="s">
        <v>46</v>
      </c>
      <c r="D2" s="52" t="s">
        <v>47</v>
      </c>
      <c r="E2" t="str">
        <f t="shared" si="0"/>
        <v>一级分类|二级分类|三级分类|四级分类</v>
      </c>
      <c r="F2" t="str">
        <f t="shared" ref="F2:F33" si="1">CLEAN(B2)&amp;"|"&amp;CLEAN(C2)&amp;"|"&amp;CLEAN(D2)</f>
        <v>二级分类|三级分类|四级分类</v>
      </c>
      <c r="G2" t="str">
        <f t="shared" ref="G2:G33" si="2">CLEAN(C2)&amp;"|"&amp;CLEAN(D2)</f>
        <v>三级分类|四级分类</v>
      </c>
      <c r="H2" t="str">
        <f>IF(ISERROR(VLOOKUP(E2,新系统!E:E,1,0)),"原型有新系统没有","")</f>
        <v>原型有新系统没有</v>
      </c>
      <c r="I2" t="str">
        <f>IF(ISERROR(VLOOKUP(F2,新系统!F:F,1,0)),"原型有新系统没有","")</f>
        <v>原型有新系统没有</v>
      </c>
      <c r="J2" t="str">
        <f>IF(ISERROR(VLOOKUP(G2,新系统!G:G,1,0)),"原型有新系统没有","")</f>
        <v>原型有新系统没有</v>
      </c>
      <c r="K2" t="str">
        <f>IF(ISERROR(VLOOKUP(O2,新系统!O:O,1,0)),"原型有新系统没有","")</f>
        <v>原型有新系统没有</v>
      </c>
      <c r="L2" t="str">
        <f>IF(ISERROR(VLOOKUP(P2,新系统!P:P,1,0)),"原型有新系统没有","")</f>
        <v>原型有新系统没有</v>
      </c>
      <c r="M2" t="str">
        <f>IF(ISERROR(VLOOKUP(Q2,新系统!Q:Q,1,0)),"原型有新系统没有","")</f>
        <v>原型有新系统没有</v>
      </c>
      <c r="N2" t="str">
        <f>IF(ISERROR(VLOOKUP(R2,新系统!R:R,1,0)),"原型有新系统没有","")</f>
        <v>原型有新系统没有</v>
      </c>
      <c r="O2" s="52" t="s">
        <v>44</v>
      </c>
      <c r="P2" s="52" t="s">
        <v>45</v>
      </c>
      <c r="Q2" s="52" t="s">
        <v>46</v>
      </c>
      <c r="R2" s="52" t="s">
        <v>47</v>
      </c>
    </row>
    <row r="3" ht="28" spans="1:18">
      <c r="A3" s="53" t="s">
        <v>48</v>
      </c>
      <c r="B3" s="54" t="s">
        <v>49</v>
      </c>
      <c r="C3" s="55" t="s">
        <v>50</v>
      </c>
      <c r="D3" s="56" t="s">
        <v>51</v>
      </c>
      <c r="E3" t="str">
        <f t="shared" si="0"/>
        <v>金融质押品|现金及其等价物|存单或存款|我行存单</v>
      </c>
      <c r="F3" t="str">
        <f t="shared" si="1"/>
        <v>现金及其等价物|存单或存款|我行存单</v>
      </c>
      <c r="G3" t="str">
        <f t="shared" si="2"/>
        <v>存单或存款|我行存单</v>
      </c>
      <c r="H3" t="str">
        <f>IF(ISERROR(VLOOKUP(E3,新系统!E:E,1,0)),"原型有新系统没有","")</f>
        <v/>
      </c>
      <c r="I3" t="str">
        <f>IF(ISERROR(VLOOKUP(F3,新系统!F:F,1,0)),"原型有新系统没有","")</f>
        <v/>
      </c>
      <c r="J3" t="str">
        <f>IF(ISERROR(VLOOKUP(G3,新系统!G:G,1,0)),"原型有新系统没有","")</f>
        <v/>
      </c>
      <c r="K3" t="str">
        <f>IF(ISERROR(VLOOKUP(O3,新系统!O:O,1,0)),"原型有新系统没有","")</f>
        <v/>
      </c>
      <c r="L3" t="str">
        <f>IF(ISERROR(VLOOKUP(P3,新系统!P:P,1,0)),"原型有新系统没有","")</f>
        <v/>
      </c>
      <c r="M3" t="str">
        <f>IF(ISERROR(VLOOKUP(Q3,新系统!Q:Q,1,0)),"原型有新系统没有","")</f>
        <v/>
      </c>
      <c r="N3" t="str">
        <f>IF(ISERROR(VLOOKUP(R3,新系统!R:R,1,0)),"原型有新系统没有","")</f>
        <v/>
      </c>
      <c r="O3" s="53" t="s">
        <v>48</v>
      </c>
      <c r="P3" s="54" t="s">
        <v>49</v>
      </c>
      <c r="Q3" s="55" t="s">
        <v>50</v>
      </c>
      <c r="R3" s="56" t="s">
        <v>51</v>
      </c>
    </row>
    <row r="4" ht="14" spans="1:18">
      <c r="A4" t="s">
        <v>48</v>
      </c>
      <c r="B4" t="s">
        <v>49</v>
      </c>
      <c r="C4" t="s">
        <v>50</v>
      </c>
      <c r="D4" s="56" t="s">
        <v>52</v>
      </c>
      <c r="E4" t="str">
        <f t="shared" si="0"/>
        <v>金融质押品|现金及其等价物|存单或存款|他行存单</v>
      </c>
      <c r="F4" t="str">
        <f t="shared" si="1"/>
        <v>现金及其等价物|存单或存款|他行存单</v>
      </c>
      <c r="G4" t="str">
        <f t="shared" si="2"/>
        <v>存单或存款|他行存单</v>
      </c>
      <c r="H4" t="str">
        <f>IF(ISERROR(VLOOKUP(E4,新系统!E:E,1,0)),"原型有新系统没有","")</f>
        <v/>
      </c>
      <c r="I4" t="str">
        <f>IF(ISERROR(VLOOKUP(F4,新系统!F:F,1,0)),"原型有新系统没有","")</f>
        <v/>
      </c>
      <c r="J4" t="str">
        <f>IF(ISERROR(VLOOKUP(G4,新系统!G:G,1,0)),"原型有新系统没有","")</f>
        <v/>
      </c>
      <c r="K4" t="str">
        <f>IF(ISERROR(VLOOKUP(O4,新系统!O:O,1,0)),"原型有新系统没有","")</f>
        <v/>
      </c>
      <c r="L4" t="str">
        <f>IF(ISERROR(VLOOKUP(P4,新系统!P:P,1,0)),"原型有新系统没有","")</f>
        <v/>
      </c>
      <c r="M4" t="str">
        <f>IF(ISERROR(VLOOKUP(Q4,新系统!Q:Q,1,0)),"原型有新系统没有","")</f>
        <v/>
      </c>
      <c r="N4" t="str">
        <f>IF(ISERROR(VLOOKUP(R4,新系统!R:R,1,0)),"原型有新系统没有","")</f>
        <v/>
      </c>
      <c r="O4" t="s">
        <v>48</v>
      </c>
      <c r="P4" t="s">
        <v>49</v>
      </c>
      <c r="Q4" t="s">
        <v>50</v>
      </c>
      <c r="R4" s="56" t="s">
        <v>52</v>
      </c>
    </row>
    <row r="5" ht="14" spans="1:18">
      <c r="A5" t="s">
        <v>48</v>
      </c>
      <c r="B5" t="s">
        <v>49</v>
      </c>
      <c r="C5" s="54" t="s">
        <v>53</v>
      </c>
      <c r="D5" s="56" t="s">
        <v>53</v>
      </c>
      <c r="E5" t="str">
        <f t="shared" si="0"/>
        <v>金融质押品|现金及其等价物|保证金|保证金</v>
      </c>
      <c r="F5" t="str">
        <f t="shared" si="1"/>
        <v>现金及其等价物|保证金|保证金</v>
      </c>
      <c r="G5" t="str">
        <f t="shared" si="2"/>
        <v>保证金|保证金</v>
      </c>
      <c r="H5" t="str">
        <f>IF(ISERROR(VLOOKUP(E5,新系统!E:E,1,0)),"原型有新系统没有","")</f>
        <v/>
      </c>
      <c r="I5" t="str">
        <f>IF(ISERROR(VLOOKUP(F5,新系统!F:F,1,0)),"原型有新系统没有","")</f>
        <v/>
      </c>
      <c r="J5" t="str">
        <f>IF(ISERROR(VLOOKUP(G5,新系统!G:G,1,0)),"原型有新系统没有","")</f>
        <v/>
      </c>
      <c r="K5" t="str">
        <f>IF(ISERROR(VLOOKUP(O5,新系统!O:O,1,0)),"原型有新系统没有","")</f>
        <v/>
      </c>
      <c r="L5" t="str">
        <f>IF(ISERROR(VLOOKUP(P5,新系统!P:P,1,0)),"原型有新系统没有","")</f>
        <v/>
      </c>
      <c r="M5" t="str">
        <f>IF(ISERROR(VLOOKUP(Q5,新系统!Q:Q,1,0)),"原型有新系统没有","")</f>
        <v/>
      </c>
      <c r="N5" t="str">
        <f>IF(ISERROR(VLOOKUP(R5,新系统!R:R,1,0)),"原型有新系统没有","")</f>
        <v/>
      </c>
      <c r="O5" t="s">
        <v>48</v>
      </c>
      <c r="P5" t="s">
        <v>49</v>
      </c>
      <c r="Q5" s="54" t="s">
        <v>53</v>
      </c>
      <c r="R5" s="56" t="s">
        <v>53</v>
      </c>
    </row>
    <row r="6" ht="28" spans="1:18">
      <c r="A6" t="s">
        <v>48</v>
      </c>
      <c r="B6" s="57" t="s">
        <v>54</v>
      </c>
      <c r="C6" s="58" t="s">
        <v>55</v>
      </c>
      <c r="D6" s="59" t="s">
        <v>55</v>
      </c>
      <c r="E6" t="str">
        <f t="shared" si="0"/>
        <v>金融质押品|贵金属|我行出售的贵金属|我行出售的贵金属</v>
      </c>
      <c r="F6" t="str">
        <f t="shared" si="1"/>
        <v>贵金属|我行出售的贵金属|我行出售的贵金属</v>
      </c>
      <c r="G6" t="str">
        <f t="shared" si="2"/>
        <v>我行出售的贵金属|我行出售的贵金属</v>
      </c>
      <c r="H6" t="str">
        <f>IF(ISERROR(VLOOKUP(E6,新系统!E:E,1,0)),"原型有新系统没有","")</f>
        <v/>
      </c>
      <c r="I6" t="str">
        <f>IF(ISERROR(VLOOKUP(F6,新系统!F:F,1,0)),"原型有新系统没有","")</f>
        <v/>
      </c>
      <c r="J6" t="str">
        <f>IF(ISERROR(VLOOKUP(G6,新系统!G:G,1,0)),"原型有新系统没有","")</f>
        <v/>
      </c>
      <c r="K6" t="str">
        <f>IF(ISERROR(VLOOKUP(O6,新系统!O:O,1,0)),"原型有新系统没有","")</f>
        <v/>
      </c>
      <c r="L6" t="str">
        <f>IF(ISERROR(VLOOKUP(P6,新系统!P:P,1,0)),"原型有新系统没有","")</f>
        <v/>
      </c>
      <c r="M6" t="str">
        <f>IF(ISERROR(VLOOKUP(Q6,新系统!Q:Q,1,0)),"原型有新系统没有","")</f>
        <v/>
      </c>
      <c r="N6" t="str">
        <f>IF(ISERROR(VLOOKUP(R6,新系统!R:R,1,0)),"原型有新系统没有","")</f>
        <v/>
      </c>
      <c r="O6" t="s">
        <v>48</v>
      </c>
      <c r="P6" s="57" t="s">
        <v>54</v>
      </c>
      <c r="Q6" s="58" t="s">
        <v>55</v>
      </c>
      <c r="R6" s="59" t="s">
        <v>55</v>
      </c>
    </row>
    <row r="7" ht="28" spans="1:18">
      <c r="A7" t="s">
        <v>48</v>
      </c>
      <c r="B7" t="s">
        <v>54</v>
      </c>
      <c r="C7" s="57" t="s">
        <v>56</v>
      </c>
      <c r="D7" s="60" t="s">
        <v>57</v>
      </c>
      <c r="E7" t="str">
        <f t="shared" si="0"/>
        <v>金融质押品|贵金属|金交所托管的贵金属|黄金</v>
      </c>
      <c r="F7" t="str">
        <f t="shared" si="1"/>
        <v>贵金属|金交所托管的贵金属|黄金</v>
      </c>
      <c r="G7" t="str">
        <f t="shared" si="2"/>
        <v>金交所托管的贵金属|黄金</v>
      </c>
      <c r="H7" t="str">
        <f>IF(ISERROR(VLOOKUP(E7,新系统!E:E,1,0)),"原型有新系统没有","")</f>
        <v/>
      </c>
      <c r="I7" t="str">
        <f>IF(ISERROR(VLOOKUP(F7,新系统!F:F,1,0)),"原型有新系统没有","")</f>
        <v/>
      </c>
      <c r="J7" t="str">
        <f>IF(ISERROR(VLOOKUP(G7,新系统!G:G,1,0)),"原型有新系统没有","")</f>
        <v/>
      </c>
      <c r="K7" t="str">
        <f>IF(ISERROR(VLOOKUP(O7,新系统!O:O,1,0)),"原型有新系统没有","")</f>
        <v/>
      </c>
      <c r="L7" t="str">
        <f>IF(ISERROR(VLOOKUP(P7,新系统!P:P,1,0)),"原型有新系统没有","")</f>
        <v/>
      </c>
      <c r="M7" t="str">
        <f>IF(ISERROR(VLOOKUP(Q7,新系统!Q:Q,1,0)),"原型有新系统没有","")</f>
        <v/>
      </c>
      <c r="N7" t="str">
        <f>IF(ISERROR(VLOOKUP(R7,新系统!R:R,1,0)),"原型有新系统没有","")</f>
        <v/>
      </c>
      <c r="O7" t="s">
        <v>48</v>
      </c>
      <c r="P7" t="s">
        <v>54</v>
      </c>
      <c r="Q7" s="57" t="s">
        <v>56</v>
      </c>
      <c r="R7" s="60" t="s">
        <v>57</v>
      </c>
    </row>
    <row r="8" ht="24" customHeight="1" spans="1:18">
      <c r="A8" t="s">
        <v>48</v>
      </c>
      <c r="B8" t="s">
        <v>54</v>
      </c>
      <c r="C8" t="s">
        <v>56</v>
      </c>
      <c r="D8" s="60" t="s">
        <v>58</v>
      </c>
      <c r="E8" t="str">
        <f t="shared" si="0"/>
        <v>金融质押品|贵金属|金交所托管的贵金属|标准银、铂金等其他贵金属</v>
      </c>
      <c r="F8" t="str">
        <f t="shared" si="1"/>
        <v>贵金属|金交所托管的贵金属|标准银、铂金等其他贵金属</v>
      </c>
      <c r="G8" t="str">
        <f t="shared" si="2"/>
        <v>金交所托管的贵金属|标准银、铂金等其他贵金属</v>
      </c>
      <c r="H8" t="str">
        <f>IF(ISERROR(VLOOKUP(E8,新系统!E:E,1,0)),"原型有新系统没有","")</f>
        <v/>
      </c>
      <c r="I8" t="str">
        <f>IF(ISERROR(VLOOKUP(F8,新系统!F:F,1,0)),"原型有新系统没有","")</f>
        <v/>
      </c>
      <c r="J8" t="str">
        <f>IF(ISERROR(VLOOKUP(G8,新系统!G:G,1,0)),"原型有新系统没有","")</f>
        <v/>
      </c>
      <c r="K8" t="str">
        <f>IF(ISERROR(VLOOKUP(O8,新系统!O:O,1,0)),"原型有新系统没有","")</f>
        <v/>
      </c>
      <c r="L8" t="str">
        <f>IF(ISERROR(VLOOKUP(P8,新系统!P:P,1,0)),"原型有新系统没有","")</f>
        <v/>
      </c>
      <c r="M8" t="str">
        <f>IF(ISERROR(VLOOKUP(Q8,新系统!Q:Q,1,0)),"原型有新系统没有","")</f>
        <v/>
      </c>
      <c r="N8" t="str">
        <f>IF(ISERROR(VLOOKUP(R8,新系统!R:R,1,0)),"原型有新系统没有","")</f>
        <v/>
      </c>
      <c r="O8" t="s">
        <v>48</v>
      </c>
      <c r="P8" t="s">
        <v>54</v>
      </c>
      <c r="Q8" t="s">
        <v>56</v>
      </c>
      <c r="R8" s="60" t="s">
        <v>59</v>
      </c>
    </row>
    <row r="9" ht="14" spans="1:18">
      <c r="A9" t="s">
        <v>48</v>
      </c>
      <c r="B9" s="58" t="s">
        <v>60</v>
      </c>
      <c r="C9" s="58" t="s">
        <v>60</v>
      </c>
      <c r="D9" s="59" t="s">
        <v>60</v>
      </c>
      <c r="E9" t="str">
        <f t="shared" si="0"/>
        <v>金融质押品|同业存单|同业存单|同业存单</v>
      </c>
      <c r="F9" t="str">
        <f t="shared" si="1"/>
        <v>同业存单|同业存单|同业存单</v>
      </c>
      <c r="G9" t="str">
        <f t="shared" si="2"/>
        <v>同业存单|同业存单</v>
      </c>
      <c r="H9" t="str">
        <f>IF(ISERROR(VLOOKUP(E9,新系统!E:E,1,0)),"原型有新系统没有","")</f>
        <v/>
      </c>
      <c r="I9" t="str">
        <f>IF(ISERROR(VLOOKUP(F9,新系统!F:F,1,0)),"原型有新系统没有","")</f>
        <v/>
      </c>
      <c r="J9" t="str">
        <f>IF(ISERROR(VLOOKUP(G9,新系统!G:G,1,0)),"原型有新系统没有","")</f>
        <v/>
      </c>
      <c r="K9" t="str">
        <f>IF(ISERROR(VLOOKUP(O9,新系统!O:O,1,0)),"原型有新系统没有","")</f>
        <v/>
      </c>
      <c r="L9" t="str">
        <f>IF(ISERROR(VLOOKUP(P9,新系统!P:P,1,0)),"原型有新系统没有","")</f>
        <v/>
      </c>
      <c r="M9" t="str">
        <f>IF(ISERROR(VLOOKUP(Q9,新系统!Q:Q,1,0)),"原型有新系统没有","")</f>
        <v/>
      </c>
      <c r="N9" t="str">
        <f>IF(ISERROR(VLOOKUP(R9,新系统!R:R,1,0)),"原型有新系统没有","")</f>
        <v/>
      </c>
      <c r="O9" t="s">
        <v>48</v>
      </c>
      <c r="P9" s="58" t="s">
        <v>60</v>
      </c>
      <c r="Q9" s="58" t="s">
        <v>60</v>
      </c>
      <c r="R9" s="59" t="s">
        <v>60</v>
      </c>
    </row>
    <row r="10" ht="14" spans="1:18">
      <c r="A10" t="s">
        <v>48</v>
      </c>
      <c r="B10" s="57" t="s">
        <v>61</v>
      </c>
      <c r="C10" s="57" t="s">
        <v>62</v>
      </c>
      <c r="D10" s="60" t="s">
        <v>63</v>
      </c>
      <c r="E10" t="str">
        <f t="shared" si="0"/>
        <v>金融质押品|债券|国债|储蓄国债</v>
      </c>
      <c r="F10" t="str">
        <f t="shared" si="1"/>
        <v>债券|国债|储蓄国债</v>
      </c>
      <c r="G10" t="str">
        <f t="shared" si="2"/>
        <v>国债|储蓄国债</v>
      </c>
      <c r="H10" t="str">
        <f>IF(ISERROR(VLOOKUP(E10,新系统!E:E,1,0)),"原型有新系统没有","")</f>
        <v/>
      </c>
      <c r="I10" t="str">
        <f>IF(ISERROR(VLOOKUP(F10,新系统!F:F,1,0)),"原型有新系统没有","")</f>
        <v/>
      </c>
      <c r="J10" t="str">
        <f>IF(ISERROR(VLOOKUP(G10,新系统!G:G,1,0)),"原型有新系统没有","")</f>
        <v/>
      </c>
      <c r="K10" t="str">
        <f>IF(ISERROR(VLOOKUP(O10,新系统!O:O,1,0)),"原型有新系统没有","")</f>
        <v/>
      </c>
      <c r="L10" t="str">
        <f>IF(ISERROR(VLOOKUP(P10,新系统!P:P,1,0)),"原型有新系统没有","")</f>
        <v/>
      </c>
      <c r="M10" t="str">
        <f>IF(ISERROR(VLOOKUP(Q10,新系统!Q:Q,1,0)),"原型有新系统没有","")</f>
        <v/>
      </c>
      <c r="N10" t="str">
        <f>IF(ISERROR(VLOOKUP(R10,新系统!R:R,1,0)),"原型有新系统没有","")</f>
        <v/>
      </c>
      <c r="O10" t="s">
        <v>48</v>
      </c>
      <c r="P10" s="57" t="s">
        <v>61</v>
      </c>
      <c r="Q10" s="57" t="s">
        <v>62</v>
      </c>
      <c r="R10" s="60" t="s">
        <v>63</v>
      </c>
    </row>
    <row r="11" ht="14" spans="1:18">
      <c r="A11" t="s">
        <v>48</v>
      </c>
      <c r="B11" t="s">
        <v>61</v>
      </c>
      <c r="C11" t="s">
        <v>62</v>
      </c>
      <c r="D11" s="60" t="s">
        <v>64</v>
      </c>
      <c r="E11" t="str">
        <f t="shared" si="0"/>
        <v>金融质押品|债券|国债|凭证国债</v>
      </c>
      <c r="F11" t="str">
        <f t="shared" si="1"/>
        <v>债券|国债|凭证国债</v>
      </c>
      <c r="G11" t="str">
        <f t="shared" si="2"/>
        <v>国债|凭证国债</v>
      </c>
      <c r="H11" t="str">
        <f>IF(ISERROR(VLOOKUP(E11,新系统!E:E,1,0)),"原型有新系统没有","")</f>
        <v/>
      </c>
      <c r="I11" t="str">
        <f>IF(ISERROR(VLOOKUP(F11,新系统!F:F,1,0)),"原型有新系统没有","")</f>
        <v/>
      </c>
      <c r="J11" t="str">
        <f>IF(ISERROR(VLOOKUP(G11,新系统!G:G,1,0)),"原型有新系统没有","")</f>
        <v/>
      </c>
      <c r="K11" t="str">
        <f>IF(ISERROR(VLOOKUP(O11,新系统!O:O,1,0)),"原型有新系统没有","")</f>
        <v/>
      </c>
      <c r="L11" t="str">
        <f>IF(ISERROR(VLOOKUP(P11,新系统!P:P,1,0)),"原型有新系统没有","")</f>
        <v/>
      </c>
      <c r="M11" t="str">
        <f>IF(ISERROR(VLOOKUP(Q11,新系统!Q:Q,1,0)),"原型有新系统没有","")</f>
        <v/>
      </c>
      <c r="N11" t="str">
        <f>IF(ISERROR(VLOOKUP(R11,新系统!R:R,1,0)),"原型有新系统没有","")</f>
        <v/>
      </c>
      <c r="O11" t="s">
        <v>48</v>
      </c>
      <c r="P11" t="s">
        <v>61</v>
      </c>
      <c r="Q11" t="s">
        <v>62</v>
      </c>
      <c r="R11" s="60" t="s">
        <v>64</v>
      </c>
    </row>
    <row r="12" ht="14" spans="1:18">
      <c r="A12" t="s">
        <v>48</v>
      </c>
      <c r="B12" t="s">
        <v>61</v>
      </c>
      <c r="C12" t="s">
        <v>62</v>
      </c>
      <c r="D12" s="60" t="s">
        <v>65</v>
      </c>
      <c r="E12" t="str">
        <f t="shared" si="0"/>
        <v>金融质押品|债券|国债|记账式国债</v>
      </c>
      <c r="F12" t="str">
        <f t="shared" si="1"/>
        <v>债券|国债|记账式国债</v>
      </c>
      <c r="G12" t="str">
        <f t="shared" si="2"/>
        <v>国债|记账式国债</v>
      </c>
      <c r="H12" t="str">
        <f>IF(ISERROR(VLOOKUP(E12,新系统!E:E,1,0)),"原型有新系统没有","")</f>
        <v/>
      </c>
      <c r="I12" t="str">
        <f>IF(ISERROR(VLOOKUP(F12,新系统!F:F,1,0)),"原型有新系统没有","")</f>
        <v/>
      </c>
      <c r="J12" t="str">
        <f>IF(ISERROR(VLOOKUP(G12,新系统!G:G,1,0)),"原型有新系统没有","")</f>
        <v/>
      </c>
      <c r="K12" t="str">
        <f>IF(ISERROR(VLOOKUP(O12,新系统!O:O,1,0)),"原型有新系统没有","")</f>
        <v/>
      </c>
      <c r="L12" t="str">
        <f>IF(ISERROR(VLOOKUP(P12,新系统!P:P,1,0)),"原型有新系统没有","")</f>
        <v/>
      </c>
      <c r="M12" t="str">
        <f>IF(ISERROR(VLOOKUP(Q12,新系统!Q:Q,1,0)),"原型有新系统没有","")</f>
        <v/>
      </c>
      <c r="N12" t="str">
        <f>IF(ISERROR(VLOOKUP(R12,新系统!R:R,1,0)),"原型有新系统没有","")</f>
        <v/>
      </c>
      <c r="O12" t="s">
        <v>48</v>
      </c>
      <c r="P12" t="s">
        <v>61</v>
      </c>
      <c r="Q12" t="s">
        <v>62</v>
      </c>
      <c r="R12" s="60" t="s">
        <v>65</v>
      </c>
    </row>
    <row r="13" ht="28" spans="1:18">
      <c r="A13" t="s">
        <v>48</v>
      </c>
      <c r="B13" t="s">
        <v>61</v>
      </c>
      <c r="C13" s="61" t="s">
        <v>66</v>
      </c>
      <c r="D13" s="60" t="s">
        <v>67</v>
      </c>
      <c r="E13" t="str">
        <f t="shared" ref="E13:E28" si="3">CLEAN(A13)&amp;"|"&amp;CLEAN(B13)&amp;"|"&amp;CLEAN(C13)&amp;"|"&amp;CLEAN(D13)</f>
        <v>金融质押品|债券|地方政府债券|境内地方债</v>
      </c>
      <c r="F13" t="str">
        <f t="shared" si="1"/>
        <v>债券|地方政府债券|境内地方债</v>
      </c>
      <c r="G13" t="str">
        <f t="shared" si="2"/>
        <v>地方政府债券|境内地方债</v>
      </c>
      <c r="H13" t="str">
        <f>IF(ISERROR(VLOOKUP(E13,新系统!E:E,1,0)),"原型有新系统没有","")</f>
        <v/>
      </c>
      <c r="I13" t="str">
        <f>IF(ISERROR(VLOOKUP(F13,新系统!F:F,1,0)),"原型有新系统没有","")</f>
        <v/>
      </c>
      <c r="J13" t="str">
        <f>IF(ISERROR(VLOOKUP(G13,新系统!G:G,1,0)),"原型有新系统没有","")</f>
        <v/>
      </c>
      <c r="K13" t="str">
        <f>IF(ISERROR(VLOOKUP(O13,新系统!O:O,1,0)),"原型有新系统没有","")</f>
        <v/>
      </c>
      <c r="L13" t="str">
        <f>IF(ISERROR(VLOOKUP(P13,新系统!P:P,1,0)),"原型有新系统没有","")</f>
        <v/>
      </c>
      <c r="M13" t="str">
        <f>IF(ISERROR(VLOOKUP(Q13,新系统!Q:Q,1,0)),"原型有新系统没有","")</f>
        <v/>
      </c>
      <c r="N13" t="str">
        <f>IF(ISERROR(VLOOKUP(R13,新系统!R:R,1,0)),"原型有新系统没有","")</f>
        <v/>
      </c>
      <c r="O13" t="s">
        <v>48</v>
      </c>
      <c r="P13" t="s">
        <v>61</v>
      </c>
      <c r="Q13" s="61" t="s">
        <v>66</v>
      </c>
      <c r="R13" s="60" t="s">
        <v>67</v>
      </c>
    </row>
    <row r="14" ht="14" spans="1:18">
      <c r="A14" t="s">
        <v>48</v>
      </c>
      <c r="B14" t="s">
        <v>61</v>
      </c>
      <c r="C14" s="61" t="s">
        <v>68</v>
      </c>
      <c r="D14" s="60" t="s">
        <v>69</v>
      </c>
      <c r="E14" t="str">
        <f t="shared" si="3"/>
        <v>金融质押品|债券|央票|央行票据</v>
      </c>
      <c r="F14" t="str">
        <f t="shared" si="1"/>
        <v>债券|央票|央行票据</v>
      </c>
      <c r="G14" t="str">
        <f t="shared" si="2"/>
        <v>央票|央行票据</v>
      </c>
      <c r="H14" t="str">
        <f>IF(ISERROR(VLOOKUP(E14,新系统!E:E,1,0)),"原型有新系统没有","")</f>
        <v/>
      </c>
      <c r="I14" t="str">
        <f>IF(ISERROR(VLOOKUP(F14,新系统!F:F,1,0)),"原型有新系统没有","")</f>
        <v/>
      </c>
      <c r="J14" t="str">
        <f>IF(ISERROR(VLOOKUP(G14,新系统!G:G,1,0)),"原型有新系统没有","")</f>
        <v/>
      </c>
      <c r="K14" t="str">
        <f>IF(ISERROR(VLOOKUP(O14,新系统!O:O,1,0)),"原型有新系统没有","")</f>
        <v/>
      </c>
      <c r="L14" t="str">
        <f>IF(ISERROR(VLOOKUP(P14,新系统!P:P,1,0)),"原型有新系统没有","")</f>
        <v/>
      </c>
      <c r="M14" t="str">
        <f>IF(ISERROR(VLOOKUP(Q14,新系统!Q:Q,1,0)),"原型有新系统没有","")</f>
        <v/>
      </c>
      <c r="N14" t="str">
        <f>IF(ISERROR(VLOOKUP(R14,新系统!R:R,1,0)),"原型有新系统没有","")</f>
        <v/>
      </c>
      <c r="O14" t="s">
        <v>48</v>
      </c>
      <c r="P14" t="s">
        <v>61</v>
      </c>
      <c r="Q14" s="61" t="s">
        <v>68</v>
      </c>
      <c r="R14" s="60" t="s">
        <v>69</v>
      </c>
    </row>
    <row r="15" ht="28" spans="1:18">
      <c r="A15" t="s">
        <v>48</v>
      </c>
      <c r="B15" t="s">
        <v>61</v>
      </c>
      <c r="C15" s="61" t="s">
        <v>70</v>
      </c>
      <c r="D15" s="60" t="s">
        <v>70</v>
      </c>
      <c r="E15" t="str">
        <f t="shared" si="3"/>
        <v>金融质押品|债券|政策性金融债|政策性金融债</v>
      </c>
      <c r="F15" t="str">
        <f t="shared" si="1"/>
        <v>债券|政策性金融债|政策性金融债</v>
      </c>
      <c r="G15" t="str">
        <f t="shared" si="2"/>
        <v>政策性金融债|政策性金融债</v>
      </c>
      <c r="H15" t="str">
        <f>IF(ISERROR(VLOOKUP(E15,新系统!E:E,1,0)),"原型有新系统没有","")</f>
        <v>原型有新系统没有</v>
      </c>
      <c r="I15" t="str">
        <f>IF(ISERROR(VLOOKUP(F15,新系统!F:F,1,0)),"原型有新系统没有","")</f>
        <v>原型有新系统没有</v>
      </c>
      <c r="J15" t="str">
        <f>IF(ISERROR(VLOOKUP(G15,新系统!G:G,1,0)),"原型有新系统没有","")</f>
        <v>原型有新系统没有</v>
      </c>
      <c r="K15" t="str">
        <f>IF(ISERROR(VLOOKUP(O15,新系统!O:O,1,0)),"原型有新系统没有","")</f>
        <v/>
      </c>
      <c r="L15" t="str">
        <f>IF(ISERROR(VLOOKUP(P15,新系统!P:P,1,0)),"原型有新系统没有","")</f>
        <v/>
      </c>
      <c r="M15" t="str">
        <f>IF(ISERROR(VLOOKUP(Q15,新系统!Q:Q,1,0)),"原型有新系统没有","")</f>
        <v>原型有新系统没有</v>
      </c>
      <c r="N15" t="str">
        <f>IF(ISERROR(VLOOKUP(R15,新系统!R:R,1,0)),"原型有新系统没有","")</f>
        <v/>
      </c>
      <c r="O15" t="s">
        <v>48</v>
      </c>
      <c r="P15" t="s">
        <v>61</v>
      </c>
      <c r="Q15" s="61" t="s">
        <v>70</v>
      </c>
      <c r="R15" s="60" t="s">
        <v>70</v>
      </c>
    </row>
    <row r="16" ht="33.75" customHeight="1" spans="1:18">
      <c r="A16" t="s">
        <v>48</v>
      </c>
      <c r="B16" t="s">
        <v>61</v>
      </c>
      <c r="C16" s="62" t="s">
        <v>71</v>
      </c>
      <c r="D16" s="62" t="s">
        <v>72</v>
      </c>
      <c r="E16" t="str">
        <f t="shared" si="3"/>
        <v>金融质押品|债券|商业性金融债|工、农、中、建、交、邮储六家国有大型银行发行的金融债</v>
      </c>
      <c r="F16" t="str">
        <f t="shared" si="1"/>
        <v>债券|商业性金融债|工、农、中、建、交、邮储六家国有大型银行发行的金融债</v>
      </c>
      <c r="G16" t="str">
        <f t="shared" si="2"/>
        <v>商业性金融债|工、农、中、建、交、邮储六家国有大型银行发行的金融债</v>
      </c>
      <c r="H16" t="str">
        <f>IF(ISERROR(VLOOKUP(E16,新系统!E:E,1,0)),"原型有新系统没有","")</f>
        <v>原型有新系统没有</v>
      </c>
      <c r="I16" t="str">
        <f>IF(ISERROR(VLOOKUP(F16,新系统!F:F,1,0)),"原型有新系统没有","")</f>
        <v>原型有新系统没有</v>
      </c>
      <c r="J16" t="str">
        <f>IF(ISERROR(VLOOKUP(G16,新系统!G:G,1,0)),"原型有新系统没有","")</f>
        <v>原型有新系统没有</v>
      </c>
      <c r="K16" t="str">
        <f>IF(ISERROR(VLOOKUP(O16,新系统!O:O,1,0)),"原型有新系统没有","")</f>
        <v/>
      </c>
      <c r="L16" t="str">
        <f>IF(ISERROR(VLOOKUP(P16,新系统!P:P,1,0)),"原型有新系统没有","")</f>
        <v/>
      </c>
      <c r="M16" t="str">
        <f>IF(ISERROR(VLOOKUP(Q16,新系统!Q:Q,1,0)),"原型有新系统没有","")</f>
        <v>原型有新系统没有</v>
      </c>
      <c r="N16" t="str">
        <f>IF(ISERROR(VLOOKUP(R16,新系统!R:R,1,0)),"原型有新系统没有","")</f>
        <v>原型有新系统没有</v>
      </c>
      <c r="O16" t="s">
        <v>48</v>
      </c>
      <c r="P16" t="s">
        <v>61</v>
      </c>
      <c r="Q16" s="62" t="s">
        <v>71</v>
      </c>
      <c r="R16" s="62" t="s">
        <v>73</v>
      </c>
    </row>
    <row r="17" ht="28" spans="1:18">
      <c r="A17" t="s">
        <v>48</v>
      </c>
      <c r="B17" t="s">
        <v>61</v>
      </c>
      <c r="C17" t="s">
        <v>71</v>
      </c>
      <c r="D17" s="62" t="s">
        <v>74</v>
      </c>
      <c r="E17" t="str">
        <f t="shared" si="3"/>
        <v>金融质押品|债券|商业性金融债|我行发行的金融债</v>
      </c>
      <c r="F17" t="str">
        <f t="shared" si="1"/>
        <v>债券|商业性金融债|我行发行的金融债</v>
      </c>
      <c r="G17" t="str">
        <f t="shared" si="2"/>
        <v>商业性金融债|我行发行的金融债</v>
      </c>
      <c r="H17" t="str">
        <f>IF(ISERROR(VLOOKUP(E17,新系统!E:E,1,0)),"原型有新系统没有","")</f>
        <v>原型有新系统没有</v>
      </c>
      <c r="I17" t="str">
        <f>IF(ISERROR(VLOOKUP(F17,新系统!F:F,1,0)),"原型有新系统没有","")</f>
        <v>原型有新系统没有</v>
      </c>
      <c r="J17" t="str">
        <f>IF(ISERROR(VLOOKUP(G17,新系统!G:G,1,0)),"原型有新系统没有","")</f>
        <v>原型有新系统没有</v>
      </c>
      <c r="K17" t="str">
        <f>IF(ISERROR(VLOOKUP(O17,新系统!O:O,1,0)),"原型有新系统没有","")</f>
        <v/>
      </c>
      <c r="L17" t="str">
        <f>IF(ISERROR(VLOOKUP(P17,新系统!P:P,1,0)),"原型有新系统没有","")</f>
        <v/>
      </c>
      <c r="M17" t="str">
        <f>IF(ISERROR(VLOOKUP(Q17,新系统!Q:Q,1,0)),"原型有新系统没有","")</f>
        <v>原型有新系统没有</v>
      </c>
      <c r="N17" t="str">
        <f>IF(ISERROR(VLOOKUP(R17,新系统!R:R,1,0)),"原型有新系统没有","")</f>
        <v>原型有新系统没有</v>
      </c>
      <c r="O17" t="s">
        <v>48</v>
      </c>
      <c r="P17" t="s">
        <v>61</v>
      </c>
      <c r="Q17" t="s">
        <v>71</v>
      </c>
      <c r="R17" s="62" t="s">
        <v>74</v>
      </c>
    </row>
    <row r="18" ht="45" customHeight="1" spans="1:18">
      <c r="A18" t="s">
        <v>48</v>
      </c>
      <c r="B18" t="s">
        <v>61</v>
      </c>
      <c r="C18" t="s">
        <v>71</v>
      </c>
      <c r="D18" s="62" t="s">
        <v>75</v>
      </c>
      <c r="E18" t="str">
        <f t="shared" si="3"/>
        <v>金融质押品|债券|商业性金融债|其他银行（不含农村合作银行、村镇银行、农村信用合作社等）发行的金融债</v>
      </c>
      <c r="F18" t="str">
        <f t="shared" si="1"/>
        <v>债券|商业性金融债|其他银行（不含农村合作银行、村镇银行、农村信用合作社等）发行的金融债</v>
      </c>
      <c r="G18" t="str">
        <f t="shared" si="2"/>
        <v>商业性金融债|其他银行（不含农村合作银行、村镇银行、农村信用合作社等）发行的金融债</v>
      </c>
      <c r="H18" t="str">
        <f>IF(ISERROR(VLOOKUP(E18,新系统!E:E,1,0)),"原型有新系统没有","")</f>
        <v>原型有新系统没有</v>
      </c>
      <c r="I18" t="str">
        <f>IF(ISERROR(VLOOKUP(F18,新系统!F:F,1,0)),"原型有新系统没有","")</f>
        <v>原型有新系统没有</v>
      </c>
      <c r="J18" t="str">
        <f>IF(ISERROR(VLOOKUP(G18,新系统!G:G,1,0)),"原型有新系统没有","")</f>
        <v>原型有新系统没有</v>
      </c>
      <c r="K18" t="str">
        <f>IF(ISERROR(VLOOKUP(O18,新系统!O:O,1,0)),"原型有新系统没有","")</f>
        <v/>
      </c>
      <c r="L18" t="str">
        <f>IF(ISERROR(VLOOKUP(P18,新系统!P:P,1,0)),"原型有新系统没有","")</f>
        <v/>
      </c>
      <c r="M18" t="str">
        <f>IF(ISERROR(VLOOKUP(Q18,新系统!Q:Q,1,0)),"原型有新系统没有","")</f>
        <v>原型有新系统没有</v>
      </c>
      <c r="N18" t="str">
        <f>IF(ISERROR(VLOOKUP(R18,新系统!R:R,1,0)),"原型有新系统没有","")</f>
        <v>原型有新系统没有</v>
      </c>
      <c r="O18" t="s">
        <v>48</v>
      </c>
      <c r="P18" t="s">
        <v>61</v>
      </c>
      <c r="Q18" t="s">
        <v>71</v>
      </c>
      <c r="R18" s="62" t="s">
        <v>76</v>
      </c>
    </row>
    <row r="19" ht="22.5" customHeight="1" spans="1:18">
      <c r="A19" t="s">
        <v>48</v>
      </c>
      <c r="B19" t="s">
        <v>61</v>
      </c>
      <c r="C19" t="s">
        <v>71</v>
      </c>
      <c r="D19" s="62" t="s">
        <v>77</v>
      </c>
      <c r="E19" t="str">
        <f t="shared" si="3"/>
        <v>金融质押品|债券|商业性金融债|非银行金融机构发行的金融债</v>
      </c>
      <c r="F19" t="str">
        <f t="shared" si="1"/>
        <v>债券|商业性金融债|非银行金融机构发行的金融债</v>
      </c>
      <c r="G19" t="str">
        <f t="shared" si="2"/>
        <v>商业性金融债|非银行金融机构发行的金融债</v>
      </c>
      <c r="H19" t="str">
        <f>IF(ISERROR(VLOOKUP(E19,新系统!E:E,1,0)),"原型有新系统没有","")</f>
        <v>原型有新系统没有</v>
      </c>
      <c r="I19" t="str">
        <f>IF(ISERROR(VLOOKUP(F19,新系统!F:F,1,0)),"原型有新系统没有","")</f>
        <v>原型有新系统没有</v>
      </c>
      <c r="J19" t="str">
        <f>IF(ISERROR(VLOOKUP(G19,新系统!G:G,1,0)),"原型有新系统没有","")</f>
        <v>原型有新系统没有</v>
      </c>
      <c r="K19" t="str">
        <f>IF(ISERROR(VLOOKUP(O19,新系统!O:O,1,0)),"原型有新系统没有","")</f>
        <v/>
      </c>
      <c r="L19" t="str">
        <f>IF(ISERROR(VLOOKUP(P19,新系统!P:P,1,0)),"原型有新系统没有","")</f>
        <v/>
      </c>
      <c r="M19" t="str">
        <f>IF(ISERROR(VLOOKUP(Q19,新系统!Q:Q,1,0)),"原型有新系统没有","")</f>
        <v>原型有新系统没有</v>
      </c>
      <c r="N19" t="str">
        <f>IF(ISERROR(VLOOKUP(R19,新系统!R:R,1,0)),"原型有新系统没有","")</f>
        <v>原型有新系统没有</v>
      </c>
      <c r="O19" t="s">
        <v>48</v>
      </c>
      <c r="P19" t="s">
        <v>61</v>
      </c>
      <c r="Q19" t="s">
        <v>71</v>
      </c>
      <c r="R19" s="62" t="s">
        <v>77</v>
      </c>
    </row>
    <row r="20" ht="28" spans="1:18">
      <c r="A20" t="s">
        <v>48</v>
      </c>
      <c r="B20" t="s">
        <v>61</v>
      </c>
      <c r="C20" s="62" t="s">
        <v>78</v>
      </c>
      <c r="D20" s="62" t="s">
        <v>79</v>
      </c>
      <c r="E20" t="str">
        <f t="shared" si="3"/>
        <v>金融质押品|债券|非金融企业债|企业债</v>
      </c>
      <c r="F20" t="str">
        <f t="shared" si="1"/>
        <v>债券|非金融企业债|企业债</v>
      </c>
      <c r="G20" t="str">
        <f t="shared" si="2"/>
        <v>非金融企业债|企业债</v>
      </c>
      <c r="H20" t="str">
        <f>IF(ISERROR(VLOOKUP(E20,新系统!E:E,1,0)),"原型有新系统没有","")</f>
        <v>原型有新系统没有</v>
      </c>
      <c r="I20" t="str">
        <f>IF(ISERROR(VLOOKUP(F20,新系统!F:F,1,0)),"原型有新系统没有","")</f>
        <v>原型有新系统没有</v>
      </c>
      <c r="J20" t="str">
        <f>IF(ISERROR(VLOOKUP(G20,新系统!G:G,1,0)),"原型有新系统没有","")</f>
        <v>原型有新系统没有</v>
      </c>
      <c r="K20" t="str">
        <f>IF(ISERROR(VLOOKUP(O20,新系统!O:O,1,0)),"原型有新系统没有","")</f>
        <v/>
      </c>
      <c r="L20" t="str">
        <f>IF(ISERROR(VLOOKUP(P20,新系统!P:P,1,0)),"原型有新系统没有","")</f>
        <v/>
      </c>
      <c r="M20" t="str">
        <f>IF(ISERROR(VLOOKUP(Q20,新系统!Q:Q,1,0)),"原型有新系统没有","")</f>
        <v/>
      </c>
      <c r="N20" t="str">
        <f>IF(ISERROR(VLOOKUP(R20,新系统!R:R,1,0)),"原型有新系统没有","")</f>
        <v>原型有新系统没有</v>
      </c>
      <c r="O20" t="s">
        <v>48</v>
      </c>
      <c r="P20" t="s">
        <v>61</v>
      </c>
      <c r="Q20" s="62" t="s">
        <v>78</v>
      </c>
      <c r="R20" s="62" t="s">
        <v>79</v>
      </c>
    </row>
    <row r="21" ht="14" spans="1:18">
      <c r="A21" t="s">
        <v>48</v>
      </c>
      <c r="B21" t="s">
        <v>61</v>
      </c>
      <c r="C21" t="s">
        <v>78</v>
      </c>
      <c r="D21" s="62" t="s">
        <v>80</v>
      </c>
      <c r="E21" t="str">
        <f t="shared" si="3"/>
        <v>金融质押品|债券|非金融企业债|公司债</v>
      </c>
      <c r="F21" t="str">
        <f t="shared" si="1"/>
        <v>债券|非金融企业债|公司债</v>
      </c>
      <c r="G21" t="str">
        <f t="shared" si="2"/>
        <v>非金融企业债|公司债</v>
      </c>
      <c r="H21" t="str">
        <f>IF(ISERROR(VLOOKUP(E21,新系统!E:E,1,0)),"原型有新系统没有","")</f>
        <v>原型有新系统没有</v>
      </c>
      <c r="I21" t="str">
        <f>IF(ISERROR(VLOOKUP(F21,新系统!F:F,1,0)),"原型有新系统没有","")</f>
        <v>原型有新系统没有</v>
      </c>
      <c r="J21" t="str">
        <f>IF(ISERROR(VLOOKUP(G21,新系统!G:G,1,0)),"原型有新系统没有","")</f>
        <v>原型有新系统没有</v>
      </c>
      <c r="K21" t="str">
        <f>IF(ISERROR(VLOOKUP(O21,新系统!O:O,1,0)),"原型有新系统没有","")</f>
        <v/>
      </c>
      <c r="L21" t="str">
        <f>IF(ISERROR(VLOOKUP(P21,新系统!P:P,1,0)),"原型有新系统没有","")</f>
        <v/>
      </c>
      <c r="M21" t="str">
        <f>IF(ISERROR(VLOOKUP(Q21,新系统!Q:Q,1,0)),"原型有新系统没有","")</f>
        <v/>
      </c>
      <c r="N21" t="str">
        <f>IF(ISERROR(VLOOKUP(R21,新系统!R:R,1,0)),"原型有新系统没有","")</f>
        <v>原型有新系统没有</v>
      </c>
      <c r="O21" t="s">
        <v>48</v>
      </c>
      <c r="P21" t="s">
        <v>61</v>
      </c>
      <c r="Q21" t="s">
        <v>78</v>
      </c>
      <c r="R21" s="62" t="s">
        <v>80</v>
      </c>
    </row>
    <row r="22" ht="14" spans="1:18">
      <c r="A22" t="s">
        <v>48</v>
      </c>
      <c r="B22" t="s">
        <v>61</v>
      </c>
      <c r="C22" t="s">
        <v>78</v>
      </c>
      <c r="D22" s="62" t="s">
        <v>81</v>
      </c>
      <c r="E22" t="str">
        <f t="shared" si="3"/>
        <v>金融质押品|债券|非金融企业债|短期融资券</v>
      </c>
      <c r="F22" t="str">
        <f t="shared" si="1"/>
        <v>债券|非金融企业债|短期融资券</v>
      </c>
      <c r="G22" t="str">
        <f t="shared" si="2"/>
        <v>非金融企业债|短期融资券</v>
      </c>
      <c r="H22" t="str">
        <f>IF(ISERROR(VLOOKUP(E22,新系统!E:E,1,0)),"原型有新系统没有","")</f>
        <v/>
      </c>
      <c r="I22" t="str">
        <f>IF(ISERROR(VLOOKUP(F22,新系统!F:F,1,0)),"原型有新系统没有","")</f>
        <v/>
      </c>
      <c r="J22" t="str">
        <f>IF(ISERROR(VLOOKUP(G22,新系统!G:G,1,0)),"原型有新系统没有","")</f>
        <v/>
      </c>
      <c r="K22" t="str">
        <f>IF(ISERROR(VLOOKUP(O22,新系统!O:O,1,0)),"原型有新系统没有","")</f>
        <v/>
      </c>
      <c r="L22" t="str">
        <f>IF(ISERROR(VLOOKUP(P22,新系统!P:P,1,0)),"原型有新系统没有","")</f>
        <v/>
      </c>
      <c r="M22" t="str">
        <f>IF(ISERROR(VLOOKUP(Q22,新系统!Q:Q,1,0)),"原型有新系统没有","")</f>
        <v/>
      </c>
      <c r="N22" t="str">
        <f>IF(ISERROR(VLOOKUP(R22,新系统!R:R,1,0)),"原型有新系统没有","")</f>
        <v/>
      </c>
      <c r="O22" t="s">
        <v>48</v>
      </c>
      <c r="P22" t="s">
        <v>61</v>
      </c>
      <c r="Q22" t="s">
        <v>78</v>
      </c>
      <c r="R22" s="62" t="s">
        <v>81</v>
      </c>
    </row>
    <row r="23" ht="14" spans="1:18">
      <c r="A23" t="s">
        <v>48</v>
      </c>
      <c r="B23" t="s">
        <v>61</v>
      </c>
      <c r="C23" t="s">
        <v>78</v>
      </c>
      <c r="D23" s="62" t="s">
        <v>82</v>
      </c>
      <c r="E23" t="str">
        <f t="shared" si="3"/>
        <v>金融质押品|债券|非金融企业债|中期票据</v>
      </c>
      <c r="F23" t="str">
        <f t="shared" si="1"/>
        <v>债券|非金融企业债|中期票据</v>
      </c>
      <c r="G23" t="str">
        <f t="shared" si="2"/>
        <v>非金融企业债|中期票据</v>
      </c>
      <c r="H23" t="str">
        <f>IF(ISERROR(VLOOKUP(E23,新系统!E:E,1,0)),"原型有新系统没有","")</f>
        <v/>
      </c>
      <c r="I23" t="str">
        <f>IF(ISERROR(VLOOKUP(F23,新系统!F:F,1,0)),"原型有新系统没有","")</f>
        <v/>
      </c>
      <c r="J23" t="str">
        <f>IF(ISERROR(VLOOKUP(G23,新系统!G:G,1,0)),"原型有新系统没有","")</f>
        <v/>
      </c>
      <c r="K23" t="str">
        <f>IF(ISERROR(VLOOKUP(O23,新系统!O:O,1,0)),"原型有新系统没有","")</f>
        <v/>
      </c>
      <c r="L23" t="str">
        <f>IF(ISERROR(VLOOKUP(P23,新系统!P:P,1,0)),"原型有新系统没有","")</f>
        <v/>
      </c>
      <c r="M23" t="str">
        <f>IF(ISERROR(VLOOKUP(Q23,新系统!Q:Q,1,0)),"原型有新系统没有","")</f>
        <v/>
      </c>
      <c r="N23" t="str">
        <f>IF(ISERROR(VLOOKUP(R23,新系统!R:R,1,0)),"原型有新系统没有","")</f>
        <v/>
      </c>
      <c r="O23" t="s">
        <v>48</v>
      </c>
      <c r="P23" t="s">
        <v>61</v>
      </c>
      <c r="Q23" t="s">
        <v>78</v>
      </c>
      <c r="R23" s="62" t="s">
        <v>82</v>
      </c>
    </row>
    <row r="24" ht="45" customHeight="1" spans="1:18">
      <c r="A24" t="s">
        <v>48</v>
      </c>
      <c r="B24" t="s">
        <v>61</v>
      </c>
      <c r="C24" s="62" t="s">
        <v>83</v>
      </c>
      <c r="D24" s="63" t="s">
        <v>84</v>
      </c>
      <c r="E24" t="str">
        <f t="shared" si="3"/>
        <v>金融质押品|债券|政府机构债券|境内的汇金公司、铁路总公司、以及原铁道部等政府支持机构发行的债券</v>
      </c>
      <c r="F24" t="str">
        <f t="shared" si="1"/>
        <v>债券|政府机构债券|境内的汇金公司、铁路总公司、以及原铁道部等政府支持机构发行的债券</v>
      </c>
      <c r="G24" t="str">
        <f t="shared" si="2"/>
        <v>政府机构债券|境内的汇金公司、铁路总公司、以及原铁道部等政府支持机构发行的债券</v>
      </c>
      <c r="H24" t="str">
        <f>IF(ISERROR(VLOOKUP(E24,新系统!E:E,1,0)),"原型有新系统没有","")</f>
        <v>原型有新系统没有</v>
      </c>
      <c r="I24" t="str">
        <f>IF(ISERROR(VLOOKUP(F24,新系统!F:F,1,0)),"原型有新系统没有","")</f>
        <v>原型有新系统没有</v>
      </c>
      <c r="J24" t="str">
        <f>IF(ISERROR(VLOOKUP(G24,新系统!G:G,1,0)),"原型有新系统没有","")</f>
        <v>原型有新系统没有</v>
      </c>
      <c r="K24" t="str">
        <f>IF(ISERROR(VLOOKUP(O24,新系统!O:O,1,0)),"原型有新系统没有","")</f>
        <v/>
      </c>
      <c r="L24" t="str">
        <f>IF(ISERROR(VLOOKUP(P24,新系统!P:P,1,0)),"原型有新系统没有","")</f>
        <v/>
      </c>
      <c r="M24" t="str">
        <f>IF(ISERROR(VLOOKUP(Q24,新系统!Q:Q,1,0)),"原型有新系统没有","")</f>
        <v>原型有新系统没有</v>
      </c>
      <c r="N24" t="str">
        <f>IF(ISERROR(VLOOKUP(R24,新系统!R:R,1,0)),"原型有新系统没有","")</f>
        <v>原型有新系统没有</v>
      </c>
      <c r="O24" t="s">
        <v>48</v>
      </c>
      <c r="P24" t="s">
        <v>61</v>
      </c>
      <c r="Q24" s="62" t="s">
        <v>83</v>
      </c>
      <c r="R24" s="63" t="s">
        <v>85</v>
      </c>
    </row>
    <row r="25" ht="14" spans="1:18">
      <c r="A25" t="s">
        <v>48</v>
      </c>
      <c r="B25" t="s">
        <v>61</v>
      </c>
      <c r="C25" s="62" t="s">
        <v>86</v>
      </c>
      <c r="D25" s="62" t="s">
        <v>86</v>
      </c>
      <c r="E25" t="str">
        <f t="shared" si="3"/>
        <v>金融质押品|债券|其他债券|其他债券</v>
      </c>
      <c r="F25" t="str">
        <f t="shared" si="1"/>
        <v>债券|其他债券|其他债券</v>
      </c>
      <c r="G25" t="str">
        <f t="shared" si="2"/>
        <v>其他债券|其他债券</v>
      </c>
      <c r="H25" t="str">
        <f>IF(ISERROR(VLOOKUP(E25,新系统!E:E,1,0)),"原型有新系统没有","")</f>
        <v>原型有新系统没有</v>
      </c>
      <c r="I25" t="str">
        <f>IF(ISERROR(VLOOKUP(F25,新系统!F:F,1,0)),"原型有新系统没有","")</f>
        <v>原型有新系统没有</v>
      </c>
      <c r="J25" t="str">
        <f>IF(ISERROR(VLOOKUP(G25,新系统!G:G,1,0)),"原型有新系统没有","")</f>
        <v>原型有新系统没有</v>
      </c>
      <c r="K25" t="str">
        <f>IF(ISERROR(VLOOKUP(O25,新系统!O:O,1,0)),"原型有新系统没有","")</f>
        <v/>
      </c>
      <c r="L25" t="str">
        <f>IF(ISERROR(VLOOKUP(P25,新系统!P:P,1,0)),"原型有新系统没有","")</f>
        <v/>
      </c>
      <c r="M25" t="str">
        <f>IF(ISERROR(VLOOKUP(Q25,新系统!Q:Q,1,0)),"原型有新系统没有","")</f>
        <v>原型有新系统没有</v>
      </c>
      <c r="N25" t="str">
        <f>IF(ISERROR(VLOOKUP(R25,新系统!R:R,1,0)),"原型有新系统没有","")</f>
        <v>原型有新系统没有</v>
      </c>
      <c r="O25" t="s">
        <v>48</v>
      </c>
      <c r="P25" t="s">
        <v>61</v>
      </c>
      <c r="Q25" s="62" t="s">
        <v>86</v>
      </c>
      <c r="R25" s="62" t="s">
        <v>86</v>
      </c>
    </row>
    <row r="26" ht="45" customHeight="1" spans="1:18">
      <c r="A26" t="s">
        <v>48</v>
      </c>
      <c r="B26" s="57" t="s">
        <v>87</v>
      </c>
      <c r="C26" s="61" t="s">
        <v>88</v>
      </c>
      <c r="D26" s="63" t="s">
        <v>89</v>
      </c>
      <c r="E26" t="str">
        <f t="shared" si="3"/>
        <v>金融质押品|票据|银行承兑汇票|国家开发银行、中国进出口银行和中国农业发展银行发行的银行承兑汇票</v>
      </c>
      <c r="F26" t="str">
        <f t="shared" si="1"/>
        <v>票据|银行承兑汇票|国家开发银行、中国进出口银行和中国农业发展银行发行的银行承兑汇票</v>
      </c>
      <c r="G26" t="str">
        <f t="shared" si="2"/>
        <v>银行承兑汇票|国家开发银行、中国进出口银行和中国农业发展银行发行的银行承兑汇票</v>
      </c>
      <c r="H26" t="str">
        <f>IF(ISERROR(VLOOKUP(E26,新系统!E:E,1,0)),"原型有新系统没有","")</f>
        <v>原型有新系统没有</v>
      </c>
      <c r="I26" t="str">
        <f>IF(ISERROR(VLOOKUP(F26,新系统!F:F,1,0)),"原型有新系统没有","")</f>
        <v>原型有新系统没有</v>
      </c>
      <c r="J26" t="str">
        <f>IF(ISERROR(VLOOKUP(G26,新系统!G:G,1,0)),"原型有新系统没有","")</f>
        <v>原型有新系统没有</v>
      </c>
      <c r="K26" t="str">
        <f>IF(ISERROR(VLOOKUP(O26,新系统!O:O,1,0)),"原型有新系统没有","")</f>
        <v/>
      </c>
      <c r="L26" t="str">
        <f>IF(ISERROR(VLOOKUP(P26,新系统!P:P,1,0)),"原型有新系统没有","")</f>
        <v/>
      </c>
      <c r="M26" t="str">
        <f>IF(ISERROR(VLOOKUP(Q26,新系统!Q:Q,1,0)),"原型有新系统没有","")</f>
        <v/>
      </c>
      <c r="N26" t="str">
        <f>IF(ISERROR(VLOOKUP(R26,新系统!R:R,1,0)),"原型有新系统没有","")</f>
        <v>原型有新系统没有</v>
      </c>
      <c r="O26" t="s">
        <v>48</v>
      </c>
      <c r="P26" s="57" t="s">
        <v>87</v>
      </c>
      <c r="Q26" s="61" t="s">
        <v>88</v>
      </c>
      <c r="R26" s="63" t="s">
        <v>90</v>
      </c>
    </row>
    <row r="27" ht="33.75" customHeight="1" spans="1:18">
      <c r="A27" t="s">
        <v>48</v>
      </c>
      <c r="B27" t="s">
        <v>87</v>
      </c>
      <c r="C27" t="s">
        <v>88</v>
      </c>
      <c r="D27" s="63" t="s">
        <v>91</v>
      </c>
      <c r="E27" t="str">
        <f t="shared" si="3"/>
        <v>金融质押品|票据|银行承兑汇票|工、农、中、建、交、邮储六家国有大型银行发行的银行承兑汇票</v>
      </c>
      <c r="F27" t="str">
        <f t="shared" si="1"/>
        <v>票据|银行承兑汇票|工、农、中、建、交、邮储六家国有大型银行发行的银行承兑汇票</v>
      </c>
      <c r="G27" t="str">
        <f t="shared" si="2"/>
        <v>银行承兑汇票|工、农、中、建、交、邮储六家国有大型银行发行的银行承兑汇票</v>
      </c>
      <c r="H27" t="str">
        <f>IF(ISERROR(VLOOKUP(E27,新系统!E:E,1,0)),"原型有新系统没有","")</f>
        <v>原型有新系统没有</v>
      </c>
      <c r="I27" t="str">
        <f>IF(ISERROR(VLOOKUP(F27,新系统!F:F,1,0)),"原型有新系统没有","")</f>
        <v>原型有新系统没有</v>
      </c>
      <c r="J27" t="str">
        <f>IF(ISERROR(VLOOKUP(G27,新系统!G:G,1,0)),"原型有新系统没有","")</f>
        <v>原型有新系统没有</v>
      </c>
      <c r="K27" t="str">
        <f>IF(ISERROR(VLOOKUP(O27,新系统!O:O,1,0)),"原型有新系统没有","")</f>
        <v/>
      </c>
      <c r="L27" t="str">
        <f>IF(ISERROR(VLOOKUP(P27,新系统!P:P,1,0)),"原型有新系统没有","")</f>
        <v/>
      </c>
      <c r="M27" t="str">
        <f>IF(ISERROR(VLOOKUP(Q27,新系统!Q:Q,1,0)),"原型有新系统没有","")</f>
        <v/>
      </c>
      <c r="N27" t="str">
        <f>IF(ISERROR(VLOOKUP(R27,新系统!R:R,1,0)),"原型有新系统没有","")</f>
        <v>原型有新系统没有</v>
      </c>
      <c r="O27" t="s">
        <v>48</v>
      </c>
      <c r="P27" t="s">
        <v>87</v>
      </c>
      <c r="Q27" t="s">
        <v>88</v>
      </c>
      <c r="R27" s="63" t="s">
        <v>92</v>
      </c>
    </row>
    <row r="28" ht="22.5" customHeight="1" spans="1:18">
      <c r="A28" t="s">
        <v>48</v>
      </c>
      <c r="B28" t="s">
        <v>87</v>
      </c>
      <c r="C28" t="s">
        <v>88</v>
      </c>
      <c r="D28" s="63" t="s">
        <v>93</v>
      </c>
      <c r="E28" t="str">
        <f t="shared" si="3"/>
        <v>金融质押品|票据|银行承兑汇票|我行发行的银行承兑汇票</v>
      </c>
      <c r="F28" t="str">
        <f t="shared" si="1"/>
        <v>票据|银行承兑汇票|我行发行的银行承兑汇票</v>
      </c>
      <c r="G28" t="str">
        <f t="shared" si="2"/>
        <v>银行承兑汇票|我行发行的银行承兑汇票</v>
      </c>
      <c r="H28" t="str">
        <f>IF(ISERROR(VLOOKUP(E28,新系统!E:E,1,0)),"原型有新系统没有","")</f>
        <v>原型有新系统没有</v>
      </c>
      <c r="I28" t="str">
        <f>IF(ISERROR(VLOOKUP(F28,新系统!F:F,1,0)),"原型有新系统没有","")</f>
        <v>原型有新系统没有</v>
      </c>
      <c r="J28" t="str">
        <f>IF(ISERROR(VLOOKUP(G28,新系统!G:G,1,0)),"原型有新系统没有","")</f>
        <v>原型有新系统没有</v>
      </c>
      <c r="K28" t="str">
        <f>IF(ISERROR(VLOOKUP(O28,新系统!O:O,1,0)),"原型有新系统没有","")</f>
        <v/>
      </c>
      <c r="L28" t="str">
        <f>IF(ISERROR(VLOOKUP(P28,新系统!P:P,1,0)),"原型有新系统没有","")</f>
        <v/>
      </c>
      <c r="M28" t="str">
        <f>IF(ISERROR(VLOOKUP(Q28,新系统!Q:Q,1,0)),"原型有新系统没有","")</f>
        <v/>
      </c>
      <c r="N28" t="str">
        <f>IF(ISERROR(VLOOKUP(R28,新系统!R:R,1,0)),"原型有新系统没有","")</f>
        <v>原型有新系统没有</v>
      </c>
      <c r="O28" t="s">
        <v>48</v>
      </c>
      <c r="P28" t="s">
        <v>87</v>
      </c>
      <c r="Q28" t="s">
        <v>88</v>
      </c>
      <c r="R28" s="63" t="s">
        <v>93</v>
      </c>
    </row>
    <row r="29" ht="45" customHeight="1" spans="1:18">
      <c r="A29" t="s">
        <v>48</v>
      </c>
      <c r="B29" t="s">
        <v>87</v>
      </c>
      <c r="C29" t="s">
        <v>88</v>
      </c>
      <c r="D29" s="63" t="s">
        <v>94</v>
      </c>
      <c r="E29" t="str">
        <f t="shared" ref="E29:E60" si="4">CLEAN(A29)&amp;"|"&amp;CLEAN(B29)&amp;"|"&amp;CLEAN(C29)&amp;"|"&amp;CLEAN(D29)</f>
        <v>金融质押品|票据|银行承兑汇票|其他银行（不含农村合作银行、村镇银行、农村信用合作社等）发行的银行承兑汇票</v>
      </c>
      <c r="F29" t="str">
        <f t="shared" si="1"/>
        <v>票据|银行承兑汇票|其他银行（不含农村合作银行、村镇银行、农村信用合作社等）发行的银行承兑汇票</v>
      </c>
      <c r="G29" t="str">
        <f t="shared" si="2"/>
        <v>银行承兑汇票|其他银行（不含农村合作银行、村镇银行、农村信用合作社等）发行的银行承兑汇票</v>
      </c>
      <c r="H29" t="str">
        <f>IF(ISERROR(VLOOKUP(E29,新系统!E:E,1,0)),"原型有新系统没有","")</f>
        <v>原型有新系统没有</v>
      </c>
      <c r="I29" t="str">
        <f>IF(ISERROR(VLOOKUP(F29,新系统!F:F,1,0)),"原型有新系统没有","")</f>
        <v>原型有新系统没有</v>
      </c>
      <c r="J29" t="str">
        <f>IF(ISERROR(VLOOKUP(G29,新系统!G:G,1,0)),"原型有新系统没有","")</f>
        <v>原型有新系统没有</v>
      </c>
      <c r="K29" t="str">
        <f>IF(ISERROR(VLOOKUP(O29,新系统!O:O,1,0)),"原型有新系统没有","")</f>
        <v/>
      </c>
      <c r="L29" t="str">
        <f>IF(ISERROR(VLOOKUP(P29,新系统!P:P,1,0)),"原型有新系统没有","")</f>
        <v/>
      </c>
      <c r="M29" t="str">
        <f>IF(ISERROR(VLOOKUP(Q29,新系统!Q:Q,1,0)),"原型有新系统没有","")</f>
        <v/>
      </c>
      <c r="N29" t="str">
        <f>IF(ISERROR(VLOOKUP(R29,新系统!R:R,1,0)),"原型有新系统没有","")</f>
        <v>原型有新系统没有</v>
      </c>
      <c r="O29" t="s">
        <v>48</v>
      </c>
      <c r="P29" t="s">
        <v>87</v>
      </c>
      <c r="Q29" t="s">
        <v>88</v>
      </c>
      <c r="R29" s="63" t="s">
        <v>95</v>
      </c>
    </row>
    <row r="30" ht="22.5" customHeight="1" spans="1:18">
      <c r="A30" t="s">
        <v>48</v>
      </c>
      <c r="B30" t="s">
        <v>87</v>
      </c>
      <c r="C30" s="61" t="s">
        <v>96</v>
      </c>
      <c r="D30" s="63" t="s">
        <v>97</v>
      </c>
      <c r="E30" t="str">
        <f t="shared" si="4"/>
        <v>金融质押品|票据|商业承兑汇票|商业承兑汇票-中石油集团成员企业签发</v>
      </c>
      <c r="F30" t="str">
        <f t="shared" si="1"/>
        <v>票据|商业承兑汇票|商业承兑汇票-中石油集团成员企业签发</v>
      </c>
      <c r="G30" t="str">
        <f t="shared" si="2"/>
        <v>商业承兑汇票|商业承兑汇票-中石油集团成员企业签发</v>
      </c>
      <c r="H30" t="str">
        <f>IF(ISERROR(VLOOKUP(E30,新系统!E:E,1,0)),"原型有新系统没有","")</f>
        <v>原型有新系统没有</v>
      </c>
      <c r="I30" t="str">
        <f>IF(ISERROR(VLOOKUP(F30,新系统!F:F,1,0)),"原型有新系统没有","")</f>
        <v>原型有新系统没有</v>
      </c>
      <c r="J30" t="str">
        <f>IF(ISERROR(VLOOKUP(G30,新系统!G:G,1,0)),"原型有新系统没有","")</f>
        <v>原型有新系统没有</v>
      </c>
      <c r="K30" t="str">
        <f>IF(ISERROR(VLOOKUP(O30,新系统!O:O,1,0)),"原型有新系统没有","")</f>
        <v/>
      </c>
      <c r="L30" t="str">
        <f>IF(ISERROR(VLOOKUP(P30,新系统!P:P,1,0)),"原型有新系统没有","")</f>
        <v/>
      </c>
      <c r="M30" t="str">
        <f>IF(ISERROR(VLOOKUP(Q30,新系统!Q:Q,1,0)),"原型有新系统没有","")</f>
        <v/>
      </c>
      <c r="N30" t="str">
        <f>IF(ISERROR(VLOOKUP(R30,新系统!R:R,1,0)),"原型有新系统没有","")</f>
        <v>原型有新系统没有</v>
      </c>
      <c r="O30" t="s">
        <v>48</v>
      </c>
      <c r="P30" t="s">
        <v>87</v>
      </c>
      <c r="Q30" s="61" t="s">
        <v>96</v>
      </c>
      <c r="R30" s="63" t="s">
        <v>98</v>
      </c>
    </row>
    <row r="31" ht="22.5" customHeight="1" spans="1:18">
      <c r="A31" t="s">
        <v>48</v>
      </c>
      <c r="B31" t="s">
        <v>87</v>
      </c>
      <c r="C31" t="s">
        <v>96</v>
      </c>
      <c r="D31" s="63" t="s">
        <v>99</v>
      </c>
      <c r="E31" t="str">
        <f t="shared" si="4"/>
        <v>金融质押品|票据|商业承兑汇票|商业承兑汇票-其他企业签发</v>
      </c>
      <c r="F31" t="str">
        <f t="shared" si="1"/>
        <v>票据|商业承兑汇票|商业承兑汇票-其他企业签发</v>
      </c>
      <c r="G31" t="str">
        <f t="shared" si="2"/>
        <v>商业承兑汇票|商业承兑汇票-其他企业签发</v>
      </c>
      <c r="H31" t="str">
        <f>IF(ISERROR(VLOOKUP(E31,新系统!E:E,1,0)),"原型有新系统没有","")</f>
        <v>原型有新系统没有</v>
      </c>
      <c r="I31" t="str">
        <f>IF(ISERROR(VLOOKUP(F31,新系统!F:F,1,0)),"原型有新系统没有","")</f>
        <v>原型有新系统没有</v>
      </c>
      <c r="J31" t="str">
        <f>IF(ISERROR(VLOOKUP(G31,新系统!G:G,1,0)),"原型有新系统没有","")</f>
        <v>原型有新系统没有</v>
      </c>
      <c r="K31" t="str">
        <f>IF(ISERROR(VLOOKUP(O31,新系统!O:O,1,0)),"原型有新系统没有","")</f>
        <v/>
      </c>
      <c r="L31" t="str">
        <f>IF(ISERROR(VLOOKUP(P31,新系统!P:P,1,0)),"原型有新系统没有","")</f>
        <v/>
      </c>
      <c r="M31" t="str">
        <f>IF(ISERROR(VLOOKUP(Q31,新系统!Q:Q,1,0)),"原型有新系统没有","")</f>
        <v/>
      </c>
      <c r="N31" t="str">
        <f>IF(ISERROR(VLOOKUP(R31,新系统!R:R,1,0)),"原型有新系统没有","")</f>
        <v>原型有新系统没有</v>
      </c>
      <c r="O31" t="s">
        <v>48</v>
      </c>
      <c r="P31" t="s">
        <v>87</v>
      </c>
      <c r="Q31" t="s">
        <v>96</v>
      </c>
      <c r="R31" s="63" t="s">
        <v>100</v>
      </c>
    </row>
    <row r="32" ht="24" customHeight="1" spans="1:18">
      <c r="A32" t="s">
        <v>48</v>
      </c>
      <c r="B32" s="57" t="s">
        <v>101</v>
      </c>
      <c r="C32" s="57" t="s">
        <v>102</v>
      </c>
      <c r="D32" s="60" t="s">
        <v>103</v>
      </c>
      <c r="E32" t="str">
        <f t="shared" si="4"/>
        <v>金融质押品|股票（权）/基金|上市公司股票（权）|上市金融机构流通股股票（权）</v>
      </c>
      <c r="F32" t="str">
        <f t="shared" si="1"/>
        <v>股票（权）/基金|上市公司股票（权）|上市金融机构流通股股票（权）</v>
      </c>
      <c r="G32" t="str">
        <f t="shared" si="2"/>
        <v>上市公司股票（权）|上市金融机构流通股股票（权）</v>
      </c>
      <c r="H32" t="str">
        <f>IF(ISERROR(VLOOKUP(E32,新系统!E:E,1,0)),"原型有新系统没有","")</f>
        <v>原型有新系统没有</v>
      </c>
      <c r="I32" t="str">
        <f>IF(ISERROR(VLOOKUP(F32,新系统!F:F,1,0)),"原型有新系统没有","")</f>
        <v>原型有新系统没有</v>
      </c>
      <c r="J32" t="str">
        <f>IF(ISERROR(VLOOKUP(G32,新系统!G:G,1,0)),"原型有新系统没有","")</f>
        <v>原型有新系统没有</v>
      </c>
      <c r="K32" t="str">
        <f>IF(ISERROR(VLOOKUP(O32,新系统!O:O,1,0)),"原型有新系统没有","")</f>
        <v/>
      </c>
      <c r="L32" t="str">
        <f>IF(ISERROR(VLOOKUP(P32,新系统!P:P,1,0)),"原型有新系统没有","")</f>
        <v/>
      </c>
      <c r="M32" t="str">
        <f>IF(ISERROR(VLOOKUP(Q32,新系统!Q:Q,1,0)),"原型有新系统没有","")</f>
        <v/>
      </c>
      <c r="N32" t="str">
        <f>IF(ISERROR(VLOOKUP(R32,新系统!R:R,1,0)),"原型有新系统没有","")</f>
        <v/>
      </c>
      <c r="O32" t="s">
        <v>48</v>
      </c>
      <c r="P32" s="57" t="s">
        <v>104</v>
      </c>
      <c r="Q32" s="57" t="s">
        <v>105</v>
      </c>
      <c r="R32" s="60" t="s">
        <v>106</v>
      </c>
    </row>
    <row r="33" ht="24" customHeight="1" spans="1:18">
      <c r="A33" t="s">
        <v>48</v>
      </c>
      <c r="B33" t="s">
        <v>101</v>
      </c>
      <c r="C33" t="s">
        <v>102</v>
      </c>
      <c r="D33" s="60" t="s">
        <v>107</v>
      </c>
      <c r="E33" t="str">
        <f t="shared" si="4"/>
        <v>金融质押品|股票（权）/基金|上市公司股票（权）|其他上市公司流通股股票（权）</v>
      </c>
      <c r="F33" t="str">
        <f t="shared" si="1"/>
        <v>股票（权）/基金|上市公司股票（权）|其他上市公司流通股股票（权）</v>
      </c>
      <c r="G33" t="str">
        <f t="shared" si="2"/>
        <v>上市公司股票（权）|其他上市公司流通股股票（权）</v>
      </c>
      <c r="H33" t="str">
        <f>IF(ISERROR(VLOOKUP(E33,新系统!E:E,1,0)),"原型有新系统没有","")</f>
        <v>原型有新系统没有</v>
      </c>
      <c r="I33" t="str">
        <f>IF(ISERROR(VLOOKUP(F33,新系统!F:F,1,0)),"原型有新系统没有","")</f>
        <v>原型有新系统没有</v>
      </c>
      <c r="J33" t="str">
        <f>IF(ISERROR(VLOOKUP(G33,新系统!G:G,1,0)),"原型有新系统没有","")</f>
        <v>原型有新系统没有</v>
      </c>
      <c r="K33" t="str">
        <f>IF(ISERROR(VLOOKUP(O33,新系统!O:O,1,0)),"原型有新系统没有","")</f>
        <v/>
      </c>
      <c r="L33" t="str">
        <f>IF(ISERROR(VLOOKUP(P33,新系统!P:P,1,0)),"原型有新系统没有","")</f>
        <v/>
      </c>
      <c r="M33" t="str">
        <f>IF(ISERROR(VLOOKUP(Q33,新系统!Q:Q,1,0)),"原型有新系统没有","")</f>
        <v/>
      </c>
      <c r="N33" t="str">
        <f>IF(ISERROR(VLOOKUP(R33,新系统!R:R,1,0)),"原型有新系统没有","")</f>
        <v/>
      </c>
      <c r="O33" t="s">
        <v>48</v>
      </c>
      <c r="P33" t="s">
        <v>104</v>
      </c>
      <c r="Q33" t="s">
        <v>105</v>
      </c>
      <c r="R33" s="60" t="s">
        <v>108</v>
      </c>
    </row>
    <row r="34" ht="28" spans="1:18">
      <c r="A34" t="s">
        <v>48</v>
      </c>
      <c r="B34" t="s">
        <v>101</v>
      </c>
      <c r="C34" s="57" t="s">
        <v>109</v>
      </c>
      <c r="D34" s="63" t="s">
        <v>110</v>
      </c>
      <c r="E34" t="str">
        <f t="shared" si="4"/>
        <v>金融质押品|股票（权）/基金|非上市公司股票（权）|未上市公司股票或股权</v>
      </c>
      <c r="F34" t="str">
        <f t="shared" ref="F34:F65" si="5">CLEAN(B34)&amp;"|"&amp;CLEAN(C34)&amp;"|"&amp;CLEAN(D34)</f>
        <v>股票（权）/基金|非上市公司股票（权）|未上市公司股票或股权</v>
      </c>
      <c r="G34" t="str">
        <f t="shared" ref="G34:G65" si="6">CLEAN(C34)&amp;"|"&amp;CLEAN(D34)</f>
        <v>非上市公司股票（权）|未上市公司股票或股权</v>
      </c>
      <c r="H34" t="str">
        <f>IF(ISERROR(VLOOKUP(E34,新系统!E:E,1,0)),"原型有新系统没有","")</f>
        <v>原型有新系统没有</v>
      </c>
      <c r="I34" t="str">
        <f>IF(ISERROR(VLOOKUP(F34,新系统!F:F,1,0)),"原型有新系统没有","")</f>
        <v>原型有新系统没有</v>
      </c>
      <c r="J34" t="str">
        <f>IF(ISERROR(VLOOKUP(G34,新系统!G:G,1,0)),"原型有新系统没有","")</f>
        <v>原型有新系统没有</v>
      </c>
      <c r="K34" t="str">
        <f>IF(ISERROR(VLOOKUP(O34,新系统!O:O,1,0)),"原型有新系统没有","")</f>
        <v/>
      </c>
      <c r="L34" t="str">
        <f>IF(ISERROR(VLOOKUP(P34,新系统!P:P,1,0)),"原型有新系统没有","")</f>
        <v/>
      </c>
      <c r="M34" t="str">
        <f>IF(ISERROR(VLOOKUP(Q34,新系统!Q:Q,1,0)),"原型有新系统没有","")</f>
        <v/>
      </c>
      <c r="N34" t="str">
        <f>IF(ISERROR(VLOOKUP(R34,新系统!R:R,1,0)),"原型有新系统没有","")</f>
        <v/>
      </c>
      <c r="O34" t="s">
        <v>48</v>
      </c>
      <c r="P34" t="s">
        <v>104</v>
      </c>
      <c r="Q34" s="57" t="s">
        <v>111</v>
      </c>
      <c r="R34" s="63" t="s">
        <v>110</v>
      </c>
    </row>
    <row r="35" ht="28" spans="1:18">
      <c r="A35" t="s">
        <v>48</v>
      </c>
      <c r="B35" t="s">
        <v>101</v>
      </c>
      <c r="C35" t="s">
        <v>109</v>
      </c>
      <c r="D35" s="60" t="s">
        <v>112</v>
      </c>
      <c r="E35" t="str">
        <f t="shared" si="4"/>
        <v>金融质押品|股票（权）/基金|非上市公司股票（权）|上市后禁止流通的股票</v>
      </c>
      <c r="F35" t="str">
        <f t="shared" si="5"/>
        <v>股票（权）/基金|非上市公司股票（权）|上市后禁止流通的股票</v>
      </c>
      <c r="G35" t="str">
        <f t="shared" si="6"/>
        <v>非上市公司股票（权）|上市后禁止流通的股票</v>
      </c>
      <c r="H35" t="str">
        <f>IF(ISERROR(VLOOKUP(E35,新系统!E:E,1,0)),"原型有新系统没有","")</f>
        <v>原型有新系统没有</v>
      </c>
      <c r="I35" t="str">
        <f>IF(ISERROR(VLOOKUP(F35,新系统!F:F,1,0)),"原型有新系统没有","")</f>
        <v>原型有新系统没有</v>
      </c>
      <c r="J35" t="str">
        <f>IF(ISERROR(VLOOKUP(G35,新系统!G:G,1,0)),"原型有新系统没有","")</f>
        <v>原型有新系统没有</v>
      </c>
      <c r="K35" t="str">
        <f>IF(ISERROR(VLOOKUP(O35,新系统!O:O,1,0)),"原型有新系统没有","")</f>
        <v/>
      </c>
      <c r="L35" t="str">
        <f>IF(ISERROR(VLOOKUP(P35,新系统!P:P,1,0)),"原型有新系统没有","")</f>
        <v/>
      </c>
      <c r="M35" t="str">
        <f>IF(ISERROR(VLOOKUP(Q35,新系统!Q:Q,1,0)),"原型有新系统没有","")</f>
        <v/>
      </c>
      <c r="N35" t="str">
        <f>IF(ISERROR(VLOOKUP(R35,新系统!R:R,1,0)),"原型有新系统没有","")</f>
        <v/>
      </c>
      <c r="O35" t="s">
        <v>48</v>
      </c>
      <c r="P35" t="s">
        <v>104</v>
      </c>
      <c r="Q35" t="s">
        <v>111</v>
      </c>
      <c r="R35" s="60" t="s">
        <v>112</v>
      </c>
    </row>
    <row r="36" ht="28" spans="1:18">
      <c r="A36" t="s">
        <v>48</v>
      </c>
      <c r="B36" t="s">
        <v>101</v>
      </c>
      <c r="C36" s="57" t="s">
        <v>113</v>
      </c>
      <c r="D36" s="60" t="s">
        <v>114</v>
      </c>
      <c r="E36" t="str">
        <f t="shared" si="4"/>
        <v>金融质押品|股票（权）/基金|基金|货币型、债券型基金</v>
      </c>
      <c r="F36" t="str">
        <f t="shared" si="5"/>
        <v>股票（权）/基金|基金|货币型、债券型基金</v>
      </c>
      <c r="G36" t="str">
        <f t="shared" si="6"/>
        <v>基金|货币型、债券型基金</v>
      </c>
      <c r="H36" t="str">
        <f>IF(ISERROR(VLOOKUP(E36,新系统!E:E,1,0)),"原型有新系统没有","")</f>
        <v>原型有新系统没有</v>
      </c>
      <c r="I36" t="str">
        <f>IF(ISERROR(VLOOKUP(F36,新系统!F:F,1,0)),"原型有新系统没有","")</f>
        <v>原型有新系统没有</v>
      </c>
      <c r="J36" t="str">
        <f>IF(ISERROR(VLOOKUP(G36,新系统!G:G,1,0)),"原型有新系统没有","")</f>
        <v>原型有新系统没有</v>
      </c>
      <c r="K36" t="str">
        <f>IF(ISERROR(VLOOKUP(O36,新系统!O:O,1,0)),"原型有新系统没有","")</f>
        <v/>
      </c>
      <c r="L36" t="str">
        <f>IF(ISERROR(VLOOKUP(P36,新系统!P:P,1,0)),"原型有新系统没有","")</f>
        <v/>
      </c>
      <c r="M36" t="str">
        <f>IF(ISERROR(VLOOKUP(Q36,新系统!Q:Q,1,0)),"原型有新系统没有","")</f>
        <v/>
      </c>
      <c r="N36" t="str">
        <f>IF(ISERROR(VLOOKUP(R36,新系统!R:R,1,0)),"原型有新系统没有","")</f>
        <v/>
      </c>
      <c r="O36" t="s">
        <v>48</v>
      </c>
      <c r="P36" t="s">
        <v>104</v>
      </c>
      <c r="Q36" s="57" t="s">
        <v>113</v>
      </c>
      <c r="R36" s="60" t="s">
        <v>115</v>
      </c>
    </row>
    <row r="37" ht="28" spans="1:18">
      <c r="A37" t="s">
        <v>48</v>
      </c>
      <c r="B37" t="s">
        <v>101</v>
      </c>
      <c r="C37" t="s">
        <v>113</v>
      </c>
      <c r="D37" s="60" t="s">
        <v>116</v>
      </c>
      <c r="E37" t="str">
        <f t="shared" si="4"/>
        <v>金融质押品|股票（权）/基金|基金|混合型、股票型基金</v>
      </c>
      <c r="F37" t="str">
        <f t="shared" si="5"/>
        <v>股票（权）/基金|基金|混合型、股票型基金</v>
      </c>
      <c r="G37" t="str">
        <f t="shared" si="6"/>
        <v>基金|混合型、股票型基金</v>
      </c>
      <c r="H37" t="str">
        <f>IF(ISERROR(VLOOKUP(E37,新系统!E:E,1,0)),"原型有新系统没有","")</f>
        <v>原型有新系统没有</v>
      </c>
      <c r="I37" t="str">
        <f>IF(ISERROR(VLOOKUP(F37,新系统!F:F,1,0)),"原型有新系统没有","")</f>
        <v>原型有新系统没有</v>
      </c>
      <c r="J37" t="str">
        <f>IF(ISERROR(VLOOKUP(G37,新系统!G:G,1,0)),"原型有新系统没有","")</f>
        <v>原型有新系统没有</v>
      </c>
      <c r="K37" t="str">
        <f>IF(ISERROR(VLOOKUP(O37,新系统!O:O,1,0)),"原型有新系统没有","")</f>
        <v/>
      </c>
      <c r="L37" t="str">
        <f>IF(ISERROR(VLOOKUP(P37,新系统!P:P,1,0)),"原型有新系统没有","")</f>
        <v/>
      </c>
      <c r="M37" t="str">
        <f>IF(ISERROR(VLOOKUP(Q37,新系统!Q:Q,1,0)),"原型有新系统没有","")</f>
        <v/>
      </c>
      <c r="N37" t="str">
        <f>IF(ISERROR(VLOOKUP(R37,新系统!R:R,1,0)),"原型有新系统没有","")</f>
        <v/>
      </c>
      <c r="O37" t="s">
        <v>48</v>
      </c>
      <c r="P37" t="s">
        <v>104</v>
      </c>
      <c r="Q37" t="s">
        <v>113</v>
      </c>
      <c r="R37" s="60" t="s">
        <v>117</v>
      </c>
    </row>
    <row r="38" ht="22.5" customHeight="1" spans="1:18">
      <c r="A38" t="s">
        <v>48</v>
      </c>
      <c r="B38" s="64" t="s">
        <v>118</v>
      </c>
      <c r="C38" s="62" t="s">
        <v>118</v>
      </c>
      <c r="D38" s="65" t="s">
        <v>119</v>
      </c>
      <c r="E38" t="str">
        <f t="shared" si="4"/>
        <v>金融质押品|保单|保单|依法可以质押的具有现金价值的人寿保险单</v>
      </c>
      <c r="F38" t="str">
        <f t="shared" si="5"/>
        <v>保单|保单|依法可以质押的具有现金价值的人寿保险单</v>
      </c>
      <c r="G38" t="str">
        <f t="shared" si="6"/>
        <v>保单|依法可以质押的具有现金价值的人寿保险单</v>
      </c>
      <c r="H38" t="str">
        <f>IF(ISERROR(VLOOKUP(E38,新系统!E:E,1,0)),"原型有新系统没有","")</f>
        <v/>
      </c>
      <c r="I38" t="str">
        <f>IF(ISERROR(VLOOKUP(F38,新系统!F:F,1,0)),"原型有新系统没有","")</f>
        <v/>
      </c>
      <c r="J38" t="str">
        <f>IF(ISERROR(VLOOKUP(G38,新系统!G:G,1,0)),"原型有新系统没有","")</f>
        <v/>
      </c>
      <c r="K38" t="str">
        <f>IF(ISERROR(VLOOKUP(O38,新系统!O:O,1,0)),"原型有新系统没有","")</f>
        <v/>
      </c>
      <c r="L38" t="str">
        <f>IF(ISERROR(VLOOKUP(P38,新系统!P:P,1,0)),"原型有新系统没有","")</f>
        <v/>
      </c>
      <c r="M38" t="str">
        <f>IF(ISERROR(VLOOKUP(Q38,新系统!Q:Q,1,0)),"原型有新系统没有","")</f>
        <v/>
      </c>
      <c r="N38" t="str">
        <f>IF(ISERROR(VLOOKUP(R38,新系统!R:R,1,0)),"原型有新系统没有","")</f>
        <v/>
      </c>
      <c r="O38" t="s">
        <v>48</v>
      </c>
      <c r="P38" s="64" t="s">
        <v>118</v>
      </c>
      <c r="Q38" s="62" t="s">
        <v>118</v>
      </c>
      <c r="R38" s="65" t="s">
        <v>119</v>
      </c>
    </row>
    <row r="39" ht="22.5" customHeight="1" spans="1:18">
      <c r="A39" t="s">
        <v>48</v>
      </c>
      <c r="B39" s="62" t="s">
        <v>120</v>
      </c>
      <c r="C39" s="66" t="s">
        <v>120</v>
      </c>
      <c r="D39" s="67" t="s">
        <v>121</v>
      </c>
      <c r="E39" t="str">
        <f t="shared" si="4"/>
        <v>金融质押品|资产管理产品（不含公募基金）|资产管理产品（不含公募基金）|我行理财产品</v>
      </c>
      <c r="F39" t="str">
        <f t="shared" si="5"/>
        <v>资产管理产品（不含公募基金）|资产管理产品（不含公募基金）|我行理财产品</v>
      </c>
      <c r="G39" t="str">
        <f t="shared" si="6"/>
        <v>资产管理产品（不含公募基金）|我行理财产品</v>
      </c>
      <c r="H39" t="str">
        <f>IF(ISERROR(VLOOKUP(E39,新系统!E:E,1,0)),"原型有新系统没有","")</f>
        <v>原型有新系统没有</v>
      </c>
      <c r="I39" t="str">
        <f>IF(ISERROR(VLOOKUP(F39,新系统!F:F,1,0)),"原型有新系统没有","")</f>
        <v>原型有新系统没有</v>
      </c>
      <c r="J39" t="str">
        <f>IF(ISERROR(VLOOKUP(G39,新系统!G:G,1,0)),"原型有新系统没有","")</f>
        <v>原型有新系统没有</v>
      </c>
      <c r="K39" t="str">
        <f>IF(ISERROR(VLOOKUP(O39,新系统!O:O,1,0)),"原型有新系统没有","")</f>
        <v/>
      </c>
      <c r="L39" t="str">
        <f>IF(ISERROR(VLOOKUP(P39,新系统!P:P,1,0)),"原型有新系统没有","")</f>
        <v>原型有新系统没有</v>
      </c>
      <c r="M39" t="str">
        <f>IF(ISERROR(VLOOKUP(Q39,新系统!Q:Q,1,0)),"原型有新系统没有","")</f>
        <v>原型有新系统没有</v>
      </c>
      <c r="N39" t="str">
        <f>IF(ISERROR(VLOOKUP(R39,新系统!R:R,1,0)),"原型有新系统没有","")</f>
        <v>原型有新系统没有</v>
      </c>
      <c r="O39" t="s">
        <v>48</v>
      </c>
      <c r="P39" s="62" t="s">
        <v>122</v>
      </c>
      <c r="Q39" s="66" t="s">
        <v>122</v>
      </c>
      <c r="R39" s="67" t="s">
        <v>121</v>
      </c>
    </row>
    <row r="40" ht="28" spans="1:18">
      <c r="A40" t="s">
        <v>48</v>
      </c>
      <c r="B40" s="68" t="s">
        <v>123</v>
      </c>
      <c r="C40" s="69" t="s">
        <v>123</v>
      </c>
      <c r="D40" s="110" t="s">
        <v>123</v>
      </c>
      <c r="E40" t="str">
        <f t="shared" si="4"/>
        <v>金融质押品|其他金融质押品|其他金融质押品|其他金融质押品</v>
      </c>
      <c r="F40" t="str">
        <f t="shared" si="5"/>
        <v>其他金融质押品|其他金融质押品|其他金融质押品</v>
      </c>
      <c r="G40" t="str">
        <f t="shared" si="6"/>
        <v>其他金融质押品|其他金融质押品</v>
      </c>
      <c r="H40" t="str">
        <f>IF(ISERROR(VLOOKUP(E40,新系统!E:E,1,0)),"原型有新系统没有","")</f>
        <v/>
      </c>
      <c r="I40" t="str">
        <f>IF(ISERROR(VLOOKUP(F40,新系统!F:F,1,0)),"原型有新系统没有","")</f>
        <v/>
      </c>
      <c r="J40" t="str">
        <f>IF(ISERROR(VLOOKUP(G40,新系统!G:G,1,0)),"原型有新系统没有","")</f>
        <v/>
      </c>
      <c r="K40" t="str">
        <f>IF(ISERROR(VLOOKUP(O40,新系统!O:O,1,0)),"原型有新系统没有","")</f>
        <v/>
      </c>
      <c r="L40" t="str">
        <f>IF(ISERROR(VLOOKUP(P40,新系统!P:P,1,0)),"原型有新系统没有","")</f>
        <v/>
      </c>
      <c r="M40" t="str">
        <f>IF(ISERROR(VLOOKUP(Q40,新系统!Q:Q,1,0)),"原型有新系统没有","")</f>
        <v/>
      </c>
      <c r="N40" t="str">
        <f>IF(ISERROR(VLOOKUP(R40,新系统!R:R,1,0)),"原型有新系统没有","")</f>
        <v/>
      </c>
      <c r="O40" t="s">
        <v>48</v>
      </c>
      <c r="P40" s="68" t="s">
        <v>123</v>
      </c>
      <c r="Q40" s="69" t="s">
        <v>123</v>
      </c>
      <c r="R40" s="11" t="s">
        <v>123</v>
      </c>
    </row>
    <row r="41" ht="28" spans="1:18">
      <c r="A41" s="70" t="s">
        <v>124</v>
      </c>
      <c r="B41" s="71" t="s">
        <v>124</v>
      </c>
      <c r="C41" s="54" t="s">
        <v>125</v>
      </c>
      <c r="D41" s="56" t="s">
        <v>126</v>
      </c>
      <c r="E41" t="str">
        <f t="shared" si="4"/>
        <v>房地产|房地产|居住用房地产|普通商品房</v>
      </c>
      <c r="F41" t="str">
        <f t="shared" si="5"/>
        <v>房地产|居住用房地产|普通商品房</v>
      </c>
      <c r="G41" t="str">
        <f t="shared" si="6"/>
        <v>居住用房地产|普通商品房</v>
      </c>
      <c r="H41" t="str">
        <f>IF(ISERROR(VLOOKUP(E41,新系统!E:E,1,0)),"原型有新系统没有","")</f>
        <v>原型有新系统没有</v>
      </c>
      <c r="I41" t="str">
        <f>IF(ISERROR(VLOOKUP(F41,新系统!F:F,1,0)),"原型有新系统没有","")</f>
        <v>原型有新系统没有</v>
      </c>
      <c r="J41" t="str">
        <f>IF(ISERROR(VLOOKUP(G41,新系统!G:G,1,0)),"原型有新系统没有","")</f>
        <v>原型有新系统没有</v>
      </c>
      <c r="K41" t="str">
        <f>IF(ISERROR(VLOOKUP(O41,新系统!O:O,1,0)),"原型有新系统没有","")</f>
        <v/>
      </c>
      <c r="L41" t="str">
        <f>IF(ISERROR(VLOOKUP(P41,新系统!P:P,1,0)),"原型有新系统没有","")</f>
        <v/>
      </c>
      <c r="M41" t="str">
        <f>IF(ISERROR(VLOOKUP(Q41,新系统!Q:Q,1,0)),"原型有新系统没有","")</f>
        <v/>
      </c>
      <c r="N41" t="str">
        <f>IF(ISERROR(VLOOKUP(R41,新系统!R:R,1,0)),"原型有新系统没有","")</f>
        <v>原型有新系统没有</v>
      </c>
      <c r="O41" s="70" t="s">
        <v>124</v>
      </c>
      <c r="P41" s="71" t="s">
        <v>124</v>
      </c>
      <c r="Q41" s="54" t="s">
        <v>125</v>
      </c>
      <c r="R41" s="56" t="s">
        <v>126</v>
      </c>
    </row>
    <row r="42" ht="14" spans="1:18">
      <c r="A42" t="s">
        <v>124</v>
      </c>
      <c r="B42" t="s">
        <v>124</v>
      </c>
      <c r="C42" t="s">
        <v>125</v>
      </c>
      <c r="D42" s="56" t="s">
        <v>127</v>
      </c>
      <c r="E42" t="str">
        <f t="shared" si="4"/>
        <v>房地产|房地产|居住用房地产|公寓</v>
      </c>
      <c r="F42" t="str">
        <f t="shared" si="5"/>
        <v>房地产|居住用房地产|公寓</v>
      </c>
      <c r="G42" t="str">
        <f t="shared" si="6"/>
        <v>居住用房地产|公寓</v>
      </c>
      <c r="H42" t="str">
        <f>IF(ISERROR(VLOOKUP(E42,新系统!E:E,1,0)),"原型有新系统没有","")</f>
        <v/>
      </c>
      <c r="I42" t="str">
        <f>IF(ISERROR(VLOOKUP(F42,新系统!F:F,1,0)),"原型有新系统没有","")</f>
        <v/>
      </c>
      <c r="J42" t="str">
        <f>IF(ISERROR(VLOOKUP(G42,新系统!G:G,1,0)),"原型有新系统没有","")</f>
        <v/>
      </c>
      <c r="K42" t="str">
        <f>IF(ISERROR(VLOOKUP(O42,新系统!O:O,1,0)),"原型有新系统没有","")</f>
        <v/>
      </c>
      <c r="L42" t="str">
        <f>IF(ISERROR(VLOOKUP(P42,新系统!P:P,1,0)),"原型有新系统没有","")</f>
        <v/>
      </c>
      <c r="M42" t="str">
        <f>IF(ISERROR(VLOOKUP(Q42,新系统!Q:Q,1,0)),"原型有新系统没有","")</f>
        <v/>
      </c>
      <c r="N42" t="str">
        <f>IF(ISERROR(VLOOKUP(R42,新系统!R:R,1,0)),"原型有新系统没有","")</f>
        <v/>
      </c>
      <c r="O42" t="s">
        <v>124</v>
      </c>
      <c r="P42" t="s">
        <v>124</v>
      </c>
      <c r="Q42" t="s">
        <v>125</v>
      </c>
      <c r="R42" s="56" t="s">
        <v>127</v>
      </c>
    </row>
    <row r="43" ht="14" spans="1:18">
      <c r="A43" t="s">
        <v>124</v>
      </c>
      <c r="B43" t="s">
        <v>124</v>
      </c>
      <c r="C43" t="s">
        <v>125</v>
      </c>
      <c r="D43" s="56" t="s">
        <v>128</v>
      </c>
      <c r="E43" t="str">
        <f t="shared" si="4"/>
        <v>房地产|房地产|居住用房地产|别墅</v>
      </c>
      <c r="F43" t="str">
        <f t="shared" si="5"/>
        <v>房地产|居住用房地产|别墅</v>
      </c>
      <c r="G43" t="str">
        <f t="shared" si="6"/>
        <v>居住用房地产|别墅</v>
      </c>
      <c r="H43" t="str">
        <f>IF(ISERROR(VLOOKUP(E43,新系统!E:E,1,0)),"原型有新系统没有","")</f>
        <v/>
      </c>
      <c r="I43" t="str">
        <f>IF(ISERROR(VLOOKUP(F43,新系统!F:F,1,0)),"原型有新系统没有","")</f>
        <v/>
      </c>
      <c r="J43" t="str">
        <f>IF(ISERROR(VLOOKUP(G43,新系统!G:G,1,0)),"原型有新系统没有","")</f>
        <v/>
      </c>
      <c r="K43" t="str">
        <f>IF(ISERROR(VLOOKUP(O43,新系统!O:O,1,0)),"原型有新系统没有","")</f>
        <v/>
      </c>
      <c r="L43" t="str">
        <f>IF(ISERROR(VLOOKUP(P43,新系统!P:P,1,0)),"原型有新系统没有","")</f>
        <v/>
      </c>
      <c r="M43" t="str">
        <f>IF(ISERROR(VLOOKUP(Q43,新系统!Q:Q,1,0)),"原型有新系统没有","")</f>
        <v/>
      </c>
      <c r="N43" t="str">
        <f>IF(ISERROR(VLOOKUP(R43,新系统!R:R,1,0)),"原型有新系统没有","")</f>
        <v/>
      </c>
      <c r="O43" t="s">
        <v>124</v>
      </c>
      <c r="P43" t="s">
        <v>124</v>
      </c>
      <c r="Q43" t="s">
        <v>125</v>
      </c>
      <c r="R43" s="56" t="s">
        <v>128</v>
      </c>
    </row>
    <row r="44" ht="14" spans="1:18">
      <c r="A44" t="s">
        <v>124</v>
      </c>
      <c r="B44" t="s">
        <v>124</v>
      </c>
      <c r="C44" t="s">
        <v>125</v>
      </c>
      <c r="D44" s="56" t="s">
        <v>129</v>
      </c>
      <c r="E44" t="str">
        <f t="shared" si="4"/>
        <v>房地产|房地产|居住用房地产|政策性住房</v>
      </c>
      <c r="F44" t="str">
        <f t="shared" si="5"/>
        <v>房地产|居住用房地产|政策性住房</v>
      </c>
      <c r="G44" t="str">
        <f t="shared" si="6"/>
        <v>居住用房地产|政策性住房</v>
      </c>
      <c r="H44" t="str">
        <f>IF(ISERROR(VLOOKUP(E44,新系统!E:E,1,0)),"原型有新系统没有","")</f>
        <v/>
      </c>
      <c r="I44" t="str">
        <f>IF(ISERROR(VLOOKUP(F44,新系统!F:F,1,0)),"原型有新系统没有","")</f>
        <v/>
      </c>
      <c r="J44" t="str">
        <f>IF(ISERROR(VLOOKUP(G44,新系统!G:G,1,0)),"原型有新系统没有","")</f>
        <v/>
      </c>
      <c r="K44" t="str">
        <f>IF(ISERROR(VLOOKUP(O44,新系统!O:O,1,0)),"原型有新系统没有","")</f>
        <v/>
      </c>
      <c r="L44" t="str">
        <f>IF(ISERROR(VLOOKUP(P44,新系统!P:P,1,0)),"原型有新系统没有","")</f>
        <v/>
      </c>
      <c r="M44" t="str">
        <f>IF(ISERROR(VLOOKUP(Q44,新系统!Q:Q,1,0)),"原型有新系统没有","")</f>
        <v/>
      </c>
      <c r="N44" t="str">
        <f>IF(ISERROR(VLOOKUP(R44,新系统!R:R,1,0)),"原型有新系统没有","")</f>
        <v/>
      </c>
      <c r="O44" t="s">
        <v>124</v>
      </c>
      <c r="P44" t="s">
        <v>124</v>
      </c>
      <c r="Q44" t="s">
        <v>125</v>
      </c>
      <c r="R44" s="56" t="s">
        <v>129</v>
      </c>
    </row>
    <row r="45" ht="28" spans="1:18">
      <c r="A45" t="s">
        <v>124</v>
      </c>
      <c r="B45" t="s">
        <v>124</v>
      </c>
      <c r="C45" s="72" t="s">
        <v>130</v>
      </c>
      <c r="D45" s="73" t="s">
        <v>131</v>
      </c>
      <c r="E45" t="str">
        <f t="shared" si="4"/>
        <v>房地产|房地产|商业用房地产|商铺</v>
      </c>
      <c r="F45" t="str">
        <f t="shared" si="5"/>
        <v>房地产|商业用房地产|商铺</v>
      </c>
      <c r="G45" t="str">
        <f t="shared" si="6"/>
        <v>商业用房地产|商铺</v>
      </c>
      <c r="H45" t="str">
        <f>IF(ISERROR(VLOOKUP(E45,新系统!E:E,1,0)),"原型有新系统没有","")</f>
        <v/>
      </c>
      <c r="I45" t="str">
        <f>IF(ISERROR(VLOOKUP(F45,新系统!F:F,1,0)),"原型有新系统没有","")</f>
        <v/>
      </c>
      <c r="J45" t="str">
        <f>IF(ISERROR(VLOOKUP(G45,新系统!G:G,1,0)),"原型有新系统没有","")</f>
        <v/>
      </c>
      <c r="K45" t="str">
        <f>IF(ISERROR(VLOOKUP(O45,新系统!O:O,1,0)),"原型有新系统没有","")</f>
        <v/>
      </c>
      <c r="L45" t="str">
        <f>IF(ISERROR(VLOOKUP(P45,新系统!P:P,1,0)),"原型有新系统没有","")</f>
        <v/>
      </c>
      <c r="M45" t="str">
        <f>IF(ISERROR(VLOOKUP(Q45,新系统!Q:Q,1,0)),"原型有新系统没有","")</f>
        <v/>
      </c>
      <c r="N45" t="str">
        <f>IF(ISERROR(VLOOKUP(R45,新系统!R:R,1,0)),"原型有新系统没有","")</f>
        <v/>
      </c>
      <c r="O45" t="s">
        <v>124</v>
      </c>
      <c r="P45" t="s">
        <v>124</v>
      </c>
      <c r="Q45" s="72" t="s">
        <v>130</v>
      </c>
      <c r="R45" s="73" t="s">
        <v>131</v>
      </c>
    </row>
    <row r="46" ht="14" spans="1:18">
      <c r="A46" t="s">
        <v>124</v>
      </c>
      <c r="B46" t="s">
        <v>124</v>
      </c>
      <c r="C46" t="s">
        <v>130</v>
      </c>
      <c r="D46" s="73" t="s">
        <v>132</v>
      </c>
      <c r="E46" t="str">
        <f t="shared" si="4"/>
        <v>房地产|房地产|商业用房地产|商场</v>
      </c>
      <c r="F46" t="str">
        <f t="shared" si="5"/>
        <v>房地产|商业用房地产|商场</v>
      </c>
      <c r="G46" t="str">
        <f t="shared" si="6"/>
        <v>商业用房地产|商场</v>
      </c>
      <c r="H46" t="str">
        <f>IF(ISERROR(VLOOKUP(E46,新系统!E:E,1,0)),"原型有新系统没有","")</f>
        <v>原型有新系统没有</v>
      </c>
      <c r="I46" t="str">
        <f>IF(ISERROR(VLOOKUP(F46,新系统!F:F,1,0)),"原型有新系统没有","")</f>
        <v>原型有新系统没有</v>
      </c>
      <c r="J46" t="str">
        <f>IF(ISERROR(VLOOKUP(G46,新系统!G:G,1,0)),"原型有新系统没有","")</f>
        <v>原型有新系统没有</v>
      </c>
      <c r="K46" t="str">
        <f>IF(ISERROR(VLOOKUP(O46,新系统!O:O,1,0)),"原型有新系统没有","")</f>
        <v/>
      </c>
      <c r="L46" t="str">
        <f>IF(ISERROR(VLOOKUP(P46,新系统!P:P,1,0)),"原型有新系统没有","")</f>
        <v/>
      </c>
      <c r="M46" t="str">
        <f>IF(ISERROR(VLOOKUP(Q46,新系统!Q:Q,1,0)),"原型有新系统没有","")</f>
        <v/>
      </c>
      <c r="N46" t="str">
        <f>IF(ISERROR(VLOOKUP(R46,新系统!R:R,1,0)),"原型有新系统没有","")</f>
        <v>原型有新系统没有</v>
      </c>
      <c r="O46" t="s">
        <v>124</v>
      </c>
      <c r="P46" t="s">
        <v>124</v>
      </c>
      <c r="Q46" t="s">
        <v>130</v>
      </c>
      <c r="R46" s="73" t="s">
        <v>132</v>
      </c>
    </row>
    <row r="47" ht="14" spans="1:18">
      <c r="A47" t="s">
        <v>124</v>
      </c>
      <c r="B47" t="s">
        <v>124</v>
      </c>
      <c r="C47" t="s">
        <v>130</v>
      </c>
      <c r="D47" s="73" t="s">
        <v>133</v>
      </c>
      <c r="E47" t="str">
        <f t="shared" si="4"/>
        <v>房地产|房地产|商业用房地产|宾馆/酒店</v>
      </c>
      <c r="F47" t="str">
        <f t="shared" si="5"/>
        <v>房地产|商业用房地产|宾馆/酒店</v>
      </c>
      <c r="G47" t="str">
        <f t="shared" si="6"/>
        <v>商业用房地产|宾馆/酒店</v>
      </c>
      <c r="H47" t="str">
        <f>IF(ISERROR(VLOOKUP(E47,新系统!E:E,1,0)),"原型有新系统没有","")</f>
        <v>原型有新系统没有</v>
      </c>
      <c r="I47" t="str">
        <f>IF(ISERROR(VLOOKUP(F47,新系统!F:F,1,0)),"原型有新系统没有","")</f>
        <v>原型有新系统没有</v>
      </c>
      <c r="J47" t="str">
        <f>IF(ISERROR(VLOOKUP(G47,新系统!G:G,1,0)),"原型有新系统没有","")</f>
        <v>原型有新系统没有</v>
      </c>
      <c r="K47" t="str">
        <f>IF(ISERROR(VLOOKUP(O47,新系统!O:O,1,0)),"原型有新系统没有","")</f>
        <v/>
      </c>
      <c r="L47" t="str">
        <f>IF(ISERROR(VLOOKUP(P47,新系统!P:P,1,0)),"原型有新系统没有","")</f>
        <v/>
      </c>
      <c r="M47" t="str">
        <f>IF(ISERROR(VLOOKUP(Q47,新系统!Q:Q,1,0)),"原型有新系统没有","")</f>
        <v/>
      </c>
      <c r="N47" t="str">
        <f>IF(ISERROR(VLOOKUP(R47,新系统!R:R,1,0)),"原型有新系统没有","")</f>
        <v>原型有新系统没有</v>
      </c>
      <c r="O47" t="s">
        <v>124</v>
      </c>
      <c r="P47" t="s">
        <v>124</v>
      </c>
      <c r="Q47" t="s">
        <v>130</v>
      </c>
      <c r="R47" s="73" t="s">
        <v>134</v>
      </c>
    </row>
    <row r="48" ht="14" spans="1:18">
      <c r="A48" t="s">
        <v>124</v>
      </c>
      <c r="B48" t="s">
        <v>124</v>
      </c>
      <c r="C48" t="s">
        <v>130</v>
      </c>
      <c r="D48" s="56" t="s">
        <v>135</v>
      </c>
      <c r="E48" t="str">
        <f t="shared" si="4"/>
        <v>房地产|房地产|商业用房地产|商住两用房</v>
      </c>
      <c r="F48" t="str">
        <f t="shared" si="5"/>
        <v>房地产|商业用房地产|商住两用房</v>
      </c>
      <c r="G48" t="str">
        <f t="shared" si="6"/>
        <v>商业用房地产|商住两用房</v>
      </c>
      <c r="H48" t="str">
        <f>IF(ISERROR(VLOOKUP(E48,新系统!E:E,1,0)),"原型有新系统没有","")</f>
        <v/>
      </c>
      <c r="I48" t="str">
        <f>IF(ISERROR(VLOOKUP(F48,新系统!F:F,1,0)),"原型有新系统没有","")</f>
        <v/>
      </c>
      <c r="J48" t="str">
        <f>IF(ISERROR(VLOOKUP(G48,新系统!G:G,1,0)),"原型有新系统没有","")</f>
        <v/>
      </c>
      <c r="K48" t="str">
        <f>IF(ISERROR(VLOOKUP(O48,新系统!O:O,1,0)),"原型有新系统没有","")</f>
        <v/>
      </c>
      <c r="L48" t="str">
        <f>IF(ISERROR(VLOOKUP(P48,新系统!P:P,1,0)),"原型有新系统没有","")</f>
        <v/>
      </c>
      <c r="M48" t="str">
        <f>IF(ISERROR(VLOOKUP(Q48,新系统!Q:Q,1,0)),"原型有新系统没有","")</f>
        <v/>
      </c>
      <c r="N48" t="str">
        <f>IF(ISERROR(VLOOKUP(R48,新系统!R:R,1,0)),"原型有新系统没有","")</f>
        <v/>
      </c>
      <c r="O48" t="s">
        <v>124</v>
      </c>
      <c r="P48" t="s">
        <v>124</v>
      </c>
      <c r="Q48" t="s">
        <v>130</v>
      </c>
      <c r="R48" s="56" t="s">
        <v>135</v>
      </c>
    </row>
    <row r="49" ht="28" spans="1:18">
      <c r="A49" t="s">
        <v>124</v>
      </c>
      <c r="B49" t="s">
        <v>124</v>
      </c>
      <c r="C49" s="64" t="s">
        <v>136</v>
      </c>
      <c r="D49" s="56" t="s">
        <v>137</v>
      </c>
      <c r="E49" t="str">
        <f t="shared" si="4"/>
        <v>房地产|房地产|办公用房地产|写字楼/办公用房</v>
      </c>
      <c r="F49" t="str">
        <f t="shared" si="5"/>
        <v>房地产|办公用房地产|写字楼/办公用房</v>
      </c>
      <c r="G49" t="str">
        <f t="shared" si="6"/>
        <v>办公用房地产|写字楼/办公用房</v>
      </c>
      <c r="H49" t="str">
        <f>IF(ISERROR(VLOOKUP(E49,新系统!E:E,1,0)),"原型有新系统没有","")</f>
        <v/>
      </c>
      <c r="I49" t="str">
        <f>IF(ISERROR(VLOOKUP(F49,新系统!F:F,1,0)),"原型有新系统没有","")</f>
        <v/>
      </c>
      <c r="J49" t="str">
        <f>IF(ISERROR(VLOOKUP(G49,新系统!G:G,1,0)),"原型有新系统没有","")</f>
        <v/>
      </c>
      <c r="K49" t="str">
        <f>IF(ISERROR(VLOOKUP(O49,新系统!O:O,1,0)),"原型有新系统没有","")</f>
        <v/>
      </c>
      <c r="L49" t="str">
        <f>IF(ISERROR(VLOOKUP(P49,新系统!P:P,1,0)),"原型有新系统没有","")</f>
        <v/>
      </c>
      <c r="M49" t="str">
        <f>IF(ISERROR(VLOOKUP(Q49,新系统!Q:Q,1,0)),"原型有新系统没有","")</f>
        <v/>
      </c>
      <c r="N49" t="str">
        <f>IF(ISERROR(VLOOKUP(R49,新系统!R:R,1,0)),"原型有新系统没有","")</f>
        <v/>
      </c>
      <c r="O49" t="s">
        <v>124</v>
      </c>
      <c r="P49" t="s">
        <v>124</v>
      </c>
      <c r="Q49" s="64" t="s">
        <v>136</v>
      </c>
      <c r="R49" s="56" t="s">
        <v>138</v>
      </c>
    </row>
    <row r="50" ht="28" spans="1:18">
      <c r="A50" t="s">
        <v>124</v>
      </c>
      <c r="B50" t="s">
        <v>124</v>
      </c>
      <c r="C50" s="54" t="s">
        <v>139</v>
      </c>
      <c r="D50" s="73" t="s">
        <v>140</v>
      </c>
      <c r="E50" t="str">
        <f t="shared" si="4"/>
        <v>房地产|房地产|工业用房地产|工业厂房</v>
      </c>
      <c r="F50" t="str">
        <f t="shared" si="5"/>
        <v>房地产|工业用房地产|工业厂房</v>
      </c>
      <c r="G50" t="str">
        <f t="shared" si="6"/>
        <v>工业用房地产|工业厂房</v>
      </c>
      <c r="H50" t="str">
        <f>IF(ISERROR(VLOOKUP(E50,新系统!E:E,1,0)),"原型有新系统没有","")</f>
        <v/>
      </c>
      <c r="I50" t="str">
        <f>IF(ISERROR(VLOOKUP(F50,新系统!F:F,1,0)),"原型有新系统没有","")</f>
        <v/>
      </c>
      <c r="J50" t="str">
        <f>IF(ISERROR(VLOOKUP(G50,新系统!G:G,1,0)),"原型有新系统没有","")</f>
        <v/>
      </c>
      <c r="K50" t="str">
        <f>IF(ISERROR(VLOOKUP(O50,新系统!O:O,1,0)),"原型有新系统没有","")</f>
        <v/>
      </c>
      <c r="L50" t="str">
        <f>IF(ISERROR(VLOOKUP(P50,新系统!P:P,1,0)),"原型有新系统没有","")</f>
        <v/>
      </c>
      <c r="M50" t="str">
        <f>IF(ISERROR(VLOOKUP(Q50,新系统!Q:Q,1,0)),"原型有新系统没有","")</f>
        <v/>
      </c>
      <c r="N50" t="str">
        <f>IF(ISERROR(VLOOKUP(R50,新系统!R:R,1,0)),"原型有新系统没有","")</f>
        <v/>
      </c>
      <c r="O50" t="s">
        <v>124</v>
      </c>
      <c r="P50" t="s">
        <v>124</v>
      </c>
      <c r="Q50" s="54" t="s">
        <v>139</v>
      </c>
      <c r="R50" s="73" t="s">
        <v>140</v>
      </c>
    </row>
    <row r="51" ht="14" spans="1:18">
      <c r="A51" t="s">
        <v>124</v>
      </c>
      <c r="B51" t="s">
        <v>124</v>
      </c>
      <c r="C51" t="s">
        <v>139</v>
      </c>
      <c r="D51" s="56" t="s">
        <v>141</v>
      </c>
      <c r="E51" t="str">
        <f t="shared" si="4"/>
        <v>房地产|房地产|工业用房地产|仓库</v>
      </c>
      <c r="F51" t="str">
        <f t="shared" si="5"/>
        <v>房地产|工业用房地产|仓库</v>
      </c>
      <c r="G51" t="str">
        <f t="shared" si="6"/>
        <v>工业用房地产|仓库</v>
      </c>
      <c r="H51" t="str">
        <f>IF(ISERROR(VLOOKUP(E51,新系统!E:E,1,0)),"原型有新系统没有","")</f>
        <v/>
      </c>
      <c r="I51" t="str">
        <f>IF(ISERROR(VLOOKUP(F51,新系统!F:F,1,0)),"原型有新系统没有","")</f>
        <v/>
      </c>
      <c r="J51" t="str">
        <f>IF(ISERROR(VLOOKUP(G51,新系统!G:G,1,0)),"原型有新系统没有","")</f>
        <v/>
      </c>
      <c r="K51" t="str">
        <f>IF(ISERROR(VLOOKUP(O51,新系统!O:O,1,0)),"原型有新系统没有","")</f>
        <v/>
      </c>
      <c r="L51" t="str">
        <f>IF(ISERROR(VLOOKUP(P51,新系统!P:P,1,0)),"原型有新系统没有","")</f>
        <v/>
      </c>
      <c r="M51" t="str">
        <f>IF(ISERROR(VLOOKUP(Q51,新系统!Q:Q,1,0)),"原型有新系统没有","")</f>
        <v/>
      </c>
      <c r="N51" t="str">
        <f>IF(ISERROR(VLOOKUP(R51,新系统!R:R,1,0)),"原型有新系统没有","")</f>
        <v/>
      </c>
      <c r="O51" t="s">
        <v>124</v>
      </c>
      <c r="P51" t="s">
        <v>124</v>
      </c>
      <c r="Q51" t="s">
        <v>139</v>
      </c>
      <c r="R51" s="56" t="s">
        <v>141</v>
      </c>
    </row>
    <row r="52" ht="24" customHeight="1" spans="1:18">
      <c r="A52" t="s">
        <v>124</v>
      </c>
      <c r="B52" s="74" t="s">
        <v>142</v>
      </c>
      <c r="C52" s="75" t="s">
        <v>143</v>
      </c>
      <c r="D52" s="76" t="s">
        <v>144</v>
      </c>
      <c r="E52" t="str">
        <f t="shared" si="4"/>
        <v>房地产|土地使用权|居住用建设用地使用权|国有建设用地使用权-出让</v>
      </c>
      <c r="F52" t="str">
        <f t="shared" si="5"/>
        <v>土地使用权|居住用建设用地使用权|国有建设用地使用权-出让</v>
      </c>
      <c r="G52" t="str">
        <f t="shared" si="6"/>
        <v>居住用建设用地使用权|国有建设用地使用权-出让</v>
      </c>
      <c r="H52" t="str">
        <f>IF(ISERROR(VLOOKUP(E52,新系统!E:E,1,0)),"原型有新系统没有","")</f>
        <v/>
      </c>
      <c r="I52" t="str">
        <f>IF(ISERROR(VLOOKUP(F52,新系统!F:F,1,0)),"原型有新系统没有","")</f>
        <v/>
      </c>
      <c r="J52" t="str">
        <f>IF(ISERROR(VLOOKUP(G52,新系统!G:G,1,0)),"原型有新系统没有","")</f>
        <v/>
      </c>
      <c r="K52" t="str">
        <f>IF(ISERROR(VLOOKUP(O52,新系统!O:O,1,0)),"原型有新系统没有","")</f>
        <v/>
      </c>
      <c r="L52" t="str">
        <f>IF(ISERROR(VLOOKUP(P52,新系统!P:P,1,0)),"原型有新系统没有","")</f>
        <v/>
      </c>
      <c r="M52" t="str">
        <f>IF(ISERROR(VLOOKUP(Q52,新系统!Q:Q,1,0)),"原型有新系统没有","")</f>
        <v/>
      </c>
      <c r="N52" t="str">
        <f>IF(ISERROR(VLOOKUP(R52,新系统!R:R,1,0)),"原型有新系统没有","")</f>
        <v/>
      </c>
      <c r="O52" t="s">
        <v>124</v>
      </c>
      <c r="P52" s="74" t="s">
        <v>142</v>
      </c>
      <c r="Q52" s="75" t="s">
        <v>143</v>
      </c>
      <c r="R52" s="76" t="s">
        <v>145</v>
      </c>
    </row>
    <row r="53" ht="24" customHeight="1" spans="1:18">
      <c r="A53" t="s">
        <v>124</v>
      </c>
      <c r="B53" t="s">
        <v>142</v>
      </c>
      <c r="C53" t="s">
        <v>143</v>
      </c>
      <c r="D53" s="76" t="s">
        <v>146</v>
      </c>
      <c r="E53" t="str">
        <f t="shared" si="4"/>
        <v>房地产|土地使用权|居住用建设用地使用权|国有建设用地使用权-划拨</v>
      </c>
      <c r="F53" t="str">
        <f t="shared" si="5"/>
        <v>土地使用权|居住用建设用地使用权|国有建设用地使用权-划拨</v>
      </c>
      <c r="G53" t="str">
        <f t="shared" si="6"/>
        <v>居住用建设用地使用权|国有建设用地使用权-划拨</v>
      </c>
      <c r="H53" t="str">
        <f>IF(ISERROR(VLOOKUP(E53,新系统!E:E,1,0)),"原型有新系统没有","")</f>
        <v/>
      </c>
      <c r="I53" t="str">
        <f>IF(ISERROR(VLOOKUP(F53,新系统!F:F,1,0)),"原型有新系统没有","")</f>
        <v/>
      </c>
      <c r="J53" t="str">
        <f>IF(ISERROR(VLOOKUP(G53,新系统!G:G,1,0)),"原型有新系统没有","")</f>
        <v/>
      </c>
      <c r="K53" t="str">
        <f>IF(ISERROR(VLOOKUP(O53,新系统!O:O,1,0)),"原型有新系统没有","")</f>
        <v/>
      </c>
      <c r="L53" t="str">
        <f>IF(ISERROR(VLOOKUP(P53,新系统!P:P,1,0)),"原型有新系统没有","")</f>
        <v/>
      </c>
      <c r="M53" t="str">
        <f>IF(ISERROR(VLOOKUP(Q53,新系统!Q:Q,1,0)),"原型有新系统没有","")</f>
        <v/>
      </c>
      <c r="N53" t="str">
        <f>IF(ISERROR(VLOOKUP(R53,新系统!R:R,1,0)),"原型有新系统没有","")</f>
        <v/>
      </c>
      <c r="O53" t="s">
        <v>124</v>
      </c>
      <c r="P53" t="s">
        <v>142</v>
      </c>
      <c r="Q53" t="s">
        <v>143</v>
      </c>
      <c r="R53" s="76" t="s">
        <v>147</v>
      </c>
    </row>
    <row r="54" ht="28" spans="1:18">
      <c r="A54" t="s">
        <v>124</v>
      </c>
      <c r="B54" t="s">
        <v>142</v>
      </c>
      <c r="C54" t="s">
        <v>143</v>
      </c>
      <c r="D54" s="76" t="s">
        <v>148</v>
      </c>
      <c r="E54" t="str">
        <f t="shared" si="4"/>
        <v>房地产|土地使用权|居住用建设用地使用权|农村住房财产权</v>
      </c>
      <c r="F54" t="str">
        <f t="shared" si="5"/>
        <v>土地使用权|居住用建设用地使用权|农村住房财产权</v>
      </c>
      <c r="G54" t="str">
        <f t="shared" si="6"/>
        <v>居住用建设用地使用权|农村住房财产权</v>
      </c>
      <c r="H54" t="str">
        <f>IF(ISERROR(VLOOKUP(E54,新系统!E:E,1,0)),"原型有新系统没有","")</f>
        <v/>
      </c>
      <c r="I54" t="str">
        <f>IF(ISERROR(VLOOKUP(F54,新系统!F:F,1,0)),"原型有新系统没有","")</f>
        <v/>
      </c>
      <c r="J54" t="str">
        <f>IF(ISERROR(VLOOKUP(G54,新系统!G:G,1,0)),"原型有新系统没有","")</f>
        <v/>
      </c>
      <c r="K54" t="str">
        <f>IF(ISERROR(VLOOKUP(O54,新系统!O:O,1,0)),"原型有新系统没有","")</f>
        <v/>
      </c>
      <c r="L54" t="str">
        <f>IF(ISERROR(VLOOKUP(P54,新系统!P:P,1,0)),"原型有新系统没有","")</f>
        <v/>
      </c>
      <c r="M54" t="str">
        <f>IF(ISERROR(VLOOKUP(Q54,新系统!Q:Q,1,0)),"原型有新系统没有","")</f>
        <v/>
      </c>
      <c r="N54" t="str">
        <f>IF(ISERROR(VLOOKUP(R54,新系统!R:R,1,0)),"原型有新系统没有","")</f>
        <v/>
      </c>
      <c r="O54" t="s">
        <v>124</v>
      </c>
      <c r="P54" t="s">
        <v>142</v>
      </c>
      <c r="Q54" t="s">
        <v>143</v>
      </c>
      <c r="R54" s="76" t="s">
        <v>148</v>
      </c>
    </row>
    <row r="55" ht="24" customHeight="1" spans="1:18">
      <c r="A55" t="s">
        <v>124</v>
      </c>
      <c r="B55" t="s">
        <v>142</v>
      </c>
      <c r="C55" s="75" t="s">
        <v>149</v>
      </c>
      <c r="D55" s="76" t="s">
        <v>144</v>
      </c>
      <c r="E55" t="str">
        <f t="shared" si="4"/>
        <v>房地产|土地使用权|经营性建设用地使用权|国有建设用地使用权-出让</v>
      </c>
      <c r="F55" t="str">
        <f t="shared" si="5"/>
        <v>土地使用权|经营性建设用地使用权|国有建设用地使用权-出让</v>
      </c>
      <c r="G55" t="str">
        <f t="shared" si="6"/>
        <v>经营性建设用地使用权|国有建设用地使用权-出让</v>
      </c>
      <c r="H55" t="str">
        <f>IF(ISERROR(VLOOKUP(E55,新系统!E:E,1,0)),"原型有新系统没有","")</f>
        <v/>
      </c>
      <c r="I55" t="str">
        <f>IF(ISERROR(VLOOKUP(F55,新系统!F:F,1,0)),"原型有新系统没有","")</f>
        <v/>
      </c>
      <c r="J55" t="str">
        <f>IF(ISERROR(VLOOKUP(G55,新系统!G:G,1,0)),"原型有新系统没有","")</f>
        <v/>
      </c>
      <c r="K55" t="str">
        <f>IF(ISERROR(VLOOKUP(O55,新系统!O:O,1,0)),"原型有新系统没有","")</f>
        <v/>
      </c>
      <c r="L55" t="str">
        <f>IF(ISERROR(VLOOKUP(P55,新系统!P:P,1,0)),"原型有新系统没有","")</f>
        <v/>
      </c>
      <c r="M55" t="str">
        <f>IF(ISERROR(VLOOKUP(Q55,新系统!Q:Q,1,0)),"原型有新系统没有","")</f>
        <v/>
      </c>
      <c r="N55" t="str">
        <f>IF(ISERROR(VLOOKUP(R55,新系统!R:R,1,0)),"原型有新系统没有","")</f>
        <v/>
      </c>
      <c r="O55" t="s">
        <v>124</v>
      </c>
      <c r="P55" t="s">
        <v>142</v>
      </c>
      <c r="Q55" s="75" t="s">
        <v>149</v>
      </c>
      <c r="R55" s="76" t="s">
        <v>145</v>
      </c>
    </row>
    <row r="56" ht="24" customHeight="1" spans="1:18">
      <c r="A56" t="s">
        <v>124</v>
      </c>
      <c r="B56" t="s">
        <v>142</v>
      </c>
      <c r="C56" t="s">
        <v>149</v>
      </c>
      <c r="D56" s="76" t="s">
        <v>146</v>
      </c>
      <c r="E56" t="str">
        <f t="shared" si="4"/>
        <v>房地产|土地使用权|经营性建设用地使用权|国有建设用地使用权-划拨</v>
      </c>
      <c r="F56" t="str">
        <f t="shared" si="5"/>
        <v>土地使用权|经营性建设用地使用权|国有建设用地使用权-划拨</v>
      </c>
      <c r="G56" t="str">
        <f t="shared" si="6"/>
        <v>经营性建设用地使用权|国有建设用地使用权-划拨</v>
      </c>
      <c r="H56" t="str">
        <f>IF(ISERROR(VLOOKUP(E56,新系统!E:E,1,0)),"原型有新系统没有","")</f>
        <v>原型有新系统没有</v>
      </c>
      <c r="I56" t="str">
        <f>IF(ISERROR(VLOOKUP(F56,新系统!F:F,1,0)),"原型有新系统没有","")</f>
        <v>原型有新系统没有</v>
      </c>
      <c r="J56" t="str">
        <f>IF(ISERROR(VLOOKUP(G56,新系统!G:G,1,0)),"原型有新系统没有","")</f>
        <v>原型有新系统没有</v>
      </c>
      <c r="K56" t="str">
        <f>IF(ISERROR(VLOOKUP(O56,新系统!O:O,1,0)),"原型有新系统没有","")</f>
        <v/>
      </c>
      <c r="L56" t="str">
        <f>IF(ISERROR(VLOOKUP(P56,新系统!P:P,1,0)),"原型有新系统没有","")</f>
        <v/>
      </c>
      <c r="M56" t="str">
        <f>IF(ISERROR(VLOOKUP(Q56,新系统!Q:Q,1,0)),"原型有新系统没有","")</f>
        <v/>
      </c>
      <c r="N56" t="str">
        <f>IF(ISERROR(VLOOKUP(R56,新系统!R:R,1,0)),"原型有新系统没有","")</f>
        <v/>
      </c>
      <c r="O56" t="s">
        <v>124</v>
      </c>
      <c r="P56" t="s">
        <v>142</v>
      </c>
      <c r="Q56" t="s">
        <v>149</v>
      </c>
      <c r="R56" s="76" t="s">
        <v>147</v>
      </c>
    </row>
    <row r="57" ht="24" customHeight="1" spans="1:18">
      <c r="A57" t="s">
        <v>124</v>
      </c>
      <c r="B57" t="s">
        <v>142</v>
      </c>
      <c r="C57" t="s">
        <v>149</v>
      </c>
      <c r="D57" s="76" t="s">
        <v>150</v>
      </c>
      <c r="E57" t="str">
        <f t="shared" si="4"/>
        <v>房地产|土地使用权|经营性建设用地使用权|集体/农村经营性建设用地使用权</v>
      </c>
      <c r="F57" t="str">
        <f t="shared" si="5"/>
        <v>土地使用权|经营性建设用地使用权|集体/农村经营性建设用地使用权</v>
      </c>
      <c r="G57" t="str">
        <f t="shared" si="6"/>
        <v>经营性建设用地使用权|集体/农村经营性建设用地使用权</v>
      </c>
      <c r="H57" t="str">
        <f>IF(ISERROR(VLOOKUP(E57,新系统!E:E,1,0)),"原型有新系统没有","")</f>
        <v/>
      </c>
      <c r="I57" t="str">
        <f>IF(ISERROR(VLOOKUP(F57,新系统!F:F,1,0)),"原型有新系统没有","")</f>
        <v/>
      </c>
      <c r="J57" t="str">
        <f>IF(ISERROR(VLOOKUP(G57,新系统!G:G,1,0)),"原型有新系统没有","")</f>
        <v/>
      </c>
      <c r="K57" t="str">
        <f>IF(ISERROR(VLOOKUP(O57,新系统!O:O,1,0)),"原型有新系统没有","")</f>
        <v/>
      </c>
      <c r="L57" t="str">
        <f>IF(ISERROR(VLOOKUP(P57,新系统!P:P,1,0)),"原型有新系统没有","")</f>
        <v/>
      </c>
      <c r="M57" t="str">
        <f>IF(ISERROR(VLOOKUP(Q57,新系统!Q:Q,1,0)),"原型有新系统没有","")</f>
        <v/>
      </c>
      <c r="N57" t="str">
        <f>IF(ISERROR(VLOOKUP(R57,新系统!R:R,1,0)),"原型有新系统没有","")</f>
        <v/>
      </c>
      <c r="O57" t="s">
        <v>124</v>
      </c>
      <c r="P57" t="s">
        <v>142</v>
      </c>
      <c r="Q57" t="s">
        <v>149</v>
      </c>
      <c r="R57" s="76" t="s">
        <v>151</v>
      </c>
    </row>
    <row r="58" ht="28" spans="1:18">
      <c r="A58" t="s">
        <v>124</v>
      </c>
      <c r="B58" t="s">
        <v>142</v>
      </c>
      <c r="C58" t="s">
        <v>149</v>
      </c>
      <c r="D58" s="76" t="s">
        <v>152</v>
      </c>
      <c r="E58" t="str">
        <f t="shared" si="4"/>
        <v>房地产|土地使用权|经营性建设用地使用权|农村土地承包经营权</v>
      </c>
      <c r="F58" t="str">
        <f t="shared" si="5"/>
        <v>土地使用权|经营性建设用地使用权|农村土地承包经营权</v>
      </c>
      <c r="G58" t="str">
        <f t="shared" si="6"/>
        <v>经营性建设用地使用权|农村土地承包经营权</v>
      </c>
      <c r="H58" t="str">
        <f>IF(ISERROR(VLOOKUP(E58,新系统!E:E,1,0)),"原型有新系统没有","")</f>
        <v>原型有新系统没有</v>
      </c>
      <c r="I58" t="str">
        <f>IF(ISERROR(VLOOKUP(F58,新系统!F:F,1,0)),"原型有新系统没有","")</f>
        <v>原型有新系统没有</v>
      </c>
      <c r="J58" t="str">
        <f>IF(ISERROR(VLOOKUP(G58,新系统!G:G,1,0)),"原型有新系统没有","")</f>
        <v>原型有新系统没有</v>
      </c>
      <c r="K58" t="str">
        <f>IF(ISERROR(VLOOKUP(O58,新系统!O:O,1,0)),"原型有新系统没有","")</f>
        <v/>
      </c>
      <c r="L58" t="str">
        <f>IF(ISERROR(VLOOKUP(P58,新系统!P:P,1,0)),"原型有新系统没有","")</f>
        <v/>
      </c>
      <c r="M58" t="str">
        <f>IF(ISERROR(VLOOKUP(Q58,新系统!Q:Q,1,0)),"原型有新系统没有","")</f>
        <v/>
      </c>
      <c r="N58" t="str">
        <f>IF(ISERROR(VLOOKUP(R58,新系统!R:R,1,0)),"原型有新系统没有","")</f>
        <v>原型有新系统没有</v>
      </c>
      <c r="O58" t="s">
        <v>124</v>
      </c>
      <c r="P58" t="s">
        <v>142</v>
      </c>
      <c r="Q58" t="s">
        <v>149</v>
      </c>
      <c r="R58" s="76" t="s">
        <v>152</v>
      </c>
    </row>
    <row r="59" ht="28" spans="1:18">
      <c r="A59" t="s">
        <v>124</v>
      </c>
      <c r="B59" t="s">
        <v>153</v>
      </c>
      <c r="C59" s="78" t="s">
        <v>154</v>
      </c>
      <c r="D59" s="76" t="s">
        <v>154</v>
      </c>
      <c r="E59" t="str">
        <f t="shared" si="4"/>
        <v>房地产|房产类在建工程（不含土地使用权）|居住用房产类在建工程|居住用房产类在建工程</v>
      </c>
      <c r="F59" t="str">
        <f t="shared" si="5"/>
        <v>房产类在建工程（不含土地使用权）|居住用房产类在建工程|居住用房产类在建工程</v>
      </c>
      <c r="G59" t="str">
        <f t="shared" si="6"/>
        <v>居住用房产类在建工程|居住用房产类在建工程</v>
      </c>
      <c r="H59" t="str">
        <f>IF(ISERROR(VLOOKUP(E59,新系统!E:E,1,0)),"原型有新系统没有","")</f>
        <v>原型有新系统没有</v>
      </c>
      <c r="I59" t="str">
        <f>IF(ISERROR(VLOOKUP(F59,新系统!F:F,1,0)),"原型有新系统没有","")</f>
        <v>原型有新系统没有</v>
      </c>
      <c r="J59" t="str">
        <f>IF(ISERROR(VLOOKUP(G59,新系统!G:G,1,0)),"原型有新系统没有","")</f>
        <v/>
      </c>
      <c r="K59" t="str">
        <f>IF(ISERROR(VLOOKUP(O59,新系统!O:O,1,0)),"原型有新系统没有","")</f>
        <v/>
      </c>
      <c r="L59" t="str">
        <f>IF(ISERROR(VLOOKUP(P59,新系统!P:P,1,0)),"原型有新系统没有","")</f>
        <v/>
      </c>
      <c r="M59" t="str">
        <f>IF(ISERROR(VLOOKUP(Q59,新系统!Q:Q,1,0)),"原型有新系统没有","")</f>
        <v/>
      </c>
      <c r="N59" t="str">
        <f>IF(ISERROR(VLOOKUP(R59,新系统!R:R,1,0)),"原型有新系统没有","")</f>
        <v/>
      </c>
      <c r="O59" t="s">
        <v>124</v>
      </c>
      <c r="P59" s="77" t="s">
        <v>155</v>
      </c>
      <c r="Q59" s="78" t="s">
        <v>154</v>
      </c>
      <c r="R59" s="76" t="s">
        <v>154</v>
      </c>
    </row>
    <row r="60" ht="28" spans="1:18">
      <c r="A60" t="s">
        <v>124</v>
      </c>
      <c r="B60" t="s">
        <v>153</v>
      </c>
      <c r="C60" s="75" t="s">
        <v>156</v>
      </c>
      <c r="D60" s="76" t="s">
        <v>157</v>
      </c>
      <c r="E60" t="str">
        <f t="shared" si="4"/>
        <v>房地产|房产类在建工程（不含土地使用权）|经营性房产类在建工程|商业用房产类在建工程</v>
      </c>
      <c r="F60" t="str">
        <f t="shared" si="5"/>
        <v>房产类在建工程（不含土地使用权）|经营性房产类在建工程|商业用房产类在建工程</v>
      </c>
      <c r="G60" t="str">
        <f t="shared" si="6"/>
        <v>经营性房产类在建工程|商业用房产类在建工程</v>
      </c>
      <c r="H60" t="str">
        <f>IF(ISERROR(VLOOKUP(E60,新系统!E:E,1,0)),"原型有新系统没有","")</f>
        <v>原型有新系统没有</v>
      </c>
      <c r="I60" t="str">
        <f>IF(ISERROR(VLOOKUP(F60,新系统!F:F,1,0)),"原型有新系统没有","")</f>
        <v>原型有新系统没有</v>
      </c>
      <c r="J60" t="str">
        <f>IF(ISERROR(VLOOKUP(G60,新系统!G:G,1,0)),"原型有新系统没有","")</f>
        <v/>
      </c>
      <c r="K60" t="str">
        <f>IF(ISERROR(VLOOKUP(O60,新系统!O:O,1,0)),"原型有新系统没有","")</f>
        <v/>
      </c>
      <c r="L60" t="str">
        <f>IF(ISERROR(VLOOKUP(P60,新系统!P:P,1,0)),"原型有新系统没有","")</f>
        <v/>
      </c>
      <c r="M60" t="str">
        <f>IF(ISERROR(VLOOKUP(Q60,新系统!Q:Q,1,0)),"原型有新系统没有","")</f>
        <v/>
      </c>
      <c r="N60" t="str">
        <f>IF(ISERROR(VLOOKUP(R60,新系统!R:R,1,0)),"原型有新系统没有","")</f>
        <v/>
      </c>
      <c r="O60" t="s">
        <v>124</v>
      </c>
      <c r="P60" s="77" t="s">
        <v>155</v>
      </c>
      <c r="Q60" s="75" t="s">
        <v>156</v>
      </c>
      <c r="R60" s="76" t="s">
        <v>157</v>
      </c>
    </row>
    <row r="61" ht="28" spans="1:18">
      <c r="A61" t="s">
        <v>124</v>
      </c>
      <c r="B61" t="s">
        <v>153</v>
      </c>
      <c r="C61" t="s">
        <v>156</v>
      </c>
      <c r="D61" s="76" t="s">
        <v>158</v>
      </c>
      <c r="E61" t="str">
        <f t="shared" ref="E61:E92" si="7">CLEAN(A61)&amp;"|"&amp;CLEAN(B61)&amp;"|"&amp;CLEAN(C61)&amp;"|"&amp;CLEAN(D61)</f>
        <v>房地产|房产类在建工程（不含土地使用权）|经营性房产类在建工程|办公用房产类在建工程</v>
      </c>
      <c r="F61" t="str">
        <f t="shared" si="5"/>
        <v>房产类在建工程（不含土地使用权）|经营性房产类在建工程|办公用房产类在建工程</v>
      </c>
      <c r="G61" t="str">
        <f t="shared" si="6"/>
        <v>经营性房产类在建工程|办公用房产类在建工程</v>
      </c>
      <c r="H61" t="str">
        <f>IF(ISERROR(VLOOKUP(E61,新系统!E:E,1,0)),"原型有新系统没有","")</f>
        <v>原型有新系统没有</v>
      </c>
      <c r="I61" t="str">
        <f>IF(ISERROR(VLOOKUP(F61,新系统!F:F,1,0)),"原型有新系统没有","")</f>
        <v>原型有新系统没有</v>
      </c>
      <c r="J61" t="str">
        <f>IF(ISERROR(VLOOKUP(G61,新系统!G:G,1,0)),"原型有新系统没有","")</f>
        <v/>
      </c>
      <c r="K61" t="str">
        <f>IF(ISERROR(VLOOKUP(O61,新系统!O:O,1,0)),"原型有新系统没有","")</f>
        <v/>
      </c>
      <c r="L61" t="str">
        <f>IF(ISERROR(VLOOKUP(P61,新系统!P:P,1,0)),"原型有新系统没有","")</f>
        <v/>
      </c>
      <c r="M61" t="str">
        <f>IF(ISERROR(VLOOKUP(Q61,新系统!Q:Q,1,0)),"原型有新系统没有","")</f>
        <v/>
      </c>
      <c r="N61" t="str">
        <f>IF(ISERROR(VLOOKUP(R61,新系统!R:R,1,0)),"原型有新系统没有","")</f>
        <v/>
      </c>
      <c r="O61" t="s">
        <v>124</v>
      </c>
      <c r="P61" s="77" t="s">
        <v>155</v>
      </c>
      <c r="Q61" t="s">
        <v>156</v>
      </c>
      <c r="R61" s="76" t="s">
        <v>158</v>
      </c>
    </row>
    <row r="62" ht="28" spans="1:18">
      <c r="A62" t="s">
        <v>124</v>
      </c>
      <c r="B62" t="s">
        <v>159</v>
      </c>
      <c r="C62" t="s">
        <v>156</v>
      </c>
      <c r="D62" s="76" t="s">
        <v>160</v>
      </c>
      <c r="E62" t="str">
        <f t="shared" si="7"/>
        <v>房地产|房产类在建工程（不含土地使用权）|经营性房产类在建工程|工业用房产类在建工程</v>
      </c>
      <c r="F62" t="str">
        <f t="shared" si="5"/>
        <v>房产类在建工程（不含土地使用权）|经营性房产类在建工程|工业用房产类在建工程</v>
      </c>
      <c r="G62" t="str">
        <f t="shared" si="6"/>
        <v>经营性房产类在建工程|工业用房产类在建工程</v>
      </c>
      <c r="H62" t="str">
        <f>IF(ISERROR(VLOOKUP(E62,新系统!E:E,1,0)),"原型有新系统没有","")</f>
        <v>原型有新系统没有</v>
      </c>
      <c r="I62" t="str">
        <f>IF(ISERROR(VLOOKUP(F62,新系统!F:F,1,0)),"原型有新系统没有","")</f>
        <v>原型有新系统没有</v>
      </c>
      <c r="J62" t="str">
        <f>IF(ISERROR(VLOOKUP(G62,新系统!G:G,1,0)),"原型有新系统没有","")</f>
        <v/>
      </c>
      <c r="K62" t="str">
        <f>IF(ISERROR(VLOOKUP(O62,新系统!O:O,1,0)),"原型有新系统没有","")</f>
        <v/>
      </c>
      <c r="L62" t="str">
        <f>IF(ISERROR(VLOOKUP(P62,新系统!P:P,1,0)),"原型有新系统没有","")</f>
        <v/>
      </c>
      <c r="M62" t="str">
        <f>IF(ISERROR(VLOOKUP(Q62,新系统!Q:Q,1,0)),"原型有新系统没有","")</f>
        <v/>
      </c>
      <c r="N62" t="str">
        <f>IF(ISERROR(VLOOKUP(R62,新系统!R:R,1,0)),"原型有新系统没有","")</f>
        <v/>
      </c>
      <c r="O62" t="s">
        <v>124</v>
      </c>
      <c r="P62" s="77" t="s">
        <v>155</v>
      </c>
      <c r="Q62" t="s">
        <v>156</v>
      </c>
      <c r="R62" s="76" t="s">
        <v>160</v>
      </c>
    </row>
    <row r="63" ht="28" spans="1:18">
      <c r="A63" t="s">
        <v>124</v>
      </c>
      <c r="B63" s="79" t="s">
        <v>161</v>
      </c>
      <c r="C63" s="78" t="s">
        <v>161</v>
      </c>
      <c r="D63" s="76" t="s">
        <v>161</v>
      </c>
      <c r="E63" t="str">
        <f t="shared" si="7"/>
        <v>房地产|其他房地产类押品|其他房地产类押品|其他房地产类押品</v>
      </c>
      <c r="F63" t="str">
        <f t="shared" si="5"/>
        <v>其他房地产类押品|其他房地产类押品|其他房地产类押品</v>
      </c>
      <c r="G63" t="str">
        <f t="shared" si="6"/>
        <v>其他房地产类押品|其他房地产类押品</v>
      </c>
      <c r="H63" t="str">
        <f>IF(ISERROR(VLOOKUP(E63,新系统!E:E,1,0)),"原型有新系统没有","")</f>
        <v/>
      </c>
      <c r="I63" t="str">
        <f>IF(ISERROR(VLOOKUP(F63,新系统!F:F,1,0)),"原型有新系统没有","")</f>
        <v/>
      </c>
      <c r="J63" t="str">
        <f>IF(ISERROR(VLOOKUP(G63,新系统!G:G,1,0)),"原型有新系统没有","")</f>
        <v/>
      </c>
      <c r="K63" t="str">
        <f>IF(ISERROR(VLOOKUP(O63,新系统!O:O,1,0)),"原型有新系统没有","")</f>
        <v/>
      </c>
      <c r="L63" t="str">
        <f>IF(ISERROR(VLOOKUP(P63,新系统!P:P,1,0)),"原型有新系统没有","")</f>
        <v/>
      </c>
      <c r="M63" t="str">
        <f>IF(ISERROR(VLOOKUP(Q63,新系统!Q:Q,1,0)),"原型有新系统没有","")</f>
        <v/>
      </c>
      <c r="N63" t="str">
        <f>IF(ISERROR(VLOOKUP(R63,新系统!R:R,1,0)),"原型有新系统没有","")</f>
        <v/>
      </c>
      <c r="O63" t="s">
        <v>124</v>
      </c>
      <c r="P63" s="79" t="s">
        <v>161</v>
      </c>
      <c r="Q63" s="78" t="s">
        <v>161</v>
      </c>
      <c r="R63" s="76" t="s">
        <v>161</v>
      </c>
    </row>
    <row r="64" ht="36" customHeight="1" spans="1:18">
      <c r="A64" s="53" t="s">
        <v>162</v>
      </c>
      <c r="B64" s="80" t="s">
        <v>163</v>
      </c>
      <c r="C64" s="75" t="s">
        <v>164</v>
      </c>
      <c r="D64" s="76" t="s">
        <v>165</v>
      </c>
      <c r="E64" t="str">
        <f t="shared" si="7"/>
        <v>应收账款|普通应收账款（交易类）|普通应收账款-中石油集团成员单位|交易准备阶段或交易签约但未实施阶段对应应收账款</v>
      </c>
      <c r="F64" t="str">
        <f t="shared" si="5"/>
        <v>普通应收账款（交易类）|普通应收账款-中石油集团成员单位|交易准备阶段或交易签约但未实施阶段对应应收账款</v>
      </c>
      <c r="G64" t="str">
        <f t="shared" si="6"/>
        <v>普通应收账款-中石油集团成员单位|交易准备阶段或交易签约但未实施阶段对应应收账款</v>
      </c>
      <c r="H64" t="str">
        <f>IF(ISERROR(VLOOKUP(E64,新系统!E:E,1,0)),"原型有新系统没有","")</f>
        <v>原型有新系统没有</v>
      </c>
      <c r="I64" t="str">
        <f>IF(ISERROR(VLOOKUP(F64,新系统!F:F,1,0)),"原型有新系统没有","")</f>
        <v>原型有新系统没有</v>
      </c>
      <c r="J64" t="str">
        <f>IF(ISERROR(VLOOKUP(G64,新系统!G:G,1,0)),"原型有新系统没有","")</f>
        <v>原型有新系统没有</v>
      </c>
      <c r="K64" t="str">
        <f>IF(ISERROR(VLOOKUP(O64,新系统!O:O,1,0)),"原型有新系统没有","")</f>
        <v/>
      </c>
      <c r="L64" t="str">
        <f>IF(ISERROR(VLOOKUP(P64,新系统!P:P,1,0)),"原型有新系统没有","")</f>
        <v/>
      </c>
      <c r="M64" t="str">
        <f>IF(ISERROR(VLOOKUP(Q64,新系统!Q:Q,1,0)),"原型有新系统没有","")</f>
        <v>原型有新系统没有</v>
      </c>
      <c r="N64" t="str">
        <f>IF(ISERROR(VLOOKUP(R64,新系统!R:R,1,0)),"原型有新系统没有","")</f>
        <v>原型有新系统没有</v>
      </c>
      <c r="O64" s="53" t="s">
        <v>162</v>
      </c>
      <c r="P64" s="80" t="s">
        <v>166</v>
      </c>
      <c r="Q64" s="75" t="s">
        <v>167</v>
      </c>
      <c r="R64" s="76" t="s">
        <v>165</v>
      </c>
    </row>
    <row r="65" ht="36" customHeight="1" spans="1:18">
      <c r="A65" t="s">
        <v>162</v>
      </c>
      <c r="B65" t="s">
        <v>163</v>
      </c>
      <c r="C65" t="s">
        <v>164</v>
      </c>
      <c r="D65" s="76" t="s">
        <v>168</v>
      </c>
      <c r="E65" t="str">
        <f t="shared" si="7"/>
        <v>应收账款|普通应收账款（交易类）|普通应收账款-中石油集团成员单位|交易实施阶段（已实质产生工作量阶段）对应应收账款</v>
      </c>
      <c r="F65" t="str">
        <f t="shared" si="5"/>
        <v>普通应收账款（交易类）|普通应收账款-中石油集团成员单位|交易实施阶段（已实质产生工作量阶段）对应应收账款</v>
      </c>
      <c r="G65" t="str">
        <f t="shared" si="6"/>
        <v>普通应收账款-中石油集团成员单位|交易实施阶段（已实质产生工作量阶段）对应应收账款</v>
      </c>
      <c r="H65" t="str">
        <f>IF(ISERROR(VLOOKUP(E65,新系统!E:E,1,0)),"原型有新系统没有","")</f>
        <v>原型有新系统没有</v>
      </c>
      <c r="I65" t="str">
        <f>IF(ISERROR(VLOOKUP(F65,新系统!F:F,1,0)),"原型有新系统没有","")</f>
        <v>原型有新系统没有</v>
      </c>
      <c r="J65" t="str">
        <f>IF(ISERROR(VLOOKUP(G65,新系统!G:G,1,0)),"原型有新系统没有","")</f>
        <v>原型有新系统没有</v>
      </c>
      <c r="K65" t="str">
        <f>IF(ISERROR(VLOOKUP(O65,新系统!O:O,1,0)),"原型有新系统没有","")</f>
        <v/>
      </c>
      <c r="L65" t="str">
        <f>IF(ISERROR(VLOOKUP(P65,新系统!P:P,1,0)),"原型有新系统没有","")</f>
        <v/>
      </c>
      <c r="M65" t="str">
        <f>IF(ISERROR(VLOOKUP(Q65,新系统!Q:Q,1,0)),"原型有新系统没有","")</f>
        <v>原型有新系统没有</v>
      </c>
      <c r="N65" t="str">
        <f>IF(ISERROR(VLOOKUP(R65,新系统!R:R,1,0)),"原型有新系统没有","")</f>
        <v>原型有新系统没有</v>
      </c>
      <c r="O65" t="s">
        <v>162</v>
      </c>
      <c r="P65" t="s">
        <v>166</v>
      </c>
      <c r="Q65" t="s">
        <v>167</v>
      </c>
      <c r="R65" s="76" t="s">
        <v>169</v>
      </c>
    </row>
    <row r="66" ht="28" spans="1:18">
      <c r="A66" t="s">
        <v>162</v>
      </c>
      <c r="B66" t="s">
        <v>163</v>
      </c>
      <c r="C66" t="s">
        <v>164</v>
      </c>
      <c r="D66" s="76" t="s">
        <v>170</v>
      </c>
      <c r="E66" t="str">
        <f t="shared" si="7"/>
        <v>应收账款|普通应收账款（交易类）|普通应收账款-中石油集团成员单位|结算阶段对应应收账款</v>
      </c>
      <c r="F66" t="str">
        <f t="shared" ref="F66:F97" si="8">CLEAN(B66)&amp;"|"&amp;CLEAN(C66)&amp;"|"&amp;CLEAN(D66)</f>
        <v>普通应收账款（交易类）|普通应收账款-中石油集团成员单位|结算阶段对应应收账款</v>
      </c>
      <c r="G66" t="str">
        <f t="shared" ref="G66:G97" si="9">CLEAN(C66)&amp;"|"&amp;CLEAN(D66)</f>
        <v>普通应收账款-中石油集团成员单位|结算阶段对应应收账款</v>
      </c>
      <c r="H66" t="str">
        <f>IF(ISERROR(VLOOKUP(E66,新系统!E:E,1,0)),"原型有新系统没有","")</f>
        <v>原型有新系统没有</v>
      </c>
      <c r="I66" t="str">
        <f>IF(ISERROR(VLOOKUP(F66,新系统!F:F,1,0)),"原型有新系统没有","")</f>
        <v>原型有新系统没有</v>
      </c>
      <c r="J66" t="str">
        <f>IF(ISERROR(VLOOKUP(G66,新系统!G:G,1,0)),"原型有新系统没有","")</f>
        <v>原型有新系统没有</v>
      </c>
      <c r="K66" t="str">
        <f>IF(ISERROR(VLOOKUP(O66,新系统!O:O,1,0)),"原型有新系统没有","")</f>
        <v/>
      </c>
      <c r="L66" t="str">
        <f>IF(ISERROR(VLOOKUP(P66,新系统!P:P,1,0)),"原型有新系统没有","")</f>
        <v/>
      </c>
      <c r="M66" t="str">
        <f>IF(ISERROR(VLOOKUP(Q66,新系统!Q:Q,1,0)),"原型有新系统没有","")</f>
        <v>原型有新系统没有</v>
      </c>
      <c r="N66" t="str">
        <f>IF(ISERROR(VLOOKUP(R66,新系统!R:R,1,0)),"原型有新系统没有","")</f>
        <v>原型有新系统没有</v>
      </c>
      <c r="O66" t="s">
        <v>162</v>
      </c>
      <c r="P66" t="s">
        <v>166</v>
      </c>
      <c r="Q66" t="s">
        <v>167</v>
      </c>
      <c r="R66" s="76" t="s">
        <v>170</v>
      </c>
    </row>
    <row r="67" ht="28" spans="1:18">
      <c r="A67" t="s">
        <v>162</v>
      </c>
      <c r="B67" t="s">
        <v>163</v>
      </c>
      <c r="C67" s="75" t="s">
        <v>171</v>
      </c>
      <c r="D67" s="82" t="s">
        <v>172</v>
      </c>
      <c r="E67" t="str">
        <f t="shared" si="7"/>
        <v>应收账款|普通应收账款（交易类）|普通应收账款-其他企业|其他企业普通应收账款</v>
      </c>
      <c r="F67" t="str">
        <f t="shared" si="8"/>
        <v>普通应收账款（交易类）|普通应收账款-其他企业|其他企业普通应收账款</v>
      </c>
      <c r="G67" t="str">
        <f t="shared" si="9"/>
        <v>普通应收账款-其他企业|其他企业普通应收账款</v>
      </c>
      <c r="H67" t="str">
        <f>IF(ISERROR(VLOOKUP(E67,新系统!E:E,1,0)),"原型有新系统没有","")</f>
        <v>原型有新系统没有</v>
      </c>
      <c r="I67" t="str">
        <f>IF(ISERROR(VLOOKUP(F67,新系统!F:F,1,0)),"原型有新系统没有","")</f>
        <v>原型有新系统没有</v>
      </c>
      <c r="J67" t="str">
        <f>IF(ISERROR(VLOOKUP(G67,新系统!G:G,1,0)),"原型有新系统没有","")</f>
        <v>原型有新系统没有</v>
      </c>
      <c r="K67" t="str">
        <f>IF(ISERROR(VLOOKUP(O67,新系统!O:O,1,0)),"原型有新系统没有","")</f>
        <v/>
      </c>
      <c r="L67" t="str">
        <f>IF(ISERROR(VLOOKUP(P67,新系统!P:P,1,0)),"原型有新系统没有","")</f>
        <v/>
      </c>
      <c r="M67" t="str">
        <f>IF(ISERROR(VLOOKUP(Q67,新系统!Q:Q,1,0)),"原型有新系统没有","")</f>
        <v>原型有新系统没有</v>
      </c>
      <c r="N67" t="str">
        <f>IF(ISERROR(VLOOKUP(R67,新系统!R:R,1,0)),"原型有新系统没有","")</f>
        <v>原型有新系统没有</v>
      </c>
      <c r="O67" t="s">
        <v>162</v>
      </c>
      <c r="P67" t="s">
        <v>166</v>
      </c>
      <c r="Q67" s="75" t="s">
        <v>173</v>
      </c>
      <c r="R67" s="82" t="s">
        <v>172</v>
      </c>
    </row>
    <row r="68" ht="28" spans="1:18">
      <c r="A68" t="s">
        <v>162</v>
      </c>
      <c r="B68" s="75" t="s">
        <v>174</v>
      </c>
      <c r="C68" s="83" t="s">
        <v>175</v>
      </c>
      <c r="D68" s="84" t="s">
        <v>176</v>
      </c>
      <c r="E68" t="str">
        <f t="shared" si="7"/>
        <v>应收账款|收费权类应收账款|公路收费权|经营性公路收费权</v>
      </c>
      <c r="F68" t="str">
        <f t="shared" si="8"/>
        <v>收费权类应收账款|公路收费权|经营性公路收费权</v>
      </c>
      <c r="G68" t="str">
        <f t="shared" si="9"/>
        <v>公路收费权|经营性公路收费权</v>
      </c>
      <c r="H68" t="str">
        <f>IF(ISERROR(VLOOKUP(E68,新系统!E:E,1,0)),"原型有新系统没有","")</f>
        <v/>
      </c>
      <c r="I68" t="str">
        <f>IF(ISERROR(VLOOKUP(F68,新系统!F:F,1,0)),"原型有新系统没有","")</f>
        <v/>
      </c>
      <c r="J68" t="str">
        <f>IF(ISERROR(VLOOKUP(G68,新系统!G:G,1,0)),"原型有新系统没有","")</f>
        <v/>
      </c>
      <c r="K68" t="str">
        <f>IF(ISERROR(VLOOKUP(O68,新系统!O:O,1,0)),"原型有新系统没有","")</f>
        <v/>
      </c>
      <c r="L68" t="str">
        <f>IF(ISERROR(VLOOKUP(P68,新系统!P:P,1,0)),"原型有新系统没有","")</f>
        <v/>
      </c>
      <c r="M68" t="str">
        <f>IF(ISERROR(VLOOKUP(Q68,新系统!Q:Q,1,0)),"原型有新系统没有","")</f>
        <v/>
      </c>
      <c r="N68" t="str">
        <f>IF(ISERROR(VLOOKUP(R68,新系统!R:R,1,0)),"原型有新系统没有","")</f>
        <v/>
      </c>
      <c r="O68" t="s">
        <v>162</v>
      </c>
      <c r="P68" s="75" t="s">
        <v>174</v>
      </c>
      <c r="Q68" s="83" t="s">
        <v>175</v>
      </c>
      <c r="R68" s="84" t="s">
        <v>176</v>
      </c>
    </row>
    <row r="69" ht="28" spans="1:18">
      <c r="A69" t="s">
        <v>162</v>
      </c>
      <c r="B69" t="s">
        <v>174</v>
      </c>
      <c r="C69" t="s">
        <v>175</v>
      </c>
      <c r="D69" s="84" t="s">
        <v>177</v>
      </c>
      <c r="E69" t="str">
        <f t="shared" si="7"/>
        <v>应收账款|收费权类应收账款|公路收费权|政府还贷公路收费权</v>
      </c>
      <c r="F69" t="str">
        <f t="shared" si="8"/>
        <v>收费权类应收账款|公路收费权|政府还贷公路收费权</v>
      </c>
      <c r="G69" t="str">
        <f t="shared" si="9"/>
        <v>公路收费权|政府还贷公路收费权</v>
      </c>
      <c r="H69" t="str">
        <f>IF(ISERROR(VLOOKUP(E69,新系统!E:E,1,0)),"原型有新系统没有","")</f>
        <v/>
      </c>
      <c r="I69" t="str">
        <f>IF(ISERROR(VLOOKUP(F69,新系统!F:F,1,0)),"原型有新系统没有","")</f>
        <v/>
      </c>
      <c r="J69" t="str">
        <f>IF(ISERROR(VLOOKUP(G69,新系统!G:G,1,0)),"原型有新系统没有","")</f>
        <v/>
      </c>
      <c r="K69" t="str">
        <f>IF(ISERROR(VLOOKUP(O69,新系统!O:O,1,0)),"原型有新系统没有","")</f>
        <v/>
      </c>
      <c r="L69" t="str">
        <f>IF(ISERROR(VLOOKUP(P69,新系统!P:P,1,0)),"原型有新系统没有","")</f>
        <v/>
      </c>
      <c r="M69" t="str">
        <f>IF(ISERROR(VLOOKUP(Q69,新系统!Q:Q,1,0)),"原型有新系统没有","")</f>
        <v/>
      </c>
      <c r="N69" t="str">
        <f>IF(ISERROR(VLOOKUP(R69,新系统!R:R,1,0)),"原型有新系统没有","")</f>
        <v/>
      </c>
      <c r="O69" t="s">
        <v>162</v>
      </c>
      <c r="P69" t="s">
        <v>174</v>
      </c>
      <c r="Q69" t="s">
        <v>175</v>
      </c>
      <c r="R69" s="84" t="s">
        <v>177</v>
      </c>
    </row>
    <row r="70" ht="28" spans="1:18">
      <c r="A70" t="s">
        <v>162</v>
      </c>
      <c r="B70" t="s">
        <v>174</v>
      </c>
      <c r="C70" s="80" t="s">
        <v>178</v>
      </c>
      <c r="D70" s="111" t="s">
        <v>179</v>
      </c>
      <c r="E70" t="str">
        <f t="shared" si="7"/>
        <v>应收账款|收费权类应收账款|城市基础设施收费权|燃气收费权</v>
      </c>
      <c r="F70" t="str">
        <f t="shared" si="8"/>
        <v>收费权类应收账款|城市基础设施收费权|燃气收费权</v>
      </c>
      <c r="G70" t="str">
        <f t="shared" si="9"/>
        <v>城市基础设施收费权|燃气收费权</v>
      </c>
      <c r="H70" t="str">
        <f>IF(ISERROR(VLOOKUP(E70,新系统!E:E,1,0)),"原型有新系统没有","")</f>
        <v>原型有新系统没有</v>
      </c>
      <c r="I70" t="str">
        <f>IF(ISERROR(VLOOKUP(F70,新系统!F:F,1,0)),"原型有新系统没有","")</f>
        <v>原型有新系统没有</v>
      </c>
      <c r="J70" t="str">
        <f>IF(ISERROR(VLOOKUP(G70,新系统!G:G,1,0)),"原型有新系统没有","")</f>
        <v>原型有新系统没有</v>
      </c>
      <c r="K70" t="str">
        <f>IF(ISERROR(VLOOKUP(O70,新系统!O:O,1,0)),"原型有新系统没有","")</f>
        <v/>
      </c>
      <c r="L70" t="str">
        <f>IF(ISERROR(VLOOKUP(P70,新系统!P:P,1,0)),"原型有新系统没有","")</f>
        <v/>
      </c>
      <c r="M70" t="str">
        <f>IF(ISERROR(VLOOKUP(Q70,新系统!Q:Q,1,0)),"原型有新系统没有","")</f>
        <v/>
      </c>
      <c r="N70" t="str">
        <f>IF(ISERROR(VLOOKUP(R70,新系统!R:R,1,0)),"原型有新系统没有","")</f>
        <v>原型有新系统没有</v>
      </c>
      <c r="O70" t="s">
        <v>162</v>
      </c>
      <c r="P70" t="s">
        <v>174</v>
      </c>
      <c r="Q70" s="80" t="s">
        <v>178</v>
      </c>
      <c r="R70" s="37" t="s">
        <v>179</v>
      </c>
    </row>
    <row r="71" ht="14" spans="1:18">
      <c r="A71" t="s">
        <v>162</v>
      </c>
      <c r="B71" t="s">
        <v>174</v>
      </c>
      <c r="C71" t="s">
        <v>178</v>
      </c>
      <c r="D71" s="111" t="s">
        <v>180</v>
      </c>
      <c r="E71" t="str">
        <f t="shared" si="7"/>
        <v>应收账款|收费权类应收账款|城市基础设施收费权|供热收费权</v>
      </c>
      <c r="F71" t="str">
        <f t="shared" si="8"/>
        <v>收费权类应收账款|城市基础设施收费权|供热收费权</v>
      </c>
      <c r="G71" t="str">
        <f t="shared" si="9"/>
        <v>城市基础设施收费权|供热收费权</v>
      </c>
      <c r="H71" t="str">
        <f>IF(ISERROR(VLOOKUP(E71,新系统!E:E,1,0)),"原型有新系统没有","")</f>
        <v>原型有新系统没有</v>
      </c>
      <c r="I71" t="str">
        <f>IF(ISERROR(VLOOKUP(F71,新系统!F:F,1,0)),"原型有新系统没有","")</f>
        <v>原型有新系统没有</v>
      </c>
      <c r="J71" t="str">
        <f>IF(ISERROR(VLOOKUP(G71,新系统!G:G,1,0)),"原型有新系统没有","")</f>
        <v>原型有新系统没有</v>
      </c>
      <c r="K71" t="str">
        <f>IF(ISERROR(VLOOKUP(O71,新系统!O:O,1,0)),"原型有新系统没有","")</f>
        <v/>
      </c>
      <c r="L71" t="str">
        <f>IF(ISERROR(VLOOKUP(P71,新系统!P:P,1,0)),"原型有新系统没有","")</f>
        <v/>
      </c>
      <c r="M71" t="str">
        <f>IF(ISERROR(VLOOKUP(Q71,新系统!Q:Q,1,0)),"原型有新系统没有","")</f>
        <v/>
      </c>
      <c r="N71" t="str">
        <f>IF(ISERROR(VLOOKUP(R71,新系统!R:R,1,0)),"原型有新系统没有","")</f>
        <v>原型有新系统没有</v>
      </c>
      <c r="O71" t="s">
        <v>162</v>
      </c>
      <c r="P71" t="s">
        <v>174</v>
      </c>
      <c r="Q71" t="s">
        <v>178</v>
      </c>
      <c r="R71" s="37" t="s">
        <v>180</v>
      </c>
    </row>
    <row r="72" ht="14" spans="1:18">
      <c r="A72" t="s">
        <v>162</v>
      </c>
      <c r="B72" t="s">
        <v>174</v>
      </c>
      <c r="C72" t="s">
        <v>178</v>
      </c>
      <c r="D72" s="111" t="s">
        <v>181</v>
      </c>
      <c r="E72" t="str">
        <f t="shared" si="7"/>
        <v>应收账款|收费权类应收账款|城市基础设施收费权|管道收费权</v>
      </c>
      <c r="F72" t="str">
        <f t="shared" si="8"/>
        <v>收费权类应收账款|城市基础设施收费权|管道收费权</v>
      </c>
      <c r="G72" t="str">
        <f t="shared" si="9"/>
        <v>城市基础设施收费权|管道收费权</v>
      </c>
      <c r="H72" t="str">
        <f>IF(ISERROR(VLOOKUP(E72,新系统!E:E,1,0)),"原型有新系统没有","")</f>
        <v>原型有新系统没有</v>
      </c>
      <c r="I72" t="str">
        <f>IF(ISERROR(VLOOKUP(F72,新系统!F:F,1,0)),"原型有新系统没有","")</f>
        <v>原型有新系统没有</v>
      </c>
      <c r="J72" t="str">
        <f>IF(ISERROR(VLOOKUP(G72,新系统!G:G,1,0)),"原型有新系统没有","")</f>
        <v>原型有新系统没有</v>
      </c>
      <c r="K72" t="str">
        <f>IF(ISERROR(VLOOKUP(O72,新系统!O:O,1,0)),"原型有新系统没有","")</f>
        <v/>
      </c>
      <c r="L72" t="str">
        <f>IF(ISERROR(VLOOKUP(P72,新系统!P:P,1,0)),"原型有新系统没有","")</f>
        <v/>
      </c>
      <c r="M72" t="str">
        <f>IF(ISERROR(VLOOKUP(Q72,新系统!Q:Q,1,0)),"原型有新系统没有","")</f>
        <v/>
      </c>
      <c r="N72" t="str">
        <f>IF(ISERROR(VLOOKUP(R72,新系统!R:R,1,0)),"原型有新系统没有","")</f>
        <v>原型有新系统没有</v>
      </c>
      <c r="O72" t="s">
        <v>162</v>
      </c>
      <c r="P72" t="s">
        <v>174</v>
      </c>
      <c r="Q72" t="s">
        <v>178</v>
      </c>
      <c r="R72" s="37" t="s">
        <v>181</v>
      </c>
    </row>
    <row r="73" spans="1:18">
      <c r="A73" t="s">
        <v>162</v>
      </c>
      <c r="B73" t="s">
        <v>174</v>
      </c>
      <c r="C73" s="69" t="s">
        <v>182</v>
      </c>
      <c r="D73" s="112" t="s">
        <v>183</v>
      </c>
      <c r="E73" t="str">
        <f t="shared" si="7"/>
        <v>应收账款|收费权类应收账款|学校收费权|高等学校学生公寓收费权</v>
      </c>
      <c r="F73" t="str">
        <f t="shared" si="8"/>
        <v>收费权类应收账款|学校收费权|高等学校学生公寓收费权</v>
      </c>
      <c r="G73" t="str">
        <f t="shared" si="9"/>
        <v>学校收费权|高等学校学生公寓收费权</v>
      </c>
      <c r="H73" t="str">
        <f>IF(ISERROR(VLOOKUP(E73,新系统!E:E,1,0)),"原型有新系统没有","")</f>
        <v>原型有新系统没有</v>
      </c>
      <c r="I73" t="str">
        <f>IF(ISERROR(VLOOKUP(F73,新系统!F:F,1,0)),"原型有新系统没有","")</f>
        <v>原型有新系统没有</v>
      </c>
      <c r="J73" t="str">
        <f>IF(ISERROR(VLOOKUP(G73,新系统!G:G,1,0)),"原型有新系统没有","")</f>
        <v>原型有新系统没有</v>
      </c>
      <c r="K73" t="str">
        <f>IF(ISERROR(VLOOKUP(O73,新系统!O:O,1,0)),"原型有新系统没有","")</f>
        <v/>
      </c>
      <c r="L73" t="str">
        <f>IF(ISERROR(VLOOKUP(P73,新系统!P:P,1,0)),"原型有新系统没有","")</f>
        <v/>
      </c>
      <c r="M73" t="str">
        <f>IF(ISERROR(VLOOKUP(Q73,新系统!Q:Q,1,0)),"原型有新系统没有","")</f>
        <v>原型有新系统没有</v>
      </c>
      <c r="N73" t="str">
        <f>IF(ISERROR(VLOOKUP(R73,新系统!R:R,1,0)),"原型有新系统没有","")</f>
        <v>原型有新系统没有</v>
      </c>
      <c r="O73" t="s">
        <v>162</v>
      </c>
      <c r="P73" t="s">
        <v>174</v>
      </c>
      <c r="Q73" s="69" t="s">
        <v>182</v>
      </c>
      <c r="R73" s="85" t="s">
        <v>183</v>
      </c>
    </row>
    <row r="74" ht="28" spans="1:18">
      <c r="A74" t="s">
        <v>162</v>
      </c>
      <c r="B74" s="80" t="s">
        <v>184</v>
      </c>
      <c r="C74" s="80" t="s">
        <v>184</v>
      </c>
      <c r="D74" s="76" t="s">
        <v>184</v>
      </c>
      <c r="E74" t="str">
        <f t="shared" si="7"/>
        <v>应收账款|其他应收账款|其他应收账款|其他应收账款</v>
      </c>
      <c r="F74" t="str">
        <f t="shared" si="8"/>
        <v>其他应收账款|其他应收账款|其他应收账款</v>
      </c>
      <c r="G74" t="str">
        <f t="shared" si="9"/>
        <v>其他应收账款|其他应收账款</v>
      </c>
      <c r="H74" t="str">
        <f>IF(ISERROR(VLOOKUP(E74,新系统!E:E,1,0)),"原型有新系统没有","")</f>
        <v/>
      </c>
      <c r="I74" t="str">
        <f>IF(ISERROR(VLOOKUP(F74,新系统!F:F,1,0)),"原型有新系统没有","")</f>
        <v/>
      </c>
      <c r="J74" t="str">
        <f>IF(ISERROR(VLOOKUP(G74,新系统!G:G,1,0)),"原型有新系统没有","")</f>
        <v/>
      </c>
      <c r="K74" t="str">
        <f>IF(ISERROR(VLOOKUP(O74,新系统!O:O,1,0)),"原型有新系统没有","")</f>
        <v/>
      </c>
      <c r="L74" t="str">
        <f>IF(ISERROR(VLOOKUP(P74,新系统!P:P,1,0)),"原型有新系统没有","")</f>
        <v/>
      </c>
      <c r="M74" t="str">
        <f>IF(ISERROR(VLOOKUP(Q74,新系统!Q:Q,1,0)),"原型有新系统没有","")</f>
        <v/>
      </c>
      <c r="N74" t="str">
        <f>IF(ISERROR(VLOOKUP(R74,新系统!R:R,1,0)),"原型有新系统没有","")</f>
        <v/>
      </c>
      <c r="O74" t="s">
        <v>162</v>
      </c>
      <c r="P74" s="80" t="s">
        <v>184</v>
      </c>
      <c r="Q74" s="80" t="s">
        <v>184</v>
      </c>
      <c r="R74" s="76" t="s">
        <v>184</v>
      </c>
    </row>
    <row r="75" ht="14" spans="1:18">
      <c r="A75" s="53" t="s">
        <v>185</v>
      </c>
      <c r="B75" s="86" t="s">
        <v>186</v>
      </c>
      <c r="C75" s="87" t="s">
        <v>187</v>
      </c>
      <c r="D75" s="76" t="s">
        <v>188</v>
      </c>
      <c r="E75" t="str">
        <f t="shared" si="7"/>
        <v>其他押品|实物存货|大宗商品|油气类存货</v>
      </c>
      <c r="F75" t="str">
        <f t="shared" si="8"/>
        <v>实物存货|大宗商品|油气类存货</v>
      </c>
      <c r="G75" t="str">
        <f t="shared" si="9"/>
        <v>大宗商品|油气类存货</v>
      </c>
      <c r="H75" t="str">
        <f>IF(ISERROR(VLOOKUP(E75,新系统!E:E,1,0)),"原型有新系统没有","")</f>
        <v>原型有新系统没有</v>
      </c>
      <c r="I75" t="str">
        <f>IF(ISERROR(VLOOKUP(F75,新系统!F:F,1,0)),"原型有新系统没有","")</f>
        <v>原型有新系统没有</v>
      </c>
      <c r="J75" t="str">
        <f>IF(ISERROR(VLOOKUP(G75,新系统!G:G,1,0)),"原型有新系统没有","")</f>
        <v>原型有新系统没有</v>
      </c>
      <c r="K75" t="str">
        <f>IF(ISERROR(VLOOKUP(O75,新系统!O:O,1,0)),"原型有新系统没有","")</f>
        <v/>
      </c>
      <c r="L75" t="str">
        <f>IF(ISERROR(VLOOKUP(P75,新系统!P:P,1,0)),"原型有新系统没有","")</f>
        <v/>
      </c>
      <c r="M75" t="str">
        <f>IF(ISERROR(VLOOKUP(Q75,新系统!Q:Q,1,0)),"原型有新系统没有","")</f>
        <v/>
      </c>
      <c r="N75" t="str">
        <f>IF(ISERROR(VLOOKUP(R75,新系统!R:R,1,0)),"原型有新系统没有","")</f>
        <v>原型有新系统没有</v>
      </c>
      <c r="O75" s="53" t="s">
        <v>185</v>
      </c>
      <c r="P75" s="86" t="s">
        <v>186</v>
      </c>
      <c r="Q75" s="87" t="s">
        <v>187</v>
      </c>
      <c r="R75" s="76" t="s">
        <v>188</v>
      </c>
    </row>
    <row r="76" ht="14" spans="1:18">
      <c r="A76" t="s">
        <v>185</v>
      </c>
      <c r="B76" t="s">
        <v>186</v>
      </c>
      <c r="C76" t="s">
        <v>187</v>
      </c>
      <c r="D76" s="76" t="s">
        <v>189</v>
      </c>
      <c r="E76" t="str">
        <f t="shared" si="7"/>
        <v>其他押品|实物存货|大宗商品|化工类存货</v>
      </c>
      <c r="F76" t="str">
        <f t="shared" si="8"/>
        <v>实物存货|大宗商品|化工类存货</v>
      </c>
      <c r="G76" t="str">
        <f t="shared" si="9"/>
        <v>大宗商品|化工类存货</v>
      </c>
      <c r="H76" t="str">
        <f>IF(ISERROR(VLOOKUP(E76,新系统!E:E,1,0)),"原型有新系统没有","")</f>
        <v>原型有新系统没有</v>
      </c>
      <c r="I76" t="str">
        <f>IF(ISERROR(VLOOKUP(F76,新系统!F:F,1,0)),"原型有新系统没有","")</f>
        <v>原型有新系统没有</v>
      </c>
      <c r="J76" t="str">
        <f>IF(ISERROR(VLOOKUP(G76,新系统!G:G,1,0)),"原型有新系统没有","")</f>
        <v>原型有新系统没有</v>
      </c>
      <c r="K76" t="str">
        <f>IF(ISERROR(VLOOKUP(O76,新系统!O:O,1,0)),"原型有新系统没有","")</f>
        <v/>
      </c>
      <c r="L76" t="str">
        <f>IF(ISERROR(VLOOKUP(P76,新系统!P:P,1,0)),"原型有新系统没有","")</f>
        <v/>
      </c>
      <c r="M76" t="str">
        <f>IF(ISERROR(VLOOKUP(Q76,新系统!Q:Q,1,0)),"原型有新系统没有","")</f>
        <v/>
      </c>
      <c r="N76" t="str">
        <f>IF(ISERROR(VLOOKUP(R76,新系统!R:R,1,0)),"原型有新系统没有","")</f>
        <v>原型有新系统没有</v>
      </c>
      <c r="O76" t="s">
        <v>185</v>
      </c>
      <c r="P76" t="s">
        <v>186</v>
      </c>
      <c r="Q76" t="s">
        <v>187</v>
      </c>
      <c r="R76" s="76" t="s">
        <v>189</v>
      </c>
    </row>
    <row r="77" ht="28" spans="1:18">
      <c r="A77" t="s">
        <v>185</v>
      </c>
      <c r="B77" t="s">
        <v>186</v>
      </c>
      <c r="C77" t="s">
        <v>187</v>
      </c>
      <c r="D77" s="88" t="s">
        <v>190</v>
      </c>
      <c r="E77" t="str">
        <f t="shared" si="7"/>
        <v>其他押品|实物存货|大宗商品|其他大宗商品</v>
      </c>
      <c r="F77" t="str">
        <f t="shared" si="8"/>
        <v>实物存货|大宗商品|其他大宗商品</v>
      </c>
      <c r="G77" t="str">
        <f t="shared" si="9"/>
        <v>大宗商品|其他大宗商品</v>
      </c>
      <c r="H77" t="str">
        <f>IF(ISERROR(VLOOKUP(E77,新系统!E:E,1,0)),"原型有新系统没有","")</f>
        <v>原型有新系统没有</v>
      </c>
      <c r="I77" t="str">
        <f>IF(ISERROR(VLOOKUP(F77,新系统!F:F,1,0)),"原型有新系统没有","")</f>
        <v>原型有新系统没有</v>
      </c>
      <c r="J77" t="str">
        <f>IF(ISERROR(VLOOKUP(G77,新系统!G:G,1,0)),"原型有新系统没有","")</f>
        <v>原型有新系统没有</v>
      </c>
      <c r="K77" t="str">
        <f>IF(ISERROR(VLOOKUP(O77,新系统!O:O,1,0)),"原型有新系统没有","")</f>
        <v/>
      </c>
      <c r="L77" t="str">
        <f>IF(ISERROR(VLOOKUP(P77,新系统!P:P,1,0)),"原型有新系统没有","")</f>
        <v/>
      </c>
      <c r="M77" t="str">
        <f>IF(ISERROR(VLOOKUP(Q77,新系统!Q:Q,1,0)),"原型有新系统没有","")</f>
        <v/>
      </c>
      <c r="N77" t="str">
        <f>IF(ISERROR(VLOOKUP(R77,新系统!R:R,1,0)),"原型有新系统没有","")</f>
        <v>原型有新系统没有</v>
      </c>
      <c r="O77" t="s">
        <v>185</v>
      </c>
      <c r="P77" t="s">
        <v>186</v>
      </c>
      <c r="Q77" t="s">
        <v>187</v>
      </c>
      <c r="R77" s="88" t="s">
        <v>190</v>
      </c>
    </row>
    <row r="78" ht="14" spans="1:18">
      <c r="A78" t="s">
        <v>185</v>
      </c>
      <c r="B78" t="s">
        <v>186</v>
      </c>
      <c r="C78" s="89" t="s">
        <v>191</v>
      </c>
      <c r="D78" s="76" t="s">
        <v>188</v>
      </c>
      <c r="E78" t="str">
        <f t="shared" si="7"/>
        <v>其他押品|实物存货|非大宗商品|油气类存货</v>
      </c>
      <c r="F78" t="str">
        <f t="shared" si="8"/>
        <v>实物存货|非大宗商品|油气类存货</v>
      </c>
      <c r="G78" t="str">
        <f t="shared" si="9"/>
        <v>非大宗商品|油气类存货</v>
      </c>
      <c r="H78" t="str">
        <f>IF(ISERROR(VLOOKUP(E78,新系统!E:E,1,0)),"原型有新系统没有","")</f>
        <v>原型有新系统没有</v>
      </c>
      <c r="I78" t="str">
        <f>IF(ISERROR(VLOOKUP(F78,新系统!F:F,1,0)),"原型有新系统没有","")</f>
        <v>原型有新系统没有</v>
      </c>
      <c r="J78" t="str">
        <f>IF(ISERROR(VLOOKUP(G78,新系统!G:G,1,0)),"原型有新系统没有","")</f>
        <v>原型有新系统没有</v>
      </c>
      <c r="K78" t="str">
        <f>IF(ISERROR(VLOOKUP(O78,新系统!O:O,1,0)),"原型有新系统没有","")</f>
        <v/>
      </c>
      <c r="L78" t="str">
        <f>IF(ISERROR(VLOOKUP(P78,新系统!P:P,1,0)),"原型有新系统没有","")</f>
        <v/>
      </c>
      <c r="M78" t="str">
        <f>IF(ISERROR(VLOOKUP(Q78,新系统!Q:Q,1,0)),"原型有新系统没有","")</f>
        <v/>
      </c>
      <c r="N78" t="str">
        <f>IF(ISERROR(VLOOKUP(R78,新系统!R:R,1,0)),"原型有新系统没有","")</f>
        <v>原型有新系统没有</v>
      </c>
      <c r="O78" t="s">
        <v>185</v>
      </c>
      <c r="P78" t="s">
        <v>186</v>
      </c>
      <c r="Q78" s="89" t="s">
        <v>191</v>
      </c>
      <c r="R78" s="76" t="s">
        <v>188</v>
      </c>
    </row>
    <row r="79" ht="14" spans="1:18">
      <c r="A79" t="s">
        <v>185</v>
      </c>
      <c r="B79" t="s">
        <v>186</v>
      </c>
      <c r="C79" t="s">
        <v>191</v>
      </c>
      <c r="D79" s="76" t="s">
        <v>189</v>
      </c>
      <c r="E79" t="str">
        <f t="shared" si="7"/>
        <v>其他押品|实物存货|非大宗商品|化工类存货</v>
      </c>
      <c r="F79" t="str">
        <f t="shared" si="8"/>
        <v>实物存货|非大宗商品|化工类存货</v>
      </c>
      <c r="G79" t="str">
        <f t="shared" si="9"/>
        <v>非大宗商品|化工类存货</v>
      </c>
      <c r="H79" t="str">
        <f>IF(ISERROR(VLOOKUP(E79,新系统!E:E,1,0)),"原型有新系统没有","")</f>
        <v>原型有新系统没有</v>
      </c>
      <c r="I79" t="str">
        <f>IF(ISERROR(VLOOKUP(F79,新系统!F:F,1,0)),"原型有新系统没有","")</f>
        <v>原型有新系统没有</v>
      </c>
      <c r="J79" t="str">
        <f>IF(ISERROR(VLOOKUP(G79,新系统!G:G,1,0)),"原型有新系统没有","")</f>
        <v>原型有新系统没有</v>
      </c>
      <c r="K79" t="str">
        <f>IF(ISERROR(VLOOKUP(O79,新系统!O:O,1,0)),"原型有新系统没有","")</f>
        <v/>
      </c>
      <c r="L79" t="str">
        <f>IF(ISERROR(VLOOKUP(P79,新系统!P:P,1,0)),"原型有新系统没有","")</f>
        <v/>
      </c>
      <c r="M79" t="str">
        <f>IF(ISERROR(VLOOKUP(Q79,新系统!Q:Q,1,0)),"原型有新系统没有","")</f>
        <v/>
      </c>
      <c r="N79" t="str">
        <f>IF(ISERROR(VLOOKUP(R79,新系统!R:R,1,0)),"原型有新系统没有","")</f>
        <v>原型有新系统没有</v>
      </c>
      <c r="O79" t="s">
        <v>185</v>
      </c>
      <c r="P79" t="s">
        <v>186</v>
      </c>
      <c r="Q79" t="s">
        <v>191</v>
      </c>
      <c r="R79" s="76" t="s">
        <v>189</v>
      </c>
    </row>
    <row r="80" ht="28" spans="1:18">
      <c r="A80" t="s">
        <v>185</v>
      </c>
      <c r="B80" t="s">
        <v>186</v>
      </c>
      <c r="C80" t="s">
        <v>191</v>
      </c>
      <c r="D80" s="76" t="s">
        <v>192</v>
      </c>
      <c r="E80" t="str">
        <f t="shared" si="7"/>
        <v>其他押品|实物存货|非大宗商品|其他非大宗商品</v>
      </c>
      <c r="F80" t="str">
        <f t="shared" si="8"/>
        <v>实物存货|非大宗商品|其他非大宗商品</v>
      </c>
      <c r="G80" t="str">
        <f t="shared" si="9"/>
        <v>非大宗商品|其他非大宗商品</v>
      </c>
      <c r="H80" t="str">
        <f>IF(ISERROR(VLOOKUP(E80,新系统!E:E,1,0)),"原型有新系统没有","")</f>
        <v>原型有新系统没有</v>
      </c>
      <c r="I80" t="str">
        <f>IF(ISERROR(VLOOKUP(F80,新系统!F:F,1,0)),"原型有新系统没有","")</f>
        <v>原型有新系统没有</v>
      </c>
      <c r="J80" t="str">
        <f>IF(ISERROR(VLOOKUP(G80,新系统!G:G,1,0)),"原型有新系统没有","")</f>
        <v>原型有新系统没有</v>
      </c>
      <c r="K80" t="str">
        <f>IF(ISERROR(VLOOKUP(O80,新系统!O:O,1,0)),"原型有新系统没有","")</f>
        <v/>
      </c>
      <c r="L80" t="str">
        <f>IF(ISERROR(VLOOKUP(P80,新系统!P:P,1,0)),"原型有新系统没有","")</f>
        <v/>
      </c>
      <c r="M80" t="str">
        <f>IF(ISERROR(VLOOKUP(Q80,新系统!Q:Q,1,0)),"原型有新系统没有","")</f>
        <v/>
      </c>
      <c r="N80" t="str">
        <f>IF(ISERROR(VLOOKUP(R80,新系统!R:R,1,0)),"原型有新系统没有","")</f>
        <v>原型有新系统没有</v>
      </c>
      <c r="O80" t="s">
        <v>185</v>
      </c>
      <c r="P80" t="s">
        <v>186</v>
      </c>
      <c r="Q80" t="s">
        <v>191</v>
      </c>
      <c r="R80" s="76" t="s">
        <v>192</v>
      </c>
    </row>
    <row r="81" ht="55" spans="1:18">
      <c r="A81" t="s">
        <v>185</v>
      </c>
      <c r="B81" s="90" t="s">
        <v>193</v>
      </c>
      <c r="C81" s="91" t="s">
        <v>194</v>
      </c>
      <c r="D81" s="76" t="s">
        <v>195</v>
      </c>
      <c r="E81" t="str">
        <f t="shared" si="7"/>
        <v>其他押品|货权|标准仓单（仅包括作为唯一货权凭证的仓单）|油气类仓单</v>
      </c>
      <c r="F81" t="str">
        <f t="shared" si="8"/>
        <v>货权|标准仓单（仅包括作为唯一货权凭证的仓单）|油气类仓单</v>
      </c>
      <c r="G81" t="str">
        <f t="shared" si="9"/>
        <v>标准仓单（仅包括作为唯一货权凭证的仓单）|油气类仓单</v>
      </c>
      <c r="H81" t="str">
        <f>IF(ISERROR(VLOOKUP(E81,新系统!E:E,1,0)),"原型有新系统没有","")</f>
        <v>原型有新系统没有</v>
      </c>
      <c r="I81" t="str">
        <f>IF(ISERROR(VLOOKUP(F81,新系统!F:F,1,0)),"原型有新系统没有","")</f>
        <v>原型有新系统没有</v>
      </c>
      <c r="J81" t="str">
        <f>IF(ISERROR(VLOOKUP(G81,新系统!G:G,1,0)),"原型有新系统没有","")</f>
        <v>原型有新系统没有</v>
      </c>
      <c r="K81" t="str">
        <f>IF(ISERROR(VLOOKUP(O81,新系统!O:O,1,0)),"原型有新系统没有","")</f>
        <v/>
      </c>
      <c r="L81" t="str">
        <f>IF(ISERROR(VLOOKUP(P81,新系统!P:P,1,0)),"原型有新系统没有","")</f>
        <v/>
      </c>
      <c r="M81" t="str">
        <f>IF(ISERROR(VLOOKUP(Q81,新系统!Q:Q,1,0)),"原型有新系统没有","")</f>
        <v>原型有新系统没有</v>
      </c>
      <c r="N81" t="str">
        <f>IF(ISERROR(VLOOKUP(R81,新系统!R:R,1,0)),"原型有新系统没有","")</f>
        <v>原型有新系统没有</v>
      </c>
      <c r="O81" t="s">
        <v>185</v>
      </c>
      <c r="P81" s="90" t="s">
        <v>193</v>
      </c>
      <c r="Q81" s="91" t="s">
        <v>196</v>
      </c>
      <c r="R81" s="76" t="s">
        <v>195</v>
      </c>
    </row>
    <row r="82" ht="14" spans="1:18">
      <c r="A82" t="s">
        <v>185</v>
      </c>
      <c r="B82" t="s">
        <v>193</v>
      </c>
      <c r="C82" t="s">
        <v>194</v>
      </c>
      <c r="D82" s="76" t="s">
        <v>197</v>
      </c>
      <c r="E82" t="str">
        <f t="shared" si="7"/>
        <v>其他押品|货权|标准仓单（仅包括作为唯一货权凭证的仓单）|化工类仓单</v>
      </c>
      <c r="F82" t="str">
        <f t="shared" si="8"/>
        <v>货权|标准仓单（仅包括作为唯一货权凭证的仓单）|化工类仓单</v>
      </c>
      <c r="G82" t="str">
        <f t="shared" si="9"/>
        <v>标准仓单（仅包括作为唯一货权凭证的仓单）|化工类仓单</v>
      </c>
      <c r="H82" t="str">
        <f>IF(ISERROR(VLOOKUP(E82,新系统!E:E,1,0)),"原型有新系统没有","")</f>
        <v>原型有新系统没有</v>
      </c>
      <c r="I82" t="str">
        <f>IF(ISERROR(VLOOKUP(F82,新系统!F:F,1,0)),"原型有新系统没有","")</f>
        <v>原型有新系统没有</v>
      </c>
      <c r="J82" t="str">
        <f>IF(ISERROR(VLOOKUP(G82,新系统!G:G,1,0)),"原型有新系统没有","")</f>
        <v>原型有新系统没有</v>
      </c>
      <c r="K82" t="str">
        <f>IF(ISERROR(VLOOKUP(O82,新系统!O:O,1,0)),"原型有新系统没有","")</f>
        <v/>
      </c>
      <c r="L82" t="str">
        <f>IF(ISERROR(VLOOKUP(P82,新系统!P:P,1,0)),"原型有新系统没有","")</f>
        <v/>
      </c>
      <c r="M82" t="str">
        <f>IF(ISERROR(VLOOKUP(Q82,新系统!Q:Q,1,0)),"原型有新系统没有","")</f>
        <v>原型有新系统没有</v>
      </c>
      <c r="N82" t="str">
        <f>IF(ISERROR(VLOOKUP(R82,新系统!R:R,1,0)),"原型有新系统没有","")</f>
        <v>原型有新系统没有</v>
      </c>
      <c r="O82" t="s">
        <v>185</v>
      </c>
      <c r="P82" t="s">
        <v>193</v>
      </c>
      <c r="Q82" t="s">
        <v>196</v>
      </c>
      <c r="R82" s="76" t="s">
        <v>197</v>
      </c>
    </row>
    <row r="83" ht="28" spans="1:18">
      <c r="A83" t="s">
        <v>185</v>
      </c>
      <c r="B83" t="s">
        <v>193</v>
      </c>
      <c r="C83" t="s">
        <v>194</v>
      </c>
      <c r="D83" s="76" t="s">
        <v>198</v>
      </c>
      <c r="E83" t="str">
        <f t="shared" si="7"/>
        <v>其他押品|货权|标准仓单（仅包括作为唯一货权凭证的仓单）|其他标准仓单</v>
      </c>
      <c r="F83" t="str">
        <f t="shared" si="8"/>
        <v>货权|标准仓单（仅包括作为唯一货权凭证的仓单）|其他标准仓单</v>
      </c>
      <c r="G83" t="str">
        <f t="shared" si="9"/>
        <v>标准仓单（仅包括作为唯一货权凭证的仓单）|其他标准仓单</v>
      </c>
      <c r="H83" t="str">
        <f>IF(ISERROR(VLOOKUP(E83,新系统!E:E,1,0)),"原型有新系统没有","")</f>
        <v>原型有新系统没有</v>
      </c>
      <c r="I83" t="str">
        <f>IF(ISERROR(VLOOKUP(F83,新系统!F:F,1,0)),"原型有新系统没有","")</f>
        <v>原型有新系统没有</v>
      </c>
      <c r="J83" t="str">
        <f>IF(ISERROR(VLOOKUP(G83,新系统!G:G,1,0)),"原型有新系统没有","")</f>
        <v>原型有新系统没有</v>
      </c>
      <c r="K83" t="str">
        <f>IF(ISERROR(VLOOKUP(O83,新系统!O:O,1,0)),"原型有新系统没有","")</f>
        <v/>
      </c>
      <c r="L83" t="str">
        <f>IF(ISERROR(VLOOKUP(P83,新系统!P:P,1,0)),"原型有新系统没有","")</f>
        <v/>
      </c>
      <c r="M83" t="str">
        <f>IF(ISERROR(VLOOKUP(Q83,新系统!Q:Q,1,0)),"原型有新系统没有","")</f>
        <v>原型有新系统没有</v>
      </c>
      <c r="N83" t="str">
        <f>IF(ISERROR(VLOOKUP(R83,新系统!R:R,1,0)),"原型有新系统没有","")</f>
        <v>原型有新系统没有</v>
      </c>
      <c r="O83" t="s">
        <v>185</v>
      </c>
      <c r="P83" t="s">
        <v>193</v>
      </c>
      <c r="Q83" t="s">
        <v>196</v>
      </c>
      <c r="R83" s="76" t="s">
        <v>198</v>
      </c>
    </row>
    <row r="84" ht="55" spans="1:18">
      <c r="A84" t="s">
        <v>185</v>
      </c>
      <c r="B84" t="s">
        <v>193</v>
      </c>
      <c r="C84" s="91" t="s">
        <v>199</v>
      </c>
      <c r="D84" s="76" t="s">
        <v>195</v>
      </c>
      <c r="E84" t="str">
        <f t="shared" si="7"/>
        <v>其他押品|货权|非标准仓单（仅包括作为唯一货权凭证的仓单）|油气类仓单</v>
      </c>
      <c r="F84" t="str">
        <f t="shared" si="8"/>
        <v>货权|非标准仓单（仅包括作为唯一货权凭证的仓单）|油气类仓单</v>
      </c>
      <c r="G84" t="str">
        <f t="shared" si="9"/>
        <v>非标准仓单（仅包括作为唯一货权凭证的仓单）|油气类仓单</v>
      </c>
      <c r="H84" t="str">
        <f>IF(ISERROR(VLOOKUP(E84,新系统!E:E,1,0)),"原型有新系统没有","")</f>
        <v>原型有新系统没有</v>
      </c>
      <c r="I84" t="str">
        <f>IF(ISERROR(VLOOKUP(F84,新系统!F:F,1,0)),"原型有新系统没有","")</f>
        <v>原型有新系统没有</v>
      </c>
      <c r="J84" t="str">
        <f>IF(ISERROR(VLOOKUP(G84,新系统!G:G,1,0)),"原型有新系统没有","")</f>
        <v>原型有新系统没有</v>
      </c>
      <c r="K84" t="str">
        <f>IF(ISERROR(VLOOKUP(O84,新系统!O:O,1,0)),"原型有新系统没有","")</f>
        <v/>
      </c>
      <c r="L84" t="str">
        <f>IF(ISERROR(VLOOKUP(P84,新系统!P:P,1,0)),"原型有新系统没有","")</f>
        <v/>
      </c>
      <c r="M84" t="str">
        <f>IF(ISERROR(VLOOKUP(Q84,新系统!Q:Q,1,0)),"原型有新系统没有","")</f>
        <v>原型有新系统没有</v>
      </c>
      <c r="N84" t="str">
        <f>IF(ISERROR(VLOOKUP(R84,新系统!R:R,1,0)),"原型有新系统没有","")</f>
        <v>原型有新系统没有</v>
      </c>
      <c r="O84" t="s">
        <v>185</v>
      </c>
      <c r="P84" t="s">
        <v>193</v>
      </c>
      <c r="Q84" s="91" t="s">
        <v>200</v>
      </c>
      <c r="R84" s="76" t="s">
        <v>195</v>
      </c>
    </row>
    <row r="85" ht="14" spans="1:18">
      <c r="A85" t="s">
        <v>185</v>
      </c>
      <c r="B85" t="s">
        <v>193</v>
      </c>
      <c r="C85" t="s">
        <v>199</v>
      </c>
      <c r="D85" s="76" t="s">
        <v>197</v>
      </c>
      <c r="E85" t="str">
        <f t="shared" si="7"/>
        <v>其他押品|货权|非标准仓单（仅包括作为唯一货权凭证的仓单）|化工类仓单</v>
      </c>
      <c r="F85" t="str">
        <f t="shared" si="8"/>
        <v>货权|非标准仓单（仅包括作为唯一货权凭证的仓单）|化工类仓单</v>
      </c>
      <c r="G85" t="str">
        <f t="shared" si="9"/>
        <v>非标准仓单（仅包括作为唯一货权凭证的仓单）|化工类仓单</v>
      </c>
      <c r="H85" t="str">
        <f>IF(ISERROR(VLOOKUP(E85,新系统!E:E,1,0)),"原型有新系统没有","")</f>
        <v>原型有新系统没有</v>
      </c>
      <c r="I85" t="str">
        <f>IF(ISERROR(VLOOKUP(F85,新系统!F:F,1,0)),"原型有新系统没有","")</f>
        <v>原型有新系统没有</v>
      </c>
      <c r="J85" t="str">
        <f>IF(ISERROR(VLOOKUP(G85,新系统!G:G,1,0)),"原型有新系统没有","")</f>
        <v>原型有新系统没有</v>
      </c>
      <c r="K85" t="str">
        <f>IF(ISERROR(VLOOKUP(O85,新系统!O:O,1,0)),"原型有新系统没有","")</f>
        <v/>
      </c>
      <c r="L85" t="str">
        <f>IF(ISERROR(VLOOKUP(P85,新系统!P:P,1,0)),"原型有新系统没有","")</f>
        <v/>
      </c>
      <c r="M85" t="str">
        <f>IF(ISERROR(VLOOKUP(Q85,新系统!Q:Q,1,0)),"原型有新系统没有","")</f>
        <v>原型有新系统没有</v>
      </c>
      <c r="N85" t="str">
        <f>IF(ISERROR(VLOOKUP(R85,新系统!R:R,1,0)),"原型有新系统没有","")</f>
        <v>原型有新系统没有</v>
      </c>
      <c r="O85" t="s">
        <v>185</v>
      </c>
      <c r="P85" t="s">
        <v>193</v>
      </c>
      <c r="Q85" t="s">
        <v>200</v>
      </c>
      <c r="R85" s="76" t="s">
        <v>197</v>
      </c>
    </row>
    <row r="86" ht="28" spans="1:18">
      <c r="A86" t="s">
        <v>185</v>
      </c>
      <c r="B86" t="s">
        <v>193</v>
      </c>
      <c r="C86" t="s">
        <v>199</v>
      </c>
      <c r="D86" s="76" t="s">
        <v>201</v>
      </c>
      <c r="E86" t="str">
        <f t="shared" si="7"/>
        <v>其他押品|货权|非标准仓单（仅包括作为唯一货权凭证的仓单）|其他非标准仓单</v>
      </c>
      <c r="F86" t="str">
        <f t="shared" si="8"/>
        <v>货权|非标准仓单（仅包括作为唯一货权凭证的仓单）|其他非标准仓单</v>
      </c>
      <c r="G86" t="str">
        <f t="shared" si="9"/>
        <v>非标准仓单（仅包括作为唯一货权凭证的仓单）|其他非标准仓单</v>
      </c>
      <c r="H86" t="str">
        <f>IF(ISERROR(VLOOKUP(E86,新系统!E:E,1,0)),"原型有新系统没有","")</f>
        <v>原型有新系统没有</v>
      </c>
      <c r="I86" t="str">
        <f>IF(ISERROR(VLOOKUP(F86,新系统!F:F,1,0)),"原型有新系统没有","")</f>
        <v>原型有新系统没有</v>
      </c>
      <c r="J86" t="str">
        <f>IF(ISERROR(VLOOKUP(G86,新系统!G:G,1,0)),"原型有新系统没有","")</f>
        <v>原型有新系统没有</v>
      </c>
      <c r="K86" t="str">
        <f>IF(ISERROR(VLOOKUP(O86,新系统!O:O,1,0)),"原型有新系统没有","")</f>
        <v/>
      </c>
      <c r="L86" t="str">
        <f>IF(ISERROR(VLOOKUP(P86,新系统!P:P,1,0)),"原型有新系统没有","")</f>
        <v/>
      </c>
      <c r="M86" t="str">
        <f>IF(ISERROR(VLOOKUP(Q86,新系统!Q:Q,1,0)),"原型有新系统没有","")</f>
        <v>原型有新系统没有</v>
      </c>
      <c r="N86" t="str">
        <f>IF(ISERROR(VLOOKUP(R86,新系统!R:R,1,0)),"原型有新系统没有","")</f>
        <v>原型有新系统没有</v>
      </c>
      <c r="O86" t="s">
        <v>185</v>
      </c>
      <c r="P86" t="s">
        <v>193</v>
      </c>
      <c r="Q86" t="s">
        <v>200</v>
      </c>
      <c r="R86" s="76" t="s">
        <v>201</v>
      </c>
    </row>
    <row r="87" ht="14" spans="1:18">
      <c r="A87" t="s">
        <v>185</v>
      </c>
      <c r="B87" t="s">
        <v>193</v>
      </c>
      <c r="C87" s="80" t="s">
        <v>202</v>
      </c>
      <c r="D87" s="76" t="s">
        <v>203</v>
      </c>
      <c r="E87" t="str">
        <f t="shared" si="7"/>
        <v>其他押品|货权|提单|油气类提单</v>
      </c>
      <c r="F87" t="str">
        <f t="shared" si="8"/>
        <v>货权|提单|油气类提单</v>
      </c>
      <c r="G87" t="str">
        <f t="shared" si="9"/>
        <v>提单|油气类提单</v>
      </c>
      <c r="H87" t="str">
        <f>IF(ISERROR(VLOOKUP(E87,新系统!E:E,1,0)),"原型有新系统没有","")</f>
        <v>原型有新系统没有</v>
      </c>
      <c r="I87" t="str">
        <f>IF(ISERROR(VLOOKUP(F87,新系统!F:F,1,0)),"原型有新系统没有","")</f>
        <v>原型有新系统没有</v>
      </c>
      <c r="J87" t="str">
        <f>IF(ISERROR(VLOOKUP(G87,新系统!G:G,1,0)),"原型有新系统没有","")</f>
        <v>原型有新系统没有</v>
      </c>
      <c r="K87" t="str">
        <f>IF(ISERROR(VLOOKUP(O87,新系统!O:O,1,0)),"原型有新系统没有","")</f>
        <v/>
      </c>
      <c r="L87" t="str">
        <f>IF(ISERROR(VLOOKUP(P87,新系统!P:P,1,0)),"原型有新系统没有","")</f>
        <v/>
      </c>
      <c r="M87" t="str">
        <f>IF(ISERROR(VLOOKUP(Q87,新系统!Q:Q,1,0)),"原型有新系统没有","")</f>
        <v/>
      </c>
      <c r="N87" t="str">
        <f>IF(ISERROR(VLOOKUP(R87,新系统!R:R,1,0)),"原型有新系统没有","")</f>
        <v>原型有新系统没有</v>
      </c>
      <c r="O87" t="s">
        <v>185</v>
      </c>
      <c r="P87" t="s">
        <v>193</v>
      </c>
      <c r="Q87" s="80" t="s">
        <v>202</v>
      </c>
      <c r="R87" s="76" t="s">
        <v>203</v>
      </c>
    </row>
    <row r="88" ht="14" spans="1:18">
      <c r="A88" t="s">
        <v>185</v>
      </c>
      <c r="B88" t="s">
        <v>193</v>
      </c>
      <c r="C88" t="s">
        <v>202</v>
      </c>
      <c r="D88" s="76" t="s">
        <v>204</v>
      </c>
      <c r="E88" t="str">
        <f t="shared" si="7"/>
        <v>其他押品|货权|提单|化工类提单</v>
      </c>
      <c r="F88" t="str">
        <f t="shared" si="8"/>
        <v>货权|提单|化工类提单</v>
      </c>
      <c r="G88" t="str">
        <f t="shared" si="9"/>
        <v>提单|化工类提单</v>
      </c>
      <c r="H88" t="str">
        <f>IF(ISERROR(VLOOKUP(E88,新系统!E:E,1,0)),"原型有新系统没有","")</f>
        <v>原型有新系统没有</v>
      </c>
      <c r="I88" t="str">
        <f>IF(ISERROR(VLOOKUP(F88,新系统!F:F,1,0)),"原型有新系统没有","")</f>
        <v>原型有新系统没有</v>
      </c>
      <c r="J88" t="str">
        <f>IF(ISERROR(VLOOKUP(G88,新系统!G:G,1,0)),"原型有新系统没有","")</f>
        <v>原型有新系统没有</v>
      </c>
      <c r="K88" t="str">
        <f>IF(ISERROR(VLOOKUP(O88,新系统!O:O,1,0)),"原型有新系统没有","")</f>
        <v/>
      </c>
      <c r="L88" t="str">
        <f>IF(ISERROR(VLOOKUP(P88,新系统!P:P,1,0)),"原型有新系统没有","")</f>
        <v/>
      </c>
      <c r="M88" t="str">
        <f>IF(ISERROR(VLOOKUP(Q88,新系统!Q:Q,1,0)),"原型有新系统没有","")</f>
        <v/>
      </c>
      <c r="N88" t="str">
        <f>IF(ISERROR(VLOOKUP(R88,新系统!R:R,1,0)),"原型有新系统没有","")</f>
        <v>原型有新系统没有</v>
      </c>
      <c r="O88" t="s">
        <v>185</v>
      </c>
      <c r="P88" t="s">
        <v>193</v>
      </c>
      <c r="Q88" t="s">
        <v>202</v>
      </c>
      <c r="R88" s="76" t="s">
        <v>204</v>
      </c>
    </row>
    <row r="89" ht="14" spans="1:18">
      <c r="A89" t="s">
        <v>185</v>
      </c>
      <c r="B89" t="s">
        <v>193</v>
      </c>
      <c r="C89" t="s">
        <v>202</v>
      </c>
      <c r="D89" s="76" t="s">
        <v>205</v>
      </c>
      <c r="E89" t="str">
        <f t="shared" si="7"/>
        <v>其他押品|货权|提单|其他提单</v>
      </c>
      <c r="F89" t="str">
        <f t="shared" si="8"/>
        <v>货权|提单|其他提单</v>
      </c>
      <c r="G89" t="str">
        <f t="shared" si="9"/>
        <v>提单|其他提单</v>
      </c>
      <c r="H89" t="str">
        <f>IF(ISERROR(VLOOKUP(E89,新系统!E:E,1,0)),"原型有新系统没有","")</f>
        <v>原型有新系统没有</v>
      </c>
      <c r="I89" t="str">
        <f>IF(ISERROR(VLOOKUP(F89,新系统!F:F,1,0)),"原型有新系统没有","")</f>
        <v>原型有新系统没有</v>
      </c>
      <c r="J89" t="str">
        <f>IF(ISERROR(VLOOKUP(G89,新系统!G:G,1,0)),"原型有新系统没有","")</f>
        <v>原型有新系统没有</v>
      </c>
      <c r="K89" t="str">
        <f>IF(ISERROR(VLOOKUP(O89,新系统!O:O,1,0)),"原型有新系统没有","")</f>
        <v/>
      </c>
      <c r="L89" t="str">
        <f>IF(ISERROR(VLOOKUP(P89,新系统!P:P,1,0)),"原型有新系统没有","")</f>
        <v/>
      </c>
      <c r="M89" t="str">
        <f>IF(ISERROR(VLOOKUP(Q89,新系统!Q:Q,1,0)),"原型有新系统没有","")</f>
        <v/>
      </c>
      <c r="N89" t="str">
        <f>IF(ISERROR(VLOOKUP(R89,新系统!R:R,1,0)),"原型有新系统没有","")</f>
        <v>原型有新系统没有</v>
      </c>
      <c r="O89" t="s">
        <v>185</v>
      </c>
      <c r="P89" t="s">
        <v>193</v>
      </c>
      <c r="Q89" t="s">
        <v>202</v>
      </c>
      <c r="R89" s="76" t="s">
        <v>205</v>
      </c>
    </row>
    <row r="90" ht="28" spans="1:18">
      <c r="A90" t="s">
        <v>185</v>
      </c>
      <c r="B90" s="64" t="s">
        <v>206</v>
      </c>
      <c r="C90" s="64" t="s">
        <v>206</v>
      </c>
      <c r="D90" s="56" t="s">
        <v>206</v>
      </c>
      <c r="E90" t="str">
        <f t="shared" si="7"/>
        <v>其他押品|出口退税账户|出口退税账户|出口退税账户</v>
      </c>
      <c r="F90" t="str">
        <f t="shared" si="8"/>
        <v>出口退税账户|出口退税账户|出口退税账户</v>
      </c>
      <c r="G90" t="str">
        <f t="shared" si="9"/>
        <v>出口退税账户|出口退税账户</v>
      </c>
      <c r="H90" t="str">
        <f>IF(ISERROR(VLOOKUP(E90,新系统!E:E,1,0)),"原型有新系统没有","")</f>
        <v/>
      </c>
      <c r="I90" t="str">
        <f>IF(ISERROR(VLOOKUP(F90,新系统!F:F,1,0)),"原型有新系统没有","")</f>
        <v/>
      </c>
      <c r="J90" t="str">
        <f>IF(ISERROR(VLOOKUP(G90,新系统!G:G,1,0)),"原型有新系统没有","")</f>
        <v/>
      </c>
      <c r="K90" t="str">
        <f>IF(ISERROR(VLOOKUP(O90,新系统!O:O,1,0)),"原型有新系统没有","")</f>
        <v/>
      </c>
      <c r="L90" t="str">
        <f>IF(ISERROR(VLOOKUP(P90,新系统!P:P,1,0)),"原型有新系统没有","")</f>
        <v/>
      </c>
      <c r="M90" t="str">
        <f>IF(ISERROR(VLOOKUP(Q90,新系统!Q:Q,1,0)),"原型有新系统没有","")</f>
        <v/>
      </c>
      <c r="N90" t="str">
        <f>IF(ISERROR(VLOOKUP(R90,新系统!R:R,1,0)),"原型有新系统没有","")</f>
        <v/>
      </c>
      <c r="O90" t="s">
        <v>185</v>
      </c>
      <c r="P90" s="64" t="s">
        <v>206</v>
      </c>
      <c r="Q90" s="64" t="s">
        <v>206</v>
      </c>
      <c r="R90" s="56" t="s">
        <v>206</v>
      </c>
    </row>
    <row r="91" ht="14" spans="1:18">
      <c r="A91" t="s">
        <v>185</v>
      </c>
      <c r="B91" s="83" t="s">
        <v>207</v>
      </c>
      <c r="C91" s="80" t="s">
        <v>208</v>
      </c>
      <c r="D91" s="56" t="s">
        <v>208</v>
      </c>
      <c r="E91" t="str">
        <f t="shared" si="7"/>
        <v>其他押品|机器设备|通用设备|通用设备</v>
      </c>
      <c r="F91" t="str">
        <f t="shared" si="8"/>
        <v>机器设备|通用设备|通用设备</v>
      </c>
      <c r="G91" t="str">
        <f t="shared" si="9"/>
        <v>通用设备|通用设备</v>
      </c>
      <c r="H91" t="str">
        <f>IF(ISERROR(VLOOKUP(E91,新系统!E:E,1,0)),"原型有新系统没有","")</f>
        <v/>
      </c>
      <c r="I91" t="str">
        <f>IF(ISERROR(VLOOKUP(F91,新系统!F:F,1,0)),"原型有新系统没有","")</f>
        <v/>
      </c>
      <c r="J91" t="str">
        <f>IF(ISERROR(VLOOKUP(G91,新系统!G:G,1,0)),"原型有新系统没有","")</f>
        <v/>
      </c>
      <c r="K91" t="str">
        <f>IF(ISERROR(VLOOKUP(O91,新系统!O:O,1,0)),"原型有新系统没有","")</f>
        <v/>
      </c>
      <c r="L91" t="str">
        <f>IF(ISERROR(VLOOKUP(P91,新系统!P:P,1,0)),"原型有新系统没有","")</f>
        <v/>
      </c>
      <c r="M91" t="str">
        <f>IF(ISERROR(VLOOKUP(Q91,新系统!Q:Q,1,0)),"原型有新系统没有","")</f>
        <v/>
      </c>
      <c r="N91" t="str">
        <f>IF(ISERROR(VLOOKUP(R91,新系统!R:R,1,0)),"原型有新系统没有","")</f>
        <v/>
      </c>
      <c r="O91" t="s">
        <v>185</v>
      </c>
      <c r="P91" s="83" t="s">
        <v>207</v>
      </c>
      <c r="Q91" s="80" t="s">
        <v>208</v>
      </c>
      <c r="R91" s="56" t="s">
        <v>208</v>
      </c>
    </row>
    <row r="92" ht="28" spans="1:18">
      <c r="A92" t="s">
        <v>185</v>
      </c>
      <c r="B92" t="s">
        <v>207</v>
      </c>
      <c r="C92" s="78" t="s">
        <v>209</v>
      </c>
      <c r="D92" s="92" t="s">
        <v>210</v>
      </c>
      <c r="E92" t="str">
        <f t="shared" si="7"/>
        <v>其他押品|机器设备|专用设备|石油专用设备</v>
      </c>
      <c r="F92" t="str">
        <f t="shared" si="8"/>
        <v>机器设备|专用设备|石油专用设备</v>
      </c>
      <c r="G92" t="str">
        <f t="shared" si="9"/>
        <v>专用设备|石油专用设备</v>
      </c>
      <c r="H92" t="str">
        <f>IF(ISERROR(VLOOKUP(E92,新系统!E:E,1,0)),"原型有新系统没有","")</f>
        <v>原型有新系统没有</v>
      </c>
      <c r="I92" t="str">
        <f>IF(ISERROR(VLOOKUP(F92,新系统!F:F,1,0)),"原型有新系统没有","")</f>
        <v>原型有新系统没有</v>
      </c>
      <c r="J92" t="str">
        <f>IF(ISERROR(VLOOKUP(G92,新系统!G:G,1,0)),"原型有新系统没有","")</f>
        <v>原型有新系统没有</v>
      </c>
      <c r="K92" t="str">
        <f>IF(ISERROR(VLOOKUP(O92,新系统!O:O,1,0)),"原型有新系统没有","")</f>
        <v/>
      </c>
      <c r="L92" t="str">
        <f>IF(ISERROR(VLOOKUP(P92,新系统!P:P,1,0)),"原型有新系统没有","")</f>
        <v/>
      </c>
      <c r="M92" t="str">
        <f>IF(ISERROR(VLOOKUP(Q92,新系统!Q:Q,1,0)),"原型有新系统没有","")</f>
        <v/>
      </c>
      <c r="N92" t="str">
        <f>IF(ISERROR(VLOOKUP(R92,新系统!R:R,1,0)),"原型有新系统没有","")</f>
        <v>原型有新系统没有</v>
      </c>
      <c r="O92" t="s">
        <v>185</v>
      </c>
      <c r="P92" t="s">
        <v>207</v>
      </c>
      <c r="Q92" s="78" t="s">
        <v>209</v>
      </c>
      <c r="R92" s="92" t="s">
        <v>210</v>
      </c>
    </row>
    <row r="93" ht="28" spans="1:18">
      <c r="A93" t="s">
        <v>185</v>
      </c>
      <c r="B93" t="s">
        <v>207</v>
      </c>
      <c r="C93" t="s">
        <v>209</v>
      </c>
      <c r="D93" s="92" t="s">
        <v>211</v>
      </c>
      <c r="E93" t="str">
        <f t="shared" ref="E93:E133" si="10">CLEAN(A93)&amp;"|"&amp;CLEAN(B93)&amp;"|"&amp;CLEAN(C93)&amp;"|"&amp;CLEAN(D93)</f>
        <v>其他押品|机器设备|专用设备|非石油专用设备</v>
      </c>
      <c r="F93" t="str">
        <f t="shared" si="8"/>
        <v>机器设备|专用设备|非石油专用设备</v>
      </c>
      <c r="G93" t="str">
        <f t="shared" si="9"/>
        <v>专用设备|非石油专用设备</v>
      </c>
      <c r="H93" t="str">
        <f>IF(ISERROR(VLOOKUP(E93,新系统!E:E,1,0)),"原型有新系统没有","")</f>
        <v>原型有新系统没有</v>
      </c>
      <c r="I93" t="str">
        <f>IF(ISERROR(VLOOKUP(F93,新系统!F:F,1,0)),"原型有新系统没有","")</f>
        <v>原型有新系统没有</v>
      </c>
      <c r="J93" t="str">
        <f>IF(ISERROR(VLOOKUP(G93,新系统!G:G,1,0)),"原型有新系统没有","")</f>
        <v>原型有新系统没有</v>
      </c>
      <c r="K93" t="str">
        <f>IF(ISERROR(VLOOKUP(O93,新系统!O:O,1,0)),"原型有新系统没有","")</f>
        <v/>
      </c>
      <c r="L93" t="str">
        <f>IF(ISERROR(VLOOKUP(P93,新系统!P:P,1,0)),"原型有新系统没有","")</f>
        <v/>
      </c>
      <c r="M93" t="str">
        <f>IF(ISERROR(VLOOKUP(Q93,新系统!Q:Q,1,0)),"原型有新系统没有","")</f>
        <v/>
      </c>
      <c r="N93" t="str">
        <f>IF(ISERROR(VLOOKUP(R93,新系统!R:R,1,0)),"原型有新系统没有","")</f>
        <v>原型有新系统没有</v>
      </c>
      <c r="O93" t="s">
        <v>185</v>
      </c>
      <c r="P93" t="s">
        <v>207</v>
      </c>
      <c r="Q93" t="s">
        <v>209</v>
      </c>
      <c r="R93" s="92" t="s">
        <v>211</v>
      </c>
    </row>
    <row r="94" ht="28" spans="1:18">
      <c r="A94" t="s">
        <v>185</v>
      </c>
      <c r="B94" s="90" t="s">
        <v>212</v>
      </c>
      <c r="C94" s="93" t="s">
        <v>213</v>
      </c>
      <c r="D94" s="92" t="s">
        <v>214</v>
      </c>
      <c r="E94" t="str">
        <f t="shared" si="10"/>
        <v>其他押品|交通运输设备|车辆|自用车辆</v>
      </c>
      <c r="F94" t="str">
        <f t="shared" si="8"/>
        <v>交通运输设备|车辆|自用车辆</v>
      </c>
      <c r="G94" t="str">
        <f t="shared" si="9"/>
        <v>车辆|自用车辆</v>
      </c>
      <c r="H94" t="str">
        <f>IF(ISERROR(VLOOKUP(E94,新系统!E:E,1,0)),"原型有新系统没有","")</f>
        <v>原型有新系统没有</v>
      </c>
      <c r="I94" t="str">
        <f>IF(ISERROR(VLOOKUP(F94,新系统!F:F,1,0)),"原型有新系统没有","")</f>
        <v>原型有新系统没有</v>
      </c>
      <c r="J94" t="str">
        <f>IF(ISERROR(VLOOKUP(G94,新系统!G:G,1,0)),"原型有新系统没有","")</f>
        <v>原型有新系统没有</v>
      </c>
      <c r="K94" t="str">
        <f>IF(ISERROR(VLOOKUP(O94,新系统!O:O,1,0)),"原型有新系统没有","")</f>
        <v/>
      </c>
      <c r="L94" t="str">
        <f>IF(ISERROR(VLOOKUP(P94,新系统!P:P,1,0)),"原型有新系统没有","")</f>
        <v/>
      </c>
      <c r="M94" t="str">
        <f>IF(ISERROR(VLOOKUP(Q94,新系统!Q:Q,1,0)),"原型有新系统没有","")</f>
        <v/>
      </c>
      <c r="N94" t="str">
        <f>IF(ISERROR(VLOOKUP(R94,新系统!R:R,1,0)),"原型有新系统没有","")</f>
        <v>原型有新系统没有</v>
      </c>
      <c r="O94" t="s">
        <v>185</v>
      </c>
      <c r="P94" s="90" t="s">
        <v>212</v>
      </c>
      <c r="Q94" s="93" t="s">
        <v>213</v>
      </c>
      <c r="R94" s="92" t="s">
        <v>214</v>
      </c>
    </row>
    <row r="95" ht="14" spans="1:18">
      <c r="A95" t="s">
        <v>185</v>
      </c>
      <c r="B95" t="s">
        <v>212</v>
      </c>
      <c r="C95" t="s">
        <v>213</v>
      </c>
      <c r="D95" s="92" t="s">
        <v>215</v>
      </c>
      <c r="E95" t="str">
        <f t="shared" si="10"/>
        <v>其他押品|交通运输设备|车辆|运营车辆</v>
      </c>
      <c r="F95" t="str">
        <f t="shared" si="8"/>
        <v>交通运输设备|车辆|运营车辆</v>
      </c>
      <c r="G95" t="str">
        <f t="shared" si="9"/>
        <v>车辆|运营车辆</v>
      </c>
      <c r="H95" t="str">
        <f>IF(ISERROR(VLOOKUP(E95,新系统!E:E,1,0)),"原型有新系统没有","")</f>
        <v>原型有新系统没有</v>
      </c>
      <c r="I95" t="str">
        <f>IF(ISERROR(VLOOKUP(F95,新系统!F:F,1,0)),"原型有新系统没有","")</f>
        <v>原型有新系统没有</v>
      </c>
      <c r="J95" t="str">
        <f>IF(ISERROR(VLOOKUP(G95,新系统!G:G,1,0)),"原型有新系统没有","")</f>
        <v>原型有新系统没有</v>
      </c>
      <c r="K95" t="str">
        <f>IF(ISERROR(VLOOKUP(O95,新系统!O:O,1,0)),"原型有新系统没有","")</f>
        <v/>
      </c>
      <c r="L95" t="str">
        <f>IF(ISERROR(VLOOKUP(P95,新系统!P:P,1,0)),"原型有新系统没有","")</f>
        <v/>
      </c>
      <c r="M95" t="str">
        <f>IF(ISERROR(VLOOKUP(Q95,新系统!Q:Q,1,0)),"原型有新系统没有","")</f>
        <v/>
      </c>
      <c r="N95" t="str">
        <f>IF(ISERROR(VLOOKUP(R95,新系统!R:R,1,0)),"原型有新系统没有","")</f>
        <v>原型有新系统没有</v>
      </c>
      <c r="O95" t="s">
        <v>185</v>
      </c>
      <c r="P95" t="s">
        <v>212</v>
      </c>
      <c r="Q95" t="s">
        <v>213</v>
      </c>
      <c r="R95" s="92" t="s">
        <v>215</v>
      </c>
    </row>
    <row r="96" ht="28" spans="1:18">
      <c r="A96" t="s">
        <v>185</v>
      </c>
      <c r="B96" t="s">
        <v>212</v>
      </c>
      <c r="C96" t="s">
        <v>213</v>
      </c>
      <c r="D96" s="56" t="s">
        <v>216</v>
      </c>
      <c r="E96" t="str">
        <f t="shared" si="10"/>
        <v>其他押品|交通运输设备|车辆|油气运输类专用车</v>
      </c>
      <c r="F96" t="str">
        <f t="shared" si="8"/>
        <v>交通运输设备|车辆|油气运输类专用车</v>
      </c>
      <c r="G96" t="str">
        <f t="shared" si="9"/>
        <v>车辆|油气运输类专用车</v>
      </c>
      <c r="H96" t="str">
        <f>IF(ISERROR(VLOOKUP(E96,新系统!E:E,1,0)),"原型有新系统没有","")</f>
        <v>原型有新系统没有</v>
      </c>
      <c r="I96" t="str">
        <f>IF(ISERROR(VLOOKUP(F96,新系统!F:F,1,0)),"原型有新系统没有","")</f>
        <v>原型有新系统没有</v>
      </c>
      <c r="J96" t="str">
        <f>IF(ISERROR(VLOOKUP(G96,新系统!G:G,1,0)),"原型有新系统没有","")</f>
        <v>原型有新系统没有</v>
      </c>
      <c r="K96" t="str">
        <f>IF(ISERROR(VLOOKUP(O96,新系统!O:O,1,0)),"原型有新系统没有","")</f>
        <v/>
      </c>
      <c r="L96" t="str">
        <f>IF(ISERROR(VLOOKUP(P96,新系统!P:P,1,0)),"原型有新系统没有","")</f>
        <v/>
      </c>
      <c r="M96" t="str">
        <f>IF(ISERROR(VLOOKUP(Q96,新系统!Q:Q,1,0)),"原型有新系统没有","")</f>
        <v/>
      </c>
      <c r="N96" t="str">
        <f>IF(ISERROR(VLOOKUP(R96,新系统!R:R,1,0)),"原型有新系统没有","")</f>
        <v>原型有新系统没有</v>
      </c>
      <c r="O96" t="s">
        <v>185</v>
      </c>
      <c r="P96" t="s">
        <v>212</v>
      </c>
      <c r="Q96" t="s">
        <v>213</v>
      </c>
      <c r="R96" s="56" t="s">
        <v>216</v>
      </c>
    </row>
    <row r="97" ht="14" spans="1:18">
      <c r="A97" t="s">
        <v>185</v>
      </c>
      <c r="B97" t="s">
        <v>212</v>
      </c>
      <c r="C97" t="s">
        <v>213</v>
      </c>
      <c r="D97" s="56" t="s">
        <v>217</v>
      </c>
      <c r="E97" t="str">
        <f t="shared" si="10"/>
        <v>其他押品|交通运输设备|车辆|压裂车</v>
      </c>
      <c r="F97" t="str">
        <f t="shared" si="8"/>
        <v>交通运输设备|车辆|压裂车</v>
      </c>
      <c r="G97" t="str">
        <f t="shared" si="9"/>
        <v>车辆|压裂车</v>
      </c>
      <c r="H97" t="str">
        <f>IF(ISERROR(VLOOKUP(E97,新系统!E:E,1,0)),"原型有新系统没有","")</f>
        <v>原型有新系统没有</v>
      </c>
      <c r="I97" t="str">
        <f>IF(ISERROR(VLOOKUP(F97,新系统!F:F,1,0)),"原型有新系统没有","")</f>
        <v>原型有新系统没有</v>
      </c>
      <c r="J97" t="str">
        <f>IF(ISERROR(VLOOKUP(G97,新系统!G:G,1,0)),"原型有新系统没有","")</f>
        <v>原型有新系统没有</v>
      </c>
      <c r="K97" t="str">
        <f>IF(ISERROR(VLOOKUP(O97,新系统!O:O,1,0)),"原型有新系统没有","")</f>
        <v/>
      </c>
      <c r="L97" t="str">
        <f>IF(ISERROR(VLOOKUP(P97,新系统!P:P,1,0)),"原型有新系统没有","")</f>
        <v/>
      </c>
      <c r="M97" t="str">
        <f>IF(ISERROR(VLOOKUP(Q97,新系统!Q:Q,1,0)),"原型有新系统没有","")</f>
        <v/>
      </c>
      <c r="N97" t="str">
        <f>IF(ISERROR(VLOOKUP(R97,新系统!R:R,1,0)),"原型有新系统没有","")</f>
        <v>原型有新系统没有</v>
      </c>
      <c r="O97" t="s">
        <v>185</v>
      </c>
      <c r="P97" t="s">
        <v>212</v>
      </c>
      <c r="Q97" t="s">
        <v>213</v>
      </c>
      <c r="R97" s="56" t="s">
        <v>217</v>
      </c>
    </row>
    <row r="98" ht="14" spans="1:18">
      <c r="A98" t="s">
        <v>185</v>
      </c>
      <c r="B98" t="s">
        <v>212</v>
      </c>
      <c r="C98" t="s">
        <v>213</v>
      </c>
      <c r="D98" s="56" t="s">
        <v>218</v>
      </c>
      <c r="E98" t="str">
        <f t="shared" si="10"/>
        <v>其他押品|交通运输设备|车辆|工程车</v>
      </c>
      <c r="F98" t="str">
        <f t="shared" ref="F98:F133" si="11">CLEAN(B98)&amp;"|"&amp;CLEAN(C98)&amp;"|"&amp;CLEAN(D98)</f>
        <v>交通运输设备|车辆|工程车</v>
      </c>
      <c r="G98" t="str">
        <f t="shared" ref="G98:G133" si="12">CLEAN(C98)&amp;"|"&amp;CLEAN(D98)</f>
        <v>车辆|工程车</v>
      </c>
      <c r="H98" t="str">
        <f>IF(ISERROR(VLOOKUP(E98,新系统!E:E,1,0)),"原型有新系统没有","")</f>
        <v/>
      </c>
      <c r="I98" t="str">
        <f>IF(ISERROR(VLOOKUP(F98,新系统!F:F,1,0)),"原型有新系统没有","")</f>
        <v/>
      </c>
      <c r="J98" t="str">
        <f>IF(ISERROR(VLOOKUP(G98,新系统!G:G,1,0)),"原型有新系统没有","")</f>
        <v/>
      </c>
      <c r="K98" t="str">
        <f>IF(ISERROR(VLOOKUP(O98,新系统!O:O,1,0)),"原型有新系统没有","")</f>
        <v/>
      </c>
      <c r="L98" t="str">
        <f>IF(ISERROR(VLOOKUP(P98,新系统!P:P,1,0)),"原型有新系统没有","")</f>
        <v/>
      </c>
      <c r="M98" t="str">
        <f>IF(ISERROR(VLOOKUP(Q98,新系统!Q:Q,1,0)),"原型有新系统没有","")</f>
        <v/>
      </c>
      <c r="N98" t="str">
        <f>IF(ISERROR(VLOOKUP(R98,新系统!R:R,1,0)),"原型有新系统没有","")</f>
        <v/>
      </c>
      <c r="O98" t="s">
        <v>185</v>
      </c>
      <c r="P98" t="s">
        <v>212</v>
      </c>
      <c r="Q98" t="s">
        <v>213</v>
      </c>
      <c r="R98" s="56" t="s">
        <v>218</v>
      </c>
    </row>
    <row r="99" ht="28" spans="1:18">
      <c r="A99" t="s">
        <v>185</v>
      </c>
      <c r="B99" t="s">
        <v>212</v>
      </c>
      <c r="C99" t="s">
        <v>213</v>
      </c>
      <c r="D99" s="56" t="s">
        <v>219</v>
      </c>
      <c r="E99" t="str">
        <f t="shared" si="10"/>
        <v>其他押品|交通运输设备|车辆|其他特种车辆</v>
      </c>
      <c r="F99" t="str">
        <f t="shared" si="11"/>
        <v>交通运输设备|车辆|其他特种车辆</v>
      </c>
      <c r="G99" t="str">
        <f t="shared" si="12"/>
        <v>车辆|其他特种车辆</v>
      </c>
      <c r="H99" t="str">
        <f>IF(ISERROR(VLOOKUP(E99,新系统!E:E,1,0)),"原型有新系统没有","")</f>
        <v/>
      </c>
      <c r="I99" t="str">
        <f>IF(ISERROR(VLOOKUP(F99,新系统!F:F,1,0)),"原型有新系统没有","")</f>
        <v/>
      </c>
      <c r="J99" t="str">
        <f>IF(ISERROR(VLOOKUP(G99,新系统!G:G,1,0)),"原型有新系统没有","")</f>
        <v/>
      </c>
      <c r="K99" t="str">
        <f>IF(ISERROR(VLOOKUP(O99,新系统!O:O,1,0)),"原型有新系统没有","")</f>
        <v/>
      </c>
      <c r="L99" t="str">
        <f>IF(ISERROR(VLOOKUP(P99,新系统!P:P,1,0)),"原型有新系统没有","")</f>
        <v/>
      </c>
      <c r="M99" t="str">
        <f>IF(ISERROR(VLOOKUP(Q99,新系统!Q:Q,1,0)),"原型有新系统没有","")</f>
        <v/>
      </c>
      <c r="N99" t="str">
        <f>IF(ISERROR(VLOOKUP(R99,新系统!R:R,1,0)),"原型有新系统没有","")</f>
        <v/>
      </c>
      <c r="O99" t="s">
        <v>185</v>
      </c>
      <c r="P99" t="s">
        <v>212</v>
      </c>
      <c r="Q99" t="s">
        <v>213</v>
      </c>
      <c r="R99" s="56" t="s">
        <v>219</v>
      </c>
    </row>
    <row r="100" ht="14" spans="1:18">
      <c r="A100" t="s">
        <v>185</v>
      </c>
      <c r="B100" t="s">
        <v>212</v>
      </c>
      <c r="C100" s="86" t="s">
        <v>220</v>
      </c>
      <c r="D100" s="92" t="s">
        <v>221</v>
      </c>
      <c r="E100" t="str">
        <f t="shared" si="10"/>
        <v>其他押品|交通运输设备|船舶|客运船舶</v>
      </c>
      <c r="F100" t="str">
        <f t="shared" si="11"/>
        <v>交通运输设备|船舶|客运船舶</v>
      </c>
      <c r="G100" t="str">
        <f t="shared" si="12"/>
        <v>船舶|客运船舶</v>
      </c>
      <c r="H100" t="str">
        <f>IF(ISERROR(VLOOKUP(E100,新系统!E:E,1,0)),"原型有新系统没有","")</f>
        <v/>
      </c>
      <c r="I100" t="str">
        <f>IF(ISERROR(VLOOKUP(F100,新系统!F:F,1,0)),"原型有新系统没有","")</f>
        <v/>
      </c>
      <c r="J100" t="str">
        <f>IF(ISERROR(VLOOKUP(G100,新系统!G:G,1,0)),"原型有新系统没有","")</f>
        <v/>
      </c>
      <c r="K100" t="str">
        <f>IF(ISERROR(VLOOKUP(O100,新系统!O:O,1,0)),"原型有新系统没有","")</f>
        <v/>
      </c>
      <c r="L100" t="str">
        <f>IF(ISERROR(VLOOKUP(P100,新系统!P:P,1,0)),"原型有新系统没有","")</f>
        <v/>
      </c>
      <c r="M100" t="str">
        <f>IF(ISERROR(VLOOKUP(Q100,新系统!Q:Q,1,0)),"原型有新系统没有","")</f>
        <v/>
      </c>
      <c r="N100" t="str">
        <f>IF(ISERROR(VLOOKUP(R100,新系统!R:R,1,0)),"原型有新系统没有","")</f>
        <v/>
      </c>
      <c r="O100" t="s">
        <v>185</v>
      </c>
      <c r="P100" t="s">
        <v>212</v>
      </c>
      <c r="Q100" s="86" t="s">
        <v>220</v>
      </c>
      <c r="R100" s="92" t="s">
        <v>221</v>
      </c>
    </row>
    <row r="101" ht="14" spans="1:18">
      <c r="A101" t="s">
        <v>185</v>
      </c>
      <c r="B101" t="s">
        <v>212</v>
      </c>
      <c r="C101" t="s">
        <v>220</v>
      </c>
      <c r="D101" s="92" t="s">
        <v>222</v>
      </c>
      <c r="E101" t="str">
        <f t="shared" si="10"/>
        <v>其他押品|交通运输设备|船舶|货运船舶</v>
      </c>
      <c r="F101" t="str">
        <f t="shared" si="11"/>
        <v>交通运输设备|船舶|货运船舶</v>
      </c>
      <c r="G101" t="str">
        <f t="shared" si="12"/>
        <v>船舶|货运船舶</v>
      </c>
      <c r="H101" t="str">
        <f>IF(ISERROR(VLOOKUP(E101,新系统!E:E,1,0)),"原型有新系统没有","")</f>
        <v>原型有新系统没有</v>
      </c>
      <c r="I101" t="str">
        <f>IF(ISERROR(VLOOKUP(F101,新系统!F:F,1,0)),"原型有新系统没有","")</f>
        <v>原型有新系统没有</v>
      </c>
      <c r="J101" t="str">
        <f>IF(ISERROR(VLOOKUP(G101,新系统!G:G,1,0)),"原型有新系统没有","")</f>
        <v>原型有新系统没有</v>
      </c>
      <c r="K101" t="str">
        <f>IF(ISERROR(VLOOKUP(O101,新系统!O:O,1,0)),"原型有新系统没有","")</f>
        <v/>
      </c>
      <c r="L101" t="str">
        <f>IF(ISERROR(VLOOKUP(P101,新系统!P:P,1,0)),"原型有新系统没有","")</f>
        <v/>
      </c>
      <c r="M101" t="str">
        <f>IF(ISERROR(VLOOKUP(Q101,新系统!Q:Q,1,0)),"原型有新系统没有","")</f>
        <v/>
      </c>
      <c r="N101" t="str">
        <f>IF(ISERROR(VLOOKUP(R101,新系统!R:R,1,0)),"原型有新系统没有","")</f>
        <v>原型有新系统没有</v>
      </c>
      <c r="O101" t="s">
        <v>185</v>
      </c>
      <c r="P101" t="s">
        <v>212</v>
      </c>
      <c r="Q101" t="s">
        <v>220</v>
      </c>
      <c r="R101" s="92" t="s">
        <v>222</v>
      </c>
    </row>
    <row r="102" ht="28" spans="1:18">
      <c r="A102" t="s">
        <v>185</v>
      </c>
      <c r="B102" t="s">
        <v>212</v>
      </c>
      <c r="C102" t="s">
        <v>220</v>
      </c>
      <c r="D102" s="56" t="s">
        <v>223</v>
      </c>
      <c r="E102" t="str">
        <f t="shared" si="10"/>
        <v>其他押品|交通运输设备|船舶|其他类型船舶</v>
      </c>
      <c r="F102" t="str">
        <f t="shared" si="11"/>
        <v>交通运输设备|船舶|其他类型船舶</v>
      </c>
      <c r="G102" t="str">
        <f t="shared" si="12"/>
        <v>船舶|其他类型船舶</v>
      </c>
      <c r="H102" t="str">
        <f>IF(ISERROR(VLOOKUP(E102,新系统!E:E,1,0)),"原型有新系统没有","")</f>
        <v/>
      </c>
      <c r="I102" t="str">
        <f>IF(ISERROR(VLOOKUP(F102,新系统!F:F,1,0)),"原型有新系统没有","")</f>
        <v/>
      </c>
      <c r="J102" t="str">
        <f>IF(ISERROR(VLOOKUP(G102,新系统!G:G,1,0)),"原型有新系统没有","")</f>
        <v/>
      </c>
      <c r="K102" t="str">
        <f>IF(ISERROR(VLOOKUP(O102,新系统!O:O,1,0)),"原型有新系统没有","")</f>
        <v/>
      </c>
      <c r="L102" t="str">
        <f>IF(ISERROR(VLOOKUP(P102,新系统!P:P,1,0)),"原型有新系统没有","")</f>
        <v/>
      </c>
      <c r="M102" t="str">
        <f>IF(ISERROR(VLOOKUP(Q102,新系统!Q:Q,1,0)),"原型有新系统没有","")</f>
        <v/>
      </c>
      <c r="N102" t="str">
        <f>IF(ISERROR(VLOOKUP(R102,新系统!R:R,1,0)),"原型有新系统没有","")</f>
        <v/>
      </c>
      <c r="O102" t="s">
        <v>185</v>
      </c>
      <c r="P102" t="s">
        <v>212</v>
      </c>
      <c r="Q102" t="s">
        <v>220</v>
      </c>
      <c r="R102" s="56" t="s">
        <v>223</v>
      </c>
    </row>
    <row r="103" ht="14" spans="1:18">
      <c r="A103" t="s">
        <v>185</v>
      </c>
      <c r="B103" t="s">
        <v>212</v>
      </c>
      <c r="C103" s="94" t="s">
        <v>224</v>
      </c>
      <c r="D103" s="56" t="s">
        <v>225</v>
      </c>
      <c r="E103" t="str">
        <f t="shared" si="10"/>
        <v>其他押品|交通运输设备|航空器|客运飞机</v>
      </c>
      <c r="F103" t="str">
        <f t="shared" si="11"/>
        <v>交通运输设备|航空器|客运飞机</v>
      </c>
      <c r="G103" t="str">
        <f t="shared" si="12"/>
        <v>航空器|客运飞机</v>
      </c>
      <c r="H103" t="str">
        <f>IF(ISERROR(VLOOKUP(E103,新系统!E:E,1,0)),"原型有新系统没有","")</f>
        <v/>
      </c>
      <c r="I103" t="str">
        <f>IF(ISERROR(VLOOKUP(F103,新系统!F:F,1,0)),"原型有新系统没有","")</f>
        <v/>
      </c>
      <c r="J103" t="str">
        <f>IF(ISERROR(VLOOKUP(G103,新系统!G:G,1,0)),"原型有新系统没有","")</f>
        <v/>
      </c>
      <c r="K103" t="str">
        <f>IF(ISERROR(VLOOKUP(O103,新系统!O:O,1,0)),"原型有新系统没有","")</f>
        <v/>
      </c>
      <c r="L103" t="str">
        <f>IF(ISERROR(VLOOKUP(P103,新系统!P:P,1,0)),"原型有新系统没有","")</f>
        <v/>
      </c>
      <c r="M103" t="str">
        <f>IF(ISERROR(VLOOKUP(Q103,新系统!Q:Q,1,0)),"原型有新系统没有","")</f>
        <v/>
      </c>
      <c r="N103" t="str">
        <f>IF(ISERROR(VLOOKUP(R103,新系统!R:R,1,0)),"原型有新系统没有","")</f>
        <v/>
      </c>
      <c r="O103" t="s">
        <v>185</v>
      </c>
      <c r="P103" t="s">
        <v>212</v>
      </c>
      <c r="Q103" s="94" t="s">
        <v>224</v>
      </c>
      <c r="R103" s="56" t="s">
        <v>225</v>
      </c>
    </row>
    <row r="104" ht="14" spans="1:18">
      <c r="A104" t="s">
        <v>185</v>
      </c>
      <c r="B104" t="s">
        <v>212</v>
      </c>
      <c r="C104" t="s">
        <v>224</v>
      </c>
      <c r="D104" s="56" t="s">
        <v>226</v>
      </c>
      <c r="E104" t="str">
        <f t="shared" si="10"/>
        <v>其他押品|交通运输设备|航空器|货运飞机</v>
      </c>
      <c r="F104" t="str">
        <f t="shared" si="11"/>
        <v>交通运输设备|航空器|货运飞机</v>
      </c>
      <c r="G104" t="str">
        <f t="shared" si="12"/>
        <v>航空器|货运飞机</v>
      </c>
      <c r="H104" t="str">
        <f>IF(ISERROR(VLOOKUP(E104,新系统!E:E,1,0)),"原型有新系统没有","")</f>
        <v/>
      </c>
      <c r="I104" t="str">
        <f>IF(ISERROR(VLOOKUP(F104,新系统!F:F,1,0)),"原型有新系统没有","")</f>
        <v/>
      </c>
      <c r="J104" t="str">
        <f>IF(ISERROR(VLOOKUP(G104,新系统!G:G,1,0)),"原型有新系统没有","")</f>
        <v/>
      </c>
      <c r="K104" t="str">
        <f>IF(ISERROR(VLOOKUP(O104,新系统!O:O,1,0)),"原型有新系统没有","")</f>
        <v/>
      </c>
      <c r="L104" t="str">
        <f>IF(ISERROR(VLOOKUP(P104,新系统!P:P,1,0)),"原型有新系统没有","")</f>
        <v/>
      </c>
      <c r="M104" t="str">
        <f>IF(ISERROR(VLOOKUP(Q104,新系统!Q:Q,1,0)),"原型有新系统没有","")</f>
        <v/>
      </c>
      <c r="N104" t="str">
        <f>IF(ISERROR(VLOOKUP(R104,新系统!R:R,1,0)),"原型有新系统没有","")</f>
        <v/>
      </c>
      <c r="O104" t="s">
        <v>185</v>
      </c>
      <c r="P104" t="s">
        <v>212</v>
      </c>
      <c r="Q104" t="s">
        <v>224</v>
      </c>
      <c r="R104" s="56" t="s">
        <v>226</v>
      </c>
    </row>
    <row r="105" ht="14" spans="1:18">
      <c r="A105" t="s">
        <v>185</v>
      </c>
      <c r="B105" t="s">
        <v>212</v>
      </c>
      <c r="C105" t="s">
        <v>224</v>
      </c>
      <c r="D105" s="56" t="s">
        <v>227</v>
      </c>
      <c r="E105" t="str">
        <f t="shared" si="10"/>
        <v>其他押品|交通运输设备|航空器|飞机发动机</v>
      </c>
      <c r="F105" t="str">
        <f t="shared" si="11"/>
        <v>交通运输设备|航空器|飞机发动机</v>
      </c>
      <c r="G105" t="str">
        <f t="shared" si="12"/>
        <v>航空器|飞机发动机</v>
      </c>
      <c r="H105" t="str">
        <f>IF(ISERROR(VLOOKUP(E105,新系统!E:E,1,0)),"原型有新系统没有","")</f>
        <v/>
      </c>
      <c r="I105" t="str">
        <f>IF(ISERROR(VLOOKUP(F105,新系统!F:F,1,0)),"原型有新系统没有","")</f>
        <v/>
      </c>
      <c r="J105" t="str">
        <f>IF(ISERROR(VLOOKUP(G105,新系统!G:G,1,0)),"原型有新系统没有","")</f>
        <v/>
      </c>
      <c r="K105" t="str">
        <f>IF(ISERROR(VLOOKUP(O105,新系统!O:O,1,0)),"原型有新系统没有","")</f>
        <v/>
      </c>
      <c r="L105" t="str">
        <f>IF(ISERROR(VLOOKUP(P105,新系统!P:P,1,0)),"原型有新系统没有","")</f>
        <v/>
      </c>
      <c r="M105" t="str">
        <f>IF(ISERROR(VLOOKUP(Q105,新系统!Q:Q,1,0)),"原型有新系统没有","")</f>
        <v/>
      </c>
      <c r="N105" t="str">
        <f>IF(ISERROR(VLOOKUP(R105,新系统!R:R,1,0)),"原型有新系统没有","")</f>
        <v/>
      </c>
      <c r="O105" t="s">
        <v>185</v>
      </c>
      <c r="P105" t="s">
        <v>212</v>
      </c>
      <c r="Q105" t="s">
        <v>224</v>
      </c>
      <c r="R105" s="56" t="s">
        <v>227</v>
      </c>
    </row>
    <row r="106" ht="28" spans="1:18">
      <c r="A106" t="s">
        <v>185</v>
      </c>
      <c r="B106" t="s">
        <v>212</v>
      </c>
      <c r="C106" t="s">
        <v>224</v>
      </c>
      <c r="D106" s="56" t="s">
        <v>228</v>
      </c>
      <c r="E106" t="str">
        <f t="shared" si="10"/>
        <v>其他押品|交通运输设备|航空器|其他飞机配套设备</v>
      </c>
      <c r="F106" t="str">
        <f t="shared" si="11"/>
        <v>交通运输设备|航空器|其他飞机配套设备</v>
      </c>
      <c r="G106" t="str">
        <f t="shared" si="12"/>
        <v>航空器|其他飞机配套设备</v>
      </c>
      <c r="H106" t="str">
        <f>IF(ISERROR(VLOOKUP(E106,新系统!E:E,1,0)),"原型有新系统没有","")</f>
        <v/>
      </c>
      <c r="I106" t="str">
        <f>IF(ISERROR(VLOOKUP(F106,新系统!F:F,1,0)),"原型有新系统没有","")</f>
        <v/>
      </c>
      <c r="J106" t="str">
        <f>IF(ISERROR(VLOOKUP(G106,新系统!G:G,1,0)),"原型有新系统没有","")</f>
        <v/>
      </c>
      <c r="K106" t="str">
        <f>IF(ISERROR(VLOOKUP(O106,新系统!O:O,1,0)),"原型有新系统没有","")</f>
        <v/>
      </c>
      <c r="L106" t="str">
        <f>IF(ISERROR(VLOOKUP(P106,新系统!P:P,1,0)),"原型有新系统没有","")</f>
        <v/>
      </c>
      <c r="M106" t="str">
        <f>IF(ISERROR(VLOOKUP(Q106,新系统!Q:Q,1,0)),"原型有新系统没有","")</f>
        <v/>
      </c>
      <c r="N106" t="str">
        <f>IF(ISERROR(VLOOKUP(R106,新系统!R:R,1,0)),"原型有新系统没有","")</f>
        <v/>
      </c>
      <c r="O106" t="s">
        <v>185</v>
      </c>
      <c r="P106" t="s">
        <v>212</v>
      </c>
      <c r="Q106" t="s">
        <v>224</v>
      </c>
      <c r="R106" s="56" t="s">
        <v>228</v>
      </c>
    </row>
    <row r="107" ht="28" spans="1:18">
      <c r="A107" t="s">
        <v>185</v>
      </c>
      <c r="B107" t="s">
        <v>212</v>
      </c>
      <c r="C107" t="s">
        <v>224</v>
      </c>
      <c r="D107" s="56" t="s">
        <v>229</v>
      </c>
      <c r="E107" t="str">
        <f t="shared" si="10"/>
        <v>其他押品|交通运输设备|航空器|其它类型航空器</v>
      </c>
      <c r="F107" t="str">
        <f t="shared" si="11"/>
        <v>交通运输设备|航空器|其它类型航空器</v>
      </c>
      <c r="G107" t="str">
        <f t="shared" si="12"/>
        <v>航空器|其它类型航空器</v>
      </c>
      <c r="H107" t="str">
        <f>IF(ISERROR(VLOOKUP(E107,新系统!E:E,1,0)),"原型有新系统没有","")</f>
        <v/>
      </c>
      <c r="I107" t="str">
        <f>IF(ISERROR(VLOOKUP(F107,新系统!F:F,1,0)),"原型有新系统没有","")</f>
        <v/>
      </c>
      <c r="J107" t="str">
        <f>IF(ISERROR(VLOOKUP(G107,新系统!G:G,1,0)),"原型有新系统没有","")</f>
        <v/>
      </c>
      <c r="K107" t="str">
        <f>IF(ISERROR(VLOOKUP(O107,新系统!O:O,1,0)),"原型有新系统没有","")</f>
        <v/>
      </c>
      <c r="L107" t="str">
        <f>IF(ISERROR(VLOOKUP(P107,新系统!P:P,1,0)),"原型有新系统没有","")</f>
        <v/>
      </c>
      <c r="M107" t="str">
        <f>IF(ISERROR(VLOOKUP(Q107,新系统!Q:Q,1,0)),"原型有新系统没有","")</f>
        <v/>
      </c>
      <c r="N107" t="str">
        <f>IF(ISERROR(VLOOKUP(R107,新系统!R:R,1,0)),"原型有新系统没有","")</f>
        <v/>
      </c>
      <c r="O107" t="s">
        <v>185</v>
      </c>
      <c r="P107" t="s">
        <v>212</v>
      </c>
      <c r="Q107" t="s">
        <v>224</v>
      </c>
      <c r="R107" s="56" t="s">
        <v>229</v>
      </c>
    </row>
    <row r="108" ht="28" spans="1:18">
      <c r="A108" t="s">
        <v>185</v>
      </c>
      <c r="B108" t="s">
        <v>212</v>
      </c>
      <c r="C108" s="67" t="s">
        <v>230</v>
      </c>
      <c r="D108" s="65" t="s">
        <v>230</v>
      </c>
      <c r="E108" t="str">
        <f t="shared" si="10"/>
        <v>其他押品|交通运输设备|其他交通运输设备|其他交通运输设备</v>
      </c>
      <c r="F108" t="str">
        <f t="shared" si="11"/>
        <v>交通运输设备|其他交通运输设备|其他交通运输设备</v>
      </c>
      <c r="G108" t="str">
        <f t="shared" si="12"/>
        <v>其他交通运输设备|其他交通运输设备</v>
      </c>
      <c r="H108" t="str">
        <f>IF(ISERROR(VLOOKUP(E108,新系统!E:E,1,0)),"原型有新系统没有","")</f>
        <v>原型有新系统没有</v>
      </c>
      <c r="I108" t="str">
        <f>IF(ISERROR(VLOOKUP(F108,新系统!F:F,1,0)),"原型有新系统没有","")</f>
        <v>原型有新系统没有</v>
      </c>
      <c r="J108" t="str">
        <f>IF(ISERROR(VLOOKUP(G108,新系统!G:G,1,0)),"原型有新系统没有","")</f>
        <v>原型有新系统没有</v>
      </c>
      <c r="K108" t="str">
        <f>IF(ISERROR(VLOOKUP(O108,新系统!O:O,1,0)),"原型有新系统没有","")</f>
        <v/>
      </c>
      <c r="L108" t="str">
        <f>IF(ISERROR(VLOOKUP(P108,新系统!P:P,1,0)),"原型有新系统没有","")</f>
        <v/>
      </c>
      <c r="M108" t="str">
        <f>IF(ISERROR(VLOOKUP(Q108,新系统!Q:Q,1,0)),"原型有新系统没有","")</f>
        <v>原型有新系统没有</v>
      </c>
      <c r="N108" t="str">
        <f>IF(ISERROR(VLOOKUP(R108,新系统!R:R,1,0)),"原型有新系统没有","")</f>
        <v>原型有新系统没有</v>
      </c>
      <c r="O108" t="s">
        <v>185</v>
      </c>
      <c r="P108" t="s">
        <v>212</v>
      </c>
      <c r="Q108" s="67" t="s">
        <v>230</v>
      </c>
      <c r="R108" s="65" t="s">
        <v>230</v>
      </c>
    </row>
    <row r="109" ht="14" spans="1:18">
      <c r="A109" t="s">
        <v>185</v>
      </c>
      <c r="B109" s="90" t="s">
        <v>231</v>
      </c>
      <c r="C109" s="80" t="s">
        <v>232</v>
      </c>
      <c r="D109" s="56" t="s">
        <v>233</v>
      </c>
      <c r="E109" t="str">
        <f t="shared" si="10"/>
        <v>其他押品|资源资产|矿业权|采矿权</v>
      </c>
      <c r="F109" t="str">
        <f t="shared" si="11"/>
        <v>资源资产|矿业权|采矿权</v>
      </c>
      <c r="G109" t="str">
        <f t="shared" si="12"/>
        <v>矿业权|采矿权</v>
      </c>
      <c r="H109" t="str">
        <f>IF(ISERROR(VLOOKUP(E109,新系统!E:E,1,0)),"原型有新系统没有","")</f>
        <v/>
      </c>
      <c r="I109" t="str">
        <f>IF(ISERROR(VLOOKUP(F109,新系统!F:F,1,0)),"原型有新系统没有","")</f>
        <v/>
      </c>
      <c r="J109" t="str">
        <f>IF(ISERROR(VLOOKUP(G109,新系统!G:G,1,0)),"原型有新系统没有","")</f>
        <v/>
      </c>
      <c r="K109" t="str">
        <f>IF(ISERROR(VLOOKUP(O109,新系统!O:O,1,0)),"原型有新系统没有","")</f>
        <v/>
      </c>
      <c r="L109" t="str">
        <f>IF(ISERROR(VLOOKUP(P109,新系统!P:P,1,0)),"原型有新系统没有","")</f>
        <v/>
      </c>
      <c r="M109" t="str">
        <f>IF(ISERROR(VLOOKUP(Q109,新系统!Q:Q,1,0)),"原型有新系统没有","")</f>
        <v/>
      </c>
      <c r="N109" t="str">
        <f>IF(ISERROR(VLOOKUP(R109,新系统!R:R,1,0)),"原型有新系统没有","")</f>
        <v/>
      </c>
      <c r="O109" t="s">
        <v>185</v>
      </c>
      <c r="P109" s="90" t="s">
        <v>231</v>
      </c>
      <c r="Q109" s="80" t="s">
        <v>232</v>
      </c>
      <c r="R109" s="56" t="s">
        <v>233</v>
      </c>
    </row>
    <row r="110" ht="14" spans="1:18">
      <c r="A110" t="s">
        <v>185</v>
      </c>
      <c r="B110" t="s">
        <v>231</v>
      </c>
      <c r="C110" t="s">
        <v>232</v>
      </c>
      <c r="D110" s="73" t="s">
        <v>234</v>
      </c>
      <c r="E110" t="str">
        <f t="shared" si="10"/>
        <v>其他押品|资源资产|矿业权|探矿权</v>
      </c>
      <c r="F110" t="str">
        <f t="shared" si="11"/>
        <v>资源资产|矿业权|探矿权</v>
      </c>
      <c r="G110" t="str">
        <f t="shared" si="12"/>
        <v>矿业权|探矿权</v>
      </c>
      <c r="H110" t="str">
        <f>IF(ISERROR(VLOOKUP(E110,新系统!E:E,1,0)),"原型有新系统没有","")</f>
        <v>原型有新系统没有</v>
      </c>
      <c r="I110" t="str">
        <f>IF(ISERROR(VLOOKUP(F110,新系统!F:F,1,0)),"原型有新系统没有","")</f>
        <v>原型有新系统没有</v>
      </c>
      <c r="J110" t="str">
        <f>IF(ISERROR(VLOOKUP(G110,新系统!G:G,1,0)),"原型有新系统没有","")</f>
        <v>原型有新系统没有</v>
      </c>
      <c r="K110" t="str">
        <f>IF(ISERROR(VLOOKUP(O110,新系统!O:O,1,0)),"原型有新系统没有","")</f>
        <v/>
      </c>
      <c r="L110" t="str">
        <f>IF(ISERROR(VLOOKUP(P110,新系统!P:P,1,0)),"原型有新系统没有","")</f>
        <v/>
      </c>
      <c r="M110" t="str">
        <f>IF(ISERROR(VLOOKUP(Q110,新系统!Q:Q,1,0)),"原型有新系统没有","")</f>
        <v/>
      </c>
      <c r="N110" t="str">
        <f>IF(ISERROR(VLOOKUP(R110,新系统!R:R,1,0)),"原型有新系统没有","")</f>
        <v>原型有新系统没有</v>
      </c>
      <c r="O110" t="s">
        <v>185</v>
      </c>
      <c r="P110" t="s">
        <v>231</v>
      </c>
      <c r="Q110" t="s">
        <v>232</v>
      </c>
      <c r="R110" s="73" t="s">
        <v>234</v>
      </c>
    </row>
    <row r="111" ht="24" customHeight="1" spans="1:18">
      <c r="A111" t="s">
        <v>185</v>
      </c>
      <c r="B111" t="s">
        <v>231</v>
      </c>
      <c r="C111" s="90" t="s">
        <v>235</v>
      </c>
      <c r="D111" s="56" t="s">
        <v>236</v>
      </c>
      <c r="E111" t="str">
        <f t="shared" si="10"/>
        <v>其他押品|资源资产|林权|森林和林木所有权与使用权</v>
      </c>
      <c r="F111" t="str">
        <f t="shared" si="11"/>
        <v>资源资产|林权|森林和林木所有权与使用权</v>
      </c>
      <c r="G111" t="str">
        <f t="shared" si="12"/>
        <v>林权|森林和林木所有权与使用权</v>
      </c>
      <c r="H111" t="str">
        <f>IF(ISERROR(VLOOKUP(E111,新系统!E:E,1,0)),"原型有新系统没有","")</f>
        <v/>
      </c>
      <c r="I111" t="str">
        <f>IF(ISERROR(VLOOKUP(F111,新系统!F:F,1,0)),"原型有新系统没有","")</f>
        <v/>
      </c>
      <c r="J111" t="str">
        <f>IF(ISERROR(VLOOKUP(G111,新系统!G:G,1,0)),"原型有新系统没有","")</f>
        <v/>
      </c>
      <c r="K111" t="str">
        <f>IF(ISERROR(VLOOKUP(O111,新系统!O:O,1,0)),"原型有新系统没有","")</f>
        <v/>
      </c>
      <c r="L111" t="str">
        <f>IF(ISERROR(VLOOKUP(P111,新系统!P:P,1,0)),"原型有新系统没有","")</f>
        <v/>
      </c>
      <c r="M111" t="str">
        <f>IF(ISERROR(VLOOKUP(Q111,新系统!Q:Q,1,0)),"原型有新系统没有","")</f>
        <v/>
      </c>
      <c r="N111" t="str">
        <f>IF(ISERROR(VLOOKUP(R111,新系统!R:R,1,0)),"原型有新系统没有","")</f>
        <v/>
      </c>
      <c r="O111" t="s">
        <v>185</v>
      </c>
      <c r="P111" t="s">
        <v>231</v>
      </c>
      <c r="Q111" s="90" t="s">
        <v>235</v>
      </c>
      <c r="R111" s="56" t="s">
        <v>236</v>
      </c>
    </row>
    <row r="112" ht="14" spans="1:18">
      <c r="A112" t="s">
        <v>185</v>
      </c>
      <c r="B112" t="s">
        <v>231</v>
      </c>
      <c r="C112" t="s">
        <v>235</v>
      </c>
      <c r="D112" s="56" t="s">
        <v>237</v>
      </c>
      <c r="E112" t="str">
        <f t="shared" si="10"/>
        <v>其他押品|资源资产|林权|林地使用权</v>
      </c>
      <c r="F112" t="str">
        <f t="shared" si="11"/>
        <v>资源资产|林权|林地使用权</v>
      </c>
      <c r="G112" t="str">
        <f t="shared" si="12"/>
        <v>林权|林地使用权</v>
      </c>
      <c r="H112" t="str">
        <f>IF(ISERROR(VLOOKUP(E112,新系统!E:E,1,0)),"原型有新系统没有","")</f>
        <v/>
      </c>
      <c r="I112" t="str">
        <f>IF(ISERROR(VLOOKUP(F112,新系统!F:F,1,0)),"原型有新系统没有","")</f>
        <v/>
      </c>
      <c r="J112" t="str">
        <f>IF(ISERROR(VLOOKUP(G112,新系统!G:G,1,0)),"原型有新系统没有","")</f>
        <v/>
      </c>
      <c r="K112" t="str">
        <f>IF(ISERROR(VLOOKUP(O112,新系统!O:O,1,0)),"原型有新系统没有","")</f>
        <v/>
      </c>
      <c r="L112" t="str">
        <f>IF(ISERROR(VLOOKUP(P112,新系统!P:P,1,0)),"原型有新系统没有","")</f>
        <v/>
      </c>
      <c r="M112" t="str">
        <f>IF(ISERROR(VLOOKUP(Q112,新系统!Q:Q,1,0)),"原型有新系统没有","")</f>
        <v/>
      </c>
      <c r="N112" t="str">
        <f>IF(ISERROR(VLOOKUP(R112,新系统!R:R,1,0)),"原型有新系统没有","")</f>
        <v/>
      </c>
      <c r="O112" t="s">
        <v>185</v>
      </c>
      <c r="P112" t="s">
        <v>231</v>
      </c>
      <c r="Q112" t="s">
        <v>235</v>
      </c>
      <c r="R112" s="56" t="s">
        <v>237</v>
      </c>
    </row>
    <row r="113" ht="14" spans="1:18">
      <c r="A113" t="s">
        <v>185</v>
      </c>
      <c r="B113" t="s">
        <v>231</v>
      </c>
      <c r="C113" s="80" t="s">
        <v>238</v>
      </c>
      <c r="D113" s="56" t="s">
        <v>238</v>
      </c>
      <c r="E113" t="str">
        <f t="shared" si="10"/>
        <v>其他押品|资源资产|海域使用权|海域使用权</v>
      </c>
      <c r="F113" t="str">
        <f t="shared" si="11"/>
        <v>资源资产|海域使用权|海域使用权</v>
      </c>
      <c r="G113" t="str">
        <f t="shared" si="12"/>
        <v>海域使用权|海域使用权</v>
      </c>
      <c r="H113" t="str">
        <f>IF(ISERROR(VLOOKUP(E113,新系统!E:E,1,0)),"原型有新系统没有","")</f>
        <v/>
      </c>
      <c r="I113" t="str">
        <f>IF(ISERROR(VLOOKUP(F113,新系统!F:F,1,0)),"原型有新系统没有","")</f>
        <v/>
      </c>
      <c r="J113" t="str">
        <f>IF(ISERROR(VLOOKUP(G113,新系统!G:G,1,0)),"原型有新系统没有","")</f>
        <v/>
      </c>
      <c r="K113" t="str">
        <f>IF(ISERROR(VLOOKUP(O113,新系统!O:O,1,0)),"原型有新系统没有","")</f>
        <v/>
      </c>
      <c r="L113" t="str">
        <f>IF(ISERROR(VLOOKUP(P113,新系统!P:P,1,0)),"原型有新系统没有","")</f>
        <v/>
      </c>
      <c r="M113" t="str">
        <f>IF(ISERROR(VLOOKUP(Q113,新系统!Q:Q,1,0)),"原型有新系统没有","")</f>
        <v/>
      </c>
      <c r="N113" t="str">
        <f>IF(ISERROR(VLOOKUP(R113,新系统!R:R,1,0)),"原型有新系统没有","")</f>
        <v/>
      </c>
      <c r="O113" t="s">
        <v>185</v>
      </c>
      <c r="P113" t="s">
        <v>231</v>
      </c>
      <c r="Q113" s="80" t="s">
        <v>238</v>
      </c>
      <c r="R113" s="56" t="s">
        <v>238</v>
      </c>
    </row>
    <row r="114" ht="28" spans="1:18">
      <c r="A114" t="s">
        <v>185</v>
      </c>
      <c r="B114" t="s">
        <v>231</v>
      </c>
      <c r="C114" s="80" t="s">
        <v>239</v>
      </c>
      <c r="D114" s="56" t="s">
        <v>239</v>
      </c>
      <c r="E114" t="str">
        <f t="shared" si="10"/>
        <v>其他押品|资源资产|其他资源资产|其他资源资产</v>
      </c>
      <c r="F114" t="str">
        <f t="shared" si="11"/>
        <v>资源资产|其他资源资产|其他资源资产</v>
      </c>
      <c r="G114" t="str">
        <f t="shared" si="12"/>
        <v>其他资源资产|其他资源资产</v>
      </c>
      <c r="H114" t="str">
        <f>IF(ISERROR(VLOOKUP(E114,新系统!E:E,1,0)),"原型有新系统没有","")</f>
        <v/>
      </c>
      <c r="I114" t="str">
        <f>IF(ISERROR(VLOOKUP(F114,新系统!F:F,1,0)),"原型有新系统没有","")</f>
        <v/>
      </c>
      <c r="J114" t="str">
        <f>IF(ISERROR(VLOOKUP(G114,新系统!G:G,1,0)),"原型有新系统没有","")</f>
        <v/>
      </c>
      <c r="K114" t="str">
        <f>IF(ISERROR(VLOOKUP(O114,新系统!O:O,1,0)),"原型有新系统没有","")</f>
        <v/>
      </c>
      <c r="L114" t="str">
        <f>IF(ISERROR(VLOOKUP(P114,新系统!P:P,1,0)),"原型有新系统没有","")</f>
        <v/>
      </c>
      <c r="M114" t="str">
        <f>IF(ISERROR(VLOOKUP(Q114,新系统!Q:Q,1,0)),"原型有新系统没有","")</f>
        <v/>
      </c>
      <c r="N114" t="str">
        <f>IF(ISERROR(VLOOKUP(R114,新系统!R:R,1,0)),"原型有新系统没有","")</f>
        <v/>
      </c>
      <c r="O114" t="s">
        <v>185</v>
      </c>
      <c r="P114" t="s">
        <v>231</v>
      </c>
      <c r="Q114" s="80" t="s">
        <v>239</v>
      </c>
      <c r="R114" s="56" t="s">
        <v>239</v>
      </c>
    </row>
    <row r="115" ht="14" spans="1:18">
      <c r="A115" t="s">
        <v>185</v>
      </c>
      <c r="B115" t="s">
        <v>231</v>
      </c>
      <c r="C115" s="67" t="s">
        <v>240</v>
      </c>
      <c r="D115" s="73" t="s">
        <v>240</v>
      </c>
      <c r="E115" t="str">
        <f t="shared" si="10"/>
        <v>其他押品|资源资产|碳排放权|碳排放权</v>
      </c>
      <c r="F115" t="str">
        <f t="shared" si="11"/>
        <v>资源资产|碳排放权|碳排放权</v>
      </c>
      <c r="G115" t="str">
        <f t="shared" si="12"/>
        <v>碳排放权|碳排放权</v>
      </c>
      <c r="H115" t="str">
        <f>IF(ISERROR(VLOOKUP(E115,新系统!E:E,1,0)),"原型有新系统没有","")</f>
        <v>原型有新系统没有</v>
      </c>
      <c r="I115" t="str">
        <f>IF(ISERROR(VLOOKUP(F115,新系统!F:F,1,0)),"原型有新系统没有","")</f>
        <v>原型有新系统没有</v>
      </c>
      <c r="J115" t="str">
        <f>IF(ISERROR(VLOOKUP(G115,新系统!G:G,1,0)),"原型有新系统没有","")</f>
        <v>原型有新系统没有</v>
      </c>
      <c r="K115" t="str">
        <f>IF(ISERROR(VLOOKUP(O115,新系统!O:O,1,0)),"原型有新系统没有","")</f>
        <v/>
      </c>
      <c r="L115" t="str">
        <f>IF(ISERROR(VLOOKUP(P115,新系统!P:P,1,0)),"原型有新系统没有","")</f>
        <v/>
      </c>
      <c r="M115" t="str">
        <f>IF(ISERROR(VLOOKUP(Q115,新系统!Q:Q,1,0)),"原型有新系统没有","")</f>
        <v>原型有新系统没有</v>
      </c>
      <c r="N115" t="str">
        <f>IF(ISERROR(VLOOKUP(R115,新系统!R:R,1,0)),"原型有新系统没有","")</f>
        <v>原型有新系统没有</v>
      </c>
      <c r="O115" t="s">
        <v>185</v>
      </c>
      <c r="P115" t="s">
        <v>231</v>
      </c>
      <c r="Q115" s="67" t="s">
        <v>240</v>
      </c>
      <c r="R115" s="73" t="s">
        <v>240</v>
      </c>
    </row>
    <row r="116" ht="14" spans="1:18">
      <c r="A116" t="s">
        <v>185</v>
      </c>
      <c r="B116" t="s">
        <v>231</v>
      </c>
      <c r="C116" s="67" t="s">
        <v>241</v>
      </c>
      <c r="D116" s="73" t="s">
        <v>241</v>
      </c>
      <c r="E116" t="str">
        <f t="shared" si="10"/>
        <v>其他押品|资源资产|排污权|排污权</v>
      </c>
      <c r="F116" t="str">
        <f t="shared" si="11"/>
        <v>资源资产|排污权|排污权</v>
      </c>
      <c r="G116" t="str">
        <f t="shared" si="12"/>
        <v>排污权|排污权</v>
      </c>
      <c r="H116" t="str">
        <f>IF(ISERROR(VLOOKUP(E116,新系统!E:E,1,0)),"原型有新系统没有","")</f>
        <v>原型有新系统没有</v>
      </c>
      <c r="I116" t="str">
        <f>IF(ISERROR(VLOOKUP(F116,新系统!F:F,1,0)),"原型有新系统没有","")</f>
        <v>原型有新系统没有</v>
      </c>
      <c r="J116" t="str">
        <f>IF(ISERROR(VLOOKUP(G116,新系统!G:G,1,0)),"原型有新系统没有","")</f>
        <v>原型有新系统没有</v>
      </c>
      <c r="K116" t="str">
        <f>IF(ISERROR(VLOOKUP(O116,新系统!O:O,1,0)),"原型有新系统没有","")</f>
        <v/>
      </c>
      <c r="L116" t="str">
        <f>IF(ISERROR(VLOOKUP(P116,新系统!P:P,1,0)),"原型有新系统没有","")</f>
        <v/>
      </c>
      <c r="M116" t="str">
        <f>IF(ISERROR(VLOOKUP(Q116,新系统!Q:Q,1,0)),"原型有新系统没有","")</f>
        <v>原型有新系统没有</v>
      </c>
      <c r="N116" t="str">
        <f>IF(ISERROR(VLOOKUP(R116,新系统!R:R,1,0)),"原型有新系统没有","")</f>
        <v>原型有新系统没有</v>
      </c>
      <c r="O116" t="s">
        <v>185</v>
      </c>
      <c r="P116" t="s">
        <v>231</v>
      </c>
      <c r="Q116" s="67" t="s">
        <v>241</v>
      </c>
      <c r="R116" s="73" t="s">
        <v>241</v>
      </c>
    </row>
    <row r="117" ht="41" spans="1:18">
      <c r="A117" t="s">
        <v>185</v>
      </c>
      <c r="B117" s="90" t="s">
        <v>242</v>
      </c>
      <c r="C117" s="80" t="s">
        <v>243</v>
      </c>
      <c r="D117" s="56" t="s">
        <v>243</v>
      </c>
      <c r="E117" t="str">
        <f t="shared" si="10"/>
        <v>其他押品|可转让知识产权中的财产权|注册商标专用权|注册商标专用权</v>
      </c>
      <c r="F117" t="str">
        <f t="shared" si="11"/>
        <v>可转让知识产权中的财产权|注册商标专用权|注册商标专用权</v>
      </c>
      <c r="G117" t="str">
        <f t="shared" si="12"/>
        <v>注册商标专用权|注册商标专用权</v>
      </c>
      <c r="H117" t="str">
        <f>IF(ISERROR(VLOOKUP(E117,新系统!E:E,1,0)),"原型有新系统没有","")</f>
        <v/>
      </c>
      <c r="I117" t="str">
        <f>IF(ISERROR(VLOOKUP(F117,新系统!F:F,1,0)),"原型有新系统没有","")</f>
        <v/>
      </c>
      <c r="J117" t="str">
        <f>IF(ISERROR(VLOOKUP(G117,新系统!G:G,1,0)),"原型有新系统没有","")</f>
        <v/>
      </c>
      <c r="K117" t="str">
        <f>IF(ISERROR(VLOOKUP(O117,新系统!O:O,1,0)),"原型有新系统没有","")</f>
        <v/>
      </c>
      <c r="L117" t="str">
        <f>IF(ISERROR(VLOOKUP(P117,新系统!P:P,1,0)),"原型有新系统没有","")</f>
        <v/>
      </c>
      <c r="M117" t="str">
        <f>IF(ISERROR(VLOOKUP(Q117,新系统!Q:Q,1,0)),"原型有新系统没有","")</f>
        <v/>
      </c>
      <c r="N117" t="str">
        <f>IF(ISERROR(VLOOKUP(R117,新系统!R:R,1,0)),"原型有新系统没有","")</f>
        <v/>
      </c>
      <c r="O117" t="s">
        <v>185</v>
      </c>
      <c r="P117" s="90" t="s">
        <v>242</v>
      </c>
      <c r="Q117" s="80" t="s">
        <v>243</v>
      </c>
      <c r="R117" s="56" t="s">
        <v>243</v>
      </c>
    </row>
    <row r="118" ht="14" spans="1:18">
      <c r="A118" t="s">
        <v>185</v>
      </c>
      <c r="B118" t="s">
        <v>242</v>
      </c>
      <c r="C118" s="80" t="s">
        <v>244</v>
      </c>
      <c r="D118" s="56" t="s">
        <v>244</v>
      </c>
      <c r="E118" t="str">
        <f t="shared" si="10"/>
        <v>其他押品|可转让知识产权中的财产权|专利权|专利权</v>
      </c>
      <c r="F118" t="str">
        <f t="shared" si="11"/>
        <v>可转让知识产权中的财产权|专利权|专利权</v>
      </c>
      <c r="G118" t="str">
        <f t="shared" si="12"/>
        <v>专利权|专利权</v>
      </c>
      <c r="H118" t="str">
        <f>IF(ISERROR(VLOOKUP(E118,新系统!E:E,1,0)),"原型有新系统没有","")</f>
        <v/>
      </c>
      <c r="I118" t="str">
        <f>IF(ISERROR(VLOOKUP(F118,新系统!F:F,1,0)),"原型有新系统没有","")</f>
        <v/>
      </c>
      <c r="J118" t="str">
        <f>IF(ISERROR(VLOOKUP(G118,新系统!G:G,1,0)),"原型有新系统没有","")</f>
        <v/>
      </c>
      <c r="K118" t="str">
        <f>IF(ISERROR(VLOOKUP(O118,新系统!O:O,1,0)),"原型有新系统没有","")</f>
        <v/>
      </c>
      <c r="L118" t="str">
        <f>IF(ISERROR(VLOOKUP(P118,新系统!P:P,1,0)),"原型有新系统没有","")</f>
        <v/>
      </c>
      <c r="M118" t="str">
        <f>IF(ISERROR(VLOOKUP(Q118,新系统!Q:Q,1,0)),"原型有新系统没有","")</f>
        <v/>
      </c>
      <c r="N118" t="str">
        <f>IF(ISERROR(VLOOKUP(R118,新系统!R:R,1,0)),"原型有新系统没有","")</f>
        <v/>
      </c>
      <c r="O118" t="s">
        <v>185</v>
      </c>
      <c r="P118" t="s">
        <v>242</v>
      </c>
      <c r="Q118" s="80" t="s">
        <v>244</v>
      </c>
      <c r="R118" s="56" t="s">
        <v>244</v>
      </c>
    </row>
    <row r="119" ht="14" spans="1:18">
      <c r="A119" t="s">
        <v>185</v>
      </c>
      <c r="B119" t="s">
        <v>242</v>
      </c>
      <c r="C119" s="80" t="s">
        <v>245</v>
      </c>
      <c r="D119" s="56" t="s">
        <v>245</v>
      </c>
      <c r="E119" t="str">
        <f t="shared" si="10"/>
        <v>其他押品|可转让知识产权中的财产权|著作权|著作权</v>
      </c>
      <c r="F119" t="str">
        <f t="shared" si="11"/>
        <v>可转让知识产权中的财产权|著作权|著作权</v>
      </c>
      <c r="G119" t="str">
        <f t="shared" si="12"/>
        <v>著作权|著作权</v>
      </c>
      <c r="H119" t="str">
        <f>IF(ISERROR(VLOOKUP(E119,新系统!E:E,1,0)),"原型有新系统没有","")</f>
        <v/>
      </c>
      <c r="I119" t="str">
        <f>IF(ISERROR(VLOOKUP(F119,新系统!F:F,1,0)),"原型有新系统没有","")</f>
        <v/>
      </c>
      <c r="J119" t="str">
        <f>IF(ISERROR(VLOOKUP(G119,新系统!G:G,1,0)),"原型有新系统没有","")</f>
        <v/>
      </c>
      <c r="K119" t="str">
        <f>IF(ISERROR(VLOOKUP(O119,新系统!O:O,1,0)),"原型有新系统没有","")</f>
        <v/>
      </c>
      <c r="L119" t="str">
        <f>IF(ISERROR(VLOOKUP(P119,新系统!P:P,1,0)),"原型有新系统没有","")</f>
        <v/>
      </c>
      <c r="M119" t="str">
        <f>IF(ISERROR(VLOOKUP(Q119,新系统!Q:Q,1,0)),"原型有新系统没有","")</f>
        <v/>
      </c>
      <c r="N119" t="str">
        <f>IF(ISERROR(VLOOKUP(R119,新系统!R:R,1,0)),"原型有新系统没有","")</f>
        <v/>
      </c>
      <c r="O119" t="s">
        <v>185</v>
      </c>
      <c r="P119" t="s">
        <v>242</v>
      </c>
      <c r="Q119" s="80" t="s">
        <v>245</v>
      </c>
      <c r="R119" s="56" t="s">
        <v>245</v>
      </c>
    </row>
    <row r="120" ht="28" spans="1:18">
      <c r="A120" t="s">
        <v>185</v>
      </c>
      <c r="B120" t="s">
        <v>242</v>
      </c>
      <c r="C120" s="67" t="s">
        <v>246</v>
      </c>
      <c r="D120" s="73" t="s">
        <v>246</v>
      </c>
      <c r="E120" t="str">
        <f t="shared" si="10"/>
        <v>其他押品|可转让知识产权中的财产权|其他知识产权|其他知识产权</v>
      </c>
      <c r="F120" t="str">
        <f t="shared" si="11"/>
        <v>可转让知识产权中的财产权|其他知识产权|其他知识产权</v>
      </c>
      <c r="G120" t="str">
        <f t="shared" si="12"/>
        <v>其他知识产权|其他知识产权</v>
      </c>
      <c r="H120" t="str">
        <f>IF(ISERROR(VLOOKUP(E120,新系统!E:E,1,0)),"原型有新系统没有","")</f>
        <v>原型有新系统没有</v>
      </c>
      <c r="I120" t="str">
        <f>IF(ISERROR(VLOOKUP(F120,新系统!F:F,1,0)),"原型有新系统没有","")</f>
        <v>原型有新系统没有</v>
      </c>
      <c r="J120" t="str">
        <f>IF(ISERROR(VLOOKUP(G120,新系统!G:G,1,0)),"原型有新系统没有","")</f>
        <v>原型有新系统没有</v>
      </c>
      <c r="K120" t="str">
        <f>IF(ISERROR(VLOOKUP(O120,新系统!O:O,1,0)),"原型有新系统没有","")</f>
        <v/>
      </c>
      <c r="L120" t="str">
        <f>IF(ISERROR(VLOOKUP(P120,新系统!P:P,1,0)),"原型有新系统没有","")</f>
        <v/>
      </c>
      <c r="M120" t="str">
        <f>IF(ISERROR(VLOOKUP(Q120,新系统!Q:Q,1,0)),"原型有新系统没有","")</f>
        <v>原型有新系统没有</v>
      </c>
      <c r="N120" t="str">
        <f>IF(ISERROR(VLOOKUP(R120,新系统!R:R,1,0)),"原型有新系统没有","")</f>
        <v>原型有新系统没有</v>
      </c>
      <c r="O120" t="s">
        <v>185</v>
      </c>
      <c r="P120" t="s">
        <v>242</v>
      </c>
      <c r="Q120" s="67" t="s">
        <v>246</v>
      </c>
      <c r="R120" s="73" t="s">
        <v>246</v>
      </c>
    </row>
    <row r="121" ht="28" spans="1:18">
      <c r="A121" t="s">
        <v>185</v>
      </c>
      <c r="B121" s="90" t="s">
        <v>247</v>
      </c>
      <c r="C121" s="80" t="s">
        <v>248</v>
      </c>
      <c r="D121" s="56" t="s">
        <v>248</v>
      </c>
      <c r="E121" t="str">
        <f t="shared" si="10"/>
        <v>其他押品|特殊建筑构造物|车位、车库|车位、车库</v>
      </c>
      <c r="F121" t="str">
        <f t="shared" si="11"/>
        <v>特殊建筑构造物|车位、车库|车位、车库</v>
      </c>
      <c r="G121" t="str">
        <f t="shared" si="12"/>
        <v>车位、车库|车位、车库</v>
      </c>
      <c r="H121" t="str">
        <f>IF(ISERROR(VLOOKUP(E121,新系统!E:E,1,0)),"原型有新系统没有","")</f>
        <v>原型有新系统没有</v>
      </c>
      <c r="I121" t="str">
        <f>IF(ISERROR(VLOOKUP(F121,新系统!F:F,1,0)),"原型有新系统没有","")</f>
        <v>原型有新系统没有</v>
      </c>
      <c r="J121" t="str">
        <f>IF(ISERROR(VLOOKUP(G121,新系统!G:G,1,0)),"原型有新系统没有","")</f>
        <v>原型有新系统没有</v>
      </c>
      <c r="K121" t="str">
        <f>IF(ISERROR(VLOOKUP(O121,新系统!O:O,1,0)),"原型有新系统没有","")</f>
        <v/>
      </c>
      <c r="L121" t="str">
        <f>IF(ISERROR(VLOOKUP(P121,新系统!P:P,1,0)),"原型有新系统没有","")</f>
        <v/>
      </c>
      <c r="M121" t="str">
        <f>IF(ISERROR(VLOOKUP(Q121,新系统!Q:Q,1,0)),"原型有新系统没有","")</f>
        <v/>
      </c>
      <c r="N121" t="str">
        <f>IF(ISERROR(VLOOKUP(R121,新系统!R:R,1,0)),"原型有新系统没有","")</f>
        <v/>
      </c>
      <c r="O121" t="s">
        <v>185</v>
      </c>
      <c r="P121" s="90" t="s">
        <v>247</v>
      </c>
      <c r="Q121" s="80" t="s">
        <v>249</v>
      </c>
      <c r="R121" s="56" t="s">
        <v>249</v>
      </c>
    </row>
    <row r="122" ht="14" spans="1:18">
      <c r="A122" t="s">
        <v>185</v>
      </c>
      <c r="B122" t="s">
        <v>247</v>
      </c>
      <c r="C122" s="64" t="s">
        <v>250</v>
      </c>
      <c r="D122" s="56" t="s">
        <v>250</v>
      </c>
      <c r="E122" t="str">
        <f t="shared" si="10"/>
        <v>其他押品|特殊建筑构造物|加油（气）站|加油（气）站</v>
      </c>
      <c r="F122" t="str">
        <f t="shared" si="11"/>
        <v>特殊建筑构造物|加油（气）站|加油（气）站</v>
      </c>
      <c r="G122" t="str">
        <f t="shared" si="12"/>
        <v>加油（气）站|加油（气）站</v>
      </c>
      <c r="H122" t="str">
        <f>IF(ISERROR(VLOOKUP(E122,新系统!E:E,1,0)),"原型有新系统没有","")</f>
        <v/>
      </c>
      <c r="I122" t="str">
        <f>IF(ISERROR(VLOOKUP(F122,新系统!F:F,1,0)),"原型有新系统没有","")</f>
        <v/>
      </c>
      <c r="J122" t="str">
        <f>IF(ISERROR(VLOOKUP(G122,新系统!G:G,1,0)),"原型有新系统没有","")</f>
        <v/>
      </c>
      <c r="K122" t="str">
        <f>IF(ISERROR(VLOOKUP(O122,新系统!O:O,1,0)),"原型有新系统没有","")</f>
        <v/>
      </c>
      <c r="L122" t="str">
        <f>IF(ISERROR(VLOOKUP(P122,新系统!P:P,1,0)),"原型有新系统没有","")</f>
        <v/>
      </c>
      <c r="M122" t="str">
        <f>IF(ISERROR(VLOOKUP(Q122,新系统!Q:Q,1,0)),"原型有新系统没有","")</f>
        <v/>
      </c>
      <c r="N122" t="str">
        <f>IF(ISERROR(VLOOKUP(R122,新系统!R:R,1,0)),"原型有新系统没有","")</f>
        <v/>
      </c>
      <c r="O122" t="s">
        <v>185</v>
      </c>
      <c r="P122" t="s">
        <v>247</v>
      </c>
      <c r="Q122" s="64" t="s">
        <v>251</v>
      </c>
      <c r="R122" s="56" t="s">
        <v>251</v>
      </c>
    </row>
    <row r="123" ht="14" spans="1:18">
      <c r="A123" t="s">
        <v>185</v>
      </c>
      <c r="B123" t="s">
        <v>247</v>
      </c>
      <c r="C123" s="80" t="s">
        <v>252</v>
      </c>
      <c r="D123" s="56" t="s">
        <v>252</v>
      </c>
      <c r="E123" t="str">
        <f t="shared" si="10"/>
        <v>其他押品|特殊建筑构造物|铁路|铁路</v>
      </c>
      <c r="F123" t="str">
        <f t="shared" si="11"/>
        <v>特殊建筑构造物|铁路|铁路</v>
      </c>
      <c r="G123" t="str">
        <f t="shared" si="12"/>
        <v>铁路|铁路</v>
      </c>
      <c r="H123" t="str">
        <f>IF(ISERROR(VLOOKUP(E123,新系统!E:E,1,0)),"原型有新系统没有","")</f>
        <v/>
      </c>
      <c r="I123" t="str">
        <f>IF(ISERROR(VLOOKUP(F123,新系统!F:F,1,0)),"原型有新系统没有","")</f>
        <v/>
      </c>
      <c r="J123" t="str">
        <f>IF(ISERROR(VLOOKUP(G123,新系统!G:G,1,0)),"原型有新系统没有","")</f>
        <v/>
      </c>
      <c r="K123" t="str">
        <f>IF(ISERROR(VLOOKUP(O123,新系统!O:O,1,0)),"原型有新系统没有","")</f>
        <v/>
      </c>
      <c r="L123" t="str">
        <f>IF(ISERROR(VLOOKUP(P123,新系统!P:P,1,0)),"原型有新系统没有","")</f>
        <v/>
      </c>
      <c r="M123" t="str">
        <f>IF(ISERROR(VLOOKUP(Q123,新系统!Q:Q,1,0)),"原型有新系统没有","")</f>
        <v/>
      </c>
      <c r="N123" t="str">
        <f>IF(ISERROR(VLOOKUP(R123,新系统!R:R,1,0)),"原型有新系统没有","")</f>
        <v/>
      </c>
      <c r="O123" t="s">
        <v>185</v>
      </c>
      <c r="P123" t="s">
        <v>247</v>
      </c>
      <c r="Q123" s="80" t="s">
        <v>252</v>
      </c>
      <c r="R123" s="56" t="s">
        <v>252</v>
      </c>
    </row>
    <row r="124" ht="14" spans="1:18">
      <c r="A124" t="s">
        <v>185</v>
      </c>
      <c r="B124" t="s">
        <v>247</v>
      </c>
      <c r="C124" s="80" t="s">
        <v>253</v>
      </c>
      <c r="D124" s="56" t="s">
        <v>253</v>
      </c>
      <c r="E124" t="str">
        <f t="shared" si="10"/>
        <v>其他押品|特殊建筑构造物|机场|机场</v>
      </c>
      <c r="F124" t="str">
        <f t="shared" si="11"/>
        <v>特殊建筑构造物|机场|机场</v>
      </c>
      <c r="G124" t="str">
        <f t="shared" si="12"/>
        <v>机场|机场</v>
      </c>
      <c r="H124" t="str">
        <f>IF(ISERROR(VLOOKUP(E124,新系统!E:E,1,0)),"原型有新系统没有","")</f>
        <v/>
      </c>
      <c r="I124" t="str">
        <f>IF(ISERROR(VLOOKUP(F124,新系统!F:F,1,0)),"原型有新系统没有","")</f>
        <v/>
      </c>
      <c r="J124" t="str">
        <f>IF(ISERROR(VLOOKUP(G124,新系统!G:G,1,0)),"原型有新系统没有","")</f>
        <v/>
      </c>
      <c r="K124" t="str">
        <f>IF(ISERROR(VLOOKUP(O124,新系统!O:O,1,0)),"原型有新系统没有","")</f>
        <v/>
      </c>
      <c r="L124" t="str">
        <f>IF(ISERROR(VLOOKUP(P124,新系统!P:P,1,0)),"原型有新系统没有","")</f>
        <v/>
      </c>
      <c r="M124" t="str">
        <f>IF(ISERROR(VLOOKUP(Q124,新系统!Q:Q,1,0)),"原型有新系统没有","")</f>
        <v/>
      </c>
      <c r="N124" t="str">
        <f>IF(ISERROR(VLOOKUP(R124,新系统!R:R,1,0)),"原型有新系统没有","")</f>
        <v/>
      </c>
      <c r="O124" t="s">
        <v>185</v>
      </c>
      <c r="P124" t="s">
        <v>247</v>
      </c>
      <c r="Q124" s="80" t="s">
        <v>253</v>
      </c>
      <c r="R124" s="56" t="s">
        <v>253</v>
      </c>
    </row>
    <row r="125" ht="14" spans="1:18">
      <c r="A125" t="s">
        <v>185</v>
      </c>
      <c r="B125" t="s">
        <v>247</v>
      </c>
      <c r="C125" s="80" t="s">
        <v>254</v>
      </c>
      <c r="D125" s="56" t="s">
        <v>254</v>
      </c>
      <c r="E125" t="str">
        <f t="shared" si="10"/>
        <v>其他押品|特殊建筑构造物|码头|码头</v>
      </c>
      <c r="F125" t="str">
        <f t="shared" si="11"/>
        <v>特殊建筑构造物|码头|码头</v>
      </c>
      <c r="G125" t="str">
        <f t="shared" si="12"/>
        <v>码头|码头</v>
      </c>
      <c r="H125" t="str">
        <f>IF(ISERROR(VLOOKUP(E125,新系统!E:E,1,0)),"原型有新系统没有","")</f>
        <v/>
      </c>
      <c r="I125" t="str">
        <f>IF(ISERROR(VLOOKUP(F125,新系统!F:F,1,0)),"原型有新系统没有","")</f>
        <v/>
      </c>
      <c r="J125" t="str">
        <f>IF(ISERROR(VLOOKUP(G125,新系统!G:G,1,0)),"原型有新系统没有","")</f>
        <v/>
      </c>
      <c r="K125" t="str">
        <f>IF(ISERROR(VLOOKUP(O125,新系统!O:O,1,0)),"原型有新系统没有","")</f>
        <v/>
      </c>
      <c r="L125" t="str">
        <f>IF(ISERROR(VLOOKUP(P125,新系统!P:P,1,0)),"原型有新系统没有","")</f>
        <v/>
      </c>
      <c r="M125" t="str">
        <f>IF(ISERROR(VLOOKUP(Q125,新系统!Q:Q,1,0)),"原型有新系统没有","")</f>
        <v/>
      </c>
      <c r="N125" t="str">
        <f>IF(ISERROR(VLOOKUP(R125,新系统!R:R,1,0)),"原型有新系统没有","")</f>
        <v/>
      </c>
      <c r="O125" t="s">
        <v>185</v>
      </c>
      <c r="P125" t="s">
        <v>247</v>
      </c>
      <c r="Q125" s="80" t="s">
        <v>254</v>
      </c>
      <c r="R125" s="56" t="s">
        <v>254</v>
      </c>
    </row>
    <row r="126" ht="14" spans="1:18">
      <c r="A126" t="s">
        <v>185</v>
      </c>
      <c r="B126" t="s">
        <v>247</v>
      </c>
      <c r="C126" s="80" t="s">
        <v>255</v>
      </c>
      <c r="D126" s="56" t="s">
        <v>255</v>
      </c>
      <c r="E126" t="str">
        <f t="shared" si="10"/>
        <v>其他押品|特殊建筑构造物|港口|港口</v>
      </c>
      <c r="F126" t="str">
        <f t="shared" si="11"/>
        <v>特殊建筑构造物|港口|港口</v>
      </c>
      <c r="G126" t="str">
        <f t="shared" si="12"/>
        <v>港口|港口</v>
      </c>
      <c r="H126" t="str">
        <f>IF(ISERROR(VLOOKUP(E126,新系统!E:E,1,0)),"原型有新系统没有","")</f>
        <v/>
      </c>
      <c r="I126" t="str">
        <f>IF(ISERROR(VLOOKUP(F126,新系统!F:F,1,0)),"原型有新系统没有","")</f>
        <v/>
      </c>
      <c r="J126" t="str">
        <f>IF(ISERROR(VLOOKUP(G126,新系统!G:G,1,0)),"原型有新系统没有","")</f>
        <v/>
      </c>
      <c r="K126" t="str">
        <f>IF(ISERROR(VLOOKUP(O126,新系统!O:O,1,0)),"原型有新系统没有","")</f>
        <v/>
      </c>
      <c r="L126" t="str">
        <f>IF(ISERROR(VLOOKUP(P126,新系统!P:P,1,0)),"原型有新系统没有","")</f>
        <v/>
      </c>
      <c r="M126" t="str">
        <f>IF(ISERROR(VLOOKUP(Q126,新系统!Q:Q,1,0)),"原型有新系统没有","")</f>
        <v/>
      </c>
      <c r="N126" t="str">
        <f>IF(ISERROR(VLOOKUP(R126,新系统!R:R,1,0)),"原型有新系统没有","")</f>
        <v/>
      </c>
      <c r="O126" t="s">
        <v>185</v>
      </c>
      <c r="P126" t="s">
        <v>247</v>
      </c>
      <c r="Q126" s="80" t="s">
        <v>255</v>
      </c>
      <c r="R126" s="56" t="s">
        <v>255</v>
      </c>
    </row>
    <row r="127" ht="14" spans="1:18">
      <c r="A127" t="s">
        <v>185</v>
      </c>
      <c r="B127" t="s">
        <v>247</v>
      </c>
      <c r="C127" s="80" t="s">
        <v>256</v>
      </c>
      <c r="D127" s="56" t="s">
        <v>256</v>
      </c>
      <c r="E127" t="str">
        <f t="shared" si="10"/>
        <v>其他押品|特殊建筑构造物|公路|公路</v>
      </c>
      <c r="F127" t="str">
        <f t="shared" si="11"/>
        <v>特殊建筑构造物|公路|公路</v>
      </c>
      <c r="G127" t="str">
        <f t="shared" si="12"/>
        <v>公路|公路</v>
      </c>
      <c r="H127" t="str">
        <f>IF(ISERROR(VLOOKUP(E127,新系统!E:E,1,0)),"原型有新系统没有","")</f>
        <v/>
      </c>
      <c r="I127" t="str">
        <f>IF(ISERROR(VLOOKUP(F127,新系统!F:F,1,0)),"原型有新系统没有","")</f>
        <v/>
      </c>
      <c r="J127" t="str">
        <f>IF(ISERROR(VLOOKUP(G127,新系统!G:G,1,0)),"原型有新系统没有","")</f>
        <v/>
      </c>
      <c r="K127" t="str">
        <f>IF(ISERROR(VLOOKUP(O127,新系统!O:O,1,0)),"原型有新系统没有","")</f>
        <v/>
      </c>
      <c r="L127" t="str">
        <f>IF(ISERROR(VLOOKUP(P127,新系统!P:P,1,0)),"原型有新系统没有","")</f>
        <v/>
      </c>
      <c r="M127" t="str">
        <f>IF(ISERROR(VLOOKUP(Q127,新系统!Q:Q,1,0)),"原型有新系统没有","")</f>
        <v/>
      </c>
      <c r="N127" t="str">
        <f>IF(ISERROR(VLOOKUP(R127,新系统!R:R,1,0)),"原型有新系统没有","")</f>
        <v/>
      </c>
      <c r="O127" t="s">
        <v>185</v>
      </c>
      <c r="P127" t="s">
        <v>247</v>
      </c>
      <c r="Q127" s="80" t="s">
        <v>256</v>
      </c>
      <c r="R127" s="56" t="s">
        <v>256</v>
      </c>
    </row>
    <row r="128" ht="14" spans="1:18">
      <c r="A128" t="s">
        <v>185</v>
      </c>
      <c r="B128" t="s">
        <v>247</v>
      </c>
      <c r="C128" s="80" t="s">
        <v>257</v>
      </c>
      <c r="D128" s="56" t="s">
        <v>257</v>
      </c>
      <c r="E128" t="str">
        <f t="shared" si="10"/>
        <v>其他押品|特殊建筑构造物|水坝|水坝</v>
      </c>
      <c r="F128" t="str">
        <f t="shared" si="11"/>
        <v>特殊建筑构造物|水坝|水坝</v>
      </c>
      <c r="G128" t="str">
        <f t="shared" si="12"/>
        <v>水坝|水坝</v>
      </c>
      <c r="H128" t="str">
        <f>IF(ISERROR(VLOOKUP(E128,新系统!E:E,1,0)),"原型有新系统没有","")</f>
        <v/>
      </c>
      <c r="I128" t="str">
        <f>IF(ISERROR(VLOOKUP(F128,新系统!F:F,1,0)),"原型有新系统没有","")</f>
        <v/>
      </c>
      <c r="J128" t="str">
        <f>IF(ISERROR(VLOOKUP(G128,新系统!G:G,1,0)),"原型有新系统没有","")</f>
        <v/>
      </c>
      <c r="K128" t="str">
        <f>IF(ISERROR(VLOOKUP(O128,新系统!O:O,1,0)),"原型有新系统没有","")</f>
        <v/>
      </c>
      <c r="L128" t="str">
        <f>IF(ISERROR(VLOOKUP(P128,新系统!P:P,1,0)),"原型有新系统没有","")</f>
        <v/>
      </c>
      <c r="M128" t="str">
        <f>IF(ISERROR(VLOOKUP(Q128,新系统!Q:Q,1,0)),"原型有新系统没有","")</f>
        <v/>
      </c>
      <c r="N128" t="str">
        <f>IF(ISERROR(VLOOKUP(R128,新系统!R:R,1,0)),"原型有新系统没有","")</f>
        <v/>
      </c>
      <c r="O128" t="s">
        <v>185</v>
      </c>
      <c r="P128" t="s">
        <v>247</v>
      </c>
      <c r="Q128" s="80" t="s">
        <v>257</v>
      </c>
      <c r="R128" s="56" t="s">
        <v>257</v>
      </c>
    </row>
    <row r="129" ht="14" spans="1:18">
      <c r="A129" t="s">
        <v>185</v>
      </c>
      <c r="B129" t="s">
        <v>247</v>
      </c>
      <c r="C129" s="80" t="s">
        <v>258</v>
      </c>
      <c r="D129" s="56" t="s">
        <v>258</v>
      </c>
      <c r="E129" t="str">
        <f t="shared" si="10"/>
        <v>其他押品|特殊建筑构造物|储油罐|储油罐</v>
      </c>
      <c r="F129" t="str">
        <f t="shared" si="11"/>
        <v>特殊建筑构造物|储油罐|储油罐</v>
      </c>
      <c r="G129" t="str">
        <f t="shared" si="12"/>
        <v>储油罐|储油罐</v>
      </c>
      <c r="H129" t="str">
        <f>IF(ISERROR(VLOOKUP(E129,新系统!E:E,1,0)),"原型有新系统没有","")</f>
        <v/>
      </c>
      <c r="I129" t="str">
        <f>IF(ISERROR(VLOOKUP(F129,新系统!F:F,1,0)),"原型有新系统没有","")</f>
        <v/>
      </c>
      <c r="J129" t="str">
        <f>IF(ISERROR(VLOOKUP(G129,新系统!G:G,1,0)),"原型有新系统没有","")</f>
        <v/>
      </c>
      <c r="K129" t="str">
        <f>IF(ISERROR(VLOOKUP(O129,新系统!O:O,1,0)),"原型有新系统没有","")</f>
        <v/>
      </c>
      <c r="L129" t="str">
        <f>IF(ISERROR(VLOOKUP(P129,新系统!P:P,1,0)),"原型有新系统没有","")</f>
        <v/>
      </c>
      <c r="M129" t="str">
        <f>IF(ISERROR(VLOOKUP(Q129,新系统!Q:Q,1,0)),"原型有新系统没有","")</f>
        <v/>
      </c>
      <c r="N129" t="str">
        <f>IF(ISERROR(VLOOKUP(R129,新系统!R:R,1,0)),"原型有新系统没有","")</f>
        <v/>
      </c>
      <c r="O129" t="s">
        <v>185</v>
      </c>
      <c r="P129" t="s">
        <v>247</v>
      </c>
      <c r="Q129" s="80" t="s">
        <v>258</v>
      </c>
      <c r="R129" s="56" t="s">
        <v>258</v>
      </c>
    </row>
    <row r="130" ht="14" spans="1:18">
      <c r="A130" t="s">
        <v>185</v>
      </c>
      <c r="B130" t="s">
        <v>247</v>
      </c>
      <c r="C130" s="80" t="s">
        <v>259</v>
      </c>
      <c r="D130" s="56" t="s">
        <v>259</v>
      </c>
      <c r="E130" t="str">
        <f t="shared" si="10"/>
        <v>其他押品|特殊建筑构造物|管道|管道</v>
      </c>
      <c r="F130" t="str">
        <f t="shared" si="11"/>
        <v>特殊建筑构造物|管道|管道</v>
      </c>
      <c r="G130" t="str">
        <f t="shared" si="12"/>
        <v>管道|管道</v>
      </c>
      <c r="H130" t="str">
        <f>IF(ISERROR(VLOOKUP(E130,新系统!E:E,1,0)),"原型有新系统没有","")</f>
        <v>原型有新系统没有</v>
      </c>
      <c r="I130" t="str">
        <f>IF(ISERROR(VLOOKUP(F130,新系统!F:F,1,0)),"原型有新系统没有","")</f>
        <v>原型有新系统没有</v>
      </c>
      <c r="J130" t="str">
        <f>IF(ISERROR(VLOOKUP(G130,新系统!G:G,1,0)),"原型有新系统没有","")</f>
        <v>原型有新系统没有</v>
      </c>
      <c r="K130" t="str">
        <f>IF(ISERROR(VLOOKUP(O130,新系统!O:O,1,0)),"原型有新系统没有","")</f>
        <v/>
      </c>
      <c r="L130" t="str">
        <f>IF(ISERROR(VLOOKUP(P130,新系统!P:P,1,0)),"原型有新系统没有","")</f>
        <v/>
      </c>
      <c r="M130" t="str">
        <f>IF(ISERROR(VLOOKUP(Q130,新系统!Q:Q,1,0)),"原型有新系统没有","")</f>
        <v>原型有新系统没有</v>
      </c>
      <c r="N130" t="str">
        <f>IF(ISERROR(VLOOKUP(R130,新系统!R:R,1,0)),"原型有新系统没有","")</f>
        <v>原型有新系统没有</v>
      </c>
      <c r="O130" t="s">
        <v>185</v>
      </c>
      <c r="P130" t="s">
        <v>247</v>
      </c>
      <c r="Q130" s="80" t="s">
        <v>259</v>
      </c>
      <c r="R130" s="56" t="s">
        <v>259</v>
      </c>
    </row>
    <row r="131" s="108" customFormat="1" ht="28" spans="1:18">
      <c r="A131" t="s">
        <v>185</v>
      </c>
      <c r="B131" s="95" t="s">
        <v>260</v>
      </c>
      <c r="C131" s="96" t="s">
        <v>260</v>
      </c>
      <c r="D131" s="97" t="s">
        <v>261</v>
      </c>
      <c r="E131" t="str">
        <f t="shared" si="10"/>
        <v>其他押品|其他以上未包括的押品|其他以上未包括的押品|特许经营权</v>
      </c>
      <c r="F131" t="str">
        <f t="shared" si="11"/>
        <v>其他以上未包括的押品|其他以上未包括的押品|特许经营权</v>
      </c>
      <c r="G131" t="str">
        <f t="shared" si="12"/>
        <v>其他以上未包括的押品|特许经营权</v>
      </c>
      <c r="H131" t="str">
        <f>IF(ISERROR(VLOOKUP(E131,新系统!E:E,1,0)),"原型有新系统没有","")</f>
        <v>原型有新系统没有</v>
      </c>
      <c r="I131" t="str">
        <f>IF(ISERROR(VLOOKUP(F131,新系统!F:F,1,0)),"原型有新系统没有","")</f>
        <v>原型有新系统没有</v>
      </c>
      <c r="J131" t="str">
        <f>IF(ISERROR(VLOOKUP(G131,新系统!G:G,1,0)),"原型有新系统没有","")</f>
        <v>原型有新系统没有</v>
      </c>
      <c r="K131" t="str">
        <f>IF(ISERROR(VLOOKUP(O131,新系统!O:O,1,0)),"原型有新系统没有","")</f>
        <v/>
      </c>
      <c r="L131" t="str">
        <f>IF(ISERROR(VLOOKUP(P131,新系统!P:P,1,0)),"原型有新系统没有","")</f>
        <v>原型有新系统没有</v>
      </c>
      <c r="M131" t="str">
        <f>IF(ISERROR(VLOOKUP(Q131,新系统!Q:Q,1,0)),"原型有新系统没有","")</f>
        <v>原型有新系统没有</v>
      </c>
      <c r="N131" t="str">
        <f>IF(ISERROR(VLOOKUP(R131,新系统!R:R,1,0)),"原型有新系统没有","")</f>
        <v>原型有新系统没有</v>
      </c>
      <c r="O131" t="s">
        <v>185</v>
      </c>
      <c r="P131" s="95" t="s">
        <v>260</v>
      </c>
      <c r="Q131" s="96" t="s">
        <v>260</v>
      </c>
      <c r="R131" s="97" t="s">
        <v>261</v>
      </c>
    </row>
    <row r="132" s="108" customFormat="1" ht="14" spans="1:18">
      <c r="A132" t="s">
        <v>185</v>
      </c>
      <c r="B132" s="98" t="s">
        <v>260</v>
      </c>
      <c r="C132" s="98" t="s">
        <v>260</v>
      </c>
      <c r="D132" s="97" t="s">
        <v>262</v>
      </c>
      <c r="E132" t="str">
        <f t="shared" si="10"/>
        <v>其他押品|其他以上未包括的押品|其他以上未包括的押品|活畜</v>
      </c>
      <c r="F132" t="str">
        <f t="shared" si="11"/>
        <v>其他以上未包括的押品|其他以上未包括的押品|活畜</v>
      </c>
      <c r="G132" t="str">
        <f t="shared" si="12"/>
        <v>其他以上未包括的押品|活畜</v>
      </c>
      <c r="H132" t="str">
        <f>IF(ISERROR(VLOOKUP(E132,新系统!E:E,1,0)),"原型有新系统没有","")</f>
        <v>原型有新系统没有</v>
      </c>
      <c r="I132" t="str">
        <f>IF(ISERROR(VLOOKUP(F132,新系统!F:F,1,0)),"原型有新系统没有","")</f>
        <v>原型有新系统没有</v>
      </c>
      <c r="J132" t="str">
        <f>IF(ISERROR(VLOOKUP(G132,新系统!G:G,1,0)),"原型有新系统没有","")</f>
        <v>原型有新系统没有</v>
      </c>
      <c r="K132" t="str">
        <f>IF(ISERROR(VLOOKUP(O132,新系统!O:O,1,0)),"原型有新系统没有","")</f>
        <v/>
      </c>
      <c r="L132" t="str">
        <f>IF(ISERROR(VLOOKUP(P132,新系统!P:P,1,0)),"原型有新系统没有","")</f>
        <v>原型有新系统没有</v>
      </c>
      <c r="M132" t="str">
        <f>IF(ISERROR(VLOOKUP(Q132,新系统!Q:Q,1,0)),"原型有新系统没有","")</f>
        <v>原型有新系统没有</v>
      </c>
      <c r="N132" t="str">
        <f>IF(ISERROR(VLOOKUP(R132,新系统!R:R,1,0)),"原型有新系统没有","")</f>
        <v>原型有新系统没有</v>
      </c>
      <c r="O132" t="s">
        <v>185</v>
      </c>
      <c r="P132" s="98" t="s">
        <v>260</v>
      </c>
      <c r="Q132" s="98" t="s">
        <v>260</v>
      </c>
      <c r="R132" s="97" t="s">
        <v>262</v>
      </c>
    </row>
    <row r="133" s="108" customFormat="1" ht="28" spans="1:18">
      <c r="A133" t="s">
        <v>185</v>
      </c>
      <c r="B133" s="98" t="s">
        <v>260</v>
      </c>
      <c r="C133" s="98" t="s">
        <v>260</v>
      </c>
      <c r="D133" s="97" t="s">
        <v>260</v>
      </c>
      <c r="E133" t="str">
        <f t="shared" si="10"/>
        <v>其他押品|其他以上未包括的押品|其他以上未包括的押品|其他以上未包括的押品</v>
      </c>
      <c r="F133" t="str">
        <f t="shared" si="11"/>
        <v>其他以上未包括的押品|其他以上未包括的押品|其他以上未包括的押品</v>
      </c>
      <c r="G133" t="str">
        <f t="shared" si="12"/>
        <v>其他以上未包括的押品|其他以上未包括的押品</v>
      </c>
      <c r="H133" t="str">
        <f>IF(ISERROR(VLOOKUP(E133,新系统!E:E,1,0)),"原型有新系统没有","")</f>
        <v>原型有新系统没有</v>
      </c>
      <c r="I133" t="str">
        <f>IF(ISERROR(VLOOKUP(F133,新系统!F:F,1,0)),"原型有新系统没有","")</f>
        <v>原型有新系统没有</v>
      </c>
      <c r="J133" t="str">
        <f>IF(ISERROR(VLOOKUP(G133,新系统!G:G,1,0)),"原型有新系统没有","")</f>
        <v>原型有新系统没有</v>
      </c>
      <c r="K133" t="str">
        <f>IF(ISERROR(VLOOKUP(O133,新系统!O:O,1,0)),"原型有新系统没有","")</f>
        <v/>
      </c>
      <c r="L133" t="str">
        <f>IF(ISERROR(VLOOKUP(P133,新系统!P:P,1,0)),"原型有新系统没有","")</f>
        <v>原型有新系统没有</v>
      </c>
      <c r="M133" t="str">
        <f>IF(ISERROR(VLOOKUP(Q133,新系统!Q:Q,1,0)),"原型有新系统没有","")</f>
        <v>原型有新系统没有</v>
      </c>
      <c r="N133" t="str">
        <f>IF(ISERROR(VLOOKUP(R133,新系统!R:R,1,0)),"原型有新系统没有","")</f>
        <v>原型有新系统没有</v>
      </c>
      <c r="O133" t="s">
        <v>185</v>
      </c>
      <c r="P133" s="98" t="s">
        <v>260</v>
      </c>
      <c r="Q133" s="98" t="s">
        <v>260</v>
      </c>
      <c r="R133" s="97" t="s">
        <v>260</v>
      </c>
    </row>
    <row r="134" spans="12:12">
      <c r="L134" t="str">
        <f>IF(ISERROR(VLOOKUP(P134,新系统!P:P,1,0)),"原型有新系统没有","")</f>
        <v>原型有新系统没有</v>
      </c>
    </row>
    <row r="138" ht="150" spans="1:3">
      <c r="A138" s="113" t="s">
        <v>263</v>
      </c>
      <c r="B138" t="s">
        <v>263</v>
      </c>
      <c r="C138" t="s">
        <v>263</v>
      </c>
    </row>
    <row r="139" spans="1:3">
      <c r="A139" t="s">
        <v>263</v>
      </c>
      <c r="B139" t="s">
        <v>263</v>
      </c>
      <c r="C139" t="s">
        <v>263</v>
      </c>
    </row>
    <row r="140" spans="1:3">
      <c r="A140" t="s">
        <v>263</v>
      </c>
      <c r="B140" t="s">
        <v>263</v>
      </c>
      <c r="C140" t="s">
        <v>263</v>
      </c>
    </row>
    <row r="141" spans="1:3">
      <c r="A141" t="s">
        <v>263</v>
      </c>
      <c r="B141" t="s">
        <v>263</v>
      </c>
      <c r="C141" t="s">
        <v>263</v>
      </c>
    </row>
    <row r="142" spans="1:3">
      <c r="A142" t="s">
        <v>263</v>
      </c>
      <c r="B142" t="s">
        <v>263</v>
      </c>
      <c r="C142" t="s">
        <v>263</v>
      </c>
    </row>
    <row r="143" spans="1:3">
      <c r="A143" t="s">
        <v>263</v>
      </c>
      <c r="B143" t="s">
        <v>263</v>
      </c>
      <c r="C143" t="s">
        <v>263</v>
      </c>
    </row>
    <row r="144" spans="1:3">
      <c r="A144" t="s">
        <v>263</v>
      </c>
      <c r="B144" t="s">
        <v>263</v>
      </c>
      <c r="C144" t="s">
        <v>263</v>
      </c>
    </row>
    <row r="145" spans="1:3">
      <c r="A145" t="s">
        <v>263</v>
      </c>
      <c r="B145" t="s">
        <v>263</v>
      </c>
      <c r="C145" t="s">
        <v>263</v>
      </c>
    </row>
    <row r="146" spans="1:3">
      <c r="A146" t="s">
        <v>263</v>
      </c>
      <c r="B146" t="s">
        <v>263</v>
      </c>
      <c r="C146" t="s">
        <v>263</v>
      </c>
    </row>
  </sheetData>
  <autoFilter ref="A1:N134">
    <extLst/>
  </autoFilter>
  <conditionalFormatting sqref="A3:A133">
    <cfRule type="expression" dxfId="0" priority="9">
      <formula>K3="原型有新系统没有"</formula>
    </cfRule>
  </conditionalFormatting>
  <conditionalFormatting sqref="B3:B133">
    <cfRule type="expression" dxfId="0" priority="8">
      <formula>L3="原型有新系统没有"</formula>
    </cfRule>
  </conditionalFormatting>
  <conditionalFormatting sqref="C3:C133">
    <cfRule type="expression" dxfId="0" priority="7">
      <formula>M3="原型有新系统没有"</formula>
    </cfRule>
  </conditionalFormatting>
  <conditionalFormatting sqref="D3:D133">
    <cfRule type="expression" dxfId="0" priority="6">
      <formula>N3="原型有新系统没有"</formula>
    </cfRule>
  </conditionalFormatting>
  <conditionalFormatting sqref="O3:O133">
    <cfRule type="expression" dxfId="0" priority="4">
      <formula>Y3="原型有新系统没有"</formula>
    </cfRule>
  </conditionalFormatting>
  <conditionalFormatting sqref="P3:P133">
    <cfRule type="expression" dxfId="0" priority="3">
      <formula>Z3="原型有新系统没有"</formula>
    </cfRule>
  </conditionalFormatting>
  <conditionalFormatting sqref="Q3:Q133">
    <cfRule type="expression" dxfId="0" priority="2">
      <formula>AA3="原型有新系统没有"</formula>
    </cfRule>
  </conditionalFormatting>
  <conditionalFormatting sqref="R3:R133">
    <cfRule type="expression" dxfId="0" priority="1">
      <formula>AB3="原型有新系统没有"</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
  <sheetViews>
    <sheetView tabSelected="1" zoomScale="130" zoomScaleNormal="130" topLeftCell="A8" workbookViewId="0">
      <selection activeCell="D11" sqref="D11"/>
    </sheetView>
  </sheetViews>
  <sheetFormatPr defaultColWidth="8.35714285714286" defaultRowHeight="16.8"/>
  <cols>
    <col min="1" max="1" width="27.5714285714286" style="100" customWidth="1"/>
    <col min="2" max="2" width="33.3571428571429" style="100" customWidth="1"/>
    <col min="3" max="3" width="37.8571428571429" style="100" customWidth="1"/>
    <col min="4" max="4" width="81.7142857142857" style="100" customWidth="1"/>
    <col min="5" max="5" width="116.642857142857" style="100" hidden="1" customWidth="1"/>
    <col min="6" max="7" width="47.3125" style="100" hidden="1" customWidth="1"/>
    <col min="8" max="10" width="18.4285714285714" style="100" hidden="1" customWidth="1"/>
    <col min="11" max="14" width="15.2857142857143" style="100" hidden="1" customWidth="1"/>
    <col min="15" max="15" width="27.3571428571429" style="100" hidden="1" customWidth="1"/>
    <col min="16" max="16" width="33.2857142857143" style="100" hidden="1" customWidth="1"/>
    <col min="17" max="17" width="37.7857142857143" style="100" hidden="1" customWidth="1"/>
    <col min="18" max="18" width="8.35714285714286" style="100" hidden="1" customWidth="1"/>
    <col min="19" max="19" width="8.71428571428571" style="100"/>
    <col min="20" max="16384" width="8.35714285714286" style="100"/>
  </cols>
  <sheetData>
    <row r="1" s="100" customFormat="1" spans="1:18">
      <c r="A1" s="81" t="s">
        <v>264</v>
      </c>
      <c r="B1" s="81" t="s">
        <v>265</v>
      </c>
      <c r="C1" s="81" t="s">
        <v>266</v>
      </c>
      <c r="D1" s="81" t="s">
        <v>267</v>
      </c>
      <c r="E1" s="100" t="str">
        <f>CLEAN(A1)&amp;"|"&amp;CLEAN(B1)&amp;"|"&amp;CLEAN(C1)&amp;"|"&amp;CLEAN(D1)</f>
        <v>一级菜单|二级菜单|三级菜单|四级菜单</v>
      </c>
      <c r="F1" t="str">
        <f>CLEAN(B1)&amp;"|"&amp;CLEAN(C1)&amp;"|"&amp;CLEAN(D1)</f>
        <v>二级菜单|三级菜单|四级菜单</v>
      </c>
      <c r="G1" t="str">
        <f>CLEAN(C1)&amp;"|"&amp;CLEAN(D1)</f>
        <v>三级菜单|四级菜单</v>
      </c>
      <c r="K1" t="s">
        <v>40</v>
      </c>
      <c r="L1" t="s">
        <v>41</v>
      </c>
      <c r="M1" t="s">
        <v>42</v>
      </c>
      <c r="N1" t="s">
        <v>43</v>
      </c>
      <c r="O1" s="81" t="s">
        <v>264</v>
      </c>
      <c r="P1" s="81" t="s">
        <v>265</v>
      </c>
      <c r="Q1" s="81" t="s">
        <v>266</v>
      </c>
      <c r="R1" s="81" t="s">
        <v>267</v>
      </c>
    </row>
    <row r="2" s="100" customFormat="1" spans="1:18">
      <c r="A2" s="53" t="s">
        <v>48</v>
      </c>
      <c r="B2" s="54" t="s">
        <v>49</v>
      </c>
      <c r="C2" s="55" t="s">
        <v>50</v>
      </c>
      <c r="D2" s="56" t="s">
        <v>51</v>
      </c>
      <c r="E2" s="100" t="str">
        <f t="shared" ref="E2:E33" si="0">CLEAN(A2)&amp;"|"&amp;CLEAN(B2)&amp;"|"&amp;CLEAN(C2)&amp;"|"&amp;CLEAN(D2)</f>
        <v>金融质押品|现金及其等价物|存单或存款|我行存单</v>
      </c>
      <c r="F2" t="str">
        <f t="shared" ref="F2:F33" si="1">CLEAN(B2)&amp;"|"&amp;CLEAN(C2)&amp;"|"&amp;CLEAN(D2)</f>
        <v>现金及其等价物|存单或存款|我行存单</v>
      </c>
      <c r="G2" t="str">
        <f t="shared" ref="G2:G33" si="2">CLEAN(C2)&amp;"|"&amp;CLEAN(D2)</f>
        <v>存单或存款|我行存单</v>
      </c>
      <c r="H2" s="100" t="str">
        <f>IF(ISERROR(VLOOKUP(E2,原型!E:E,1,0)),"新系统有原型没有","")</f>
        <v/>
      </c>
      <c r="K2" t="str">
        <f>IF(ISERROR(VLOOKUP(O2,原型!O:O,1,0)),"原型有新系统没有","")</f>
        <v/>
      </c>
      <c r="L2" t="str">
        <f>IF(ISERROR(VLOOKUP(P2,原型!P:P,1,0)),"原型有新系统没有","")</f>
        <v/>
      </c>
      <c r="M2" t="str">
        <f>IF(ISERROR(VLOOKUP(Q2,原型!Q:Q,1,0)),"原型有新系统没有","")</f>
        <v/>
      </c>
      <c r="N2" t="str">
        <f>IF(ISERROR(VLOOKUP(R2,原型!R:R,1,0)),"原型有新系统没有","")</f>
        <v/>
      </c>
      <c r="O2" s="53" t="s">
        <v>48</v>
      </c>
      <c r="P2" s="54" t="s">
        <v>49</v>
      </c>
      <c r="Q2" s="55" t="s">
        <v>50</v>
      </c>
      <c r="R2" s="56" t="s">
        <v>51</v>
      </c>
    </row>
    <row r="3" s="100" customFormat="1" spans="1:18">
      <c r="A3" t="s">
        <v>48</v>
      </c>
      <c r="B3" t="s">
        <v>49</v>
      </c>
      <c r="C3" t="s">
        <v>50</v>
      </c>
      <c r="D3" s="56" t="s">
        <v>52</v>
      </c>
      <c r="E3" s="100" t="str">
        <f t="shared" si="0"/>
        <v>金融质押品|现金及其等价物|存单或存款|他行存单</v>
      </c>
      <c r="F3" t="str">
        <f t="shared" si="1"/>
        <v>现金及其等价物|存单或存款|他行存单</v>
      </c>
      <c r="G3" t="str">
        <f t="shared" si="2"/>
        <v>存单或存款|他行存单</v>
      </c>
      <c r="H3" s="100" t="str">
        <f>IF(ISERROR(VLOOKUP(E3,原型!E:E,1,0)),"新系统有原型没有","")</f>
        <v/>
      </c>
      <c r="K3" t="str">
        <f>IF(ISERROR(VLOOKUP(O3,原型!O:O,1,0)),"原型有新系统没有","")</f>
        <v/>
      </c>
      <c r="L3" t="str">
        <f>IF(ISERROR(VLOOKUP(P3,原型!P:P,1,0)),"原型有新系统没有","")</f>
        <v/>
      </c>
      <c r="M3" t="str">
        <f>IF(ISERROR(VLOOKUP(Q3,原型!Q:Q,1,0)),"原型有新系统没有","")</f>
        <v/>
      </c>
      <c r="N3" t="str">
        <f>IF(ISERROR(VLOOKUP(R3,原型!R:R,1,0)),"原型有新系统没有","")</f>
        <v/>
      </c>
      <c r="O3" t="s">
        <v>48</v>
      </c>
      <c r="P3" t="s">
        <v>49</v>
      </c>
      <c r="Q3" t="s">
        <v>50</v>
      </c>
      <c r="R3" s="56" t="s">
        <v>52</v>
      </c>
    </row>
    <row r="4" s="100" customFormat="1" spans="1:18">
      <c r="A4" t="s">
        <v>48</v>
      </c>
      <c r="B4" t="s">
        <v>49</v>
      </c>
      <c r="C4" s="54" t="s">
        <v>53</v>
      </c>
      <c r="D4" s="56" t="s">
        <v>53</v>
      </c>
      <c r="E4" s="100" t="str">
        <f t="shared" si="0"/>
        <v>金融质押品|现金及其等价物|保证金|保证金</v>
      </c>
      <c r="F4" t="str">
        <f t="shared" si="1"/>
        <v>现金及其等价物|保证金|保证金</v>
      </c>
      <c r="G4" t="str">
        <f t="shared" si="2"/>
        <v>保证金|保证金</v>
      </c>
      <c r="H4" s="100" t="str">
        <f>IF(ISERROR(VLOOKUP(E4,原型!E:E,1,0)),"新系统有原型没有","")</f>
        <v/>
      </c>
      <c r="K4" t="str">
        <f>IF(ISERROR(VLOOKUP(O4,原型!O:O,1,0)),"原型有新系统没有","")</f>
        <v/>
      </c>
      <c r="L4" t="str">
        <f>IF(ISERROR(VLOOKUP(P4,原型!P:P,1,0)),"原型有新系统没有","")</f>
        <v/>
      </c>
      <c r="M4" t="str">
        <f>IF(ISERROR(VLOOKUP(Q4,原型!Q:Q,1,0)),"原型有新系统没有","")</f>
        <v/>
      </c>
      <c r="N4" t="str">
        <f>IF(ISERROR(VLOOKUP(R4,原型!R:R,1,0)),"原型有新系统没有","")</f>
        <v/>
      </c>
      <c r="O4" t="s">
        <v>48</v>
      </c>
      <c r="P4" t="s">
        <v>49</v>
      </c>
      <c r="Q4" s="54" t="s">
        <v>53</v>
      </c>
      <c r="R4" s="56" t="s">
        <v>53</v>
      </c>
    </row>
    <row r="5" s="100" customFormat="1" ht="28" spans="1:18">
      <c r="A5" t="s">
        <v>48</v>
      </c>
      <c r="B5" s="57" t="s">
        <v>54</v>
      </c>
      <c r="C5" s="58" t="s">
        <v>55</v>
      </c>
      <c r="D5" s="59" t="s">
        <v>55</v>
      </c>
      <c r="E5" s="100" t="str">
        <f t="shared" si="0"/>
        <v>金融质押品|贵金属|我行出售的贵金属|我行出售的贵金属</v>
      </c>
      <c r="F5" t="str">
        <f t="shared" si="1"/>
        <v>贵金属|我行出售的贵金属|我行出售的贵金属</v>
      </c>
      <c r="G5" t="str">
        <f t="shared" si="2"/>
        <v>我行出售的贵金属|我行出售的贵金属</v>
      </c>
      <c r="H5" s="100" t="str">
        <f>IF(ISERROR(VLOOKUP(E5,原型!E:E,1,0)),"新系统有原型没有","")</f>
        <v/>
      </c>
      <c r="K5" t="str">
        <f>IF(ISERROR(VLOOKUP(O5,原型!O:O,1,0)),"原型有新系统没有","")</f>
        <v/>
      </c>
      <c r="L5" t="str">
        <f>IF(ISERROR(VLOOKUP(P5,原型!P:P,1,0)),"原型有新系统没有","")</f>
        <v/>
      </c>
      <c r="M5" t="str">
        <f>IF(ISERROR(VLOOKUP(Q5,原型!Q:Q,1,0)),"原型有新系统没有","")</f>
        <v/>
      </c>
      <c r="N5" t="str">
        <f>IF(ISERROR(VLOOKUP(R5,原型!R:R,1,0)),"原型有新系统没有","")</f>
        <v/>
      </c>
      <c r="O5" t="s">
        <v>48</v>
      </c>
      <c r="P5" s="57" t="s">
        <v>54</v>
      </c>
      <c r="Q5" s="58" t="s">
        <v>55</v>
      </c>
      <c r="R5" s="59" t="s">
        <v>55</v>
      </c>
    </row>
    <row r="6" s="100" customFormat="1" spans="1:18">
      <c r="A6" t="s">
        <v>48</v>
      </c>
      <c r="B6" t="s">
        <v>54</v>
      </c>
      <c r="C6" s="57" t="s">
        <v>56</v>
      </c>
      <c r="D6" s="60" t="s">
        <v>57</v>
      </c>
      <c r="E6" s="100" t="str">
        <f t="shared" si="0"/>
        <v>金融质押品|贵金属|金交所托管的贵金属|黄金</v>
      </c>
      <c r="F6" t="str">
        <f t="shared" si="1"/>
        <v>贵金属|金交所托管的贵金属|黄金</v>
      </c>
      <c r="G6" t="str">
        <f t="shared" si="2"/>
        <v>金交所托管的贵金属|黄金</v>
      </c>
      <c r="H6" s="100" t="str">
        <f>IF(ISERROR(VLOOKUP(E6,原型!E:E,1,0)),"新系统有原型没有","")</f>
        <v/>
      </c>
      <c r="K6" t="str">
        <f>IF(ISERROR(VLOOKUP(O6,原型!O:O,1,0)),"原型有新系统没有","")</f>
        <v/>
      </c>
      <c r="L6" t="str">
        <f>IF(ISERROR(VLOOKUP(P6,原型!P:P,1,0)),"原型有新系统没有","")</f>
        <v/>
      </c>
      <c r="M6" t="str">
        <f>IF(ISERROR(VLOOKUP(Q6,原型!Q:Q,1,0)),"原型有新系统没有","")</f>
        <v/>
      </c>
      <c r="N6" t="str">
        <f>IF(ISERROR(VLOOKUP(R6,原型!R:R,1,0)),"原型有新系统没有","")</f>
        <v/>
      </c>
      <c r="O6" t="s">
        <v>48</v>
      </c>
      <c r="P6" t="s">
        <v>54</v>
      </c>
      <c r="Q6" s="57" t="s">
        <v>56</v>
      </c>
      <c r="R6" s="60" t="s">
        <v>57</v>
      </c>
    </row>
    <row r="7" s="100" customFormat="1" ht="41" spans="1:18">
      <c r="A7" t="s">
        <v>48</v>
      </c>
      <c r="B7" t="s">
        <v>54</v>
      </c>
      <c r="C7" t="s">
        <v>56</v>
      </c>
      <c r="D7" s="60" t="s">
        <v>58</v>
      </c>
      <c r="E7" s="100" t="str">
        <f t="shared" si="0"/>
        <v>金融质押品|贵金属|金交所托管的贵金属|标准银、铂金等其他贵金属</v>
      </c>
      <c r="F7" t="str">
        <f t="shared" si="1"/>
        <v>贵金属|金交所托管的贵金属|标准银、铂金等其他贵金属</v>
      </c>
      <c r="G7" t="str">
        <f t="shared" si="2"/>
        <v>金交所托管的贵金属|标准银、铂金等其他贵金属</v>
      </c>
      <c r="H7" s="100" t="str">
        <f>IF(ISERROR(VLOOKUP(E7,原型!E:E,1,0)),"新系统有原型没有","")</f>
        <v/>
      </c>
      <c r="K7" t="str">
        <f>IF(ISERROR(VLOOKUP(O7,原型!O:O,1,0)),"原型有新系统没有","")</f>
        <v/>
      </c>
      <c r="L7" t="str">
        <f>IF(ISERROR(VLOOKUP(P7,原型!P:P,1,0)),"原型有新系统没有","")</f>
        <v/>
      </c>
      <c r="M7" t="str">
        <f>IF(ISERROR(VLOOKUP(Q7,原型!Q:Q,1,0)),"原型有新系统没有","")</f>
        <v/>
      </c>
      <c r="N7" t="str">
        <f>IF(ISERROR(VLOOKUP(R7,原型!R:R,1,0)),"原型有新系统没有","")</f>
        <v/>
      </c>
      <c r="O7" t="s">
        <v>48</v>
      </c>
      <c r="P7" t="s">
        <v>54</v>
      </c>
      <c r="Q7" t="s">
        <v>56</v>
      </c>
      <c r="R7" s="60" t="s">
        <v>59</v>
      </c>
    </row>
    <row r="8" s="100" customFormat="1" spans="1:18">
      <c r="A8" t="s">
        <v>48</v>
      </c>
      <c r="B8" s="58" t="s">
        <v>60</v>
      </c>
      <c r="C8" s="58" t="s">
        <v>60</v>
      </c>
      <c r="D8" s="59" t="s">
        <v>60</v>
      </c>
      <c r="E8" s="100" t="str">
        <f t="shared" si="0"/>
        <v>金融质押品|同业存单|同业存单|同业存单</v>
      </c>
      <c r="F8" t="str">
        <f t="shared" si="1"/>
        <v>同业存单|同业存单|同业存单</v>
      </c>
      <c r="G8" t="str">
        <f t="shared" si="2"/>
        <v>同业存单|同业存单</v>
      </c>
      <c r="H8" s="100" t="str">
        <f>IF(ISERROR(VLOOKUP(E8,原型!E:E,1,0)),"新系统有原型没有","")</f>
        <v/>
      </c>
      <c r="K8" t="str">
        <f>IF(ISERROR(VLOOKUP(O8,原型!O:O,1,0)),"原型有新系统没有","")</f>
        <v/>
      </c>
      <c r="L8" t="str">
        <f>IF(ISERROR(VLOOKUP(P8,原型!P:P,1,0)),"原型有新系统没有","")</f>
        <v/>
      </c>
      <c r="M8" t="str">
        <f>IF(ISERROR(VLOOKUP(Q8,原型!Q:Q,1,0)),"原型有新系统没有","")</f>
        <v/>
      </c>
      <c r="N8" t="str">
        <f>IF(ISERROR(VLOOKUP(R8,原型!R:R,1,0)),"原型有新系统没有","")</f>
        <v/>
      </c>
      <c r="O8" t="s">
        <v>48</v>
      </c>
      <c r="P8" s="58" t="s">
        <v>60</v>
      </c>
      <c r="Q8" s="58" t="s">
        <v>60</v>
      </c>
      <c r="R8" s="59" t="s">
        <v>60</v>
      </c>
    </row>
    <row r="9" s="100" customFormat="1" spans="1:18">
      <c r="A9" t="s">
        <v>48</v>
      </c>
      <c r="B9" s="57" t="s">
        <v>61</v>
      </c>
      <c r="C9" s="57" t="s">
        <v>62</v>
      </c>
      <c r="D9" s="60" t="s">
        <v>63</v>
      </c>
      <c r="E9" s="100" t="str">
        <f t="shared" si="0"/>
        <v>金融质押品|债券|国债|储蓄国债</v>
      </c>
      <c r="F9" t="str">
        <f t="shared" si="1"/>
        <v>债券|国债|储蓄国债</v>
      </c>
      <c r="G9" t="str">
        <f t="shared" si="2"/>
        <v>国债|储蓄国债</v>
      </c>
      <c r="H9" s="100" t="str">
        <f>IF(ISERROR(VLOOKUP(E9,原型!E:E,1,0)),"新系统有原型没有","")</f>
        <v/>
      </c>
      <c r="K9" t="str">
        <f>IF(ISERROR(VLOOKUP(O9,原型!O:O,1,0)),"原型有新系统没有","")</f>
        <v/>
      </c>
      <c r="L9" t="str">
        <f>IF(ISERROR(VLOOKUP(P9,原型!P:P,1,0)),"原型有新系统没有","")</f>
        <v/>
      </c>
      <c r="M9" t="str">
        <f>IF(ISERROR(VLOOKUP(Q9,原型!Q:Q,1,0)),"原型有新系统没有","")</f>
        <v/>
      </c>
      <c r="N9" t="str">
        <f>IF(ISERROR(VLOOKUP(R9,原型!R:R,1,0)),"原型有新系统没有","")</f>
        <v/>
      </c>
      <c r="O9" t="s">
        <v>48</v>
      </c>
      <c r="P9" s="57" t="s">
        <v>61</v>
      </c>
      <c r="Q9" s="57" t="s">
        <v>62</v>
      </c>
      <c r="R9" s="60" t="s">
        <v>63</v>
      </c>
    </row>
    <row r="10" s="100" customFormat="1" spans="1:18">
      <c r="A10" t="s">
        <v>48</v>
      </c>
      <c r="B10" t="s">
        <v>61</v>
      </c>
      <c r="C10" t="s">
        <v>62</v>
      </c>
      <c r="D10" s="60" t="s">
        <v>64</v>
      </c>
      <c r="E10" s="100" t="str">
        <f t="shared" si="0"/>
        <v>金融质押品|债券|国债|凭证国债</v>
      </c>
      <c r="F10" t="str">
        <f t="shared" si="1"/>
        <v>债券|国债|凭证国债</v>
      </c>
      <c r="G10" t="str">
        <f t="shared" si="2"/>
        <v>国债|凭证国债</v>
      </c>
      <c r="H10" s="100" t="str">
        <f>IF(ISERROR(VLOOKUP(E10,原型!E:E,1,0)),"新系统有原型没有","")</f>
        <v/>
      </c>
      <c r="K10" t="str">
        <f>IF(ISERROR(VLOOKUP(O10,原型!O:O,1,0)),"原型有新系统没有","")</f>
        <v/>
      </c>
      <c r="L10" t="str">
        <f>IF(ISERROR(VLOOKUP(P10,原型!P:P,1,0)),"原型有新系统没有","")</f>
        <v/>
      </c>
      <c r="M10" t="str">
        <f>IF(ISERROR(VLOOKUP(Q10,原型!Q:Q,1,0)),"原型有新系统没有","")</f>
        <v/>
      </c>
      <c r="N10" t="str">
        <f>IF(ISERROR(VLOOKUP(R10,原型!R:R,1,0)),"原型有新系统没有","")</f>
        <v/>
      </c>
      <c r="O10" t="s">
        <v>48</v>
      </c>
      <c r="P10" t="s">
        <v>61</v>
      </c>
      <c r="Q10" t="s">
        <v>62</v>
      </c>
      <c r="R10" s="60" t="s">
        <v>64</v>
      </c>
    </row>
    <row r="11" s="100" customFormat="1" ht="28" spans="1:18">
      <c r="A11" t="s">
        <v>48</v>
      </c>
      <c r="B11" t="s">
        <v>61</v>
      </c>
      <c r="C11" t="s">
        <v>62</v>
      </c>
      <c r="D11" s="60" t="s">
        <v>65</v>
      </c>
      <c r="E11" s="100" t="str">
        <f t="shared" si="0"/>
        <v>金融质押品|债券|国债|记账式国债</v>
      </c>
      <c r="F11" t="str">
        <f t="shared" si="1"/>
        <v>债券|国债|记账式国债</v>
      </c>
      <c r="G11" t="str">
        <f t="shared" si="2"/>
        <v>国债|记账式国债</v>
      </c>
      <c r="H11" s="100" t="str">
        <f>IF(ISERROR(VLOOKUP(E11,原型!E:E,1,0)),"新系统有原型没有","")</f>
        <v/>
      </c>
      <c r="K11" t="str">
        <f>IF(ISERROR(VLOOKUP(O11,原型!O:O,1,0)),"原型有新系统没有","")</f>
        <v/>
      </c>
      <c r="L11" t="str">
        <f>IF(ISERROR(VLOOKUP(P11,原型!P:P,1,0)),"原型有新系统没有","")</f>
        <v/>
      </c>
      <c r="M11" t="str">
        <f>IF(ISERROR(VLOOKUP(Q11,原型!Q:Q,1,0)),"原型有新系统没有","")</f>
        <v/>
      </c>
      <c r="N11" t="str">
        <f>IF(ISERROR(VLOOKUP(R11,原型!R:R,1,0)),"原型有新系统没有","")</f>
        <v/>
      </c>
      <c r="O11" t="s">
        <v>48</v>
      </c>
      <c r="P11" t="s">
        <v>61</v>
      </c>
      <c r="Q11" t="s">
        <v>62</v>
      </c>
      <c r="R11" s="60" t="s">
        <v>65</v>
      </c>
    </row>
    <row r="12" s="100" customFormat="1" spans="1:18">
      <c r="A12" t="s">
        <v>48</v>
      </c>
      <c r="B12" t="s">
        <v>61</v>
      </c>
      <c r="C12" s="61" t="s">
        <v>68</v>
      </c>
      <c r="D12" s="60" t="s">
        <v>69</v>
      </c>
      <c r="E12" s="100" t="str">
        <f t="shared" si="0"/>
        <v>金融质押品|债券|央票|央行票据</v>
      </c>
      <c r="F12" t="str">
        <f t="shared" si="1"/>
        <v>债券|央票|央行票据</v>
      </c>
      <c r="G12" t="str">
        <f t="shared" si="2"/>
        <v>央票|央行票据</v>
      </c>
      <c r="H12" s="100" t="str">
        <f>IF(ISERROR(VLOOKUP(E12,原型!E:E,1,0)),"新系统有原型没有","")</f>
        <v/>
      </c>
      <c r="K12" t="str">
        <f>IF(ISERROR(VLOOKUP(O12,原型!O:O,1,0)),"原型有新系统没有","")</f>
        <v/>
      </c>
      <c r="L12" t="str">
        <f>IF(ISERROR(VLOOKUP(P12,原型!P:P,1,0)),"原型有新系统没有","")</f>
        <v/>
      </c>
      <c r="M12" t="str">
        <f>IF(ISERROR(VLOOKUP(Q12,原型!Q:Q,1,0)),"原型有新系统没有","")</f>
        <v/>
      </c>
      <c r="N12" t="str">
        <f>IF(ISERROR(VLOOKUP(R12,原型!R:R,1,0)),"原型有新系统没有","")</f>
        <v/>
      </c>
      <c r="O12" t="s">
        <v>48</v>
      </c>
      <c r="P12" t="s">
        <v>61</v>
      </c>
      <c r="Q12" s="61" t="s">
        <v>68</v>
      </c>
      <c r="R12" s="60" t="s">
        <v>69</v>
      </c>
    </row>
    <row r="13" s="100" customFormat="1" ht="28" spans="1:18">
      <c r="A13" t="s">
        <v>48</v>
      </c>
      <c r="B13" t="s">
        <v>61</v>
      </c>
      <c r="C13" s="101" t="s">
        <v>66</v>
      </c>
      <c r="D13" s="60" t="s">
        <v>67</v>
      </c>
      <c r="E13" s="100" t="str">
        <f t="shared" si="0"/>
        <v>金融质押品|债券|地方政府债券|境内地方债</v>
      </c>
      <c r="F13" t="str">
        <f t="shared" si="1"/>
        <v>债券|地方政府债券|境内地方债</v>
      </c>
      <c r="G13" t="str">
        <f t="shared" si="2"/>
        <v>地方政府债券|境内地方债</v>
      </c>
      <c r="H13" s="100" t="str">
        <f>IF(ISERROR(VLOOKUP(E13,原型!E:E,1,0)),"新系统有原型没有","")</f>
        <v/>
      </c>
      <c r="K13" t="str">
        <f>IF(ISERROR(VLOOKUP(O13,原型!O:O,1,0)),"原型有新系统没有","")</f>
        <v/>
      </c>
      <c r="L13" t="str">
        <f>IF(ISERROR(VLOOKUP(P13,原型!P:P,1,0)),"原型有新系统没有","")</f>
        <v/>
      </c>
      <c r="M13" t="str">
        <f>IF(ISERROR(VLOOKUP(Q13,原型!Q:Q,1,0)),"原型有新系统没有","")</f>
        <v/>
      </c>
      <c r="N13" t="str">
        <f>IF(ISERROR(VLOOKUP(R13,原型!R:R,1,0)),"原型有新系统没有","")</f>
        <v/>
      </c>
      <c r="O13" t="s">
        <v>48</v>
      </c>
      <c r="P13" t="s">
        <v>61</v>
      </c>
      <c r="Q13" s="61" t="s">
        <v>66</v>
      </c>
      <c r="R13" s="60" t="s">
        <v>67</v>
      </c>
    </row>
    <row r="14" s="100" customFormat="1" ht="28" spans="1:18">
      <c r="A14" t="s">
        <v>48</v>
      </c>
      <c r="B14" t="s">
        <v>61</v>
      </c>
      <c r="C14" s="61" t="s">
        <v>268</v>
      </c>
      <c r="D14" s="60" t="s">
        <v>70</v>
      </c>
      <c r="E14" s="100" t="str">
        <f t="shared" si="0"/>
        <v>金融质押品|债券|金融债|政策性金融债</v>
      </c>
      <c r="F14" t="str">
        <f t="shared" si="1"/>
        <v>债券|金融债|政策性金融债</v>
      </c>
      <c r="G14" t="str">
        <f t="shared" si="2"/>
        <v>金融债|政策性金融债</v>
      </c>
      <c r="H14" s="100" t="str">
        <f>IF(ISERROR(VLOOKUP(E14,原型!E:E,1,0)),"新系统有原型没有","")</f>
        <v>新系统有原型没有</v>
      </c>
      <c r="K14" t="str">
        <f>IF(ISERROR(VLOOKUP(O14,原型!O:O,1,0)),"原型有新系统没有","")</f>
        <v/>
      </c>
      <c r="L14" t="str">
        <f>IF(ISERROR(VLOOKUP(P14,原型!P:P,1,0)),"原型有新系统没有","")</f>
        <v/>
      </c>
      <c r="M14" t="str">
        <f>IF(ISERROR(VLOOKUP(Q14,原型!Q:Q,1,0)),"原型有新系统没有","")</f>
        <v>原型有新系统没有</v>
      </c>
      <c r="N14" t="str">
        <f>IF(ISERROR(VLOOKUP(R14,原型!R:R,1,0)),"原型有新系统没有","")</f>
        <v/>
      </c>
      <c r="O14" t="s">
        <v>48</v>
      </c>
      <c r="P14" t="s">
        <v>61</v>
      </c>
      <c r="Q14" s="61" t="s">
        <v>268</v>
      </c>
      <c r="R14" s="60" t="s">
        <v>70</v>
      </c>
    </row>
    <row r="15" s="100" customFormat="1" ht="28" spans="1:18">
      <c r="A15" t="s">
        <v>48</v>
      </c>
      <c r="B15" t="s">
        <v>61</v>
      </c>
      <c r="C15" s="62" t="s">
        <v>268</v>
      </c>
      <c r="D15" s="62" t="s">
        <v>269</v>
      </c>
      <c r="E15" s="100" t="str">
        <f t="shared" si="0"/>
        <v>金融质押品|债券|金融债|其他金融债</v>
      </c>
      <c r="F15" t="str">
        <f t="shared" si="1"/>
        <v>债券|金融债|其他金融债</v>
      </c>
      <c r="G15" t="str">
        <f t="shared" si="2"/>
        <v>金融债|其他金融债</v>
      </c>
      <c r="H15" s="100" t="str">
        <f>IF(ISERROR(VLOOKUP(E15,原型!E:E,1,0)),"新系统有原型没有","")</f>
        <v>新系统有原型没有</v>
      </c>
      <c r="K15" t="str">
        <f>IF(ISERROR(VLOOKUP(O15,原型!O:O,1,0)),"原型有新系统没有","")</f>
        <v/>
      </c>
      <c r="L15" t="str">
        <f>IF(ISERROR(VLOOKUP(P15,原型!P:P,1,0)),"原型有新系统没有","")</f>
        <v/>
      </c>
      <c r="M15" t="str">
        <f>IF(ISERROR(VLOOKUP(Q15,原型!Q:Q,1,0)),"原型有新系统没有","")</f>
        <v>原型有新系统没有</v>
      </c>
      <c r="N15" t="str">
        <f>IF(ISERROR(VLOOKUP(R15,原型!R:R,1,0)),"原型有新系统没有","")</f>
        <v>原型有新系统没有</v>
      </c>
      <c r="O15" t="s">
        <v>48</v>
      </c>
      <c r="P15" t="s">
        <v>61</v>
      </c>
      <c r="Q15" s="62" t="s">
        <v>268</v>
      </c>
      <c r="R15" s="62" t="s">
        <v>269</v>
      </c>
    </row>
    <row r="16" s="100" customFormat="1" ht="41" spans="1:18">
      <c r="A16" t="s">
        <v>48</v>
      </c>
      <c r="B16" t="s">
        <v>61</v>
      </c>
      <c r="C16" s="102" t="s">
        <v>78</v>
      </c>
      <c r="D16" s="62" t="s">
        <v>270</v>
      </c>
      <c r="E16" s="100" t="str">
        <f t="shared" si="0"/>
        <v>金融质押品|债券|非金融企业债|商业银行企业债/公司债</v>
      </c>
      <c r="F16" t="str">
        <f t="shared" si="1"/>
        <v>债券|非金融企业债|商业银行企业债/公司债</v>
      </c>
      <c r="G16" t="str">
        <f t="shared" si="2"/>
        <v>非金融企业债|商业银行企业债/公司债</v>
      </c>
      <c r="H16" s="100" t="str">
        <f>IF(ISERROR(VLOOKUP(E16,原型!E:E,1,0)),"新系统有原型没有","")</f>
        <v>新系统有原型没有</v>
      </c>
      <c r="K16" t="str">
        <f>IF(ISERROR(VLOOKUP(O16,原型!O:O,1,0)),"原型有新系统没有","")</f>
        <v/>
      </c>
      <c r="L16" t="str">
        <f>IF(ISERROR(VLOOKUP(P16,原型!P:P,1,0)),"原型有新系统没有","")</f>
        <v/>
      </c>
      <c r="M16" t="str">
        <f>IF(ISERROR(VLOOKUP(Q16,原型!Q:Q,1,0)),"原型有新系统没有","")</f>
        <v/>
      </c>
      <c r="N16" t="str">
        <f>IF(ISERROR(VLOOKUP(R16,原型!R:R,1,0)),"原型有新系统没有","")</f>
        <v>原型有新系统没有</v>
      </c>
      <c r="O16" t="s">
        <v>48</v>
      </c>
      <c r="P16" t="s">
        <v>61</v>
      </c>
      <c r="Q16" t="s">
        <v>78</v>
      </c>
      <c r="R16" s="62" t="s">
        <v>271</v>
      </c>
    </row>
    <row r="17" s="100" customFormat="1" ht="55" spans="1:18">
      <c r="A17" t="s">
        <v>48</v>
      </c>
      <c r="B17" t="s">
        <v>61</v>
      </c>
      <c r="C17" s="103" t="s">
        <v>78</v>
      </c>
      <c r="D17" s="62" t="s">
        <v>272</v>
      </c>
      <c r="E17" s="100" t="str">
        <f t="shared" si="0"/>
        <v>金融质押品|债券|非金融企业债|非银行金融机构企业债/公司债</v>
      </c>
      <c r="F17" t="str">
        <f t="shared" si="1"/>
        <v>债券|非金融企业债|非银行金融机构企业债/公司债</v>
      </c>
      <c r="G17" t="str">
        <f t="shared" si="2"/>
        <v>非金融企业债|非银行金融机构企业债/公司债</v>
      </c>
      <c r="H17" s="100" t="str">
        <f>IF(ISERROR(VLOOKUP(E17,原型!E:E,1,0)),"新系统有原型没有","")</f>
        <v>新系统有原型没有</v>
      </c>
      <c r="K17" t="str">
        <f>IF(ISERROR(VLOOKUP(O17,原型!O:O,1,0)),"原型有新系统没有","")</f>
        <v/>
      </c>
      <c r="L17" t="str">
        <f>IF(ISERROR(VLOOKUP(P17,原型!P:P,1,0)),"原型有新系统没有","")</f>
        <v/>
      </c>
      <c r="M17" t="str">
        <f>IF(ISERROR(VLOOKUP(Q17,原型!Q:Q,1,0)),"原型有新系统没有","")</f>
        <v/>
      </c>
      <c r="N17" t="str">
        <f>IF(ISERROR(VLOOKUP(R17,原型!R:R,1,0)),"原型有新系统没有","")</f>
        <v>原型有新系统没有</v>
      </c>
      <c r="O17" t="s">
        <v>48</v>
      </c>
      <c r="P17" t="s">
        <v>61</v>
      </c>
      <c r="Q17" t="s">
        <v>78</v>
      </c>
      <c r="R17" s="62" t="s">
        <v>273</v>
      </c>
    </row>
    <row r="18" s="100" customFormat="1" ht="28" spans="1:18">
      <c r="A18" t="s">
        <v>48</v>
      </c>
      <c r="B18" t="s">
        <v>61</v>
      </c>
      <c r="C18" s="103" t="s">
        <v>78</v>
      </c>
      <c r="D18" s="62" t="s">
        <v>274</v>
      </c>
      <c r="E18" s="100" t="str">
        <f t="shared" si="0"/>
        <v>金融质押品|债券|非金融企业债|政府支持机构债</v>
      </c>
      <c r="F18" t="str">
        <f t="shared" si="1"/>
        <v>债券|非金融企业债|政府支持机构债</v>
      </c>
      <c r="G18" t="str">
        <f t="shared" si="2"/>
        <v>非金融企业债|政府支持机构债</v>
      </c>
      <c r="H18" s="100" t="str">
        <f>IF(ISERROR(VLOOKUP(E18,原型!E:E,1,0)),"新系统有原型没有","")</f>
        <v>新系统有原型没有</v>
      </c>
      <c r="K18" t="str">
        <f>IF(ISERROR(VLOOKUP(O18,原型!O:O,1,0)),"原型有新系统没有","")</f>
        <v/>
      </c>
      <c r="L18" t="str">
        <f>IF(ISERROR(VLOOKUP(P18,原型!P:P,1,0)),"原型有新系统没有","")</f>
        <v/>
      </c>
      <c r="M18" t="str">
        <f>IF(ISERROR(VLOOKUP(Q18,原型!Q:Q,1,0)),"原型有新系统没有","")</f>
        <v/>
      </c>
      <c r="N18" t="str">
        <f>IF(ISERROR(VLOOKUP(R18,原型!R:R,1,0)),"原型有新系统没有","")</f>
        <v>原型有新系统没有</v>
      </c>
      <c r="O18" t="s">
        <v>48</v>
      </c>
      <c r="P18" t="s">
        <v>61</v>
      </c>
      <c r="Q18" t="s">
        <v>78</v>
      </c>
      <c r="R18" s="62" t="s">
        <v>274</v>
      </c>
    </row>
    <row r="19" s="100" customFormat="1" ht="41" spans="1:18">
      <c r="A19" t="s">
        <v>48</v>
      </c>
      <c r="B19" t="s">
        <v>61</v>
      </c>
      <c r="C19" s="103" t="s">
        <v>78</v>
      </c>
      <c r="D19" s="62" t="s">
        <v>275</v>
      </c>
      <c r="E19" s="100" t="str">
        <f t="shared" si="0"/>
        <v>金融质押品|债券|非金融企业债|其他公司企业债/公司债</v>
      </c>
      <c r="F19" t="str">
        <f t="shared" si="1"/>
        <v>债券|非金融企业债|其他公司企业债/公司债</v>
      </c>
      <c r="G19" t="str">
        <f t="shared" si="2"/>
        <v>非金融企业债|其他公司企业债/公司债</v>
      </c>
      <c r="H19" s="100" t="str">
        <f>IF(ISERROR(VLOOKUP(E19,原型!E:E,1,0)),"新系统有原型没有","")</f>
        <v>新系统有原型没有</v>
      </c>
      <c r="K19" t="str">
        <f>IF(ISERROR(VLOOKUP(O19,原型!O:O,1,0)),"原型有新系统没有","")</f>
        <v/>
      </c>
      <c r="L19" t="str">
        <f>IF(ISERROR(VLOOKUP(P19,原型!P:P,1,0)),"原型有新系统没有","")</f>
        <v/>
      </c>
      <c r="M19" t="str">
        <f>IF(ISERROR(VLOOKUP(Q19,原型!Q:Q,1,0)),"原型有新系统没有","")</f>
        <v/>
      </c>
      <c r="N19" t="str">
        <f>IF(ISERROR(VLOOKUP(R19,原型!R:R,1,0)),"原型有新系统没有","")</f>
        <v>原型有新系统没有</v>
      </c>
      <c r="O19" t="s">
        <v>48</v>
      </c>
      <c r="P19" t="s">
        <v>61</v>
      </c>
      <c r="Q19" t="s">
        <v>78</v>
      </c>
      <c r="R19" s="62" t="s">
        <v>276</v>
      </c>
    </row>
    <row r="20" s="100" customFormat="1" spans="1:18">
      <c r="A20" t="s">
        <v>48</v>
      </c>
      <c r="B20" t="s">
        <v>61</v>
      </c>
      <c r="C20" s="103" t="s">
        <v>78</v>
      </c>
      <c r="D20" s="62" t="s">
        <v>82</v>
      </c>
      <c r="E20" s="100" t="str">
        <f t="shared" si="0"/>
        <v>金融质押品|债券|非金融企业债|中期票据</v>
      </c>
      <c r="F20" t="str">
        <f t="shared" si="1"/>
        <v>债券|非金融企业债|中期票据</v>
      </c>
      <c r="G20" t="str">
        <f t="shared" si="2"/>
        <v>非金融企业债|中期票据</v>
      </c>
      <c r="H20" s="100" t="str">
        <f>IF(ISERROR(VLOOKUP(E20,原型!E:E,1,0)),"新系统有原型没有","")</f>
        <v/>
      </c>
      <c r="K20" t="str">
        <f>IF(ISERROR(VLOOKUP(O20,原型!O:O,1,0)),"原型有新系统没有","")</f>
        <v/>
      </c>
      <c r="L20" t="str">
        <f>IF(ISERROR(VLOOKUP(P20,原型!P:P,1,0)),"原型有新系统没有","")</f>
        <v/>
      </c>
      <c r="M20" t="str">
        <f>IF(ISERROR(VLOOKUP(Q20,原型!Q:Q,1,0)),"原型有新系统没有","")</f>
        <v/>
      </c>
      <c r="N20" t="str">
        <f>IF(ISERROR(VLOOKUP(R20,原型!R:R,1,0)),"原型有新系统没有","")</f>
        <v/>
      </c>
      <c r="O20" t="s">
        <v>48</v>
      </c>
      <c r="P20" t="s">
        <v>61</v>
      </c>
      <c r="Q20" t="s">
        <v>78</v>
      </c>
      <c r="R20" s="62" t="s">
        <v>82</v>
      </c>
    </row>
    <row r="21" s="100" customFormat="1" ht="28" spans="1:18">
      <c r="A21" t="s">
        <v>48</v>
      </c>
      <c r="B21" t="s">
        <v>61</v>
      </c>
      <c r="C21" s="103" t="s">
        <v>78</v>
      </c>
      <c r="D21" s="62" t="s">
        <v>81</v>
      </c>
      <c r="E21" s="100" t="str">
        <f t="shared" si="0"/>
        <v>金融质押品|债券|非金融企业债|短期融资券</v>
      </c>
      <c r="F21" t="str">
        <f t="shared" si="1"/>
        <v>债券|非金融企业债|短期融资券</v>
      </c>
      <c r="G21" t="str">
        <f t="shared" si="2"/>
        <v>非金融企业债|短期融资券</v>
      </c>
      <c r="H21" s="100" t="str">
        <f>IF(ISERROR(VLOOKUP(E21,原型!E:E,1,0)),"新系统有原型没有","")</f>
        <v/>
      </c>
      <c r="K21" t="str">
        <f>IF(ISERROR(VLOOKUP(O21,原型!O:O,1,0)),"原型有新系统没有","")</f>
        <v/>
      </c>
      <c r="L21" t="str">
        <f>IF(ISERROR(VLOOKUP(P21,原型!P:P,1,0)),"原型有新系统没有","")</f>
        <v/>
      </c>
      <c r="M21" t="str">
        <f>IF(ISERROR(VLOOKUP(Q21,原型!Q:Q,1,0)),"原型有新系统没有","")</f>
        <v/>
      </c>
      <c r="N21" t="str">
        <f>IF(ISERROR(VLOOKUP(R21,原型!R:R,1,0)),"原型有新系统没有","")</f>
        <v/>
      </c>
      <c r="O21" t="s">
        <v>48</v>
      </c>
      <c r="P21" t="s">
        <v>61</v>
      </c>
      <c r="Q21" t="s">
        <v>78</v>
      </c>
      <c r="R21" s="62" t="s">
        <v>81</v>
      </c>
    </row>
    <row r="22" s="100" customFormat="1" ht="41" spans="1:18">
      <c r="A22" t="s">
        <v>48</v>
      </c>
      <c r="B22" t="s">
        <v>61</v>
      </c>
      <c r="C22" t="s">
        <v>277</v>
      </c>
      <c r="D22" s="62" t="s">
        <v>278</v>
      </c>
      <c r="E22" s="100" t="str">
        <f t="shared" si="0"/>
        <v>金融质押品|债券|境外市场发行的债券|境外市场发行的人民币债券</v>
      </c>
      <c r="F22" t="str">
        <f t="shared" si="1"/>
        <v>债券|境外市场发行的债券|境外市场发行的人民币债券</v>
      </c>
      <c r="G22" t="str">
        <f t="shared" si="2"/>
        <v>境外市场发行的债券|境外市场发行的人民币债券</v>
      </c>
      <c r="H22" s="100" t="str">
        <f>IF(ISERROR(VLOOKUP(E22,原型!E:E,1,0)),"新系统有原型没有","")</f>
        <v>新系统有原型没有</v>
      </c>
      <c r="K22" t="str">
        <f>IF(ISERROR(VLOOKUP(O22,原型!O:O,1,0)),"原型有新系统没有","")</f>
        <v/>
      </c>
      <c r="L22" t="str">
        <f>IF(ISERROR(VLOOKUP(P22,原型!P:P,1,0)),"原型有新系统没有","")</f>
        <v/>
      </c>
      <c r="M22" t="str">
        <f>IF(ISERROR(VLOOKUP(Q22,原型!Q:Q,1,0)),"原型有新系统没有","")</f>
        <v>原型有新系统没有</v>
      </c>
      <c r="N22" t="str">
        <f>IF(ISERROR(VLOOKUP(R22,原型!R:R,1,0)),"原型有新系统没有","")</f>
        <v>原型有新系统没有</v>
      </c>
      <c r="O22" t="s">
        <v>48</v>
      </c>
      <c r="P22" t="s">
        <v>61</v>
      </c>
      <c r="Q22" t="s">
        <v>277</v>
      </c>
      <c r="R22" s="62" t="s">
        <v>278</v>
      </c>
    </row>
    <row r="23" s="100" customFormat="1" ht="41" spans="1:18">
      <c r="A23" t="s">
        <v>48</v>
      </c>
      <c r="B23" t="s">
        <v>61</v>
      </c>
      <c r="C23" s="62" t="s">
        <v>277</v>
      </c>
      <c r="D23" s="63" t="s">
        <v>279</v>
      </c>
      <c r="E23" s="100" t="str">
        <f t="shared" si="0"/>
        <v>金融质押品|债券|境外市场发行的债券|境外市场发行的外币债券</v>
      </c>
      <c r="F23" t="str">
        <f t="shared" si="1"/>
        <v>债券|境外市场发行的债券|境外市场发行的外币债券</v>
      </c>
      <c r="G23" t="str">
        <f t="shared" si="2"/>
        <v>境外市场发行的债券|境外市场发行的外币债券</v>
      </c>
      <c r="H23" s="100" t="str">
        <f>IF(ISERROR(VLOOKUP(E23,原型!E:E,1,0)),"新系统有原型没有","")</f>
        <v>新系统有原型没有</v>
      </c>
      <c r="K23" t="str">
        <f>IF(ISERROR(VLOOKUP(O23,原型!O:O,1,0)),"原型有新系统没有","")</f>
        <v/>
      </c>
      <c r="L23" t="str">
        <f>IF(ISERROR(VLOOKUP(P23,原型!P:P,1,0)),"原型有新系统没有","")</f>
        <v/>
      </c>
      <c r="M23" t="str">
        <f>IF(ISERROR(VLOOKUP(Q23,原型!Q:Q,1,0)),"原型有新系统没有","")</f>
        <v>原型有新系统没有</v>
      </c>
      <c r="N23" t="str">
        <f>IF(ISERROR(VLOOKUP(R23,原型!R:R,1,0)),"原型有新系统没有","")</f>
        <v>原型有新系统没有</v>
      </c>
      <c r="O23" t="s">
        <v>48</v>
      </c>
      <c r="P23" t="s">
        <v>61</v>
      </c>
      <c r="Q23" s="62" t="s">
        <v>277</v>
      </c>
      <c r="R23" s="63" t="s">
        <v>279</v>
      </c>
    </row>
    <row r="24" s="100" customFormat="1" ht="28" spans="1:18">
      <c r="A24" t="s">
        <v>48</v>
      </c>
      <c r="B24" t="s">
        <v>87</v>
      </c>
      <c r="C24" s="62" t="s">
        <v>88</v>
      </c>
      <c r="D24" s="62" t="s">
        <v>88</v>
      </c>
      <c r="E24" s="100" t="str">
        <f t="shared" si="0"/>
        <v>金融质押品|票据|银行承兑汇票|银行承兑汇票</v>
      </c>
      <c r="F24" t="str">
        <f t="shared" si="1"/>
        <v>票据|银行承兑汇票|银行承兑汇票</v>
      </c>
      <c r="G24" t="str">
        <f t="shared" si="2"/>
        <v>银行承兑汇票|银行承兑汇票</v>
      </c>
      <c r="H24" s="100" t="str">
        <f>IF(ISERROR(VLOOKUP(E24,原型!E:E,1,0)),"新系统有原型没有","")</f>
        <v>新系统有原型没有</v>
      </c>
      <c r="K24" t="str">
        <f>IF(ISERROR(VLOOKUP(O24,原型!O:O,1,0)),"原型有新系统没有","")</f>
        <v/>
      </c>
      <c r="L24" t="str">
        <f>IF(ISERROR(VLOOKUP(P24,原型!P:P,1,0)),"原型有新系统没有","")</f>
        <v/>
      </c>
      <c r="M24" t="str">
        <f>IF(ISERROR(VLOOKUP(Q24,原型!Q:Q,1,0)),"原型有新系统没有","")</f>
        <v/>
      </c>
      <c r="N24" t="str">
        <f>IF(ISERROR(VLOOKUP(R24,原型!R:R,1,0)),"原型有新系统没有","")</f>
        <v>原型有新系统没有</v>
      </c>
      <c r="O24" t="s">
        <v>48</v>
      </c>
      <c r="P24" t="s">
        <v>87</v>
      </c>
      <c r="Q24" s="62" t="s">
        <v>88</v>
      </c>
      <c r="R24" s="62" t="s">
        <v>88</v>
      </c>
    </row>
    <row r="25" s="100" customFormat="1" ht="28" spans="1:18">
      <c r="A25" t="s">
        <v>48</v>
      </c>
      <c r="B25" s="57" t="s">
        <v>87</v>
      </c>
      <c r="C25" s="61" t="s">
        <v>96</v>
      </c>
      <c r="D25" s="63" t="s">
        <v>96</v>
      </c>
      <c r="E25" s="100" t="str">
        <f t="shared" si="0"/>
        <v>金融质押品|票据|商业承兑汇票|商业承兑汇票</v>
      </c>
      <c r="F25" t="str">
        <f t="shared" si="1"/>
        <v>票据|商业承兑汇票|商业承兑汇票</v>
      </c>
      <c r="G25" t="str">
        <f t="shared" si="2"/>
        <v>商业承兑汇票|商业承兑汇票</v>
      </c>
      <c r="H25" s="100" t="str">
        <f>IF(ISERROR(VLOOKUP(E25,原型!E:E,1,0)),"新系统有原型没有","")</f>
        <v>新系统有原型没有</v>
      </c>
      <c r="K25" t="str">
        <f>IF(ISERROR(VLOOKUP(O25,原型!O:O,1,0)),"原型有新系统没有","")</f>
        <v/>
      </c>
      <c r="L25" t="str">
        <f>IF(ISERROR(VLOOKUP(P25,原型!P:P,1,0)),"原型有新系统没有","")</f>
        <v/>
      </c>
      <c r="M25" t="str">
        <f>IF(ISERROR(VLOOKUP(Q25,原型!Q:Q,1,0)),"原型有新系统没有","")</f>
        <v/>
      </c>
      <c r="N25" t="str">
        <f>IF(ISERROR(VLOOKUP(R25,原型!R:R,1,0)),"原型有新系统没有","")</f>
        <v>原型有新系统没有</v>
      </c>
      <c r="O25" t="s">
        <v>48</v>
      </c>
      <c r="P25" s="57" t="s">
        <v>87</v>
      </c>
      <c r="Q25" s="61" t="s">
        <v>96</v>
      </c>
      <c r="R25" s="63" t="s">
        <v>96</v>
      </c>
    </row>
    <row r="26" s="100" customFormat="1" spans="1:18">
      <c r="A26" t="s">
        <v>48</v>
      </c>
      <c r="B26" t="s">
        <v>87</v>
      </c>
      <c r="C26" t="s">
        <v>280</v>
      </c>
      <c r="D26" s="63" t="s">
        <v>280</v>
      </c>
      <c r="E26" s="100" t="str">
        <f t="shared" si="0"/>
        <v>金融质押品|票据|其他票据|其他票据</v>
      </c>
      <c r="F26" t="str">
        <f t="shared" si="1"/>
        <v>票据|其他票据|其他票据</v>
      </c>
      <c r="G26" t="str">
        <f t="shared" si="2"/>
        <v>其他票据|其他票据</v>
      </c>
      <c r="H26" s="100" t="str">
        <f>IF(ISERROR(VLOOKUP(E26,原型!E:E,1,0)),"新系统有原型没有","")</f>
        <v>新系统有原型没有</v>
      </c>
      <c r="K26" t="str">
        <f>IF(ISERROR(VLOOKUP(O26,原型!O:O,1,0)),"原型有新系统没有","")</f>
        <v/>
      </c>
      <c r="L26" t="str">
        <f>IF(ISERROR(VLOOKUP(P26,原型!P:P,1,0)),"原型有新系统没有","")</f>
        <v/>
      </c>
      <c r="M26" t="str">
        <f>IF(ISERROR(VLOOKUP(Q26,原型!Q:Q,1,0)),"原型有新系统没有","")</f>
        <v>原型有新系统没有</v>
      </c>
      <c r="N26" t="str">
        <f>IF(ISERROR(VLOOKUP(R26,原型!R:R,1,0)),"原型有新系统没有","")</f>
        <v>原型有新系统没有</v>
      </c>
      <c r="O26" t="s">
        <v>48</v>
      </c>
      <c r="P26" t="s">
        <v>87</v>
      </c>
      <c r="Q26" t="s">
        <v>280</v>
      </c>
      <c r="R26" s="63" t="s">
        <v>280</v>
      </c>
    </row>
    <row r="27" s="100" customFormat="1" ht="41" spans="1:18">
      <c r="A27" t="s">
        <v>48</v>
      </c>
      <c r="B27" s="102" t="s">
        <v>101</v>
      </c>
      <c r="C27" t="s">
        <v>281</v>
      </c>
      <c r="D27" s="63" t="s">
        <v>282</v>
      </c>
      <c r="E27" s="100" t="str">
        <f t="shared" si="0"/>
        <v>金融质押品|股票（权）/基金|上市公司股票(权)|上市金融机构流通股股票(权)</v>
      </c>
      <c r="F27" t="str">
        <f t="shared" si="1"/>
        <v>股票（权）/基金|上市公司股票(权)|上市金融机构流通股股票(权)</v>
      </c>
      <c r="G27" t="str">
        <f t="shared" si="2"/>
        <v>上市公司股票(权)|上市金融机构流通股股票(权)</v>
      </c>
      <c r="H27" s="100" t="str">
        <f>IF(ISERROR(VLOOKUP(E27,原型!E:E,1,0)),"新系统有原型没有","")</f>
        <v>新系统有原型没有</v>
      </c>
      <c r="K27" t="str">
        <f>IF(ISERROR(VLOOKUP(O27,原型!O:O,1,0)),"原型有新系统没有","")</f>
        <v/>
      </c>
      <c r="L27" t="str">
        <f>IF(ISERROR(VLOOKUP(P27,原型!P:P,1,0)),"原型有新系统没有","")</f>
        <v/>
      </c>
      <c r="M27" t="str">
        <f>IF(ISERROR(VLOOKUP(Q27,原型!Q:Q,1,0)),"原型有新系统没有","")</f>
        <v/>
      </c>
      <c r="N27" t="str">
        <f>IF(ISERROR(VLOOKUP(R27,原型!R:R,1,0)),"原型有新系统没有","")</f>
        <v/>
      </c>
      <c r="O27" t="s">
        <v>48</v>
      </c>
      <c r="P27" t="s">
        <v>104</v>
      </c>
      <c r="Q27" t="s">
        <v>105</v>
      </c>
      <c r="R27" s="63" t="s">
        <v>106</v>
      </c>
    </row>
    <row r="28" s="100" customFormat="1" ht="41" spans="1:18">
      <c r="A28" t="s">
        <v>48</v>
      </c>
      <c r="B28" s="103" t="s">
        <v>101</v>
      </c>
      <c r="C28" t="s">
        <v>281</v>
      </c>
      <c r="D28" s="63" t="s">
        <v>283</v>
      </c>
      <c r="E28" s="100" t="str">
        <f t="shared" si="0"/>
        <v>金融质押品|股票（权）/基金|上市公司股票(权)|其他上市公司流通股股票(权)</v>
      </c>
      <c r="F28" t="str">
        <f t="shared" si="1"/>
        <v>股票（权）/基金|上市公司股票(权)|其他上市公司流通股股票(权)</v>
      </c>
      <c r="G28" t="str">
        <f t="shared" si="2"/>
        <v>上市公司股票(权)|其他上市公司流通股股票(权)</v>
      </c>
      <c r="H28" s="100" t="str">
        <f>IF(ISERROR(VLOOKUP(E28,原型!E:E,1,0)),"新系统有原型没有","")</f>
        <v>新系统有原型没有</v>
      </c>
      <c r="K28" t="str">
        <f>IF(ISERROR(VLOOKUP(O28,原型!O:O,1,0)),"原型有新系统没有","")</f>
        <v/>
      </c>
      <c r="L28" t="str">
        <f>IF(ISERROR(VLOOKUP(P28,原型!P:P,1,0)),"原型有新系统没有","")</f>
        <v/>
      </c>
      <c r="M28" t="str">
        <f>IF(ISERROR(VLOOKUP(Q28,原型!Q:Q,1,0)),"原型有新系统没有","")</f>
        <v/>
      </c>
      <c r="N28" t="str">
        <f>IF(ISERROR(VLOOKUP(R28,原型!R:R,1,0)),"原型有新系统没有","")</f>
        <v/>
      </c>
      <c r="O28" t="s">
        <v>48</v>
      </c>
      <c r="P28" t="s">
        <v>104</v>
      </c>
      <c r="Q28" t="s">
        <v>105</v>
      </c>
      <c r="R28" s="63" t="s">
        <v>108</v>
      </c>
    </row>
    <row r="29" s="100" customFormat="1" ht="41" spans="1:18">
      <c r="A29" t="s">
        <v>48</v>
      </c>
      <c r="B29" s="103" t="s">
        <v>101</v>
      </c>
      <c r="C29" s="61" t="s">
        <v>284</v>
      </c>
      <c r="D29" s="102" t="s">
        <v>110</v>
      </c>
      <c r="E29" s="100" t="str">
        <f t="shared" si="0"/>
        <v>金融质押品|股票（权）/基金|非上市公司股票(权)|未上市公司股票或股权</v>
      </c>
      <c r="F29" t="str">
        <f t="shared" si="1"/>
        <v>股票（权）/基金|非上市公司股票(权)|未上市公司股票或股权</v>
      </c>
      <c r="G29" t="str">
        <f t="shared" si="2"/>
        <v>非上市公司股票(权)|未上市公司股票或股权</v>
      </c>
      <c r="H29" s="100" t="str">
        <f>IF(ISERROR(VLOOKUP(E29,原型!E:E,1,0)),"新系统有原型没有","")</f>
        <v>新系统有原型没有</v>
      </c>
      <c r="K29" t="str">
        <f>IF(ISERROR(VLOOKUP(O29,原型!O:O,1,0)),"原型有新系统没有","")</f>
        <v/>
      </c>
      <c r="L29" t="str">
        <f>IF(ISERROR(VLOOKUP(P29,原型!P:P,1,0)),"原型有新系统没有","")</f>
        <v/>
      </c>
      <c r="M29" t="str">
        <f>IF(ISERROR(VLOOKUP(Q29,原型!Q:Q,1,0)),"原型有新系统没有","")</f>
        <v/>
      </c>
      <c r="N29" t="str">
        <f>IF(ISERROR(VLOOKUP(R29,原型!R:R,1,0)),"原型有新系统没有","")</f>
        <v/>
      </c>
      <c r="O29" t="s">
        <v>48</v>
      </c>
      <c r="P29" t="s">
        <v>104</v>
      </c>
      <c r="Q29" s="61" t="s">
        <v>111</v>
      </c>
      <c r="R29" s="63" t="s">
        <v>110</v>
      </c>
    </row>
    <row r="30" s="100" customFormat="1" ht="41" spans="1:18">
      <c r="A30" t="s">
        <v>48</v>
      </c>
      <c r="B30" s="103" t="s">
        <v>101</v>
      </c>
      <c r="C30" t="s">
        <v>284</v>
      </c>
      <c r="D30" s="102" t="s">
        <v>112</v>
      </c>
      <c r="E30" s="100" t="str">
        <f t="shared" si="0"/>
        <v>金融质押品|股票（权）/基金|非上市公司股票(权)|上市后禁止流通的股票</v>
      </c>
      <c r="F30" t="str">
        <f t="shared" si="1"/>
        <v>股票（权）/基金|非上市公司股票(权)|上市后禁止流通的股票</v>
      </c>
      <c r="G30" t="str">
        <f t="shared" si="2"/>
        <v>非上市公司股票(权)|上市后禁止流通的股票</v>
      </c>
      <c r="H30" s="100" t="str">
        <f>IF(ISERROR(VLOOKUP(E30,原型!E:E,1,0)),"新系统有原型没有","")</f>
        <v>新系统有原型没有</v>
      </c>
      <c r="K30" t="str">
        <f>IF(ISERROR(VLOOKUP(O30,原型!O:O,1,0)),"原型有新系统没有","")</f>
        <v/>
      </c>
      <c r="L30" t="str">
        <f>IF(ISERROR(VLOOKUP(P30,原型!P:P,1,0)),"原型有新系统没有","")</f>
        <v/>
      </c>
      <c r="M30" t="str">
        <f>IF(ISERROR(VLOOKUP(Q30,原型!Q:Q,1,0)),"原型有新系统没有","")</f>
        <v/>
      </c>
      <c r="N30" t="str">
        <f>IF(ISERROR(VLOOKUP(R30,原型!R:R,1,0)),"原型有新系统没有","")</f>
        <v/>
      </c>
      <c r="O30" t="s">
        <v>48</v>
      </c>
      <c r="P30" t="s">
        <v>104</v>
      </c>
      <c r="Q30" t="s">
        <v>111</v>
      </c>
      <c r="R30" s="63" t="s">
        <v>112</v>
      </c>
    </row>
    <row r="31" s="100" customFormat="1" ht="28" spans="1:18">
      <c r="A31" t="s">
        <v>48</v>
      </c>
      <c r="B31" s="103" t="s">
        <v>101</v>
      </c>
      <c r="C31" s="57" t="s">
        <v>113</v>
      </c>
      <c r="D31" s="60" t="s">
        <v>115</v>
      </c>
      <c r="E31" s="100" t="str">
        <f t="shared" si="0"/>
        <v>金融质押品|股票（权）/基金|基金|货币型债券型基金</v>
      </c>
      <c r="F31" t="str">
        <f t="shared" si="1"/>
        <v>股票（权）/基金|基金|货币型债券型基金</v>
      </c>
      <c r="G31" t="str">
        <f t="shared" si="2"/>
        <v>基金|货币型债券型基金</v>
      </c>
      <c r="H31" s="100" t="str">
        <f>IF(ISERROR(VLOOKUP(E31,原型!E:E,1,0)),"新系统有原型没有","")</f>
        <v>新系统有原型没有</v>
      </c>
      <c r="K31" t="str">
        <f>IF(ISERROR(VLOOKUP(O31,原型!O:O,1,0)),"原型有新系统没有","")</f>
        <v/>
      </c>
      <c r="L31" t="str">
        <f>IF(ISERROR(VLOOKUP(P31,原型!P:P,1,0)),"原型有新系统没有","")</f>
        <v/>
      </c>
      <c r="M31" t="str">
        <f>IF(ISERROR(VLOOKUP(Q31,原型!Q:Q,1,0)),"原型有新系统没有","")</f>
        <v/>
      </c>
      <c r="N31" t="str">
        <f>IF(ISERROR(VLOOKUP(R31,原型!R:R,1,0)),"原型有新系统没有","")</f>
        <v/>
      </c>
      <c r="O31" t="s">
        <v>48</v>
      </c>
      <c r="P31" t="s">
        <v>104</v>
      </c>
      <c r="Q31" s="57" t="s">
        <v>113</v>
      </c>
      <c r="R31" s="60" t="s">
        <v>115</v>
      </c>
    </row>
    <row r="32" s="100" customFormat="1" ht="28" spans="1:18">
      <c r="A32" t="s">
        <v>48</v>
      </c>
      <c r="B32" s="103" t="s">
        <v>101</v>
      </c>
      <c r="C32" t="s">
        <v>113</v>
      </c>
      <c r="D32" s="60" t="s">
        <v>117</v>
      </c>
      <c r="E32" s="100" t="str">
        <f t="shared" si="0"/>
        <v>金融质押品|股票（权）/基金|基金|混合型股票型基金</v>
      </c>
      <c r="F32" t="str">
        <f t="shared" si="1"/>
        <v>股票（权）/基金|基金|混合型股票型基金</v>
      </c>
      <c r="G32" t="str">
        <f t="shared" si="2"/>
        <v>基金|混合型股票型基金</v>
      </c>
      <c r="H32" s="100" t="str">
        <f>IF(ISERROR(VLOOKUP(E32,原型!E:E,1,0)),"新系统有原型没有","")</f>
        <v>新系统有原型没有</v>
      </c>
      <c r="K32" t="str">
        <f>IF(ISERROR(VLOOKUP(O32,原型!O:O,1,0)),"原型有新系统没有","")</f>
        <v/>
      </c>
      <c r="L32" t="str">
        <f>IF(ISERROR(VLOOKUP(P32,原型!P:P,1,0)),"原型有新系统没有","")</f>
        <v/>
      </c>
      <c r="M32" t="str">
        <f>IF(ISERROR(VLOOKUP(Q32,原型!Q:Q,1,0)),"原型有新系统没有","")</f>
        <v/>
      </c>
      <c r="N32" t="str">
        <f>IF(ISERROR(VLOOKUP(R32,原型!R:R,1,0)),"原型有新系统没有","")</f>
        <v/>
      </c>
      <c r="O32" t="s">
        <v>48</v>
      </c>
      <c r="P32" t="s">
        <v>104</v>
      </c>
      <c r="Q32" t="s">
        <v>113</v>
      </c>
      <c r="R32" s="60" t="s">
        <v>117</v>
      </c>
    </row>
    <row r="33" s="100" customFormat="1" ht="68" spans="1:18">
      <c r="A33" t="s">
        <v>48</v>
      </c>
      <c r="B33" t="s">
        <v>118</v>
      </c>
      <c r="C33" s="104" t="s">
        <v>118</v>
      </c>
      <c r="D33" s="102" t="s">
        <v>119</v>
      </c>
      <c r="E33" s="100" t="str">
        <f t="shared" si="0"/>
        <v>金融质押品|保单|保单|依法可以质押的具有现金价值的人寿保险单</v>
      </c>
      <c r="F33" t="str">
        <f t="shared" si="1"/>
        <v>保单|保单|依法可以质押的具有现金价值的人寿保险单</v>
      </c>
      <c r="G33" t="str">
        <f t="shared" si="2"/>
        <v>保单|依法可以质押的具有现金价值的人寿保险单</v>
      </c>
      <c r="H33" s="100" t="str">
        <f>IF(ISERROR(VLOOKUP(E33,原型!E:E,1,0)),"新系统有原型没有","")</f>
        <v/>
      </c>
      <c r="K33" t="str">
        <f>IF(ISERROR(VLOOKUP(O33,原型!O:O,1,0)),"原型有新系统没有","")</f>
        <v/>
      </c>
      <c r="L33" t="str">
        <f>IF(ISERROR(VLOOKUP(P33,原型!P:P,1,0)),"原型有新系统没有","")</f>
        <v/>
      </c>
      <c r="M33" t="str">
        <f>IF(ISERROR(VLOOKUP(Q33,原型!Q:Q,1,0)),"原型有新系统没有","")</f>
        <v/>
      </c>
      <c r="N33" t="str">
        <f>IF(ISERROR(VLOOKUP(R33,原型!R:R,1,0)),"原型有新系统没有","")</f>
        <v/>
      </c>
      <c r="O33" t="s">
        <v>48</v>
      </c>
      <c r="P33" t="s">
        <v>118</v>
      </c>
      <c r="Q33" s="57" t="s">
        <v>118</v>
      </c>
      <c r="R33" s="63" t="s">
        <v>119</v>
      </c>
    </row>
    <row r="34" s="100" customFormat="1" ht="28" spans="1:18">
      <c r="A34" t="s">
        <v>48</v>
      </c>
      <c r="B34" t="s">
        <v>123</v>
      </c>
      <c r="C34" t="s">
        <v>123</v>
      </c>
      <c r="D34" s="60" t="s">
        <v>285</v>
      </c>
      <c r="E34" s="100" t="str">
        <f t="shared" ref="E34:E65" si="3">CLEAN(A34)&amp;"|"&amp;CLEAN(B34)&amp;"|"&amp;CLEAN(C34)&amp;"|"&amp;CLEAN(D34)</f>
        <v>金融质押品|其他金融质押品|其他金融质押品|活期一本通</v>
      </c>
      <c r="F34" t="str">
        <f t="shared" ref="F34:F65" si="4">CLEAN(B34)&amp;"|"&amp;CLEAN(C34)&amp;"|"&amp;CLEAN(D34)</f>
        <v>其他金融质押品|其他金融质押品|活期一本通</v>
      </c>
      <c r="G34" t="str">
        <f t="shared" ref="G34:G65" si="5">CLEAN(C34)&amp;"|"&amp;CLEAN(D34)</f>
        <v>其他金融质押品|活期一本通</v>
      </c>
      <c r="H34" s="100" t="str">
        <f>IF(ISERROR(VLOOKUP(E34,原型!E:E,1,0)),"新系统有原型没有","")</f>
        <v>新系统有原型没有</v>
      </c>
      <c r="K34" t="str">
        <f>IF(ISERROR(VLOOKUP(O34,原型!O:O,1,0)),"原型有新系统没有","")</f>
        <v/>
      </c>
      <c r="L34" t="str">
        <f>IF(ISERROR(VLOOKUP(P34,原型!P:P,1,0)),"原型有新系统没有","")</f>
        <v/>
      </c>
      <c r="M34" t="str">
        <f>IF(ISERROR(VLOOKUP(Q34,原型!Q:Q,1,0)),"原型有新系统没有","")</f>
        <v/>
      </c>
      <c r="N34" t="str">
        <f>IF(ISERROR(VLOOKUP(R34,原型!R:R,1,0)),"原型有新系统没有","")</f>
        <v>原型有新系统没有</v>
      </c>
      <c r="O34" t="s">
        <v>48</v>
      </c>
      <c r="P34" t="s">
        <v>123</v>
      </c>
      <c r="Q34" t="s">
        <v>123</v>
      </c>
      <c r="R34" s="60" t="s">
        <v>285</v>
      </c>
    </row>
    <row r="35" s="100" customFormat="1" ht="28" spans="1:18">
      <c r="A35" t="s">
        <v>48</v>
      </c>
      <c r="B35" t="s">
        <v>123</v>
      </c>
      <c r="C35" s="57" t="s">
        <v>123</v>
      </c>
      <c r="D35" s="60" t="s">
        <v>286</v>
      </c>
      <c r="E35" s="100" t="str">
        <f t="shared" si="3"/>
        <v>金融质押品|其他金融质押品|其他金融质押品|定期一本通</v>
      </c>
      <c r="F35" t="str">
        <f t="shared" si="4"/>
        <v>其他金融质押品|其他金融质押品|定期一本通</v>
      </c>
      <c r="G35" t="str">
        <f t="shared" si="5"/>
        <v>其他金融质押品|定期一本通</v>
      </c>
      <c r="H35" s="100" t="str">
        <f>IF(ISERROR(VLOOKUP(E35,原型!E:E,1,0)),"新系统有原型没有","")</f>
        <v>新系统有原型没有</v>
      </c>
      <c r="K35" t="str">
        <f>IF(ISERROR(VLOOKUP(O35,原型!O:O,1,0)),"原型有新系统没有","")</f>
        <v/>
      </c>
      <c r="L35" t="str">
        <f>IF(ISERROR(VLOOKUP(P35,原型!P:P,1,0)),"原型有新系统没有","")</f>
        <v/>
      </c>
      <c r="M35" t="str">
        <f>IF(ISERROR(VLOOKUP(Q35,原型!Q:Q,1,0)),"原型有新系统没有","")</f>
        <v/>
      </c>
      <c r="N35" t="str">
        <f>IF(ISERROR(VLOOKUP(R35,原型!R:R,1,0)),"原型有新系统没有","")</f>
        <v>原型有新系统没有</v>
      </c>
      <c r="O35" t="s">
        <v>48</v>
      </c>
      <c r="P35" t="s">
        <v>123</v>
      </c>
      <c r="Q35" s="57" t="s">
        <v>123</v>
      </c>
      <c r="R35" s="60" t="s">
        <v>286</v>
      </c>
    </row>
    <row r="36" s="100" customFormat="1" ht="28" spans="1:18">
      <c r="A36" t="s">
        <v>48</v>
      </c>
      <c r="B36" t="s">
        <v>123</v>
      </c>
      <c r="C36" t="s">
        <v>123</v>
      </c>
      <c r="D36" s="60" t="s">
        <v>123</v>
      </c>
      <c r="E36" s="100" t="str">
        <f t="shared" si="3"/>
        <v>金融质押品|其他金融质押品|其他金融质押品|其他金融质押品</v>
      </c>
      <c r="F36" t="str">
        <f t="shared" si="4"/>
        <v>其他金融质押品|其他金融质押品|其他金融质押品</v>
      </c>
      <c r="G36" t="str">
        <f t="shared" si="5"/>
        <v>其他金融质押品|其他金融质押品</v>
      </c>
      <c r="H36" s="100" t="str">
        <f>IF(ISERROR(VLOOKUP(E36,原型!E:E,1,0)),"新系统有原型没有","")</f>
        <v/>
      </c>
      <c r="K36" t="str">
        <f>IF(ISERROR(VLOOKUP(O36,原型!O:O,1,0)),"原型有新系统没有","")</f>
        <v/>
      </c>
      <c r="L36" t="str">
        <f>IF(ISERROR(VLOOKUP(P36,原型!P:P,1,0)),"原型有新系统没有","")</f>
        <v/>
      </c>
      <c r="M36" t="str">
        <f>IF(ISERROR(VLOOKUP(Q36,原型!Q:Q,1,0)),"原型有新系统没有","")</f>
        <v/>
      </c>
      <c r="N36" t="str">
        <f>IF(ISERROR(VLOOKUP(R36,原型!R:R,1,0)),"原型有新系统没有","")</f>
        <v/>
      </c>
      <c r="O36" t="s">
        <v>48</v>
      </c>
      <c r="P36" t="s">
        <v>123</v>
      </c>
      <c r="Q36" t="s">
        <v>123</v>
      </c>
      <c r="R36" s="60" t="s">
        <v>123</v>
      </c>
    </row>
    <row r="37" s="100" customFormat="1" spans="1:18">
      <c r="A37" s="105" t="s">
        <v>124</v>
      </c>
      <c r="B37" s="64" t="s">
        <v>124</v>
      </c>
      <c r="C37" s="62" t="s">
        <v>125</v>
      </c>
      <c r="D37" s="65" t="s">
        <v>127</v>
      </c>
      <c r="E37" s="100" t="str">
        <f t="shared" si="3"/>
        <v>房地产|房地产|居住用房地产|公寓</v>
      </c>
      <c r="F37" t="str">
        <f t="shared" si="4"/>
        <v>房地产|居住用房地产|公寓</v>
      </c>
      <c r="G37" t="str">
        <f t="shared" si="5"/>
        <v>居住用房地产|公寓</v>
      </c>
      <c r="H37" s="100" t="str">
        <f>IF(ISERROR(VLOOKUP(E37,原型!E:E,1,0)),"新系统有原型没有","")</f>
        <v/>
      </c>
      <c r="K37" t="str">
        <f>IF(ISERROR(VLOOKUP(O37,原型!O:O,1,0)),"原型有新系统没有","")</f>
        <v/>
      </c>
      <c r="L37" t="str">
        <f>IF(ISERROR(VLOOKUP(P37,原型!P:P,1,0)),"原型有新系统没有","")</f>
        <v/>
      </c>
      <c r="M37" t="str">
        <f>IF(ISERROR(VLOOKUP(Q37,原型!Q:Q,1,0)),"原型有新系统没有","")</f>
        <v/>
      </c>
      <c r="N37" t="str">
        <f>IF(ISERROR(VLOOKUP(R37,原型!R:R,1,0)),"原型有新系统没有","")</f>
        <v/>
      </c>
      <c r="O37" s="64" t="s">
        <v>124</v>
      </c>
      <c r="P37" s="64" t="s">
        <v>124</v>
      </c>
      <c r="Q37" s="62" t="s">
        <v>125</v>
      </c>
      <c r="R37" s="65" t="s">
        <v>127</v>
      </c>
    </row>
    <row r="38" s="100" customFormat="1" spans="1:18">
      <c r="A38" s="106" t="s">
        <v>124</v>
      </c>
      <c r="B38" s="62" t="s">
        <v>124</v>
      </c>
      <c r="C38" s="66" t="s">
        <v>125</v>
      </c>
      <c r="D38" s="67" t="s">
        <v>128</v>
      </c>
      <c r="E38" s="100" t="str">
        <f t="shared" si="3"/>
        <v>房地产|房地产|居住用房地产|别墅</v>
      </c>
      <c r="F38" t="str">
        <f t="shared" si="4"/>
        <v>房地产|居住用房地产|别墅</v>
      </c>
      <c r="G38" t="str">
        <f t="shared" si="5"/>
        <v>居住用房地产|别墅</v>
      </c>
      <c r="H38" s="100" t="str">
        <f>IF(ISERROR(VLOOKUP(E38,原型!E:E,1,0)),"新系统有原型没有","")</f>
        <v/>
      </c>
      <c r="K38" t="str">
        <f>IF(ISERROR(VLOOKUP(O38,原型!O:O,1,0)),"原型有新系统没有","")</f>
        <v/>
      </c>
      <c r="L38" t="str">
        <f>IF(ISERROR(VLOOKUP(P38,原型!P:P,1,0)),"原型有新系统没有","")</f>
        <v/>
      </c>
      <c r="M38" t="str">
        <f>IF(ISERROR(VLOOKUP(Q38,原型!Q:Q,1,0)),"原型有新系统没有","")</f>
        <v/>
      </c>
      <c r="N38" t="str">
        <f>IF(ISERROR(VLOOKUP(R38,原型!R:R,1,0)),"原型有新系统没有","")</f>
        <v/>
      </c>
      <c r="O38" s="64" t="s">
        <v>124</v>
      </c>
      <c r="P38" s="62" t="s">
        <v>124</v>
      </c>
      <c r="Q38" s="66" t="s">
        <v>125</v>
      </c>
      <c r="R38" s="67" t="s">
        <v>128</v>
      </c>
    </row>
    <row r="39" s="100" customFormat="1" ht="28" spans="1:18">
      <c r="A39" s="106" t="s">
        <v>124</v>
      </c>
      <c r="B39" s="68" t="s">
        <v>124</v>
      </c>
      <c r="C39" s="69" t="s">
        <v>125</v>
      </c>
      <c r="D39" s="11" t="s">
        <v>129</v>
      </c>
      <c r="E39" s="100" t="str">
        <f t="shared" si="3"/>
        <v>房地产|房地产|居住用房地产|政策性住房</v>
      </c>
      <c r="F39" t="str">
        <f t="shared" si="4"/>
        <v>房地产|居住用房地产|政策性住房</v>
      </c>
      <c r="G39" t="str">
        <f t="shared" si="5"/>
        <v>居住用房地产|政策性住房</v>
      </c>
      <c r="H39" s="100" t="str">
        <f>IF(ISERROR(VLOOKUP(E39,原型!E:E,1,0)),"新系统有原型没有","")</f>
        <v/>
      </c>
      <c r="K39" t="str">
        <f>IF(ISERROR(VLOOKUP(O39,原型!O:O,1,0)),"原型有新系统没有","")</f>
        <v/>
      </c>
      <c r="L39" t="str">
        <f>IF(ISERROR(VLOOKUP(P39,原型!P:P,1,0)),"原型有新系统没有","")</f>
        <v/>
      </c>
      <c r="M39" t="str">
        <f>IF(ISERROR(VLOOKUP(Q39,原型!Q:Q,1,0)),"原型有新系统没有","")</f>
        <v/>
      </c>
      <c r="N39" t="str">
        <f>IF(ISERROR(VLOOKUP(R39,原型!R:R,1,0)),"原型有新系统没有","")</f>
        <v/>
      </c>
      <c r="O39" s="64" t="s">
        <v>124</v>
      </c>
      <c r="P39" s="68" t="s">
        <v>124</v>
      </c>
      <c r="Q39" s="69" t="s">
        <v>125</v>
      </c>
      <c r="R39" s="11" t="s">
        <v>129</v>
      </c>
    </row>
    <row r="40" s="100" customFormat="1" spans="1:18">
      <c r="A40" s="106" t="s">
        <v>124</v>
      </c>
      <c r="B40" s="71" t="s">
        <v>124</v>
      </c>
      <c r="C40" s="102" t="s">
        <v>130</v>
      </c>
      <c r="D40" s="102" t="s">
        <v>131</v>
      </c>
      <c r="E40" s="100" t="str">
        <f t="shared" si="3"/>
        <v>房地产|房地产|商业用房地产|商铺</v>
      </c>
      <c r="F40" t="str">
        <f t="shared" si="4"/>
        <v>房地产|商业用房地产|商铺</v>
      </c>
      <c r="G40" t="str">
        <f t="shared" si="5"/>
        <v>商业用房地产|商铺</v>
      </c>
      <c r="H40" s="100" t="str">
        <f>IF(ISERROR(VLOOKUP(E40,原型!E:E,1,0)),"新系统有原型没有","")</f>
        <v/>
      </c>
      <c r="K40" t="str">
        <f>IF(ISERROR(VLOOKUP(O40,原型!O:O,1,0)),"原型有新系统没有","")</f>
        <v/>
      </c>
      <c r="L40" t="str">
        <f>IF(ISERROR(VLOOKUP(P40,原型!P:P,1,0)),"原型有新系统没有","")</f>
        <v/>
      </c>
      <c r="M40" t="str">
        <f>IF(ISERROR(VLOOKUP(Q40,原型!Q:Q,1,0)),"原型有新系统没有","")</f>
        <v/>
      </c>
      <c r="N40" t="str">
        <f>IF(ISERROR(VLOOKUP(R40,原型!R:R,1,0)),"原型有新系统没有","")</f>
        <v/>
      </c>
      <c r="O40" s="64" t="s">
        <v>124</v>
      </c>
      <c r="P40" s="71" t="s">
        <v>124</v>
      </c>
      <c r="Q40" s="54" t="s">
        <v>130</v>
      </c>
      <c r="R40" s="56" t="s">
        <v>131</v>
      </c>
    </row>
    <row r="41" s="100" customFormat="1" ht="28" spans="1:18">
      <c r="A41" s="106" t="s">
        <v>124</v>
      </c>
      <c r="B41" t="s">
        <v>124</v>
      </c>
      <c r="C41" s="103" t="s">
        <v>130</v>
      </c>
      <c r="D41" s="56" t="s">
        <v>135</v>
      </c>
      <c r="E41" s="100" t="str">
        <f t="shared" si="3"/>
        <v>房地产|房地产|商业用房地产|商住两用房</v>
      </c>
      <c r="F41" t="str">
        <f t="shared" si="4"/>
        <v>房地产|商业用房地产|商住两用房</v>
      </c>
      <c r="G41" t="str">
        <f t="shared" si="5"/>
        <v>商业用房地产|商住两用房</v>
      </c>
      <c r="H41" s="100" t="str">
        <f>IF(ISERROR(VLOOKUP(E41,原型!E:E,1,0)),"新系统有原型没有","")</f>
        <v/>
      </c>
      <c r="K41" t="str">
        <f>IF(ISERROR(VLOOKUP(O41,原型!O:O,1,0)),"原型有新系统没有","")</f>
        <v/>
      </c>
      <c r="L41" t="str">
        <f>IF(ISERROR(VLOOKUP(P41,原型!P:P,1,0)),"原型有新系统没有","")</f>
        <v/>
      </c>
      <c r="M41" t="str">
        <f>IF(ISERROR(VLOOKUP(Q41,原型!Q:Q,1,0)),"原型有新系统没有","")</f>
        <v/>
      </c>
      <c r="N41" t="str">
        <f>IF(ISERROR(VLOOKUP(R41,原型!R:R,1,0)),"原型有新系统没有","")</f>
        <v/>
      </c>
      <c r="O41" s="64" t="s">
        <v>124</v>
      </c>
      <c r="P41" t="s">
        <v>124</v>
      </c>
      <c r="Q41" t="s">
        <v>130</v>
      </c>
      <c r="R41" s="56" t="s">
        <v>135</v>
      </c>
    </row>
    <row r="42" s="100" customFormat="1" ht="28" spans="1:18">
      <c r="A42" s="106" t="s">
        <v>124</v>
      </c>
      <c r="B42" t="s">
        <v>124</v>
      </c>
      <c r="C42" t="s">
        <v>136</v>
      </c>
      <c r="D42" s="102" t="s">
        <v>137</v>
      </c>
      <c r="E42" s="100" t="str">
        <f t="shared" si="3"/>
        <v>房地产|房地产|办公用房地产|写字楼/办公用房</v>
      </c>
      <c r="F42" t="str">
        <f t="shared" si="4"/>
        <v>房地产|办公用房地产|写字楼/办公用房</v>
      </c>
      <c r="G42" t="str">
        <f t="shared" si="5"/>
        <v>办公用房地产|写字楼/办公用房</v>
      </c>
      <c r="H42" s="100" t="str">
        <f>IF(ISERROR(VLOOKUP(E42,原型!E:E,1,0)),"新系统有原型没有","")</f>
        <v/>
      </c>
      <c r="K42" t="str">
        <f>IF(ISERROR(VLOOKUP(O42,原型!O:O,1,0)),"原型有新系统没有","")</f>
        <v/>
      </c>
      <c r="L42" t="str">
        <f>IF(ISERROR(VLOOKUP(P42,原型!P:P,1,0)),"原型有新系统没有","")</f>
        <v/>
      </c>
      <c r="M42" t="str">
        <f>IF(ISERROR(VLOOKUP(Q42,原型!Q:Q,1,0)),"原型有新系统没有","")</f>
        <v/>
      </c>
      <c r="N42" t="str">
        <f>IF(ISERROR(VLOOKUP(R42,原型!R:R,1,0)),"原型有新系统没有","")</f>
        <v/>
      </c>
      <c r="O42" s="64" t="s">
        <v>124</v>
      </c>
      <c r="P42" t="s">
        <v>124</v>
      </c>
      <c r="Q42" t="s">
        <v>136</v>
      </c>
      <c r="R42" s="56" t="s">
        <v>138</v>
      </c>
    </row>
    <row r="43" s="100" customFormat="1" spans="1:18">
      <c r="A43" s="106" t="s">
        <v>124</v>
      </c>
      <c r="B43" t="s">
        <v>124</v>
      </c>
      <c r="C43" t="s">
        <v>139</v>
      </c>
      <c r="D43" s="102" t="s">
        <v>140</v>
      </c>
      <c r="E43" s="100" t="str">
        <f t="shared" si="3"/>
        <v>房地产|房地产|工业用房地产|工业厂房</v>
      </c>
      <c r="F43" t="str">
        <f t="shared" si="4"/>
        <v>房地产|工业用房地产|工业厂房</v>
      </c>
      <c r="G43" t="str">
        <f t="shared" si="5"/>
        <v>工业用房地产|工业厂房</v>
      </c>
      <c r="H43" s="100" t="str">
        <f>IF(ISERROR(VLOOKUP(E43,原型!E:E,1,0)),"新系统有原型没有","")</f>
        <v/>
      </c>
      <c r="K43" t="str">
        <f>IF(ISERROR(VLOOKUP(O43,原型!O:O,1,0)),"原型有新系统没有","")</f>
        <v/>
      </c>
      <c r="L43" t="str">
        <f>IF(ISERROR(VLOOKUP(P43,原型!P:P,1,0)),"原型有新系统没有","")</f>
        <v/>
      </c>
      <c r="M43" t="str">
        <f>IF(ISERROR(VLOOKUP(Q43,原型!Q:Q,1,0)),"原型有新系统没有","")</f>
        <v/>
      </c>
      <c r="N43" t="str">
        <f>IF(ISERROR(VLOOKUP(R43,原型!R:R,1,0)),"原型有新系统没有","")</f>
        <v/>
      </c>
      <c r="O43" s="64" t="s">
        <v>124</v>
      </c>
      <c r="P43" t="s">
        <v>124</v>
      </c>
      <c r="Q43" t="s">
        <v>139</v>
      </c>
      <c r="R43" s="56" t="s">
        <v>140</v>
      </c>
    </row>
    <row r="44" s="100" customFormat="1" ht="28" spans="1:18">
      <c r="A44" s="106" t="s">
        <v>124</v>
      </c>
      <c r="B44" t="s">
        <v>124</v>
      </c>
      <c r="C44" s="72" t="s">
        <v>139</v>
      </c>
      <c r="D44" s="73" t="s">
        <v>287</v>
      </c>
      <c r="E44" s="100" t="str">
        <f t="shared" si="3"/>
        <v>房地产|房地产|工业用房地产|非标准工业厂房</v>
      </c>
      <c r="F44" t="str">
        <f t="shared" si="4"/>
        <v>房地产|工业用房地产|非标准工业厂房</v>
      </c>
      <c r="G44" t="str">
        <f t="shared" si="5"/>
        <v>工业用房地产|非标准工业厂房</v>
      </c>
      <c r="H44" s="100" t="str">
        <f>IF(ISERROR(VLOOKUP(E44,原型!E:E,1,0)),"新系统有原型没有","")</f>
        <v>新系统有原型没有</v>
      </c>
      <c r="K44" t="str">
        <f>IF(ISERROR(VLOOKUP(O44,原型!O:O,1,0)),"原型有新系统没有","")</f>
        <v/>
      </c>
      <c r="L44" t="str">
        <f>IF(ISERROR(VLOOKUP(P44,原型!P:P,1,0)),"原型有新系统没有","")</f>
        <v/>
      </c>
      <c r="M44" t="str">
        <f>IF(ISERROR(VLOOKUP(Q44,原型!Q:Q,1,0)),"原型有新系统没有","")</f>
        <v/>
      </c>
      <c r="N44" t="str">
        <f>IF(ISERROR(VLOOKUP(R44,原型!R:R,1,0)),"原型有新系统没有","")</f>
        <v>原型有新系统没有</v>
      </c>
      <c r="O44" s="64" t="s">
        <v>124</v>
      </c>
      <c r="P44" t="s">
        <v>124</v>
      </c>
      <c r="Q44" s="72" t="s">
        <v>139</v>
      </c>
      <c r="R44" s="73" t="s">
        <v>287</v>
      </c>
    </row>
    <row r="45" s="100" customFormat="1" spans="1:18">
      <c r="A45" s="106" t="s">
        <v>124</v>
      </c>
      <c r="B45" t="s">
        <v>124</v>
      </c>
      <c r="C45" t="s">
        <v>139</v>
      </c>
      <c r="D45" s="73" t="s">
        <v>141</v>
      </c>
      <c r="E45" s="100" t="str">
        <f t="shared" si="3"/>
        <v>房地产|房地产|工业用房地产|仓库</v>
      </c>
      <c r="F45" t="str">
        <f t="shared" si="4"/>
        <v>房地产|工业用房地产|仓库</v>
      </c>
      <c r="G45" t="str">
        <f t="shared" si="5"/>
        <v>工业用房地产|仓库</v>
      </c>
      <c r="H45" s="100" t="str">
        <f>IF(ISERROR(VLOOKUP(E45,原型!E:E,1,0)),"新系统有原型没有","")</f>
        <v/>
      </c>
      <c r="K45" t="str">
        <f>IF(ISERROR(VLOOKUP(O45,原型!O:O,1,0)),"原型有新系统没有","")</f>
        <v/>
      </c>
      <c r="L45" t="str">
        <f>IF(ISERROR(VLOOKUP(P45,原型!P:P,1,0)),"原型有新系统没有","")</f>
        <v/>
      </c>
      <c r="M45" t="str">
        <f>IF(ISERROR(VLOOKUP(Q45,原型!Q:Q,1,0)),"原型有新系统没有","")</f>
        <v/>
      </c>
      <c r="N45" t="str">
        <f>IF(ISERROR(VLOOKUP(R45,原型!R:R,1,0)),"原型有新系统没有","")</f>
        <v/>
      </c>
      <c r="O45" s="64" t="s">
        <v>124</v>
      </c>
      <c r="P45" t="s">
        <v>124</v>
      </c>
      <c r="Q45" t="s">
        <v>139</v>
      </c>
      <c r="R45" s="73" t="s">
        <v>141</v>
      </c>
    </row>
    <row r="46" s="100" customFormat="1" ht="41" spans="1:18">
      <c r="A46" s="106" t="s">
        <v>124</v>
      </c>
      <c r="B46" t="s">
        <v>142</v>
      </c>
      <c r="C46" t="s">
        <v>143</v>
      </c>
      <c r="D46" s="102" t="s">
        <v>144</v>
      </c>
      <c r="E46" s="100" t="str">
        <f t="shared" si="3"/>
        <v>房地产|土地使用权|居住用建设用地使用权|国有建设用地使用权-出让</v>
      </c>
      <c r="F46" t="str">
        <f t="shared" si="4"/>
        <v>土地使用权|居住用建设用地使用权|国有建设用地使用权-出让</v>
      </c>
      <c r="G46" t="str">
        <f t="shared" si="5"/>
        <v>居住用建设用地使用权|国有建设用地使用权-出让</v>
      </c>
      <c r="H46" s="100" t="str">
        <f>IF(ISERROR(VLOOKUP(E46,原型!E:E,1,0)),"新系统有原型没有","")</f>
        <v/>
      </c>
      <c r="K46" t="str">
        <f>IF(ISERROR(VLOOKUP(O46,原型!O:O,1,0)),"原型有新系统没有","")</f>
        <v/>
      </c>
      <c r="L46" t="str">
        <f>IF(ISERROR(VLOOKUP(P46,原型!P:P,1,0)),"原型有新系统没有","")</f>
        <v/>
      </c>
      <c r="M46" t="str">
        <f>IF(ISERROR(VLOOKUP(Q46,原型!Q:Q,1,0)),"原型有新系统没有","")</f>
        <v/>
      </c>
      <c r="N46" t="str">
        <f>IF(ISERROR(VLOOKUP(R46,原型!R:R,1,0)),"原型有新系统没有","")</f>
        <v/>
      </c>
      <c r="O46" s="64" t="s">
        <v>124</v>
      </c>
      <c r="P46" t="s">
        <v>142</v>
      </c>
      <c r="Q46" t="s">
        <v>143</v>
      </c>
      <c r="R46" s="73" t="s">
        <v>145</v>
      </c>
    </row>
    <row r="47" s="100" customFormat="1" ht="41" spans="1:18">
      <c r="A47" s="106" t="s">
        <v>124</v>
      </c>
      <c r="B47" t="s">
        <v>142</v>
      </c>
      <c r="C47" t="s">
        <v>143</v>
      </c>
      <c r="D47" s="102" t="s">
        <v>146</v>
      </c>
      <c r="E47" s="100" t="str">
        <f t="shared" si="3"/>
        <v>房地产|土地使用权|居住用建设用地使用权|国有建设用地使用权-划拨</v>
      </c>
      <c r="F47" t="str">
        <f t="shared" si="4"/>
        <v>土地使用权|居住用建设用地使用权|国有建设用地使用权-划拨</v>
      </c>
      <c r="G47" t="str">
        <f t="shared" si="5"/>
        <v>居住用建设用地使用权|国有建设用地使用权-划拨</v>
      </c>
      <c r="H47" s="100" t="str">
        <f>IF(ISERROR(VLOOKUP(E47,原型!E:E,1,0)),"新系统有原型没有","")</f>
        <v/>
      </c>
      <c r="K47" t="str">
        <f>IF(ISERROR(VLOOKUP(O47,原型!O:O,1,0)),"原型有新系统没有","")</f>
        <v/>
      </c>
      <c r="L47" t="str">
        <f>IF(ISERROR(VLOOKUP(P47,原型!P:P,1,0)),"原型有新系统没有","")</f>
        <v/>
      </c>
      <c r="M47" t="str">
        <f>IF(ISERROR(VLOOKUP(Q47,原型!Q:Q,1,0)),"原型有新系统没有","")</f>
        <v/>
      </c>
      <c r="N47" t="str">
        <f>IF(ISERROR(VLOOKUP(R47,原型!R:R,1,0)),"原型有新系统没有","")</f>
        <v/>
      </c>
      <c r="O47" s="64" t="s">
        <v>124</v>
      </c>
      <c r="P47" t="s">
        <v>142</v>
      </c>
      <c r="Q47" t="s">
        <v>143</v>
      </c>
      <c r="R47" s="56" t="s">
        <v>147</v>
      </c>
    </row>
    <row r="48" s="100" customFormat="1" ht="28" spans="1:18">
      <c r="A48" s="106" t="s">
        <v>124</v>
      </c>
      <c r="B48" t="s">
        <v>142</v>
      </c>
      <c r="C48" s="64" t="s">
        <v>143</v>
      </c>
      <c r="D48" s="102" t="s">
        <v>148</v>
      </c>
      <c r="E48" s="100" t="str">
        <f t="shared" si="3"/>
        <v>房地产|土地使用权|居住用建设用地使用权|农村住房财产权</v>
      </c>
      <c r="F48" t="str">
        <f t="shared" si="4"/>
        <v>土地使用权|居住用建设用地使用权|农村住房财产权</v>
      </c>
      <c r="G48" t="str">
        <f t="shared" si="5"/>
        <v>居住用建设用地使用权|农村住房财产权</v>
      </c>
      <c r="H48" s="100" t="str">
        <f>IF(ISERROR(VLOOKUP(E48,原型!E:E,1,0)),"新系统有原型没有","")</f>
        <v/>
      </c>
      <c r="K48" t="str">
        <f>IF(ISERROR(VLOOKUP(O48,原型!O:O,1,0)),"原型有新系统没有","")</f>
        <v/>
      </c>
      <c r="L48" t="str">
        <f>IF(ISERROR(VLOOKUP(P48,原型!P:P,1,0)),"原型有新系统没有","")</f>
        <v/>
      </c>
      <c r="M48" t="str">
        <f>IF(ISERROR(VLOOKUP(Q48,原型!Q:Q,1,0)),"原型有新系统没有","")</f>
        <v/>
      </c>
      <c r="N48" t="str">
        <f>IF(ISERROR(VLOOKUP(R48,原型!R:R,1,0)),"原型有新系统没有","")</f>
        <v/>
      </c>
      <c r="O48" s="64" t="s">
        <v>124</v>
      </c>
      <c r="P48" t="s">
        <v>142</v>
      </c>
      <c r="Q48" s="64" t="s">
        <v>143</v>
      </c>
      <c r="R48" s="56" t="s">
        <v>148</v>
      </c>
    </row>
    <row r="49" s="100" customFormat="1" ht="41" spans="1:18">
      <c r="A49" s="106" t="s">
        <v>124</v>
      </c>
      <c r="B49" t="s">
        <v>142</v>
      </c>
      <c r="C49" s="102" t="s">
        <v>149</v>
      </c>
      <c r="D49" s="102" t="s">
        <v>144</v>
      </c>
      <c r="E49" s="100" t="str">
        <f t="shared" si="3"/>
        <v>房地产|土地使用权|经营性建设用地使用权|国有建设用地使用权-出让</v>
      </c>
      <c r="F49" t="str">
        <f t="shared" si="4"/>
        <v>土地使用权|经营性建设用地使用权|国有建设用地使用权-出让</v>
      </c>
      <c r="G49" t="str">
        <f t="shared" si="5"/>
        <v>经营性建设用地使用权|国有建设用地使用权-出让</v>
      </c>
      <c r="H49" s="100" t="str">
        <f>IF(ISERROR(VLOOKUP(E49,原型!E:E,1,0)),"新系统有原型没有","")</f>
        <v/>
      </c>
      <c r="K49" t="str">
        <f>IF(ISERROR(VLOOKUP(O49,原型!O:O,1,0)),"原型有新系统没有","")</f>
        <v/>
      </c>
      <c r="L49" t="str">
        <f>IF(ISERROR(VLOOKUP(P49,原型!P:P,1,0)),"原型有新系统没有","")</f>
        <v/>
      </c>
      <c r="M49" t="str">
        <f>IF(ISERROR(VLOOKUP(Q49,原型!Q:Q,1,0)),"原型有新系统没有","")</f>
        <v/>
      </c>
      <c r="N49" t="str">
        <f>IF(ISERROR(VLOOKUP(R49,原型!R:R,1,0)),"原型有新系统没有","")</f>
        <v/>
      </c>
      <c r="O49" s="64" t="s">
        <v>124</v>
      </c>
      <c r="P49" t="s">
        <v>142</v>
      </c>
      <c r="Q49" s="54" t="s">
        <v>149</v>
      </c>
      <c r="R49" s="73" t="s">
        <v>145</v>
      </c>
    </row>
    <row r="50" s="100" customFormat="1" ht="41" spans="1:18">
      <c r="A50" s="106" t="s">
        <v>124</v>
      </c>
      <c r="B50" t="s">
        <v>142</v>
      </c>
      <c r="C50" s="107" t="s">
        <v>149</v>
      </c>
      <c r="D50" s="102" t="s">
        <v>144</v>
      </c>
      <c r="E50" s="100" t="str">
        <f t="shared" si="3"/>
        <v>房地产|土地使用权|经营性建设用地使用权|国有建设用地使用权-出让</v>
      </c>
      <c r="F50" t="str">
        <f t="shared" si="4"/>
        <v>土地使用权|经营性建设用地使用权|国有建设用地使用权-出让</v>
      </c>
      <c r="G50" t="str">
        <f t="shared" si="5"/>
        <v>经营性建设用地使用权|国有建设用地使用权-出让</v>
      </c>
      <c r="H50" s="100" t="str">
        <f>IF(ISERROR(VLOOKUP(E50,原型!E:E,1,0)),"新系统有原型没有","")</f>
        <v/>
      </c>
      <c r="K50" t="str">
        <f>IF(ISERROR(VLOOKUP(O50,原型!O:O,1,0)),"原型有新系统没有","")</f>
        <v/>
      </c>
      <c r="L50" t="str">
        <f>IF(ISERROR(VLOOKUP(P50,原型!P:P,1,0)),"原型有新系统没有","")</f>
        <v/>
      </c>
      <c r="M50" t="str">
        <f>IF(ISERROR(VLOOKUP(Q50,原型!Q:Q,1,0)),"原型有新系统没有","")</f>
        <v/>
      </c>
      <c r="N50" t="str">
        <f>IF(ISERROR(VLOOKUP(R50,原型!R:R,1,0)),"原型有新系统没有","")</f>
        <v/>
      </c>
      <c r="O50" s="64" t="s">
        <v>124</v>
      </c>
      <c r="P50" t="s">
        <v>142</v>
      </c>
      <c r="Q50" s="54" t="s">
        <v>149</v>
      </c>
      <c r="R50" s="56" t="s">
        <v>147</v>
      </c>
    </row>
    <row r="51" s="100" customFormat="1" ht="55" spans="1:18">
      <c r="A51" s="106" t="s">
        <v>124</v>
      </c>
      <c r="B51" s="74" t="s">
        <v>142</v>
      </c>
      <c r="C51" s="107" t="s">
        <v>149</v>
      </c>
      <c r="D51" s="101" t="s">
        <v>150</v>
      </c>
      <c r="E51" s="100" t="str">
        <f t="shared" si="3"/>
        <v>房地产|土地使用权|经营性建设用地使用权|集体/农村经营性建设用地使用权</v>
      </c>
      <c r="F51" t="str">
        <f t="shared" si="4"/>
        <v>土地使用权|经营性建设用地使用权|集体/农村经营性建设用地使用权</v>
      </c>
      <c r="G51" t="str">
        <f t="shared" si="5"/>
        <v>经营性建设用地使用权|集体/农村经营性建设用地使用权</v>
      </c>
      <c r="H51" s="100" t="str">
        <f>IF(ISERROR(VLOOKUP(E51,原型!E:E,1,0)),"新系统有原型没有","")</f>
        <v/>
      </c>
      <c r="K51" t="str">
        <f>IF(ISERROR(VLOOKUP(O51,原型!O:O,1,0)),"原型有新系统没有","")</f>
        <v/>
      </c>
      <c r="L51" t="str">
        <f>IF(ISERROR(VLOOKUP(P51,原型!P:P,1,0)),"原型有新系统没有","")</f>
        <v/>
      </c>
      <c r="M51" t="str">
        <f>IF(ISERROR(VLOOKUP(Q51,原型!Q:Q,1,0)),"原型有新系统没有","")</f>
        <v/>
      </c>
      <c r="N51" t="str">
        <f>IF(ISERROR(VLOOKUP(R51,原型!R:R,1,0)),"原型有新系统没有","")</f>
        <v/>
      </c>
      <c r="O51" s="64" t="s">
        <v>124</v>
      </c>
      <c r="P51" s="74" t="s">
        <v>142</v>
      </c>
      <c r="Q51" s="54" t="s">
        <v>149</v>
      </c>
      <c r="R51" s="76" t="s">
        <v>151</v>
      </c>
    </row>
    <row r="52" s="100" customFormat="1" ht="28" spans="1:18">
      <c r="A52" s="106" t="s">
        <v>124</v>
      </c>
      <c r="B52" t="s">
        <v>142</v>
      </c>
      <c r="C52" t="s">
        <v>288</v>
      </c>
      <c r="D52" s="76" t="s">
        <v>288</v>
      </c>
      <c r="E52" s="100" t="str">
        <f t="shared" si="3"/>
        <v>房地产|土地使用权|工业用地使用权|工业用地使用权</v>
      </c>
      <c r="F52" t="str">
        <f t="shared" si="4"/>
        <v>土地使用权|工业用地使用权|工业用地使用权</v>
      </c>
      <c r="G52" t="str">
        <f t="shared" si="5"/>
        <v>工业用地使用权|工业用地使用权</v>
      </c>
      <c r="H52" s="100" t="str">
        <f>IF(ISERROR(VLOOKUP(E52,原型!E:E,1,0)),"新系统有原型没有","")</f>
        <v>新系统有原型没有</v>
      </c>
      <c r="K52" t="str">
        <f>IF(ISERROR(VLOOKUP(O52,原型!O:O,1,0)),"原型有新系统没有","")</f>
        <v/>
      </c>
      <c r="L52" t="str">
        <f>IF(ISERROR(VLOOKUP(P52,原型!P:P,1,0)),"原型有新系统没有","")</f>
        <v/>
      </c>
      <c r="M52" t="str">
        <f>IF(ISERROR(VLOOKUP(Q52,原型!Q:Q,1,0)),"原型有新系统没有","")</f>
        <v>原型有新系统没有</v>
      </c>
      <c r="N52" t="str">
        <f>IF(ISERROR(VLOOKUP(R52,原型!R:R,1,0)),"原型有新系统没有","")</f>
        <v>原型有新系统没有</v>
      </c>
      <c r="O52" s="64" t="s">
        <v>124</v>
      </c>
      <c r="P52" t="s">
        <v>142</v>
      </c>
      <c r="Q52" t="s">
        <v>288</v>
      </c>
      <c r="R52" s="76" t="s">
        <v>288</v>
      </c>
    </row>
    <row r="53" s="100" customFormat="1" ht="28" spans="1:18">
      <c r="A53" s="106" t="s">
        <v>124</v>
      </c>
      <c r="B53" t="s">
        <v>142</v>
      </c>
      <c r="C53" t="s">
        <v>289</v>
      </c>
      <c r="D53" s="76" t="s">
        <v>289</v>
      </c>
      <c r="E53" s="100" t="str">
        <f t="shared" si="3"/>
        <v>房地产|土地使用权|储备土地使用权|储备土地使用权</v>
      </c>
      <c r="F53" t="str">
        <f t="shared" si="4"/>
        <v>土地使用权|储备土地使用权|储备土地使用权</v>
      </c>
      <c r="G53" t="str">
        <f t="shared" si="5"/>
        <v>储备土地使用权|储备土地使用权</v>
      </c>
      <c r="H53" s="100" t="str">
        <f>IF(ISERROR(VLOOKUP(E53,原型!E:E,1,0)),"新系统有原型没有","")</f>
        <v>新系统有原型没有</v>
      </c>
      <c r="K53" t="str">
        <f>IF(ISERROR(VLOOKUP(O53,原型!O:O,1,0)),"原型有新系统没有","")</f>
        <v/>
      </c>
      <c r="L53" t="str">
        <f>IF(ISERROR(VLOOKUP(P53,原型!P:P,1,0)),"原型有新系统没有","")</f>
        <v/>
      </c>
      <c r="M53" t="str">
        <f>IF(ISERROR(VLOOKUP(Q53,原型!Q:Q,1,0)),"原型有新系统没有","")</f>
        <v>原型有新系统没有</v>
      </c>
      <c r="N53" t="str">
        <f>IF(ISERROR(VLOOKUP(R53,原型!R:R,1,0)),"原型有新系统没有","")</f>
        <v>原型有新系统没有</v>
      </c>
      <c r="O53" s="64" t="s">
        <v>124</v>
      </c>
      <c r="P53" t="s">
        <v>142</v>
      </c>
      <c r="Q53" t="s">
        <v>289</v>
      </c>
      <c r="R53" s="76" t="s">
        <v>289</v>
      </c>
    </row>
    <row r="54" s="100" customFormat="1" ht="41" spans="1:18">
      <c r="A54" s="106" t="s">
        <v>124</v>
      </c>
      <c r="B54" t="s">
        <v>290</v>
      </c>
      <c r="C54" s="75" t="s">
        <v>154</v>
      </c>
      <c r="D54" s="102" t="s">
        <v>154</v>
      </c>
      <c r="E54" s="100" t="str">
        <f t="shared" si="3"/>
        <v>房地产|房产类在建工程(不含土地使用权)|居住用房产类在建工程|居住用房产类在建工程</v>
      </c>
      <c r="F54" t="str">
        <f t="shared" si="4"/>
        <v>房产类在建工程(不含土地使用权)|居住用房产类在建工程|居住用房产类在建工程</v>
      </c>
      <c r="G54" t="str">
        <f t="shared" si="5"/>
        <v>居住用房产类在建工程|居住用房产类在建工程</v>
      </c>
      <c r="H54" s="100" t="str">
        <f>IF(ISERROR(VLOOKUP(E54,原型!E:E,1,0)),"新系统有原型没有","")</f>
        <v>新系统有原型没有</v>
      </c>
      <c r="K54" t="str">
        <f>IF(ISERROR(VLOOKUP(O54,原型!O:O,1,0)),"原型有新系统没有","")</f>
        <v/>
      </c>
      <c r="L54" t="str">
        <f>IF(ISERROR(VLOOKUP(P54,原型!P:P,1,0)),"原型有新系统没有","")</f>
        <v/>
      </c>
      <c r="M54" t="str">
        <f>IF(ISERROR(VLOOKUP(Q54,原型!Q:Q,1,0)),"原型有新系统没有","")</f>
        <v/>
      </c>
      <c r="N54" t="str">
        <f>IF(ISERROR(VLOOKUP(R54,原型!R:R,1,0)),"原型有新系统没有","")</f>
        <v/>
      </c>
      <c r="O54" s="64" t="s">
        <v>124</v>
      </c>
      <c r="P54" t="s">
        <v>155</v>
      </c>
      <c r="Q54" s="75" t="s">
        <v>154</v>
      </c>
      <c r="R54" s="76" t="s">
        <v>154</v>
      </c>
    </row>
    <row r="55" s="100" customFormat="1" ht="41" spans="1:18">
      <c r="A55" s="106" t="s">
        <v>124</v>
      </c>
      <c r="B55" t="s">
        <v>290</v>
      </c>
      <c r="C55" s="102" t="s">
        <v>156</v>
      </c>
      <c r="D55" s="76" t="s">
        <v>157</v>
      </c>
      <c r="E55" s="100" t="str">
        <f t="shared" si="3"/>
        <v>房地产|房产类在建工程(不含土地使用权)|经营性房产类在建工程|商业用房产类在建工程</v>
      </c>
      <c r="F55" t="str">
        <f t="shared" si="4"/>
        <v>房产类在建工程(不含土地使用权)|经营性房产类在建工程|商业用房产类在建工程</v>
      </c>
      <c r="G55" t="str">
        <f t="shared" si="5"/>
        <v>经营性房产类在建工程|商业用房产类在建工程</v>
      </c>
      <c r="H55" s="100" t="str">
        <f>IF(ISERROR(VLOOKUP(E55,原型!E:E,1,0)),"新系统有原型没有","")</f>
        <v>新系统有原型没有</v>
      </c>
      <c r="K55" t="str">
        <f>IF(ISERROR(VLOOKUP(O55,原型!O:O,1,0)),"原型有新系统没有","")</f>
        <v/>
      </c>
      <c r="L55" t="str">
        <f>IF(ISERROR(VLOOKUP(P55,原型!P:P,1,0)),"原型有新系统没有","")</f>
        <v/>
      </c>
      <c r="M55" t="str">
        <f>IF(ISERROR(VLOOKUP(Q55,原型!Q:Q,1,0)),"原型有新系统没有","")</f>
        <v/>
      </c>
      <c r="N55" t="str">
        <f>IF(ISERROR(VLOOKUP(R55,原型!R:R,1,0)),"原型有新系统没有","")</f>
        <v/>
      </c>
      <c r="O55" s="64" t="s">
        <v>124</v>
      </c>
      <c r="P55" t="s">
        <v>155</v>
      </c>
      <c r="Q55" t="s">
        <v>156</v>
      </c>
      <c r="R55" s="76" t="s">
        <v>157</v>
      </c>
    </row>
    <row r="56" s="100" customFormat="1" ht="41" spans="1:18">
      <c r="A56" s="106" t="s">
        <v>124</v>
      </c>
      <c r="B56" t="s">
        <v>290</v>
      </c>
      <c r="C56" s="103" t="s">
        <v>156</v>
      </c>
      <c r="D56" s="76" t="s">
        <v>158</v>
      </c>
      <c r="E56" s="100" t="str">
        <f t="shared" si="3"/>
        <v>房地产|房产类在建工程(不含土地使用权)|经营性房产类在建工程|办公用房产类在建工程</v>
      </c>
      <c r="F56" t="str">
        <f t="shared" si="4"/>
        <v>房产类在建工程(不含土地使用权)|经营性房产类在建工程|办公用房产类在建工程</v>
      </c>
      <c r="G56" t="str">
        <f t="shared" si="5"/>
        <v>经营性房产类在建工程|办公用房产类在建工程</v>
      </c>
      <c r="H56" s="100" t="str">
        <f>IF(ISERROR(VLOOKUP(E56,原型!E:E,1,0)),"新系统有原型没有","")</f>
        <v>新系统有原型没有</v>
      </c>
      <c r="K56" t="str">
        <f>IF(ISERROR(VLOOKUP(O56,原型!O:O,1,0)),"原型有新系统没有","")</f>
        <v/>
      </c>
      <c r="L56" t="str">
        <f>IF(ISERROR(VLOOKUP(P56,原型!P:P,1,0)),"原型有新系统没有","")</f>
        <v/>
      </c>
      <c r="M56" t="str">
        <f>IF(ISERROR(VLOOKUP(Q56,原型!Q:Q,1,0)),"原型有新系统没有","")</f>
        <v/>
      </c>
      <c r="N56" t="str">
        <f>IF(ISERROR(VLOOKUP(R56,原型!R:R,1,0)),"原型有新系统没有","")</f>
        <v/>
      </c>
      <c r="O56" s="64" t="s">
        <v>124</v>
      </c>
      <c r="P56" t="s">
        <v>155</v>
      </c>
      <c r="Q56" t="s">
        <v>156</v>
      </c>
      <c r="R56" s="76" t="s">
        <v>158</v>
      </c>
    </row>
    <row r="57" s="100" customFormat="1" ht="41" spans="1:18">
      <c r="A57" s="106" t="s">
        <v>124</v>
      </c>
      <c r="B57" t="s">
        <v>290</v>
      </c>
      <c r="C57" s="103" t="s">
        <v>156</v>
      </c>
      <c r="D57" s="76" t="s">
        <v>160</v>
      </c>
      <c r="E57" s="100" t="str">
        <f t="shared" si="3"/>
        <v>房地产|房产类在建工程(不含土地使用权)|经营性房产类在建工程|工业用房产类在建工程</v>
      </c>
      <c r="F57" t="str">
        <f t="shared" si="4"/>
        <v>房产类在建工程(不含土地使用权)|经营性房产类在建工程|工业用房产类在建工程</v>
      </c>
      <c r="G57" t="str">
        <f t="shared" si="5"/>
        <v>经营性房产类在建工程|工业用房产类在建工程</v>
      </c>
      <c r="H57" s="100" t="str">
        <f>IF(ISERROR(VLOOKUP(E57,原型!E:E,1,0)),"新系统有原型没有","")</f>
        <v>新系统有原型没有</v>
      </c>
      <c r="K57" t="str">
        <f>IF(ISERROR(VLOOKUP(O57,原型!O:O,1,0)),"原型有新系统没有","")</f>
        <v/>
      </c>
      <c r="L57" t="str">
        <f>IF(ISERROR(VLOOKUP(P57,原型!P:P,1,0)),"原型有新系统没有","")</f>
        <v/>
      </c>
      <c r="M57" t="str">
        <f>IF(ISERROR(VLOOKUP(Q57,原型!Q:Q,1,0)),"原型有新系统没有","")</f>
        <v/>
      </c>
      <c r="N57" t="str">
        <f>IF(ISERROR(VLOOKUP(R57,原型!R:R,1,0)),"原型有新系统没有","")</f>
        <v/>
      </c>
      <c r="O57" s="64" t="s">
        <v>124</v>
      </c>
      <c r="P57" t="s">
        <v>155</v>
      </c>
      <c r="Q57" t="s">
        <v>156</v>
      </c>
      <c r="R57" s="76" t="s">
        <v>160</v>
      </c>
    </row>
    <row r="58" s="100" customFormat="1" ht="28" spans="1:18">
      <c r="A58" s="106" t="s">
        <v>124</v>
      </c>
      <c r="B58" s="102" t="s">
        <v>161</v>
      </c>
      <c r="C58" s="102" t="s">
        <v>161</v>
      </c>
      <c r="D58" s="102" t="s">
        <v>161</v>
      </c>
      <c r="E58" s="100" t="str">
        <f t="shared" si="3"/>
        <v>房地产|其他房地产类押品|其他房地产类押品|其他房地产类押品</v>
      </c>
      <c r="F58" t="str">
        <f t="shared" si="4"/>
        <v>其他房地产类押品|其他房地产类押品|其他房地产类押品</v>
      </c>
      <c r="G58" t="str">
        <f t="shared" si="5"/>
        <v>其他房地产类押品|其他房地产类押品</v>
      </c>
      <c r="H58" s="100" t="str">
        <f>IF(ISERROR(VLOOKUP(E58,原型!E:E,1,0)),"新系统有原型没有","")</f>
        <v/>
      </c>
      <c r="K58" t="str">
        <f>IF(ISERROR(VLOOKUP(O58,原型!O:O,1,0)),"原型有新系统没有","")</f>
        <v/>
      </c>
      <c r="L58" t="str">
        <f>IF(ISERROR(VLOOKUP(P58,原型!P:P,1,0)),"原型有新系统没有","")</f>
        <v/>
      </c>
      <c r="M58" t="str">
        <f>IF(ISERROR(VLOOKUP(Q58,原型!Q:Q,1,0)),"原型有新系统没有","")</f>
        <v/>
      </c>
      <c r="N58" t="str">
        <f>IF(ISERROR(VLOOKUP(R58,原型!R:R,1,0)),"原型有新系统没有","")</f>
        <v/>
      </c>
      <c r="O58" s="64" t="s">
        <v>124</v>
      </c>
      <c r="P58" s="77" t="s">
        <v>161</v>
      </c>
      <c r="Q58" s="78" t="s">
        <v>161</v>
      </c>
      <c r="R58" s="76" t="s">
        <v>161</v>
      </c>
    </row>
    <row r="59" s="100" customFormat="1" ht="28" spans="1:18">
      <c r="A59" t="s">
        <v>162</v>
      </c>
      <c r="B59" s="102" t="s">
        <v>163</v>
      </c>
      <c r="C59" s="75" t="s">
        <v>291</v>
      </c>
      <c r="D59" s="76" t="s">
        <v>291</v>
      </c>
      <c r="E59" s="100" t="str">
        <f t="shared" si="3"/>
        <v>应收账款|普通应收账款（交易类）|交易类应收账款|交易类应收账款</v>
      </c>
      <c r="F59" t="str">
        <f t="shared" si="4"/>
        <v>普通应收账款（交易类）|交易类应收账款|交易类应收账款</v>
      </c>
      <c r="G59" t="str">
        <f t="shared" si="5"/>
        <v>交易类应收账款|交易类应收账款</v>
      </c>
      <c r="H59" s="100" t="str">
        <f>IF(ISERROR(VLOOKUP(E59,原型!E:E,1,0)),"新系统有原型没有","")</f>
        <v>新系统有原型没有</v>
      </c>
      <c r="K59" t="str">
        <f>IF(ISERROR(VLOOKUP(O59,原型!O:O,1,0)),"原型有新系统没有","")</f>
        <v/>
      </c>
      <c r="L59" t="str">
        <f>IF(ISERROR(VLOOKUP(P59,原型!P:P,1,0)),"原型有新系统没有","")</f>
        <v/>
      </c>
      <c r="M59" t="str">
        <f>IF(ISERROR(VLOOKUP(Q59,原型!Q:Q,1,0)),"原型有新系统没有","")</f>
        <v>原型有新系统没有</v>
      </c>
      <c r="N59" t="str">
        <f>IF(ISERROR(VLOOKUP(R59,原型!R:R,1,0)),"原型有新系统没有","")</f>
        <v>原型有新系统没有</v>
      </c>
      <c r="O59" t="s">
        <v>162</v>
      </c>
      <c r="P59" t="s">
        <v>166</v>
      </c>
      <c r="Q59" s="75" t="s">
        <v>291</v>
      </c>
      <c r="R59" s="76" t="s">
        <v>291</v>
      </c>
    </row>
    <row r="60" s="100" customFormat="1" ht="28" spans="1:18">
      <c r="A60" t="s">
        <v>162</v>
      </c>
      <c r="B60" t="s">
        <v>174</v>
      </c>
      <c r="C60" t="s">
        <v>175</v>
      </c>
      <c r="D60" s="76" t="s">
        <v>176</v>
      </c>
      <c r="E60" s="100" t="str">
        <f t="shared" si="3"/>
        <v>应收账款|收费权类应收账款|公路收费权|经营性公路收费权</v>
      </c>
      <c r="F60" t="str">
        <f t="shared" si="4"/>
        <v>收费权类应收账款|公路收费权|经营性公路收费权</v>
      </c>
      <c r="G60" t="str">
        <f t="shared" si="5"/>
        <v>公路收费权|经营性公路收费权</v>
      </c>
      <c r="H60" s="100" t="str">
        <f>IF(ISERROR(VLOOKUP(E60,原型!E:E,1,0)),"新系统有原型没有","")</f>
        <v/>
      </c>
      <c r="K60" t="str">
        <f>IF(ISERROR(VLOOKUP(O60,原型!O:O,1,0)),"原型有新系统没有","")</f>
        <v/>
      </c>
      <c r="L60" t="str">
        <f>IF(ISERROR(VLOOKUP(P60,原型!P:P,1,0)),"原型有新系统没有","")</f>
        <v/>
      </c>
      <c r="M60" t="str">
        <f>IF(ISERROR(VLOOKUP(Q60,原型!Q:Q,1,0)),"原型有新系统没有","")</f>
        <v/>
      </c>
      <c r="N60" t="str">
        <f>IF(ISERROR(VLOOKUP(R60,原型!R:R,1,0)),"原型有新系统没有","")</f>
        <v/>
      </c>
      <c r="O60" t="s">
        <v>162</v>
      </c>
      <c r="P60" t="s">
        <v>174</v>
      </c>
      <c r="Q60" t="s">
        <v>175</v>
      </c>
      <c r="R60" s="76" t="s">
        <v>176</v>
      </c>
    </row>
    <row r="61" s="100" customFormat="1" ht="41" spans="1:18">
      <c r="A61" t="s">
        <v>162</v>
      </c>
      <c r="B61" t="s">
        <v>174</v>
      </c>
      <c r="C61" t="s">
        <v>175</v>
      </c>
      <c r="D61" s="76" t="s">
        <v>177</v>
      </c>
      <c r="E61" s="100" t="str">
        <f t="shared" si="3"/>
        <v>应收账款|收费权类应收账款|公路收费权|政府还贷公路收费权</v>
      </c>
      <c r="F61" t="str">
        <f t="shared" si="4"/>
        <v>收费权类应收账款|公路收费权|政府还贷公路收费权</v>
      </c>
      <c r="G61" t="str">
        <f t="shared" si="5"/>
        <v>公路收费权|政府还贷公路收费权</v>
      </c>
      <c r="H61" s="100" t="str">
        <f>IF(ISERROR(VLOOKUP(E61,原型!E:E,1,0)),"新系统有原型没有","")</f>
        <v/>
      </c>
      <c r="K61" t="str">
        <f>IF(ISERROR(VLOOKUP(O61,原型!O:O,1,0)),"原型有新系统没有","")</f>
        <v/>
      </c>
      <c r="L61" t="str">
        <f>IF(ISERROR(VLOOKUP(P61,原型!P:P,1,0)),"原型有新系统没有","")</f>
        <v/>
      </c>
      <c r="M61" t="str">
        <f>IF(ISERROR(VLOOKUP(Q61,原型!Q:Q,1,0)),"原型有新系统没有","")</f>
        <v/>
      </c>
      <c r="N61" t="str">
        <f>IF(ISERROR(VLOOKUP(R61,原型!R:R,1,0)),"原型有新系统没有","")</f>
        <v/>
      </c>
      <c r="O61" t="s">
        <v>162</v>
      </c>
      <c r="P61" t="s">
        <v>174</v>
      </c>
      <c r="Q61" t="s">
        <v>175</v>
      </c>
      <c r="R61" s="76" t="s">
        <v>177</v>
      </c>
    </row>
    <row r="62" s="100" customFormat="1" ht="28" spans="1:18">
      <c r="A62" t="s">
        <v>162</v>
      </c>
      <c r="B62" s="79" t="s">
        <v>174</v>
      </c>
      <c r="C62" s="78" t="s">
        <v>178</v>
      </c>
      <c r="D62" s="76" t="s">
        <v>292</v>
      </c>
      <c r="E62" s="100" t="str">
        <f t="shared" si="3"/>
        <v>应收账款|收费权类应收账款|城市基础设施收费权|电信网络收费权</v>
      </c>
      <c r="F62" t="str">
        <f t="shared" si="4"/>
        <v>收费权类应收账款|城市基础设施收费权|电信网络收费权</v>
      </c>
      <c r="G62" t="str">
        <f t="shared" si="5"/>
        <v>城市基础设施收费权|电信网络收费权</v>
      </c>
      <c r="H62" s="100" t="str">
        <f>IF(ISERROR(VLOOKUP(E62,原型!E:E,1,0)),"新系统有原型没有","")</f>
        <v>新系统有原型没有</v>
      </c>
      <c r="K62" t="str">
        <f>IF(ISERROR(VLOOKUP(O62,原型!O:O,1,0)),"原型有新系统没有","")</f>
        <v/>
      </c>
      <c r="L62" t="str">
        <f>IF(ISERROR(VLOOKUP(P62,原型!P:P,1,0)),"原型有新系统没有","")</f>
        <v/>
      </c>
      <c r="M62" t="str">
        <f>IF(ISERROR(VLOOKUP(Q62,原型!Q:Q,1,0)),"原型有新系统没有","")</f>
        <v/>
      </c>
      <c r="N62" t="str">
        <f>IF(ISERROR(VLOOKUP(R62,原型!R:R,1,0)),"原型有新系统没有","")</f>
        <v>原型有新系统没有</v>
      </c>
      <c r="O62" t="s">
        <v>162</v>
      </c>
      <c r="P62" s="79" t="s">
        <v>174</v>
      </c>
      <c r="Q62" s="78" t="s">
        <v>178</v>
      </c>
      <c r="R62" s="76" t="s">
        <v>292</v>
      </c>
    </row>
    <row r="63" s="100" customFormat="1" ht="55" spans="1:18">
      <c r="A63" s="53" t="s">
        <v>162</v>
      </c>
      <c r="B63" s="80" t="s">
        <v>174</v>
      </c>
      <c r="C63" s="75" t="s">
        <v>293</v>
      </c>
      <c r="D63" s="76" t="s">
        <v>293</v>
      </c>
      <c r="E63" s="100" t="str">
        <f t="shared" si="3"/>
        <v>应收账款|收费权类应收账款|农村电网建设与改造工程电费收费权|农村电网建设与改造工程电费收费权</v>
      </c>
      <c r="F63" t="str">
        <f t="shared" si="4"/>
        <v>收费权类应收账款|农村电网建设与改造工程电费收费权|农村电网建设与改造工程电费收费权</v>
      </c>
      <c r="G63" t="str">
        <f t="shared" si="5"/>
        <v>农村电网建设与改造工程电费收费权|农村电网建设与改造工程电费收费权</v>
      </c>
      <c r="H63" s="100" t="str">
        <f>IF(ISERROR(VLOOKUP(E63,原型!E:E,1,0)),"新系统有原型没有","")</f>
        <v>新系统有原型没有</v>
      </c>
      <c r="K63" t="str">
        <f>IF(ISERROR(VLOOKUP(O63,原型!O:O,1,0)),"原型有新系统没有","")</f>
        <v/>
      </c>
      <c r="L63" t="str">
        <f>IF(ISERROR(VLOOKUP(P63,原型!P:P,1,0)),"原型有新系统没有","")</f>
        <v/>
      </c>
      <c r="M63" t="str">
        <f>IF(ISERROR(VLOOKUP(Q63,原型!Q:Q,1,0)),"原型有新系统没有","")</f>
        <v>原型有新系统没有</v>
      </c>
      <c r="N63" t="str">
        <f>IF(ISERROR(VLOOKUP(R63,原型!R:R,1,0)),"原型有新系统没有","")</f>
        <v>原型有新系统没有</v>
      </c>
      <c r="O63" s="53" t="s">
        <v>162</v>
      </c>
      <c r="P63" s="80" t="s">
        <v>174</v>
      </c>
      <c r="Q63" s="75" t="s">
        <v>293</v>
      </c>
      <c r="R63" s="76" t="s">
        <v>293</v>
      </c>
    </row>
    <row r="64" s="100" customFormat="1" ht="28" spans="1:18">
      <c r="A64" t="s">
        <v>162</v>
      </c>
      <c r="B64" t="s">
        <v>184</v>
      </c>
      <c r="C64" t="s">
        <v>184</v>
      </c>
      <c r="D64" s="76" t="s">
        <v>184</v>
      </c>
      <c r="E64" s="100" t="str">
        <f t="shared" si="3"/>
        <v>应收账款|其他应收账款|其他应收账款|其他应收账款</v>
      </c>
      <c r="F64" t="str">
        <f t="shared" si="4"/>
        <v>其他应收账款|其他应收账款|其他应收账款</v>
      </c>
      <c r="G64" t="str">
        <f t="shared" si="5"/>
        <v>其他应收账款|其他应收账款</v>
      </c>
      <c r="H64" s="100" t="str">
        <f>IF(ISERROR(VLOOKUP(E64,原型!E:E,1,0)),"新系统有原型没有","")</f>
        <v/>
      </c>
      <c r="K64" t="str">
        <f>IF(ISERROR(VLOOKUP(O64,原型!O:O,1,0)),"原型有新系统没有","")</f>
        <v/>
      </c>
      <c r="L64" t="str">
        <f>IF(ISERROR(VLOOKUP(P64,原型!P:P,1,0)),"原型有新系统没有","")</f>
        <v/>
      </c>
      <c r="M64" t="str">
        <f>IF(ISERROR(VLOOKUP(Q64,原型!Q:Q,1,0)),"原型有新系统没有","")</f>
        <v/>
      </c>
      <c r="N64" t="str">
        <f>IF(ISERROR(VLOOKUP(R64,原型!R:R,1,0)),"原型有新系统没有","")</f>
        <v/>
      </c>
      <c r="O64" t="s">
        <v>162</v>
      </c>
      <c r="P64" t="s">
        <v>184</v>
      </c>
      <c r="Q64" t="s">
        <v>184</v>
      </c>
      <c r="R64" s="76" t="s">
        <v>184</v>
      </c>
    </row>
    <row r="65" s="100" customFormat="1" spans="1:18">
      <c r="A65" t="s">
        <v>185</v>
      </c>
      <c r="B65" s="102" t="s">
        <v>186</v>
      </c>
      <c r="C65" t="s">
        <v>187</v>
      </c>
      <c r="D65" s="76" t="s">
        <v>187</v>
      </c>
      <c r="E65" s="100" t="str">
        <f t="shared" si="3"/>
        <v>其他押品|实物存货|大宗商品|大宗商品</v>
      </c>
      <c r="F65" t="str">
        <f t="shared" si="4"/>
        <v>实物存货|大宗商品|大宗商品</v>
      </c>
      <c r="G65" t="str">
        <f t="shared" si="5"/>
        <v>大宗商品|大宗商品</v>
      </c>
      <c r="H65" s="100" t="str">
        <f>IF(ISERROR(VLOOKUP(E65,原型!E:E,1,0)),"新系统有原型没有","")</f>
        <v>新系统有原型没有</v>
      </c>
      <c r="K65" t="str">
        <f>IF(ISERROR(VLOOKUP(O65,原型!O:O,1,0)),"原型有新系统没有","")</f>
        <v/>
      </c>
      <c r="L65" t="str">
        <f>IF(ISERROR(VLOOKUP(P65,原型!P:P,1,0)),"原型有新系统没有","")</f>
        <v/>
      </c>
      <c r="M65" t="str">
        <f>IF(ISERROR(VLOOKUP(Q65,原型!Q:Q,1,0)),"原型有新系统没有","")</f>
        <v/>
      </c>
      <c r="N65" t="str">
        <f>IF(ISERROR(VLOOKUP(R65,原型!R:R,1,0)),"原型有新系统没有","")</f>
        <v>原型有新系统没有</v>
      </c>
      <c r="O65" t="s">
        <v>185</v>
      </c>
      <c r="P65" t="s">
        <v>186</v>
      </c>
      <c r="Q65" t="s">
        <v>187</v>
      </c>
      <c r="R65" s="76" t="s">
        <v>187</v>
      </c>
    </row>
    <row r="66" s="100" customFormat="1" ht="28" spans="1:18">
      <c r="A66" t="s">
        <v>185</v>
      </c>
      <c r="B66" s="103" t="s">
        <v>186</v>
      </c>
      <c r="C66" s="75" t="s">
        <v>191</v>
      </c>
      <c r="D66" s="82" t="s">
        <v>191</v>
      </c>
      <c r="E66" s="100" t="str">
        <f t="shared" ref="E66:E97" si="6">CLEAN(A66)&amp;"|"&amp;CLEAN(B66)&amp;"|"&amp;CLEAN(C66)&amp;"|"&amp;CLEAN(D66)</f>
        <v>其他押品|实物存货|非大宗商品|非大宗商品</v>
      </c>
      <c r="F66" t="str">
        <f t="shared" ref="F66:F97" si="7">CLEAN(B66)&amp;"|"&amp;CLEAN(C66)&amp;"|"&amp;CLEAN(D66)</f>
        <v>实物存货|非大宗商品|非大宗商品</v>
      </c>
      <c r="G66" t="str">
        <f t="shared" ref="G66:G97" si="8">CLEAN(C66)&amp;"|"&amp;CLEAN(D66)</f>
        <v>非大宗商品|非大宗商品</v>
      </c>
      <c r="H66" s="100" t="str">
        <f>IF(ISERROR(VLOOKUP(E66,原型!E:E,1,0)),"新系统有原型没有","")</f>
        <v>新系统有原型没有</v>
      </c>
      <c r="K66" t="str">
        <f>IF(ISERROR(VLOOKUP(O66,原型!O:O,1,0)),"原型有新系统没有","")</f>
        <v/>
      </c>
      <c r="L66" t="str">
        <f>IF(ISERROR(VLOOKUP(P66,原型!P:P,1,0)),"原型有新系统没有","")</f>
        <v/>
      </c>
      <c r="M66" t="str">
        <f>IF(ISERROR(VLOOKUP(Q66,原型!Q:Q,1,0)),"原型有新系统没有","")</f>
        <v/>
      </c>
      <c r="N66" t="str">
        <f>IF(ISERROR(VLOOKUP(R66,原型!R:R,1,0)),"原型有新系统没有","")</f>
        <v>原型有新系统没有</v>
      </c>
      <c r="O66" t="s">
        <v>185</v>
      </c>
      <c r="P66" t="s">
        <v>186</v>
      </c>
      <c r="Q66" s="75" t="s">
        <v>191</v>
      </c>
      <c r="R66" s="82" t="s">
        <v>191</v>
      </c>
    </row>
    <row r="67" s="100" customFormat="1" spans="1:18">
      <c r="A67" t="s">
        <v>185</v>
      </c>
      <c r="B67" s="75" t="s">
        <v>193</v>
      </c>
      <c r="C67" s="83" t="s">
        <v>294</v>
      </c>
      <c r="D67" s="84" t="s">
        <v>295</v>
      </c>
      <c r="E67" s="100" t="str">
        <f t="shared" si="6"/>
        <v>其他押品|货权|仓单(仅包括作为唯一货权凭证的仓库)|标准仓单</v>
      </c>
      <c r="F67" t="str">
        <f t="shared" si="7"/>
        <v>货权|仓单(仅包括作为唯一货权凭证的仓库)|标准仓单</v>
      </c>
      <c r="G67" t="str">
        <f t="shared" si="8"/>
        <v>仓单(仅包括作为唯一货权凭证的仓库)|标准仓单</v>
      </c>
      <c r="H67" s="100" t="str">
        <f>IF(ISERROR(VLOOKUP(E67,原型!E:E,1,0)),"新系统有原型没有","")</f>
        <v>新系统有原型没有</v>
      </c>
      <c r="K67" t="str">
        <f>IF(ISERROR(VLOOKUP(O67,原型!O:O,1,0)),"原型有新系统没有","")</f>
        <v/>
      </c>
      <c r="L67" t="str">
        <f>IF(ISERROR(VLOOKUP(P67,原型!P:P,1,0)),"原型有新系统没有","")</f>
        <v/>
      </c>
      <c r="M67" t="str">
        <f>IF(ISERROR(VLOOKUP(Q67,原型!Q:Q,1,0)),"原型有新系统没有","")</f>
        <v>原型有新系统没有</v>
      </c>
      <c r="N67" t="str">
        <f>IF(ISERROR(VLOOKUP(R67,原型!R:R,1,0)),"原型有新系统没有","")</f>
        <v>原型有新系统没有</v>
      </c>
      <c r="O67" t="s">
        <v>185</v>
      </c>
      <c r="P67" s="75" t="s">
        <v>193</v>
      </c>
      <c r="Q67" s="83" t="s">
        <v>296</v>
      </c>
      <c r="R67" s="84" t="s">
        <v>295</v>
      </c>
    </row>
    <row r="68" s="100" customFormat="1" ht="28" spans="1:18">
      <c r="A68" t="s">
        <v>185</v>
      </c>
      <c r="B68" t="s">
        <v>193</v>
      </c>
      <c r="C68" t="s">
        <v>294</v>
      </c>
      <c r="D68" s="84" t="s">
        <v>297</v>
      </c>
      <c r="E68" s="100" t="str">
        <f t="shared" si="6"/>
        <v>其他押品|货权|仓单(仅包括作为唯一货权凭证的仓库)|非标准仓单</v>
      </c>
      <c r="F68" t="str">
        <f t="shared" si="7"/>
        <v>货权|仓单(仅包括作为唯一货权凭证的仓库)|非标准仓单</v>
      </c>
      <c r="G68" t="str">
        <f t="shared" si="8"/>
        <v>仓单(仅包括作为唯一货权凭证的仓库)|非标准仓单</v>
      </c>
      <c r="H68" s="100" t="str">
        <f>IF(ISERROR(VLOOKUP(E68,原型!E:E,1,0)),"新系统有原型没有","")</f>
        <v>新系统有原型没有</v>
      </c>
      <c r="K68" t="str">
        <f>IF(ISERROR(VLOOKUP(O68,原型!O:O,1,0)),"原型有新系统没有","")</f>
        <v/>
      </c>
      <c r="L68" t="str">
        <f>IF(ISERROR(VLOOKUP(P68,原型!P:P,1,0)),"原型有新系统没有","")</f>
        <v/>
      </c>
      <c r="M68" t="str">
        <f>IF(ISERROR(VLOOKUP(Q68,原型!Q:Q,1,0)),"原型有新系统没有","")</f>
        <v>原型有新系统没有</v>
      </c>
      <c r="N68" t="str">
        <f>IF(ISERROR(VLOOKUP(R68,原型!R:R,1,0)),"原型有新系统没有","")</f>
        <v>原型有新系统没有</v>
      </c>
      <c r="O68" t="s">
        <v>185</v>
      </c>
      <c r="P68" t="s">
        <v>193</v>
      </c>
      <c r="Q68" t="s">
        <v>296</v>
      </c>
      <c r="R68" s="84" t="s">
        <v>297</v>
      </c>
    </row>
    <row r="69" s="100" customFormat="1" spans="1:18">
      <c r="A69" t="s">
        <v>185</v>
      </c>
      <c r="B69" t="s">
        <v>193</v>
      </c>
      <c r="C69" s="80" t="s">
        <v>202</v>
      </c>
      <c r="D69" s="37" t="s">
        <v>202</v>
      </c>
      <c r="E69" s="100" t="str">
        <f t="shared" si="6"/>
        <v>其他押品|货权|提单|提单</v>
      </c>
      <c r="F69" t="str">
        <f t="shared" si="7"/>
        <v>货权|提单|提单</v>
      </c>
      <c r="G69" t="str">
        <f t="shared" si="8"/>
        <v>提单|提单</v>
      </c>
      <c r="H69" s="100" t="str">
        <f>IF(ISERROR(VLOOKUP(E69,原型!E:E,1,0)),"新系统有原型没有","")</f>
        <v>新系统有原型没有</v>
      </c>
      <c r="K69" t="str">
        <f>IF(ISERROR(VLOOKUP(O69,原型!O:O,1,0)),"原型有新系统没有","")</f>
        <v/>
      </c>
      <c r="L69" t="str">
        <f>IF(ISERROR(VLOOKUP(P69,原型!P:P,1,0)),"原型有新系统没有","")</f>
        <v/>
      </c>
      <c r="M69" t="str">
        <f>IF(ISERROR(VLOOKUP(Q69,原型!Q:Q,1,0)),"原型有新系统没有","")</f>
        <v/>
      </c>
      <c r="N69" t="str">
        <f>IF(ISERROR(VLOOKUP(R69,原型!R:R,1,0)),"原型有新系统没有","")</f>
        <v>原型有新系统没有</v>
      </c>
      <c r="O69" t="s">
        <v>185</v>
      </c>
      <c r="P69" t="s">
        <v>193</v>
      </c>
      <c r="Q69" s="80" t="s">
        <v>202</v>
      </c>
      <c r="R69" s="37" t="s">
        <v>202</v>
      </c>
    </row>
    <row r="70" s="100" customFormat="1" ht="28" spans="1:18">
      <c r="A70" t="s">
        <v>185</v>
      </c>
      <c r="B70" t="s">
        <v>206</v>
      </c>
      <c r="C70" t="s">
        <v>206</v>
      </c>
      <c r="D70" s="37" t="s">
        <v>206</v>
      </c>
      <c r="E70" s="100" t="str">
        <f t="shared" si="6"/>
        <v>其他押品|出口退税账户|出口退税账户|出口退税账户</v>
      </c>
      <c r="F70" t="str">
        <f t="shared" si="7"/>
        <v>出口退税账户|出口退税账户|出口退税账户</v>
      </c>
      <c r="G70" t="str">
        <f t="shared" si="8"/>
        <v>出口退税账户|出口退税账户</v>
      </c>
      <c r="H70" s="100" t="str">
        <f>IF(ISERROR(VLOOKUP(E70,原型!E:E,1,0)),"新系统有原型没有","")</f>
        <v/>
      </c>
      <c r="K70" t="str">
        <f>IF(ISERROR(VLOOKUP(O70,原型!O:O,1,0)),"原型有新系统没有","")</f>
        <v/>
      </c>
      <c r="L70" t="str">
        <f>IF(ISERROR(VLOOKUP(P70,原型!P:P,1,0)),"原型有新系统没有","")</f>
        <v/>
      </c>
      <c r="M70" t="str">
        <f>IF(ISERROR(VLOOKUP(Q70,原型!Q:Q,1,0)),"原型有新系统没有","")</f>
        <v/>
      </c>
      <c r="N70" t="str">
        <f>IF(ISERROR(VLOOKUP(R70,原型!R:R,1,0)),"原型有新系统没有","")</f>
        <v/>
      </c>
      <c r="O70" t="s">
        <v>185</v>
      </c>
      <c r="P70" t="s">
        <v>206</v>
      </c>
      <c r="Q70" t="s">
        <v>206</v>
      </c>
      <c r="R70" s="37" t="s">
        <v>206</v>
      </c>
    </row>
    <row r="71" s="100" customFormat="1" spans="1:18">
      <c r="A71" t="s">
        <v>185</v>
      </c>
      <c r="B71" t="s">
        <v>207</v>
      </c>
      <c r="C71" t="s">
        <v>208</v>
      </c>
      <c r="D71" s="37" t="s">
        <v>208</v>
      </c>
      <c r="E71" s="100" t="str">
        <f t="shared" si="6"/>
        <v>其他押品|机器设备|通用设备|通用设备</v>
      </c>
      <c r="F71" t="str">
        <f t="shared" si="7"/>
        <v>机器设备|通用设备|通用设备</v>
      </c>
      <c r="G71" t="str">
        <f t="shared" si="8"/>
        <v>通用设备|通用设备</v>
      </c>
      <c r="H71" s="100" t="str">
        <f>IF(ISERROR(VLOOKUP(E71,原型!E:E,1,0)),"新系统有原型没有","")</f>
        <v/>
      </c>
      <c r="K71" t="str">
        <f>IF(ISERROR(VLOOKUP(O71,原型!O:O,1,0)),"原型有新系统没有","")</f>
        <v/>
      </c>
      <c r="L71" t="str">
        <f>IF(ISERROR(VLOOKUP(P71,原型!P:P,1,0)),"原型有新系统没有","")</f>
        <v/>
      </c>
      <c r="M71" t="str">
        <f>IF(ISERROR(VLOOKUP(Q71,原型!Q:Q,1,0)),"原型有新系统没有","")</f>
        <v/>
      </c>
      <c r="N71" t="str">
        <f>IF(ISERROR(VLOOKUP(R71,原型!R:R,1,0)),"原型有新系统没有","")</f>
        <v/>
      </c>
      <c r="O71" t="s">
        <v>185</v>
      </c>
      <c r="P71" t="s">
        <v>207</v>
      </c>
      <c r="Q71" t="s">
        <v>208</v>
      </c>
      <c r="R71" s="37" t="s">
        <v>208</v>
      </c>
    </row>
    <row r="72" s="100" customFormat="1" spans="1:18">
      <c r="A72" t="s">
        <v>185</v>
      </c>
      <c r="B72" t="s">
        <v>207</v>
      </c>
      <c r="C72" s="69" t="s">
        <v>209</v>
      </c>
      <c r="D72" s="85" t="s">
        <v>209</v>
      </c>
      <c r="E72" s="100" t="str">
        <f t="shared" si="6"/>
        <v>其他押品|机器设备|专用设备|专用设备</v>
      </c>
      <c r="F72" t="str">
        <f t="shared" si="7"/>
        <v>机器设备|专用设备|专用设备</v>
      </c>
      <c r="G72" t="str">
        <f t="shared" si="8"/>
        <v>专用设备|专用设备</v>
      </c>
      <c r="H72" s="100" t="str">
        <f>IF(ISERROR(VLOOKUP(E72,原型!E:E,1,0)),"新系统有原型没有","")</f>
        <v>新系统有原型没有</v>
      </c>
      <c r="K72" t="str">
        <f>IF(ISERROR(VLOOKUP(O72,原型!O:O,1,0)),"原型有新系统没有","")</f>
        <v/>
      </c>
      <c r="L72" t="str">
        <f>IF(ISERROR(VLOOKUP(P72,原型!P:P,1,0)),"原型有新系统没有","")</f>
        <v/>
      </c>
      <c r="M72" t="str">
        <f>IF(ISERROR(VLOOKUP(Q72,原型!Q:Q,1,0)),"原型有新系统没有","")</f>
        <v/>
      </c>
      <c r="N72" t="str">
        <f>IF(ISERROR(VLOOKUP(R72,原型!R:R,1,0)),"原型有新系统没有","")</f>
        <v>原型有新系统没有</v>
      </c>
      <c r="O72" t="s">
        <v>185</v>
      </c>
      <c r="P72" t="s">
        <v>207</v>
      </c>
      <c r="Q72" s="69" t="s">
        <v>209</v>
      </c>
      <c r="R72" s="85" t="s">
        <v>209</v>
      </c>
    </row>
    <row r="73" s="100" customFormat="1" spans="1:18">
      <c r="A73" t="s">
        <v>185</v>
      </c>
      <c r="B73" s="80" t="s">
        <v>212</v>
      </c>
      <c r="C73" s="80" t="s">
        <v>213</v>
      </c>
      <c r="D73" s="76" t="s">
        <v>298</v>
      </c>
      <c r="E73" s="100" t="str">
        <f t="shared" si="6"/>
        <v>其他押品|交通运输设备|车辆|载货汽车</v>
      </c>
      <c r="F73" t="str">
        <f t="shared" si="7"/>
        <v>交通运输设备|车辆|载货汽车</v>
      </c>
      <c r="G73" t="str">
        <f t="shared" si="8"/>
        <v>车辆|载货汽车</v>
      </c>
      <c r="H73" s="100" t="str">
        <f>IF(ISERROR(VLOOKUP(E73,原型!E:E,1,0)),"新系统有原型没有","")</f>
        <v>新系统有原型没有</v>
      </c>
      <c r="K73" t="str">
        <f>IF(ISERROR(VLOOKUP(O73,原型!O:O,1,0)),"原型有新系统没有","")</f>
        <v/>
      </c>
      <c r="L73" t="str">
        <f>IF(ISERROR(VLOOKUP(P73,原型!P:P,1,0)),"原型有新系统没有","")</f>
        <v/>
      </c>
      <c r="M73" t="str">
        <f>IF(ISERROR(VLOOKUP(Q73,原型!Q:Q,1,0)),"原型有新系统没有","")</f>
        <v/>
      </c>
      <c r="N73" t="str">
        <f>IF(ISERROR(VLOOKUP(R73,原型!R:R,1,0)),"原型有新系统没有","")</f>
        <v>原型有新系统没有</v>
      </c>
      <c r="O73" t="s">
        <v>185</v>
      </c>
      <c r="P73" s="80" t="s">
        <v>212</v>
      </c>
      <c r="Q73" s="80" t="s">
        <v>213</v>
      </c>
      <c r="R73" s="76" t="s">
        <v>298</v>
      </c>
    </row>
    <row r="74" s="100" customFormat="1" ht="28" spans="1:18">
      <c r="A74" s="53" t="s">
        <v>185</v>
      </c>
      <c r="B74" s="86" t="s">
        <v>212</v>
      </c>
      <c r="C74" s="87" t="s">
        <v>213</v>
      </c>
      <c r="D74" s="76" t="s">
        <v>299</v>
      </c>
      <c r="E74" s="100" t="str">
        <f t="shared" si="6"/>
        <v>其他押品|交通运输设备|车辆|大中型载客汽车</v>
      </c>
      <c r="F74" t="str">
        <f t="shared" si="7"/>
        <v>交通运输设备|车辆|大中型载客汽车</v>
      </c>
      <c r="G74" t="str">
        <f t="shared" si="8"/>
        <v>车辆|大中型载客汽车</v>
      </c>
      <c r="H74" s="100" t="str">
        <f>IF(ISERROR(VLOOKUP(E74,原型!E:E,1,0)),"新系统有原型没有","")</f>
        <v>新系统有原型没有</v>
      </c>
      <c r="K74" t="str">
        <f>IF(ISERROR(VLOOKUP(O74,原型!O:O,1,0)),"原型有新系统没有","")</f>
        <v/>
      </c>
      <c r="L74" t="str">
        <f>IF(ISERROR(VLOOKUP(P74,原型!P:P,1,0)),"原型有新系统没有","")</f>
        <v/>
      </c>
      <c r="M74" t="str">
        <f>IF(ISERROR(VLOOKUP(Q74,原型!Q:Q,1,0)),"原型有新系统没有","")</f>
        <v/>
      </c>
      <c r="N74" t="str">
        <f>IF(ISERROR(VLOOKUP(R74,原型!R:R,1,0)),"原型有新系统没有","")</f>
        <v>原型有新系统没有</v>
      </c>
      <c r="O74" s="53" t="s">
        <v>185</v>
      </c>
      <c r="P74" s="86" t="s">
        <v>212</v>
      </c>
      <c r="Q74" s="87" t="s">
        <v>213</v>
      </c>
      <c r="R74" s="76" t="s">
        <v>299</v>
      </c>
    </row>
    <row r="75" s="100" customFormat="1" ht="28" spans="1:18">
      <c r="A75" t="s">
        <v>185</v>
      </c>
      <c r="B75" t="s">
        <v>212</v>
      </c>
      <c r="C75" t="s">
        <v>213</v>
      </c>
      <c r="D75" s="76" t="s">
        <v>300</v>
      </c>
      <c r="E75" s="100" t="str">
        <f t="shared" si="6"/>
        <v>其他押品|交通运输设备|车辆|小型载客汽车</v>
      </c>
      <c r="F75" t="str">
        <f t="shared" si="7"/>
        <v>交通运输设备|车辆|小型载客汽车</v>
      </c>
      <c r="G75" t="str">
        <f t="shared" si="8"/>
        <v>车辆|小型载客汽车</v>
      </c>
      <c r="H75" s="100" t="str">
        <f>IF(ISERROR(VLOOKUP(E75,原型!E:E,1,0)),"新系统有原型没有","")</f>
        <v>新系统有原型没有</v>
      </c>
      <c r="K75" t="str">
        <f>IF(ISERROR(VLOOKUP(O75,原型!O:O,1,0)),"原型有新系统没有","")</f>
        <v/>
      </c>
      <c r="L75" t="str">
        <f>IF(ISERROR(VLOOKUP(P75,原型!P:P,1,0)),"原型有新系统没有","")</f>
        <v/>
      </c>
      <c r="M75" t="str">
        <f>IF(ISERROR(VLOOKUP(Q75,原型!Q:Q,1,0)),"原型有新系统没有","")</f>
        <v/>
      </c>
      <c r="N75" t="str">
        <f>IF(ISERROR(VLOOKUP(R75,原型!R:R,1,0)),"原型有新系统没有","")</f>
        <v>原型有新系统没有</v>
      </c>
      <c r="O75" t="s">
        <v>185</v>
      </c>
      <c r="P75" t="s">
        <v>212</v>
      </c>
      <c r="Q75" t="s">
        <v>213</v>
      </c>
      <c r="R75" s="76" t="s">
        <v>300</v>
      </c>
    </row>
    <row r="76" s="100" customFormat="1" spans="1:18">
      <c r="A76" t="s">
        <v>185</v>
      </c>
      <c r="B76" t="s">
        <v>212</v>
      </c>
      <c r="C76" t="s">
        <v>213</v>
      </c>
      <c r="D76" s="88" t="s">
        <v>301</v>
      </c>
      <c r="E76" s="100" t="str">
        <f t="shared" si="6"/>
        <v>其他押品|交通运输设备|车辆|牵引车</v>
      </c>
      <c r="F76" t="str">
        <f t="shared" si="7"/>
        <v>交通运输设备|车辆|牵引车</v>
      </c>
      <c r="G76" t="str">
        <f t="shared" si="8"/>
        <v>车辆|牵引车</v>
      </c>
      <c r="H76" s="100" t="str">
        <f>IF(ISERROR(VLOOKUP(E76,原型!E:E,1,0)),"新系统有原型没有","")</f>
        <v>新系统有原型没有</v>
      </c>
      <c r="K76" t="str">
        <f>IF(ISERROR(VLOOKUP(O76,原型!O:O,1,0)),"原型有新系统没有","")</f>
        <v/>
      </c>
      <c r="L76" t="str">
        <f>IF(ISERROR(VLOOKUP(P76,原型!P:P,1,0)),"原型有新系统没有","")</f>
        <v/>
      </c>
      <c r="M76" t="str">
        <f>IF(ISERROR(VLOOKUP(Q76,原型!Q:Q,1,0)),"原型有新系统没有","")</f>
        <v/>
      </c>
      <c r="N76" t="str">
        <f>IF(ISERROR(VLOOKUP(R76,原型!R:R,1,0)),"原型有新系统没有","")</f>
        <v>原型有新系统没有</v>
      </c>
      <c r="O76" t="s">
        <v>185</v>
      </c>
      <c r="P76" t="s">
        <v>212</v>
      </c>
      <c r="Q76" t="s">
        <v>213</v>
      </c>
      <c r="R76" s="88" t="s">
        <v>301</v>
      </c>
    </row>
    <row r="77" s="100" customFormat="1" spans="1:18">
      <c r="A77" t="s">
        <v>185</v>
      </c>
      <c r="B77" t="s">
        <v>212</v>
      </c>
      <c r="C77" s="89" t="s">
        <v>213</v>
      </c>
      <c r="D77" s="76" t="s">
        <v>302</v>
      </c>
      <c r="E77" s="100" t="str">
        <f t="shared" si="6"/>
        <v>其他押品|交通运输设备|车辆|挂车</v>
      </c>
      <c r="F77" t="str">
        <f t="shared" si="7"/>
        <v>交通运输设备|车辆|挂车</v>
      </c>
      <c r="G77" t="str">
        <f t="shared" si="8"/>
        <v>车辆|挂车</v>
      </c>
      <c r="H77" s="100" t="str">
        <f>IF(ISERROR(VLOOKUP(E77,原型!E:E,1,0)),"新系统有原型没有","")</f>
        <v>新系统有原型没有</v>
      </c>
      <c r="K77" t="str">
        <f>IF(ISERROR(VLOOKUP(O77,原型!O:O,1,0)),"原型有新系统没有","")</f>
        <v/>
      </c>
      <c r="L77" t="str">
        <f>IF(ISERROR(VLOOKUP(P77,原型!P:P,1,0)),"原型有新系统没有","")</f>
        <v/>
      </c>
      <c r="M77" t="str">
        <f>IF(ISERROR(VLOOKUP(Q77,原型!Q:Q,1,0)),"原型有新系统没有","")</f>
        <v/>
      </c>
      <c r="N77" t="str">
        <f>IF(ISERROR(VLOOKUP(R77,原型!R:R,1,0)),"原型有新系统没有","")</f>
        <v>原型有新系统没有</v>
      </c>
      <c r="O77" t="s">
        <v>185</v>
      </c>
      <c r="P77" t="s">
        <v>212</v>
      </c>
      <c r="Q77" s="89" t="s">
        <v>213</v>
      </c>
      <c r="R77" s="76" t="s">
        <v>302</v>
      </c>
    </row>
    <row r="78" s="100" customFormat="1" spans="1:18">
      <c r="A78" t="s">
        <v>185</v>
      </c>
      <c r="B78" t="s">
        <v>212</v>
      </c>
      <c r="C78" t="s">
        <v>213</v>
      </c>
      <c r="D78" s="76" t="s">
        <v>218</v>
      </c>
      <c r="E78" s="100" t="str">
        <f t="shared" si="6"/>
        <v>其他押品|交通运输设备|车辆|工程车</v>
      </c>
      <c r="F78" t="str">
        <f t="shared" si="7"/>
        <v>交通运输设备|车辆|工程车</v>
      </c>
      <c r="G78" t="str">
        <f t="shared" si="8"/>
        <v>车辆|工程车</v>
      </c>
      <c r="H78" s="100" t="str">
        <f>IF(ISERROR(VLOOKUP(E78,原型!E:E,1,0)),"新系统有原型没有","")</f>
        <v/>
      </c>
      <c r="K78" t="str">
        <f>IF(ISERROR(VLOOKUP(O78,原型!O:O,1,0)),"原型有新系统没有","")</f>
        <v/>
      </c>
      <c r="L78" t="str">
        <f>IF(ISERROR(VLOOKUP(P78,原型!P:P,1,0)),"原型有新系统没有","")</f>
        <v/>
      </c>
      <c r="M78" t="str">
        <f>IF(ISERROR(VLOOKUP(Q78,原型!Q:Q,1,0)),"原型有新系统没有","")</f>
        <v/>
      </c>
      <c r="N78" t="str">
        <f>IF(ISERROR(VLOOKUP(R78,原型!R:R,1,0)),"原型有新系统没有","")</f>
        <v/>
      </c>
      <c r="O78" t="s">
        <v>185</v>
      </c>
      <c r="P78" t="s">
        <v>212</v>
      </c>
      <c r="Q78" t="s">
        <v>213</v>
      </c>
      <c r="R78" s="76" t="s">
        <v>218</v>
      </c>
    </row>
    <row r="79" s="100" customFormat="1" ht="28" spans="1:18">
      <c r="A79" t="s">
        <v>185</v>
      </c>
      <c r="B79" t="s">
        <v>212</v>
      </c>
      <c r="C79" t="s">
        <v>213</v>
      </c>
      <c r="D79" s="76" t="s">
        <v>219</v>
      </c>
      <c r="E79" s="100" t="str">
        <f t="shared" si="6"/>
        <v>其他押品|交通运输设备|车辆|其他特种车辆</v>
      </c>
      <c r="F79" t="str">
        <f t="shared" si="7"/>
        <v>交通运输设备|车辆|其他特种车辆</v>
      </c>
      <c r="G79" t="str">
        <f t="shared" si="8"/>
        <v>车辆|其他特种车辆</v>
      </c>
      <c r="H79" s="100" t="str">
        <f>IF(ISERROR(VLOOKUP(E79,原型!E:E,1,0)),"新系统有原型没有","")</f>
        <v/>
      </c>
      <c r="K79" t="str">
        <f>IF(ISERROR(VLOOKUP(O79,原型!O:O,1,0)),"原型有新系统没有","")</f>
        <v/>
      </c>
      <c r="L79" t="str">
        <f>IF(ISERROR(VLOOKUP(P79,原型!P:P,1,0)),"原型有新系统没有","")</f>
        <v/>
      </c>
      <c r="M79" t="str">
        <f>IF(ISERROR(VLOOKUP(Q79,原型!Q:Q,1,0)),"原型有新系统没有","")</f>
        <v/>
      </c>
      <c r="N79" t="str">
        <f>IF(ISERROR(VLOOKUP(R79,原型!R:R,1,0)),"原型有新系统没有","")</f>
        <v/>
      </c>
      <c r="O79" t="s">
        <v>185</v>
      </c>
      <c r="P79" t="s">
        <v>212</v>
      </c>
      <c r="Q79" t="s">
        <v>213</v>
      </c>
      <c r="R79" s="76" t="s">
        <v>219</v>
      </c>
    </row>
    <row r="80" s="100" customFormat="1" spans="1:18">
      <c r="A80" t="s">
        <v>185</v>
      </c>
      <c r="B80" s="90" t="s">
        <v>212</v>
      </c>
      <c r="C80" s="91" t="s">
        <v>220</v>
      </c>
      <c r="D80" s="76" t="s">
        <v>303</v>
      </c>
      <c r="E80" s="100" t="str">
        <f t="shared" si="6"/>
        <v>其他押品|交通运输设备|船舶|散货船</v>
      </c>
      <c r="F80" t="str">
        <f t="shared" si="7"/>
        <v>交通运输设备|船舶|散货船</v>
      </c>
      <c r="G80" t="str">
        <f t="shared" si="8"/>
        <v>船舶|散货船</v>
      </c>
      <c r="H80" s="100" t="str">
        <f>IF(ISERROR(VLOOKUP(E80,原型!E:E,1,0)),"新系统有原型没有","")</f>
        <v>新系统有原型没有</v>
      </c>
      <c r="K80" t="str">
        <f>IF(ISERROR(VLOOKUP(O80,原型!O:O,1,0)),"原型有新系统没有","")</f>
        <v/>
      </c>
      <c r="L80" t="str">
        <f>IF(ISERROR(VLOOKUP(P80,原型!P:P,1,0)),"原型有新系统没有","")</f>
        <v/>
      </c>
      <c r="M80" t="str">
        <f>IF(ISERROR(VLOOKUP(Q80,原型!Q:Q,1,0)),"原型有新系统没有","")</f>
        <v/>
      </c>
      <c r="N80" t="str">
        <f>IF(ISERROR(VLOOKUP(R80,原型!R:R,1,0)),"原型有新系统没有","")</f>
        <v>原型有新系统没有</v>
      </c>
      <c r="O80" t="s">
        <v>185</v>
      </c>
      <c r="P80" s="90" t="s">
        <v>212</v>
      </c>
      <c r="Q80" s="91" t="s">
        <v>220</v>
      </c>
      <c r="R80" s="76" t="s">
        <v>303</v>
      </c>
    </row>
    <row r="81" s="100" customFormat="1" spans="1:18">
      <c r="A81" t="s">
        <v>185</v>
      </c>
      <c r="B81" t="s">
        <v>212</v>
      </c>
      <c r="C81" t="s">
        <v>220</v>
      </c>
      <c r="D81" s="76" t="s">
        <v>304</v>
      </c>
      <c r="E81" s="100" t="str">
        <f t="shared" si="6"/>
        <v>其他押品|交通运输设备|船舶|集散箱船</v>
      </c>
      <c r="F81" t="str">
        <f t="shared" si="7"/>
        <v>交通运输设备|船舶|集散箱船</v>
      </c>
      <c r="G81" t="str">
        <f t="shared" si="8"/>
        <v>船舶|集散箱船</v>
      </c>
      <c r="H81" s="100" t="str">
        <f>IF(ISERROR(VLOOKUP(E81,原型!E:E,1,0)),"新系统有原型没有","")</f>
        <v>新系统有原型没有</v>
      </c>
      <c r="K81" t="str">
        <f>IF(ISERROR(VLOOKUP(O81,原型!O:O,1,0)),"原型有新系统没有","")</f>
        <v/>
      </c>
      <c r="L81" t="str">
        <f>IF(ISERROR(VLOOKUP(P81,原型!P:P,1,0)),"原型有新系统没有","")</f>
        <v/>
      </c>
      <c r="M81" t="str">
        <f>IF(ISERROR(VLOOKUP(Q81,原型!Q:Q,1,0)),"原型有新系统没有","")</f>
        <v/>
      </c>
      <c r="N81" t="str">
        <f>IF(ISERROR(VLOOKUP(R81,原型!R:R,1,0)),"原型有新系统没有","")</f>
        <v>原型有新系统没有</v>
      </c>
      <c r="O81" t="s">
        <v>185</v>
      </c>
      <c r="P81" t="s">
        <v>212</v>
      </c>
      <c r="Q81" t="s">
        <v>220</v>
      </c>
      <c r="R81" s="76" t="s">
        <v>304</v>
      </c>
    </row>
    <row r="82" s="100" customFormat="1" spans="1:18">
      <c r="A82" t="s">
        <v>185</v>
      </c>
      <c r="B82" t="s">
        <v>212</v>
      </c>
      <c r="C82" t="s">
        <v>220</v>
      </c>
      <c r="D82" s="76" t="s">
        <v>305</v>
      </c>
      <c r="E82" s="100" t="str">
        <f t="shared" si="6"/>
        <v>其他押品|交通运输设备|船舶|油船</v>
      </c>
      <c r="F82" t="str">
        <f t="shared" si="7"/>
        <v>交通运输设备|船舶|油船</v>
      </c>
      <c r="G82" t="str">
        <f t="shared" si="8"/>
        <v>船舶|油船</v>
      </c>
      <c r="H82" s="100" t="str">
        <f>IF(ISERROR(VLOOKUP(E82,原型!E:E,1,0)),"新系统有原型没有","")</f>
        <v>新系统有原型没有</v>
      </c>
      <c r="K82" t="str">
        <f>IF(ISERROR(VLOOKUP(O82,原型!O:O,1,0)),"原型有新系统没有","")</f>
        <v/>
      </c>
      <c r="L82" t="str">
        <f>IF(ISERROR(VLOOKUP(P82,原型!P:P,1,0)),"原型有新系统没有","")</f>
        <v/>
      </c>
      <c r="M82" t="str">
        <f>IF(ISERROR(VLOOKUP(Q82,原型!Q:Q,1,0)),"原型有新系统没有","")</f>
        <v/>
      </c>
      <c r="N82" t="str">
        <f>IF(ISERROR(VLOOKUP(R82,原型!R:R,1,0)),"原型有新系统没有","")</f>
        <v>原型有新系统没有</v>
      </c>
      <c r="O82" t="s">
        <v>185</v>
      </c>
      <c r="P82" t="s">
        <v>212</v>
      </c>
      <c r="Q82" t="s">
        <v>220</v>
      </c>
      <c r="R82" s="76" t="s">
        <v>305</v>
      </c>
    </row>
    <row r="83" s="100" customFormat="1" spans="1:18">
      <c r="A83" t="s">
        <v>185</v>
      </c>
      <c r="B83" t="s">
        <v>212</v>
      </c>
      <c r="C83" s="91" t="s">
        <v>220</v>
      </c>
      <c r="D83" s="76" t="s">
        <v>306</v>
      </c>
      <c r="E83" s="100" t="str">
        <f t="shared" si="6"/>
        <v>其他押品|交通运输设备|船舶|多用途船</v>
      </c>
      <c r="F83" t="str">
        <f t="shared" si="7"/>
        <v>交通运输设备|船舶|多用途船</v>
      </c>
      <c r="G83" t="str">
        <f t="shared" si="8"/>
        <v>船舶|多用途船</v>
      </c>
      <c r="H83" s="100" t="str">
        <f>IF(ISERROR(VLOOKUP(E83,原型!E:E,1,0)),"新系统有原型没有","")</f>
        <v>新系统有原型没有</v>
      </c>
      <c r="K83" t="str">
        <f>IF(ISERROR(VLOOKUP(O83,原型!O:O,1,0)),"原型有新系统没有","")</f>
        <v/>
      </c>
      <c r="L83" t="str">
        <f>IF(ISERROR(VLOOKUP(P83,原型!P:P,1,0)),"原型有新系统没有","")</f>
        <v/>
      </c>
      <c r="M83" t="str">
        <f>IF(ISERROR(VLOOKUP(Q83,原型!Q:Q,1,0)),"原型有新系统没有","")</f>
        <v/>
      </c>
      <c r="N83" t="str">
        <f>IF(ISERROR(VLOOKUP(R83,原型!R:R,1,0)),"原型有新系统没有","")</f>
        <v>原型有新系统没有</v>
      </c>
      <c r="O83" t="s">
        <v>185</v>
      </c>
      <c r="P83" t="s">
        <v>212</v>
      </c>
      <c r="Q83" s="91" t="s">
        <v>220</v>
      </c>
      <c r="R83" s="76" t="s">
        <v>306</v>
      </c>
    </row>
    <row r="84" s="100" customFormat="1" spans="1:18">
      <c r="A84" t="s">
        <v>185</v>
      </c>
      <c r="B84" t="s">
        <v>212</v>
      </c>
      <c r="C84" t="s">
        <v>220</v>
      </c>
      <c r="D84" s="76" t="s">
        <v>307</v>
      </c>
      <c r="E84" s="100" t="str">
        <f t="shared" si="6"/>
        <v>其他押品|交通运输设备|船舶|海工船</v>
      </c>
      <c r="F84" t="str">
        <f t="shared" si="7"/>
        <v>交通运输设备|船舶|海工船</v>
      </c>
      <c r="G84" t="str">
        <f t="shared" si="8"/>
        <v>船舶|海工船</v>
      </c>
      <c r="H84" s="100" t="str">
        <f>IF(ISERROR(VLOOKUP(E84,原型!E:E,1,0)),"新系统有原型没有","")</f>
        <v>新系统有原型没有</v>
      </c>
      <c r="K84" t="str">
        <f>IF(ISERROR(VLOOKUP(O84,原型!O:O,1,0)),"原型有新系统没有","")</f>
        <v/>
      </c>
      <c r="L84" t="str">
        <f>IF(ISERROR(VLOOKUP(P84,原型!P:P,1,0)),"原型有新系统没有","")</f>
        <v/>
      </c>
      <c r="M84" t="str">
        <f>IF(ISERROR(VLOOKUP(Q84,原型!Q:Q,1,0)),"原型有新系统没有","")</f>
        <v/>
      </c>
      <c r="N84" t="str">
        <f>IF(ISERROR(VLOOKUP(R84,原型!R:R,1,0)),"原型有新系统没有","")</f>
        <v>原型有新系统没有</v>
      </c>
      <c r="O84" t="s">
        <v>185</v>
      </c>
      <c r="P84" t="s">
        <v>212</v>
      </c>
      <c r="Q84" t="s">
        <v>220</v>
      </c>
      <c r="R84" s="76" t="s">
        <v>307</v>
      </c>
    </row>
    <row r="85" s="100" customFormat="1" spans="1:18">
      <c r="A85" t="s">
        <v>185</v>
      </c>
      <c r="B85" t="s">
        <v>212</v>
      </c>
      <c r="C85" t="s">
        <v>220</v>
      </c>
      <c r="D85" s="76" t="s">
        <v>308</v>
      </c>
      <c r="E85" s="100" t="str">
        <f t="shared" si="6"/>
        <v>其他押品|交通运输设备|船舶|拖船</v>
      </c>
      <c r="F85" t="str">
        <f t="shared" si="7"/>
        <v>交通运输设备|船舶|拖船</v>
      </c>
      <c r="G85" t="str">
        <f t="shared" si="8"/>
        <v>船舶|拖船</v>
      </c>
      <c r="H85" s="100" t="str">
        <f>IF(ISERROR(VLOOKUP(E85,原型!E:E,1,0)),"新系统有原型没有","")</f>
        <v>新系统有原型没有</v>
      </c>
      <c r="K85" t="str">
        <f>IF(ISERROR(VLOOKUP(O85,原型!O:O,1,0)),"原型有新系统没有","")</f>
        <v/>
      </c>
      <c r="L85" t="str">
        <f>IF(ISERROR(VLOOKUP(P85,原型!P:P,1,0)),"原型有新系统没有","")</f>
        <v/>
      </c>
      <c r="M85" t="str">
        <f>IF(ISERROR(VLOOKUP(Q85,原型!Q:Q,1,0)),"原型有新系统没有","")</f>
        <v/>
      </c>
      <c r="N85" t="str">
        <f>IF(ISERROR(VLOOKUP(R85,原型!R:R,1,0)),"原型有新系统没有","")</f>
        <v>原型有新系统没有</v>
      </c>
      <c r="O85" t="s">
        <v>185</v>
      </c>
      <c r="P85" t="s">
        <v>212</v>
      </c>
      <c r="Q85" t="s">
        <v>220</v>
      </c>
      <c r="R85" s="76" t="s">
        <v>308</v>
      </c>
    </row>
    <row r="86" s="100" customFormat="1" spans="1:18">
      <c r="A86" t="s">
        <v>185</v>
      </c>
      <c r="B86" t="s">
        <v>212</v>
      </c>
      <c r="C86" s="80" t="s">
        <v>220</v>
      </c>
      <c r="D86" s="76" t="s">
        <v>309</v>
      </c>
      <c r="E86" s="100" t="str">
        <f t="shared" si="6"/>
        <v>其他押品|交通运输设备|船舶|驳船</v>
      </c>
      <c r="F86" t="str">
        <f t="shared" si="7"/>
        <v>交通运输设备|船舶|驳船</v>
      </c>
      <c r="G86" t="str">
        <f t="shared" si="8"/>
        <v>船舶|驳船</v>
      </c>
      <c r="H86" s="100" t="str">
        <f>IF(ISERROR(VLOOKUP(E86,原型!E:E,1,0)),"新系统有原型没有","")</f>
        <v>新系统有原型没有</v>
      </c>
      <c r="K86" t="str">
        <f>IF(ISERROR(VLOOKUP(O86,原型!O:O,1,0)),"原型有新系统没有","")</f>
        <v/>
      </c>
      <c r="L86" t="str">
        <f>IF(ISERROR(VLOOKUP(P86,原型!P:P,1,0)),"原型有新系统没有","")</f>
        <v/>
      </c>
      <c r="M86" t="str">
        <f>IF(ISERROR(VLOOKUP(Q86,原型!Q:Q,1,0)),"原型有新系统没有","")</f>
        <v/>
      </c>
      <c r="N86" t="str">
        <f>IF(ISERROR(VLOOKUP(R86,原型!R:R,1,0)),"原型有新系统没有","")</f>
        <v>原型有新系统没有</v>
      </c>
      <c r="O86" t="s">
        <v>185</v>
      </c>
      <c r="P86" t="s">
        <v>212</v>
      </c>
      <c r="Q86" s="80" t="s">
        <v>220</v>
      </c>
      <c r="R86" s="76" t="s">
        <v>309</v>
      </c>
    </row>
    <row r="87" s="100" customFormat="1" spans="1:18">
      <c r="A87" t="s">
        <v>185</v>
      </c>
      <c r="B87" t="s">
        <v>212</v>
      </c>
      <c r="C87" t="s">
        <v>220</v>
      </c>
      <c r="D87" s="102" t="s">
        <v>221</v>
      </c>
      <c r="E87" s="100" t="str">
        <f t="shared" si="6"/>
        <v>其他押品|交通运输设备|船舶|客运船舶</v>
      </c>
      <c r="F87" t="str">
        <f t="shared" si="7"/>
        <v>交通运输设备|船舶|客运船舶</v>
      </c>
      <c r="G87" t="str">
        <f t="shared" si="8"/>
        <v>船舶|客运船舶</v>
      </c>
      <c r="H87" s="100" t="str">
        <f>IF(ISERROR(VLOOKUP(E87,原型!E:E,1,0)),"新系统有原型没有","")</f>
        <v/>
      </c>
      <c r="K87" t="str">
        <f>IF(ISERROR(VLOOKUP(O87,原型!O:O,1,0)),"原型有新系统没有","")</f>
        <v/>
      </c>
      <c r="L87" t="str">
        <f>IF(ISERROR(VLOOKUP(P87,原型!P:P,1,0)),"原型有新系统没有","")</f>
        <v/>
      </c>
      <c r="M87" t="str">
        <f>IF(ISERROR(VLOOKUP(Q87,原型!Q:Q,1,0)),"原型有新系统没有","")</f>
        <v/>
      </c>
      <c r="N87" t="str">
        <f>IF(ISERROR(VLOOKUP(R87,原型!R:R,1,0)),"原型有新系统没有","")</f>
        <v/>
      </c>
      <c r="O87" t="s">
        <v>185</v>
      </c>
      <c r="P87" t="s">
        <v>212</v>
      </c>
      <c r="Q87" t="s">
        <v>220</v>
      </c>
      <c r="R87" s="76" t="s">
        <v>221</v>
      </c>
    </row>
    <row r="88" s="100" customFormat="1" spans="1:18">
      <c r="A88" t="s">
        <v>185</v>
      </c>
      <c r="B88" t="s">
        <v>212</v>
      </c>
      <c r="C88" t="s">
        <v>220</v>
      </c>
      <c r="D88" s="76" t="s">
        <v>310</v>
      </c>
      <c r="E88" s="100" t="str">
        <f t="shared" si="6"/>
        <v>其他押品|交通运输设备|船舶|渔船</v>
      </c>
      <c r="F88" t="str">
        <f t="shared" si="7"/>
        <v>交通运输设备|船舶|渔船</v>
      </c>
      <c r="G88" t="str">
        <f t="shared" si="8"/>
        <v>船舶|渔船</v>
      </c>
      <c r="H88" s="100" t="str">
        <f>IF(ISERROR(VLOOKUP(E88,原型!E:E,1,0)),"新系统有原型没有","")</f>
        <v>新系统有原型没有</v>
      </c>
      <c r="K88" t="str">
        <f>IF(ISERROR(VLOOKUP(O88,原型!O:O,1,0)),"原型有新系统没有","")</f>
        <v/>
      </c>
      <c r="L88" t="str">
        <f>IF(ISERROR(VLOOKUP(P88,原型!P:P,1,0)),"原型有新系统没有","")</f>
        <v/>
      </c>
      <c r="M88" t="str">
        <f>IF(ISERROR(VLOOKUP(Q88,原型!Q:Q,1,0)),"原型有新系统没有","")</f>
        <v/>
      </c>
      <c r="N88" t="str">
        <f>IF(ISERROR(VLOOKUP(R88,原型!R:R,1,0)),"原型有新系统没有","")</f>
        <v>原型有新系统没有</v>
      </c>
      <c r="O88" t="s">
        <v>185</v>
      </c>
      <c r="P88" t="s">
        <v>212</v>
      </c>
      <c r="Q88" t="s">
        <v>220</v>
      </c>
      <c r="R88" s="76" t="s">
        <v>310</v>
      </c>
    </row>
    <row r="89" s="100" customFormat="1" ht="28" spans="1:18">
      <c r="A89" t="s">
        <v>185</v>
      </c>
      <c r="B89" s="64" t="s">
        <v>212</v>
      </c>
      <c r="C89" s="64" t="s">
        <v>220</v>
      </c>
      <c r="D89" s="56" t="s">
        <v>223</v>
      </c>
      <c r="E89" s="100" t="str">
        <f t="shared" si="6"/>
        <v>其他押品|交通运输设备|船舶|其他类型船舶</v>
      </c>
      <c r="F89" t="str">
        <f t="shared" si="7"/>
        <v>交通运输设备|船舶|其他类型船舶</v>
      </c>
      <c r="G89" t="str">
        <f t="shared" si="8"/>
        <v>船舶|其他类型船舶</v>
      </c>
      <c r="H89" s="100" t="str">
        <f>IF(ISERROR(VLOOKUP(E89,原型!E:E,1,0)),"新系统有原型没有","")</f>
        <v/>
      </c>
      <c r="K89" t="str">
        <f>IF(ISERROR(VLOOKUP(O89,原型!O:O,1,0)),"原型有新系统没有","")</f>
        <v/>
      </c>
      <c r="L89" t="str">
        <f>IF(ISERROR(VLOOKUP(P89,原型!P:P,1,0)),"原型有新系统没有","")</f>
        <v/>
      </c>
      <c r="M89" t="str">
        <f>IF(ISERROR(VLOOKUP(Q89,原型!Q:Q,1,0)),"原型有新系统没有","")</f>
        <v/>
      </c>
      <c r="N89" t="str">
        <f>IF(ISERROR(VLOOKUP(R89,原型!R:R,1,0)),"原型有新系统没有","")</f>
        <v/>
      </c>
      <c r="O89" t="s">
        <v>185</v>
      </c>
      <c r="P89" s="64" t="s">
        <v>212</v>
      </c>
      <c r="Q89" s="64" t="s">
        <v>220</v>
      </c>
      <c r="R89" s="56" t="s">
        <v>223</v>
      </c>
    </row>
    <row r="90" s="100" customFormat="1" spans="1:18">
      <c r="A90" t="s">
        <v>185</v>
      </c>
      <c r="B90" s="83" t="s">
        <v>212</v>
      </c>
      <c r="C90" s="80" t="s">
        <v>224</v>
      </c>
      <c r="D90" s="56" t="s">
        <v>225</v>
      </c>
      <c r="E90" s="100" t="str">
        <f t="shared" si="6"/>
        <v>其他押品|交通运输设备|航空器|客运飞机</v>
      </c>
      <c r="F90" t="str">
        <f t="shared" si="7"/>
        <v>交通运输设备|航空器|客运飞机</v>
      </c>
      <c r="G90" t="str">
        <f t="shared" si="8"/>
        <v>航空器|客运飞机</v>
      </c>
      <c r="H90" s="100" t="str">
        <f>IF(ISERROR(VLOOKUP(E90,原型!E:E,1,0)),"新系统有原型没有","")</f>
        <v/>
      </c>
      <c r="K90" t="str">
        <f>IF(ISERROR(VLOOKUP(O90,原型!O:O,1,0)),"原型有新系统没有","")</f>
        <v/>
      </c>
      <c r="L90" t="str">
        <f>IF(ISERROR(VLOOKUP(P90,原型!P:P,1,0)),"原型有新系统没有","")</f>
        <v/>
      </c>
      <c r="M90" t="str">
        <f>IF(ISERROR(VLOOKUP(Q90,原型!Q:Q,1,0)),"原型有新系统没有","")</f>
        <v/>
      </c>
      <c r="N90" t="str">
        <f>IF(ISERROR(VLOOKUP(R90,原型!R:R,1,0)),"原型有新系统没有","")</f>
        <v/>
      </c>
      <c r="O90" t="s">
        <v>185</v>
      </c>
      <c r="P90" s="83" t="s">
        <v>212</v>
      </c>
      <c r="Q90" s="80" t="s">
        <v>224</v>
      </c>
      <c r="R90" s="56" t="s">
        <v>225</v>
      </c>
    </row>
    <row r="91" s="100" customFormat="1" spans="1:18">
      <c r="A91" t="s">
        <v>185</v>
      </c>
      <c r="B91" t="s">
        <v>212</v>
      </c>
      <c r="C91" s="78" t="s">
        <v>224</v>
      </c>
      <c r="D91" s="92" t="s">
        <v>226</v>
      </c>
      <c r="E91" s="100" t="str">
        <f t="shared" si="6"/>
        <v>其他押品|交通运输设备|航空器|货运飞机</v>
      </c>
      <c r="F91" t="str">
        <f t="shared" si="7"/>
        <v>交通运输设备|航空器|货运飞机</v>
      </c>
      <c r="G91" t="str">
        <f t="shared" si="8"/>
        <v>航空器|货运飞机</v>
      </c>
      <c r="H91" s="100" t="str">
        <f>IF(ISERROR(VLOOKUP(E91,原型!E:E,1,0)),"新系统有原型没有","")</f>
        <v/>
      </c>
      <c r="K91" t="str">
        <f>IF(ISERROR(VLOOKUP(O91,原型!O:O,1,0)),"原型有新系统没有","")</f>
        <v/>
      </c>
      <c r="L91" t="str">
        <f>IF(ISERROR(VLOOKUP(P91,原型!P:P,1,0)),"原型有新系统没有","")</f>
        <v/>
      </c>
      <c r="M91" t="str">
        <f>IF(ISERROR(VLOOKUP(Q91,原型!Q:Q,1,0)),"原型有新系统没有","")</f>
        <v/>
      </c>
      <c r="N91" t="str">
        <f>IF(ISERROR(VLOOKUP(R91,原型!R:R,1,0)),"原型有新系统没有","")</f>
        <v/>
      </c>
      <c r="O91" t="s">
        <v>185</v>
      </c>
      <c r="P91" t="s">
        <v>212</v>
      </c>
      <c r="Q91" s="78" t="s">
        <v>224</v>
      </c>
      <c r="R91" s="92" t="s">
        <v>226</v>
      </c>
    </row>
    <row r="92" s="100" customFormat="1" ht="28" spans="1:18">
      <c r="A92" t="s">
        <v>185</v>
      </c>
      <c r="B92" t="s">
        <v>212</v>
      </c>
      <c r="C92" t="s">
        <v>224</v>
      </c>
      <c r="D92" s="92" t="s">
        <v>227</v>
      </c>
      <c r="E92" s="100" t="str">
        <f t="shared" si="6"/>
        <v>其他押品|交通运输设备|航空器|飞机发动机</v>
      </c>
      <c r="F92" t="str">
        <f t="shared" si="7"/>
        <v>交通运输设备|航空器|飞机发动机</v>
      </c>
      <c r="G92" t="str">
        <f t="shared" si="8"/>
        <v>航空器|飞机发动机</v>
      </c>
      <c r="H92" s="100" t="str">
        <f>IF(ISERROR(VLOOKUP(E92,原型!E:E,1,0)),"新系统有原型没有","")</f>
        <v/>
      </c>
      <c r="K92" t="str">
        <f>IF(ISERROR(VLOOKUP(O92,原型!O:O,1,0)),"原型有新系统没有","")</f>
        <v/>
      </c>
      <c r="L92" t="str">
        <f>IF(ISERROR(VLOOKUP(P92,原型!P:P,1,0)),"原型有新系统没有","")</f>
        <v/>
      </c>
      <c r="M92" t="str">
        <f>IF(ISERROR(VLOOKUP(Q92,原型!Q:Q,1,0)),"原型有新系统没有","")</f>
        <v/>
      </c>
      <c r="N92" t="str">
        <f>IF(ISERROR(VLOOKUP(R92,原型!R:R,1,0)),"原型有新系统没有","")</f>
        <v/>
      </c>
      <c r="O92" t="s">
        <v>185</v>
      </c>
      <c r="P92" t="s">
        <v>212</v>
      </c>
      <c r="Q92" t="s">
        <v>224</v>
      </c>
      <c r="R92" s="92" t="s">
        <v>227</v>
      </c>
    </row>
    <row r="93" s="100" customFormat="1" ht="28" spans="1:18">
      <c r="A93" t="s">
        <v>185</v>
      </c>
      <c r="B93" s="90" t="s">
        <v>212</v>
      </c>
      <c r="C93" s="93" t="s">
        <v>224</v>
      </c>
      <c r="D93" s="92" t="s">
        <v>228</v>
      </c>
      <c r="E93" s="100" t="str">
        <f t="shared" si="6"/>
        <v>其他押品|交通运输设备|航空器|其他飞机配套设备</v>
      </c>
      <c r="F93" t="str">
        <f t="shared" si="7"/>
        <v>交通运输设备|航空器|其他飞机配套设备</v>
      </c>
      <c r="G93" t="str">
        <f t="shared" si="8"/>
        <v>航空器|其他飞机配套设备</v>
      </c>
      <c r="H93" s="100" t="str">
        <f>IF(ISERROR(VLOOKUP(E93,原型!E:E,1,0)),"新系统有原型没有","")</f>
        <v/>
      </c>
      <c r="K93" t="str">
        <f>IF(ISERROR(VLOOKUP(O93,原型!O:O,1,0)),"原型有新系统没有","")</f>
        <v/>
      </c>
      <c r="L93" t="str">
        <f>IF(ISERROR(VLOOKUP(P93,原型!P:P,1,0)),"原型有新系统没有","")</f>
        <v/>
      </c>
      <c r="M93" t="str">
        <f>IF(ISERROR(VLOOKUP(Q93,原型!Q:Q,1,0)),"原型有新系统没有","")</f>
        <v/>
      </c>
      <c r="N93" t="str">
        <f>IF(ISERROR(VLOOKUP(R93,原型!R:R,1,0)),"原型有新系统没有","")</f>
        <v/>
      </c>
      <c r="O93" t="s">
        <v>185</v>
      </c>
      <c r="P93" s="90" t="s">
        <v>212</v>
      </c>
      <c r="Q93" s="93" t="s">
        <v>224</v>
      </c>
      <c r="R93" s="92" t="s">
        <v>228</v>
      </c>
    </row>
    <row r="94" s="100" customFormat="1" ht="28" spans="1:18">
      <c r="A94" t="s">
        <v>185</v>
      </c>
      <c r="B94" t="s">
        <v>212</v>
      </c>
      <c r="C94" t="s">
        <v>224</v>
      </c>
      <c r="D94" s="102" t="s">
        <v>229</v>
      </c>
      <c r="E94" s="100" t="str">
        <f t="shared" si="6"/>
        <v>其他押品|交通运输设备|航空器|其它类型航空器</v>
      </c>
      <c r="F94" t="str">
        <f t="shared" si="7"/>
        <v>交通运输设备|航空器|其它类型航空器</v>
      </c>
      <c r="G94" t="str">
        <f t="shared" si="8"/>
        <v>航空器|其它类型航空器</v>
      </c>
      <c r="H94" s="100" t="str">
        <f>IF(ISERROR(VLOOKUP(E94,原型!E:E,1,0)),"新系统有原型没有","")</f>
        <v/>
      </c>
      <c r="K94" t="str">
        <f>IF(ISERROR(VLOOKUP(O94,原型!O:O,1,0)),"原型有新系统没有","")</f>
        <v/>
      </c>
      <c r="L94" t="str">
        <f>IF(ISERROR(VLOOKUP(P94,原型!P:P,1,0)),"原型有新系统没有","")</f>
        <v/>
      </c>
      <c r="M94" t="str">
        <f>IF(ISERROR(VLOOKUP(Q94,原型!Q:Q,1,0)),"原型有新系统没有","")</f>
        <v/>
      </c>
      <c r="N94" t="str">
        <f>IF(ISERROR(VLOOKUP(R94,原型!R:R,1,0)),"原型有新系统没有","")</f>
        <v/>
      </c>
      <c r="O94" t="s">
        <v>185</v>
      </c>
      <c r="P94" t="s">
        <v>212</v>
      </c>
      <c r="Q94" t="s">
        <v>224</v>
      </c>
      <c r="R94" s="92" t="s">
        <v>229</v>
      </c>
    </row>
    <row r="95" s="100" customFormat="1" spans="1:18">
      <c r="A95" t="s">
        <v>185</v>
      </c>
      <c r="B95" t="s">
        <v>212</v>
      </c>
      <c r="C95" t="s">
        <v>311</v>
      </c>
      <c r="D95" s="56" t="s">
        <v>312</v>
      </c>
      <c r="E95" s="100" t="str">
        <f t="shared" si="6"/>
        <v>其他押品|交通运输设备|在建船舶/航空器|在建船舶</v>
      </c>
      <c r="F95" t="str">
        <f t="shared" si="7"/>
        <v>交通运输设备|在建船舶/航空器|在建船舶</v>
      </c>
      <c r="G95" t="str">
        <f t="shared" si="8"/>
        <v>在建船舶/航空器|在建船舶</v>
      </c>
      <c r="H95" s="100" t="str">
        <f>IF(ISERROR(VLOOKUP(E95,原型!E:E,1,0)),"新系统有原型没有","")</f>
        <v>新系统有原型没有</v>
      </c>
      <c r="K95" t="str">
        <f>IF(ISERROR(VLOOKUP(O95,原型!O:O,1,0)),"原型有新系统没有","")</f>
        <v/>
      </c>
      <c r="L95" t="str">
        <f>IF(ISERROR(VLOOKUP(P95,原型!P:P,1,0)),"原型有新系统没有","")</f>
        <v/>
      </c>
      <c r="M95" t="str">
        <f>IF(ISERROR(VLOOKUP(Q95,原型!Q:Q,1,0)),"原型有新系统没有","")</f>
        <v>原型有新系统没有</v>
      </c>
      <c r="N95" t="str">
        <f>IF(ISERROR(VLOOKUP(R95,原型!R:R,1,0)),"原型有新系统没有","")</f>
        <v>原型有新系统没有</v>
      </c>
      <c r="O95" t="s">
        <v>185</v>
      </c>
      <c r="P95" t="s">
        <v>212</v>
      </c>
      <c r="Q95" t="s">
        <v>313</v>
      </c>
      <c r="R95" s="56" t="s">
        <v>312</v>
      </c>
    </row>
    <row r="96" s="100" customFormat="1" ht="28" spans="1:18">
      <c r="A96" t="s">
        <v>185</v>
      </c>
      <c r="B96" t="s">
        <v>212</v>
      </c>
      <c r="C96" t="s">
        <v>311</v>
      </c>
      <c r="D96" s="56" t="s">
        <v>314</v>
      </c>
      <c r="E96" s="100" t="str">
        <f t="shared" si="6"/>
        <v>其他押品|交通运输设备|在建船舶/航空器|在建航空器</v>
      </c>
      <c r="F96" t="str">
        <f t="shared" si="7"/>
        <v>交通运输设备|在建船舶/航空器|在建航空器</v>
      </c>
      <c r="G96" t="str">
        <f t="shared" si="8"/>
        <v>在建船舶/航空器|在建航空器</v>
      </c>
      <c r="H96" s="100" t="str">
        <f>IF(ISERROR(VLOOKUP(E96,原型!E:E,1,0)),"新系统有原型没有","")</f>
        <v>新系统有原型没有</v>
      </c>
      <c r="K96" t="str">
        <f>IF(ISERROR(VLOOKUP(O96,原型!O:O,1,0)),"原型有新系统没有","")</f>
        <v/>
      </c>
      <c r="L96" t="str">
        <f>IF(ISERROR(VLOOKUP(P96,原型!P:P,1,0)),"原型有新系统没有","")</f>
        <v/>
      </c>
      <c r="M96" t="str">
        <f>IF(ISERROR(VLOOKUP(Q96,原型!Q:Q,1,0)),"原型有新系统没有","")</f>
        <v>原型有新系统没有</v>
      </c>
      <c r="N96" t="str">
        <f>IF(ISERROR(VLOOKUP(R96,原型!R:R,1,0)),"原型有新系统没有","")</f>
        <v>原型有新系统没有</v>
      </c>
      <c r="O96" t="s">
        <v>185</v>
      </c>
      <c r="P96" t="s">
        <v>212</v>
      </c>
      <c r="Q96" t="s">
        <v>313</v>
      </c>
      <c r="R96" s="56" t="s">
        <v>314</v>
      </c>
    </row>
    <row r="97" s="100" customFormat="1" spans="1:18">
      <c r="A97" t="s">
        <v>185</v>
      </c>
      <c r="B97" t="s">
        <v>231</v>
      </c>
      <c r="C97" t="s">
        <v>232</v>
      </c>
      <c r="D97" s="56" t="s">
        <v>233</v>
      </c>
      <c r="E97" s="100" t="str">
        <f t="shared" si="6"/>
        <v>其他押品|资源资产|矿业权|采矿权</v>
      </c>
      <c r="F97" t="str">
        <f t="shared" si="7"/>
        <v>资源资产|矿业权|采矿权</v>
      </c>
      <c r="G97" t="str">
        <f t="shared" si="8"/>
        <v>矿业权|采矿权</v>
      </c>
      <c r="H97" s="100" t="str">
        <f>IF(ISERROR(VLOOKUP(E97,原型!E:E,1,0)),"新系统有原型没有","")</f>
        <v/>
      </c>
      <c r="K97" t="str">
        <f>IF(ISERROR(VLOOKUP(O97,原型!O:O,1,0)),"原型有新系统没有","")</f>
        <v/>
      </c>
      <c r="L97" t="str">
        <f>IF(ISERROR(VLOOKUP(P97,原型!P:P,1,0)),"原型有新系统没有","")</f>
        <v/>
      </c>
      <c r="M97" t="str">
        <f>IF(ISERROR(VLOOKUP(Q97,原型!Q:Q,1,0)),"原型有新系统没有","")</f>
        <v/>
      </c>
      <c r="N97" t="str">
        <f>IF(ISERROR(VLOOKUP(R97,原型!R:R,1,0)),"原型有新系统没有","")</f>
        <v/>
      </c>
      <c r="O97" t="s">
        <v>185</v>
      </c>
      <c r="P97" t="s">
        <v>231</v>
      </c>
      <c r="Q97" t="s">
        <v>232</v>
      </c>
      <c r="R97" s="56" t="s">
        <v>233</v>
      </c>
    </row>
    <row r="98" s="100" customFormat="1" ht="41" spans="1:18">
      <c r="A98" t="s">
        <v>185</v>
      </c>
      <c r="B98" t="s">
        <v>231</v>
      </c>
      <c r="C98" t="s">
        <v>235</v>
      </c>
      <c r="D98" s="102" t="s">
        <v>236</v>
      </c>
      <c r="E98" s="100" t="str">
        <f t="shared" ref="E98:E115" si="9">CLEAN(A98)&amp;"|"&amp;CLEAN(B98)&amp;"|"&amp;CLEAN(C98)&amp;"|"&amp;CLEAN(D98)</f>
        <v>其他押品|资源资产|林权|森林和林木所有权与使用权</v>
      </c>
      <c r="F98" t="str">
        <f t="shared" ref="F98:F115" si="10">CLEAN(B98)&amp;"|"&amp;CLEAN(C98)&amp;"|"&amp;CLEAN(D98)</f>
        <v>资源资产|林权|森林和林木所有权与使用权</v>
      </c>
      <c r="G98" t="str">
        <f t="shared" ref="G98:G115" si="11">CLEAN(C98)&amp;"|"&amp;CLEAN(D98)</f>
        <v>林权|森林和林木所有权与使用权</v>
      </c>
      <c r="H98" s="100" t="str">
        <f>IF(ISERROR(VLOOKUP(E98,原型!E:E,1,0)),"新系统有原型没有","")</f>
        <v/>
      </c>
      <c r="K98" t="str">
        <f>IF(ISERROR(VLOOKUP(O98,原型!O:O,1,0)),"原型有新系统没有","")</f>
        <v/>
      </c>
      <c r="L98" t="str">
        <f>IF(ISERROR(VLOOKUP(P98,原型!P:P,1,0)),"原型有新系统没有","")</f>
        <v/>
      </c>
      <c r="M98" t="str">
        <f>IF(ISERROR(VLOOKUP(Q98,原型!Q:Q,1,0)),"原型有新系统没有","")</f>
        <v/>
      </c>
      <c r="N98" t="str">
        <f>IF(ISERROR(VLOOKUP(R98,原型!R:R,1,0)),"原型有新系统没有","")</f>
        <v/>
      </c>
      <c r="O98" t="s">
        <v>185</v>
      </c>
      <c r="P98" t="s">
        <v>231</v>
      </c>
      <c r="Q98" t="s">
        <v>235</v>
      </c>
      <c r="R98" s="56" t="s">
        <v>236</v>
      </c>
    </row>
    <row r="99" s="100" customFormat="1" ht="28" spans="1:18">
      <c r="A99" t="s">
        <v>185</v>
      </c>
      <c r="B99" t="s">
        <v>231</v>
      </c>
      <c r="C99" s="86" t="s">
        <v>235</v>
      </c>
      <c r="D99" s="92" t="s">
        <v>237</v>
      </c>
      <c r="E99" s="100" t="str">
        <f t="shared" si="9"/>
        <v>其他押品|资源资产|林权|林地使用权</v>
      </c>
      <c r="F99" t="str">
        <f t="shared" si="10"/>
        <v>资源资产|林权|林地使用权</v>
      </c>
      <c r="G99" t="str">
        <f t="shared" si="11"/>
        <v>林权|林地使用权</v>
      </c>
      <c r="H99" s="100" t="str">
        <f>IF(ISERROR(VLOOKUP(E99,原型!E:E,1,0)),"新系统有原型没有","")</f>
        <v/>
      </c>
      <c r="K99" t="str">
        <f>IF(ISERROR(VLOOKUP(O99,原型!O:O,1,0)),"原型有新系统没有","")</f>
        <v/>
      </c>
      <c r="L99" t="str">
        <f>IF(ISERROR(VLOOKUP(P99,原型!P:P,1,0)),"原型有新系统没有","")</f>
        <v/>
      </c>
      <c r="M99" t="str">
        <f>IF(ISERROR(VLOOKUP(Q99,原型!Q:Q,1,0)),"原型有新系统没有","")</f>
        <v/>
      </c>
      <c r="N99" t="str">
        <f>IF(ISERROR(VLOOKUP(R99,原型!R:R,1,0)),"原型有新系统没有","")</f>
        <v/>
      </c>
      <c r="O99" t="s">
        <v>185</v>
      </c>
      <c r="P99" t="s">
        <v>231</v>
      </c>
      <c r="Q99" s="86" t="s">
        <v>235</v>
      </c>
      <c r="R99" s="92" t="s">
        <v>237</v>
      </c>
    </row>
    <row r="100" s="100" customFormat="1" ht="28" spans="1:18">
      <c r="A100" t="s">
        <v>185</v>
      </c>
      <c r="B100" t="s">
        <v>231</v>
      </c>
      <c r="C100" t="s">
        <v>238</v>
      </c>
      <c r="D100" s="92" t="s">
        <v>238</v>
      </c>
      <c r="E100" s="100" t="str">
        <f t="shared" si="9"/>
        <v>其他押品|资源资产|海域使用权|海域使用权</v>
      </c>
      <c r="F100" t="str">
        <f t="shared" si="10"/>
        <v>资源资产|海域使用权|海域使用权</v>
      </c>
      <c r="G100" t="str">
        <f t="shared" si="11"/>
        <v>海域使用权|海域使用权</v>
      </c>
      <c r="H100" s="100" t="str">
        <f>IF(ISERROR(VLOOKUP(E100,原型!E:E,1,0)),"新系统有原型没有","")</f>
        <v/>
      </c>
      <c r="K100" t="str">
        <f>IF(ISERROR(VLOOKUP(O100,原型!O:O,1,0)),"原型有新系统没有","")</f>
        <v/>
      </c>
      <c r="L100" t="str">
        <f>IF(ISERROR(VLOOKUP(P100,原型!P:P,1,0)),"原型有新系统没有","")</f>
        <v/>
      </c>
      <c r="M100" t="str">
        <f>IF(ISERROR(VLOOKUP(Q100,原型!Q:Q,1,0)),"原型有新系统没有","")</f>
        <v/>
      </c>
      <c r="N100" t="str">
        <f>IF(ISERROR(VLOOKUP(R100,原型!R:R,1,0)),"原型有新系统没有","")</f>
        <v/>
      </c>
      <c r="O100" t="s">
        <v>185</v>
      </c>
      <c r="P100" t="s">
        <v>231</v>
      </c>
      <c r="Q100" t="s">
        <v>238</v>
      </c>
      <c r="R100" s="92" t="s">
        <v>238</v>
      </c>
    </row>
    <row r="101" s="100" customFormat="1" ht="28" spans="1:18">
      <c r="A101" t="s">
        <v>185</v>
      </c>
      <c r="B101" t="s">
        <v>231</v>
      </c>
      <c r="C101" t="s">
        <v>239</v>
      </c>
      <c r="D101" s="102" t="s">
        <v>239</v>
      </c>
      <c r="E101" s="100" t="str">
        <f t="shared" si="9"/>
        <v>其他押品|资源资产|其他资源资产|其他资源资产</v>
      </c>
      <c r="F101" t="str">
        <f t="shared" si="10"/>
        <v>资源资产|其他资源资产|其他资源资产</v>
      </c>
      <c r="G101" t="str">
        <f t="shared" si="11"/>
        <v>其他资源资产|其他资源资产</v>
      </c>
      <c r="H101" s="100" t="str">
        <f>IF(ISERROR(VLOOKUP(E101,原型!E:E,1,0)),"新系统有原型没有","")</f>
        <v/>
      </c>
      <c r="K101" t="str">
        <f>IF(ISERROR(VLOOKUP(O101,原型!O:O,1,0)),"原型有新系统没有","")</f>
        <v/>
      </c>
      <c r="L101" t="str">
        <f>IF(ISERROR(VLOOKUP(P101,原型!P:P,1,0)),"原型有新系统没有","")</f>
        <v/>
      </c>
      <c r="M101" t="str">
        <f>IF(ISERROR(VLOOKUP(Q101,原型!Q:Q,1,0)),"原型有新系统没有","")</f>
        <v/>
      </c>
      <c r="N101" t="str">
        <f>IF(ISERROR(VLOOKUP(R101,原型!R:R,1,0)),"原型有新系统没有","")</f>
        <v/>
      </c>
      <c r="O101" t="s">
        <v>185</v>
      </c>
      <c r="P101" t="s">
        <v>231</v>
      </c>
      <c r="Q101" t="s">
        <v>239</v>
      </c>
      <c r="R101" s="56" t="s">
        <v>239</v>
      </c>
    </row>
    <row r="102" s="100" customFormat="1" ht="28" spans="1:18">
      <c r="A102" t="s">
        <v>185</v>
      </c>
      <c r="B102" t="s">
        <v>242</v>
      </c>
      <c r="C102" s="94" t="s">
        <v>243</v>
      </c>
      <c r="D102" s="56" t="s">
        <v>243</v>
      </c>
      <c r="E102" s="100" t="str">
        <f t="shared" si="9"/>
        <v>其他押品|可转让知识产权中的财产权|注册商标专用权|注册商标专用权</v>
      </c>
      <c r="F102" t="str">
        <f t="shared" si="10"/>
        <v>可转让知识产权中的财产权|注册商标专用权|注册商标专用权</v>
      </c>
      <c r="G102" t="str">
        <f t="shared" si="11"/>
        <v>注册商标专用权|注册商标专用权</v>
      </c>
      <c r="H102" s="100" t="str">
        <f>IF(ISERROR(VLOOKUP(E102,原型!E:E,1,0)),"新系统有原型没有","")</f>
        <v/>
      </c>
      <c r="K102" t="str">
        <f>IF(ISERROR(VLOOKUP(O102,原型!O:O,1,0)),"原型有新系统没有","")</f>
        <v/>
      </c>
      <c r="L102" t="str">
        <f>IF(ISERROR(VLOOKUP(P102,原型!P:P,1,0)),"原型有新系统没有","")</f>
        <v/>
      </c>
      <c r="M102" t="str">
        <f>IF(ISERROR(VLOOKUP(Q102,原型!Q:Q,1,0)),"原型有新系统没有","")</f>
        <v/>
      </c>
      <c r="N102" t="str">
        <f>IF(ISERROR(VLOOKUP(R102,原型!R:R,1,0)),"原型有新系统没有","")</f>
        <v/>
      </c>
      <c r="O102" t="s">
        <v>185</v>
      </c>
      <c r="P102" t="s">
        <v>242</v>
      </c>
      <c r="Q102" s="94" t="s">
        <v>243</v>
      </c>
      <c r="R102" s="56" t="s">
        <v>243</v>
      </c>
    </row>
    <row r="103" s="100" customFormat="1" spans="1:18">
      <c r="A103" t="s">
        <v>185</v>
      </c>
      <c r="B103" t="s">
        <v>242</v>
      </c>
      <c r="C103" t="s">
        <v>244</v>
      </c>
      <c r="D103" s="56" t="s">
        <v>244</v>
      </c>
      <c r="E103" s="100" t="str">
        <f t="shared" si="9"/>
        <v>其他押品|可转让知识产权中的财产权|专利权|专利权</v>
      </c>
      <c r="F103" t="str">
        <f t="shared" si="10"/>
        <v>可转让知识产权中的财产权|专利权|专利权</v>
      </c>
      <c r="G103" t="str">
        <f t="shared" si="11"/>
        <v>专利权|专利权</v>
      </c>
      <c r="H103" s="100" t="str">
        <f>IF(ISERROR(VLOOKUP(E103,原型!E:E,1,0)),"新系统有原型没有","")</f>
        <v/>
      </c>
      <c r="K103" t="str">
        <f>IF(ISERROR(VLOOKUP(O103,原型!O:O,1,0)),"原型有新系统没有","")</f>
        <v/>
      </c>
      <c r="L103" t="str">
        <f>IF(ISERROR(VLOOKUP(P103,原型!P:P,1,0)),"原型有新系统没有","")</f>
        <v/>
      </c>
      <c r="M103" t="str">
        <f>IF(ISERROR(VLOOKUP(Q103,原型!Q:Q,1,0)),"原型有新系统没有","")</f>
        <v/>
      </c>
      <c r="N103" t="str">
        <f>IF(ISERROR(VLOOKUP(R103,原型!R:R,1,0)),"原型有新系统没有","")</f>
        <v/>
      </c>
      <c r="O103" t="s">
        <v>185</v>
      </c>
      <c r="P103" t="s">
        <v>242</v>
      </c>
      <c r="Q103" t="s">
        <v>244</v>
      </c>
      <c r="R103" s="56" t="s">
        <v>244</v>
      </c>
    </row>
    <row r="104" s="100" customFormat="1" spans="1:18">
      <c r="A104" t="s">
        <v>185</v>
      </c>
      <c r="B104" t="s">
        <v>242</v>
      </c>
      <c r="C104" t="s">
        <v>245</v>
      </c>
      <c r="D104" s="56" t="s">
        <v>245</v>
      </c>
      <c r="E104" s="100" t="str">
        <f t="shared" si="9"/>
        <v>其他押品|可转让知识产权中的财产权|著作权|著作权</v>
      </c>
      <c r="F104" t="str">
        <f t="shared" si="10"/>
        <v>可转让知识产权中的财产权|著作权|著作权</v>
      </c>
      <c r="G104" t="str">
        <f t="shared" si="11"/>
        <v>著作权|著作权</v>
      </c>
      <c r="H104" s="100" t="str">
        <f>IF(ISERROR(VLOOKUP(E104,原型!E:E,1,0)),"新系统有原型没有","")</f>
        <v/>
      </c>
      <c r="K104" t="str">
        <f>IF(ISERROR(VLOOKUP(O104,原型!O:O,1,0)),"原型有新系统没有","")</f>
        <v/>
      </c>
      <c r="L104" t="str">
        <f>IF(ISERROR(VLOOKUP(P104,原型!P:P,1,0)),"原型有新系统没有","")</f>
        <v/>
      </c>
      <c r="M104" t="str">
        <f>IF(ISERROR(VLOOKUP(Q104,原型!Q:Q,1,0)),"原型有新系统没有","")</f>
        <v/>
      </c>
      <c r="N104" t="str">
        <f>IF(ISERROR(VLOOKUP(R104,原型!R:R,1,0)),"原型有新系统没有","")</f>
        <v/>
      </c>
      <c r="O104" t="s">
        <v>185</v>
      </c>
      <c r="P104" t="s">
        <v>242</v>
      </c>
      <c r="Q104" t="s">
        <v>245</v>
      </c>
      <c r="R104" s="56" t="s">
        <v>245</v>
      </c>
    </row>
    <row r="105" s="100" customFormat="1" spans="1:18">
      <c r="A105" t="s">
        <v>185</v>
      </c>
      <c r="B105" t="s">
        <v>247</v>
      </c>
      <c r="C105" t="s">
        <v>315</v>
      </c>
      <c r="D105" s="56" t="s">
        <v>315</v>
      </c>
      <c r="E105" s="100" t="str">
        <f t="shared" si="9"/>
        <v>其他押品|特殊建筑构造物|车位/车库|车位/车库</v>
      </c>
      <c r="F105" t="str">
        <f t="shared" si="10"/>
        <v>特殊建筑构造物|车位/车库|车位/车库</v>
      </c>
      <c r="G105" t="str">
        <f t="shared" si="11"/>
        <v>车位/车库|车位/车库</v>
      </c>
      <c r="H105" s="100" t="str">
        <f>IF(ISERROR(VLOOKUP(E105,原型!E:E,1,0)),"新系统有原型没有","")</f>
        <v>新系统有原型没有</v>
      </c>
      <c r="K105" t="str">
        <f>IF(ISERROR(VLOOKUP(O105,原型!O:O,1,0)),"原型有新系统没有","")</f>
        <v/>
      </c>
      <c r="L105" t="str">
        <f>IF(ISERROR(VLOOKUP(P105,原型!P:P,1,0)),"原型有新系统没有","")</f>
        <v/>
      </c>
      <c r="M105" t="str">
        <f>IF(ISERROR(VLOOKUP(Q105,原型!Q:Q,1,0)),"原型有新系统没有","")</f>
        <v/>
      </c>
      <c r="N105" t="str">
        <f>IF(ISERROR(VLOOKUP(R105,原型!R:R,1,0)),"原型有新系统没有","")</f>
        <v/>
      </c>
      <c r="O105" t="s">
        <v>185</v>
      </c>
      <c r="P105" t="s">
        <v>247</v>
      </c>
      <c r="Q105" t="s">
        <v>249</v>
      </c>
      <c r="R105" s="56" t="s">
        <v>249</v>
      </c>
    </row>
    <row r="106" s="100" customFormat="1" spans="1:18">
      <c r="A106" t="s">
        <v>185</v>
      </c>
      <c r="B106" t="s">
        <v>247</v>
      </c>
      <c r="C106" s="101" t="s">
        <v>250</v>
      </c>
      <c r="D106" s="101" t="s">
        <v>250</v>
      </c>
      <c r="E106" s="100" t="str">
        <f t="shared" si="9"/>
        <v>其他押品|特殊建筑构造物|加油（气）站|加油（气）站</v>
      </c>
      <c r="F106" t="str">
        <f t="shared" si="10"/>
        <v>特殊建筑构造物|加油（气）站|加油（气）站</v>
      </c>
      <c r="G106" t="str">
        <f t="shared" si="11"/>
        <v>加油（气）站|加油（气）站</v>
      </c>
      <c r="H106" s="100" t="str">
        <f>IF(ISERROR(VLOOKUP(E106,原型!E:E,1,0)),"新系统有原型没有","")</f>
        <v/>
      </c>
      <c r="K106" t="str">
        <f>IF(ISERROR(VLOOKUP(O106,原型!O:O,1,0)),"原型有新系统没有","")</f>
        <v/>
      </c>
      <c r="L106" t="str">
        <f>IF(ISERROR(VLOOKUP(P106,原型!P:P,1,0)),"原型有新系统没有","")</f>
        <v/>
      </c>
      <c r="M106" t="str">
        <f>IF(ISERROR(VLOOKUP(Q106,原型!Q:Q,1,0)),"原型有新系统没有","")</f>
        <v/>
      </c>
      <c r="N106" t="str">
        <f>IF(ISERROR(VLOOKUP(R106,原型!R:R,1,0)),"原型有新系统没有","")</f>
        <v/>
      </c>
      <c r="O106" t="s">
        <v>185</v>
      </c>
      <c r="P106" t="s">
        <v>247</v>
      </c>
      <c r="Q106" s="64" t="s">
        <v>251</v>
      </c>
      <c r="R106" s="64" t="s">
        <v>251</v>
      </c>
    </row>
    <row r="107" s="100" customFormat="1" spans="1:18">
      <c r="A107" t="s">
        <v>185</v>
      </c>
      <c r="B107" t="s">
        <v>247</v>
      </c>
      <c r="C107" s="67" t="s">
        <v>252</v>
      </c>
      <c r="D107" s="65" t="s">
        <v>252</v>
      </c>
      <c r="E107" s="100" t="str">
        <f t="shared" si="9"/>
        <v>其他押品|特殊建筑构造物|铁路|铁路</v>
      </c>
      <c r="F107" t="str">
        <f t="shared" si="10"/>
        <v>特殊建筑构造物|铁路|铁路</v>
      </c>
      <c r="G107" t="str">
        <f t="shared" si="11"/>
        <v>铁路|铁路</v>
      </c>
      <c r="H107" s="100" t="str">
        <f>IF(ISERROR(VLOOKUP(E107,原型!E:E,1,0)),"新系统有原型没有","")</f>
        <v/>
      </c>
      <c r="K107" t="str">
        <f>IF(ISERROR(VLOOKUP(O107,原型!O:O,1,0)),"原型有新系统没有","")</f>
        <v/>
      </c>
      <c r="L107" t="str">
        <f>IF(ISERROR(VLOOKUP(P107,原型!P:P,1,0)),"原型有新系统没有","")</f>
        <v/>
      </c>
      <c r="M107" t="str">
        <f>IF(ISERROR(VLOOKUP(Q107,原型!Q:Q,1,0)),"原型有新系统没有","")</f>
        <v/>
      </c>
      <c r="N107" t="str">
        <f>IF(ISERROR(VLOOKUP(R107,原型!R:R,1,0)),"原型有新系统没有","")</f>
        <v/>
      </c>
      <c r="O107" t="s">
        <v>185</v>
      </c>
      <c r="P107" t="s">
        <v>247</v>
      </c>
      <c r="Q107" s="67" t="s">
        <v>252</v>
      </c>
      <c r="R107" s="65" t="s">
        <v>252</v>
      </c>
    </row>
    <row r="108" s="100" customFormat="1" spans="1:18">
      <c r="A108" t="s">
        <v>185</v>
      </c>
      <c r="B108" s="90" t="s">
        <v>247</v>
      </c>
      <c r="C108" s="80" t="s">
        <v>253</v>
      </c>
      <c r="D108" s="56" t="s">
        <v>253</v>
      </c>
      <c r="E108" s="100" t="str">
        <f t="shared" si="9"/>
        <v>其他押品|特殊建筑构造物|机场|机场</v>
      </c>
      <c r="F108" t="str">
        <f t="shared" si="10"/>
        <v>特殊建筑构造物|机场|机场</v>
      </c>
      <c r="G108" t="str">
        <f t="shared" si="11"/>
        <v>机场|机场</v>
      </c>
      <c r="H108" s="100" t="str">
        <f>IF(ISERROR(VLOOKUP(E108,原型!E:E,1,0)),"新系统有原型没有","")</f>
        <v/>
      </c>
      <c r="K108" t="str">
        <f>IF(ISERROR(VLOOKUP(O108,原型!O:O,1,0)),"原型有新系统没有","")</f>
        <v/>
      </c>
      <c r="L108" t="str">
        <f>IF(ISERROR(VLOOKUP(P108,原型!P:P,1,0)),"原型有新系统没有","")</f>
        <v/>
      </c>
      <c r="M108" t="str">
        <f>IF(ISERROR(VLOOKUP(Q108,原型!Q:Q,1,0)),"原型有新系统没有","")</f>
        <v/>
      </c>
      <c r="N108" t="str">
        <f>IF(ISERROR(VLOOKUP(R108,原型!R:R,1,0)),"原型有新系统没有","")</f>
        <v/>
      </c>
      <c r="O108" t="s">
        <v>185</v>
      </c>
      <c r="P108" s="90" t="s">
        <v>247</v>
      </c>
      <c r="Q108" s="80" t="s">
        <v>253</v>
      </c>
      <c r="R108" s="56" t="s">
        <v>253</v>
      </c>
    </row>
    <row r="109" s="100" customFormat="1" spans="1:18">
      <c r="A109" t="s">
        <v>185</v>
      </c>
      <c r="B109" t="s">
        <v>247</v>
      </c>
      <c r="C109" t="s">
        <v>254</v>
      </c>
      <c r="D109" s="73" t="s">
        <v>254</v>
      </c>
      <c r="E109" s="100" t="str">
        <f t="shared" si="9"/>
        <v>其他押品|特殊建筑构造物|码头|码头</v>
      </c>
      <c r="F109" t="str">
        <f t="shared" si="10"/>
        <v>特殊建筑构造物|码头|码头</v>
      </c>
      <c r="G109" t="str">
        <f t="shared" si="11"/>
        <v>码头|码头</v>
      </c>
      <c r="H109" s="100" t="str">
        <f>IF(ISERROR(VLOOKUP(E109,原型!E:E,1,0)),"新系统有原型没有","")</f>
        <v/>
      </c>
      <c r="K109" t="str">
        <f>IF(ISERROR(VLOOKUP(O109,原型!O:O,1,0)),"原型有新系统没有","")</f>
        <v/>
      </c>
      <c r="L109" t="str">
        <f>IF(ISERROR(VLOOKUP(P109,原型!P:P,1,0)),"原型有新系统没有","")</f>
        <v/>
      </c>
      <c r="M109" t="str">
        <f>IF(ISERROR(VLOOKUP(Q109,原型!Q:Q,1,0)),"原型有新系统没有","")</f>
        <v/>
      </c>
      <c r="N109" t="str">
        <f>IF(ISERROR(VLOOKUP(R109,原型!R:R,1,0)),"原型有新系统没有","")</f>
        <v/>
      </c>
      <c r="O109" t="s">
        <v>185</v>
      </c>
      <c r="P109" t="s">
        <v>247</v>
      </c>
      <c r="Q109" t="s">
        <v>254</v>
      </c>
      <c r="R109" s="73" t="s">
        <v>254</v>
      </c>
    </row>
    <row r="110" s="100" customFormat="1" spans="1:18">
      <c r="A110" t="s">
        <v>185</v>
      </c>
      <c r="B110" t="s">
        <v>247</v>
      </c>
      <c r="C110" s="90" t="s">
        <v>255</v>
      </c>
      <c r="D110" s="56" t="s">
        <v>255</v>
      </c>
      <c r="E110" s="100" t="str">
        <f t="shared" si="9"/>
        <v>其他押品|特殊建筑构造物|港口|港口</v>
      </c>
      <c r="F110" t="str">
        <f t="shared" si="10"/>
        <v>特殊建筑构造物|港口|港口</v>
      </c>
      <c r="G110" t="str">
        <f t="shared" si="11"/>
        <v>港口|港口</v>
      </c>
      <c r="H110" s="100" t="str">
        <f>IF(ISERROR(VLOOKUP(E110,原型!E:E,1,0)),"新系统有原型没有","")</f>
        <v/>
      </c>
      <c r="K110" t="str">
        <f>IF(ISERROR(VLOOKUP(O110,原型!O:O,1,0)),"原型有新系统没有","")</f>
        <v/>
      </c>
      <c r="L110" t="str">
        <f>IF(ISERROR(VLOOKUP(P110,原型!P:P,1,0)),"原型有新系统没有","")</f>
        <v/>
      </c>
      <c r="M110" t="str">
        <f>IF(ISERROR(VLOOKUP(Q110,原型!Q:Q,1,0)),"原型有新系统没有","")</f>
        <v/>
      </c>
      <c r="N110" t="str">
        <f>IF(ISERROR(VLOOKUP(R110,原型!R:R,1,0)),"原型有新系统没有","")</f>
        <v/>
      </c>
      <c r="O110" t="s">
        <v>185</v>
      </c>
      <c r="P110" t="s">
        <v>247</v>
      </c>
      <c r="Q110" s="90" t="s">
        <v>255</v>
      </c>
      <c r="R110" s="56" t="s">
        <v>255</v>
      </c>
    </row>
    <row r="111" s="100" customFormat="1" spans="1:18">
      <c r="A111" t="s">
        <v>185</v>
      </c>
      <c r="B111" t="s">
        <v>247</v>
      </c>
      <c r="C111" t="s">
        <v>316</v>
      </c>
      <c r="D111" s="56" t="s">
        <v>316</v>
      </c>
      <c r="E111" s="100" t="str">
        <f t="shared" si="9"/>
        <v>其他押品|特殊建筑构造物|井巷|井巷</v>
      </c>
      <c r="F111" t="str">
        <f t="shared" si="10"/>
        <v>特殊建筑构造物|井巷|井巷</v>
      </c>
      <c r="G111" t="str">
        <f t="shared" si="11"/>
        <v>井巷|井巷</v>
      </c>
      <c r="H111" s="100" t="str">
        <f>IF(ISERROR(VLOOKUP(E111,原型!E:E,1,0)),"新系统有原型没有","")</f>
        <v>新系统有原型没有</v>
      </c>
      <c r="K111" t="str">
        <f>IF(ISERROR(VLOOKUP(O111,原型!O:O,1,0)),"原型有新系统没有","")</f>
        <v/>
      </c>
      <c r="L111" t="str">
        <f>IF(ISERROR(VLOOKUP(P111,原型!P:P,1,0)),"原型有新系统没有","")</f>
        <v/>
      </c>
      <c r="M111" t="str">
        <f>IF(ISERROR(VLOOKUP(Q111,原型!Q:Q,1,0)),"原型有新系统没有","")</f>
        <v>原型有新系统没有</v>
      </c>
      <c r="N111" t="str">
        <f>IF(ISERROR(VLOOKUP(R111,原型!R:R,1,0)),"原型有新系统没有","")</f>
        <v>原型有新系统没有</v>
      </c>
      <c r="O111" t="s">
        <v>185</v>
      </c>
      <c r="P111" t="s">
        <v>247</v>
      </c>
      <c r="Q111" t="s">
        <v>316</v>
      </c>
      <c r="R111" s="56" t="s">
        <v>316</v>
      </c>
    </row>
    <row r="112" s="100" customFormat="1" spans="1:18">
      <c r="A112" t="s">
        <v>185</v>
      </c>
      <c r="B112" t="s">
        <v>247</v>
      </c>
      <c r="C112" s="80" t="s">
        <v>256</v>
      </c>
      <c r="D112" s="56" t="s">
        <v>256</v>
      </c>
      <c r="E112" s="100" t="str">
        <f t="shared" si="9"/>
        <v>其他押品|特殊建筑构造物|公路|公路</v>
      </c>
      <c r="F112" t="str">
        <f t="shared" si="10"/>
        <v>特殊建筑构造物|公路|公路</v>
      </c>
      <c r="G112" t="str">
        <f t="shared" si="11"/>
        <v>公路|公路</v>
      </c>
      <c r="H112" s="100" t="str">
        <f>IF(ISERROR(VLOOKUP(E112,原型!E:E,1,0)),"新系统有原型没有","")</f>
        <v/>
      </c>
      <c r="K112" t="str">
        <f>IF(ISERROR(VLOOKUP(O112,原型!O:O,1,0)),"原型有新系统没有","")</f>
        <v/>
      </c>
      <c r="L112" t="str">
        <f>IF(ISERROR(VLOOKUP(P112,原型!P:P,1,0)),"原型有新系统没有","")</f>
        <v/>
      </c>
      <c r="M112" t="str">
        <f>IF(ISERROR(VLOOKUP(Q112,原型!Q:Q,1,0)),"原型有新系统没有","")</f>
        <v/>
      </c>
      <c r="N112" t="str">
        <f>IF(ISERROR(VLOOKUP(R112,原型!R:R,1,0)),"原型有新系统没有","")</f>
        <v/>
      </c>
      <c r="O112" t="s">
        <v>185</v>
      </c>
      <c r="P112" t="s">
        <v>247</v>
      </c>
      <c r="Q112" s="80" t="s">
        <v>256</v>
      </c>
      <c r="R112" s="56" t="s">
        <v>256</v>
      </c>
    </row>
    <row r="113" s="100" customFormat="1" spans="1:18">
      <c r="A113" t="s">
        <v>185</v>
      </c>
      <c r="B113" t="s">
        <v>247</v>
      </c>
      <c r="C113" s="80" t="s">
        <v>257</v>
      </c>
      <c r="D113" s="56" t="s">
        <v>257</v>
      </c>
      <c r="E113" s="100" t="str">
        <f t="shared" si="9"/>
        <v>其他押品|特殊建筑构造物|水坝|水坝</v>
      </c>
      <c r="F113" t="str">
        <f t="shared" si="10"/>
        <v>特殊建筑构造物|水坝|水坝</v>
      </c>
      <c r="G113" t="str">
        <f t="shared" si="11"/>
        <v>水坝|水坝</v>
      </c>
      <c r="H113" s="100" t="str">
        <f>IF(ISERROR(VLOOKUP(E113,原型!E:E,1,0)),"新系统有原型没有","")</f>
        <v/>
      </c>
      <c r="K113" t="str">
        <f>IF(ISERROR(VLOOKUP(O113,原型!O:O,1,0)),"原型有新系统没有","")</f>
        <v/>
      </c>
      <c r="L113" t="str">
        <f>IF(ISERROR(VLOOKUP(P113,原型!P:P,1,0)),"原型有新系统没有","")</f>
        <v/>
      </c>
      <c r="M113" t="str">
        <f>IF(ISERROR(VLOOKUP(Q113,原型!Q:Q,1,0)),"原型有新系统没有","")</f>
        <v/>
      </c>
      <c r="N113" t="str">
        <f>IF(ISERROR(VLOOKUP(R113,原型!R:R,1,0)),"原型有新系统没有","")</f>
        <v/>
      </c>
      <c r="O113" t="s">
        <v>185</v>
      </c>
      <c r="P113" t="s">
        <v>247</v>
      </c>
      <c r="Q113" s="80" t="s">
        <v>257</v>
      </c>
      <c r="R113" s="56" t="s">
        <v>257</v>
      </c>
    </row>
    <row r="114" s="100" customFormat="1" spans="1:18">
      <c r="A114" t="s">
        <v>185</v>
      </c>
      <c r="B114" t="s">
        <v>247</v>
      </c>
      <c r="C114" s="67" t="s">
        <v>258</v>
      </c>
      <c r="D114" s="73" t="s">
        <v>258</v>
      </c>
      <c r="E114" s="100" t="str">
        <f t="shared" si="9"/>
        <v>其他押品|特殊建筑构造物|储油罐|储油罐</v>
      </c>
      <c r="F114" t="str">
        <f t="shared" si="10"/>
        <v>特殊建筑构造物|储油罐|储油罐</v>
      </c>
      <c r="G114" t="str">
        <f t="shared" si="11"/>
        <v>储油罐|储油罐</v>
      </c>
      <c r="H114" s="100" t="str">
        <f>IF(ISERROR(VLOOKUP(E114,原型!E:E,1,0)),"新系统有原型没有","")</f>
        <v/>
      </c>
      <c r="K114" t="str">
        <f>IF(ISERROR(VLOOKUP(O114,原型!O:O,1,0)),"原型有新系统没有","")</f>
        <v/>
      </c>
      <c r="L114" t="str">
        <f>IF(ISERROR(VLOOKUP(P114,原型!P:P,1,0)),"原型有新系统没有","")</f>
        <v/>
      </c>
      <c r="M114" t="str">
        <f>IF(ISERROR(VLOOKUP(Q114,原型!Q:Q,1,0)),"原型有新系统没有","")</f>
        <v/>
      </c>
      <c r="N114" t="str">
        <f>IF(ISERROR(VLOOKUP(R114,原型!R:R,1,0)),"原型有新系统没有","")</f>
        <v/>
      </c>
      <c r="O114" t="s">
        <v>185</v>
      </c>
      <c r="P114" t="s">
        <v>247</v>
      </c>
      <c r="Q114" s="67" t="s">
        <v>258</v>
      </c>
      <c r="R114" s="73" t="s">
        <v>258</v>
      </c>
    </row>
    <row r="115" spans="1:4">
      <c r="A115" s="100" t="s">
        <v>185</v>
      </c>
      <c r="B115" s="100" t="s">
        <v>247</v>
      </c>
      <c r="C115" s="100" t="s">
        <v>259</v>
      </c>
      <c r="D115" s="100" t="s">
        <v>259</v>
      </c>
    </row>
    <row r="122" spans="3:3">
      <c r="C122" s="100" t="s">
        <v>258</v>
      </c>
    </row>
  </sheetData>
  <conditionalFormatting sqref="D106">
    <cfRule type="expression" dxfId="1" priority="3">
      <formula>N106="原型有新系统没有"</formula>
    </cfRule>
  </conditionalFormatting>
  <conditionalFormatting sqref="Q106">
    <cfRule type="expression" dxfId="0" priority="2">
      <formula>AA106="原型有新系统没有"</formula>
    </cfRule>
  </conditionalFormatting>
  <conditionalFormatting sqref="R106">
    <cfRule type="expression" dxfId="0" priority="1">
      <formula>AB106="原型有新系统没有"</formula>
    </cfRule>
  </conditionalFormatting>
  <conditionalFormatting sqref="A37:A58">
    <cfRule type="expression" dxfId="1" priority="4">
      <formula>K37="原型有新系统没有"</formula>
    </cfRule>
  </conditionalFormatting>
  <conditionalFormatting sqref="B2:B115">
    <cfRule type="expression" dxfId="1" priority="12">
      <formula>L2="原型有新系统没有"</formula>
    </cfRule>
  </conditionalFormatting>
  <conditionalFormatting sqref="C2:C115">
    <cfRule type="expression" dxfId="1" priority="11">
      <formula>M2="原型有新系统没有"</formula>
    </cfRule>
  </conditionalFormatting>
  <conditionalFormatting sqref="O37:O58">
    <cfRule type="expression" dxfId="1" priority="5">
      <formula>Y37="原型有新系统没有"</formula>
    </cfRule>
  </conditionalFormatting>
  <conditionalFormatting sqref="P2:P115">
    <cfRule type="expression" dxfId="1" priority="8">
      <formula>Z2="原型有新系统没有"</formula>
    </cfRule>
  </conditionalFormatting>
  <conditionalFormatting sqref="A2:A36 A59:A115">
    <cfRule type="expression" dxfId="1" priority="13">
      <formula>K2="原型有新系统没有"</formula>
    </cfRule>
  </conditionalFormatting>
  <conditionalFormatting sqref="D2:D105 D107:D115">
    <cfRule type="expression" dxfId="1" priority="10">
      <formula>N2="原型有新系统没有"</formula>
    </cfRule>
  </conditionalFormatting>
  <conditionalFormatting sqref="O2:O36 O59:O115">
    <cfRule type="expression" dxfId="1" priority="9">
      <formula>Y2="原型有新系统没有"</formula>
    </cfRule>
  </conditionalFormatting>
  <conditionalFormatting sqref="Q2:Q105 Q107:Q115">
    <cfRule type="expression" dxfId="1" priority="7">
      <formula>AA2="原型有新系统没有"</formula>
    </cfRule>
  </conditionalFormatting>
  <conditionalFormatting sqref="R2:R105 R107:R115">
    <cfRule type="expression" dxfId="1" priority="6">
      <formula>AB2="原型有新系统没有"</formula>
    </cfRule>
  </conditionalFormatting>
  <hyperlinks>
    <hyperlink ref="A37" location="变更!A1" display="房地产"/>
    <hyperlink ref="B27" location="变更!A2" display="股票（权）/基金"/>
    <hyperlink ref="B65" location="变更!A3" display="实物存货"/>
    <hyperlink ref="B59" location="变更!A4" display="普通应收账款（交易类）"/>
    <hyperlink ref="B58:D58" location="变更!A5" display="其他房地产类押品"/>
    <hyperlink ref="C106:D106" location="变更!A6" display="加油（气）站"/>
    <hyperlink ref="C55" location="变更!A7" display="经营性房产类在建工程"/>
    <hyperlink ref="C49" location="变更!A8" display="经营性建设用地使用权"/>
    <hyperlink ref="C40" location="变更!A9" display="商业用房地产"/>
    <hyperlink ref="C13" location="变更!A11" display="地方政府债券"/>
    <hyperlink ref="C16" location="变更!A12" display="非金融企业债"/>
    <hyperlink ref="D29" location="变更!A13" display="未上市公司股票或股权"/>
    <hyperlink ref="D30" location="变更!A14" display="上市后禁止流通的股票"/>
    <hyperlink ref="D33" location="变更!A15" display="依法可以质押的具有现金价值的人寿保险单"/>
    <hyperlink ref="D40" location="变更!A17" display="商铺"/>
    <hyperlink ref="D42" location="变更!A18" display="写字楼/办公用房"/>
    <hyperlink ref="D43" location="变更!A19" display="工业厂房"/>
    <hyperlink ref="D46" location="变更!A20" display="国有建设用地使用权-出让"/>
    <hyperlink ref="D47" location="变更!A21" display="国有建设用地使用权-划拨"/>
    <hyperlink ref="D48" location="变更!A22" display="农村住房财产权"/>
    <hyperlink ref="D49" location="变更!A20" display="国有建设用地使用权-出让"/>
    <hyperlink ref="D50" location="变更!A20" display="国有建设用地使用权-出让"/>
    <hyperlink ref="D51" location="变更!A23" display="集体/农村经营性建设用地使用权"/>
    <hyperlink ref="D54" location="变更!A24" display="居住用房产类在建工程"/>
    <hyperlink ref="D87" location="变更!A25" display="客运船舶"/>
    <hyperlink ref="D94" location="变更!A26" display="其它类型航空器"/>
    <hyperlink ref="D98" location="变更!A27" display="森林和林木所有权与使用权"/>
    <hyperlink ref="D101" location="变更!A28" display="其他资源资产"/>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6"/>
  <sheetViews>
    <sheetView workbookViewId="0">
      <selection activeCell="B30" sqref="B30"/>
    </sheetView>
  </sheetViews>
  <sheetFormatPr defaultColWidth="9" defaultRowHeight="17.6" outlineLevelCol="5"/>
  <cols>
    <col min="1" max="1" width="12.625" style="99"/>
    <col min="2" max="2" width="81.5" style="99" customWidth="1"/>
    <col min="3" max="3" width="21.4285714285714" style="99" customWidth="1"/>
    <col min="4" max="4" width="9" style="99"/>
    <col min="5" max="5" width="39.2142857142857" style="99" customWidth="1"/>
    <col min="6" max="6" width="23.7857142857143" style="99" customWidth="1"/>
    <col min="7" max="16366" width="9" style="99"/>
  </cols>
  <sheetData>
    <row r="1" s="99" customFormat="1" spans="1:6">
      <c r="A1" s="99" t="s">
        <v>317</v>
      </c>
      <c r="B1" s="99" t="s">
        <v>318</v>
      </c>
      <c r="C1" s="99" t="s">
        <v>319</v>
      </c>
      <c r="D1" s="99" t="s">
        <v>320</v>
      </c>
      <c r="E1" s="99" t="s">
        <v>321</v>
      </c>
      <c r="F1" s="99" t="s">
        <v>322</v>
      </c>
    </row>
    <row r="2" s="99" customFormat="1" spans="1:6">
      <c r="A2" s="99">
        <v>10</v>
      </c>
      <c r="B2" s="99" t="s">
        <v>48</v>
      </c>
      <c r="C2" s="99"/>
      <c r="D2" s="99">
        <v>2</v>
      </c>
      <c r="E2" s="99" t="s">
        <v>323</v>
      </c>
      <c r="F2" s="99" t="s">
        <v>324</v>
      </c>
    </row>
    <row r="3" s="99" customFormat="1" spans="1:4">
      <c r="A3" s="99">
        <v>10010</v>
      </c>
      <c r="B3" s="99" t="s">
        <v>49</v>
      </c>
      <c r="C3" s="99">
        <v>10</v>
      </c>
      <c r="D3" s="99">
        <v>2</v>
      </c>
    </row>
    <row r="4" s="99" customFormat="1" spans="1:4">
      <c r="A4" s="99">
        <v>10010010</v>
      </c>
      <c r="B4" s="99" t="s">
        <v>50</v>
      </c>
      <c r="C4" s="99">
        <v>10010</v>
      </c>
      <c r="D4" s="99">
        <v>2</v>
      </c>
    </row>
    <row r="5" s="99" customFormat="1" spans="1:6">
      <c r="A5" s="99">
        <v>10010010010</v>
      </c>
      <c r="B5" s="99" t="s">
        <v>51</v>
      </c>
      <c r="C5" s="99">
        <v>10010010</v>
      </c>
      <c r="D5" s="99">
        <v>1</v>
      </c>
      <c r="E5" s="99" t="s">
        <v>325</v>
      </c>
      <c r="F5" s="99" t="s">
        <v>326</v>
      </c>
    </row>
    <row r="6" s="99" customFormat="1" spans="1:6">
      <c r="A6" s="99">
        <v>10010010020</v>
      </c>
      <c r="B6" s="99" t="s">
        <v>52</v>
      </c>
      <c r="C6" s="99">
        <v>10010010</v>
      </c>
      <c r="D6" s="99">
        <v>1</v>
      </c>
      <c r="E6" s="99" t="s">
        <v>325</v>
      </c>
      <c r="F6" s="99" t="s">
        <v>326</v>
      </c>
    </row>
    <row r="7" s="99" customFormat="1" spans="1:4">
      <c r="A7" s="99">
        <v>10010020</v>
      </c>
      <c r="B7" s="99" t="s">
        <v>53</v>
      </c>
      <c r="C7" s="99">
        <v>10010</v>
      </c>
      <c r="D7" s="99">
        <v>2</v>
      </c>
    </row>
    <row r="8" s="99" customFormat="1" spans="1:6">
      <c r="A8" s="99">
        <v>10010020010</v>
      </c>
      <c r="B8" s="99" t="s">
        <v>53</v>
      </c>
      <c r="C8" s="99">
        <v>10010020</v>
      </c>
      <c r="D8" s="99">
        <v>1</v>
      </c>
      <c r="E8" s="99" t="s">
        <v>325</v>
      </c>
      <c r="F8" s="99" t="s">
        <v>327</v>
      </c>
    </row>
    <row r="9" s="99" customFormat="1" spans="1:4">
      <c r="A9" s="99">
        <v>10020</v>
      </c>
      <c r="B9" s="99" t="s">
        <v>54</v>
      </c>
      <c r="C9" s="99">
        <v>10</v>
      </c>
      <c r="D9" s="99">
        <v>2</v>
      </c>
    </row>
    <row r="10" s="99" customFormat="1" spans="1:4">
      <c r="A10" s="99">
        <v>10020010</v>
      </c>
      <c r="B10" s="99" t="s">
        <v>55</v>
      </c>
      <c r="C10" s="99">
        <v>10020</v>
      </c>
      <c r="D10" s="99">
        <v>2</v>
      </c>
    </row>
    <row r="11" s="99" customFormat="1" spans="1:6">
      <c r="A11" s="99">
        <v>10020010010</v>
      </c>
      <c r="B11" s="99" t="s">
        <v>55</v>
      </c>
      <c r="C11" s="99">
        <v>10020010</v>
      </c>
      <c r="D11" s="99">
        <v>1</v>
      </c>
      <c r="E11" s="99" t="s">
        <v>325</v>
      </c>
      <c r="F11" s="99" t="s">
        <v>328</v>
      </c>
    </row>
    <row r="12" s="99" customFormat="1" spans="1:4">
      <c r="A12" s="99">
        <v>10020020</v>
      </c>
      <c r="B12" s="99" t="s">
        <v>56</v>
      </c>
      <c r="C12" s="99">
        <v>10020</v>
      </c>
      <c r="D12" s="99">
        <v>2</v>
      </c>
    </row>
    <row r="13" s="99" customFormat="1" spans="1:6">
      <c r="A13" s="99">
        <v>10020020010</v>
      </c>
      <c r="B13" s="99" t="s">
        <v>57</v>
      </c>
      <c r="C13" s="99">
        <v>10020020</v>
      </c>
      <c r="D13" s="99">
        <v>1</v>
      </c>
      <c r="E13" s="99" t="s">
        <v>325</v>
      </c>
      <c r="F13" s="99" t="s">
        <v>328</v>
      </c>
    </row>
    <row r="14" s="99" customFormat="1" spans="1:6">
      <c r="A14" s="99">
        <v>10020020020</v>
      </c>
      <c r="B14" s="99" t="s">
        <v>58</v>
      </c>
      <c r="C14" s="99">
        <v>10020020</v>
      </c>
      <c r="D14" s="99">
        <v>1</v>
      </c>
      <c r="E14" s="99" t="s">
        <v>325</v>
      </c>
      <c r="F14" s="99" t="s">
        <v>328</v>
      </c>
    </row>
    <row r="15" s="99" customFormat="1" spans="1:4">
      <c r="A15" s="99">
        <v>10030</v>
      </c>
      <c r="B15" s="99" t="s">
        <v>60</v>
      </c>
      <c r="C15" s="99">
        <v>10</v>
      </c>
      <c r="D15" s="99">
        <v>2</v>
      </c>
    </row>
    <row r="16" s="99" customFormat="1" spans="1:4">
      <c r="A16" s="99">
        <v>10030010</v>
      </c>
      <c r="B16" s="99" t="s">
        <v>60</v>
      </c>
      <c r="C16" s="99">
        <v>10030</v>
      </c>
      <c r="D16" s="99">
        <v>2</v>
      </c>
    </row>
    <row r="17" s="99" customFormat="1" spans="1:6">
      <c r="A17" s="99">
        <v>10030010010</v>
      </c>
      <c r="B17" s="99" t="s">
        <v>60</v>
      </c>
      <c r="C17" s="99">
        <v>10030010</v>
      </c>
      <c r="D17" s="99">
        <v>1</v>
      </c>
      <c r="E17" s="99" t="s">
        <v>325</v>
      </c>
      <c r="F17" s="99" t="s">
        <v>329</v>
      </c>
    </row>
    <row r="18" s="99" customFormat="1" spans="1:5">
      <c r="A18" s="99">
        <v>10040</v>
      </c>
      <c r="B18" s="99" t="s">
        <v>61</v>
      </c>
      <c r="C18" s="99">
        <v>10</v>
      </c>
      <c r="D18" s="99">
        <v>2</v>
      </c>
      <c r="E18" s="99" t="s">
        <v>325</v>
      </c>
    </row>
    <row r="19" s="99" customFormat="1" spans="1:4">
      <c r="A19" s="99">
        <v>10040010</v>
      </c>
      <c r="B19" s="99" t="s">
        <v>62</v>
      </c>
      <c r="C19" s="99">
        <v>10040</v>
      </c>
      <c r="D19" s="99">
        <v>2</v>
      </c>
    </row>
    <row r="20" s="99" customFormat="1" spans="1:6">
      <c r="A20" s="99">
        <v>10040010010</v>
      </c>
      <c r="B20" s="99" t="s">
        <v>63</v>
      </c>
      <c r="C20" s="99">
        <v>10040010</v>
      </c>
      <c r="D20" s="99">
        <v>1</v>
      </c>
      <c r="E20" s="99" t="s">
        <v>325</v>
      </c>
      <c r="F20" s="99" t="s">
        <v>330</v>
      </c>
    </row>
    <row r="21" s="99" customFormat="1" spans="1:6">
      <c r="A21" s="99">
        <v>10040010020</v>
      </c>
      <c r="B21" s="99" t="s">
        <v>64</v>
      </c>
      <c r="C21" s="99">
        <v>10040010</v>
      </c>
      <c r="D21" s="99">
        <v>1</v>
      </c>
      <c r="E21" s="99" t="s">
        <v>325</v>
      </c>
      <c r="F21" s="99" t="s">
        <v>330</v>
      </c>
    </row>
    <row r="22" s="99" customFormat="1" spans="1:6">
      <c r="A22" s="99">
        <v>10040010030</v>
      </c>
      <c r="B22" s="99" t="s">
        <v>65</v>
      </c>
      <c r="C22" s="99">
        <v>10040010</v>
      </c>
      <c r="D22" s="99">
        <v>1</v>
      </c>
      <c r="E22" s="99" t="s">
        <v>325</v>
      </c>
      <c r="F22" s="99" t="s">
        <v>330</v>
      </c>
    </row>
    <row r="23" s="99" customFormat="1" spans="1:4">
      <c r="A23" s="99">
        <v>10040020</v>
      </c>
      <c r="B23" s="99" t="s">
        <v>68</v>
      </c>
      <c r="C23" s="99">
        <v>10040</v>
      </c>
      <c r="D23" s="99">
        <v>2</v>
      </c>
    </row>
    <row r="24" s="99" customFormat="1" spans="1:6">
      <c r="A24" s="99">
        <v>10040020010</v>
      </c>
      <c r="B24" s="99" t="s">
        <v>69</v>
      </c>
      <c r="C24" s="99">
        <v>10040020</v>
      </c>
      <c r="D24" s="99">
        <v>1</v>
      </c>
      <c r="E24" s="99" t="s">
        <v>325</v>
      </c>
      <c r="F24" s="99" t="s">
        <v>330</v>
      </c>
    </row>
    <row r="25" s="99" customFormat="1" spans="1:4">
      <c r="A25" s="99">
        <v>10040030</v>
      </c>
      <c r="B25" s="99" t="s">
        <v>331</v>
      </c>
      <c r="C25" s="99">
        <v>10040</v>
      </c>
      <c r="D25" s="99">
        <v>2</v>
      </c>
    </row>
    <row r="26" s="99" customFormat="1" spans="1:6">
      <c r="A26" s="99">
        <v>10040030010</v>
      </c>
      <c r="B26" s="99" t="s">
        <v>67</v>
      </c>
      <c r="C26" s="99">
        <v>10040030</v>
      </c>
      <c r="D26" s="99">
        <v>1</v>
      </c>
      <c r="E26" s="99" t="s">
        <v>325</v>
      </c>
      <c r="F26" s="99" t="s">
        <v>330</v>
      </c>
    </row>
    <row r="27" s="99" customFormat="1" spans="1:4">
      <c r="A27" s="99">
        <v>10040040</v>
      </c>
      <c r="B27" s="99" t="s">
        <v>268</v>
      </c>
      <c r="C27" s="99">
        <v>10040</v>
      </c>
      <c r="D27" s="99">
        <v>2</v>
      </c>
    </row>
    <row r="28" s="99" customFormat="1" spans="1:6">
      <c r="A28" s="99">
        <v>10040040010</v>
      </c>
      <c r="B28" s="99" t="s">
        <v>70</v>
      </c>
      <c r="C28" s="99">
        <v>10040040</v>
      </c>
      <c r="D28" s="99">
        <v>1</v>
      </c>
      <c r="E28" s="99" t="s">
        <v>325</v>
      </c>
      <c r="F28" s="99" t="s">
        <v>330</v>
      </c>
    </row>
    <row r="29" s="99" customFormat="1" spans="1:6">
      <c r="A29" s="99">
        <v>10040040020</v>
      </c>
      <c r="B29" s="99" t="s">
        <v>269</v>
      </c>
      <c r="C29" s="99">
        <v>10040040</v>
      </c>
      <c r="D29" s="99">
        <v>1</v>
      </c>
      <c r="E29" s="99" t="s">
        <v>325</v>
      </c>
      <c r="F29" s="99" t="s">
        <v>330</v>
      </c>
    </row>
    <row r="30" s="99" customFormat="1" spans="1:4">
      <c r="A30" s="99">
        <v>10040050</v>
      </c>
      <c r="B30" s="99" t="s">
        <v>332</v>
      </c>
      <c r="C30" s="99">
        <v>10040</v>
      </c>
      <c r="D30" s="99">
        <v>2</v>
      </c>
    </row>
    <row r="31" s="99" customFormat="1" spans="1:6">
      <c r="A31" s="99">
        <v>10040050010</v>
      </c>
      <c r="B31" s="99" t="s">
        <v>270</v>
      </c>
      <c r="C31" s="99">
        <v>10040050</v>
      </c>
      <c r="D31" s="99">
        <v>1</v>
      </c>
      <c r="E31" s="99" t="s">
        <v>325</v>
      </c>
      <c r="F31" s="99" t="s">
        <v>330</v>
      </c>
    </row>
    <row r="32" s="99" customFormat="1" spans="1:6">
      <c r="A32" s="99">
        <v>10040050020</v>
      </c>
      <c r="B32" s="99" t="s">
        <v>272</v>
      </c>
      <c r="C32" s="99">
        <v>10040050</v>
      </c>
      <c r="D32" s="99">
        <v>1</v>
      </c>
      <c r="E32" s="99" t="s">
        <v>325</v>
      </c>
      <c r="F32" s="99" t="s">
        <v>330</v>
      </c>
    </row>
    <row r="33" s="99" customFormat="1" spans="1:6">
      <c r="A33" s="99">
        <v>10040050030</v>
      </c>
      <c r="B33" s="99" t="s">
        <v>274</v>
      </c>
      <c r="C33" s="99">
        <v>10040050</v>
      </c>
      <c r="D33" s="99">
        <v>1</v>
      </c>
      <c r="E33" s="99" t="s">
        <v>325</v>
      </c>
      <c r="F33" s="99" t="s">
        <v>330</v>
      </c>
    </row>
    <row r="34" s="99" customFormat="1" spans="1:6">
      <c r="A34" s="99">
        <v>10040050040</v>
      </c>
      <c r="B34" s="99" t="s">
        <v>275</v>
      </c>
      <c r="C34" s="99">
        <v>10040050</v>
      </c>
      <c r="D34" s="99">
        <v>1</v>
      </c>
      <c r="E34" s="99" t="s">
        <v>325</v>
      </c>
      <c r="F34" s="99" t="s">
        <v>330</v>
      </c>
    </row>
    <row r="35" s="99" customFormat="1" spans="1:6">
      <c r="A35" s="99">
        <v>10040050050</v>
      </c>
      <c r="B35" s="99" t="s">
        <v>82</v>
      </c>
      <c r="C35" s="99">
        <v>10040050</v>
      </c>
      <c r="D35" s="99">
        <v>1</v>
      </c>
      <c r="E35" s="99" t="s">
        <v>325</v>
      </c>
      <c r="F35" s="99" t="s">
        <v>330</v>
      </c>
    </row>
    <row r="36" s="99" customFormat="1" spans="1:6">
      <c r="A36" s="99">
        <v>10040050060</v>
      </c>
      <c r="B36" s="99" t="s">
        <v>81</v>
      </c>
      <c r="C36" s="99">
        <v>10040050</v>
      </c>
      <c r="D36" s="99">
        <v>1</v>
      </c>
      <c r="E36" s="99" t="s">
        <v>325</v>
      </c>
      <c r="F36" s="99" t="s">
        <v>330</v>
      </c>
    </row>
    <row r="37" s="99" customFormat="1" spans="1:4">
      <c r="A37" s="99">
        <v>10040060</v>
      </c>
      <c r="B37" s="99" t="s">
        <v>277</v>
      </c>
      <c r="C37" s="99">
        <v>10040</v>
      </c>
      <c r="D37" s="99">
        <v>2</v>
      </c>
    </row>
    <row r="38" s="99" customFormat="1" spans="1:6">
      <c r="A38" s="99">
        <v>10040060010</v>
      </c>
      <c r="B38" s="99" t="s">
        <v>278</v>
      </c>
      <c r="C38" s="99">
        <v>10040060</v>
      </c>
      <c r="D38" s="99">
        <v>1</v>
      </c>
      <c r="E38" s="99" t="s">
        <v>325</v>
      </c>
      <c r="F38" s="99" t="s">
        <v>330</v>
      </c>
    </row>
    <row r="39" s="99" customFormat="1" spans="1:6">
      <c r="A39" s="99">
        <v>10040060020</v>
      </c>
      <c r="B39" s="99" t="s">
        <v>279</v>
      </c>
      <c r="C39" s="99">
        <v>10040060</v>
      </c>
      <c r="D39" s="99">
        <v>1</v>
      </c>
      <c r="E39" s="99" t="s">
        <v>325</v>
      </c>
      <c r="F39" s="99" t="s">
        <v>330</v>
      </c>
    </row>
    <row r="40" s="99" customFormat="1" spans="1:4">
      <c r="A40" s="99">
        <v>10050</v>
      </c>
      <c r="B40" s="99" t="s">
        <v>87</v>
      </c>
      <c r="C40" s="99">
        <v>10</v>
      </c>
      <c r="D40" s="99">
        <v>2</v>
      </c>
    </row>
    <row r="41" s="99" customFormat="1" spans="1:4">
      <c r="A41" s="99">
        <v>10050010</v>
      </c>
      <c r="B41" s="99" t="s">
        <v>88</v>
      </c>
      <c r="C41" s="99">
        <v>10050</v>
      </c>
      <c r="D41" s="99">
        <v>2</v>
      </c>
    </row>
    <row r="42" s="99" customFormat="1" spans="1:6">
      <c r="A42" s="99">
        <v>10050010010</v>
      </c>
      <c r="B42" s="99" t="s">
        <v>88</v>
      </c>
      <c r="C42" s="99">
        <v>10050010</v>
      </c>
      <c r="D42" s="99">
        <v>1</v>
      </c>
      <c r="E42" s="99" t="s">
        <v>325</v>
      </c>
      <c r="F42" s="99" t="s">
        <v>333</v>
      </c>
    </row>
    <row r="43" s="99" customFormat="1" spans="1:4">
      <c r="A43" s="99">
        <v>10050020</v>
      </c>
      <c r="B43" s="99" t="s">
        <v>96</v>
      </c>
      <c r="C43" s="99">
        <v>10050</v>
      </c>
      <c r="D43" s="99">
        <v>2</v>
      </c>
    </row>
    <row r="44" s="99" customFormat="1" spans="1:6">
      <c r="A44" s="99">
        <v>10050020010</v>
      </c>
      <c r="B44" s="99" t="s">
        <v>96</v>
      </c>
      <c r="C44" s="99">
        <v>10050020</v>
      </c>
      <c r="D44" s="99">
        <v>1</v>
      </c>
      <c r="E44" s="99" t="s">
        <v>325</v>
      </c>
      <c r="F44" s="99" t="s">
        <v>333</v>
      </c>
    </row>
    <row r="45" s="99" customFormat="1" spans="1:4">
      <c r="A45" s="99">
        <v>10050030</v>
      </c>
      <c r="B45" s="99" t="s">
        <v>280</v>
      </c>
      <c r="C45" s="99">
        <v>10050</v>
      </c>
      <c r="D45" s="99">
        <v>2</v>
      </c>
    </row>
    <row r="46" s="99" customFormat="1" spans="1:6">
      <c r="A46" s="99">
        <v>10050030010</v>
      </c>
      <c r="B46" s="99" t="s">
        <v>280</v>
      </c>
      <c r="C46" s="99">
        <v>10050030</v>
      </c>
      <c r="D46" s="99">
        <v>1</v>
      </c>
      <c r="E46" s="99" t="s">
        <v>325</v>
      </c>
      <c r="F46" s="99" t="s">
        <v>334</v>
      </c>
    </row>
    <row r="47" s="99" customFormat="1" spans="1:4">
      <c r="A47" s="99">
        <v>10060</v>
      </c>
      <c r="B47" s="99" t="s">
        <v>335</v>
      </c>
      <c r="C47" s="99">
        <v>10</v>
      </c>
      <c r="D47" s="99">
        <v>2</v>
      </c>
    </row>
    <row r="48" s="99" customFormat="1" spans="1:4">
      <c r="A48" s="99">
        <v>10060010</v>
      </c>
      <c r="B48" s="99" t="s">
        <v>281</v>
      </c>
      <c r="C48" s="99">
        <v>10060</v>
      </c>
      <c r="D48" s="99">
        <v>2</v>
      </c>
    </row>
    <row r="49" s="99" customFormat="1" spans="1:6">
      <c r="A49" s="99">
        <v>10060010010</v>
      </c>
      <c r="B49" s="99" t="s">
        <v>282</v>
      </c>
      <c r="C49" s="99">
        <v>10060010</v>
      </c>
      <c r="D49" s="99">
        <v>1</v>
      </c>
      <c r="E49" s="99" t="s">
        <v>325</v>
      </c>
      <c r="F49" s="99" t="s">
        <v>336</v>
      </c>
    </row>
    <row r="50" s="99" customFormat="1" spans="1:6">
      <c r="A50" s="99">
        <v>10060010020</v>
      </c>
      <c r="B50" s="99" t="s">
        <v>283</v>
      </c>
      <c r="C50" s="99">
        <v>10060010</v>
      </c>
      <c r="D50" s="99">
        <v>1</v>
      </c>
      <c r="E50" s="99" t="s">
        <v>325</v>
      </c>
      <c r="F50" s="99" t="s">
        <v>336</v>
      </c>
    </row>
    <row r="51" s="99" customFormat="1" spans="1:4">
      <c r="A51" s="99">
        <v>10060020</v>
      </c>
      <c r="B51" s="99" t="s">
        <v>284</v>
      </c>
      <c r="C51" s="99">
        <v>10060</v>
      </c>
      <c r="D51" s="99">
        <v>2</v>
      </c>
    </row>
    <row r="52" s="99" customFormat="1" spans="1:6">
      <c r="A52" s="99">
        <v>10060020010</v>
      </c>
      <c r="B52" s="99" t="s">
        <v>337</v>
      </c>
      <c r="C52" s="99">
        <v>10060020</v>
      </c>
      <c r="D52" s="99">
        <v>1</v>
      </c>
      <c r="E52" s="99" t="s">
        <v>325</v>
      </c>
      <c r="F52" s="99" t="s">
        <v>338</v>
      </c>
    </row>
    <row r="53" s="99" customFormat="1" spans="1:6">
      <c r="A53" s="99">
        <v>10060020020</v>
      </c>
      <c r="B53" s="99" t="s">
        <v>339</v>
      </c>
      <c r="C53" s="99">
        <v>10060020</v>
      </c>
      <c r="D53" s="99">
        <v>1</v>
      </c>
      <c r="E53" s="99" t="s">
        <v>325</v>
      </c>
      <c r="F53" s="99" t="s">
        <v>338</v>
      </c>
    </row>
    <row r="54" s="99" customFormat="1" spans="1:4">
      <c r="A54" s="99">
        <v>10060030</v>
      </c>
      <c r="B54" s="99" t="s">
        <v>113</v>
      </c>
      <c r="C54" s="99">
        <v>10060</v>
      </c>
      <c r="D54" s="99">
        <v>2</v>
      </c>
    </row>
    <row r="55" s="99" customFormat="1" spans="1:6">
      <c r="A55" s="99">
        <v>10060030010</v>
      </c>
      <c r="B55" s="99" t="s">
        <v>115</v>
      </c>
      <c r="C55" s="99">
        <v>10060030</v>
      </c>
      <c r="D55" s="99">
        <v>1</v>
      </c>
      <c r="E55" s="99" t="s">
        <v>325</v>
      </c>
      <c r="F55" s="99" t="s">
        <v>340</v>
      </c>
    </row>
    <row r="56" s="99" customFormat="1" spans="1:6">
      <c r="A56" s="99">
        <v>10060030020</v>
      </c>
      <c r="B56" s="99" t="s">
        <v>117</v>
      </c>
      <c r="C56" s="99">
        <v>10060030</v>
      </c>
      <c r="D56" s="99">
        <v>1</v>
      </c>
      <c r="E56" s="99" t="s">
        <v>325</v>
      </c>
      <c r="F56" s="99" t="s">
        <v>340</v>
      </c>
    </row>
    <row r="57" s="99" customFormat="1" spans="1:4">
      <c r="A57" s="99">
        <v>10070</v>
      </c>
      <c r="B57" s="99" t="s">
        <v>118</v>
      </c>
      <c r="C57" s="99">
        <v>10</v>
      </c>
      <c r="D57" s="99">
        <v>2</v>
      </c>
    </row>
    <row r="58" s="99" customFormat="1" spans="1:4">
      <c r="A58" s="99">
        <v>10070010</v>
      </c>
      <c r="B58" s="99" t="s">
        <v>341</v>
      </c>
      <c r="C58" s="99">
        <v>10070</v>
      </c>
      <c r="D58" s="99">
        <v>2</v>
      </c>
    </row>
    <row r="59" s="99" customFormat="1" spans="1:6">
      <c r="A59" s="99">
        <v>10070010010</v>
      </c>
      <c r="B59" s="99" t="s">
        <v>342</v>
      </c>
      <c r="C59" s="99">
        <v>10070010</v>
      </c>
      <c r="D59" s="99">
        <v>1</v>
      </c>
      <c r="E59" s="99" t="s">
        <v>325</v>
      </c>
      <c r="F59" s="99" t="s">
        <v>343</v>
      </c>
    </row>
    <row r="60" s="99" customFormat="1" spans="1:4">
      <c r="A60" s="99">
        <v>10080</v>
      </c>
      <c r="B60" s="99" t="s">
        <v>123</v>
      </c>
      <c r="C60" s="99">
        <v>10</v>
      </c>
      <c r="D60" s="99">
        <v>2</v>
      </c>
    </row>
    <row r="61" s="99" customFormat="1" spans="1:4">
      <c r="A61" s="99">
        <v>10080010</v>
      </c>
      <c r="B61" s="99" t="s">
        <v>123</v>
      </c>
      <c r="C61" s="99">
        <v>10080</v>
      </c>
      <c r="D61" s="99">
        <v>2</v>
      </c>
    </row>
    <row r="62" s="99" customFormat="1" spans="1:6">
      <c r="A62" s="99">
        <v>10080010020</v>
      </c>
      <c r="B62" s="99" t="s">
        <v>285</v>
      </c>
      <c r="C62" s="99">
        <v>10080010</v>
      </c>
      <c r="D62" s="99">
        <v>1</v>
      </c>
      <c r="E62" s="99" t="s">
        <v>325</v>
      </c>
      <c r="F62" s="99" t="s">
        <v>344</v>
      </c>
    </row>
    <row r="63" s="99" customFormat="1" spans="1:6">
      <c r="A63" s="99">
        <v>10080010030</v>
      </c>
      <c r="B63" s="99" t="s">
        <v>286</v>
      </c>
      <c r="C63" s="99">
        <v>10080010</v>
      </c>
      <c r="D63" s="99">
        <v>1</v>
      </c>
      <c r="E63" s="99" t="s">
        <v>325</v>
      </c>
      <c r="F63" s="99" t="s">
        <v>344</v>
      </c>
    </row>
    <row r="64" s="99" customFormat="1" spans="1:6">
      <c r="A64" s="99">
        <v>10080010040</v>
      </c>
      <c r="B64" s="99" t="s">
        <v>123</v>
      </c>
      <c r="C64" s="99">
        <v>10080010</v>
      </c>
      <c r="D64" s="99">
        <v>1</v>
      </c>
      <c r="E64" s="99" t="s">
        <v>325</v>
      </c>
      <c r="F64" s="99" t="s">
        <v>344</v>
      </c>
    </row>
    <row r="65" s="99" customFormat="1" spans="1:4">
      <c r="A65" s="99">
        <v>20</v>
      </c>
      <c r="B65" s="99" t="s">
        <v>345</v>
      </c>
      <c r="C65" s="99"/>
      <c r="D65" s="99">
        <v>2</v>
      </c>
    </row>
    <row r="66" s="99" customFormat="1" spans="1:4">
      <c r="A66" s="99">
        <v>20010</v>
      </c>
      <c r="B66" s="99" t="s">
        <v>124</v>
      </c>
      <c r="C66" s="99">
        <v>20</v>
      </c>
      <c r="D66" s="99">
        <v>2</v>
      </c>
    </row>
    <row r="67" s="99" customFormat="1" spans="1:5">
      <c r="A67" s="99">
        <v>20010010</v>
      </c>
      <c r="B67" s="99" t="s">
        <v>125</v>
      </c>
      <c r="C67" s="99">
        <v>20010</v>
      </c>
      <c r="D67" s="99">
        <v>2</v>
      </c>
      <c r="E67" s="99" t="s">
        <v>323</v>
      </c>
    </row>
    <row r="68" s="99" customFormat="1" spans="1:6">
      <c r="A68" s="99">
        <v>20010010010</v>
      </c>
      <c r="B68" s="99" t="s">
        <v>127</v>
      </c>
      <c r="C68" s="99">
        <v>20010010</v>
      </c>
      <c r="D68" s="99">
        <v>1</v>
      </c>
      <c r="E68" s="99" t="s">
        <v>323</v>
      </c>
      <c r="F68" s="99" t="s">
        <v>346</v>
      </c>
    </row>
    <row r="69" s="99" customFormat="1" spans="1:6">
      <c r="A69" s="99">
        <v>20010010020</v>
      </c>
      <c r="B69" s="99" t="s">
        <v>128</v>
      </c>
      <c r="C69" s="99">
        <v>20010010</v>
      </c>
      <c r="D69" s="99">
        <v>1</v>
      </c>
      <c r="E69" s="99" t="s">
        <v>323</v>
      </c>
      <c r="F69" s="99" t="s">
        <v>346</v>
      </c>
    </row>
    <row r="70" s="99" customFormat="1" spans="1:6">
      <c r="A70" s="99">
        <v>20010010030</v>
      </c>
      <c r="B70" s="99" t="s">
        <v>347</v>
      </c>
      <c r="C70" s="99">
        <v>20010010</v>
      </c>
      <c r="D70" s="99">
        <v>1</v>
      </c>
      <c r="E70" s="99" t="s">
        <v>323</v>
      </c>
      <c r="F70" s="99" t="s">
        <v>346</v>
      </c>
    </row>
    <row r="71" s="99" customFormat="1" spans="1:4">
      <c r="A71" s="99">
        <v>20010020</v>
      </c>
      <c r="B71" s="99" t="s">
        <v>348</v>
      </c>
      <c r="C71" s="99">
        <v>20010</v>
      </c>
      <c r="D71" s="99">
        <v>2</v>
      </c>
    </row>
    <row r="72" s="99" customFormat="1" spans="1:6">
      <c r="A72" s="99">
        <v>20010020010</v>
      </c>
      <c r="B72" s="99" t="s">
        <v>349</v>
      </c>
      <c r="C72" s="99">
        <v>20010020</v>
      </c>
      <c r="D72" s="99">
        <v>1</v>
      </c>
      <c r="E72" s="99" t="s">
        <v>323</v>
      </c>
      <c r="F72" s="99" t="s">
        <v>350</v>
      </c>
    </row>
    <row r="73" s="99" customFormat="1" spans="1:6">
      <c r="A73" s="99">
        <v>20010020020</v>
      </c>
      <c r="B73" s="99" t="s">
        <v>135</v>
      </c>
      <c r="C73" s="99">
        <v>20010020</v>
      </c>
      <c r="D73" s="99">
        <v>1</v>
      </c>
      <c r="E73" s="99" t="s">
        <v>323</v>
      </c>
      <c r="F73" s="99" t="s">
        <v>350</v>
      </c>
    </row>
    <row r="74" s="99" customFormat="1" spans="1:4">
      <c r="A74" s="99">
        <v>20010030</v>
      </c>
      <c r="B74" s="99" t="s">
        <v>136</v>
      </c>
      <c r="C74" s="99">
        <v>20010</v>
      </c>
      <c r="D74" s="99">
        <v>2</v>
      </c>
    </row>
    <row r="75" s="99" customFormat="1" spans="1:6">
      <c r="A75" s="99">
        <v>20010030010</v>
      </c>
      <c r="B75" s="99" t="s">
        <v>351</v>
      </c>
      <c r="C75" s="99">
        <v>20010030</v>
      </c>
      <c r="D75" s="99">
        <v>1</v>
      </c>
      <c r="E75" s="99" t="s">
        <v>323</v>
      </c>
      <c r="F75" s="99" t="s">
        <v>350</v>
      </c>
    </row>
    <row r="76" s="99" customFormat="1" spans="1:4">
      <c r="A76" s="99">
        <v>20010040</v>
      </c>
      <c r="B76" s="99" t="s">
        <v>139</v>
      </c>
      <c r="C76" s="99">
        <v>20010</v>
      </c>
      <c r="D76" s="99">
        <v>2</v>
      </c>
    </row>
    <row r="77" s="99" customFormat="1" spans="1:6">
      <c r="A77" s="99">
        <v>20010040010</v>
      </c>
      <c r="B77" s="99" t="s">
        <v>352</v>
      </c>
      <c r="C77" s="99">
        <v>20010040</v>
      </c>
      <c r="D77" s="99">
        <v>1</v>
      </c>
      <c r="E77" s="99" t="s">
        <v>323</v>
      </c>
      <c r="F77" s="99" t="s">
        <v>353</v>
      </c>
    </row>
    <row r="78" s="99" customFormat="1" spans="1:6">
      <c r="A78" s="99">
        <v>20010040020</v>
      </c>
      <c r="B78" s="99" t="s">
        <v>287</v>
      </c>
      <c r="C78" s="99">
        <v>20010040</v>
      </c>
      <c r="D78" s="99">
        <v>1</v>
      </c>
      <c r="E78" s="99" t="s">
        <v>323</v>
      </c>
      <c r="F78" s="99" t="s">
        <v>353</v>
      </c>
    </row>
    <row r="79" s="99" customFormat="1" spans="1:6">
      <c r="A79" s="99">
        <v>20010040030</v>
      </c>
      <c r="B79" s="99" t="s">
        <v>141</v>
      </c>
      <c r="C79" s="99">
        <v>20010040</v>
      </c>
      <c r="D79" s="99">
        <v>1</v>
      </c>
      <c r="E79" s="99" t="s">
        <v>323</v>
      </c>
      <c r="F79" s="99" t="s">
        <v>353</v>
      </c>
    </row>
    <row r="80" s="99" customFormat="1" spans="1:4">
      <c r="A80" s="99">
        <v>20020</v>
      </c>
      <c r="B80" s="99" t="s">
        <v>142</v>
      </c>
      <c r="C80" s="99">
        <v>20</v>
      </c>
      <c r="D80" s="99">
        <v>2</v>
      </c>
    </row>
    <row r="81" s="99" customFormat="1" spans="1:4">
      <c r="A81" s="99">
        <v>20020010</v>
      </c>
      <c r="B81" s="99" t="s">
        <v>143</v>
      </c>
      <c r="C81" s="99">
        <v>20020</v>
      </c>
      <c r="D81" s="99">
        <v>2</v>
      </c>
    </row>
    <row r="82" s="99" customFormat="1" spans="1:6">
      <c r="A82" s="99">
        <v>20020010010</v>
      </c>
      <c r="B82" s="99" t="s">
        <v>354</v>
      </c>
      <c r="C82" s="99">
        <v>20020010</v>
      </c>
      <c r="D82" s="99">
        <v>1</v>
      </c>
      <c r="E82" s="99" t="s">
        <v>323</v>
      </c>
      <c r="F82" s="99" t="s">
        <v>355</v>
      </c>
    </row>
    <row r="83" s="99" customFormat="1" spans="1:6">
      <c r="A83" s="99">
        <v>20020010020</v>
      </c>
      <c r="B83" s="99" t="s">
        <v>356</v>
      </c>
      <c r="C83" s="99">
        <v>20020010</v>
      </c>
      <c r="D83" s="99">
        <v>1</v>
      </c>
      <c r="E83" s="99" t="s">
        <v>323</v>
      </c>
      <c r="F83" s="99" t="s">
        <v>355</v>
      </c>
    </row>
    <row r="84" s="99" customFormat="1" spans="1:6">
      <c r="A84" s="99">
        <v>20020010030</v>
      </c>
      <c r="B84" s="99" t="s">
        <v>357</v>
      </c>
      <c r="C84" s="99">
        <v>20020010</v>
      </c>
      <c r="D84" s="99">
        <v>1</v>
      </c>
      <c r="E84" s="99" t="s">
        <v>323</v>
      </c>
      <c r="F84" s="99" t="s">
        <v>355</v>
      </c>
    </row>
    <row r="85" s="99" customFormat="1" spans="1:4">
      <c r="A85" s="99">
        <v>20020020</v>
      </c>
      <c r="B85" s="99" t="s">
        <v>358</v>
      </c>
      <c r="C85" s="99">
        <v>20020</v>
      </c>
      <c r="D85" s="99">
        <v>2</v>
      </c>
    </row>
    <row r="86" s="99" customFormat="1" spans="1:6">
      <c r="A86" s="99">
        <v>20020020010</v>
      </c>
      <c r="B86" s="99" t="s">
        <v>354</v>
      </c>
      <c r="C86" s="99">
        <v>20020020</v>
      </c>
      <c r="D86" s="99">
        <v>1</v>
      </c>
      <c r="E86" s="99" t="s">
        <v>323</v>
      </c>
      <c r="F86" s="99" t="s">
        <v>355</v>
      </c>
    </row>
    <row r="87" s="99" customFormat="1" spans="1:6">
      <c r="A87" s="99">
        <v>20020020020</v>
      </c>
      <c r="B87" s="99" t="s">
        <v>356</v>
      </c>
      <c r="C87" s="99">
        <v>20020020</v>
      </c>
      <c r="D87" s="99">
        <v>1</v>
      </c>
      <c r="E87" s="99" t="s">
        <v>323</v>
      </c>
      <c r="F87" s="99" t="s">
        <v>355</v>
      </c>
    </row>
    <row r="88" s="99" customFormat="1" spans="1:6">
      <c r="A88" s="99">
        <v>20020020030</v>
      </c>
      <c r="B88" s="99" t="s">
        <v>357</v>
      </c>
      <c r="C88" s="99">
        <v>20020020</v>
      </c>
      <c r="D88" s="99">
        <v>1</v>
      </c>
      <c r="E88" s="99" t="s">
        <v>323</v>
      </c>
      <c r="F88" s="99" t="s">
        <v>355</v>
      </c>
    </row>
    <row r="89" s="99" customFormat="1" spans="1:4">
      <c r="A89" s="99">
        <v>20020030</v>
      </c>
      <c r="B89" s="99" t="s">
        <v>288</v>
      </c>
      <c r="C89" s="99">
        <v>20020</v>
      </c>
      <c r="D89" s="99">
        <v>2</v>
      </c>
    </row>
    <row r="90" s="99" customFormat="1" spans="1:6">
      <c r="A90" s="99">
        <v>20020030010</v>
      </c>
      <c r="B90" s="99" t="s">
        <v>288</v>
      </c>
      <c r="C90" s="99">
        <v>20020030</v>
      </c>
      <c r="D90" s="99">
        <v>1</v>
      </c>
      <c r="E90" s="99" t="s">
        <v>323</v>
      </c>
      <c r="F90" s="99" t="s">
        <v>355</v>
      </c>
    </row>
    <row r="91" s="99" customFormat="1" spans="1:4">
      <c r="A91" s="99">
        <v>20020040</v>
      </c>
      <c r="B91" s="99" t="s">
        <v>289</v>
      </c>
      <c r="C91" s="99">
        <v>20020</v>
      </c>
      <c r="D91" s="99">
        <v>2</v>
      </c>
    </row>
    <row r="92" s="99" customFormat="1" spans="1:6">
      <c r="A92" s="99">
        <v>20020040010</v>
      </c>
      <c r="B92" s="99" t="s">
        <v>289</v>
      </c>
      <c r="C92" s="99">
        <v>20020040</v>
      </c>
      <c r="D92" s="99">
        <v>1</v>
      </c>
      <c r="E92" s="99" t="s">
        <v>323</v>
      </c>
      <c r="F92" s="99" t="s">
        <v>355</v>
      </c>
    </row>
    <row r="93" s="99" customFormat="1" spans="1:4">
      <c r="A93" s="99">
        <v>20030</v>
      </c>
      <c r="B93" s="99" t="s">
        <v>290</v>
      </c>
      <c r="C93" s="99">
        <v>20</v>
      </c>
      <c r="D93" s="99">
        <v>2</v>
      </c>
    </row>
    <row r="94" s="99" customFormat="1" spans="1:4">
      <c r="A94" s="99">
        <v>20030010</v>
      </c>
      <c r="B94" s="99" t="s">
        <v>154</v>
      </c>
      <c r="C94" s="99">
        <v>20030</v>
      </c>
      <c r="D94" s="99">
        <v>2</v>
      </c>
    </row>
    <row r="95" s="99" customFormat="1" spans="1:6">
      <c r="A95" s="99">
        <v>20030010010</v>
      </c>
      <c r="B95" s="99" t="s">
        <v>359</v>
      </c>
      <c r="C95" s="99">
        <v>20030010</v>
      </c>
      <c r="D95" s="99">
        <v>1</v>
      </c>
      <c r="E95" s="99" t="s">
        <v>323</v>
      </c>
      <c r="F95" s="99" t="s">
        <v>324</v>
      </c>
    </row>
    <row r="96" s="99" customFormat="1" spans="1:4">
      <c r="A96" s="99">
        <v>20030020</v>
      </c>
      <c r="B96" s="99" t="s">
        <v>360</v>
      </c>
      <c r="C96" s="99">
        <v>20030</v>
      </c>
      <c r="D96" s="99">
        <v>2</v>
      </c>
    </row>
    <row r="97" s="99" customFormat="1" spans="1:6">
      <c r="A97" s="99">
        <v>20030020010</v>
      </c>
      <c r="B97" s="99" t="s">
        <v>157</v>
      </c>
      <c r="C97" s="99">
        <v>20030020</v>
      </c>
      <c r="D97" s="99">
        <v>1</v>
      </c>
      <c r="E97" s="99" t="s">
        <v>323</v>
      </c>
      <c r="F97" s="99" t="s">
        <v>324</v>
      </c>
    </row>
    <row r="98" s="99" customFormat="1" spans="1:6">
      <c r="A98" s="99">
        <v>20030020020</v>
      </c>
      <c r="B98" s="99" t="s">
        <v>158</v>
      </c>
      <c r="C98" s="99">
        <v>20030020</v>
      </c>
      <c r="D98" s="99">
        <v>1</v>
      </c>
      <c r="E98" s="99" t="s">
        <v>323</v>
      </c>
      <c r="F98" s="99" t="s">
        <v>324</v>
      </c>
    </row>
    <row r="99" s="99" customFormat="1" spans="1:6">
      <c r="A99" s="99">
        <v>20030020030</v>
      </c>
      <c r="B99" s="99" t="s">
        <v>160</v>
      </c>
      <c r="C99" s="99">
        <v>20030020</v>
      </c>
      <c r="D99" s="99">
        <v>1</v>
      </c>
      <c r="E99" s="99" t="s">
        <v>323</v>
      </c>
      <c r="F99" s="99" t="s">
        <v>324</v>
      </c>
    </row>
    <row r="100" s="99" customFormat="1" spans="1:4">
      <c r="A100" s="99">
        <v>20040</v>
      </c>
      <c r="B100" s="99" t="s">
        <v>361</v>
      </c>
      <c r="C100" s="99">
        <v>20</v>
      </c>
      <c r="D100" s="99">
        <v>2</v>
      </c>
    </row>
    <row r="101" s="99" customFormat="1" spans="1:4">
      <c r="A101" s="99">
        <v>20040010</v>
      </c>
      <c r="B101" s="99" t="s">
        <v>361</v>
      </c>
      <c r="C101" s="99">
        <v>20040</v>
      </c>
      <c r="D101" s="99">
        <v>2</v>
      </c>
    </row>
    <row r="102" s="99" customFormat="1" spans="1:6">
      <c r="A102" s="99">
        <v>20040010010</v>
      </c>
      <c r="B102" s="99" t="s">
        <v>361</v>
      </c>
      <c r="C102" s="99">
        <v>20040010</v>
      </c>
      <c r="D102" s="99">
        <v>1</v>
      </c>
      <c r="E102" s="99" t="s">
        <v>323</v>
      </c>
      <c r="F102" s="99" t="s">
        <v>362</v>
      </c>
    </row>
    <row r="103" s="99" customFormat="1" spans="1:4">
      <c r="A103" s="99">
        <v>30</v>
      </c>
      <c r="B103" s="99" t="s">
        <v>162</v>
      </c>
      <c r="C103" s="99"/>
      <c r="D103" s="99">
        <v>2</v>
      </c>
    </row>
    <row r="104" s="99" customFormat="1" spans="1:4">
      <c r="A104" s="99">
        <v>30010</v>
      </c>
      <c r="B104" s="99" t="s">
        <v>291</v>
      </c>
      <c r="C104" s="99">
        <v>30</v>
      </c>
      <c r="D104" s="99">
        <v>2</v>
      </c>
    </row>
    <row r="105" s="99" customFormat="1" spans="1:4">
      <c r="A105" s="99">
        <v>30010010</v>
      </c>
      <c r="B105" s="99" t="s">
        <v>291</v>
      </c>
      <c r="C105" s="99">
        <v>30010</v>
      </c>
      <c r="D105" s="99">
        <v>2</v>
      </c>
    </row>
    <row r="106" s="99" customFormat="1" spans="1:6">
      <c r="A106" s="99">
        <v>30010010010</v>
      </c>
      <c r="B106" s="99" t="s">
        <v>291</v>
      </c>
      <c r="C106" s="99">
        <v>30010010</v>
      </c>
      <c r="D106" s="99">
        <v>1</v>
      </c>
      <c r="E106" s="99" t="s">
        <v>363</v>
      </c>
      <c r="F106" s="99" t="s">
        <v>364</v>
      </c>
    </row>
    <row r="107" s="99" customFormat="1" spans="1:4">
      <c r="A107" s="99">
        <v>30020</v>
      </c>
      <c r="B107" s="99" t="s">
        <v>174</v>
      </c>
      <c r="C107" s="99">
        <v>30</v>
      </c>
      <c r="D107" s="99">
        <v>2</v>
      </c>
    </row>
    <row r="108" s="99" customFormat="1" spans="1:4">
      <c r="A108" s="99">
        <v>30020010</v>
      </c>
      <c r="B108" s="99" t="s">
        <v>175</v>
      </c>
      <c r="C108" s="99">
        <v>30020</v>
      </c>
      <c r="D108" s="99">
        <v>2</v>
      </c>
    </row>
    <row r="109" s="99" customFormat="1" spans="1:6">
      <c r="A109" s="99">
        <v>30020010010</v>
      </c>
      <c r="B109" s="99" t="s">
        <v>176</v>
      </c>
      <c r="C109" s="99">
        <v>30020010</v>
      </c>
      <c r="D109" s="99">
        <v>1</v>
      </c>
      <c r="E109" s="99" t="s">
        <v>363</v>
      </c>
      <c r="F109" s="99" t="s">
        <v>365</v>
      </c>
    </row>
    <row r="110" s="99" customFormat="1" spans="1:6">
      <c r="A110" s="99">
        <v>30020010020</v>
      </c>
      <c r="B110" s="99" t="s">
        <v>177</v>
      </c>
      <c r="C110" s="99">
        <v>30020010</v>
      </c>
      <c r="D110" s="99">
        <v>1</v>
      </c>
      <c r="E110" s="99" t="s">
        <v>363</v>
      </c>
      <c r="F110" s="99" t="s">
        <v>365</v>
      </c>
    </row>
    <row r="111" s="99" customFormat="1" spans="1:4">
      <c r="A111" s="99">
        <v>30020020</v>
      </c>
      <c r="B111" s="99" t="s">
        <v>178</v>
      </c>
      <c r="C111" s="99">
        <v>30020</v>
      </c>
      <c r="D111" s="99">
        <v>2</v>
      </c>
    </row>
    <row r="112" s="99" customFormat="1" spans="1:6">
      <c r="A112" s="99">
        <v>30020020010</v>
      </c>
      <c r="B112" s="99" t="s">
        <v>292</v>
      </c>
      <c r="C112" s="99">
        <v>30020020</v>
      </c>
      <c r="D112" s="99">
        <v>1</v>
      </c>
      <c r="E112" s="99" t="s">
        <v>363</v>
      </c>
      <c r="F112" s="99" t="s">
        <v>366</v>
      </c>
    </row>
    <row r="113" s="99" customFormat="1" spans="1:4">
      <c r="A113" s="99">
        <v>30020030</v>
      </c>
      <c r="B113" s="99" t="s">
        <v>293</v>
      </c>
      <c r="C113" s="99">
        <v>30020</v>
      </c>
      <c r="D113" s="99">
        <v>2</v>
      </c>
    </row>
    <row r="114" s="99" customFormat="1" spans="1:6">
      <c r="A114" s="99">
        <v>30020030010</v>
      </c>
      <c r="B114" s="99" t="s">
        <v>293</v>
      </c>
      <c r="C114" s="99">
        <v>30020030</v>
      </c>
      <c r="D114" s="99">
        <v>1</v>
      </c>
      <c r="E114" s="99" t="s">
        <v>363</v>
      </c>
      <c r="F114" s="99" t="s">
        <v>367</v>
      </c>
    </row>
    <row r="115" s="99" customFormat="1" spans="1:4">
      <c r="A115" s="99">
        <v>30030</v>
      </c>
      <c r="B115" s="99" t="s">
        <v>184</v>
      </c>
      <c r="C115" s="99">
        <v>30</v>
      </c>
      <c r="D115" s="99">
        <v>2</v>
      </c>
    </row>
    <row r="116" s="99" customFormat="1" spans="1:4">
      <c r="A116" s="99">
        <v>30030010</v>
      </c>
      <c r="B116" s="99" t="s">
        <v>184</v>
      </c>
      <c r="C116" s="99">
        <v>30030</v>
      </c>
      <c r="D116" s="99">
        <v>2</v>
      </c>
    </row>
    <row r="117" s="99" customFormat="1" spans="1:6">
      <c r="A117" s="99">
        <v>30030010010</v>
      </c>
      <c r="B117" s="99" t="s">
        <v>184</v>
      </c>
      <c r="C117" s="99">
        <v>30030010</v>
      </c>
      <c r="D117" s="99">
        <v>1</v>
      </c>
      <c r="E117" s="99" t="s">
        <v>363</v>
      </c>
      <c r="F117" s="99" t="s">
        <v>368</v>
      </c>
    </row>
    <row r="118" s="99" customFormat="1" spans="1:5">
      <c r="A118" s="99">
        <v>40</v>
      </c>
      <c r="B118" s="99" t="s">
        <v>185</v>
      </c>
      <c r="C118" s="99"/>
      <c r="D118" s="99">
        <v>2</v>
      </c>
      <c r="E118" s="99" t="s">
        <v>363</v>
      </c>
    </row>
    <row r="119" s="99" customFormat="1" spans="1:4">
      <c r="A119" s="99">
        <v>40010</v>
      </c>
      <c r="B119" s="99" t="s">
        <v>369</v>
      </c>
      <c r="C119" s="99">
        <v>40</v>
      </c>
      <c r="D119" s="99">
        <v>2</v>
      </c>
    </row>
    <row r="120" s="99" customFormat="1" spans="1:4">
      <c r="A120" s="99">
        <v>40010010</v>
      </c>
      <c r="B120" s="99" t="s">
        <v>187</v>
      </c>
      <c r="C120" s="99">
        <v>40010</v>
      </c>
      <c r="D120" s="99">
        <v>2</v>
      </c>
    </row>
    <row r="121" s="99" customFormat="1" spans="1:6">
      <c r="A121" s="99">
        <v>40010010010</v>
      </c>
      <c r="B121" s="99" t="s">
        <v>187</v>
      </c>
      <c r="C121" s="99">
        <v>40010010</v>
      </c>
      <c r="D121" s="99">
        <v>1</v>
      </c>
      <c r="E121" s="99" t="s">
        <v>370</v>
      </c>
      <c r="F121" s="99" t="s">
        <v>371</v>
      </c>
    </row>
    <row r="122" s="99" customFormat="1" spans="1:4">
      <c r="A122" s="99">
        <v>40010020</v>
      </c>
      <c r="B122" s="99" t="s">
        <v>191</v>
      </c>
      <c r="C122" s="99">
        <v>40010</v>
      </c>
      <c r="D122" s="99">
        <v>2</v>
      </c>
    </row>
    <row r="123" s="99" customFormat="1" spans="1:6">
      <c r="A123" s="99">
        <v>40010020010</v>
      </c>
      <c r="B123" s="99" t="s">
        <v>191</v>
      </c>
      <c r="C123" s="99">
        <v>40010020</v>
      </c>
      <c r="D123" s="99">
        <v>1</v>
      </c>
      <c r="E123" s="99" t="s">
        <v>370</v>
      </c>
      <c r="F123" s="99" t="s">
        <v>371</v>
      </c>
    </row>
    <row r="124" s="99" customFormat="1" spans="1:4">
      <c r="A124" s="99">
        <v>40020</v>
      </c>
      <c r="B124" s="99" t="s">
        <v>193</v>
      </c>
      <c r="C124" s="99">
        <v>40</v>
      </c>
      <c r="D124" s="99">
        <v>2</v>
      </c>
    </row>
    <row r="125" s="99" customFormat="1" spans="1:4">
      <c r="A125" s="99">
        <v>40020010</v>
      </c>
      <c r="B125" s="99" t="s">
        <v>294</v>
      </c>
      <c r="C125" s="99">
        <v>40020</v>
      </c>
      <c r="D125" s="99">
        <v>2</v>
      </c>
    </row>
    <row r="126" s="99" customFormat="1" spans="1:6">
      <c r="A126" s="99">
        <v>40020010010</v>
      </c>
      <c r="B126" s="99" t="s">
        <v>295</v>
      </c>
      <c r="C126" s="99">
        <v>40020010</v>
      </c>
      <c r="D126" s="99">
        <v>1</v>
      </c>
      <c r="E126" s="99" t="s">
        <v>370</v>
      </c>
      <c r="F126" s="99" t="s">
        <v>372</v>
      </c>
    </row>
    <row r="127" s="99" customFormat="1" spans="1:6">
      <c r="A127" s="99">
        <v>40020010020</v>
      </c>
      <c r="B127" s="99" t="s">
        <v>297</v>
      </c>
      <c r="C127" s="99">
        <v>40020010</v>
      </c>
      <c r="D127" s="99">
        <v>1</v>
      </c>
      <c r="E127" s="99" t="s">
        <v>370</v>
      </c>
      <c r="F127" s="99" t="s">
        <v>372</v>
      </c>
    </row>
    <row r="128" s="99" customFormat="1" spans="1:4">
      <c r="A128" s="99">
        <v>40020020</v>
      </c>
      <c r="B128" s="99" t="s">
        <v>202</v>
      </c>
      <c r="C128" s="99">
        <v>40020</v>
      </c>
      <c r="D128" s="99">
        <v>2</v>
      </c>
    </row>
    <row r="129" s="99" customFormat="1" spans="1:6">
      <c r="A129" s="99">
        <v>40020020010</v>
      </c>
      <c r="B129" s="99" t="s">
        <v>202</v>
      </c>
      <c r="C129" s="99">
        <v>40020020</v>
      </c>
      <c r="D129" s="99">
        <v>1</v>
      </c>
      <c r="E129" s="99" t="s">
        <v>370</v>
      </c>
      <c r="F129" s="99" t="s">
        <v>373</v>
      </c>
    </row>
    <row r="130" s="99" customFormat="1" spans="1:4">
      <c r="A130" s="99">
        <v>40030</v>
      </c>
      <c r="B130" s="99" t="s">
        <v>206</v>
      </c>
      <c r="C130" s="99">
        <v>40</v>
      </c>
      <c r="D130" s="99">
        <v>2</v>
      </c>
    </row>
    <row r="131" s="99" customFormat="1" spans="1:4">
      <c r="A131" s="99">
        <v>40030010</v>
      </c>
      <c r="B131" s="99" t="s">
        <v>206</v>
      </c>
      <c r="C131" s="99">
        <v>40030</v>
      </c>
      <c r="D131" s="99">
        <v>2</v>
      </c>
    </row>
    <row r="132" s="99" customFormat="1" spans="1:6">
      <c r="A132" s="99">
        <v>40030010010</v>
      </c>
      <c r="B132" s="99" t="s">
        <v>206</v>
      </c>
      <c r="C132" s="99">
        <v>40030010</v>
      </c>
      <c r="D132" s="99">
        <v>1</v>
      </c>
      <c r="E132" s="99" t="s">
        <v>370</v>
      </c>
      <c r="F132" s="99" t="s">
        <v>374</v>
      </c>
    </row>
    <row r="133" s="99" customFormat="1" spans="1:4">
      <c r="A133" s="99">
        <v>40040</v>
      </c>
      <c r="B133" s="99" t="s">
        <v>207</v>
      </c>
      <c r="C133" s="99">
        <v>40</v>
      </c>
      <c r="D133" s="99">
        <v>2</v>
      </c>
    </row>
    <row r="134" s="99" customFormat="1" spans="1:4">
      <c r="A134" s="99">
        <v>40040010</v>
      </c>
      <c r="B134" s="99" t="s">
        <v>208</v>
      </c>
      <c r="C134" s="99">
        <v>40040</v>
      </c>
      <c r="D134" s="99">
        <v>2</v>
      </c>
    </row>
    <row r="135" s="99" customFormat="1" spans="1:6">
      <c r="A135" s="99">
        <v>40040010010</v>
      </c>
      <c r="B135" s="99" t="s">
        <v>208</v>
      </c>
      <c r="C135" s="99">
        <v>40040010</v>
      </c>
      <c r="D135" s="99">
        <v>1</v>
      </c>
      <c r="E135" s="99" t="s">
        <v>375</v>
      </c>
      <c r="F135" s="99" t="s">
        <v>376</v>
      </c>
    </row>
    <row r="136" s="99" customFormat="1" spans="1:4">
      <c r="A136" s="99">
        <v>40040020</v>
      </c>
      <c r="B136" s="99" t="s">
        <v>209</v>
      </c>
      <c r="C136" s="99">
        <v>40040</v>
      </c>
      <c r="D136" s="99">
        <v>2</v>
      </c>
    </row>
    <row r="137" s="99" customFormat="1" spans="1:6">
      <c r="A137" s="99">
        <v>40040020010</v>
      </c>
      <c r="B137" s="99" t="s">
        <v>209</v>
      </c>
      <c r="C137" s="99">
        <v>40040020</v>
      </c>
      <c r="D137" s="99">
        <v>1</v>
      </c>
      <c r="E137" s="99" t="s">
        <v>375</v>
      </c>
      <c r="F137" s="99" t="s">
        <v>376</v>
      </c>
    </row>
    <row r="138" s="99" customFormat="1" spans="1:4">
      <c r="A138" s="99">
        <v>40050</v>
      </c>
      <c r="B138" s="99" t="s">
        <v>212</v>
      </c>
      <c r="C138" s="99">
        <v>40</v>
      </c>
      <c r="D138" s="99">
        <v>2</v>
      </c>
    </row>
    <row r="139" s="99" customFormat="1" spans="1:4">
      <c r="A139" s="99">
        <v>40050010</v>
      </c>
      <c r="B139" s="99" t="s">
        <v>213</v>
      </c>
      <c r="C139" s="99">
        <v>40050</v>
      </c>
      <c r="D139" s="99">
        <v>2</v>
      </c>
    </row>
    <row r="140" s="99" customFormat="1" spans="1:6">
      <c r="A140" s="99">
        <v>40050010010</v>
      </c>
      <c r="B140" s="99" t="s">
        <v>298</v>
      </c>
      <c r="C140" s="99">
        <v>40050010</v>
      </c>
      <c r="D140" s="99">
        <v>1</v>
      </c>
      <c r="E140" s="99" t="s">
        <v>375</v>
      </c>
      <c r="F140" s="99" t="s">
        <v>377</v>
      </c>
    </row>
    <row r="141" s="99" customFormat="1" spans="1:6">
      <c r="A141" s="99">
        <v>40050010020</v>
      </c>
      <c r="B141" s="99" t="s">
        <v>299</v>
      </c>
      <c r="C141" s="99">
        <v>40050010</v>
      </c>
      <c r="D141" s="99">
        <v>1</v>
      </c>
      <c r="E141" s="99" t="s">
        <v>375</v>
      </c>
      <c r="F141" s="99" t="s">
        <v>377</v>
      </c>
    </row>
    <row r="142" s="99" customFormat="1" spans="1:6">
      <c r="A142" s="99">
        <v>40050010030</v>
      </c>
      <c r="B142" s="99" t="s">
        <v>300</v>
      </c>
      <c r="C142" s="99">
        <v>40050010</v>
      </c>
      <c r="D142" s="99">
        <v>1</v>
      </c>
      <c r="E142" s="99" t="s">
        <v>375</v>
      </c>
      <c r="F142" s="99" t="s">
        <v>377</v>
      </c>
    </row>
    <row r="143" s="99" customFormat="1" spans="1:6">
      <c r="A143" s="99">
        <v>40050010040</v>
      </c>
      <c r="B143" s="99" t="s">
        <v>301</v>
      </c>
      <c r="C143" s="99">
        <v>40050010</v>
      </c>
      <c r="D143" s="99">
        <v>1</v>
      </c>
      <c r="E143" s="99" t="s">
        <v>375</v>
      </c>
      <c r="F143" s="99" t="s">
        <v>377</v>
      </c>
    </row>
    <row r="144" s="99" customFormat="1" spans="1:6">
      <c r="A144" s="99">
        <v>40050010050</v>
      </c>
      <c r="B144" s="99" t="s">
        <v>302</v>
      </c>
      <c r="C144" s="99">
        <v>40050010</v>
      </c>
      <c r="D144" s="99">
        <v>1</v>
      </c>
      <c r="E144" s="99" t="s">
        <v>375</v>
      </c>
      <c r="F144" s="99" t="s">
        <v>377</v>
      </c>
    </row>
    <row r="145" s="99" customFormat="1" spans="1:6">
      <c r="A145" s="99">
        <v>40050010060</v>
      </c>
      <c r="B145" s="99" t="s">
        <v>218</v>
      </c>
      <c r="C145" s="99">
        <v>40050010</v>
      </c>
      <c r="D145" s="99">
        <v>1</v>
      </c>
      <c r="E145" s="99" t="s">
        <v>375</v>
      </c>
      <c r="F145" s="99" t="s">
        <v>377</v>
      </c>
    </row>
    <row r="146" s="99" customFormat="1" spans="1:6">
      <c r="A146" s="99">
        <v>40050010070</v>
      </c>
      <c r="B146" s="99" t="s">
        <v>219</v>
      </c>
      <c r="C146" s="99">
        <v>40050010</v>
      </c>
      <c r="D146" s="99">
        <v>1</v>
      </c>
      <c r="E146" s="99" t="s">
        <v>375</v>
      </c>
      <c r="F146" s="99" t="s">
        <v>377</v>
      </c>
    </row>
    <row r="147" s="99" customFormat="1" spans="1:4">
      <c r="A147" s="99">
        <v>40050020</v>
      </c>
      <c r="B147" s="99" t="s">
        <v>220</v>
      </c>
      <c r="C147" s="99">
        <v>40050</v>
      </c>
      <c r="D147" s="99">
        <v>2</v>
      </c>
    </row>
    <row r="148" s="99" customFormat="1" spans="1:6">
      <c r="A148" s="99">
        <v>40050020010</v>
      </c>
      <c r="B148" s="99" t="s">
        <v>303</v>
      </c>
      <c r="C148" s="99">
        <v>40050020</v>
      </c>
      <c r="D148" s="99">
        <v>1</v>
      </c>
      <c r="E148" s="99" t="s">
        <v>375</v>
      </c>
      <c r="F148" s="99" t="s">
        <v>378</v>
      </c>
    </row>
    <row r="149" s="99" customFormat="1" spans="1:6">
      <c r="A149" s="99">
        <v>40050020020</v>
      </c>
      <c r="B149" s="99" t="s">
        <v>304</v>
      </c>
      <c r="C149" s="99">
        <v>40050020</v>
      </c>
      <c r="D149" s="99">
        <v>1</v>
      </c>
      <c r="E149" s="99" t="s">
        <v>375</v>
      </c>
      <c r="F149" s="99" t="s">
        <v>378</v>
      </c>
    </row>
    <row r="150" s="99" customFormat="1" spans="1:6">
      <c r="A150" s="99">
        <v>40050020030</v>
      </c>
      <c r="B150" s="99" t="s">
        <v>305</v>
      </c>
      <c r="C150" s="99">
        <v>40050020</v>
      </c>
      <c r="D150" s="99">
        <v>1</v>
      </c>
      <c r="E150" s="99" t="s">
        <v>375</v>
      </c>
      <c r="F150" s="99" t="s">
        <v>378</v>
      </c>
    </row>
    <row r="151" s="99" customFormat="1" spans="1:6">
      <c r="A151" s="99">
        <v>40050020040</v>
      </c>
      <c r="B151" s="99" t="s">
        <v>306</v>
      </c>
      <c r="C151" s="99">
        <v>40050020</v>
      </c>
      <c r="D151" s="99">
        <v>1</v>
      </c>
      <c r="E151" s="99" t="s">
        <v>375</v>
      </c>
      <c r="F151" s="99" t="s">
        <v>378</v>
      </c>
    </row>
    <row r="152" s="99" customFormat="1" spans="1:6">
      <c r="A152" s="99">
        <v>40050020050</v>
      </c>
      <c r="B152" s="99" t="s">
        <v>307</v>
      </c>
      <c r="C152" s="99">
        <v>40050020</v>
      </c>
      <c r="D152" s="99">
        <v>1</v>
      </c>
      <c r="E152" s="99" t="s">
        <v>375</v>
      </c>
      <c r="F152" s="99" t="s">
        <v>378</v>
      </c>
    </row>
    <row r="153" s="99" customFormat="1" spans="1:6">
      <c r="A153" s="99">
        <v>40050020060</v>
      </c>
      <c r="B153" s="99" t="s">
        <v>308</v>
      </c>
      <c r="C153" s="99">
        <v>40050020</v>
      </c>
      <c r="D153" s="99">
        <v>1</v>
      </c>
      <c r="E153" s="99" t="s">
        <v>375</v>
      </c>
      <c r="F153" s="99" t="s">
        <v>378</v>
      </c>
    </row>
    <row r="154" s="99" customFormat="1" spans="1:6">
      <c r="A154" s="99">
        <v>40050020070</v>
      </c>
      <c r="B154" s="99" t="s">
        <v>309</v>
      </c>
      <c r="C154" s="99">
        <v>40050020</v>
      </c>
      <c r="D154" s="99">
        <v>1</v>
      </c>
      <c r="E154" s="99" t="s">
        <v>375</v>
      </c>
      <c r="F154" s="99" t="s">
        <v>378</v>
      </c>
    </row>
    <row r="155" s="99" customFormat="1" spans="1:6">
      <c r="A155" s="99">
        <v>40050020080</v>
      </c>
      <c r="B155" s="99" t="s">
        <v>379</v>
      </c>
      <c r="C155" s="99">
        <v>40050020</v>
      </c>
      <c r="D155" s="99">
        <v>1</v>
      </c>
      <c r="E155" s="99" t="s">
        <v>375</v>
      </c>
      <c r="F155" s="99" t="s">
        <v>378</v>
      </c>
    </row>
    <row r="156" s="99" customFormat="1" spans="1:6">
      <c r="A156" s="99">
        <v>40050020090</v>
      </c>
      <c r="B156" s="99" t="s">
        <v>310</v>
      </c>
      <c r="C156" s="99">
        <v>40050020</v>
      </c>
      <c r="D156" s="99">
        <v>1</v>
      </c>
      <c r="E156" s="99" t="s">
        <v>375</v>
      </c>
      <c r="F156" s="99" t="s">
        <v>378</v>
      </c>
    </row>
    <row r="157" s="99" customFormat="1" spans="1:6">
      <c r="A157" s="99">
        <v>40050020100</v>
      </c>
      <c r="B157" s="99" t="s">
        <v>223</v>
      </c>
      <c r="C157" s="99">
        <v>40050020</v>
      </c>
      <c r="D157" s="99">
        <v>1</v>
      </c>
      <c r="E157" s="99" t="s">
        <v>375</v>
      </c>
      <c r="F157" s="99" t="s">
        <v>378</v>
      </c>
    </row>
    <row r="158" s="99" customFormat="1" spans="1:4">
      <c r="A158" s="99">
        <v>40050030</v>
      </c>
      <c r="B158" s="99" t="s">
        <v>224</v>
      </c>
      <c r="C158" s="99">
        <v>40050</v>
      </c>
      <c r="D158" s="99">
        <v>2</v>
      </c>
    </row>
    <row r="159" s="99" customFormat="1" spans="1:6">
      <c r="A159" s="99">
        <v>40050030010</v>
      </c>
      <c r="B159" s="99" t="s">
        <v>225</v>
      </c>
      <c r="C159" s="99">
        <v>40050030</v>
      </c>
      <c r="D159" s="99">
        <v>1</v>
      </c>
      <c r="E159" s="99" t="s">
        <v>375</v>
      </c>
      <c r="F159" s="99" t="s">
        <v>380</v>
      </c>
    </row>
    <row r="160" s="99" customFormat="1" spans="1:6">
      <c r="A160" s="99">
        <v>40050030020</v>
      </c>
      <c r="B160" s="99" t="s">
        <v>226</v>
      </c>
      <c r="C160" s="99">
        <v>40050030</v>
      </c>
      <c r="D160" s="99">
        <v>1</v>
      </c>
      <c r="E160" s="99" t="s">
        <v>375</v>
      </c>
      <c r="F160" s="99" t="s">
        <v>380</v>
      </c>
    </row>
    <row r="161" s="99" customFormat="1" spans="1:6">
      <c r="A161" s="99">
        <v>40050030030</v>
      </c>
      <c r="B161" s="99" t="s">
        <v>227</v>
      </c>
      <c r="C161" s="99">
        <v>40050030</v>
      </c>
      <c r="D161" s="99">
        <v>1</v>
      </c>
      <c r="E161" s="99" t="s">
        <v>375</v>
      </c>
      <c r="F161" s="99" t="s">
        <v>380</v>
      </c>
    </row>
    <row r="162" s="99" customFormat="1" spans="1:6">
      <c r="A162" s="99">
        <v>40050030040</v>
      </c>
      <c r="B162" s="99" t="s">
        <v>228</v>
      </c>
      <c r="C162" s="99">
        <v>40050030</v>
      </c>
      <c r="D162" s="99">
        <v>1</v>
      </c>
      <c r="E162" s="99" t="s">
        <v>375</v>
      </c>
      <c r="F162" s="99" t="s">
        <v>380</v>
      </c>
    </row>
    <row r="163" s="99" customFormat="1" spans="1:6">
      <c r="A163" s="99">
        <v>40050030050</v>
      </c>
      <c r="B163" s="99" t="s">
        <v>381</v>
      </c>
      <c r="C163" s="99">
        <v>40050030</v>
      </c>
      <c r="D163" s="99">
        <v>1</v>
      </c>
      <c r="E163" s="99" t="s">
        <v>375</v>
      </c>
      <c r="F163" s="99" t="s">
        <v>380</v>
      </c>
    </row>
    <row r="164" s="99" customFormat="1" spans="1:4">
      <c r="A164" s="99">
        <v>40050040</v>
      </c>
      <c r="B164" s="99" t="s">
        <v>311</v>
      </c>
      <c r="C164" s="99">
        <v>40050</v>
      </c>
      <c r="D164" s="99">
        <v>2</v>
      </c>
    </row>
    <row r="165" s="99" customFormat="1" spans="1:6">
      <c r="A165" s="99">
        <v>40050040010</v>
      </c>
      <c r="B165" s="99" t="s">
        <v>312</v>
      </c>
      <c r="C165" s="99">
        <v>40050040</v>
      </c>
      <c r="D165" s="99">
        <v>1</v>
      </c>
      <c r="E165" s="99" t="s">
        <v>375</v>
      </c>
      <c r="F165" s="99" t="s">
        <v>382</v>
      </c>
    </row>
    <row r="166" s="99" customFormat="1" spans="1:6">
      <c r="A166" s="99">
        <v>40050040020</v>
      </c>
      <c r="B166" s="99" t="s">
        <v>314</v>
      </c>
      <c r="C166" s="99">
        <v>40050040</v>
      </c>
      <c r="D166" s="99">
        <v>1</v>
      </c>
      <c r="E166" s="99" t="s">
        <v>375</v>
      </c>
      <c r="F166" s="99" t="s">
        <v>383</v>
      </c>
    </row>
    <row r="167" s="99" customFormat="1" spans="1:4">
      <c r="A167" s="99">
        <v>40060</v>
      </c>
      <c r="B167" s="99" t="s">
        <v>231</v>
      </c>
      <c r="C167" s="99">
        <v>40</v>
      </c>
      <c r="D167" s="99">
        <v>2</v>
      </c>
    </row>
    <row r="168" s="99" customFormat="1" spans="1:4">
      <c r="A168" s="99">
        <v>40060010</v>
      </c>
      <c r="B168" s="99" t="s">
        <v>232</v>
      </c>
      <c r="C168" s="99">
        <v>40060</v>
      </c>
      <c r="D168" s="99">
        <v>2</v>
      </c>
    </row>
    <row r="169" s="99" customFormat="1" spans="1:6">
      <c r="A169" s="99">
        <v>40060010010</v>
      </c>
      <c r="B169" s="99" t="s">
        <v>233</v>
      </c>
      <c r="C169" s="99">
        <v>40060010</v>
      </c>
      <c r="D169" s="99">
        <v>1</v>
      </c>
      <c r="E169" s="99" t="s">
        <v>384</v>
      </c>
      <c r="F169" s="99" t="s">
        <v>385</v>
      </c>
    </row>
    <row r="170" s="99" customFormat="1" spans="1:4">
      <c r="A170" s="99">
        <v>40060020</v>
      </c>
      <c r="B170" s="99" t="s">
        <v>235</v>
      </c>
      <c r="C170" s="99">
        <v>40060</v>
      </c>
      <c r="D170" s="99">
        <v>2</v>
      </c>
    </row>
    <row r="171" s="99" customFormat="1" spans="1:6">
      <c r="A171" s="99">
        <v>40060020010</v>
      </c>
      <c r="B171" s="99" t="s">
        <v>386</v>
      </c>
      <c r="C171" s="99">
        <v>40060020</v>
      </c>
      <c r="D171" s="99">
        <v>1</v>
      </c>
      <c r="E171" s="99" t="s">
        <v>384</v>
      </c>
      <c r="F171" s="99" t="s">
        <v>387</v>
      </c>
    </row>
    <row r="172" s="99" customFormat="1" spans="1:6">
      <c r="A172" s="99">
        <v>40060020020</v>
      </c>
      <c r="B172" s="99" t="s">
        <v>237</v>
      </c>
      <c r="C172" s="99">
        <v>40060020</v>
      </c>
      <c r="D172" s="99">
        <v>1</v>
      </c>
      <c r="E172" s="99" t="s">
        <v>384</v>
      </c>
      <c r="F172" s="99" t="s">
        <v>387</v>
      </c>
    </row>
    <row r="173" s="99" customFormat="1" spans="1:4">
      <c r="A173" s="99">
        <v>40060030</v>
      </c>
      <c r="B173" s="99" t="s">
        <v>238</v>
      </c>
      <c r="C173" s="99">
        <v>40060</v>
      </c>
      <c r="D173" s="99">
        <v>2</v>
      </c>
    </row>
    <row r="174" s="99" customFormat="1" spans="1:6">
      <c r="A174" s="99">
        <v>40060030010</v>
      </c>
      <c r="B174" s="99" t="s">
        <v>238</v>
      </c>
      <c r="C174" s="99">
        <v>40060030</v>
      </c>
      <c r="D174" s="99">
        <v>1</v>
      </c>
      <c r="E174" s="99" t="s">
        <v>384</v>
      </c>
      <c r="F174" s="99" t="s">
        <v>388</v>
      </c>
    </row>
    <row r="175" s="99" customFormat="1" spans="1:4">
      <c r="A175" s="99">
        <v>40060040</v>
      </c>
      <c r="B175" s="99" t="s">
        <v>239</v>
      </c>
      <c r="C175" s="99">
        <v>40060</v>
      </c>
      <c r="D175" s="99">
        <v>2</v>
      </c>
    </row>
    <row r="176" s="99" customFormat="1" spans="1:6">
      <c r="A176" s="99">
        <v>40060040010</v>
      </c>
      <c r="B176" s="99" t="s">
        <v>389</v>
      </c>
      <c r="C176" s="99">
        <v>40060040</v>
      </c>
      <c r="D176" s="99">
        <v>1</v>
      </c>
      <c r="E176" s="99" t="s">
        <v>384</v>
      </c>
      <c r="F176" s="99" t="s">
        <v>390</v>
      </c>
    </row>
    <row r="177" s="99" customFormat="1" spans="1:4">
      <c r="A177" s="99">
        <v>40070</v>
      </c>
      <c r="B177" s="99" t="s">
        <v>242</v>
      </c>
      <c r="C177" s="99">
        <v>40</v>
      </c>
      <c r="D177" s="99">
        <v>2</v>
      </c>
    </row>
    <row r="178" s="99" customFormat="1" spans="1:4">
      <c r="A178" s="99">
        <v>40070010</v>
      </c>
      <c r="B178" s="99" t="s">
        <v>243</v>
      </c>
      <c r="C178" s="99">
        <v>40070</v>
      </c>
      <c r="D178" s="99">
        <v>2</v>
      </c>
    </row>
    <row r="179" s="99" customFormat="1" spans="1:6">
      <c r="A179" s="99">
        <v>40070010010</v>
      </c>
      <c r="B179" s="99" t="s">
        <v>243</v>
      </c>
      <c r="C179" s="99">
        <v>40070010</v>
      </c>
      <c r="D179" s="99">
        <v>1</v>
      </c>
      <c r="E179" s="99" t="s">
        <v>391</v>
      </c>
      <c r="F179" s="99" t="s">
        <v>392</v>
      </c>
    </row>
    <row r="180" s="99" customFormat="1" spans="1:4">
      <c r="A180" s="99">
        <v>40070020</v>
      </c>
      <c r="B180" s="99" t="s">
        <v>244</v>
      </c>
      <c r="C180" s="99">
        <v>40070</v>
      </c>
      <c r="D180" s="99">
        <v>2</v>
      </c>
    </row>
    <row r="181" s="99" customFormat="1" spans="1:6">
      <c r="A181" s="99">
        <v>40070020010</v>
      </c>
      <c r="B181" s="99" t="s">
        <v>244</v>
      </c>
      <c r="C181" s="99">
        <v>40070020</v>
      </c>
      <c r="D181" s="99">
        <v>1</v>
      </c>
      <c r="E181" s="99" t="s">
        <v>391</v>
      </c>
      <c r="F181" s="99" t="s">
        <v>393</v>
      </c>
    </row>
    <row r="182" s="99" customFormat="1" spans="1:4">
      <c r="A182" s="99">
        <v>40070030</v>
      </c>
      <c r="B182" s="99" t="s">
        <v>245</v>
      </c>
      <c r="C182" s="99">
        <v>40070</v>
      </c>
      <c r="D182" s="99">
        <v>2</v>
      </c>
    </row>
    <row r="183" s="99" customFormat="1" spans="1:6">
      <c r="A183" s="99">
        <v>40070030010</v>
      </c>
      <c r="B183" s="99" t="s">
        <v>245</v>
      </c>
      <c r="C183" s="99">
        <v>40070030</v>
      </c>
      <c r="D183" s="99">
        <v>1</v>
      </c>
      <c r="E183" s="99" t="s">
        <v>391</v>
      </c>
      <c r="F183" s="99" t="s">
        <v>394</v>
      </c>
    </row>
    <row r="184" s="99" customFormat="1" spans="1:4">
      <c r="A184" s="99">
        <v>40080</v>
      </c>
      <c r="B184" s="99" t="s">
        <v>247</v>
      </c>
      <c r="C184" s="99">
        <v>40</v>
      </c>
      <c r="D184" s="99">
        <v>2</v>
      </c>
    </row>
    <row r="185" s="99" customFormat="1" spans="1:4">
      <c r="A185" s="99">
        <v>40080010</v>
      </c>
      <c r="B185" s="99" t="s">
        <v>315</v>
      </c>
      <c r="C185" s="99">
        <v>40080</v>
      </c>
      <c r="D185" s="99">
        <v>2</v>
      </c>
    </row>
    <row r="186" s="99" customFormat="1" spans="1:6">
      <c r="A186" s="99">
        <v>40080010010</v>
      </c>
      <c r="B186" s="99" t="s">
        <v>315</v>
      </c>
      <c r="C186" s="99">
        <v>40080010</v>
      </c>
      <c r="D186" s="99">
        <v>1</v>
      </c>
      <c r="E186" s="99" t="s">
        <v>395</v>
      </c>
      <c r="F186" s="99" t="s">
        <v>396</v>
      </c>
    </row>
    <row r="187" s="99" customFormat="1" spans="1:4">
      <c r="A187" s="99">
        <v>40080020</v>
      </c>
      <c r="B187" s="99" t="s">
        <v>397</v>
      </c>
      <c r="C187" s="99">
        <v>40080</v>
      </c>
      <c r="D187" s="99">
        <v>2</v>
      </c>
    </row>
    <row r="188" s="99" customFormat="1" spans="1:6">
      <c r="A188" s="99">
        <v>40080020010</v>
      </c>
      <c r="B188" s="99" t="s">
        <v>397</v>
      </c>
      <c r="C188" s="99">
        <v>40080020</v>
      </c>
      <c r="D188" s="99">
        <v>1</v>
      </c>
      <c r="E188" s="99" t="s">
        <v>395</v>
      </c>
      <c r="F188" s="99" t="s">
        <v>396</v>
      </c>
    </row>
    <row r="189" s="99" customFormat="1" spans="1:4">
      <c r="A189" s="99">
        <v>40080030</v>
      </c>
      <c r="B189" s="99" t="s">
        <v>252</v>
      </c>
      <c r="C189" s="99">
        <v>40080</v>
      </c>
      <c r="D189" s="99">
        <v>2</v>
      </c>
    </row>
    <row r="190" s="99" customFormat="1" spans="1:6">
      <c r="A190" s="99">
        <v>40080030010</v>
      </c>
      <c r="B190" s="99" t="s">
        <v>252</v>
      </c>
      <c r="C190" s="99">
        <v>40080030</v>
      </c>
      <c r="D190" s="99">
        <v>1</v>
      </c>
      <c r="E190" s="99" t="s">
        <v>395</v>
      </c>
      <c r="F190" s="99" t="s">
        <v>396</v>
      </c>
    </row>
    <row r="191" s="99" customFormat="1" spans="1:4">
      <c r="A191" s="99">
        <v>40080040</v>
      </c>
      <c r="B191" s="99" t="s">
        <v>253</v>
      </c>
      <c r="C191" s="99">
        <v>40080</v>
      </c>
      <c r="D191" s="99">
        <v>2</v>
      </c>
    </row>
    <row r="192" s="99" customFormat="1" spans="1:6">
      <c r="A192" s="99">
        <v>40080040010</v>
      </c>
      <c r="B192" s="99" t="s">
        <v>253</v>
      </c>
      <c r="C192" s="99">
        <v>40080040</v>
      </c>
      <c r="D192" s="99">
        <v>1</v>
      </c>
      <c r="E192" s="99" t="s">
        <v>395</v>
      </c>
      <c r="F192" s="99" t="s">
        <v>396</v>
      </c>
    </row>
    <row r="193" s="99" customFormat="1" spans="1:4">
      <c r="A193" s="99">
        <v>40080050</v>
      </c>
      <c r="B193" s="99" t="s">
        <v>254</v>
      </c>
      <c r="C193" s="99">
        <v>40080</v>
      </c>
      <c r="D193" s="99">
        <v>2</v>
      </c>
    </row>
    <row r="194" s="99" customFormat="1" spans="1:6">
      <c r="A194" s="99">
        <v>40080050010</v>
      </c>
      <c r="B194" s="99" t="s">
        <v>254</v>
      </c>
      <c r="C194" s="99">
        <v>40080050</v>
      </c>
      <c r="D194" s="99">
        <v>1</v>
      </c>
      <c r="E194" s="99" t="s">
        <v>395</v>
      </c>
      <c r="F194" s="99" t="s">
        <v>396</v>
      </c>
    </row>
    <row r="195" s="99" customFormat="1" spans="1:4">
      <c r="A195" s="99">
        <v>40080060</v>
      </c>
      <c r="B195" s="99" t="s">
        <v>255</v>
      </c>
      <c r="C195" s="99">
        <v>40080</v>
      </c>
      <c r="D195" s="99">
        <v>2</v>
      </c>
    </row>
    <row r="196" s="99" customFormat="1" spans="1:6">
      <c r="A196" s="99">
        <v>40080060010</v>
      </c>
      <c r="B196" s="99" t="s">
        <v>255</v>
      </c>
      <c r="C196" s="99">
        <v>40080060</v>
      </c>
      <c r="D196" s="99">
        <v>1</v>
      </c>
      <c r="E196" s="99" t="s">
        <v>395</v>
      </c>
      <c r="F196" s="99" t="s">
        <v>396</v>
      </c>
    </row>
    <row r="197" s="99" customFormat="1" spans="1:4">
      <c r="A197" s="99">
        <v>40080070</v>
      </c>
      <c r="B197" s="99" t="s">
        <v>316</v>
      </c>
      <c r="C197" s="99">
        <v>40080</v>
      </c>
      <c r="D197" s="99">
        <v>2</v>
      </c>
    </row>
    <row r="198" s="99" customFormat="1" spans="1:6">
      <c r="A198" s="99">
        <v>40080070010</v>
      </c>
      <c r="B198" s="99" t="s">
        <v>316</v>
      </c>
      <c r="C198" s="99">
        <v>40080070</v>
      </c>
      <c r="D198" s="99">
        <v>1</v>
      </c>
      <c r="E198" s="99" t="s">
        <v>395</v>
      </c>
      <c r="F198" s="99" t="s">
        <v>396</v>
      </c>
    </row>
    <row r="199" s="99" customFormat="1" spans="1:4">
      <c r="A199" s="99">
        <v>40080080</v>
      </c>
      <c r="B199" s="99" t="s">
        <v>256</v>
      </c>
      <c r="C199" s="99">
        <v>40080</v>
      </c>
      <c r="D199" s="99">
        <v>2</v>
      </c>
    </row>
    <row r="200" s="99" customFormat="1" spans="1:6">
      <c r="A200" s="99">
        <v>40080080010</v>
      </c>
      <c r="B200" s="99" t="s">
        <v>256</v>
      </c>
      <c r="C200" s="99">
        <v>40080080</v>
      </c>
      <c r="D200" s="99">
        <v>1</v>
      </c>
      <c r="E200" s="99" t="s">
        <v>395</v>
      </c>
      <c r="F200" s="99" t="s">
        <v>396</v>
      </c>
    </row>
    <row r="201" s="99" customFormat="1" spans="1:4">
      <c r="A201" s="99">
        <v>40080090</v>
      </c>
      <c r="B201" s="99" t="s">
        <v>257</v>
      </c>
      <c r="C201" s="99">
        <v>40080</v>
      </c>
      <c r="D201" s="99">
        <v>2</v>
      </c>
    </row>
    <row r="202" s="99" customFormat="1" spans="1:6">
      <c r="A202" s="99">
        <v>40080090010</v>
      </c>
      <c r="B202" s="99" t="s">
        <v>257</v>
      </c>
      <c r="C202" s="99">
        <v>40080090</v>
      </c>
      <c r="D202" s="99">
        <v>1</v>
      </c>
      <c r="E202" s="99" t="s">
        <v>395</v>
      </c>
      <c r="F202" s="99" t="s">
        <v>396</v>
      </c>
    </row>
    <row r="203" s="99" customFormat="1" spans="1:4">
      <c r="A203" s="99">
        <v>40080100</v>
      </c>
      <c r="B203" s="99" t="s">
        <v>258</v>
      </c>
      <c r="C203" s="99">
        <v>40080</v>
      </c>
      <c r="D203" s="99">
        <v>2</v>
      </c>
    </row>
    <row r="204" s="99" customFormat="1" spans="1:6">
      <c r="A204" s="99">
        <v>4008010010</v>
      </c>
      <c r="B204" s="99" t="s">
        <v>258</v>
      </c>
      <c r="C204" s="99">
        <v>40080100</v>
      </c>
      <c r="D204" s="99">
        <v>1</v>
      </c>
      <c r="E204" s="99" t="s">
        <v>395</v>
      </c>
      <c r="F204" s="99" t="s">
        <v>396</v>
      </c>
    </row>
    <row r="205" s="99" customFormat="1" spans="1:4">
      <c r="A205" s="99">
        <v>40080110</v>
      </c>
      <c r="B205" s="99" t="s">
        <v>259</v>
      </c>
      <c r="C205" s="99">
        <v>40080</v>
      </c>
      <c r="D205" s="99">
        <v>2</v>
      </c>
    </row>
    <row r="206" s="99" customFormat="1" spans="1:6">
      <c r="A206" s="99">
        <v>4008011010</v>
      </c>
      <c r="B206" s="99" t="s">
        <v>259</v>
      </c>
      <c r="C206" s="99">
        <v>40080110</v>
      </c>
      <c r="D206" s="99">
        <v>1</v>
      </c>
      <c r="E206" s="99" t="s">
        <v>395</v>
      </c>
      <c r="F206" s="99" t="s">
        <v>396</v>
      </c>
    </row>
  </sheetData>
  <autoFilter ref="A1:F206">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
  <sheetViews>
    <sheetView workbookViewId="0">
      <selection activeCell="A26" sqref="A26"/>
    </sheetView>
  </sheetViews>
  <sheetFormatPr defaultColWidth="9.14285714285714" defaultRowHeight="13.6"/>
  <cols>
    <col min="1" max="1" width="81.7857142857143" customWidth="1"/>
  </cols>
  <sheetData>
    <row r="1" spans="1:1">
      <c r="A1" t="s">
        <v>398</v>
      </c>
    </row>
    <row r="2" spans="1:1">
      <c r="A2" t="s">
        <v>399</v>
      </c>
    </row>
    <row r="3" spans="1:1">
      <c r="A3" t="s">
        <v>400</v>
      </c>
    </row>
    <row r="4" spans="1:1">
      <c r="A4" t="s">
        <v>401</v>
      </c>
    </row>
    <row r="5" spans="1:1">
      <c r="A5" t="s">
        <v>402</v>
      </c>
    </row>
    <row r="6" spans="1:1">
      <c r="A6" t="s">
        <v>403</v>
      </c>
    </row>
    <row r="7" spans="1:1">
      <c r="A7" t="s">
        <v>404</v>
      </c>
    </row>
    <row r="8" spans="1:1">
      <c r="A8" t="s">
        <v>405</v>
      </c>
    </row>
    <row r="9" spans="1:1">
      <c r="A9" t="s">
        <v>406</v>
      </c>
    </row>
    <row r="10" spans="1:1">
      <c r="A10" t="s">
        <v>407</v>
      </c>
    </row>
    <row r="11" spans="1:1">
      <c r="A11" t="s">
        <v>408</v>
      </c>
    </row>
    <row r="12" spans="1:1">
      <c r="A12" t="s">
        <v>409</v>
      </c>
    </row>
    <row r="13" spans="1:1">
      <c r="A13" t="s">
        <v>410</v>
      </c>
    </row>
    <row r="14" spans="1:1">
      <c r="A14" t="s">
        <v>411</v>
      </c>
    </row>
    <row r="15" spans="1:1">
      <c r="A15" t="s">
        <v>412</v>
      </c>
    </row>
    <row r="16" spans="1:1">
      <c r="A16" t="s">
        <v>413</v>
      </c>
    </row>
    <row r="17" spans="1:1">
      <c r="A17" t="s">
        <v>414</v>
      </c>
    </row>
    <row r="18" spans="1:1">
      <c r="A18" t="s">
        <v>415</v>
      </c>
    </row>
    <row r="19" spans="1:1">
      <c r="A19" t="s">
        <v>416</v>
      </c>
    </row>
    <row r="20" spans="1:1">
      <c r="A20" t="s">
        <v>417</v>
      </c>
    </row>
    <row r="21" spans="1:1">
      <c r="A21" t="s">
        <v>418</v>
      </c>
    </row>
    <row r="22" spans="1:1">
      <c r="A22" t="s">
        <v>419</v>
      </c>
    </row>
    <row r="23" spans="1:1">
      <c r="A23" t="s">
        <v>420</v>
      </c>
    </row>
    <row r="24" spans="1:1">
      <c r="A24" t="s">
        <v>421</v>
      </c>
    </row>
    <row r="25" spans="1:1">
      <c r="A25" t="s">
        <v>422</v>
      </c>
    </row>
    <row r="26" spans="1:1">
      <c r="A26" t="s">
        <v>423</v>
      </c>
    </row>
    <row r="27" spans="1:1">
      <c r="A27" t="s">
        <v>424</v>
      </c>
    </row>
    <row r="28" spans="1:1">
      <c r="A28" t="s">
        <v>425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3"/>
  <sheetViews>
    <sheetView workbookViewId="0">
      <selection activeCell="J117" sqref="J117"/>
    </sheetView>
  </sheetViews>
  <sheetFormatPr defaultColWidth="9.14285714285714" defaultRowHeight="13.6"/>
  <cols>
    <col min="1" max="1" width="11.5714285714286" customWidth="1"/>
    <col min="2" max="2" width="29.9285714285714" customWidth="1"/>
    <col min="3" max="3" width="39.1428571428571" customWidth="1"/>
    <col min="4" max="4" width="20.7857142857143" customWidth="1"/>
    <col min="8" max="8" width="22.5714285714286" customWidth="1"/>
    <col min="9" max="9" width="27.5714285714286" customWidth="1"/>
    <col min="10" max="10" width="31.2142857142857" customWidth="1"/>
    <col min="11" max="11" width="9.57142857142857" customWidth="1"/>
  </cols>
  <sheetData>
    <row r="1" ht="16.8" spans="1:11">
      <c r="A1" s="51" t="s">
        <v>36</v>
      </c>
      <c r="B1" t="s">
        <v>36</v>
      </c>
      <c r="C1" t="s">
        <v>36</v>
      </c>
      <c r="D1" t="s">
        <v>36</v>
      </c>
      <c r="H1" s="81" t="s">
        <v>264</v>
      </c>
      <c r="I1" s="81" t="s">
        <v>265</v>
      </c>
      <c r="J1" s="81" t="s">
        <v>266</v>
      </c>
      <c r="K1" s="81" t="s">
        <v>267</v>
      </c>
    </row>
    <row r="2" ht="14" spans="1:11">
      <c r="A2" s="52" t="s">
        <v>44</v>
      </c>
      <c r="B2" s="52" t="s">
        <v>45</v>
      </c>
      <c r="C2" s="52" t="s">
        <v>46</v>
      </c>
      <c r="D2" s="52" t="s">
        <v>47</v>
      </c>
      <c r="H2" s="53" t="s">
        <v>48</v>
      </c>
      <c r="I2" s="54" t="s">
        <v>49</v>
      </c>
      <c r="J2" s="55" t="s">
        <v>50</v>
      </c>
      <c r="K2" s="56" t="s">
        <v>51</v>
      </c>
    </row>
    <row r="3" ht="14" spans="1:11">
      <c r="A3" s="53" t="s">
        <v>48</v>
      </c>
      <c r="B3" s="54" t="s">
        <v>49</v>
      </c>
      <c r="C3" s="55" t="s">
        <v>50</v>
      </c>
      <c r="D3" s="56" t="s">
        <v>51</v>
      </c>
      <c r="H3" t="s">
        <v>48</v>
      </c>
      <c r="I3" t="s">
        <v>49</v>
      </c>
      <c r="J3" t="s">
        <v>50</v>
      </c>
      <c r="K3" s="56" t="s">
        <v>52</v>
      </c>
    </row>
    <row r="4" ht="14" spans="1:11">
      <c r="A4" t="s">
        <v>48</v>
      </c>
      <c r="B4" t="s">
        <v>49</v>
      </c>
      <c r="C4" t="s">
        <v>50</v>
      </c>
      <c r="D4" s="56" t="s">
        <v>52</v>
      </c>
      <c r="H4" t="s">
        <v>48</v>
      </c>
      <c r="I4" t="s">
        <v>49</v>
      </c>
      <c r="J4" s="54" t="s">
        <v>53</v>
      </c>
      <c r="K4" s="56" t="s">
        <v>53</v>
      </c>
    </row>
    <row r="5" ht="28" spans="1:11">
      <c r="A5" t="s">
        <v>48</v>
      </c>
      <c r="B5" t="s">
        <v>49</v>
      </c>
      <c r="C5" s="54" t="s">
        <v>53</v>
      </c>
      <c r="D5" s="56" t="s">
        <v>53</v>
      </c>
      <c r="H5" t="s">
        <v>48</v>
      </c>
      <c r="I5" s="57" t="s">
        <v>54</v>
      </c>
      <c r="J5" s="58" t="s">
        <v>55</v>
      </c>
      <c r="K5" s="59" t="s">
        <v>55</v>
      </c>
    </row>
    <row r="6" ht="14" spans="1:11">
      <c r="A6" t="s">
        <v>48</v>
      </c>
      <c r="B6" s="57" t="s">
        <v>54</v>
      </c>
      <c r="C6" s="58" t="s">
        <v>55</v>
      </c>
      <c r="D6" s="59" t="s">
        <v>55</v>
      </c>
      <c r="H6" t="s">
        <v>48</v>
      </c>
      <c r="I6" t="s">
        <v>54</v>
      </c>
      <c r="J6" s="57" t="s">
        <v>56</v>
      </c>
      <c r="K6" s="60" t="s">
        <v>57</v>
      </c>
    </row>
    <row r="7" ht="41" spans="1:11">
      <c r="A7" t="s">
        <v>48</v>
      </c>
      <c r="B7" t="s">
        <v>54</v>
      </c>
      <c r="C7" s="57" t="s">
        <v>56</v>
      </c>
      <c r="D7" s="60" t="s">
        <v>57</v>
      </c>
      <c r="H7" t="s">
        <v>48</v>
      </c>
      <c r="I7" t="s">
        <v>54</v>
      </c>
      <c r="J7" t="s">
        <v>56</v>
      </c>
      <c r="K7" s="60" t="s">
        <v>59</v>
      </c>
    </row>
    <row r="8" ht="14" spans="1:11">
      <c r="A8" t="s">
        <v>48</v>
      </c>
      <c r="B8" t="s">
        <v>54</v>
      </c>
      <c r="C8" t="s">
        <v>56</v>
      </c>
      <c r="D8" s="60" t="s">
        <v>59</v>
      </c>
      <c r="H8" t="s">
        <v>48</v>
      </c>
      <c r="I8" s="58" t="s">
        <v>60</v>
      </c>
      <c r="J8" s="58" t="s">
        <v>60</v>
      </c>
      <c r="K8" s="59" t="s">
        <v>60</v>
      </c>
    </row>
    <row r="9" ht="14" spans="1:11">
      <c r="A9" t="s">
        <v>48</v>
      </c>
      <c r="B9" s="58" t="s">
        <v>60</v>
      </c>
      <c r="C9" s="58" t="s">
        <v>60</v>
      </c>
      <c r="D9" s="59" t="s">
        <v>60</v>
      </c>
      <c r="H9" t="s">
        <v>48</v>
      </c>
      <c r="I9" s="57" t="s">
        <v>61</v>
      </c>
      <c r="J9" s="57" t="s">
        <v>62</v>
      </c>
      <c r="K9" s="60" t="s">
        <v>63</v>
      </c>
    </row>
    <row r="10" ht="14" spans="1:11">
      <c r="A10" t="s">
        <v>48</v>
      </c>
      <c r="B10" s="57" t="s">
        <v>61</v>
      </c>
      <c r="C10" s="57" t="s">
        <v>62</v>
      </c>
      <c r="D10" s="60" t="s">
        <v>63</v>
      </c>
      <c r="H10" t="s">
        <v>48</v>
      </c>
      <c r="I10" t="s">
        <v>61</v>
      </c>
      <c r="J10" t="s">
        <v>62</v>
      </c>
      <c r="K10" s="60" t="s">
        <v>64</v>
      </c>
    </row>
    <row r="11" ht="14" spans="1:11">
      <c r="A11" t="s">
        <v>48</v>
      </c>
      <c r="B11" t="s">
        <v>61</v>
      </c>
      <c r="C11" t="s">
        <v>62</v>
      </c>
      <c r="D11" s="60" t="s">
        <v>64</v>
      </c>
      <c r="H11" t="s">
        <v>48</v>
      </c>
      <c r="I11" t="s">
        <v>61</v>
      </c>
      <c r="J11" t="s">
        <v>62</v>
      </c>
      <c r="K11" s="60" t="s">
        <v>65</v>
      </c>
    </row>
    <row r="12" ht="14" spans="1:11">
      <c r="A12" t="s">
        <v>48</v>
      </c>
      <c r="B12" t="s">
        <v>61</v>
      </c>
      <c r="C12" t="s">
        <v>62</v>
      </c>
      <c r="D12" s="60" t="s">
        <v>65</v>
      </c>
      <c r="H12" t="s">
        <v>48</v>
      </c>
      <c r="I12" t="s">
        <v>61</v>
      </c>
      <c r="J12" s="61" t="s">
        <v>68</v>
      </c>
      <c r="K12" s="60" t="s">
        <v>69</v>
      </c>
    </row>
    <row r="13" ht="14" spans="1:11">
      <c r="A13" t="s">
        <v>48</v>
      </c>
      <c r="B13" t="s">
        <v>61</v>
      </c>
      <c r="C13" s="61" t="s">
        <v>66</v>
      </c>
      <c r="D13" s="60" t="s">
        <v>67</v>
      </c>
      <c r="H13" t="s">
        <v>48</v>
      </c>
      <c r="I13" t="s">
        <v>61</v>
      </c>
      <c r="J13" s="61" t="s">
        <v>331</v>
      </c>
      <c r="K13" s="60" t="s">
        <v>67</v>
      </c>
    </row>
    <row r="14" ht="28" spans="1:11">
      <c r="A14" t="s">
        <v>48</v>
      </c>
      <c r="B14" t="s">
        <v>61</v>
      </c>
      <c r="C14" s="61" t="s">
        <v>68</v>
      </c>
      <c r="D14" s="60" t="s">
        <v>69</v>
      </c>
      <c r="H14" t="s">
        <v>48</v>
      </c>
      <c r="I14" t="s">
        <v>61</v>
      </c>
      <c r="J14" s="61" t="s">
        <v>268</v>
      </c>
      <c r="K14" s="60" t="s">
        <v>70</v>
      </c>
    </row>
    <row r="15" ht="14" spans="1:11">
      <c r="A15" t="s">
        <v>48</v>
      </c>
      <c r="B15" t="s">
        <v>61</v>
      </c>
      <c r="C15" s="61" t="s">
        <v>70</v>
      </c>
      <c r="D15" s="60" t="s">
        <v>70</v>
      </c>
      <c r="H15" t="s">
        <v>48</v>
      </c>
      <c r="I15" t="s">
        <v>61</v>
      </c>
      <c r="J15" s="62" t="s">
        <v>268</v>
      </c>
      <c r="K15" s="62" t="s">
        <v>269</v>
      </c>
    </row>
    <row r="16" ht="28" spans="1:11">
      <c r="A16" t="s">
        <v>48</v>
      </c>
      <c r="B16" t="s">
        <v>61</v>
      </c>
      <c r="C16" s="62" t="s">
        <v>71</v>
      </c>
      <c r="D16" s="62" t="s">
        <v>73</v>
      </c>
      <c r="H16" t="s">
        <v>48</v>
      </c>
      <c r="I16" t="s">
        <v>61</v>
      </c>
      <c r="J16" t="s">
        <v>332</v>
      </c>
      <c r="K16" s="62" t="s">
        <v>271</v>
      </c>
    </row>
    <row r="17" ht="41" spans="1:11">
      <c r="A17" t="s">
        <v>48</v>
      </c>
      <c r="B17" t="s">
        <v>61</v>
      </c>
      <c r="C17" t="s">
        <v>71</v>
      </c>
      <c r="D17" s="62" t="s">
        <v>74</v>
      </c>
      <c r="H17" t="s">
        <v>48</v>
      </c>
      <c r="I17" t="s">
        <v>61</v>
      </c>
      <c r="J17" t="s">
        <v>332</v>
      </c>
      <c r="K17" s="62" t="s">
        <v>273</v>
      </c>
    </row>
    <row r="18" ht="41" spans="1:11">
      <c r="A18" t="s">
        <v>48</v>
      </c>
      <c r="B18" t="s">
        <v>61</v>
      </c>
      <c r="C18" t="s">
        <v>71</v>
      </c>
      <c r="D18" s="62" t="s">
        <v>76</v>
      </c>
      <c r="H18" t="s">
        <v>48</v>
      </c>
      <c r="I18" t="s">
        <v>61</v>
      </c>
      <c r="J18" t="s">
        <v>332</v>
      </c>
      <c r="K18" s="62" t="s">
        <v>274</v>
      </c>
    </row>
    <row r="19" ht="28" spans="1:11">
      <c r="A19" t="s">
        <v>48</v>
      </c>
      <c r="B19" t="s">
        <v>61</v>
      </c>
      <c r="C19" t="s">
        <v>71</v>
      </c>
      <c r="D19" s="62" t="s">
        <v>77</v>
      </c>
      <c r="H19" t="s">
        <v>48</v>
      </c>
      <c r="I19" t="s">
        <v>61</v>
      </c>
      <c r="J19" s="62" t="s">
        <v>332</v>
      </c>
      <c r="K19" s="62" t="s">
        <v>276</v>
      </c>
    </row>
    <row r="20" ht="14" spans="1:11">
      <c r="A20" t="s">
        <v>48</v>
      </c>
      <c r="B20" t="s">
        <v>61</v>
      </c>
      <c r="C20" s="62" t="s">
        <v>78</v>
      </c>
      <c r="D20" s="62" t="s">
        <v>79</v>
      </c>
      <c r="H20" t="s">
        <v>48</v>
      </c>
      <c r="I20" t="s">
        <v>61</v>
      </c>
      <c r="J20" t="s">
        <v>332</v>
      </c>
      <c r="K20" s="62" t="s">
        <v>82</v>
      </c>
    </row>
    <row r="21" ht="14" spans="1:11">
      <c r="A21" t="s">
        <v>48</v>
      </c>
      <c r="B21" t="s">
        <v>61</v>
      </c>
      <c r="C21" t="s">
        <v>78</v>
      </c>
      <c r="D21" s="62" t="s">
        <v>80</v>
      </c>
      <c r="H21" t="s">
        <v>48</v>
      </c>
      <c r="I21" t="s">
        <v>61</v>
      </c>
      <c r="J21" t="s">
        <v>332</v>
      </c>
      <c r="K21" s="62" t="s">
        <v>81</v>
      </c>
    </row>
    <row r="22" ht="41" spans="1:11">
      <c r="A22" t="s">
        <v>48</v>
      </c>
      <c r="B22" t="s">
        <v>61</v>
      </c>
      <c r="C22" t="s">
        <v>78</v>
      </c>
      <c r="D22" s="62" t="s">
        <v>81</v>
      </c>
      <c r="H22" t="s">
        <v>48</v>
      </c>
      <c r="I22" t="s">
        <v>61</v>
      </c>
      <c r="J22" t="s">
        <v>277</v>
      </c>
      <c r="K22" s="62" t="s">
        <v>278</v>
      </c>
    </row>
    <row r="23" ht="41" spans="1:11">
      <c r="A23" t="s">
        <v>48</v>
      </c>
      <c r="B23" t="s">
        <v>61</v>
      </c>
      <c r="C23" t="s">
        <v>78</v>
      </c>
      <c r="D23" s="62" t="s">
        <v>82</v>
      </c>
      <c r="H23" t="s">
        <v>48</v>
      </c>
      <c r="I23" t="s">
        <v>61</v>
      </c>
      <c r="J23" s="62" t="s">
        <v>277</v>
      </c>
      <c r="K23" s="63" t="s">
        <v>279</v>
      </c>
    </row>
    <row r="24" ht="41" spans="1:11">
      <c r="A24" t="s">
        <v>48</v>
      </c>
      <c r="B24" t="s">
        <v>61</v>
      </c>
      <c r="C24" s="62" t="s">
        <v>83</v>
      </c>
      <c r="D24" s="63" t="s">
        <v>85</v>
      </c>
      <c r="H24" t="s">
        <v>48</v>
      </c>
      <c r="I24" t="s">
        <v>87</v>
      </c>
      <c r="J24" s="62" t="s">
        <v>88</v>
      </c>
      <c r="K24" s="62" t="s">
        <v>88</v>
      </c>
    </row>
    <row r="25" ht="28" spans="1:11">
      <c r="A25" t="s">
        <v>48</v>
      </c>
      <c r="B25" t="s">
        <v>61</v>
      </c>
      <c r="C25" s="62" t="s">
        <v>86</v>
      </c>
      <c r="D25" s="62" t="s">
        <v>86</v>
      </c>
      <c r="H25" t="s">
        <v>48</v>
      </c>
      <c r="I25" s="57" t="s">
        <v>87</v>
      </c>
      <c r="J25" s="61" t="s">
        <v>96</v>
      </c>
      <c r="K25" s="63" t="s">
        <v>96</v>
      </c>
    </row>
    <row r="26" ht="41" spans="1:11">
      <c r="A26" t="s">
        <v>48</v>
      </c>
      <c r="B26" s="57" t="s">
        <v>87</v>
      </c>
      <c r="C26" s="61" t="s">
        <v>88</v>
      </c>
      <c r="D26" s="63" t="s">
        <v>90</v>
      </c>
      <c r="H26" t="s">
        <v>48</v>
      </c>
      <c r="I26" t="s">
        <v>87</v>
      </c>
      <c r="J26" t="s">
        <v>280</v>
      </c>
      <c r="K26" s="63" t="s">
        <v>280</v>
      </c>
    </row>
    <row r="27" ht="41" spans="1:11">
      <c r="A27" t="s">
        <v>48</v>
      </c>
      <c r="B27" t="s">
        <v>87</v>
      </c>
      <c r="C27" t="s">
        <v>88</v>
      </c>
      <c r="D27" s="63" t="s">
        <v>92</v>
      </c>
      <c r="H27" t="s">
        <v>48</v>
      </c>
      <c r="I27" t="s">
        <v>426</v>
      </c>
      <c r="J27" t="s">
        <v>105</v>
      </c>
      <c r="K27" s="63" t="s">
        <v>106</v>
      </c>
    </row>
    <row r="28" ht="41" spans="1:11">
      <c r="A28" t="s">
        <v>48</v>
      </c>
      <c r="B28" t="s">
        <v>87</v>
      </c>
      <c r="C28" t="s">
        <v>88</v>
      </c>
      <c r="D28" s="63" t="s">
        <v>93</v>
      </c>
      <c r="H28" t="s">
        <v>48</v>
      </c>
      <c r="I28" t="s">
        <v>426</v>
      </c>
      <c r="J28" t="s">
        <v>105</v>
      </c>
      <c r="K28" s="63" t="s">
        <v>108</v>
      </c>
    </row>
    <row r="29" ht="41" spans="1:11">
      <c r="A29" t="s">
        <v>48</v>
      </c>
      <c r="B29" t="s">
        <v>87</v>
      </c>
      <c r="C29" t="s">
        <v>88</v>
      </c>
      <c r="D29" s="63" t="s">
        <v>95</v>
      </c>
      <c r="H29" t="s">
        <v>48</v>
      </c>
      <c r="I29" t="s">
        <v>426</v>
      </c>
      <c r="J29" s="61" t="s">
        <v>111</v>
      </c>
      <c r="K29" s="63" t="s">
        <v>427</v>
      </c>
    </row>
    <row r="30" ht="28" spans="1:11">
      <c r="A30" t="s">
        <v>48</v>
      </c>
      <c r="B30" t="s">
        <v>87</v>
      </c>
      <c r="C30" s="61" t="s">
        <v>96</v>
      </c>
      <c r="D30" s="63" t="s">
        <v>98</v>
      </c>
      <c r="H30" t="s">
        <v>48</v>
      </c>
      <c r="I30" t="s">
        <v>426</v>
      </c>
      <c r="J30" t="s">
        <v>111</v>
      </c>
      <c r="K30" s="63" t="s">
        <v>428</v>
      </c>
    </row>
    <row r="31" ht="28" spans="1:11">
      <c r="A31" t="s">
        <v>48</v>
      </c>
      <c r="B31" t="s">
        <v>87</v>
      </c>
      <c r="C31" t="s">
        <v>96</v>
      </c>
      <c r="D31" s="63" t="s">
        <v>100</v>
      </c>
      <c r="H31" t="s">
        <v>48</v>
      </c>
      <c r="I31" s="57" t="s">
        <v>426</v>
      </c>
      <c r="J31" s="57" t="s">
        <v>113</v>
      </c>
      <c r="K31" s="60" t="s">
        <v>115</v>
      </c>
    </row>
    <row r="32" ht="28" spans="1:11">
      <c r="A32" t="s">
        <v>48</v>
      </c>
      <c r="B32" s="57" t="s">
        <v>104</v>
      </c>
      <c r="C32" s="57" t="s">
        <v>105</v>
      </c>
      <c r="D32" s="60" t="s">
        <v>106</v>
      </c>
      <c r="H32" t="s">
        <v>48</v>
      </c>
      <c r="I32" t="s">
        <v>426</v>
      </c>
      <c r="J32" t="s">
        <v>113</v>
      </c>
      <c r="K32" s="60" t="s">
        <v>117</v>
      </c>
    </row>
    <row r="33" ht="55" spans="1:11">
      <c r="A33" t="s">
        <v>48</v>
      </c>
      <c r="B33" t="s">
        <v>104</v>
      </c>
      <c r="C33" t="s">
        <v>105</v>
      </c>
      <c r="D33" s="60" t="s">
        <v>108</v>
      </c>
      <c r="H33" t="s">
        <v>48</v>
      </c>
      <c r="I33" t="s">
        <v>118</v>
      </c>
      <c r="J33" s="57" t="s">
        <v>341</v>
      </c>
      <c r="K33" s="63" t="s">
        <v>429</v>
      </c>
    </row>
    <row r="34" ht="14" spans="1:11">
      <c r="A34" t="s">
        <v>48</v>
      </c>
      <c r="B34" t="s">
        <v>104</v>
      </c>
      <c r="C34" s="57" t="s">
        <v>111</v>
      </c>
      <c r="D34" s="63" t="s">
        <v>110</v>
      </c>
      <c r="H34" t="s">
        <v>48</v>
      </c>
      <c r="I34" t="s">
        <v>123</v>
      </c>
      <c r="J34" t="s">
        <v>123</v>
      </c>
      <c r="K34" s="60" t="s">
        <v>285</v>
      </c>
    </row>
    <row r="35" ht="14" spans="1:11">
      <c r="A35" t="s">
        <v>48</v>
      </c>
      <c r="B35" t="s">
        <v>104</v>
      </c>
      <c r="C35" t="s">
        <v>111</v>
      </c>
      <c r="D35" s="60" t="s">
        <v>112</v>
      </c>
      <c r="H35" t="s">
        <v>48</v>
      </c>
      <c r="I35" t="s">
        <v>123</v>
      </c>
      <c r="J35" s="57" t="s">
        <v>123</v>
      </c>
      <c r="K35" s="60" t="s">
        <v>286</v>
      </c>
    </row>
    <row r="36" ht="28" spans="1:11">
      <c r="A36" t="s">
        <v>48</v>
      </c>
      <c r="B36" t="s">
        <v>104</v>
      </c>
      <c r="C36" s="57" t="s">
        <v>113</v>
      </c>
      <c r="D36" s="60" t="s">
        <v>115</v>
      </c>
      <c r="H36" t="s">
        <v>48</v>
      </c>
      <c r="I36" t="s">
        <v>123</v>
      </c>
      <c r="J36" t="s">
        <v>123</v>
      </c>
      <c r="K36" s="60" t="s">
        <v>123</v>
      </c>
    </row>
    <row r="37" ht="14" spans="1:11">
      <c r="A37" t="s">
        <v>48</v>
      </c>
      <c r="B37" t="s">
        <v>104</v>
      </c>
      <c r="C37" t="s">
        <v>113</v>
      </c>
      <c r="D37" s="60" t="s">
        <v>117</v>
      </c>
      <c r="H37" t="s">
        <v>345</v>
      </c>
      <c r="I37" s="64" t="s">
        <v>124</v>
      </c>
      <c r="J37" s="62" t="s">
        <v>125</v>
      </c>
      <c r="K37" s="65" t="s">
        <v>127</v>
      </c>
    </row>
    <row r="38" ht="28" spans="1:11">
      <c r="A38" t="s">
        <v>48</v>
      </c>
      <c r="B38" s="64" t="s">
        <v>118</v>
      </c>
      <c r="C38" s="62" t="s">
        <v>118</v>
      </c>
      <c r="D38" s="65" t="s">
        <v>119</v>
      </c>
      <c r="H38" t="s">
        <v>345</v>
      </c>
      <c r="I38" s="62" t="s">
        <v>124</v>
      </c>
      <c r="J38" s="66" t="s">
        <v>125</v>
      </c>
      <c r="K38" s="67" t="s">
        <v>128</v>
      </c>
    </row>
    <row r="39" ht="41" spans="1:11">
      <c r="A39" t="s">
        <v>48</v>
      </c>
      <c r="B39" s="62" t="s">
        <v>122</v>
      </c>
      <c r="C39" s="66" t="s">
        <v>122</v>
      </c>
      <c r="D39" s="67" t="s">
        <v>121</v>
      </c>
      <c r="H39" t="s">
        <v>345</v>
      </c>
      <c r="I39" s="68" t="s">
        <v>124</v>
      </c>
      <c r="J39" s="69" t="s">
        <v>125</v>
      </c>
      <c r="K39" s="11" t="s">
        <v>430</v>
      </c>
    </row>
    <row r="40" ht="14" spans="1:11">
      <c r="A40" t="s">
        <v>48</v>
      </c>
      <c r="B40" s="68" t="s">
        <v>123</v>
      </c>
      <c r="C40" s="69" t="s">
        <v>123</v>
      </c>
      <c r="D40" s="11" t="s">
        <v>123</v>
      </c>
      <c r="H40" s="70" t="s">
        <v>345</v>
      </c>
      <c r="I40" s="71" t="s">
        <v>124</v>
      </c>
      <c r="J40" s="54" t="s">
        <v>348</v>
      </c>
      <c r="K40" s="56" t="s">
        <v>349</v>
      </c>
    </row>
    <row r="41" ht="14" spans="1:11">
      <c r="A41" s="70" t="s">
        <v>124</v>
      </c>
      <c r="B41" s="71" t="s">
        <v>124</v>
      </c>
      <c r="C41" s="54" t="s">
        <v>125</v>
      </c>
      <c r="D41" s="56" t="s">
        <v>126</v>
      </c>
      <c r="H41" t="s">
        <v>345</v>
      </c>
      <c r="I41" t="s">
        <v>124</v>
      </c>
      <c r="J41" t="s">
        <v>348</v>
      </c>
      <c r="K41" s="56" t="s">
        <v>135</v>
      </c>
    </row>
    <row r="42" ht="14" spans="1:11">
      <c r="A42" t="s">
        <v>124</v>
      </c>
      <c r="B42" t="s">
        <v>124</v>
      </c>
      <c r="C42" t="s">
        <v>125</v>
      </c>
      <c r="D42" s="56" t="s">
        <v>127</v>
      </c>
      <c r="H42" t="s">
        <v>345</v>
      </c>
      <c r="I42" t="s">
        <v>124</v>
      </c>
      <c r="J42" t="s">
        <v>136</v>
      </c>
      <c r="K42" s="56" t="s">
        <v>351</v>
      </c>
    </row>
    <row r="43" ht="28" spans="1:11">
      <c r="A43" t="s">
        <v>124</v>
      </c>
      <c r="B43" t="s">
        <v>124</v>
      </c>
      <c r="C43" t="s">
        <v>125</v>
      </c>
      <c r="D43" s="56" t="s">
        <v>128</v>
      </c>
      <c r="H43" t="s">
        <v>345</v>
      </c>
      <c r="I43" t="s">
        <v>124</v>
      </c>
      <c r="J43" t="s">
        <v>139</v>
      </c>
      <c r="K43" s="56" t="s">
        <v>352</v>
      </c>
    </row>
    <row r="44" ht="28" spans="1:11">
      <c r="A44" t="s">
        <v>124</v>
      </c>
      <c r="B44" t="s">
        <v>124</v>
      </c>
      <c r="C44" t="s">
        <v>125</v>
      </c>
      <c r="D44" s="56" t="s">
        <v>129</v>
      </c>
      <c r="H44" t="s">
        <v>345</v>
      </c>
      <c r="I44" t="s">
        <v>124</v>
      </c>
      <c r="J44" s="72" t="s">
        <v>139</v>
      </c>
      <c r="K44" s="73" t="s">
        <v>287</v>
      </c>
    </row>
    <row r="45" ht="14" spans="1:11">
      <c r="A45" t="s">
        <v>124</v>
      </c>
      <c r="B45" t="s">
        <v>124</v>
      </c>
      <c r="C45" s="72" t="s">
        <v>130</v>
      </c>
      <c r="D45" s="73" t="s">
        <v>131</v>
      </c>
      <c r="H45" t="s">
        <v>345</v>
      </c>
      <c r="I45" t="s">
        <v>124</v>
      </c>
      <c r="J45" t="s">
        <v>139</v>
      </c>
      <c r="K45" s="73" t="s">
        <v>141</v>
      </c>
    </row>
    <row r="46" ht="55" spans="1:11">
      <c r="A46" t="s">
        <v>124</v>
      </c>
      <c r="B46" t="s">
        <v>124</v>
      </c>
      <c r="C46" t="s">
        <v>130</v>
      </c>
      <c r="D46" s="73" t="s">
        <v>132</v>
      </c>
      <c r="H46" t="s">
        <v>345</v>
      </c>
      <c r="I46" t="s">
        <v>142</v>
      </c>
      <c r="J46" t="s">
        <v>143</v>
      </c>
      <c r="K46" s="73" t="s">
        <v>354</v>
      </c>
    </row>
    <row r="47" ht="55" spans="1:11">
      <c r="A47" t="s">
        <v>124</v>
      </c>
      <c r="B47" t="s">
        <v>124</v>
      </c>
      <c r="C47" t="s">
        <v>130</v>
      </c>
      <c r="D47" s="73" t="s">
        <v>134</v>
      </c>
      <c r="H47" t="s">
        <v>345</v>
      </c>
      <c r="I47" t="s">
        <v>142</v>
      </c>
      <c r="J47" t="s">
        <v>143</v>
      </c>
      <c r="K47" s="56" t="s">
        <v>356</v>
      </c>
    </row>
    <row r="48" ht="28" spans="1:11">
      <c r="A48" t="s">
        <v>124</v>
      </c>
      <c r="B48" t="s">
        <v>124</v>
      </c>
      <c r="C48" t="s">
        <v>130</v>
      </c>
      <c r="D48" s="56" t="s">
        <v>135</v>
      </c>
      <c r="H48" t="s">
        <v>345</v>
      </c>
      <c r="I48" t="s">
        <v>142</v>
      </c>
      <c r="J48" s="64" t="s">
        <v>143</v>
      </c>
      <c r="K48" s="56" t="s">
        <v>357</v>
      </c>
    </row>
    <row r="49" ht="55" spans="1:11">
      <c r="A49" t="s">
        <v>124</v>
      </c>
      <c r="B49" t="s">
        <v>124</v>
      </c>
      <c r="C49" s="64" t="s">
        <v>136</v>
      </c>
      <c r="D49" s="56" t="s">
        <v>138</v>
      </c>
      <c r="H49" t="s">
        <v>345</v>
      </c>
      <c r="I49" t="s">
        <v>142</v>
      </c>
      <c r="J49" s="54" t="s">
        <v>358</v>
      </c>
      <c r="K49" s="73" t="s">
        <v>354</v>
      </c>
    </row>
    <row r="50" ht="55" spans="1:11">
      <c r="A50" t="s">
        <v>124</v>
      </c>
      <c r="B50" t="s">
        <v>124</v>
      </c>
      <c r="C50" s="54" t="s">
        <v>139</v>
      </c>
      <c r="D50" s="73" t="s">
        <v>140</v>
      </c>
      <c r="H50" t="s">
        <v>345</v>
      </c>
      <c r="I50" t="s">
        <v>142</v>
      </c>
      <c r="J50" t="s">
        <v>358</v>
      </c>
      <c r="K50" s="56" t="s">
        <v>356</v>
      </c>
    </row>
    <row r="51" ht="28" spans="1:11">
      <c r="A51" t="s">
        <v>124</v>
      </c>
      <c r="B51" t="s">
        <v>124</v>
      </c>
      <c r="C51" t="s">
        <v>139</v>
      </c>
      <c r="D51" s="56" t="s">
        <v>141</v>
      </c>
      <c r="H51" t="s">
        <v>345</v>
      </c>
      <c r="I51" s="74" t="s">
        <v>142</v>
      </c>
      <c r="J51" s="75" t="s">
        <v>358</v>
      </c>
      <c r="K51" s="76" t="s">
        <v>357</v>
      </c>
    </row>
    <row r="52" ht="28" spans="1:11">
      <c r="A52" t="s">
        <v>124</v>
      </c>
      <c r="B52" s="74" t="s">
        <v>142</v>
      </c>
      <c r="C52" s="75" t="s">
        <v>143</v>
      </c>
      <c r="D52" s="76" t="s">
        <v>145</v>
      </c>
      <c r="H52" t="s">
        <v>345</v>
      </c>
      <c r="I52" t="s">
        <v>142</v>
      </c>
      <c r="J52" t="s">
        <v>288</v>
      </c>
      <c r="K52" s="76" t="s">
        <v>288</v>
      </c>
    </row>
    <row r="53" ht="28" spans="1:11">
      <c r="A53" t="s">
        <v>124</v>
      </c>
      <c r="B53" t="s">
        <v>142</v>
      </c>
      <c r="C53" t="s">
        <v>143</v>
      </c>
      <c r="D53" s="76" t="s">
        <v>147</v>
      </c>
      <c r="H53" t="s">
        <v>345</v>
      </c>
      <c r="I53" t="s">
        <v>142</v>
      </c>
      <c r="J53" t="s">
        <v>289</v>
      </c>
      <c r="K53" s="76" t="s">
        <v>289</v>
      </c>
    </row>
    <row r="54" ht="28" spans="1:11">
      <c r="A54" t="s">
        <v>124</v>
      </c>
      <c r="B54" t="s">
        <v>142</v>
      </c>
      <c r="C54" t="s">
        <v>143</v>
      </c>
      <c r="D54" s="76" t="s">
        <v>148</v>
      </c>
      <c r="H54" t="s">
        <v>345</v>
      </c>
      <c r="I54" t="s">
        <v>155</v>
      </c>
      <c r="J54" s="75" t="s">
        <v>154</v>
      </c>
      <c r="K54" s="76" t="s">
        <v>359</v>
      </c>
    </row>
    <row r="55" ht="28" spans="1:11">
      <c r="A55" t="s">
        <v>124</v>
      </c>
      <c r="B55" t="s">
        <v>142</v>
      </c>
      <c r="C55" s="75" t="s">
        <v>149</v>
      </c>
      <c r="D55" s="76" t="s">
        <v>145</v>
      </c>
      <c r="H55" t="s">
        <v>345</v>
      </c>
      <c r="I55" t="s">
        <v>155</v>
      </c>
      <c r="J55" t="s">
        <v>360</v>
      </c>
      <c r="K55" s="76" t="s">
        <v>157</v>
      </c>
    </row>
    <row r="56" ht="28" spans="1:11">
      <c r="A56" t="s">
        <v>124</v>
      </c>
      <c r="B56" t="s">
        <v>142</v>
      </c>
      <c r="C56" t="s">
        <v>149</v>
      </c>
      <c r="D56" s="76" t="s">
        <v>147</v>
      </c>
      <c r="H56" t="s">
        <v>345</v>
      </c>
      <c r="I56" t="s">
        <v>155</v>
      </c>
      <c r="J56" t="s">
        <v>360</v>
      </c>
      <c r="K56" s="76" t="s">
        <v>158</v>
      </c>
    </row>
    <row r="57" ht="28" spans="1:11">
      <c r="A57" t="s">
        <v>124</v>
      </c>
      <c r="B57" t="s">
        <v>142</v>
      </c>
      <c r="C57" t="s">
        <v>149</v>
      </c>
      <c r="D57" s="76" t="s">
        <v>151</v>
      </c>
      <c r="H57" t="s">
        <v>345</v>
      </c>
      <c r="I57" t="s">
        <v>155</v>
      </c>
      <c r="J57" t="s">
        <v>360</v>
      </c>
      <c r="K57" s="76" t="s">
        <v>160</v>
      </c>
    </row>
    <row r="58" ht="41" spans="1:11">
      <c r="A58" t="s">
        <v>124</v>
      </c>
      <c r="B58" t="s">
        <v>142</v>
      </c>
      <c r="C58" t="s">
        <v>149</v>
      </c>
      <c r="D58" s="76" t="s">
        <v>152</v>
      </c>
      <c r="H58" t="s">
        <v>345</v>
      </c>
      <c r="I58" s="77" t="s">
        <v>361</v>
      </c>
      <c r="J58" s="78" t="s">
        <v>361</v>
      </c>
      <c r="K58" s="76" t="s">
        <v>361</v>
      </c>
    </row>
    <row r="59" ht="28" spans="1:11">
      <c r="A59" t="s">
        <v>124</v>
      </c>
      <c r="B59" s="77" t="s">
        <v>431</v>
      </c>
      <c r="C59" s="78" t="s">
        <v>154</v>
      </c>
      <c r="D59" s="76" t="s">
        <v>154</v>
      </c>
      <c r="H59" t="s">
        <v>162</v>
      </c>
      <c r="I59" t="s">
        <v>291</v>
      </c>
      <c r="J59" s="75" t="s">
        <v>291</v>
      </c>
      <c r="K59" s="76" t="s">
        <v>291</v>
      </c>
    </row>
    <row r="60" ht="28" spans="1:11">
      <c r="A60" t="s">
        <v>124</v>
      </c>
      <c r="B60" t="s">
        <v>431</v>
      </c>
      <c r="C60" s="75" t="s">
        <v>156</v>
      </c>
      <c r="D60" s="76" t="s">
        <v>157</v>
      </c>
      <c r="H60" t="s">
        <v>162</v>
      </c>
      <c r="I60" t="s">
        <v>174</v>
      </c>
      <c r="J60" t="s">
        <v>175</v>
      </c>
      <c r="K60" s="76" t="s">
        <v>176</v>
      </c>
    </row>
    <row r="61" ht="28" spans="1:11">
      <c r="A61" t="s">
        <v>124</v>
      </c>
      <c r="B61" t="s">
        <v>431</v>
      </c>
      <c r="C61" t="s">
        <v>156</v>
      </c>
      <c r="D61" s="76" t="s">
        <v>158</v>
      </c>
      <c r="H61" t="s">
        <v>162</v>
      </c>
      <c r="I61" t="s">
        <v>174</v>
      </c>
      <c r="J61" t="s">
        <v>175</v>
      </c>
      <c r="K61" s="76" t="s">
        <v>177</v>
      </c>
    </row>
    <row r="62" ht="28" spans="1:11">
      <c r="A62" t="s">
        <v>124</v>
      </c>
      <c r="B62" t="s">
        <v>431</v>
      </c>
      <c r="C62" t="s">
        <v>156</v>
      </c>
      <c r="D62" s="76" t="s">
        <v>160</v>
      </c>
      <c r="H62" t="s">
        <v>162</v>
      </c>
      <c r="I62" s="79" t="s">
        <v>174</v>
      </c>
      <c r="J62" s="78" t="s">
        <v>178</v>
      </c>
      <c r="K62" s="76" t="s">
        <v>292</v>
      </c>
    </row>
    <row r="63" ht="55" spans="1:11">
      <c r="A63" t="s">
        <v>124</v>
      </c>
      <c r="B63" s="79" t="s">
        <v>161</v>
      </c>
      <c r="C63" s="78" t="s">
        <v>161</v>
      </c>
      <c r="D63" s="76" t="s">
        <v>161</v>
      </c>
      <c r="H63" s="53" t="s">
        <v>162</v>
      </c>
      <c r="I63" s="80" t="s">
        <v>174</v>
      </c>
      <c r="J63" s="75" t="s">
        <v>293</v>
      </c>
      <c r="K63" s="76" t="s">
        <v>293</v>
      </c>
    </row>
    <row r="64" ht="28" spans="1:11">
      <c r="A64" s="53" t="s">
        <v>162</v>
      </c>
      <c r="B64" s="80" t="s">
        <v>166</v>
      </c>
      <c r="C64" s="75" t="s">
        <v>167</v>
      </c>
      <c r="D64" s="76" t="s">
        <v>165</v>
      </c>
      <c r="H64" t="s">
        <v>162</v>
      </c>
      <c r="I64" t="s">
        <v>184</v>
      </c>
      <c r="J64" t="s">
        <v>184</v>
      </c>
      <c r="K64" s="76" t="s">
        <v>184</v>
      </c>
    </row>
    <row r="65" ht="28" spans="1:11">
      <c r="A65" t="s">
        <v>162</v>
      </c>
      <c r="B65" t="s">
        <v>166</v>
      </c>
      <c r="C65" t="s">
        <v>167</v>
      </c>
      <c r="D65" s="76" t="s">
        <v>169</v>
      </c>
      <c r="H65" t="s">
        <v>185</v>
      </c>
      <c r="I65" t="s">
        <v>369</v>
      </c>
      <c r="J65" t="s">
        <v>187</v>
      </c>
      <c r="K65" s="76" t="s">
        <v>187</v>
      </c>
    </row>
    <row r="66" ht="14" spans="1:11">
      <c r="A66" t="s">
        <v>162</v>
      </c>
      <c r="B66" t="s">
        <v>166</v>
      </c>
      <c r="C66" t="s">
        <v>167</v>
      </c>
      <c r="D66" s="76" t="s">
        <v>170</v>
      </c>
      <c r="H66" t="s">
        <v>185</v>
      </c>
      <c r="I66" t="s">
        <v>369</v>
      </c>
      <c r="J66" s="75" t="s">
        <v>191</v>
      </c>
      <c r="K66" s="82" t="s">
        <v>191</v>
      </c>
    </row>
    <row r="67" ht="14" spans="1:11">
      <c r="A67" t="s">
        <v>162</v>
      </c>
      <c r="B67" t="s">
        <v>166</v>
      </c>
      <c r="C67" s="75" t="s">
        <v>173</v>
      </c>
      <c r="D67" s="82" t="s">
        <v>172</v>
      </c>
      <c r="H67" t="s">
        <v>185</v>
      </c>
      <c r="I67" s="75" t="s">
        <v>193</v>
      </c>
      <c r="J67" s="83" t="s">
        <v>296</v>
      </c>
      <c r="K67" s="84" t="s">
        <v>295</v>
      </c>
    </row>
    <row r="68" ht="14" spans="1:11">
      <c r="A68" t="s">
        <v>162</v>
      </c>
      <c r="B68" s="75" t="s">
        <v>174</v>
      </c>
      <c r="C68" s="83" t="s">
        <v>175</v>
      </c>
      <c r="D68" s="84" t="s">
        <v>176</v>
      </c>
      <c r="H68" t="s">
        <v>185</v>
      </c>
      <c r="I68" t="s">
        <v>193</v>
      </c>
      <c r="J68" t="s">
        <v>296</v>
      </c>
      <c r="K68" s="84" t="s">
        <v>297</v>
      </c>
    </row>
    <row r="69" ht="14" spans="1:11">
      <c r="A69" t="s">
        <v>162</v>
      </c>
      <c r="B69" t="s">
        <v>174</v>
      </c>
      <c r="C69" t="s">
        <v>175</v>
      </c>
      <c r="D69" s="84" t="s">
        <v>177</v>
      </c>
      <c r="H69" t="s">
        <v>185</v>
      </c>
      <c r="I69" t="s">
        <v>193</v>
      </c>
      <c r="J69" s="80" t="s">
        <v>202</v>
      </c>
      <c r="K69" s="37" t="s">
        <v>202</v>
      </c>
    </row>
    <row r="70" ht="28" spans="1:11">
      <c r="A70" t="s">
        <v>162</v>
      </c>
      <c r="B70" t="s">
        <v>174</v>
      </c>
      <c r="C70" s="80" t="s">
        <v>178</v>
      </c>
      <c r="D70" s="37" t="s">
        <v>179</v>
      </c>
      <c r="H70" t="s">
        <v>185</v>
      </c>
      <c r="I70" t="s">
        <v>206</v>
      </c>
      <c r="J70" t="s">
        <v>206</v>
      </c>
      <c r="K70" s="37" t="s">
        <v>206</v>
      </c>
    </row>
    <row r="71" ht="14" spans="1:11">
      <c r="A71" t="s">
        <v>162</v>
      </c>
      <c r="B71" t="s">
        <v>174</v>
      </c>
      <c r="C71" t="s">
        <v>178</v>
      </c>
      <c r="D71" s="37" t="s">
        <v>180</v>
      </c>
      <c r="H71" t="s">
        <v>185</v>
      </c>
      <c r="I71" t="s">
        <v>207</v>
      </c>
      <c r="J71" t="s">
        <v>208</v>
      </c>
      <c r="K71" s="37" t="s">
        <v>208</v>
      </c>
    </row>
    <row r="72" ht="14" spans="1:11">
      <c r="A72" t="s">
        <v>162</v>
      </c>
      <c r="B72" t="s">
        <v>174</v>
      </c>
      <c r="C72" t="s">
        <v>178</v>
      </c>
      <c r="D72" s="37" t="s">
        <v>181</v>
      </c>
      <c r="H72" t="s">
        <v>185</v>
      </c>
      <c r="I72" t="s">
        <v>207</v>
      </c>
      <c r="J72" s="69" t="s">
        <v>209</v>
      </c>
      <c r="K72" s="85" t="s">
        <v>209</v>
      </c>
    </row>
    <row r="73" ht="14" spans="1:11">
      <c r="A73" t="s">
        <v>162</v>
      </c>
      <c r="B73" t="s">
        <v>174</v>
      </c>
      <c r="C73" s="69" t="s">
        <v>182</v>
      </c>
      <c r="D73" s="85" t="s">
        <v>183</v>
      </c>
      <c r="H73" t="s">
        <v>185</v>
      </c>
      <c r="I73" s="80" t="s">
        <v>212</v>
      </c>
      <c r="J73" s="80" t="s">
        <v>213</v>
      </c>
      <c r="K73" s="76" t="s">
        <v>298</v>
      </c>
    </row>
    <row r="74" ht="28" spans="1:11">
      <c r="A74" t="s">
        <v>162</v>
      </c>
      <c r="B74" s="80" t="s">
        <v>184</v>
      </c>
      <c r="C74" s="80" t="s">
        <v>184</v>
      </c>
      <c r="D74" s="76" t="s">
        <v>184</v>
      </c>
      <c r="H74" s="53" t="s">
        <v>185</v>
      </c>
      <c r="I74" s="86" t="s">
        <v>212</v>
      </c>
      <c r="J74" s="87" t="s">
        <v>213</v>
      </c>
      <c r="K74" s="76" t="s">
        <v>299</v>
      </c>
    </row>
    <row r="75" ht="28" spans="1:11">
      <c r="A75" s="53" t="s">
        <v>185</v>
      </c>
      <c r="B75" s="86" t="s">
        <v>186</v>
      </c>
      <c r="C75" s="87" t="s">
        <v>187</v>
      </c>
      <c r="D75" s="76" t="s">
        <v>188</v>
      </c>
      <c r="H75" t="s">
        <v>185</v>
      </c>
      <c r="I75" t="s">
        <v>212</v>
      </c>
      <c r="J75" t="s">
        <v>213</v>
      </c>
      <c r="K75" s="76" t="s">
        <v>300</v>
      </c>
    </row>
    <row r="76" ht="14" spans="1:11">
      <c r="A76" t="s">
        <v>185</v>
      </c>
      <c r="B76" t="s">
        <v>186</v>
      </c>
      <c r="C76" t="s">
        <v>187</v>
      </c>
      <c r="D76" s="76" t="s">
        <v>189</v>
      </c>
      <c r="H76" t="s">
        <v>185</v>
      </c>
      <c r="I76" t="s">
        <v>212</v>
      </c>
      <c r="J76" t="s">
        <v>213</v>
      </c>
      <c r="K76" s="88" t="s">
        <v>301</v>
      </c>
    </row>
    <row r="77" ht="14" spans="1:11">
      <c r="A77" t="s">
        <v>185</v>
      </c>
      <c r="B77" t="s">
        <v>186</v>
      </c>
      <c r="C77" t="s">
        <v>187</v>
      </c>
      <c r="D77" s="88" t="s">
        <v>190</v>
      </c>
      <c r="H77" t="s">
        <v>185</v>
      </c>
      <c r="I77" t="s">
        <v>212</v>
      </c>
      <c r="J77" s="89" t="s">
        <v>213</v>
      </c>
      <c r="K77" s="76" t="s">
        <v>302</v>
      </c>
    </row>
    <row r="78" ht="14" spans="1:11">
      <c r="A78" t="s">
        <v>185</v>
      </c>
      <c r="B78" t="s">
        <v>186</v>
      </c>
      <c r="C78" s="89" t="s">
        <v>191</v>
      </c>
      <c r="D78" s="76" t="s">
        <v>188</v>
      </c>
      <c r="H78" t="s">
        <v>185</v>
      </c>
      <c r="I78" t="s">
        <v>212</v>
      </c>
      <c r="J78" t="s">
        <v>213</v>
      </c>
      <c r="K78" s="76" t="s">
        <v>218</v>
      </c>
    </row>
    <row r="79" ht="28" spans="1:11">
      <c r="A79" t="s">
        <v>185</v>
      </c>
      <c r="B79" t="s">
        <v>186</v>
      </c>
      <c r="C79" t="s">
        <v>191</v>
      </c>
      <c r="D79" s="76" t="s">
        <v>189</v>
      </c>
      <c r="H79" t="s">
        <v>185</v>
      </c>
      <c r="I79" t="s">
        <v>212</v>
      </c>
      <c r="J79" t="s">
        <v>213</v>
      </c>
      <c r="K79" s="76" t="s">
        <v>219</v>
      </c>
    </row>
    <row r="80" ht="14" spans="1:11">
      <c r="A80" t="s">
        <v>185</v>
      </c>
      <c r="B80" t="s">
        <v>186</v>
      </c>
      <c r="C80" t="s">
        <v>191</v>
      </c>
      <c r="D80" s="76" t="s">
        <v>192</v>
      </c>
      <c r="H80" t="s">
        <v>185</v>
      </c>
      <c r="I80" s="90" t="s">
        <v>212</v>
      </c>
      <c r="J80" s="91" t="s">
        <v>220</v>
      </c>
      <c r="K80" s="76" t="s">
        <v>303</v>
      </c>
    </row>
    <row r="81" ht="14" spans="1:11">
      <c r="A81" t="s">
        <v>185</v>
      </c>
      <c r="B81" s="90" t="s">
        <v>193</v>
      </c>
      <c r="C81" s="91" t="s">
        <v>196</v>
      </c>
      <c r="D81" s="76" t="s">
        <v>195</v>
      </c>
      <c r="H81" t="s">
        <v>185</v>
      </c>
      <c r="I81" t="s">
        <v>212</v>
      </c>
      <c r="J81" t="s">
        <v>220</v>
      </c>
      <c r="K81" s="76" t="s">
        <v>304</v>
      </c>
    </row>
    <row r="82" ht="14" spans="1:11">
      <c r="A82" t="s">
        <v>185</v>
      </c>
      <c r="B82" t="s">
        <v>193</v>
      </c>
      <c r="C82" t="s">
        <v>196</v>
      </c>
      <c r="D82" s="76" t="s">
        <v>197</v>
      </c>
      <c r="H82" t="s">
        <v>185</v>
      </c>
      <c r="I82" t="s">
        <v>212</v>
      </c>
      <c r="J82" t="s">
        <v>220</v>
      </c>
      <c r="K82" s="76" t="s">
        <v>305</v>
      </c>
    </row>
    <row r="83" ht="14" spans="1:11">
      <c r="A83" t="s">
        <v>185</v>
      </c>
      <c r="B83" t="s">
        <v>193</v>
      </c>
      <c r="C83" t="s">
        <v>196</v>
      </c>
      <c r="D83" s="76" t="s">
        <v>198</v>
      </c>
      <c r="H83" t="s">
        <v>185</v>
      </c>
      <c r="I83" t="s">
        <v>212</v>
      </c>
      <c r="J83" s="91" t="s">
        <v>220</v>
      </c>
      <c r="K83" s="76" t="s">
        <v>306</v>
      </c>
    </row>
    <row r="84" ht="14" spans="1:11">
      <c r="A84" t="s">
        <v>185</v>
      </c>
      <c r="B84" t="s">
        <v>193</v>
      </c>
      <c r="C84" s="91" t="s">
        <v>200</v>
      </c>
      <c r="D84" s="76" t="s">
        <v>195</v>
      </c>
      <c r="H84" t="s">
        <v>185</v>
      </c>
      <c r="I84" t="s">
        <v>212</v>
      </c>
      <c r="J84" t="s">
        <v>220</v>
      </c>
      <c r="K84" s="76" t="s">
        <v>307</v>
      </c>
    </row>
    <row r="85" ht="14" spans="1:11">
      <c r="A85" t="s">
        <v>185</v>
      </c>
      <c r="B85" t="s">
        <v>193</v>
      </c>
      <c r="C85" t="s">
        <v>200</v>
      </c>
      <c r="D85" s="76" t="s">
        <v>197</v>
      </c>
      <c r="H85" t="s">
        <v>185</v>
      </c>
      <c r="I85" t="s">
        <v>212</v>
      </c>
      <c r="J85" t="s">
        <v>220</v>
      </c>
      <c r="K85" s="76" t="s">
        <v>308</v>
      </c>
    </row>
    <row r="86" ht="14" spans="1:11">
      <c r="A86" t="s">
        <v>185</v>
      </c>
      <c r="B86" t="s">
        <v>193</v>
      </c>
      <c r="C86" t="s">
        <v>200</v>
      </c>
      <c r="D86" s="76" t="s">
        <v>201</v>
      </c>
      <c r="H86" t="s">
        <v>185</v>
      </c>
      <c r="I86" t="s">
        <v>212</v>
      </c>
      <c r="J86" s="80" t="s">
        <v>220</v>
      </c>
      <c r="K86" s="76" t="s">
        <v>309</v>
      </c>
    </row>
    <row r="87" ht="14" spans="1:11">
      <c r="A87" t="s">
        <v>185</v>
      </c>
      <c r="B87" t="s">
        <v>193</v>
      </c>
      <c r="C87" s="80" t="s">
        <v>202</v>
      </c>
      <c r="D87" s="76" t="s">
        <v>203</v>
      </c>
      <c r="H87" t="s">
        <v>185</v>
      </c>
      <c r="I87" t="s">
        <v>212</v>
      </c>
      <c r="J87" t="s">
        <v>220</v>
      </c>
      <c r="K87" s="76" t="s">
        <v>379</v>
      </c>
    </row>
    <row r="88" ht="14" spans="1:11">
      <c r="A88" t="s">
        <v>185</v>
      </c>
      <c r="B88" t="s">
        <v>193</v>
      </c>
      <c r="C88" t="s">
        <v>202</v>
      </c>
      <c r="D88" s="76" t="s">
        <v>204</v>
      </c>
      <c r="H88" t="s">
        <v>185</v>
      </c>
      <c r="I88" t="s">
        <v>212</v>
      </c>
      <c r="J88" t="s">
        <v>220</v>
      </c>
      <c r="K88" s="76" t="s">
        <v>310</v>
      </c>
    </row>
    <row r="89" ht="28" spans="1:11">
      <c r="A89" t="s">
        <v>185</v>
      </c>
      <c r="B89" t="s">
        <v>193</v>
      </c>
      <c r="C89" t="s">
        <v>202</v>
      </c>
      <c r="D89" s="76" t="s">
        <v>205</v>
      </c>
      <c r="H89" t="s">
        <v>185</v>
      </c>
      <c r="I89" s="64" t="s">
        <v>212</v>
      </c>
      <c r="J89" s="64" t="s">
        <v>220</v>
      </c>
      <c r="K89" s="56" t="s">
        <v>223</v>
      </c>
    </row>
    <row r="90" ht="14" spans="1:11">
      <c r="A90" t="s">
        <v>185</v>
      </c>
      <c r="B90" s="64" t="s">
        <v>206</v>
      </c>
      <c r="C90" s="64" t="s">
        <v>206</v>
      </c>
      <c r="D90" s="56" t="s">
        <v>206</v>
      </c>
      <c r="H90" t="s">
        <v>185</v>
      </c>
      <c r="I90" s="83" t="s">
        <v>212</v>
      </c>
      <c r="J90" s="80" t="s">
        <v>224</v>
      </c>
      <c r="K90" s="56" t="s">
        <v>225</v>
      </c>
    </row>
    <row r="91" ht="14" spans="1:11">
      <c r="A91" t="s">
        <v>185</v>
      </c>
      <c r="B91" s="83" t="s">
        <v>207</v>
      </c>
      <c r="C91" s="80" t="s">
        <v>208</v>
      </c>
      <c r="D91" s="56" t="s">
        <v>208</v>
      </c>
      <c r="H91" t="s">
        <v>185</v>
      </c>
      <c r="I91" t="s">
        <v>212</v>
      </c>
      <c r="J91" s="78" t="s">
        <v>224</v>
      </c>
      <c r="K91" s="92" t="s">
        <v>226</v>
      </c>
    </row>
    <row r="92" ht="14" spans="1:11">
      <c r="A92" t="s">
        <v>185</v>
      </c>
      <c r="B92" t="s">
        <v>207</v>
      </c>
      <c r="C92" s="78" t="s">
        <v>209</v>
      </c>
      <c r="D92" s="92" t="s">
        <v>210</v>
      </c>
      <c r="H92" t="s">
        <v>185</v>
      </c>
      <c r="I92" t="s">
        <v>212</v>
      </c>
      <c r="J92" t="s">
        <v>224</v>
      </c>
      <c r="K92" s="92" t="s">
        <v>227</v>
      </c>
    </row>
    <row r="93" ht="28" spans="1:11">
      <c r="A93" t="s">
        <v>185</v>
      </c>
      <c r="B93" t="s">
        <v>207</v>
      </c>
      <c r="C93" t="s">
        <v>209</v>
      </c>
      <c r="D93" s="92" t="s">
        <v>211</v>
      </c>
      <c r="H93" t="s">
        <v>185</v>
      </c>
      <c r="I93" s="90" t="s">
        <v>212</v>
      </c>
      <c r="J93" s="93" t="s">
        <v>224</v>
      </c>
      <c r="K93" s="92" t="s">
        <v>228</v>
      </c>
    </row>
    <row r="94" ht="28" spans="1:11">
      <c r="A94" t="s">
        <v>185</v>
      </c>
      <c r="B94" s="90" t="s">
        <v>212</v>
      </c>
      <c r="C94" s="93" t="s">
        <v>213</v>
      </c>
      <c r="D94" s="92" t="s">
        <v>214</v>
      </c>
      <c r="H94" t="s">
        <v>185</v>
      </c>
      <c r="I94" t="s">
        <v>212</v>
      </c>
      <c r="J94" t="s">
        <v>224</v>
      </c>
      <c r="K94" s="92" t="s">
        <v>381</v>
      </c>
    </row>
    <row r="95" ht="14" spans="1:11">
      <c r="A95" t="s">
        <v>185</v>
      </c>
      <c r="B95" t="s">
        <v>212</v>
      </c>
      <c r="C95" t="s">
        <v>213</v>
      </c>
      <c r="D95" s="92" t="s">
        <v>215</v>
      </c>
      <c r="H95" t="s">
        <v>185</v>
      </c>
      <c r="I95" t="s">
        <v>212</v>
      </c>
      <c r="J95" t="s">
        <v>313</v>
      </c>
      <c r="K95" s="56" t="s">
        <v>312</v>
      </c>
    </row>
    <row r="96" ht="14" spans="1:11">
      <c r="A96" t="s">
        <v>185</v>
      </c>
      <c r="B96" t="s">
        <v>212</v>
      </c>
      <c r="C96" t="s">
        <v>213</v>
      </c>
      <c r="D96" s="56" t="s">
        <v>216</v>
      </c>
      <c r="H96" t="s">
        <v>185</v>
      </c>
      <c r="I96" t="s">
        <v>212</v>
      </c>
      <c r="J96" t="s">
        <v>313</v>
      </c>
      <c r="K96" s="56" t="s">
        <v>314</v>
      </c>
    </row>
    <row r="97" ht="14" spans="1:11">
      <c r="A97" t="s">
        <v>185</v>
      </c>
      <c r="B97" t="s">
        <v>212</v>
      </c>
      <c r="C97" t="s">
        <v>213</v>
      </c>
      <c r="D97" s="56" t="s">
        <v>217</v>
      </c>
      <c r="H97" t="s">
        <v>185</v>
      </c>
      <c r="I97" t="s">
        <v>231</v>
      </c>
      <c r="J97" t="s">
        <v>232</v>
      </c>
      <c r="K97" s="56" t="s">
        <v>233</v>
      </c>
    </row>
    <row r="98" ht="41" spans="1:11">
      <c r="A98" t="s">
        <v>185</v>
      </c>
      <c r="B98" t="s">
        <v>212</v>
      </c>
      <c r="C98" t="s">
        <v>213</v>
      </c>
      <c r="D98" s="56" t="s">
        <v>218</v>
      </c>
      <c r="H98" t="s">
        <v>185</v>
      </c>
      <c r="I98" t="s">
        <v>231</v>
      </c>
      <c r="J98" t="s">
        <v>235</v>
      </c>
      <c r="K98" s="56" t="s">
        <v>386</v>
      </c>
    </row>
    <row r="99" ht="14" spans="1:11">
      <c r="A99" t="s">
        <v>185</v>
      </c>
      <c r="B99" t="s">
        <v>212</v>
      </c>
      <c r="C99" t="s">
        <v>213</v>
      </c>
      <c r="D99" s="56" t="s">
        <v>219</v>
      </c>
      <c r="H99" t="s">
        <v>185</v>
      </c>
      <c r="I99" t="s">
        <v>231</v>
      </c>
      <c r="J99" s="86" t="s">
        <v>235</v>
      </c>
      <c r="K99" s="92" t="s">
        <v>237</v>
      </c>
    </row>
    <row r="100" ht="14" spans="1:11">
      <c r="A100" t="s">
        <v>185</v>
      </c>
      <c r="B100" t="s">
        <v>212</v>
      </c>
      <c r="C100" s="86" t="s">
        <v>220</v>
      </c>
      <c r="D100" s="92" t="s">
        <v>221</v>
      </c>
      <c r="H100" t="s">
        <v>185</v>
      </c>
      <c r="I100" t="s">
        <v>231</v>
      </c>
      <c r="J100" t="s">
        <v>238</v>
      </c>
      <c r="K100" s="92" t="s">
        <v>238</v>
      </c>
    </row>
    <row r="101" ht="96" spans="1:11">
      <c r="A101" t="s">
        <v>185</v>
      </c>
      <c r="B101" t="s">
        <v>212</v>
      </c>
      <c r="C101" t="s">
        <v>220</v>
      </c>
      <c r="D101" s="92" t="s">
        <v>222</v>
      </c>
      <c r="H101" t="s">
        <v>185</v>
      </c>
      <c r="I101" t="s">
        <v>231</v>
      </c>
      <c r="J101" t="s">
        <v>239</v>
      </c>
      <c r="K101" s="56" t="s">
        <v>432</v>
      </c>
    </row>
    <row r="102" ht="28" spans="1:11">
      <c r="A102" t="s">
        <v>185</v>
      </c>
      <c r="B102" t="s">
        <v>212</v>
      </c>
      <c r="C102" t="s">
        <v>220</v>
      </c>
      <c r="D102" s="56" t="s">
        <v>223</v>
      </c>
      <c r="H102" t="s">
        <v>185</v>
      </c>
      <c r="I102" t="s">
        <v>242</v>
      </c>
      <c r="J102" s="94" t="s">
        <v>243</v>
      </c>
      <c r="K102" s="56" t="s">
        <v>243</v>
      </c>
    </row>
    <row r="103" ht="14" spans="1:11">
      <c r="A103" t="s">
        <v>185</v>
      </c>
      <c r="B103" t="s">
        <v>212</v>
      </c>
      <c r="C103" s="94" t="s">
        <v>224</v>
      </c>
      <c r="D103" s="56" t="s">
        <v>225</v>
      </c>
      <c r="H103" t="s">
        <v>185</v>
      </c>
      <c r="I103" t="s">
        <v>242</v>
      </c>
      <c r="J103" t="s">
        <v>244</v>
      </c>
      <c r="K103" s="56" t="s">
        <v>244</v>
      </c>
    </row>
    <row r="104" ht="14" spans="1:11">
      <c r="A104" t="s">
        <v>185</v>
      </c>
      <c r="B104" t="s">
        <v>212</v>
      </c>
      <c r="C104" t="s">
        <v>224</v>
      </c>
      <c r="D104" s="56" t="s">
        <v>226</v>
      </c>
      <c r="H104" t="s">
        <v>185</v>
      </c>
      <c r="I104" t="s">
        <v>242</v>
      </c>
      <c r="J104" t="s">
        <v>245</v>
      </c>
      <c r="K104" s="56" t="s">
        <v>245</v>
      </c>
    </row>
    <row r="105" ht="14" spans="1:11">
      <c r="A105" t="s">
        <v>185</v>
      </c>
      <c r="B105" t="s">
        <v>212</v>
      </c>
      <c r="C105" t="s">
        <v>224</v>
      </c>
      <c r="D105" s="56" t="s">
        <v>227</v>
      </c>
      <c r="H105" t="s">
        <v>185</v>
      </c>
      <c r="I105" t="s">
        <v>247</v>
      </c>
      <c r="J105" t="s">
        <v>249</v>
      </c>
      <c r="K105" s="56" t="s">
        <v>249</v>
      </c>
    </row>
    <row r="106" ht="14" spans="1:11">
      <c r="A106" t="s">
        <v>185</v>
      </c>
      <c r="B106" t="s">
        <v>212</v>
      </c>
      <c r="C106" t="s">
        <v>224</v>
      </c>
      <c r="D106" s="56" t="s">
        <v>228</v>
      </c>
      <c r="H106" t="s">
        <v>185</v>
      </c>
      <c r="I106" t="s">
        <v>247</v>
      </c>
      <c r="J106" t="s">
        <v>397</v>
      </c>
      <c r="K106" s="56" t="s">
        <v>397</v>
      </c>
    </row>
    <row r="107" ht="14" spans="1:11">
      <c r="A107" t="s">
        <v>185</v>
      </c>
      <c r="B107" t="s">
        <v>212</v>
      </c>
      <c r="C107" t="s">
        <v>224</v>
      </c>
      <c r="D107" s="56" t="s">
        <v>229</v>
      </c>
      <c r="H107" t="s">
        <v>185</v>
      </c>
      <c r="I107" t="s">
        <v>247</v>
      </c>
      <c r="J107" s="67" t="s">
        <v>252</v>
      </c>
      <c r="K107" s="65" t="s">
        <v>252</v>
      </c>
    </row>
    <row r="108" ht="14" spans="1:11">
      <c r="A108" t="s">
        <v>185</v>
      </c>
      <c r="B108" t="s">
        <v>212</v>
      </c>
      <c r="C108" s="67" t="s">
        <v>230</v>
      </c>
      <c r="D108" s="65" t="s">
        <v>230</v>
      </c>
      <c r="H108" t="s">
        <v>185</v>
      </c>
      <c r="I108" s="90" t="s">
        <v>247</v>
      </c>
      <c r="J108" s="80" t="s">
        <v>253</v>
      </c>
      <c r="K108" s="56" t="s">
        <v>253</v>
      </c>
    </row>
    <row r="109" ht="14" spans="1:11">
      <c r="A109" t="s">
        <v>185</v>
      </c>
      <c r="B109" s="90" t="s">
        <v>231</v>
      </c>
      <c r="C109" s="80" t="s">
        <v>232</v>
      </c>
      <c r="D109" s="56" t="s">
        <v>233</v>
      </c>
      <c r="H109" t="s">
        <v>185</v>
      </c>
      <c r="I109" t="s">
        <v>247</v>
      </c>
      <c r="J109" t="s">
        <v>254</v>
      </c>
      <c r="K109" s="73" t="s">
        <v>254</v>
      </c>
    </row>
    <row r="110" ht="14" spans="1:11">
      <c r="A110" t="s">
        <v>185</v>
      </c>
      <c r="B110" t="s">
        <v>231</v>
      </c>
      <c r="C110" t="s">
        <v>232</v>
      </c>
      <c r="D110" s="73" t="s">
        <v>234</v>
      </c>
      <c r="H110" t="s">
        <v>185</v>
      </c>
      <c r="I110" t="s">
        <v>247</v>
      </c>
      <c r="J110" s="90" t="s">
        <v>255</v>
      </c>
      <c r="K110" s="56" t="s">
        <v>255</v>
      </c>
    </row>
    <row r="111" ht="14" spans="1:11">
      <c r="A111" t="s">
        <v>185</v>
      </c>
      <c r="B111" t="s">
        <v>231</v>
      </c>
      <c r="C111" s="90" t="s">
        <v>235</v>
      </c>
      <c r="D111" s="56" t="s">
        <v>236</v>
      </c>
      <c r="H111" t="s">
        <v>185</v>
      </c>
      <c r="I111" t="s">
        <v>247</v>
      </c>
      <c r="J111" t="s">
        <v>316</v>
      </c>
      <c r="K111" s="56" t="s">
        <v>316</v>
      </c>
    </row>
    <row r="112" ht="14" spans="1:11">
      <c r="A112" t="s">
        <v>185</v>
      </c>
      <c r="B112" t="s">
        <v>231</v>
      </c>
      <c r="C112" t="s">
        <v>235</v>
      </c>
      <c r="D112" s="56" t="s">
        <v>237</v>
      </c>
      <c r="H112" t="s">
        <v>185</v>
      </c>
      <c r="I112" t="s">
        <v>247</v>
      </c>
      <c r="J112" s="80" t="s">
        <v>256</v>
      </c>
      <c r="K112" s="56" t="s">
        <v>256</v>
      </c>
    </row>
    <row r="113" ht="14" spans="1:11">
      <c r="A113" t="s">
        <v>185</v>
      </c>
      <c r="B113" t="s">
        <v>231</v>
      </c>
      <c r="C113" s="80" t="s">
        <v>238</v>
      </c>
      <c r="D113" s="56" t="s">
        <v>238</v>
      </c>
      <c r="H113" t="s">
        <v>185</v>
      </c>
      <c r="I113" t="s">
        <v>247</v>
      </c>
      <c r="J113" s="80" t="s">
        <v>257</v>
      </c>
      <c r="K113" s="56" t="s">
        <v>257</v>
      </c>
    </row>
    <row r="114" ht="14" spans="1:11">
      <c r="A114" t="s">
        <v>185</v>
      </c>
      <c r="B114" t="s">
        <v>231</v>
      </c>
      <c r="C114" s="80" t="s">
        <v>239</v>
      </c>
      <c r="D114" s="56" t="s">
        <v>239</v>
      </c>
      <c r="H114" t="s">
        <v>185</v>
      </c>
      <c r="I114" t="s">
        <v>247</v>
      </c>
      <c r="J114" s="67" t="s">
        <v>258</v>
      </c>
      <c r="K114" s="73" t="s">
        <v>258</v>
      </c>
    </row>
    <row r="115" ht="14" spans="1:11">
      <c r="A115" t="s">
        <v>185</v>
      </c>
      <c r="B115" t="s">
        <v>231</v>
      </c>
      <c r="C115" s="67" t="s">
        <v>240</v>
      </c>
      <c r="D115" s="73" t="s">
        <v>240</v>
      </c>
      <c r="H115" s="53" t="s">
        <v>48</v>
      </c>
      <c r="I115" s="54" t="s">
        <v>49</v>
      </c>
      <c r="J115" s="55" t="s">
        <v>50</v>
      </c>
      <c r="K115" s="56" t="s">
        <v>51</v>
      </c>
    </row>
    <row r="116" ht="14" spans="1:4">
      <c r="A116" t="s">
        <v>185</v>
      </c>
      <c r="B116" t="s">
        <v>231</v>
      </c>
      <c r="C116" s="67" t="s">
        <v>241</v>
      </c>
      <c r="D116" s="73" t="s">
        <v>241</v>
      </c>
    </row>
    <row r="117" ht="14" spans="1:4">
      <c r="A117" t="s">
        <v>185</v>
      </c>
      <c r="B117" s="90" t="s">
        <v>242</v>
      </c>
      <c r="C117" s="80" t="s">
        <v>243</v>
      </c>
      <c r="D117" s="56" t="s">
        <v>243</v>
      </c>
    </row>
    <row r="118" ht="14" spans="1:4">
      <c r="A118" t="s">
        <v>185</v>
      </c>
      <c r="B118" t="s">
        <v>242</v>
      </c>
      <c r="C118" s="80" t="s">
        <v>244</v>
      </c>
      <c r="D118" s="56" t="s">
        <v>244</v>
      </c>
    </row>
    <row r="119" ht="14" spans="1:4">
      <c r="A119" t="s">
        <v>185</v>
      </c>
      <c r="B119" t="s">
        <v>242</v>
      </c>
      <c r="C119" s="80" t="s">
        <v>245</v>
      </c>
      <c r="D119" s="56" t="s">
        <v>245</v>
      </c>
    </row>
    <row r="120" ht="14" spans="1:4">
      <c r="A120" t="s">
        <v>185</v>
      </c>
      <c r="B120" t="s">
        <v>242</v>
      </c>
      <c r="C120" s="67" t="s">
        <v>246</v>
      </c>
      <c r="D120" s="73" t="s">
        <v>246</v>
      </c>
    </row>
    <row r="121" ht="14" spans="1:4">
      <c r="A121" t="s">
        <v>185</v>
      </c>
      <c r="B121" s="90" t="s">
        <v>247</v>
      </c>
      <c r="C121" s="80" t="s">
        <v>249</v>
      </c>
      <c r="D121" s="56" t="s">
        <v>249</v>
      </c>
    </row>
    <row r="122" ht="14" spans="1:4">
      <c r="A122" t="s">
        <v>185</v>
      </c>
      <c r="B122" t="s">
        <v>247</v>
      </c>
      <c r="C122" s="64" t="s">
        <v>251</v>
      </c>
      <c r="D122" s="56" t="s">
        <v>251</v>
      </c>
    </row>
    <row r="123" ht="14" spans="1:4">
      <c r="A123" t="s">
        <v>185</v>
      </c>
      <c r="B123" t="s">
        <v>247</v>
      </c>
      <c r="C123" s="80" t="s">
        <v>252</v>
      </c>
      <c r="D123" s="56" t="s">
        <v>252</v>
      </c>
    </row>
    <row r="124" ht="14" spans="1:4">
      <c r="A124" t="s">
        <v>185</v>
      </c>
      <c r="B124" t="s">
        <v>247</v>
      </c>
      <c r="C124" s="80" t="s">
        <v>253</v>
      </c>
      <c r="D124" s="56" t="s">
        <v>253</v>
      </c>
    </row>
    <row r="125" ht="14" spans="1:4">
      <c r="A125" t="s">
        <v>185</v>
      </c>
      <c r="B125" t="s">
        <v>247</v>
      </c>
      <c r="C125" s="80" t="s">
        <v>254</v>
      </c>
      <c r="D125" s="56" t="s">
        <v>254</v>
      </c>
    </row>
    <row r="126" ht="14" spans="1:4">
      <c r="A126" t="s">
        <v>185</v>
      </c>
      <c r="B126" t="s">
        <v>247</v>
      </c>
      <c r="C126" s="80" t="s">
        <v>255</v>
      </c>
      <c r="D126" s="56" t="s">
        <v>255</v>
      </c>
    </row>
    <row r="127" ht="14" spans="1:4">
      <c r="A127" t="s">
        <v>185</v>
      </c>
      <c r="B127" t="s">
        <v>247</v>
      </c>
      <c r="C127" s="80" t="s">
        <v>256</v>
      </c>
      <c r="D127" s="56" t="s">
        <v>256</v>
      </c>
    </row>
    <row r="128" ht="14" spans="1:4">
      <c r="A128" t="s">
        <v>185</v>
      </c>
      <c r="B128" t="s">
        <v>247</v>
      </c>
      <c r="C128" s="80" t="s">
        <v>257</v>
      </c>
      <c r="D128" s="56" t="s">
        <v>257</v>
      </c>
    </row>
    <row r="129" ht="14" spans="1:4">
      <c r="A129" t="s">
        <v>185</v>
      </c>
      <c r="B129" t="s">
        <v>247</v>
      </c>
      <c r="C129" s="80" t="s">
        <v>258</v>
      </c>
      <c r="D129" s="56" t="s">
        <v>258</v>
      </c>
    </row>
    <row r="130" ht="14" spans="1:4">
      <c r="A130" t="s">
        <v>185</v>
      </c>
      <c r="B130" t="s">
        <v>247</v>
      </c>
      <c r="C130" s="80" t="s">
        <v>259</v>
      </c>
      <c r="D130" s="56" t="s">
        <v>259</v>
      </c>
    </row>
    <row r="131" ht="14" spans="1:4">
      <c r="A131" t="s">
        <v>185</v>
      </c>
      <c r="B131" s="95" t="s">
        <v>260</v>
      </c>
      <c r="C131" s="96" t="s">
        <v>260</v>
      </c>
      <c r="D131" s="97" t="s">
        <v>261</v>
      </c>
    </row>
    <row r="132" ht="14" spans="1:4">
      <c r="A132" t="s">
        <v>185</v>
      </c>
      <c r="B132" s="98" t="s">
        <v>260</v>
      </c>
      <c r="C132" s="98" t="s">
        <v>260</v>
      </c>
      <c r="D132" s="97" t="s">
        <v>262</v>
      </c>
    </row>
    <row r="133" ht="14" spans="1:4">
      <c r="A133" t="s">
        <v>185</v>
      </c>
      <c r="B133" s="98" t="s">
        <v>260</v>
      </c>
      <c r="C133" s="98" t="s">
        <v>260</v>
      </c>
      <c r="D133" s="97" t="s">
        <v>260</v>
      </c>
    </row>
  </sheetData>
  <conditionalFormatting sqref="A3:A133">
    <cfRule type="expression" dxfId="0" priority="8">
      <formula>K3="原型有新系统没有"</formula>
    </cfRule>
  </conditionalFormatting>
  <conditionalFormatting sqref="B3:B133">
    <cfRule type="expression" dxfId="0" priority="7">
      <formula>L3="原型有新系统没有"</formula>
    </cfRule>
  </conditionalFormatting>
  <conditionalFormatting sqref="C3:C133">
    <cfRule type="expression" dxfId="0" priority="6">
      <formula>M3="原型有新系统没有"</formula>
    </cfRule>
  </conditionalFormatting>
  <conditionalFormatting sqref="D3:D133">
    <cfRule type="expression" dxfId="0" priority="5">
      <formula>N3="原型有新系统没有"</formula>
    </cfRule>
  </conditionalFormatting>
  <conditionalFormatting sqref="D129:D130">
    <cfRule type="expression" dxfId="0" priority="9">
      <formula>ISBLANK(K1)=FALSE</formula>
    </cfRule>
  </conditionalFormatting>
  <conditionalFormatting sqref="H2:H115">
    <cfRule type="expression" dxfId="1" priority="4">
      <formula>R2="原型有新系统没有"</formula>
    </cfRule>
  </conditionalFormatting>
  <conditionalFormatting sqref="I2:I115">
    <cfRule type="expression" dxfId="1" priority="3">
      <formula>S2="原型有新系统没有"</formula>
    </cfRule>
  </conditionalFormatting>
  <conditionalFormatting sqref="J2:J115">
    <cfRule type="expression" dxfId="1" priority="2">
      <formula>T2="原型有新系统没有"</formula>
    </cfRule>
  </conditionalFormatting>
  <conditionalFormatting sqref="K2:K115">
    <cfRule type="expression" dxfId="1" priority="1">
      <formula>U2="原型有新系统没有"</formula>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32"/>
  <sheetViews>
    <sheetView showGridLines="0" zoomScale="85" zoomScaleNormal="85" workbookViewId="0">
      <pane ySplit="3" topLeftCell="A4" activePane="bottomLeft" state="frozen"/>
      <selection/>
      <selection pane="bottomLeft" activeCell="B8" sqref="B8"/>
    </sheetView>
  </sheetViews>
  <sheetFormatPr defaultColWidth="8.71428571428571" defaultRowHeight="13.6"/>
  <cols>
    <col min="1" max="1" width="5" style="4" customWidth="1"/>
    <col min="2" max="2" width="21.5714285714286" style="4" customWidth="1"/>
    <col min="3" max="3" width="15.4285714285714" style="4" customWidth="1"/>
    <col min="4" max="4" width="15.5714285714286" style="4" customWidth="1"/>
    <col min="5" max="5" width="15.7142857142857" style="4" customWidth="1"/>
    <col min="6" max="6" width="15.5714285714286" style="4" customWidth="1"/>
    <col min="7" max="7" width="13.5714285714286" style="4" hidden="1" customWidth="1"/>
    <col min="8" max="8" width="15" style="4" customWidth="1"/>
    <col min="9" max="9" width="12.7142857142857" style="4" hidden="1" customWidth="1"/>
    <col min="10" max="10" width="14.4285714285714" style="4" hidden="1" customWidth="1"/>
    <col min="11" max="11" width="7.28571428571429" style="4" hidden="1" customWidth="1"/>
    <col min="12" max="12" width="14.7142857142857" style="4" customWidth="1"/>
    <col min="13" max="16384" width="8.71428571428571" style="4" customWidth="1"/>
  </cols>
  <sheetData>
    <row r="1" ht="16.5" customHeight="1" spans="2:18">
      <c r="B1" s="33" t="s">
        <v>433</v>
      </c>
      <c r="C1" s="3"/>
      <c r="E1" s="42"/>
      <c r="G1" s="43"/>
      <c r="K1" s="44"/>
      <c r="L1" s="44"/>
      <c r="M1" s="44"/>
      <c r="N1" s="44"/>
      <c r="O1" s="44"/>
      <c r="P1" s="47"/>
      <c r="Q1" s="29"/>
      <c r="R1" s="50"/>
    </row>
    <row r="2" s="3" customFormat="1" ht="17.25" customHeight="1" spans="2:15">
      <c r="B2" s="34" t="s">
        <v>434</v>
      </c>
      <c r="C2" s="35" t="s">
        <v>435</v>
      </c>
      <c r="D2" s="35" t="s">
        <v>436</v>
      </c>
      <c r="E2" s="35" t="s">
        <v>437</v>
      </c>
      <c r="F2" s="35" t="s">
        <v>438</v>
      </c>
      <c r="G2" s="35" t="s">
        <v>439</v>
      </c>
      <c r="H2" s="35" t="s">
        <v>440</v>
      </c>
      <c r="I2" s="35" t="s">
        <v>441</v>
      </c>
      <c r="J2" s="21"/>
      <c r="K2" s="35" t="s">
        <v>442</v>
      </c>
      <c r="L2" s="35" t="s">
        <v>443</v>
      </c>
      <c r="M2" s="35" t="s">
        <v>444</v>
      </c>
      <c r="N2" s="35" t="s">
        <v>445</v>
      </c>
      <c r="O2" s="48" t="s">
        <v>446</v>
      </c>
    </row>
    <row r="3" s="3" customFormat="1" ht="16.5" customHeight="1" spans="2:15">
      <c r="B3" s="7"/>
      <c r="C3" s="8"/>
      <c r="D3" s="8"/>
      <c r="E3" s="8"/>
      <c r="F3" s="8"/>
      <c r="G3" s="8"/>
      <c r="H3" s="8"/>
      <c r="I3" s="45" t="s">
        <v>447</v>
      </c>
      <c r="J3" s="45" t="s">
        <v>448</v>
      </c>
      <c r="K3" s="8"/>
      <c r="L3" s="8"/>
      <c r="M3" s="8"/>
      <c r="N3" s="8"/>
      <c r="O3" s="24"/>
    </row>
    <row r="4" ht="14" spans="2:15">
      <c r="B4" s="36" t="s">
        <v>449</v>
      </c>
      <c r="C4" s="37"/>
      <c r="D4" s="38" t="s">
        <v>450</v>
      </c>
      <c r="E4" s="37" t="s">
        <v>451</v>
      </c>
      <c r="F4" s="37"/>
      <c r="G4" s="37"/>
      <c r="H4" s="37"/>
      <c r="I4" s="46"/>
      <c r="J4" s="37"/>
      <c r="K4" s="37"/>
      <c r="L4" s="38" t="s">
        <v>452</v>
      </c>
      <c r="M4" s="37"/>
      <c r="N4" s="38" t="s">
        <v>450</v>
      </c>
      <c r="O4" s="49"/>
    </row>
    <row r="5" ht="15" customHeight="1" spans="2:15">
      <c r="B5" s="36" t="s">
        <v>453</v>
      </c>
      <c r="C5" s="37"/>
      <c r="D5" s="38" t="s">
        <v>454</v>
      </c>
      <c r="E5" s="37"/>
      <c r="F5" s="37"/>
      <c r="G5" s="37"/>
      <c r="H5" s="37"/>
      <c r="I5" s="37"/>
      <c r="J5" s="37"/>
      <c r="K5" s="37"/>
      <c r="L5" s="38" t="s">
        <v>455</v>
      </c>
      <c r="M5" s="37"/>
      <c r="N5" s="38" t="s">
        <v>456</v>
      </c>
      <c r="O5" s="49"/>
    </row>
    <row r="6" ht="13.5" customHeight="1" spans="2:15">
      <c r="B6" s="36" t="s">
        <v>457</v>
      </c>
      <c r="C6" s="37"/>
      <c r="D6" s="38" t="s">
        <v>454</v>
      </c>
      <c r="E6" s="37"/>
      <c r="F6" s="37"/>
      <c r="G6" s="37"/>
      <c r="H6" s="37"/>
      <c r="I6" s="37"/>
      <c r="J6" s="37"/>
      <c r="K6" s="37"/>
      <c r="L6" s="38" t="s">
        <v>458</v>
      </c>
      <c r="M6" s="37"/>
      <c r="N6" s="38" t="s">
        <v>456</v>
      </c>
      <c r="O6" s="49"/>
    </row>
    <row r="7" ht="16.5" customHeight="1" spans="2:15">
      <c r="B7" s="36" t="s">
        <v>459</v>
      </c>
      <c r="C7" s="37"/>
      <c r="D7" s="38" t="s">
        <v>450</v>
      </c>
      <c r="E7" s="37"/>
      <c r="F7" s="37"/>
      <c r="G7" s="37"/>
      <c r="H7" s="37"/>
      <c r="I7" s="46"/>
      <c r="J7" s="46"/>
      <c r="K7" s="37"/>
      <c r="L7" s="38" t="s">
        <v>460</v>
      </c>
      <c r="M7" s="37"/>
      <c r="N7" s="38" t="s">
        <v>456</v>
      </c>
      <c r="O7" s="49"/>
    </row>
    <row r="8" ht="14" spans="2:15">
      <c r="B8" s="39" t="s">
        <v>461</v>
      </c>
      <c r="C8" s="37"/>
      <c r="D8" s="38" t="s">
        <v>450</v>
      </c>
      <c r="E8" s="37"/>
      <c r="F8" s="37"/>
      <c r="G8" s="37"/>
      <c r="H8" s="37"/>
      <c r="I8" s="46"/>
      <c r="J8" s="46"/>
      <c r="K8" s="37"/>
      <c r="L8" s="38" t="s">
        <v>462</v>
      </c>
      <c r="M8" s="37"/>
      <c r="N8" s="38" t="s">
        <v>456</v>
      </c>
      <c r="O8" s="49"/>
    </row>
    <row r="10" ht="15.2" spans="2:6">
      <c r="B10" s="4" t="s">
        <v>463</v>
      </c>
      <c r="C10" s="40" t="s">
        <v>464</v>
      </c>
      <c r="D10" s="41" t="s">
        <v>465</v>
      </c>
      <c r="E10" s="40" t="s">
        <v>456</v>
      </c>
      <c r="F10" s="40" t="s">
        <v>450</v>
      </c>
    </row>
    <row r="11" ht="15.2" spans="2:6">
      <c r="B11" s="4" t="s">
        <v>466</v>
      </c>
      <c r="C11" s="40" t="s">
        <v>467</v>
      </c>
      <c r="D11" s="41" t="s">
        <v>468</v>
      </c>
      <c r="E11" s="40" t="s">
        <v>450</v>
      </c>
      <c r="F11" s="40" t="s">
        <v>469</v>
      </c>
    </row>
    <row r="12" ht="15.2" spans="2:6">
      <c r="B12" s="4" t="s">
        <v>466</v>
      </c>
      <c r="C12" s="40" t="s">
        <v>470</v>
      </c>
      <c r="D12" s="41" t="s">
        <v>471</v>
      </c>
      <c r="E12" s="40" t="s">
        <v>450</v>
      </c>
      <c r="F12" s="40" t="s">
        <v>450</v>
      </c>
    </row>
    <row r="13" ht="15.2" spans="2:6">
      <c r="B13" s="4" t="s">
        <v>466</v>
      </c>
      <c r="C13" s="40" t="s">
        <v>472</v>
      </c>
      <c r="D13" s="41" t="s">
        <v>473</v>
      </c>
      <c r="E13" s="40" t="s">
        <v>450</v>
      </c>
      <c r="F13" s="40" t="s">
        <v>450</v>
      </c>
    </row>
    <row r="14" ht="15.2" spans="2:6">
      <c r="B14" s="4" t="s">
        <v>466</v>
      </c>
      <c r="C14" s="40" t="s">
        <v>474</v>
      </c>
      <c r="D14" s="41" t="s">
        <v>475</v>
      </c>
      <c r="E14" s="40" t="s">
        <v>450</v>
      </c>
      <c r="F14" s="40" t="s">
        <v>450</v>
      </c>
    </row>
    <row r="15" ht="15.2" spans="2:6">
      <c r="B15" s="4" t="s">
        <v>466</v>
      </c>
      <c r="C15" s="40" t="s">
        <v>476</v>
      </c>
      <c r="D15" s="41" t="s">
        <v>477</v>
      </c>
      <c r="E15" s="40" t="s">
        <v>450</v>
      </c>
      <c r="F15" s="40" t="s">
        <v>478</v>
      </c>
    </row>
    <row r="16" ht="15.2" spans="2:6">
      <c r="B16" s="4" t="s">
        <v>466</v>
      </c>
      <c r="C16" s="40" t="s">
        <v>479</v>
      </c>
      <c r="D16" s="41" t="s">
        <v>480</v>
      </c>
      <c r="E16" s="40" t="s">
        <v>450</v>
      </c>
      <c r="F16" s="40" t="s">
        <v>481</v>
      </c>
    </row>
    <row r="17" ht="15.2" spans="2:6">
      <c r="B17" s="40" t="s">
        <v>482</v>
      </c>
      <c r="C17" s="40" t="s">
        <v>483</v>
      </c>
      <c r="D17" s="41" t="s">
        <v>484</v>
      </c>
      <c r="E17" s="40" t="s">
        <v>450</v>
      </c>
      <c r="F17" s="40" t="s">
        <v>485</v>
      </c>
    </row>
    <row r="18" ht="15.2" spans="2:6">
      <c r="B18" s="40" t="s">
        <v>482</v>
      </c>
      <c r="C18" s="40" t="s">
        <v>486</v>
      </c>
      <c r="D18" s="41" t="s">
        <v>487</v>
      </c>
      <c r="E18" s="40" t="s">
        <v>450</v>
      </c>
      <c r="F18" s="40" t="s">
        <v>488</v>
      </c>
    </row>
    <row r="19" ht="15.2" spans="2:6">
      <c r="B19" s="40" t="s">
        <v>482</v>
      </c>
      <c r="C19" s="40" t="s">
        <v>489</v>
      </c>
      <c r="D19" s="41" t="s">
        <v>490</v>
      </c>
      <c r="E19" s="40" t="s">
        <v>450</v>
      </c>
      <c r="F19" s="40" t="s">
        <v>491</v>
      </c>
    </row>
    <row r="20" ht="15.2" spans="2:6">
      <c r="B20" s="40" t="s">
        <v>482</v>
      </c>
      <c r="C20" s="40" t="s">
        <v>492</v>
      </c>
      <c r="D20" s="41" t="s">
        <v>493</v>
      </c>
      <c r="E20" s="40" t="s">
        <v>450</v>
      </c>
      <c r="F20" s="40" t="s">
        <v>494</v>
      </c>
    </row>
    <row r="21" ht="15.2" spans="2:6">
      <c r="B21" s="40" t="s">
        <v>482</v>
      </c>
      <c r="C21" s="40" t="s">
        <v>495</v>
      </c>
      <c r="D21" s="41" t="s">
        <v>496</v>
      </c>
      <c r="E21" s="40" t="s">
        <v>450</v>
      </c>
      <c r="F21" s="40" t="s">
        <v>497</v>
      </c>
    </row>
    <row r="22" ht="15.2" spans="2:6">
      <c r="B22" s="40" t="s">
        <v>498</v>
      </c>
      <c r="C22" s="40" t="s">
        <v>499</v>
      </c>
      <c r="D22" s="41" t="s">
        <v>500</v>
      </c>
      <c r="E22" s="40" t="s">
        <v>456</v>
      </c>
      <c r="F22" s="40"/>
    </row>
    <row r="23" ht="15.2" spans="2:6">
      <c r="B23" s="40" t="s">
        <v>498</v>
      </c>
      <c r="C23" s="40" t="s">
        <v>501</v>
      </c>
      <c r="D23" s="41" t="s">
        <v>502</v>
      </c>
      <c r="E23" s="40" t="s">
        <v>456</v>
      </c>
      <c r="F23" s="40"/>
    </row>
    <row r="24" ht="15.2" spans="2:6">
      <c r="B24" s="40" t="s">
        <v>498</v>
      </c>
      <c r="C24" s="40" t="s">
        <v>503</v>
      </c>
      <c r="D24" s="41" t="s">
        <v>504</v>
      </c>
      <c r="E24" s="40" t="s">
        <v>456</v>
      </c>
      <c r="F24" s="40"/>
    </row>
    <row r="25" ht="15.2" spans="2:6">
      <c r="B25" s="40" t="s">
        <v>498</v>
      </c>
      <c r="C25" s="40" t="s">
        <v>505</v>
      </c>
      <c r="D25" s="41" t="s">
        <v>506</v>
      </c>
      <c r="E25" s="40" t="s">
        <v>456</v>
      </c>
      <c r="F25" s="40"/>
    </row>
    <row r="26" ht="15.2" spans="2:6">
      <c r="B26" s="40" t="s">
        <v>507</v>
      </c>
      <c r="C26" s="40" t="s">
        <v>508</v>
      </c>
      <c r="D26" s="41" t="s">
        <v>442</v>
      </c>
      <c r="F26" s="40"/>
    </row>
    <row r="27" ht="15.2" spans="2:6">
      <c r="B27" s="40" t="s">
        <v>507</v>
      </c>
      <c r="C27" s="40" t="s">
        <v>509</v>
      </c>
      <c r="D27" s="41" t="s">
        <v>510</v>
      </c>
      <c r="E27" s="40" t="s">
        <v>450</v>
      </c>
      <c r="F27" s="40" t="s">
        <v>450</v>
      </c>
    </row>
    <row r="28" ht="15.2" spans="2:6">
      <c r="B28" s="40" t="s">
        <v>507</v>
      </c>
      <c r="C28" s="40" t="s">
        <v>511</v>
      </c>
      <c r="D28" s="41" t="s">
        <v>512</v>
      </c>
      <c r="E28" s="40" t="s">
        <v>450</v>
      </c>
      <c r="F28" s="40" t="s">
        <v>450</v>
      </c>
    </row>
    <row r="29" ht="15.2" spans="2:6">
      <c r="B29" s="40" t="s">
        <v>507</v>
      </c>
      <c r="C29" s="40" t="s">
        <v>513</v>
      </c>
      <c r="D29" s="41" t="s">
        <v>514</v>
      </c>
      <c r="E29" s="40" t="s">
        <v>450</v>
      </c>
      <c r="F29" s="40" t="s">
        <v>450</v>
      </c>
    </row>
    <row r="30" ht="15.2" spans="2:6">
      <c r="B30" s="40" t="s">
        <v>507</v>
      </c>
      <c r="C30" s="40" t="s">
        <v>515</v>
      </c>
      <c r="D30" s="41" t="s">
        <v>516</v>
      </c>
      <c r="E30" s="40" t="s">
        <v>450</v>
      </c>
      <c r="F30" s="40" t="s">
        <v>450</v>
      </c>
    </row>
    <row r="31" ht="15.2" spans="2:6">
      <c r="B31" s="40" t="s">
        <v>507</v>
      </c>
      <c r="C31" s="40" t="s">
        <v>517</v>
      </c>
      <c r="D31" s="41" t="s">
        <v>518</v>
      </c>
      <c r="E31" s="40" t="s">
        <v>456</v>
      </c>
      <c r="F31" s="40" t="s">
        <v>450</v>
      </c>
    </row>
    <row r="32" ht="15.2" spans="2:6">
      <c r="B32" s="40" t="s">
        <v>507</v>
      </c>
      <c r="C32" s="40" t="s">
        <v>519</v>
      </c>
      <c r="D32" s="41" t="s">
        <v>520</v>
      </c>
      <c r="E32" s="40" t="s">
        <v>456</v>
      </c>
      <c r="F32" s="40" t="s">
        <v>450</v>
      </c>
    </row>
  </sheetData>
  <sheetProtection password="B8FF" sheet="1" objects="1" scenarios="1"/>
  <mergeCells count="13">
    <mergeCell ref="I2:J2"/>
    <mergeCell ref="B2:B3"/>
    <mergeCell ref="C2:C3"/>
    <mergeCell ref="D2:D3"/>
    <mergeCell ref="E2:E3"/>
    <mergeCell ref="F2:F3"/>
    <mergeCell ref="G2:G3"/>
    <mergeCell ref="H2:H3"/>
    <mergeCell ref="K2:K3"/>
    <mergeCell ref="L2:L3"/>
    <mergeCell ref="M2:M3"/>
    <mergeCell ref="N2:N3"/>
    <mergeCell ref="O2:O3"/>
  </mergeCells>
  <hyperlinks>
    <hyperlink ref="B1" location="目录!A1" display="返回目录"/>
  </hyperlinks>
  <pageMargins left="0.698611111111111" right="0.698611111111111"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showGridLines="0" zoomScale="110" zoomScaleNormal="110" workbookViewId="0">
      <pane ySplit="3" topLeftCell="A4" activePane="bottomLeft" state="frozen"/>
      <selection/>
      <selection pane="bottomLeft" activeCell="B14" sqref="B14"/>
    </sheetView>
  </sheetViews>
  <sheetFormatPr defaultColWidth="9.28571428571429" defaultRowHeight="13.6"/>
  <cols>
    <col min="1" max="1" width="4.57142857142857" customWidth="1"/>
    <col min="2" max="2" width="22" customWidth="1"/>
    <col min="3" max="3" width="14.2857142857143" customWidth="1"/>
    <col min="4" max="4" width="14.7142857142857" customWidth="1"/>
    <col min="5" max="5" width="16.2857142857143" customWidth="1"/>
    <col min="6" max="6" width="33.2857142857143" customWidth="1"/>
    <col min="7" max="7" width="25.7142857142857" hidden="1" customWidth="1"/>
    <col min="8" max="8" width="20" customWidth="1"/>
    <col min="9" max="10" width="12.2857142857143" hidden="1" customWidth="1"/>
    <col min="11" max="11" width="35.5714285714286" hidden="1" customWidth="1"/>
    <col min="12" max="16384" width="9.28571428571429" customWidth="1"/>
  </cols>
  <sheetData>
    <row r="1" s="1" customFormat="1" ht="18" customHeight="1" spans="1:13">
      <c r="A1"/>
      <c r="B1" s="30" t="s">
        <v>433</v>
      </c>
      <c r="C1" s="3"/>
      <c r="D1" s="4"/>
      <c r="E1" s="15"/>
      <c r="F1"/>
      <c r="G1" s="16"/>
      <c r="H1"/>
      <c r="I1"/>
      <c r="J1"/>
      <c r="K1" s="19"/>
      <c r="L1" s="20"/>
      <c r="M1" s="29"/>
    </row>
    <row r="2" ht="17.25" customHeight="1" spans="2:11">
      <c r="B2" s="23" t="s">
        <v>434</v>
      </c>
      <c r="C2" s="23" t="s">
        <v>435</v>
      </c>
      <c r="D2" s="23" t="s">
        <v>436</v>
      </c>
      <c r="E2" s="23" t="s">
        <v>437</v>
      </c>
      <c r="F2" s="23" t="s">
        <v>438</v>
      </c>
      <c r="G2" s="23" t="s">
        <v>439</v>
      </c>
      <c r="H2" s="23" t="s">
        <v>440</v>
      </c>
      <c r="I2" s="23" t="s">
        <v>441</v>
      </c>
      <c r="J2" s="32"/>
      <c r="K2" s="23" t="s">
        <v>442</v>
      </c>
    </row>
    <row r="3" ht="16.5" customHeight="1" spans="2:11">
      <c r="B3" s="8"/>
      <c r="C3" s="8"/>
      <c r="D3" s="8"/>
      <c r="E3" s="8"/>
      <c r="F3" s="8"/>
      <c r="G3" s="8"/>
      <c r="H3" s="8"/>
      <c r="I3" s="23" t="s">
        <v>447</v>
      </c>
      <c r="J3" s="23" t="s">
        <v>448</v>
      </c>
      <c r="K3" s="8"/>
    </row>
    <row r="4" spans="2:11">
      <c r="B4" s="10" t="s">
        <v>521</v>
      </c>
      <c r="C4" s="10" t="s">
        <v>522</v>
      </c>
      <c r="D4" s="10"/>
      <c r="E4" s="10" t="s">
        <v>451</v>
      </c>
      <c r="F4" s="10" t="s">
        <v>523</v>
      </c>
      <c r="G4" s="10" t="s">
        <v>524</v>
      </c>
      <c r="H4" s="17" t="s">
        <v>525</v>
      </c>
      <c r="I4" s="25" t="s">
        <v>526</v>
      </c>
      <c r="J4" s="10"/>
      <c r="K4" s="10"/>
    </row>
    <row r="5" ht="28.5" customHeight="1" spans="2:11">
      <c r="B5" s="10" t="s">
        <v>527</v>
      </c>
      <c r="C5" s="10" t="s">
        <v>522</v>
      </c>
      <c r="D5" s="10"/>
      <c r="E5" s="10" t="s">
        <v>451</v>
      </c>
      <c r="F5" s="10" t="s">
        <v>528</v>
      </c>
      <c r="G5" s="10"/>
      <c r="H5" s="17" t="s">
        <v>529</v>
      </c>
      <c r="I5" s="17"/>
      <c r="J5" s="10"/>
      <c r="K5" s="11" t="s">
        <v>530</v>
      </c>
    </row>
    <row r="6" spans="2:11">
      <c r="B6" s="10" t="s">
        <v>531</v>
      </c>
      <c r="C6" s="10" t="s">
        <v>532</v>
      </c>
      <c r="D6" s="10"/>
      <c r="E6" s="10" t="s">
        <v>451</v>
      </c>
      <c r="F6" s="10" t="s">
        <v>533</v>
      </c>
      <c r="G6" s="10" t="s">
        <v>534</v>
      </c>
      <c r="H6" s="17" t="s">
        <v>525</v>
      </c>
      <c r="I6" s="25"/>
      <c r="J6" s="25" t="s">
        <v>526</v>
      </c>
      <c r="K6" s="10"/>
    </row>
    <row r="7" ht="12.75" customHeight="1" spans="2:11">
      <c r="B7" s="10" t="s">
        <v>535</v>
      </c>
      <c r="C7" s="10" t="s">
        <v>536</v>
      </c>
      <c r="D7" s="11" t="s">
        <v>537</v>
      </c>
      <c r="E7" s="10" t="s">
        <v>451</v>
      </c>
      <c r="F7" s="10" t="s">
        <v>538</v>
      </c>
      <c r="G7" s="10"/>
      <c r="H7" s="17" t="s">
        <v>529</v>
      </c>
      <c r="I7" s="17"/>
      <c r="J7" s="10"/>
      <c r="K7" s="10"/>
    </row>
    <row r="8" ht="28.5" customHeight="1" spans="2:11">
      <c r="B8" s="10" t="s">
        <v>539</v>
      </c>
      <c r="C8" s="10" t="s">
        <v>540</v>
      </c>
      <c r="D8" s="11" t="s">
        <v>541</v>
      </c>
      <c r="E8" s="10" t="s">
        <v>451</v>
      </c>
      <c r="F8" s="10" t="s">
        <v>542</v>
      </c>
      <c r="G8" s="10" t="s">
        <v>534</v>
      </c>
      <c r="H8" s="17" t="s">
        <v>525</v>
      </c>
      <c r="I8" s="25"/>
      <c r="J8" s="25" t="s">
        <v>526</v>
      </c>
      <c r="K8" s="10"/>
    </row>
    <row r="9" spans="2:11">
      <c r="B9" s="10" t="s">
        <v>543</v>
      </c>
      <c r="C9" s="10" t="s">
        <v>532</v>
      </c>
      <c r="D9" s="10"/>
      <c r="E9" s="10" t="s">
        <v>451</v>
      </c>
      <c r="F9" s="10" t="s">
        <v>543</v>
      </c>
      <c r="G9" s="10"/>
      <c r="H9" s="17" t="s">
        <v>525</v>
      </c>
      <c r="I9" s="17"/>
      <c r="J9" s="10"/>
      <c r="K9" s="10"/>
    </row>
    <row r="10" spans="2:11">
      <c r="B10" s="10" t="s">
        <v>457</v>
      </c>
      <c r="C10" s="10" t="s">
        <v>544</v>
      </c>
      <c r="D10" s="10" t="s">
        <v>545</v>
      </c>
      <c r="E10" s="10" t="s">
        <v>451</v>
      </c>
      <c r="F10" s="10" t="s">
        <v>546</v>
      </c>
      <c r="G10" s="10"/>
      <c r="H10" s="17" t="s">
        <v>525</v>
      </c>
      <c r="I10" s="17"/>
      <c r="J10" s="10"/>
      <c r="K10" s="10"/>
    </row>
    <row r="11" spans="2:11">
      <c r="B11" s="10" t="s">
        <v>459</v>
      </c>
      <c r="C11" s="10" t="s">
        <v>547</v>
      </c>
      <c r="D11" s="10"/>
      <c r="E11" s="10" t="s">
        <v>451</v>
      </c>
      <c r="F11" s="10" t="s">
        <v>548</v>
      </c>
      <c r="G11" s="10"/>
      <c r="H11" s="17" t="s">
        <v>525</v>
      </c>
      <c r="I11" s="17"/>
      <c r="J11" s="10"/>
      <c r="K11" s="10"/>
    </row>
    <row r="12" spans="2:11">
      <c r="B12" s="10" t="s">
        <v>549</v>
      </c>
      <c r="C12" s="10" t="s">
        <v>550</v>
      </c>
      <c r="D12" s="10"/>
      <c r="E12" s="10" t="s">
        <v>451</v>
      </c>
      <c r="F12" s="10" t="s">
        <v>551</v>
      </c>
      <c r="G12" s="10"/>
      <c r="H12" s="17" t="s">
        <v>525</v>
      </c>
      <c r="I12" s="17"/>
      <c r="J12" s="10"/>
      <c r="K12" s="10"/>
    </row>
    <row r="13" ht="28.5" customHeight="1" spans="2:11">
      <c r="B13" s="10" t="s">
        <v>552</v>
      </c>
      <c r="C13" s="10" t="s">
        <v>553</v>
      </c>
      <c r="D13" s="10"/>
      <c r="E13" s="10" t="s">
        <v>451</v>
      </c>
      <c r="F13" s="11" t="s">
        <v>554</v>
      </c>
      <c r="G13" s="10"/>
      <c r="H13" s="17" t="s">
        <v>525</v>
      </c>
      <c r="I13" s="17"/>
      <c r="J13" s="10"/>
      <c r="K13" s="10"/>
    </row>
    <row r="14" ht="28.5" customHeight="1" spans="2:11">
      <c r="B14" s="10" t="s">
        <v>555</v>
      </c>
      <c r="C14" s="10" t="s">
        <v>553</v>
      </c>
      <c r="D14" s="10"/>
      <c r="E14" s="10" t="s">
        <v>451</v>
      </c>
      <c r="F14" s="11" t="s">
        <v>556</v>
      </c>
      <c r="G14" s="10"/>
      <c r="H14" s="17" t="s">
        <v>525</v>
      </c>
      <c r="I14" s="17"/>
      <c r="J14" s="10"/>
      <c r="K14" s="10"/>
    </row>
    <row r="16" spans="2:2">
      <c r="B16" s="31" t="s">
        <v>557</v>
      </c>
    </row>
  </sheetData>
  <sheetProtection password="B8FF" sheet="1" objects="1" scenarios="1"/>
  <mergeCells count="9">
    <mergeCell ref="I2:J2"/>
    <mergeCell ref="B2:B3"/>
    <mergeCell ref="C2:C3"/>
    <mergeCell ref="D2:D3"/>
    <mergeCell ref="E2:E3"/>
    <mergeCell ref="F2:F3"/>
    <mergeCell ref="G2:G3"/>
    <mergeCell ref="H2:H3"/>
    <mergeCell ref="K2:K3"/>
  </mergeCells>
  <hyperlinks>
    <hyperlink ref="B1" location="目录!A1" display="返回目录"/>
  </hyperlinks>
  <pageMargins left="0.698611111111111" right="0.698611111111111"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B1:O61"/>
  <sheetViews>
    <sheetView showGridLines="0" workbookViewId="0">
      <pane ySplit="3" topLeftCell="A4" activePane="bottomLeft" state="frozen"/>
      <selection/>
      <selection pane="bottomLeft" activeCell="F11" sqref="F11"/>
    </sheetView>
  </sheetViews>
  <sheetFormatPr defaultColWidth="9.28571428571429" defaultRowHeight="13.6"/>
  <cols>
    <col min="1" max="1" width="7.28571428571429" customWidth="1"/>
    <col min="2" max="2" width="11.2857142857143" customWidth="1"/>
    <col min="3" max="3" width="14.2857142857143" customWidth="1"/>
    <col min="4" max="4" width="19.7142857142857" customWidth="1"/>
    <col min="5" max="5" width="16.2857142857143" customWidth="1"/>
    <col min="6" max="6" width="33.2857142857143" customWidth="1"/>
    <col min="7" max="7" width="25.7142857142857" hidden="1" customWidth="1"/>
    <col min="8" max="8" width="20" hidden="1" customWidth="1"/>
    <col min="9" max="10" width="12.2857142857143" hidden="1" customWidth="1"/>
    <col min="11" max="11" width="35.5714285714286" hidden="1" customWidth="1"/>
    <col min="12" max="16384" width="9.28571428571429" customWidth="1"/>
  </cols>
  <sheetData>
    <row r="1" s="1" customFormat="1" ht="18" customHeight="1" spans="2:13">
      <c r="B1" s="2" t="s">
        <v>433</v>
      </c>
      <c r="C1" s="3"/>
      <c r="D1" s="4"/>
      <c r="E1" s="15"/>
      <c r="F1"/>
      <c r="G1" s="16"/>
      <c r="H1"/>
      <c r="I1"/>
      <c r="J1"/>
      <c r="K1" s="19"/>
      <c r="L1" s="20"/>
      <c r="M1" s="29"/>
    </row>
    <row r="2" ht="17.25" customHeight="1" spans="2:15">
      <c r="B2" s="5" t="s">
        <v>434</v>
      </c>
      <c r="C2" s="6" t="s">
        <v>435</v>
      </c>
      <c r="D2" s="6" t="s">
        <v>436</v>
      </c>
      <c r="E2" s="6" t="s">
        <v>437</v>
      </c>
      <c r="F2" s="6" t="s">
        <v>438</v>
      </c>
      <c r="G2" s="6" t="s">
        <v>439</v>
      </c>
      <c r="H2" s="6" t="s">
        <v>558</v>
      </c>
      <c r="I2" s="6" t="s">
        <v>441</v>
      </c>
      <c r="J2" s="21"/>
      <c r="K2" s="22" t="s">
        <v>442</v>
      </c>
      <c r="L2" s="6" t="s">
        <v>443</v>
      </c>
      <c r="M2" s="6" t="s">
        <v>444</v>
      </c>
      <c r="N2" s="6" t="s">
        <v>445</v>
      </c>
      <c r="O2" s="22" t="s">
        <v>446</v>
      </c>
    </row>
    <row r="3" ht="16.5" customHeight="1" spans="2:15">
      <c r="B3" s="7"/>
      <c r="C3" s="8"/>
      <c r="D3" s="8"/>
      <c r="E3" s="8"/>
      <c r="F3" s="8"/>
      <c r="G3" s="8"/>
      <c r="H3" s="8"/>
      <c r="I3" s="23" t="s">
        <v>447</v>
      </c>
      <c r="J3" s="23" t="s">
        <v>448</v>
      </c>
      <c r="K3" s="24"/>
      <c r="L3" s="8"/>
      <c r="M3" s="8"/>
      <c r="N3" s="8"/>
      <c r="O3" s="24"/>
    </row>
    <row r="4" ht="15.2" spans="2:14">
      <c r="B4" s="9" t="s">
        <v>559</v>
      </c>
      <c r="C4" s="10" t="s">
        <v>522</v>
      </c>
      <c r="D4" s="11"/>
      <c r="E4" s="10" t="s">
        <v>451</v>
      </c>
      <c r="F4" s="11"/>
      <c r="G4" s="10" t="s">
        <v>534</v>
      </c>
      <c r="H4" s="17" t="s">
        <v>560</v>
      </c>
      <c r="I4" s="25" t="s">
        <v>526</v>
      </c>
      <c r="J4" s="10"/>
      <c r="K4" s="26"/>
      <c r="L4" s="14" t="s">
        <v>452</v>
      </c>
      <c r="M4" s="14" t="s">
        <v>561</v>
      </c>
      <c r="N4" s="14" t="s">
        <v>456</v>
      </c>
    </row>
    <row r="5" ht="12.75" customHeight="1" spans="2:15">
      <c r="B5" s="9" t="s">
        <v>562</v>
      </c>
      <c r="C5" s="10" t="s">
        <v>536</v>
      </c>
      <c r="D5" s="11" t="s">
        <v>563</v>
      </c>
      <c r="E5" s="10" t="s">
        <v>451</v>
      </c>
      <c r="F5" s="11"/>
      <c r="G5" s="10"/>
      <c r="H5" s="17" t="s">
        <v>560</v>
      </c>
      <c r="I5" s="25"/>
      <c r="J5" s="10"/>
      <c r="K5" s="26"/>
      <c r="L5" s="14" t="s">
        <v>455</v>
      </c>
      <c r="M5" s="14" t="s">
        <v>562</v>
      </c>
      <c r="N5" s="14" t="s">
        <v>456</v>
      </c>
      <c r="O5" s="14" t="s">
        <v>564</v>
      </c>
    </row>
    <row r="6" ht="14" spans="2:11">
      <c r="B6" s="9" t="s">
        <v>565</v>
      </c>
      <c r="C6" s="10" t="s">
        <v>544</v>
      </c>
      <c r="D6" s="11" t="s">
        <v>566</v>
      </c>
      <c r="E6" s="10" t="s">
        <v>451</v>
      </c>
      <c r="F6" s="11"/>
      <c r="G6" s="10"/>
      <c r="H6" s="17" t="s">
        <v>560</v>
      </c>
      <c r="I6" s="25"/>
      <c r="J6" s="10"/>
      <c r="K6" s="26"/>
    </row>
    <row r="7" spans="2:11">
      <c r="B7" s="9" t="s">
        <v>567</v>
      </c>
      <c r="C7" s="10" t="s">
        <v>547</v>
      </c>
      <c r="D7" s="11"/>
      <c r="E7" s="10" t="s">
        <v>451</v>
      </c>
      <c r="F7" s="11"/>
      <c r="G7" s="10"/>
      <c r="H7" s="17" t="s">
        <v>560</v>
      </c>
      <c r="I7" s="25"/>
      <c r="J7" s="10"/>
      <c r="K7" s="26"/>
    </row>
    <row r="8" spans="2:11">
      <c r="B8" s="9" t="s">
        <v>568</v>
      </c>
      <c r="C8" s="10" t="s">
        <v>553</v>
      </c>
      <c r="D8" s="11"/>
      <c r="E8" s="10" t="s">
        <v>451</v>
      </c>
      <c r="F8" s="11"/>
      <c r="G8" s="10"/>
      <c r="H8" s="17" t="s">
        <v>560</v>
      </c>
      <c r="I8" s="25"/>
      <c r="J8" s="10"/>
      <c r="K8" s="26"/>
    </row>
    <row r="9" spans="2:11">
      <c r="B9" s="9" t="s">
        <v>569</v>
      </c>
      <c r="C9" s="10" t="s">
        <v>553</v>
      </c>
      <c r="D9" s="11"/>
      <c r="E9" s="10" t="s">
        <v>451</v>
      </c>
      <c r="F9" s="11"/>
      <c r="G9" s="10"/>
      <c r="H9" s="17" t="s">
        <v>560</v>
      </c>
      <c r="I9" s="25"/>
      <c r="J9" s="10"/>
      <c r="K9" s="26"/>
    </row>
    <row r="10" spans="2:11">
      <c r="B10" s="9" t="s">
        <v>555</v>
      </c>
      <c r="C10" s="10" t="s">
        <v>553</v>
      </c>
      <c r="D10" s="11"/>
      <c r="E10" s="10" t="s">
        <v>451</v>
      </c>
      <c r="F10" s="11"/>
      <c r="G10" s="10"/>
      <c r="H10" s="17" t="s">
        <v>560</v>
      </c>
      <c r="I10" s="25"/>
      <c r="J10" s="10"/>
      <c r="K10" s="26"/>
    </row>
    <row r="11" ht="12" customHeight="1" spans="2:11">
      <c r="B11" s="9" t="s">
        <v>570</v>
      </c>
      <c r="C11" s="10" t="s">
        <v>536</v>
      </c>
      <c r="D11" s="11" t="s">
        <v>571</v>
      </c>
      <c r="E11" s="10" t="s">
        <v>451</v>
      </c>
      <c r="F11" s="11"/>
      <c r="G11" s="10"/>
      <c r="H11" s="17" t="s">
        <v>572</v>
      </c>
      <c r="I11" s="25"/>
      <c r="J11" s="10"/>
      <c r="K11" s="26"/>
    </row>
    <row r="12" ht="13.5" customHeight="1" spans="2:11">
      <c r="B12" s="9" t="s">
        <v>573</v>
      </c>
      <c r="C12" s="10" t="s">
        <v>532</v>
      </c>
      <c r="D12" s="11"/>
      <c r="E12" s="10" t="s">
        <v>451</v>
      </c>
      <c r="F12" s="11" t="s">
        <v>574</v>
      </c>
      <c r="G12" s="10"/>
      <c r="H12" s="17" t="s">
        <v>572</v>
      </c>
      <c r="I12" s="25"/>
      <c r="J12" s="10"/>
      <c r="K12" s="26"/>
    </row>
    <row r="13" ht="12" customHeight="1" spans="2:13">
      <c r="B13" s="9" t="s">
        <v>575</v>
      </c>
      <c r="C13" s="10" t="s">
        <v>532</v>
      </c>
      <c r="D13" s="11"/>
      <c r="E13" s="10" t="s">
        <v>451</v>
      </c>
      <c r="F13" s="11" t="s">
        <v>576</v>
      </c>
      <c r="G13" s="10"/>
      <c r="H13" s="17" t="s">
        <v>572</v>
      </c>
      <c r="I13" s="25"/>
      <c r="J13" s="25"/>
      <c r="K13" s="26"/>
      <c r="L13" s="14" t="s">
        <v>577</v>
      </c>
      <c r="M13" s="14" t="s">
        <v>575</v>
      </c>
    </row>
    <row r="14" spans="2:11">
      <c r="B14" s="9" t="s">
        <v>578</v>
      </c>
      <c r="C14" s="10" t="s">
        <v>522</v>
      </c>
      <c r="D14" s="11"/>
      <c r="E14" s="10" t="s">
        <v>451</v>
      </c>
      <c r="F14" s="11"/>
      <c r="G14" s="10"/>
      <c r="H14" s="17" t="s">
        <v>572</v>
      </c>
      <c r="I14" s="25"/>
      <c r="J14" s="25"/>
      <c r="K14" s="26"/>
    </row>
    <row r="15" spans="2:11">
      <c r="B15" s="9" t="s">
        <v>579</v>
      </c>
      <c r="C15" s="10" t="s">
        <v>580</v>
      </c>
      <c r="D15" s="11"/>
      <c r="E15" s="10" t="s">
        <v>451</v>
      </c>
      <c r="F15" s="11"/>
      <c r="G15" s="10"/>
      <c r="H15" s="17" t="s">
        <v>572</v>
      </c>
      <c r="I15" s="25"/>
      <c r="J15" s="25"/>
      <c r="K15" s="26"/>
    </row>
    <row r="16" ht="12.75" customHeight="1" spans="2:11">
      <c r="B16" s="9" t="s">
        <v>581</v>
      </c>
      <c r="C16" s="10" t="s">
        <v>532</v>
      </c>
      <c r="D16" s="10"/>
      <c r="E16" s="10" t="s">
        <v>451</v>
      </c>
      <c r="F16" s="11" t="s">
        <v>582</v>
      </c>
      <c r="G16" s="10"/>
      <c r="H16" s="17" t="s">
        <v>572</v>
      </c>
      <c r="I16" s="25"/>
      <c r="J16" s="10"/>
      <c r="K16" s="27"/>
    </row>
    <row r="17" spans="2:11">
      <c r="B17" s="9" t="s">
        <v>583</v>
      </c>
      <c r="C17" s="10" t="s">
        <v>532</v>
      </c>
      <c r="D17" s="11"/>
      <c r="E17" s="10" t="s">
        <v>451</v>
      </c>
      <c r="F17" s="11"/>
      <c r="G17" s="10"/>
      <c r="H17" s="17" t="s">
        <v>572</v>
      </c>
      <c r="I17" s="25"/>
      <c r="J17" s="25"/>
      <c r="K17" s="27"/>
    </row>
    <row r="18" spans="2:11">
      <c r="B18" s="9" t="s">
        <v>584</v>
      </c>
      <c r="C18" s="10" t="s">
        <v>580</v>
      </c>
      <c r="D18" s="11"/>
      <c r="E18" s="10" t="s">
        <v>451</v>
      </c>
      <c r="F18" s="11"/>
      <c r="G18" s="10"/>
      <c r="H18" s="17" t="s">
        <v>572</v>
      </c>
      <c r="I18" s="25"/>
      <c r="J18" s="25"/>
      <c r="K18" s="27"/>
    </row>
    <row r="19" ht="15" customHeight="1" spans="2:11">
      <c r="B19" s="12"/>
      <c r="C19" s="13"/>
      <c r="D19" s="13"/>
      <c r="E19" s="13"/>
      <c r="F19" s="13"/>
      <c r="G19" s="13"/>
      <c r="H19" s="18"/>
      <c r="I19" s="18"/>
      <c r="J19" s="13"/>
      <c r="K19" s="28"/>
    </row>
    <row r="21" ht="15.2" spans="2:6">
      <c r="B21" t="s">
        <v>463</v>
      </c>
      <c r="C21" s="14" t="s">
        <v>464</v>
      </c>
      <c r="D21" s="14" t="s">
        <v>465</v>
      </c>
      <c r="E21" s="14" t="s">
        <v>450</v>
      </c>
      <c r="F21" s="14" t="s">
        <v>450</v>
      </c>
    </row>
    <row r="22" ht="15.2" spans="2:6">
      <c r="B22" t="s">
        <v>466</v>
      </c>
      <c r="C22" s="14" t="s">
        <v>467</v>
      </c>
      <c r="D22" s="14" t="s">
        <v>468</v>
      </c>
      <c r="E22" s="14" t="s">
        <v>450</v>
      </c>
      <c r="F22" s="14" t="s">
        <v>469</v>
      </c>
    </row>
    <row r="23" ht="15.2" spans="2:6">
      <c r="B23" t="s">
        <v>466</v>
      </c>
      <c r="C23" s="14" t="s">
        <v>470</v>
      </c>
      <c r="D23" s="14" t="s">
        <v>471</v>
      </c>
      <c r="E23" s="14" t="s">
        <v>450</v>
      </c>
      <c r="F23" s="14" t="s">
        <v>450</v>
      </c>
    </row>
    <row r="24" ht="15.2" spans="2:6">
      <c r="B24" t="s">
        <v>466</v>
      </c>
      <c r="C24" s="14" t="s">
        <v>472</v>
      </c>
      <c r="D24" s="14" t="s">
        <v>473</v>
      </c>
      <c r="E24" s="14" t="s">
        <v>450</v>
      </c>
      <c r="F24" s="14" t="s">
        <v>450</v>
      </c>
    </row>
    <row r="25" ht="15.2" spans="2:6">
      <c r="B25" t="s">
        <v>466</v>
      </c>
      <c r="C25" s="14" t="s">
        <v>474</v>
      </c>
      <c r="D25" s="14" t="s">
        <v>475</v>
      </c>
      <c r="E25" s="14" t="s">
        <v>450</v>
      </c>
      <c r="F25" s="14" t="s">
        <v>450</v>
      </c>
    </row>
    <row r="26" ht="15.2" spans="2:6">
      <c r="B26" t="s">
        <v>466</v>
      </c>
      <c r="C26" s="14" t="s">
        <v>476</v>
      </c>
      <c r="D26" s="14" t="s">
        <v>477</v>
      </c>
      <c r="E26" s="14" t="s">
        <v>450</v>
      </c>
      <c r="F26" s="14" t="s">
        <v>478</v>
      </c>
    </row>
    <row r="27" ht="15.2" spans="2:6">
      <c r="B27" t="s">
        <v>466</v>
      </c>
      <c r="C27" s="14" t="s">
        <v>479</v>
      </c>
      <c r="D27" s="14" t="s">
        <v>480</v>
      </c>
      <c r="E27" s="14" t="s">
        <v>450</v>
      </c>
      <c r="F27" s="14" t="s">
        <v>481</v>
      </c>
    </row>
    <row r="28" ht="15.2" spans="3:6">
      <c r="C28" s="14" t="s">
        <v>585</v>
      </c>
      <c r="D28" s="14" t="s">
        <v>586</v>
      </c>
      <c r="E28" s="14" t="s">
        <v>450</v>
      </c>
      <c r="F28" s="14" t="s">
        <v>481</v>
      </c>
    </row>
    <row r="29" ht="15.2" spans="3:6">
      <c r="C29" s="14" t="s">
        <v>587</v>
      </c>
      <c r="D29" s="14" t="s">
        <v>588</v>
      </c>
      <c r="E29" s="14" t="s">
        <v>450</v>
      </c>
      <c r="F29" s="14" t="s">
        <v>481</v>
      </c>
    </row>
    <row r="30" ht="15.2" spans="3:6">
      <c r="C30" s="14" t="s">
        <v>589</v>
      </c>
      <c r="D30" s="14" t="s">
        <v>590</v>
      </c>
      <c r="E30" s="14" t="s">
        <v>450</v>
      </c>
      <c r="F30" s="14" t="s">
        <v>481</v>
      </c>
    </row>
    <row r="31" ht="15.2" spans="3:6">
      <c r="C31" s="14" t="s">
        <v>591</v>
      </c>
      <c r="D31" s="14" t="s">
        <v>592</v>
      </c>
      <c r="E31" s="14" t="s">
        <v>450</v>
      </c>
      <c r="F31" s="14" t="s">
        <v>450</v>
      </c>
    </row>
    <row r="32" ht="15.2" spans="3:6">
      <c r="C32" s="14" t="s">
        <v>593</v>
      </c>
      <c r="D32" s="14" t="s">
        <v>594</v>
      </c>
      <c r="E32" s="14" t="s">
        <v>450</v>
      </c>
      <c r="F32" s="14" t="s">
        <v>450</v>
      </c>
    </row>
    <row r="33" ht="15.2" spans="3:6">
      <c r="C33" s="14" t="s">
        <v>595</v>
      </c>
      <c r="D33" s="14" t="s">
        <v>596</v>
      </c>
      <c r="E33" s="14" t="s">
        <v>450</v>
      </c>
      <c r="F33" s="14" t="s">
        <v>597</v>
      </c>
    </row>
    <row r="34" ht="15.2" spans="3:6">
      <c r="C34" s="14" t="s">
        <v>598</v>
      </c>
      <c r="D34" s="14" t="s">
        <v>599</v>
      </c>
      <c r="E34" s="14" t="s">
        <v>450</v>
      </c>
      <c r="F34" s="14" t="s">
        <v>481</v>
      </c>
    </row>
    <row r="35" ht="15.2" spans="3:6">
      <c r="C35" s="14" t="s">
        <v>600</v>
      </c>
      <c r="D35" s="14" t="s">
        <v>601</v>
      </c>
      <c r="E35" s="14" t="s">
        <v>450</v>
      </c>
      <c r="F35" s="14" t="s">
        <v>481</v>
      </c>
    </row>
    <row r="36" ht="15.2" spans="3:6">
      <c r="C36" s="14" t="s">
        <v>602</v>
      </c>
      <c r="D36" s="14" t="s">
        <v>603</v>
      </c>
      <c r="E36" s="14" t="s">
        <v>450</v>
      </c>
      <c r="F36" s="14" t="s">
        <v>481</v>
      </c>
    </row>
    <row r="37" ht="15.2" spans="3:6">
      <c r="C37" s="14" t="s">
        <v>604</v>
      </c>
      <c r="D37" s="14" t="s">
        <v>605</v>
      </c>
      <c r="E37" s="14" t="s">
        <v>450</v>
      </c>
      <c r="F37" s="14" t="s">
        <v>481</v>
      </c>
    </row>
    <row r="38" ht="15.2" spans="3:6">
      <c r="C38" s="14" t="s">
        <v>606</v>
      </c>
      <c r="D38" s="14" t="s">
        <v>607</v>
      </c>
      <c r="E38" s="14" t="s">
        <v>450</v>
      </c>
      <c r="F38" s="14" t="s">
        <v>481</v>
      </c>
    </row>
    <row r="39" ht="15.2" spans="3:6">
      <c r="C39" s="14" t="s">
        <v>608</v>
      </c>
      <c r="D39" s="14" t="s">
        <v>609</v>
      </c>
      <c r="E39" s="14" t="s">
        <v>450</v>
      </c>
      <c r="F39" s="14" t="s">
        <v>481</v>
      </c>
    </row>
    <row r="40" ht="15.2" spans="3:6">
      <c r="C40" s="14" t="s">
        <v>610</v>
      </c>
      <c r="D40" s="14" t="s">
        <v>611</v>
      </c>
      <c r="E40" s="14" t="s">
        <v>456</v>
      </c>
      <c r="F40" s="14" t="s">
        <v>450</v>
      </c>
    </row>
    <row r="41" ht="15.2" spans="3:6">
      <c r="C41" s="14" t="s">
        <v>458</v>
      </c>
      <c r="D41" s="14" t="s">
        <v>583</v>
      </c>
      <c r="E41" s="14" t="s">
        <v>450</v>
      </c>
      <c r="F41" s="14" t="s">
        <v>450</v>
      </c>
    </row>
    <row r="42" ht="15.2" spans="3:6">
      <c r="C42" s="14" t="s">
        <v>612</v>
      </c>
      <c r="D42" s="14" t="s">
        <v>613</v>
      </c>
      <c r="E42" s="14" t="s">
        <v>456</v>
      </c>
      <c r="F42" s="14" t="s">
        <v>450</v>
      </c>
    </row>
    <row r="43" ht="15.2" spans="3:6">
      <c r="C43" s="14" t="s">
        <v>462</v>
      </c>
      <c r="D43" s="14" t="s">
        <v>567</v>
      </c>
      <c r="E43" s="14" t="s">
        <v>456</v>
      </c>
      <c r="F43" s="14" t="s">
        <v>450</v>
      </c>
    </row>
    <row r="44" ht="15.2" spans="3:6">
      <c r="C44" s="14" t="s">
        <v>614</v>
      </c>
      <c r="D44" s="14" t="s">
        <v>568</v>
      </c>
      <c r="E44" s="14" t="s">
        <v>456</v>
      </c>
      <c r="F44" s="14" t="s">
        <v>450</v>
      </c>
    </row>
    <row r="45" ht="15.2" spans="3:6">
      <c r="C45" s="14" t="s">
        <v>615</v>
      </c>
      <c r="D45" s="14" t="s">
        <v>616</v>
      </c>
      <c r="E45" s="14" t="s">
        <v>456</v>
      </c>
      <c r="F45" s="14" t="s">
        <v>450</v>
      </c>
    </row>
    <row r="46" ht="15.2" spans="2:6">
      <c r="B46" t="s">
        <v>482</v>
      </c>
      <c r="C46" s="14" t="s">
        <v>483</v>
      </c>
      <c r="D46" s="14" t="s">
        <v>484</v>
      </c>
      <c r="E46" s="14" t="s">
        <v>450</v>
      </c>
      <c r="F46" s="14" t="s">
        <v>485</v>
      </c>
    </row>
    <row r="47" ht="15.2" spans="2:6">
      <c r="B47" t="s">
        <v>482</v>
      </c>
      <c r="C47" s="14" t="s">
        <v>486</v>
      </c>
      <c r="D47" s="14" t="s">
        <v>487</v>
      </c>
      <c r="E47" s="14" t="s">
        <v>450</v>
      </c>
      <c r="F47" s="14" t="s">
        <v>488</v>
      </c>
    </row>
    <row r="48" ht="15.2" spans="2:6">
      <c r="B48" t="s">
        <v>482</v>
      </c>
      <c r="C48" s="14" t="s">
        <v>489</v>
      </c>
      <c r="D48" s="14" t="s">
        <v>490</v>
      </c>
      <c r="E48" s="14" t="s">
        <v>450</v>
      </c>
      <c r="F48" s="14" t="s">
        <v>491</v>
      </c>
    </row>
    <row r="49" ht="15.2" spans="2:6">
      <c r="B49" t="s">
        <v>482</v>
      </c>
      <c r="C49" s="14" t="s">
        <v>492</v>
      </c>
      <c r="D49" s="14" t="s">
        <v>493</v>
      </c>
      <c r="E49" s="14" t="s">
        <v>450</v>
      </c>
      <c r="F49" s="14" t="s">
        <v>494</v>
      </c>
    </row>
    <row r="50" ht="15.2" spans="2:6">
      <c r="B50" t="s">
        <v>482</v>
      </c>
      <c r="C50" s="14" t="s">
        <v>495</v>
      </c>
      <c r="D50" s="14" t="s">
        <v>496</v>
      </c>
      <c r="E50" s="14" t="s">
        <v>450</v>
      </c>
      <c r="F50" s="14" t="s">
        <v>497</v>
      </c>
    </row>
    <row r="51" ht="15.2" spans="2:6">
      <c r="B51" t="s">
        <v>498</v>
      </c>
      <c r="C51" s="14" t="s">
        <v>499</v>
      </c>
      <c r="D51" s="14" t="s">
        <v>500</v>
      </c>
      <c r="E51" s="14" t="s">
        <v>456</v>
      </c>
      <c r="F51" s="14" t="s">
        <v>617</v>
      </c>
    </row>
    <row r="52" ht="15.2" spans="2:6">
      <c r="B52" t="s">
        <v>498</v>
      </c>
      <c r="C52" s="14" t="s">
        <v>501</v>
      </c>
      <c r="D52" s="14" t="s">
        <v>502</v>
      </c>
      <c r="E52" s="14" t="s">
        <v>456</v>
      </c>
      <c r="F52" s="14" t="s">
        <v>450</v>
      </c>
    </row>
    <row r="53" ht="15.2" spans="2:6">
      <c r="B53" t="s">
        <v>498</v>
      </c>
      <c r="C53" s="14" t="s">
        <v>503</v>
      </c>
      <c r="D53" s="14" t="s">
        <v>504</v>
      </c>
      <c r="E53" s="14" t="s">
        <v>456</v>
      </c>
      <c r="F53" s="14" t="s">
        <v>617</v>
      </c>
    </row>
    <row r="54" ht="15.2" spans="2:6">
      <c r="B54" t="s">
        <v>498</v>
      </c>
      <c r="C54" s="14" t="s">
        <v>505</v>
      </c>
      <c r="D54" s="14" t="s">
        <v>506</v>
      </c>
      <c r="E54" s="14" t="s">
        <v>456</v>
      </c>
      <c r="F54" s="14" t="s">
        <v>450</v>
      </c>
    </row>
    <row r="55" ht="15.2" spans="2:6">
      <c r="B55" t="s">
        <v>618</v>
      </c>
      <c r="C55" s="14" t="s">
        <v>508</v>
      </c>
      <c r="D55" s="14" t="s">
        <v>442</v>
      </c>
      <c r="E55" s="14" t="s">
        <v>450</v>
      </c>
      <c r="F55" s="14" t="s">
        <v>450</v>
      </c>
    </row>
    <row r="56" ht="15.2" spans="2:6">
      <c r="B56" t="s">
        <v>618</v>
      </c>
      <c r="C56" s="14" t="s">
        <v>509</v>
      </c>
      <c r="D56" s="14" t="s">
        <v>510</v>
      </c>
      <c r="E56" s="14" t="s">
        <v>450</v>
      </c>
      <c r="F56" s="14" t="s">
        <v>450</v>
      </c>
    </row>
    <row r="57" ht="15.2" spans="2:6">
      <c r="B57" t="s">
        <v>618</v>
      </c>
      <c r="C57" s="14" t="s">
        <v>511</v>
      </c>
      <c r="D57" s="14" t="s">
        <v>512</v>
      </c>
      <c r="E57" s="14" t="s">
        <v>450</v>
      </c>
      <c r="F57" s="14" t="s">
        <v>450</v>
      </c>
    </row>
    <row r="58" ht="15.2" spans="2:6">
      <c r="B58" t="s">
        <v>618</v>
      </c>
      <c r="C58" s="14" t="s">
        <v>513</v>
      </c>
      <c r="D58" s="14" t="s">
        <v>514</v>
      </c>
      <c r="E58" s="14" t="s">
        <v>450</v>
      </c>
      <c r="F58" s="14" t="s">
        <v>450</v>
      </c>
    </row>
    <row r="59" ht="15.2" spans="2:6">
      <c r="B59" t="s">
        <v>618</v>
      </c>
      <c r="C59" s="14" t="s">
        <v>515</v>
      </c>
      <c r="D59" s="14" t="s">
        <v>516</v>
      </c>
      <c r="E59" s="14" t="s">
        <v>450</v>
      </c>
      <c r="F59" s="14" t="s">
        <v>450</v>
      </c>
    </row>
    <row r="60" ht="15.2" spans="2:6">
      <c r="B60" t="s">
        <v>618</v>
      </c>
      <c r="C60" s="14" t="s">
        <v>517</v>
      </c>
      <c r="D60" s="14" t="s">
        <v>518</v>
      </c>
      <c r="E60" s="14" t="s">
        <v>456</v>
      </c>
      <c r="F60" s="14" t="s">
        <v>450</v>
      </c>
    </row>
    <row r="61" ht="15.2" spans="2:6">
      <c r="B61" t="s">
        <v>618</v>
      </c>
      <c r="C61" s="14" t="s">
        <v>519</v>
      </c>
      <c r="D61" s="14" t="s">
        <v>520</v>
      </c>
      <c r="E61" s="14" t="s">
        <v>456</v>
      </c>
      <c r="F61" s="14" t="s">
        <v>450</v>
      </c>
    </row>
  </sheetData>
  <sheetProtection password="B8FF" sheet="1" objects="1" scenarios="1"/>
  <mergeCells count="13">
    <mergeCell ref="I2:J2"/>
    <mergeCell ref="B2:B3"/>
    <mergeCell ref="C2:C3"/>
    <mergeCell ref="D2:D3"/>
    <mergeCell ref="E2:E3"/>
    <mergeCell ref="F2:F3"/>
    <mergeCell ref="G2:G3"/>
    <mergeCell ref="H2:H3"/>
    <mergeCell ref="K2:K3"/>
    <mergeCell ref="L2:L3"/>
    <mergeCell ref="M2:M3"/>
    <mergeCell ref="N2:N3"/>
    <mergeCell ref="O2:O3"/>
  </mergeCells>
  <hyperlinks>
    <hyperlink ref="B1" location="目录!A1" display="返回目录"/>
  </hyperlinks>
  <pageMargins left="0.698611111111111" right="0.698611111111111"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待定问题列表</vt:lpstr>
      <vt:lpstr>原型</vt:lpstr>
      <vt:lpstr>新系统</vt:lpstr>
      <vt:lpstr>Sheet2</vt:lpstr>
      <vt:lpstr>变更</vt:lpstr>
      <vt:lpstr>Sheet1</vt:lpstr>
      <vt:lpstr>外汇-与存单合并</vt:lpstr>
      <vt:lpstr>同业存单-与存单合并</vt:lpstr>
      <vt:lpstr>商业承兑汇票-新增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 Mingxi</dc:creator>
  <cp:lastModifiedBy>董洪斌</cp:lastModifiedBy>
  <cp:revision>1</cp:revision>
  <dcterms:created xsi:type="dcterms:W3CDTF">2014-09-25T11:19:00Z</dcterms:created>
  <cp:lastPrinted>2022-05-20T06:29:00Z</cp:lastPrinted>
  <dcterms:modified xsi:type="dcterms:W3CDTF">2025-01-22T17:38:25Z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2052-5.3.0.7863</vt:lpwstr>
  </property>
  <property fmtid="{D5CDD505-2E9C-101B-9397-08002B2CF9AE}" pid="3" name="ICV">
    <vt:lpwstr>42D681CF13CC4564883DD060B7DD59AA_13</vt:lpwstr>
  </property>
</Properties>
</file>