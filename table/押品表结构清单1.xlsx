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7440" tabRatio="806" firstSheet="81" activeTab="88"/>
  </bookViews>
  <sheets>
    <sheet name="表结构清单" sheetId="1" r:id="rId1"/>
    <sheet name="表结构清单 (2)" sheetId="203" r:id="rId2"/>
    <sheet name="Sheet1" sheetId="204" r:id="rId3"/>
    <sheet name="Sheet2" sheetId="205" r:id="rId4"/>
    <sheet name="新增字段查找" sheetId="201" r:id="rId5"/>
    <sheet name="码值映射清单" sheetId="2" r:id="rId6"/>
    <sheet name="audit_info" sheetId="185" r:id="rId7"/>
    <sheet name="appraisal_agency" sheetId="3" r:id="rId8"/>
    <sheet name="appraisal_agency_apply" sheetId="4" r:id="rId9"/>
    <sheet name="appraisal_agency_appraise" sheetId="5" r:id="rId10"/>
    <sheet name="appraisal_agency_cooperation" sheetId="6" r:id="rId11"/>
    <sheet name="appraisal_agency_event" sheetId="7" r:id="rId12"/>
    <sheet name="appraisal_agency_expenses" sheetId="8" r:id="rId13"/>
    <sheet name="appraisal_agency_file" sheetId="9" r:id="rId14"/>
    <sheet name="appraisal_agency_information" sheetId="10" r:id="rId15"/>
    <sheet name="appraisal_agency_qualification" sheetId="11" r:id="rId16"/>
    <sheet name="appraisal_apply_relative" sheetId="12" r:id="rId17"/>
    <sheet name="awe_bizfile_info" sheetId="13" r:id="rId18"/>
    <sheet name="awe_dict_errmsg" sheetId="14" r:id="rId19"/>
    <sheet name="awe_do_catalog" sheetId="15" r:id="rId20"/>
    <sheet name="awe_do_col_validate" sheetId="16" r:id="rId21"/>
    <sheet name="awe_do_event" sheetId="17" r:id="rId22"/>
    <sheet name="awe_do_function" sheetId="18" r:id="rId23"/>
    <sheet name="awe_do_group" sheetId="19" r:id="rId24"/>
    <sheet name="awe_do_js_function" sheetId="20" r:id="rId25"/>
    <sheet name="awe_do_keyfilter" sheetId="21" r:id="rId26"/>
    <sheet name="awe_do_library" sheetId="22" r:id="rId27"/>
    <sheet name="awe_do_modes" sheetId="23" r:id="rId28"/>
    <sheet name="awe_do_validate" sheetId="24" r:id="rId29"/>
    <sheet name="awe_do_validate_catalog" sheetId="25" r:id="rId30"/>
    <sheet name="awe_dw_context" sheetId="26" r:id="rId31"/>
    <sheet name="awe_function_info" sheetId="27" r:id="rId32"/>
    <sheet name="awe_function_url" sheetId="28" r:id="rId33"/>
    <sheet name="awe_group_catalog" sheetId="29" r:id="rId34"/>
    <sheet name="awe_group_classify" sheetId="30" r:id="rId35"/>
    <sheet name="awe_group_item" sheetId="31" r:id="rId36"/>
    <sheet name="awe_href_info" sheetId="32" r:id="rId37"/>
    <sheet name="awe_jsp_runtime" sheetId="33" r:id="rId38"/>
    <sheet name="awe_menu_info" sheetId="34" r:id="rId39"/>
    <sheet name="awe_message_info" sheetId="35" r:id="rId40"/>
    <sheet name="awe_message_user" sheetId="36" r:id="rId41"/>
    <sheet name="awe_query_info" sheetId="37" r:id="rId42"/>
    <sheet name="awe_query_user" sheetId="38" r:id="rId43"/>
    <sheet name="awe_quick_href" sheetId="39" r:id="rId44"/>
    <sheet name="awe_record_info" sheetId="40" r:id="rId45"/>
    <sheet name="awe_right_menu" sheetId="41" r:id="rId46"/>
    <sheet name="awe_role_function" sheetId="42" r:id="rId47"/>
    <sheet name="awe_role_menu" sheetId="43" r:id="rId48"/>
    <sheet name="awe_role_right" sheetId="44" r:id="rId49"/>
    <sheet name="awe_role_url" sheetId="45" r:id="rId50"/>
    <sheet name="awe_shortcut" sheetId="46" r:id="rId51"/>
    <sheet name="awe_shortcutitem" sheetId="47" r:id="rId52"/>
    <sheet name="awe_task_info" sheetId="48" r:id="rId53"/>
    <sheet name="awe_task_process" sheetId="49" r:id="rId54"/>
    <sheet name="awe_wizard_catalog" sheetId="50" r:id="rId55"/>
    <sheet name="awe_wizard_library" sheetId="51" r:id="rId56"/>
    <sheet name="awe_wizard_runner" sheetId="52" r:id="rId57"/>
    <sheet name="bat_task_error" sheetId="53" r:id="rId58"/>
    <sheet name="bat_task_log" sheetId="54" r:id="rId59"/>
    <sheet name="bat_upload" sheetId="55" r:id="rId60"/>
    <sheet name="bill_info" sheetId="56" r:id="rId61"/>
    <sheet name="board_list" sheetId="57" r:id="rId62"/>
    <sheet name="board_user" sheetId="58" r:id="rId63"/>
    <sheet name="business_contract" sheetId="59" r:id="rId64"/>
    <sheet name="class_catalog" sheetId="60" r:id="rId65"/>
    <sheet name="class_method" sheetId="61" r:id="rId66"/>
    <sheet name="clr_asset_finance" sheetId="62" r:id="rId67"/>
    <sheet name="clr_asset_others_equipment" sheetId="63" r:id="rId68"/>
    <sheet name="clr_asset_others_inventory" sheetId="64" r:id="rId69"/>
    <sheet name="clr_asset_others_resource" sheetId="65" r:id="rId70"/>
    <sheet name="clr_asset_others_sbc" sheetId="66" r:id="rId71"/>
    <sheet name="clr_asset_others_tlpr" sheetId="67" r:id="rId72"/>
    <sheet name="clr_asset_realty" sheetId="68" r:id="rId73"/>
    <sheet name="clr_asset_receivable" sheetId="69" r:id="rId74"/>
    <sheet name="clr_cargo_info" sheetId="70" r:id="rId75"/>
    <sheet name="clr_catalog" sheetId="71" r:id="rId76"/>
    <sheet name="clr_commodity_market" sheetId="72" r:id="rId77"/>
    <sheet name="clr_evaluation_appl" sheetId="73" r:id="rId78"/>
    <sheet name="clr_evaluation_data" sheetId="74" r:id="rId79"/>
    <sheet name="clr_evaluation_record" sheetId="75" r:id="rId80"/>
    <sheet name="clr_fund_market" sheetId="76" r:id="rId81"/>
    <sheet name="clr_fund_market_detail" sheetId="77" r:id="rId82"/>
    <sheet name="clr_guascheme_relative" sheetId="78" r:id="rId83"/>
    <sheet name="clr_handle_info" sheetId="79" r:id="rId84"/>
    <sheet name="clr_info" sheetId="80" r:id="rId85"/>
    <sheet name="clr_insurance_record" sheetId="81" r:id="rId86"/>
    <sheet name="clr_material_catalog" sheetId="82" r:id="rId87"/>
    <sheet name="clr_notarization_record" sheetId="83" r:id="rId88"/>
    <sheet name="clr_owner" sheetId="84" r:id="rId89"/>
    <sheet name="clr_param" sheetId="85" r:id="rId90"/>
    <sheet name="clr_priceindex" sheetId="86" r:id="rId91"/>
    <sheet name="clr_qualification_info" sheetId="87" r:id="rId92"/>
    <sheet name="clr_register_record" sheetId="88" r:id="rId93"/>
    <sheet name="clr_rightcert_info" sheetId="89" r:id="rId94"/>
    <sheet name="clr_rightcert_package_info" sheetId="90" r:id="rId95"/>
    <sheet name="clr_rightcert_tranrecord" sheetId="91" r:id="rId96"/>
    <sheet name="clr_rightcert_trappl" sheetId="92" r:id="rId97"/>
    <sheet name="clr_rightcert_trappl_group" sheetId="93" r:id="rId98"/>
    <sheet name="clr_sample_houseing" sheetId="94" r:id="rId99"/>
    <sheet name="clr_sample_selected" sheetId="95" r:id="rId100"/>
    <sheet name="clr_stock_market" sheetId="96" r:id="rId101"/>
    <sheet name="clr_stock_market_detail" sheetId="97" r:id="rId102"/>
    <sheet name="clr_stress_bu_detail" sheetId="98" r:id="rId103"/>
    <sheet name="clr_stress_clr_detail" sheetId="99" r:id="rId104"/>
    <sheet name="clr_stress_link" sheetId="100" r:id="rId105"/>
    <sheet name="clr_stress_record" sheetId="101" r:id="rId106"/>
    <sheet name="clr_stress_test" sheetId="102" r:id="rId107"/>
    <sheet name="clr_verification_info" sheetId="103" r:id="rId108"/>
    <sheet name="clr_verification_record" sheetId="104" r:id="rId109"/>
    <sheet name="code_catalog" sheetId="105" r:id="rId110"/>
    <sheet name="code_library" sheetId="106" r:id="rId111"/>
    <sheet name="conf_erate_info" sheetId="107" r:id="rId112"/>
    <sheet name="conf_quick_menu_url" sheetId="108" r:id="rId113"/>
    <sheet name="corporation_info" sheetId="109" r:id="rId114"/>
    <sheet name="doc_attachment" sheetId="110" r:id="rId115"/>
    <sheet name="doc_library" sheetId="111" r:id="rId116"/>
    <sheet name="doc_relative" sheetId="112" r:id="rId117"/>
    <sheet name="erate_info" sheetId="113" r:id="rId118"/>
    <sheet name="evaluate_catalog" sheetId="114" r:id="rId119"/>
    <sheet name="evaluate_data" sheetId="115" r:id="rId120"/>
    <sheet name="evaluate_model" sheetId="116" r:id="rId121"/>
    <sheet name="evaluate_record" sheetId="117" r:id="rId122"/>
    <sheet name="flow_activities" sheetId="167" r:id="rId123"/>
    <sheet name="flow_attributegroup" sheetId="168" r:id="rId124"/>
    <sheet name="flow_buttongroup" sheetId="169" r:id="rId125"/>
    <sheet name="flow_buttonitem" sheetId="170" r:id="rId126"/>
    <sheet name="flow_catalog" sheetId="118" r:id="rId127"/>
    <sheet name="flow_def" sheetId="171" r:id="rId128"/>
    <sheet name="flow_deploy" sheetId="172" r:id="rId129"/>
    <sheet name="flow_group" sheetId="173" r:id="rId130"/>
    <sheet name="flow_hi_model" sheetId="174" r:id="rId131"/>
    <sheet name="flow_message" sheetId="175" r:id="rId132"/>
    <sheet name="flow_model" sheetId="119" r:id="rId133"/>
    <sheet name="flow_model_relative" sheetId="176" r:id="rId134"/>
    <sheet name="flow_object" sheetId="120" r:id="rId135"/>
    <sheet name="flow_object_summary" sheetId="121" r:id="rId136"/>
    <sheet name="flow_opinion" sheetId="122" r:id="rId137"/>
    <sheet name="flow_phasetype" sheetId="177" r:id="rId138"/>
    <sheet name="flow_props" sheetId="178" r:id="rId139"/>
    <sheet name="flow_ru_model" sheetId="179" r:id="rId140"/>
    <sheet name="flow_swimlane" sheetId="123" r:id="rId141"/>
    <sheet name="flow_task" sheetId="124" r:id="rId142"/>
    <sheet name="flow_task_closed" sheetId="125" r:id="rId143"/>
    <sheet name="flow_user_rela" sheetId="126" r:id="rId144"/>
    <sheet name="flow_userconf" sheetId="180" r:id="rId145"/>
    <sheet name="guarantor_info" sheetId="127" r:id="rId146"/>
    <sheet name="guaranty_contract" sheetId="128" r:id="rId147"/>
    <sheet name="guaranty_relative" sheetId="129" r:id="rId148"/>
    <sheet name="log_auditinfo" sheetId="130" r:id="rId149"/>
    <sheet name="manage_change" sheetId="131" r:id="rId150"/>
    <sheet name="object_attribute" sheetId="132" r:id="rId151"/>
    <sheet name="object_maxsn" sheetId="133" r:id="rId152"/>
    <sheet name="objecttype_catalog" sheetId="134" r:id="rId153"/>
    <sheet name="objecttype_rela" sheetId="135" r:id="rId154"/>
    <sheet name="org_belong" sheetId="136" r:id="rId155"/>
    <sheet name="org_info" sheetId="137" r:id="rId156"/>
    <sheet name="post_sublicense" sheetId="138" r:id="rId157"/>
    <sheet name="rate_info" sheetId="139" r:id="rId158"/>
    <sheet name="role_info" sheetId="140" r:id="rId159"/>
    <sheet name="role_right" sheetId="141" r:id="rId160"/>
    <sheet name="scenario_args" sheetId="142" r:id="rId161"/>
    <sheet name="scenario_catalog" sheetId="143" r:id="rId162"/>
    <sheet name="scenario_group" sheetId="144" r:id="rId163"/>
    <sheet name="scenario_model" sheetId="145" r:id="rId164"/>
    <sheet name="scenario_relative" sheetId="146" r:id="rId165"/>
    <sheet name="security_audit" sheetId="147" r:id="rId166"/>
    <sheet name="select_catalog" sheetId="148" r:id="rId167"/>
    <sheet name="sys_calendar" sheetId="149" r:id="rId168"/>
    <sheet name="system_setup" sheetId="150" r:id="rId169"/>
    <sheet name="task_run_history" sheetId="151" r:id="rId170"/>
    <sheet name="task_run_interact" sheetId="152" r:id="rId171"/>
    <sheet name="task_run_status" sheetId="153" r:id="rId172"/>
    <sheet name="user_defineinfo" sheetId="154" r:id="rId173"/>
    <sheet name="user_failedlist" sheetId="155" r:id="rId174"/>
    <sheet name="user_info" sheetId="156" r:id="rId175"/>
    <sheet name="user_list" sheetId="157" r:id="rId176"/>
    <sheet name="user_logon_session" sheetId="158" r:id="rId177"/>
    <sheet name="user_markinfo" sheetId="159" r:id="rId178"/>
    <sheet name="user_menu_counter" sheetId="160" r:id="rId179"/>
    <sheet name="user_right" sheetId="161" r:id="rId180"/>
    <sheet name="user_role" sheetId="162" r:id="rId181"/>
    <sheet name="user_runtime" sheetId="163" r:id="rId182"/>
    <sheet name="user_worktips" sheetId="164" r:id="rId183"/>
    <sheet name="wf_activeinstance" sheetId="181" r:id="rId184"/>
    <sheet name="wf_instance" sheetId="182" r:id="rId185"/>
    <sheet name="wf_opinion" sheetId="183" r:id="rId186"/>
    <sheet name="wf_workitem" sheetId="184" r:id="rId187"/>
    <sheet name="worktip_condition" sheetId="165" r:id="rId188"/>
    <sheet name="worktip_summary" sheetId="166" r:id="rId189"/>
    <sheet name="clr_belong" sheetId="186" r:id="rId190"/>
    <sheet name="CLR_PROPERTY_HOUSE_INFO" sheetId="187" r:id="rId191"/>
    <sheet name="CLR_PROPERTY_RIGHT_HOLDER_INFO" sheetId="188" r:id="rId192"/>
    <sheet name="CLR_GUARANTY_FILE_UP_RECORD" sheetId="189" r:id="rId193"/>
    <sheet name="GUARANTY_REGISTER_INFO" sheetId="190" r:id="rId194"/>
    <sheet name="CLR_OWNERSHIP_CHANGE_INFO" sheetId="191" r:id="rId195"/>
    <sheet name="CLR_RIGHTCERT_TRAPPL_RELA" sheetId="192" r:id="rId196"/>
    <sheet name="CLR_CORE_REGISTER_PACKAGE" sheetId="193" r:id="rId197"/>
    <sheet name="CLR_CORE_REGISTER_INFO" sheetId="194" r:id="rId198"/>
    <sheet name="RISK_MITIGATION_DETAIL" sheetId="195" r:id="rId199"/>
    <sheet name="RISK_MITIGATION_BIZ" sheetId="196" r:id="rId200"/>
    <sheet name="RISK_MITIGATION_CLR" sheetId="197" r:id="rId201"/>
    <sheet name="CLR_INVOICE_RECORD" sheetId="198" r:id="rId202"/>
    <sheet name="CLR_EVALUATION_APPL_GROUP" sheetId="199" r:id="rId203"/>
    <sheet name="CLR_ONLINE_RESULT" sheetId="200" r:id="rId204"/>
    <sheet name="CCMS_PARTYINF" sheetId="202" r:id="rId205"/>
  </sheets>
  <calcPr calcId="144525"/>
</workbook>
</file>

<file path=xl/sharedStrings.xml><?xml version="1.0" encoding="utf-8"?>
<sst xmlns="http://schemas.openxmlformats.org/spreadsheetml/2006/main" count="81546" uniqueCount="21014">
  <si>
    <t>数据表</t>
  </si>
  <si>
    <t>数据表名称</t>
  </si>
  <si>
    <t>表归类</t>
  </si>
  <si>
    <t>审计信息</t>
  </si>
  <si>
    <t>评估机构</t>
  </si>
  <si>
    <t>评估机构申请信息表</t>
  </si>
  <si>
    <t>评价调查信息管理</t>
  </si>
  <si>
    <t>评估机构合作协议</t>
  </si>
  <si>
    <t>评估机构事件表</t>
  </si>
  <si>
    <t>评估机构费用</t>
  </si>
  <si>
    <t>评级机构附件</t>
  </si>
  <si>
    <t>评估公司相关信息</t>
  </si>
  <si>
    <t>评估机构资质表</t>
  </si>
  <si>
    <t>评级机构申请关联表</t>
  </si>
  <si>
    <t>业务文件详情</t>
  </si>
  <si>
    <t>底层表</t>
  </si>
  <si>
    <t>系统错误报告</t>
  </si>
  <si>
    <r>
      <rPr>
        <sz val="11"/>
        <rFont val="宋体"/>
        <charset val="134"/>
      </rPr>
      <t>OW</t>
    </r>
    <r>
      <rPr>
        <sz val="11"/>
        <rFont val="宋体"/>
        <charset val="134"/>
      </rPr>
      <t>显示模板场景</t>
    </r>
  </si>
  <si>
    <r>
      <rPr>
        <sz val="11"/>
        <rFont val="宋体"/>
        <charset val="134"/>
      </rPr>
      <t>DW</t>
    </r>
    <r>
      <rPr>
        <sz val="11"/>
        <rFont val="宋体"/>
        <charset val="134"/>
      </rPr>
      <t>字段验证规则</t>
    </r>
  </si>
  <si>
    <r>
      <rPr>
        <sz val="11"/>
        <rFont val="宋体"/>
        <charset val="134"/>
      </rPr>
      <t>OW</t>
    </r>
    <r>
      <rPr>
        <sz val="11"/>
        <rFont val="宋体"/>
        <charset val="134"/>
      </rPr>
      <t>字段事件</t>
    </r>
  </si>
  <si>
    <r>
      <rPr>
        <sz val="11"/>
        <rFont val="宋体"/>
        <charset val="134"/>
      </rPr>
      <t>OW</t>
    </r>
    <r>
      <rPr>
        <sz val="11"/>
        <rFont val="宋体"/>
        <charset val="134"/>
      </rPr>
      <t>脚本方法</t>
    </r>
  </si>
  <si>
    <r>
      <rPr>
        <sz val="11"/>
        <rFont val="宋体"/>
        <charset val="134"/>
      </rPr>
      <t>OW</t>
    </r>
    <r>
      <rPr>
        <sz val="11"/>
        <rFont val="宋体"/>
        <charset val="134"/>
      </rPr>
      <t>分组信息</t>
    </r>
  </si>
  <si>
    <r>
      <rPr>
        <sz val="11"/>
        <rFont val="宋体"/>
        <charset val="134"/>
      </rPr>
      <t>OW</t>
    </r>
    <r>
      <rPr>
        <sz val="11"/>
        <rFont val="宋体"/>
        <charset val="134"/>
      </rPr>
      <t>通用</t>
    </r>
    <r>
      <rPr>
        <sz val="11"/>
        <rFont val="宋体"/>
        <charset val="134"/>
      </rPr>
      <t>js</t>
    </r>
    <r>
      <rPr>
        <sz val="11"/>
        <rFont val="宋体"/>
        <charset val="134"/>
      </rPr>
      <t>方法</t>
    </r>
  </si>
  <si>
    <r>
      <rPr>
        <sz val="11"/>
        <rFont val="宋体"/>
        <charset val="134"/>
      </rPr>
      <t>OW</t>
    </r>
    <r>
      <rPr>
        <sz val="11"/>
        <rFont val="宋体"/>
        <charset val="134"/>
      </rPr>
      <t>关键字查询</t>
    </r>
  </si>
  <si>
    <r>
      <rPr>
        <sz val="11"/>
        <rFont val="宋体"/>
        <charset val="134"/>
      </rPr>
      <t>OW</t>
    </r>
    <r>
      <rPr>
        <sz val="11"/>
        <rFont val="宋体"/>
        <charset val="134"/>
      </rPr>
      <t>显示模板字段信息</t>
    </r>
  </si>
  <si>
    <r>
      <rPr>
        <sz val="11"/>
        <rFont val="宋体"/>
        <charset val="134"/>
      </rPr>
      <t>OW</t>
    </r>
    <r>
      <rPr>
        <sz val="11"/>
        <rFont val="宋体"/>
        <charset val="134"/>
      </rPr>
      <t>显示模板样式表</t>
    </r>
  </si>
  <si>
    <t>数据验证类</t>
  </si>
  <si>
    <t>数据验证业务分类</t>
  </si>
  <si>
    <t>显示模型上下文环境</t>
  </si>
  <si>
    <t>功能点信息</t>
  </si>
  <si>
    <r>
      <rPr>
        <sz val="11"/>
        <rFont val="宋体"/>
        <charset val="134"/>
      </rPr>
      <t>功能点</t>
    </r>
    <r>
      <rPr>
        <sz val="11"/>
        <rFont val="宋体"/>
        <charset val="134"/>
      </rPr>
      <t>URL</t>
    </r>
  </si>
  <si>
    <t>组合页面目录信息</t>
  </si>
  <si>
    <r>
      <rPr>
        <sz val="11"/>
        <rFont val="宋体"/>
        <charset val="134"/>
      </rPr>
      <t>代码类别表</t>
    </r>
    <r>
      <rPr>
        <sz val="11"/>
        <rFont val="宋体"/>
        <charset val="134"/>
      </rPr>
      <t>;</t>
    </r>
    <r>
      <rPr>
        <sz val="11"/>
        <rFont val="宋体"/>
        <charset val="134"/>
      </rPr>
      <t>代码类别表</t>
    </r>
  </si>
  <si>
    <r>
      <rPr>
        <sz val="11"/>
        <rFont val="宋体"/>
        <charset val="134"/>
      </rPr>
      <t>代码表</t>
    </r>
    <r>
      <rPr>
        <sz val="11"/>
        <rFont val="宋体"/>
        <charset val="134"/>
      </rPr>
      <t>;</t>
    </r>
    <r>
      <rPr>
        <sz val="11"/>
        <rFont val="宋体"/>
        <charset val="134"/>
      </rPr>
      <t>代码库</t>
    </r>
  </si>
  <si>
    <t>对象类型信息表</t>
  </si>
  <si>
    <t>对象关联信息表</t>
  </si>
  <si>
    <t>对象属性信息表</t>
  </si>
  <si>
    <r>
      <rPr>
        <sz val="11"/>
        <rFont val="宋体"/>
        <charset val="134"/>
      </rPr>
      <t>系统流水表</t>
    </r>
    <r>
      <rPr>
        <sz val="11"/>
        <rFont val="宋体"/>
        <charset val="134"/>
      </rPr>
      <t>;</t>
    </r>
    <r>
      <rPr>
        <sz val="11"/>
        <rFont val="宋体"/>
        <charset val="134"/>
      </rPr>
      <t>系统流水号表</t>
    </r>
  </si>
  <si>
    <t>角色权限表</t>
  </si>
  <si>
    <t>安全审计</t>
  </si>
  <si>
    <t>查询信息表</t>
  </si>
  <si>
    <r>
      <rPr>
        <sz val="11"/>
        <rFont val="宋体"/>
        <charset val="134"/>
      </rPr>
      <t>用户登录失败表</t>
    </r>
    <r>
      <rPr>
        <sz val="11"/>
        <rFont val="宋体"/>
        <charset val="134"/>
      </rPr>
      <t>;</t>
    </r>
    <r>
      <rPr>
        <sz val="11"/>
        <rFont val="宋体"/>
        <charset val="134"/>
      </rPr>
      <t>用户痕迹表</t>
    </r>
  </si>
  <si>
    <r>
      <rPr>
        <sz val="11"/>
        <rFont val="宋体"/>
        <charset val="134"/>
      </rPr>
      <t>用户登录表</t>
    </r>
    <r>
      <rPr>
        <sz val="11"/>
        <rFont val="宋体"/>
        <charset val="134"/>
      </rPr>
      <t>;</t>
    </r>
    <r>
      <rPr>
        <sz val="11"/>
        <rFont val="宋体"/>
        <charset val="134"/>
      </rPr>
      <t>用户登录列表</t>
    </r>
  </si>
  <si>
    <r>
      <rPr>
        <sz val="11"/>
        <rFont val="宋体"/>
        <charset val="134"/>
      </rPr>
      <t>用户登录</t>
    </r>
    <r>
      <rPr>
        <sz val="11"/>
        <rFont val="宋体"/>
        <charset val="134"/>
      </rPr>
      <t>session</t>
    </r>
  </si>
  <si>
    <r>
      <rPr>
        <sz val="11"/>
        <rFont val="宋体"/>
        <charset val="134"/>
      </rPr>
      <t>用户记录表</t>
    </r>
    <r>
      <rPr>
        <sz val="11"/>
        <rFont val="宋体"/>
        <charset val="134"/>
      </rPr>
      <t>;</t>
    </r>
    <r>
      <rPr>
        <sz val="11"/>
        <rFont val="宋体"/>
        <charset val="134"/>
      </rPr>
      <t>用户痕迹表</t>
    </r>
  </si>
  <si>
    <t>用户权限表</t>
  </si>
  <si>
    <t>用户运行时信息</t>
  </si>
  <si>
    <t>组合页面分类信息表</t>
  </si>
  <si>
    <t>组合页面详细信息表</t>
  </si>
  <si>
    <t>链接信息</t>
  </si>
  <si>
    <r>
      <rPr>
        <sz val="11"/>
        <rFont val="宋体"/>
        <charset val="134"/>
      </rPr>
      <t>jsp</t>
    </r>
    <r>
      <rPr>
        <sz val="11"/>
        <rFont val="宋体"/>
        <charset val="134"/>
      </rPr>
      <t>页面访问统计表</t>
    </r>
  </si>
  <si>
    <r>
      <rPr>
        <sz val="11"/>
        <rFont val="宋体"/>
        <charset val="134"/>
      </rPr>
      <t>菜单表</t>
    </r>
    <r>
      <rPr>
        <sz val="11"/>
        <rFont val="宋体"/>
        <charset val="134"/>
      </rPr>
      <t>;</t>
    </r>
    <r>
      <rPr>
        <sz val="11"/>
        <rFont val="宋体"/>
        <charset val="134"/>
      </rPr>
      <t>系统菜单表</t>
    </r>
  </si>
  <si>
    <t>站内信对象</t>
  </si>
  <si>
    <r>
      <rPr>
        <sz val="11"/>
        <rFont val="宋体"/>
        <charset val="134"/>
      </rPr>
      <t>站内信发送</t>
    </r>
    <r>
      <rPr>
        <sz val="11"/>
        <rFont val="宋体"/>
        <charset val="134"/>
      </rPr>
      <t>/</t>
    </r>
    <r>
      <rPr>
        <sz val="11"/>
        <rFont val="宋体"/>
        <charset val="134"/>
      </rPr>
      <t>关联用户</t>
    </r>
  </si>
  <si>
    <t>查询配置基本信息</t>
  </si>
  <si>
    <t>异步查询下载</t>
  </si>
  <si>
    <t>快捷链接</t>
  </si>
  <si>
    <t>特殊信息记录表</t>
  </si>
  <si>
    <t>菜单权限表</t>
  </si>
  <si>
    <t>角色和功能点关联表</t>
  </si>
  <si>
    <r>
      <rPr>
        <sz val="11"/>
        <rFont val="宋体"/>
        <charset val="134"/>
      </rPr>
      <t>角色菜单表</t>
    </r>
    <r>
      <rPr>
        <sz val="11"/>
        <rFont val="宋体"/>
        <charset val="134"/>
      </rPr>
      <t>;</t>
    </r>
    <r>
      <rPr>
        <sz val="11"/>
        <rFont val="宋体"/>
        <charset val="134"/>
      </rPr>
      <t>菜单角色表</t>
    </r>
  </si>
  <si>
    <t>角色权限系统表</t>
  </si>
  <si>
    <r>
      <rPr>
        <sz val="11"/>
        <rFont val="宋体"/>
        <charset val="134"/>
      </rPr>
      <t>角色权限</t>
    </r>
    <r>
      <rPr>
        <sz val="11"/>
        <rFont val="宋体"/>
        <charset val="134"/>
      </rPr>
      <t>URL</t>
    </r>
  </si>
  <si>
    <t>系统默认快捷菜单表</t>
  </si>
  <si>
    <t>系统功能库</t>
  </si>
  <si>
    <t>任务信息表</t>
  </si>
  <si>
    <t>任务进度信息</t>
  </si>
  <si>
    <t>向导目录</t>
  </si>
  <si>
    <t>向导定义表;向导定义</t>
  </si>
  <si>
    <t>向导运行记录表</t>
  </si>
  <si>
    <t>类定义</t>
  </si>
  <si>
    <t>方法</t>
  </si>
  <si>
    <t>抵质押登记记录</t>
  </si>
  <si>
    <t>抵质押登记管理</t>
  </si>
  <si>
    <t>大宗商品盯市数据表</t>
  </si>
  <si>
    <t>盯市管理</t>
  </si>
  <si>
    <t>基金盯市数据表</t>
  </si>
  <si>
    <t>基金盯市数据明细表</t>
  </si>
  <si>
    <t>商品类别信息表</t>
  </si>
  <si>
    <t>股票盯市数据表</t>
  </si>
  <si>
    <t>股票盯市数据明细表</t>
  </si>
  <si>
    <t>风险探测参数信息表</t>
  </si>
  <si>
    <t>风险探测</t>
  </si>
  <si>
    <t>场景分类</t>
  </si>
  <si>
    <t>场景分组</t>
  </si>
  <si>
    <t>场景模型</t>
  </si>
  <si>
    <t>场景关联表</t>
  </si>
  <si>
    <t>用户工作日志表</t>
  </si>
  <si>
    <t>工作台</t>
  </si>
  <si>
    <t>工作情况</t>
  </si>
  <si>
    <t>工作汇总</t>
  </si>
  <si>
    <t>核押详情</t>
  </si>
  <si>
    <t>核押信息登记</t>
  </si>
  <si>
    <t>核押信息记录</t>
  </si>
  <si>
    <t>流程实例</t>
  </si>
  <si>
    <t>流程表</t>
  </si>
  <si>
    <t>wf_opinion</t>
  </si>
  <si>
    <t>流程意见记录</t>
  </si>
  <si>
    <r>
      <rPr>
        <u/>
        <sz val="11"/>
        <rFont val="宋体"/>
        <charset val="134"/>
      </rPr>
      <t>流程工作项</t>
    </r>
    <r>
      <rPr>
        <sz val="11"/>
        <rFont val="宋体"/>
        <charset val="134"/>
      </rPr>
      <t>(</t>
    </r>
    <r>
      <rPr>
        <sz val="11"/>
        <rFont val="宋体"/>
        <charset val="134"/>
      </rPr>
      <t>任务</t>
    </r>
    <r>
      <rPr>
        <sz val="11"/>
        <rFont val="宋体"/>
        <charset val="134"/>
      </rPr>
      <t>)</t>
    </r>
  </si>
  <si>
    <r>
      <rPr>
        <u/>
        <sz val="11"/>
        <rFont val="宋体"/>
        <charset val="134"/>
      </rPr>
      <t>流程的活动</t>
    </r>
    <r>
      <rPr>
        <sz val="11"/>
        <rFont val="宋体"/>
        <charset val="134"/>
      </rPr>
      <t>(</t>
    </r>
    <r>
      <rPr>
        <sz val="11"/>
        <rFont val="宋体"/>
        <charset val="134"/>
      </rPr>
      <t>节点</t>
    </r>
    <r>
      <rPr>
        <sz val="11"/>
        <rFont val="宋体"/>
        <charset val="134"/>
      </rPr>
      <t>)</t>
    </r>
    <r>
      <rPr>
        <sz val="11"/>
        <rFont val="宋体"/>
        <charset val="134"/>
      </rPr>
      <t>实例</t>
    </r>
  </si>
  <si>
    <r>
      <rPr>
        <u/>
        <sz val="11"/>
        <rFont val="宋体"/>
        <charset val="134"/>
      </rPr>
      <t>流程活动</t>
    </r>
    <r>
      <rPr>
        <sz val="11"/>
        <rFont val="宋体"/>
        <charset val="134"/>
      </rPr>
      <t>(</t>
    </r>
    <r>
      <rPr>
        <sz val="11"/>
        <rFont val="宋体"/>
        <charset val="134"/>
      </rPr>
      <t>节点</t>
    </r>
    <r>
      <rPr>
        <sz val="11"/>
        <rFont val="宋体"/>
        <charset val="134"/>
      </rPr>
      <t>)</t>
    </r>
  </si>
  <si>
    <t>流程活动的属性分组</t>
  </si>
  <si>
    <t>流程按钮组</t>
  </si>
  <si>
    <t>流程按钮</t>
  </si>
  <si>
    <t>流程定义</t>
  </si>
  <si>
    <t>流程部署</t>
  </si>
  <si>
    <t>流程分组</t>
  </si>
  <si>
    <t>流程模型的历史</t>
  </si>
  <si>
    <t>流程信息</t>
  </si>
  <si>
    <t>流程阶段类型</t>
  </si>
  <si>
    <t>流程模型表</t>
  </si>
  <si>
    <t>流程的处理人配置</t>
  </si>
  <si>
    <r>
      <rPr>
        <u/>
        <sz val="11"/>
        <rFont val="宋体"/>
        <charset val="134"/>
      </rPr>
      <t>流程模型表</t>
    </r>
    <r>
      <rPr>
        <sz val="11"/>
        <rFont val="宋体"/>
        <charset val="134"/>
      </rPr>
      <t>;</t>
    </r>
    <r>
      <rPr>
        <sz val="11"/>
        <rFont val="宋体"/>
        <charset val="134"/>
      </rPr>
      <t>流程模型</t>
    </r>
  </si>
  <si>
    <t>FLOW_MODEL_RELATIVE</t>
  </si>
  <si>
    <t>流程多法人关联表</t>
  </si>
  <si>
    <t>流程对象表</t>
  </si>
  <si>
    <t>流程业务表</t>
  </si>
  <si>
    <t>流程泳道</t>
  </si>
  <si>
    <t>流程任务</t>
  </si>
  <si>
    <t>已结束流程任务</t>
  </si>
  <si>
    <t>流程用户关联关系表</t>
  </si>
  <si>
    <t>流程节点的属性</t>
  </si>
  <si>
    <r>
      <rPr>
        <sz val="11"/>
        <rFont val="宋体"/>
        <charset val="134"/>
      </rPr>
      <t xml:space="preserve">GCI </t>
    </r>
    <r>
      <rPr>
        <sz val="11"/>
        <rFont val="宋体"/>
        <charset val="134"/>
      </rPr>
      <t>任务跑批历史表</t>
    </r>
    <r>
      <rPr>
        <sz val="11"/>
        <rFont val="宋体"/>
        <charset val="134"/>
      </rPr>
      <t>;</t>
    </r>
    <r>
      <rPr>
        <sz val="11"/>
        <rFont val="宋体"/>
        <charset val="134"/>
      </rPr>
      <t>任务跑批历史表</t>
    </r>
  </si>
  <si>
    <t>批量调度</t>
  </si>
  <si>
    <r>
      <rPr>
        <sz val="11"/>
        <rFont val="宋体"/>
        <charset val="134"/>
      </rPr>
      <t xml:space="preserve">GCI </t>
    </r>
    <r>
      <rPr>
        <sz val="11"/>
        <rFont val="宋体"/>
        <charset val="134"/>
      </rPr>
      <t>任务交互控制表</t>
    </r>
    <r>
      <rPr>
        <sz val="11"/>
        <rFont val="宋体"/>
        <charset val="134"/>
      </rPr>
      <t>;</t>
    </r>
    <r>
      <rPr>
        <sz val="11"/>
        <rFont val="宋体"/>
        <charset val="134"/>
      </rPr>
      <t>任务交互控制表</t>
    </r>
  </si>
  <si>
    <r>
      <rPr>
        <sz val="11"/>
        <rFont val="宋体"/>
        <charset val="134"/>
      </rPr>
      <t xml:space="preserve">GCI </t>
    </r>
    <r>
      <rPr>
        <sz val="11"/>
        <rFont val="宋体"/>
        <charset val="134"/>
      </rPr>
      <t>任务运行状态表</t>
    </r>
    <r>
      <rPr>
        <sz val="11"/>
        <rFont val="宋体"/>
        <charset val="134"/>
      </rPr>
      <t>;</t>
    </r>
    <r>
      <rPr>
        <sz val="11"/>
        <rFont val="宋体"/>
        <charset val="134"/>
      </rPr>
      <t>任务运行状态表</t>
    </r>
  </si>
  <si>
    <t>抵质押权证信息</t>
  </si>
  <si>
    <t>权证出入库</t>
  </si>
  <si>
    <t>权证封包信息</t>
  </si>
  <si>
    <t>权证出入库记录</t>
  </si>
  <si>
    <t>权证出入库申请</t>
  </si>
  <si>
    <t>权证出入库申请组</t>
  </si>
  <si>
    <r>
      <rPr>
        <sz val="11"/>
        <rFont val="宋体"/>
        <charset val="134"/>
      </rPr>
      <t>文档附件表</t>
    </r>
    <r>
      <rPr>
        <sz val="11"/>
        <rFont val="宋体"/>
        <charset val="134"/>
      </rPr>
      <t>;</t>
    </r>
    <r>
      <rPr>
        <sz val="11"/>
        <rFont val="宋体"/>
        <charset val="134"/>
      </rPr>
      <t>文档附件库</t>
    </r>
  </si>
  <si>
    <t>通用组件</t>
  </si>
  <si>
    <r>
      <rPr>
        <sz val="11"/>
        <rFont val="宋体"/>
        <charset val="134"/>
      </rPr>
      <t>文档资料表</t>
    </r>
    <r>
      <rPr>
        <sz val="11"/>
        <rFont val="宋体"/>
        <charset val="134"/>
      </rPr>
      <t>;</t>
    </r>
    <r>
      <rPr>
        <sz val="11"/>
        <rFont val="宋体"/>
        <charset val="134"/>
      </rPr>
      <t>文档资料库</t>
    </r>
  </si>
  <si>
    <t>文档关联对象表</t>
  </si>
  <si>
    <t>评估目录表</t>
  </si>
  <si>
    <t>评估数据</t>
  </si>
  <si>
    <t>评估模型</t>
  </si>
  <si>
    <t>记录模型评定信息</t>
  </si>
  <si>
    <r>
      <rPr>
        <sz val="11"/>
        <rFont val="宋体"/>
        <charset val="134"/>
      </rPr>
      <t>系统配置表</t>
    </r>
    <r>
      <rPr>
        <sz val="11"/>
        <rFont val="宋体"/>
        <charset val="134"/>
      </rPr>
      <t>;</t>
    </r>
    <r>
      <rPr>
        <sz val="11"/>
        <rFont val="宋体"/>
        <charset val="134"/>
      </rPr>
      <t>交易日期表</t>
    </r>
  </si>
  <si>
    <t>用户常用菜单表</t>
  </si>
  <si>
    <r>
      <rPr>
        <sz val="11"/>
        <rFont val="宋体"/>
        <charset val="134"/>
      </rPr>
      <t>安全选项变更日志表</t>
    </r>
    <r>
      <rPr>
        <sz val="11"/>
        <rFont val="宋体"/>
        <charset val="134"/>
      </rPr>
      <t>;</t>
    </r>
    <r>
      <rPr>
        <sz val="11"/>
        <rFont val="宋体"/>
        <charset val="134"/>
      </rPr>
      <t>用户痕迹表</t>
    </r>
  </si>
  <si>
    <t>系统管理表</t>
  </si>
  <si>
    <r>
      <rPr>
        <sz val="11"/>
        <rFont val="宋体"/>
        <charset val="134"/>
      </rPr>
      <t>公告表</t>
    </r>
    <r>
      <rPr>
        <sz val="11"/>
        <rFont val="宋体"/>
        <charset val="134"/>
      </rPr>
      <t>;</t>
    </r>
    <r>
      <rPr>
        <sz val="11"/>
        <rFont val="宋体"/>
        <charset val="134"/>
      </rPr>
      <t>通告栏</t>
    </r>
  </si>
  <si>
    <t>用户通告</t>
  </si>
  <si>
    <r>
      <rPr>
        <sz val="11"/>
        <rFont val="宋体"/>
        <charset val="134"/>
      </rPr>
      <t>汇率表</t>
    </r>
    <r>
      <rPr>
        <sz val="11"/>
        <rFont val="宋体"/>
        <charset val="134"/>
      </rPr>
      <t>;</t>
    </r>
    <r>
      <rPr>
        <sz val="11"/>
        <rFont val="宋体"/>
        <charset val="134"/>
      </rPr>
      <t>汇率表</t>
    </r>
  </si>
  <si>
    <t>工作台快捷菜单配置</t>
  </si>
  <si>
    <t>汇率表</t>
  </si>
  <si>
    <t>管理人变更记录</t>
  </si>
  <si>
    <r>
      <rPr>
        <sz val="11"/>
        <rFont val="宋体"/>
        <charset val="134"/>
      </rPr>
      <t>机构管辖表</t>
    </r>
    <r>
      <rPr>
        <sz val="11"/>
        <rFont val="宋体"/>
        <charset val="134"/>
      </rPr>
      <t>;</t>
    </r>
    <r>
      <rPr>
        <sz val="11"/>
        <rFont val="宋体"/>
        <charset val="134"/>
      </rPr>
      <t>机构管辖信息</t>
    </r>
  </si>
  <si>
    <t>机构信息表</t>
  </si>
  <si>
    <t>岗位转授权</t>
  </si>
  <si>
    <t>利率表</t>
  </si>
  <si>
    <t>角色表</t>
  </si>
  <si>
    <t>系统管理;工作日配置表</t>
  </si>
  <si>
    <t>法人信息表</t>
  </si>
  <si>
    <t>用户基本信息</t>
  </si>
  <si>
    <r>
      <rPr>
        <sz val="11"/>
        <rFont val="宋体"/>
        <charset val="134"/>
      </rPr>
      <t>用户角色关系</t>
    </r>
    <r>
      <rPr>
        <sz val="11"/>
        <rFont val="宋体"/>
        <charset val="134"/>
      </rPr>
      <t>;</t>
    </r>
    <r>
      <rPr>
        <sz val="11"/>
        <rFont val="宋体"/>
        <charset val="134"/>
      </rPr>
      <t>用户角色表</t>
    </r>
  </si>
  <si>
    <t>压力测试业务详情</t>
  </si>
  <si>
    <t>压力测试</t>
  </si>
  <si>
    <t>压力测试押品详情</t>
  </si>
  <si>
    <t>压力测试关联表</t>
  </si>
  <si>
    <t>压力测试记录表</t>
  </si>
  <si>
    <t>压力测试结果表</t>
  </si>
  <si>
    <t>押品分类目录</t>
  </si>
  <si>
    <t>押品分类管理</t>
  </si>
  <si>
    <t>押品处置信息</t>
  </si>
  <si>
    <t>押品分类参数</t>
  </si>
  <si>
    <t>评估申请信息表</t>
  </si>
  <si>
    <t>押品估值管理</t>
  </si>
  <si>
    <t>估值数据记录表</t>
  </si>
  <si>
    <t>评估记录信息表</t>
  </si>
  <si>
    <t>押品市场价格指数表</t>
  </si>
  <si>
    <t>房屋类押品样本表</t>
  </si>
  <si>
    <t>押品房产样本展示表</t>
  </si>
  <si>
    <t>CLR_ONLINE_RESULT</t>
  </si>
  <si>
    <t>线上评估结果</t>
  </si>
  <si>
    <t>CLR_EVALUATION_APPL_GROUP</t>
  </si>
  <si>
    <t>评估申请组</t>
  </si>
  <si>
    <t>票据信息表</t>
  </si>
  <si>
    <t>押品信息管理</t>
  </si>
  <si>
    <t>合同信息表</t>
  </si>
  <si>
    <t>金融类质押品</t>
  </si>
  <si>
    <t>交通和机械设备</t>
  </si>
  <si>
    <r>
      <rPr>
        <sz val="11"/>
        <rFont val="宋体"/>
        <charset val="134"/>
      </rPr>
      <t>实物存货</t>
    </r>
    <r>
      <rPr>
        <sz val="11"/>
        <rFont val="宋体"/>
        <charset val="134"/>
      </rPr>
      <t>/</t>
    </r>
    <r>
      <rPr>
        <sz val="11"/>
        <rFont val="宋体"/>
        <charset val="134"/>
      </rPr>
      <t>货权</t>
    </r>
    <r>
      <rPr>
        <sz val="11"/>
        <rFont val="宋体"/>
        <charset val="134"/>
      </rPr>
      <t>/</t>
    </r>
    <r>
      <rPr>
        <sz val="11"/>
        <rFont val="宋体"/>
        <charset val="134"/>
      </rPr>
      <t>出口退税账户</t>
    </r>
  </si>
  <si>
    <t>资源资产</t>
  </si>
  <si>
    <t>特殊建筑构造物</t>
  </si>
  <si>
    <t>可转让知识产权中的财产权</t>
  </si>
  <si>
    <r>
      <rPr>
        <sz val="11"/>
        <rFont val="宋体"/>
        <charset val="134"/>
      </rPr>
      <t>房地产</t>
    </r>
    <r>
      <rPr>
        <sz val="11"/>
        <rFont val="宋体"/>
        <charset val="134"/>
      </rPr>
      <t>/</t>
    </r>
    <r>
      <rPr>
        <sz val="11"/>
        <rFont val="宋体"/>
        <charset val="134"/>
      </rPr>
      <t>土地使用权</t>
    </r>
    <r>
      <rPr>
        <sz val="11"/>
        <rFont val="宋体"/>
        <charset val="134"/>
      </rPr>
      <t>/</t>
    </r>
    <r>
      <rPr>
        <sz val="11"/>
        <rFont val="宋体"/>
        <charset val="134"/>
      </rPr>
      <t>在建工程</t>
    </r>
  </si>
  <si>
    <r>
      <rPr>
        <sz val="11"/>
        <rFont val="宋体"/>
        <charset val="134"/>
      </rPr>
      <t>应收账款</t>
    </r>
    <r>
      <rPr>
        <sz val="11"/>
        <rFont val="宋体"/>
        <charset val="134"/>
      </rPr>
      <t>;</t>
    </r>
    <r>
      <rPr>
        <sz val="11"/>
        <rFont val="宋体"/>
        <charset val="134"/>
      </rPr>
      <t>交易和收费权</t>
    </r>
    <r>
      <rPr>
        <sz val="11"/>
        <rFont val="宋体"/>
        <charset val="134"/>
      </rPr>
      <t>)</t>
    </r>
  </si>
  <si>
    <t>货权信息</t>
  </si>
  <si>
    <t>担保方案和押品关系表</t>
  </si>
  <si>
    <t>押品信息</t>
  </si>
  <si>
    <t>押品保险记录</t>
  </si>
  <si>
    <t>CLR_INVOICE_RECORD</t>
  </si>
  <si>
    <t>押品关联发票包</t>
  </si>
  <si>
    <t>押品公证记录</t>
  </si>
  <si>
    <t>押品权属人</t>
  </si>
  <si>
    <t>合格性认定信息</t>
  </si>
  <si>
    <t>担保人信息表(认定无用，暂时保留)</t>
  </si>
  <si>
    <t>担保合同</t>
  </si>
  <si>
    <t>押品关联关系</t>
  </si>
  <si>
    <t>CLR_BELONG</t>
  </si>
  <si>
    <t>押品管户人</t>
  </si>
  <si>
    <t>CLR_PROPERTY_HOUSE_INFO</t>
  </si>
  <si>
    <t>不动产中心房产信息</t>
  </si>
  <si>
    <t>CLR_PROPERTY_RIGHT_HOLDER_INFO</t>
  </si>
  <si>
    <t>权利人信息</t>
  </si>
  <si>
    <t>CLR_GUARANTY_FILE_UP_RECORD</t>
  </si>
  <si>
    <t>文件上传记录</t>
  </si>
  <si>
    <t>CLR_REGISTER_RECORD_APPL</t>
  </si>
  <si>
    <t>线上登记注销审批申请</t>
  </si>
  <si>
    <t>CLR_OWNERSHIP_CHANGE_INFO</t>
  </si>
  <si>
    <t>抵押物权属变化预警</t>
  </si>
  <si>
    <t>CLR_RIGHTCERT_TRAPPL_RELA</t>
  </si>
  <si>
    <t>权证出入库申请与权证关联关系</t>
  </si>
  <si>
    <t>CLR_CORE_REGISTER_INFO</t>
  </si>
  <si>
    <t>押品登记簿记录</t>
  </si>
  <si>
    <t>CLR_CORE_REGISTER_PACKAGE</t>
  </si>
  <si>
    <t>权证包登记簿信息</t>
  </si>
  <si>
    <t>批量错误日志信息表</t>
  </si>
  <si>
    <t>批量表</t>
  </si>
  <si>
    <t>批量记录表</t>
  </si>
  <si>
    <t>批量上传</t>
  </si>
  <si>
    <t>用户自定义信息链接表;用户自定义链接</t>
  </si>
  <si>
    <t>RISK_MITIGATION_DETAIL</t>
  </si>
  <si>
    <t>风险缓释明细</t>
  </si>
  <si>
    <t>风险缓释</t>
  </si>
  <si>
    <t>RISK_MITIGATION_BIZ</t>
  </si>
  <si>
    <t>风险缓释业务汇总</t>
  </si>
  <si>
    <t>RISK_MITIGATION_CLR</t>
  </si>
  <si>
    <t>风险缓释押品汇总</t>
  </si>
  <si>
    <t>CCMS_PARTYINF</t>
  </si>
  <si>
    <r>
      <rPr>
        <sz val="10"/>
        <rFont val="宋体-简"/>
        <charset val="0"/>
      </rPr>
      <t>支付系统</t>
    </r>
    <r>
      <rPr>
        <sz val="10"/>
        <rFont val="Arial"/>
        <charset val="0"/>
      </rPr>
      <t>—</t>
    </r>
    <r>
      <rPr>
        <sz val="10"/>
        <rFont val="宋体-简"/>
        <charset val="0"/>
      </rPr>
      <t>行名行号表</t>
    </r>
  </si>
  <si>
    <t>其他</t>
  </si>
  <si>
    <t>AUDIT_INFO</t>
  </si>
  <si>
    <t>APPRAISAL_AGENCY</t>
  </si>
  <si>
    <t>APPRAISAL_AGENCY_APPLY</t>
  </si>
  <si>
    <t>APPRAISAL_AGENCY_APPRAISE</t>
  </si>
  <si>
    <t>APPRAISAL_AGENCY_COOPERATION</t>
  </si>
  <si>
    <t>APPRAISAL_AGENCY_EVENT</t>
  </si>
  <si>
    <t>APPRAISAL_AGENCY_EXPENSES</t>
  </si>
  <si>
    <t>APPRAISAL_AGENCY_FILE</t>
  </si>
  <si>
    <t>APPRAISAL_AGENCY_INFORMATION</t>
  </si>
  <si>
    <t>APPRAISAL_AGENCY_QUALIFICATION</t>
  </si>
  <si>
    <t>APPRAISAL_APPLY_RELATIVE</t>
  </si>
  <si>
    <t>CLR_REGISTER_RECORD</t>
  </si>
  <si>
    <t>CLR_COMMODITY_MARKET</t>
  </si>
  <si>
    <t>CLR_FUND_MARKET</t>
  </si>
  <si>
    <t>CLR_FUND_MARKET_DETAIL</t>
  </si>
  <si>
    <t>CLR_MATERIAL_CATALOG</t>
  </si>
  <si>
    <t>CLR_STOCK_MARKET</t>
  </si>
  <si>
    <t>CLR_STOCK_MARKET_DETAIL</t>
  </si>
  <si>
    <t>CLR_RIGHTCERT_INFO</t>
  </si>
  <si>
    <t>CLR_RIGHTCERT_PACKAGE_INFO</t>
  </si>
  <si>
    <t>CLR_RIGHTCERT_TRANRECORD</t>
  </si>
  <si>
    <t>CLR_RIGHTCERT_TRAPPL</t>
  </si>
  <si>
    <t>CLR_STRESS_BU_DETAIL</t>
  </si>
  <si>
    <t>CLR_STRESS_CLR_DETAIL</t>
  </si>
  <si>
    <t>CLR_STRESS_LINK</t>
  </si>
  <si>
    <t>CLR_STRESS_RECORD</t>
  </si>
  <si>
    <t>CLR_STRESS_TEST</t>
  </si>
  <si>
    <t>CLR_CATALOG</t>
  </si>
  <si>
    <t>CLR_HANDLE_INFO</t>
  </si>
  <si>
    <t>CLR_PARAM</t>
  </si>
  <si>
    <t>CLR_EVALUATION_APPL</t>
  </si>
  <si>
    <t>CLR_EVALUATION_DATA</t>
  </si>
  <si>
    <t>CLR_EVALUATION_RECORD</t>
  </si>
  <si>
    <t>CLR_PRICEINDEX</t>
  </si>
  <si>
    <t>CLR_SAMPLE_HOUSEING</t>
  </si>
  <si>
    <t>CLR_SAMPLE_SELECTED</t>
  </si>
  <si>
    <t>BILL_INFO</t>
  </si>
  <si>
    <t>BUSINESS_CONTRACT</t>
  </si>
  <si>
    <t>CLR_ASSET_FINANCE</t>
  </si>
  <si>
    <t>CLR_ASSET_OTHERS_EQUIPMENT</t>
  </si>
  <si>
    <t>CLR_ASSET_OTHERS_INVENTORY</t>
  </si>
  <si>
    <t>实物存货/货权/出口退税账户</t>
  </si>
  <si>
    <t>CLR_ASSET_OTHERS_RESOURCE</t>
  </si>
  <si>
    <t>CLR_ASSET_OTHERS_SBC</t>
  </si>
  <si>
    <t>CLR_ASSET_OTHERS_TLPR</t>
  </si>
  <si>
    <t>CLR_ASSET_REALTY</t>
  </si>
  <si>
    <t>房地产/土地使用权/在建工程</t>
  </si>
  <si>
    <t>CLR_ASSET_RECEIVABLE</t>
  </si>
  <si>
    <t>应收账款;交易和收费权)</t>
  </si>
  <si>
    <t>CLR_CARGO_INFO</t>
  </si>
  <si>
    <t>CLR_GUASCHEME_RELATIVE</t>
  </si>
  <si>
    <t>CLR_INFO</t>
  </si>
  <si>
    <t>CLR_INSURANCE_RECORD</t>
  </si>
  <si>
    <t>CLR_NOTARIZATION_RECORD</t>
  </si>
  <si>
    <t>CLR_OWNER</t>
  </si>
  <si>
    <t>CLR_QUALIFICATION_INFO</t>
  </si>
  <si>
    <t>GUARANTOR_INFO</t>
  </si>
  <si>
    <t>GUARANTY_CONTRACT</t>
  </si>
  <si>
    <t>GUARANTY_RELATIVE</t>
  </si>
  <si>
    <t>支付系统—行名行号表</t>
  </si>
  <si>
    <t>EQ</t>
  </si>
  <si>
    <t>列名</t>
  </si>
  <si>
    <t>长度</t>
  </si>
  <si>
    <t>注释</t>
  </si>
  <si>
    <t>码值</t>
  </si>
  <si>
    <t>备注</t>
  </si>
  <si>
    <t>开始票据区间</t>
  </si>
  <si>
    <t>BILLRANGESTART</t>
  </si>
  <si>
    <t>varchar(20)</t>
  </si>
  <si>
    <t>YES</t>
  </si>
  <si>
    <t>=IFERROR(VLOOKUP(</t>
  </si>
  <si>
    <t>V4</t>
  </si>
  <si>
    <r>
      <rPr>
        <sz val="10"/>
        <rFont val="Arial"/>
        <charset val="0"/>
      </rPr>
      <t>,</t>
    </r>
    <r>
      <rPr>
        <sz val="10"/>
        <rFont val="宋体-简"/>
        <charset val="134"/>
      </rPr>
      <t>新增字段查找</t>
    </r>
    <r>
      <rPr>
        <sz val="10"/>
        <rFont val="Arial"/>
        <charset val="0"/>
      </rPr>
      <t>!C4:I500,2,FALSE),"")</t>
    </r>
  </si>
  <si>
    <t>客户名称</t>
  </si>
  <si>
    <t>截止票据区间</t>
  </si>
  <si>
    <t>BILLRANGEEND</t>
  </si>
  <si>
    <t>V5</t>
  </si>
  <si>
    <t>客户号</t>
  </si>
  <si>
    <t>冻结止付编号</t>
  </si>
  <si>
    <t>FRZNO</t>
  </si>
  <si>
    <t>varchar(32)</t>
  </si>
  <si>
    <t>V6</t>
  </si>
  <si>
    <t>项目立项批文文号</t>
  </si>
  <si>
    <t>存单介质/票据介质</t>
  </si>
  <si>
    <t>BILLMEDIUM</t>
  </si>
  <si>
    <t>varchar(6)</t>
  </si>
  <si>
    <r>
      <rPr>
        <sz val="10"/>
        <rFont val="Arial"/>
        <charset val="0"/>
      </rPr>
      <t>1-</t>
    </r>
    <r>
      <rPr>
        <sz val="10"/>
        <rFont val="宋体-简"/>
        <charset val="134"/>
      </rPr>
      <t>纸质、</t>
    </r>
    <r>
      <rPr>
        <sz val="10"/>
        <rFont val="Arial"/>
        <charset val="0"/>
      </rPr>
      <t>2-</t>
    </r>
    <r>
      <rPr>
        <sz val="10"/>
        <rFont val="宋体-简"/>
        <charset val="134"/>
      </rPr>
      <t>电子</t>
    </r>
  </si>
  <si>
    <t>V7</t>
  </si>
  <si>
    <t>收费权确认文号</t>
  </si>
  <si>
    <t>质押物登记情况</t>
  </si>
  <si>
    <t>REGISTERINFO</t>
  </si>
  <si>
    <t>varchar(500)</t>
  </si>
  <si>
    <t>V8</t>
  </si>
  <si>
    <t>可质押批复文号</t>
  </si>
  <si>
    <t>冻结状态/冻结类型</t>
  </si>
  <si>
    <t>FRZSTATUS</t>
  </si>
  <si>
    <t>冻结类型：1.冻结
2.未冻结</t>
  </si>
  <si>
    <t>V9</t>
  </si>
  <si>
    <t>币种</t>
  </si>
  <si>
    <t>支出类型</t>
  </si>
  <si>
    <t>PAYOUTTYPE</t>
  </si>
  <si>
    <r>
      <rPr>
        <sz val="10"/>
        <rFont val="Arial"/>
        <charset val="0"/>
      </rPr>
      <t>01 -</t>
    </r>
    <r>
      <rPr>
        <sz val="10"/>
        <rFont val="宋体-简"/>
        <charset val="134"/>
      </rPr>
      <t>密码</t>
    </r>
    <r>
      <rPr>
        <sz val="10"/>
        <rFont val="Arial"/>
        <charset val="0"/>
      </rPr>
      <t xml:space="preserve">  </t>
    </r>
    <r>
      <rPr>
        <sz val="10"/>
        <rFont val="宋体-简"/>
        <charset val="134"/>
      </rPr>
      <t>、</t>
    </r>
    <r>
      <rPr>
        <sz val="10"/>
        <rFont val="Arial"/>
        <charset val="0"/>
      </rPr>
      <t xml:space="preserve">  02- </t>
    </r>
    <r>
      <rPr>
        <sz val="10"/>
        <rFont val="宋体-简"/>
        <charset val="134"/>
      </rPr>
      <t>证件</t>
    </r>
    <r>
      <rPr>
        <sz val="10"/>
        <rFont val="Arial"/>
        <charset val="0"/>
      </rPr>
      <t xml:space="preserve"> </t>
    </r>
    <r>
      <rPr>
        <sz val="10"/>
        <rFont val="宋体-简"/>
        <charset val="134"/>
      </rPr>
      <t>、</t>
    </r>
    <r>
      <rPr>
        <sz val="10"/>
        <rFont val="Arial"/>
        <charset val="0"/>
      </rPr>
      <t>03 -</t>
    </r>
    <r>
      <rPr>
        <sz val="10"/>
        <rFont val="宋体-简"/>
        <charset val="134"/>
      </rPr>
      <t>印鉴</t>
    </r>
  </si>
  <si>
    <t>V10</t>
  </si>
  <si>
    <t>权利取得价值</t>
  </si>
  <si>
    <t>出质人贷款卡号</t>
  </si>
  <si>
    <t>LOANCARDNO</t>
  </si>
  <si>
    <t>V11</t>
  </si>
  <si>
    <t>是否在人行应收账款系统登记</t>
  </si>
  <si>
    <t>款项</t>
  </si>
  <si>
    <t>SELLAGRENO</t>
  </si>
  <si>
    <t>V12</t>
  </si>
  <si>
    <t>贷款卡卡号/出质人贷款卡卡号</t>
  </si>
  <si>
    <t>预计变现值</t>
  </si>
  <si>
    <t>REALIZATIONVALUE</t>
  </si>
  <si>
    <t>decimal(24,6)</t>
  </si>
  <si>
    <t>V13</t>
  </si>
  <si>
    <t>是否需要约定回款路径</t>
  </si>
  <si>
    <t>预计变现成本</t>
  </si>
  <si>
    <t>REALIZATIONCOST</t>
  </si>
  <si>
    <t>V14</t>
  </si>
  <si>
    <t>帐龄</t>
  </si>
  <si>
    <t>是否我行存单</t>
  </si>
  <si>
    <t>ISOWNDEPOSIT</t>
  </si>
  <si>
    <t>V15</t>
  </si>
  <si>
    <t>应收账款渠道类型</t>
  </si>
  <si>
    <t>保证金比例/持有股权比例</t>
  </si>
  <si>
    <t>MARGINRATIO</t>
  </si>
  <si>
    <t>decimal(18,8)</t>
  </si>
  <si>
    <t>V16</t>
  </si>
  <si>
    <t>其他特别约定</t>
  </si>
  <si>
    <t>OTHERAGREEMENTS</t>
  </si>
  <si>
    <t>varchar(200)</t>
  </si>
  <si>
    <t>V17</t>
  </si>
  <si>
    <t>核保时间</t>
  </si>
  <si>
    <t>UNDERWRITINGDATE</t>
  </si>
  <si>
    <t>datetime</t>
  </si>
  <si>
    <t>V18</t>
  </si>
  <si>
    <t>权证号码</t>
  </si>
  <si>
    <t>核保人</t>
  </si>
  <si>
    <t>UNDERWRITER</t>
  </si>
  <si>
    <t>V19</t>
  </si>
  <si>
    <t>买方客户号</t>
  </si>
  <si>
    <t>接待人姓名</t>
  </si>
  <si>
    <t>RECEPTIONISTNAME</t>
  </si>
  <si>
    <t>V20</t>
  </si>
  <si>
    <t>MDM核心企业编码</t>
  </si>
  <si>
    <t>接待人职务</t>
  </si>
  <si>
    <t>RECEPTIONISTPOSITION</t>
  </si>
  <si>
    <t>V21</t>
  </si>
  <si>
    <t>卖方客户号</t>
  </si>
  <si>
    <t>担保意见</t>
  </si>
  <si>
    <t>GUARANTEEOPINION</t>
  </si>
  <si>
    <t>V22</t>
  </si>
  <si>
    <t>应收账款已结算金额及其他扣除项</t>
  </si>
  <si>
    <t>债券利率类型</t>
  </si>
  <si>
    <t>RATETYPE</t>
  </si>
  <si>
    <t>V23</t>
  </si>
  <si>
    <t>应收账款转让申请号</t>
  </si>
  <si>
    <t>是否需要办理止付</t>
  </si>
  <si>
    <t>ISSTOPPAYMENTREQUIRED</t>
  </si>
  <si>
    <t>V24</t>
  </si>
  <si>
    <t>应收账款转让申请时间</t>
  </si>
  <si>
    <t>付款行名称</t>
  </si>
  <si>
    <t>PAYINGBANKNAME</t>
  </si>
  <si>
    <t>V25</t>
  </si>
  <si>
    <t>融资卖方额度号</t>
  </si>
  <si>
    <t>是否具有真实的商品交易背景</t>
  </si>
  <si>
    <t>HASREALTRADEBACKGROUND</t>
  </si>
  <si>
    <t>V26</t>
  </si>
  <si>
    <t>单笔/池</t>
  </si>
  <si>
    <t>托收收款保证金账号</t>
  </si>
  <si>
    <t>MARGINACCOUNT</t>
  </si>
  <si>
    <t>V27</t>
  </si>
  <si>
    <t>池编号</t>
  </si>
  <si>
    <t>上市公司是否盈利</t>
  </si>
  <si>
    <t>ISPROFITABLE</t>
  </si>
  <si>
    <t>V28</t>
  </si>
  <si>
    <t>期限（天）</t>
  </si>
  <si>
    <t>质押基金份额占总额</t>
  </si>
  <si>
    <t>SHARERATIO</t>
  </si>
  <si>
    <t>V29</t>
  </si>
  <si>
    <t>具体单位名称</t>
  </si>
  <si>
    <t>保单现金价值确认部门</t>
  </si>
  <si>
    <t>CONFIRMDEPARTMENT</t>
  </si>
  <si>
    <t>V30</t>
  </si>
  <si>
    <t>发票完整性</t>
  </si>
  <si>
    <t>保险费交缴期限</t>
  </si>
  <si>
    <t>PAYMENTPERIOD</t>
  </si>
  <si>
    <t>V31</t>
  </si>
  <si>
    <t>质押合同编号</t>
  </si>
  <si>
    <t>理财质押范围</t>
  </si>
  <si>
    <t>PLEDGESCOPE</t>
  </si>
  <si>
    <t>01 本金、02 本金及未来收益</t>
  </si>
  <si>
    <t>V32</t>
  </si>
  <si>
    <t>合同名称</t>
  </si>
  <si>
    <t>受益凭证</t>
  </si>
  <si>
    <t>BENEFICIARYCERTIFICATE</t>
  </si>
  <si>
    <t>varchar(50)</t>
  </si>
  <si>
    <t>V33</t>
  </si>
  <si>
    <t>贷款企业法人代表姓名</t>
  </si>
  <si>
    <t>是否保本型</t>
  </si>
  <si>
    <t>ISPRINCIPALGUARANTEED</t>
  </si>
  <si>
    <t>V34</t>
  </si>
  <si>
    <t>纸质合同相对人名称</t>
  </si>
  <si>
    <t>户主/姓名</t>
  </si>
  <si>
    <t>ACCOUNTNAME</t>
  </si>
  <si>
    <t>V35</t>
  </si>
  <si>
    <t>合同签订日期</t>
  </si>
  <si>
    <t>权利凭证编号</t>
  </si>
  <si>
    <t>RIGHTCERTNO</t>
  </si>
  <si>
    <t>质押到期日期</t>
  </si>
  <si>
    <t>PLEDGEEXPIRATIONDATE</t>
  </si>
  <si>
    <t>权利人贷款卡号</t>
  </si>
  <si>
    <t>设备现状</t>
  </si>
  <si>
    <t>EQUIPSTATUS</t>
  </si>
  <si>
    <r>
      <rPr>
        <sz val="10"/>
        <rFont val="Arial"/>
        <charset val="0"/>
      </rPr>
      <t>01 -</t>
    </r>
    <r>
      <rPr>
        <sz val="10"/>
        <rFont val="宋体-简"/>
        <charset val="134"/>
      </rPr>
      <t>出租、</t>
    </r>
    <r>
      <rPr>
        <sz val="10"/>
        <rFont val="Arial"/>
        <charset val="0"/>
      </rPr>
      <t>02-</t>
    </r>
    <r>
      <rPr>
        <sz val="10"/>
        <rFont val="宋体-简"/>
        <charset val="134"/>
      </rPr>
      <t>占用、</t>
    </r>
    <r>
      <rPr>
        <sz val="10"/>
        <rFont val="Arial"/>
        <charset val="0"/>
      </rPr>
      <t>03-</t>
    </r>
    <r>
      <rPr>
        <sz val="10"/>
        <rFont val="宋体-简"/>
        <charset val="134"/>
      </rPr>
      <t>闲置、</t>
    </r>
    <r>
      <rPr>
        <sz val="10"/>
        <rFont val="Arial"/>
        <charset val="0"/>
      </rPr>
      <t>04-</t>
    </r>
    <r>
      <rPr>
        <sz val="10"/>
        <rFont val="宋体-简"/>
        <charset val="134"/>
      </rPr>
      <t>自用、</t>
    </r>
    <r>
      <rPr>
        <sz val="10"/>
        <rFont val="Arial"/>
        <charset val="0"/>
      </rPr>
      <t>05-</t>
    </r>
    <r>
      <rPr>
        <sz val="10"/>
        <rFont val="宋体-简"/>
        <charset val="134"/>
      </rPr>
      <t>其他</t>
    </r>
    <r>
      <rPr>
        <sz val="10"/>
        <rFont val="Arial"/>
        <charset val="0"/>
      </rPr>
      <t xml:space="preserve"> </t>
    </r>
  </si>
  <si>
    <t>抵押物说明</t>
  </si>
  <si>
    <t>GUARANTYDESCRIPT</t>
  </si>
  <si>
    <t>varchar(800)</t>
  </si>
  <si>
    <t>权证号</t>
  </si>
  <si>
    <t>GUARANTYRIGHTID</t>
  </si>
  <si>
    <t>是否部分抵押</t>
  </si>
  <si>
    <t>ISPARTMORTGAGED</t>
  </si>
  <si>
    <t>他项权证号</t>
  </si>
  <si>
    <t>OTHERSRIGHTID</t>
  </si>
  <si>
    <t>varchar(100)</t>
  </si>
  <si>
    <t>是否有车辆购置附加税证</t>
  </si>
  <si>
    <t>HASVEHICLEBUYTAX</t>
  </si>
  <si>
    <t>是否有当年车船使用税证</t>
  </si>
  <si>
    <t>HASVEHICLEUSETAX</t>
  </si>
  <si>
    <t>取得他项权证时间</t>
  </si>
  <si>
    <t>OTHERSRIGHTDATE</t>
  </si>
  <si>
    <t>抵押物登记情况</t>
  </si>
  <si>
    <t>此抵押物是否当前申请所购/所抵资产</t>
  </si>
  <si>
    <t>ISMORTGAGEDSELF</t>
  </si>
  <si>
    <t>底盘编号</t>
  </si>
  <si>
    <t>CHASSISNUMBER</t>
  </si>
  <si>
    <t>合格证编号</t>
  </si>
  <si>
    <t>CERTIFICATENUMBER</t>
  </si>
  <si>
    <t>机动车登记证编号</t>
  </si>
  <si>
    <t>VEHICLECERT</t>
  </si>
  <si>
    <t>车龄</t>
  </si>
  <si>
    <t>VEHICLEAGE</t>
  </si>
  <si>
    <t>INTEGER(4)</t>
  </si>
  <si>
    <t>车辆性质</t>
  </si>
  <si>
    <t>VEHICLENATURE</t>
  </si>
  <si>
    <t>varchar(10)</t>
  </si>
  <si>
    <t>购买用途</t>
  </si>
  <si>
    <t>USAGE</t>
  </si>
  <si>
    <t>营运许可证号</t>
  </si>
  <si>
    <t>OPERATIONLICENSE</t>
  </si>
  <si>
    <t>销售协议编号</t>
  </si>
  <si>
    <t>SALESNUMBER</t>
  </si>
  <si>
    <t>首付款</t>
  </si>
  <si>
    <t>DOWNPAYMENT</t>
  </si>
  <si>
    <t>提车日期</t>
  </si>
  <si>
    <t>VEHICLEDATE</t>
  </si>
  <si>
    <t>01 -密码  、  02- 证件 、03 -印鉴</t>
  </si>
  <si>
    <t>年检是否正常</t>
  </si>
  <si>
    <t>ISANNUALTEST</t>
  </si>
  <si>
    <t>运输工具类型</t>
  </si>
  <si>
    <t>VEHICLETYPE</t>
  </si>
  <si>
    <t>船籍</t>
  </si>
  <si>
    <t>SHIPNATIONALITY</t>
  </si>
  <si>
    <t>是否有航运证</t>
  </si>
  <si>
    <t>ISSHIPPINGCERT</t>
  </si>
  <si>
    <t>已行驶里程数</t>
  </si>
  <si>
    <t>MILEAGE</t>
  </si>
  <si>
    <t>权利人</t>
  </si>
  <si>
    <t>RIGHTHOLDER</t>
  </si>
  <si>
    <t>varchar(80)</t>
  </si>
  <si>
    <t>质押物数量</t>
  </si>
  <si>
    <t>GUARANTYAMOUNT</t>
  </si>
  <si>
    <t>存货价值</t>
  </si>
  <si>
    <t>GUARANTYVALUE</t>
  </si>
  <si>
    <t>质押物原币种</t>
  </si>
  <si>
    <t>CURRENCY</t>
  </si>
  <si>
    <t>varchar(18)</t>
  </si>
  <si>
    <t>质押物原价值</t>
  </si>
  <si>
    <t>ORIGINALVALUE</t>
  </si>
  <si>
    <t>货物购入价值</t>
  </si>
  <si>
    <t>PURCHASEDVALUE</t>
  </si>
  <si>
    <t>存放地点/提货地点</t>
  </si>
  <si>
    <t>STORAGELOCATION</t>
  </si>
  <si>
    <t>供应商名称</t>
  </si>
  <si>
    <t>SUPPLIERNAME</t>
  </si>
  <si>
    <t>应退未退税金额</t>
  </si>
  <si>
    <t>DUETAX</t>
  </si>
  <si>
    <t>活畜种类</t>
  </si>
  <si>
    <t>LIVESTOCKTYPE</t>
  </si>
  <si>
    <t>矿区地址/注册地址</t>
  </si>
  <si>
    <t>MININGADDRESS</t>
  </si>
  <si>
    <t/>
  </si>
  <si>
    <t>我行抵押权顺位</t>
  </si>
  <si>
    <t>RIGHTSRANK</t>
  </si>
  <si>
    <t>已交采矿权价款</t>
  </si>
  <si>
    <t>AMOUNTPAID</t>
  </si>
  <si>
    <t>已交采矿权价款折合煤炭吨数</t>
  </si>
  <si>
    <t>COALTONNAGE</t>
  </si>
  <si>
    <t>开采层号</t>
  </si>
  <si>
    <t>MININGSEAMNO</t>
  </si>
  <si>
    <t>varchar(40)</t>
  </si>
  <si>
    <t>安全生产许可证编号</t>
  </si>
  <si>
    <t>SAFECERTNO</t>
  </si>
  <si>
    <t>安全生产许可证有效期</t>
  </si>
  <si>
    <t>SAFECERTPERIOD</t>
  </si>
  <si>
    <t>煤炭生产许可证编号</t>
  </si>
  <si>
    <t>COALPRDNO</t>
  </si>
  <si>
    <t>煤炭生产许可证有效期</t>
  </si>
  <si>
    <t>COALPRDPERIOD</t>
  </si>
  <si>
    <t>《矿产资源评审备案证明》编号</t>
  </si>
  <si>
    <t>FILENO1</t>
  </si>
  <si>
    <t>《矿产资源评审备案证明》评审基准日</t>
  </si>
  <si>
    <t>FILEDATE1</t>
  </si>
  <si>
    <t>《资源储量核实报告》编号</t>
  </si>
  <si>
    <t>FILENO2</t>
  </si>
  <si>
    <t>《资源储量核实报告》提交日期</t>
  </si>
  <si>
    <t>FILEDATE2</t>
  </si>
  <si>
    <t>《占用矿产资源储量登记证》编号</t>
  </si>
  <si>
    <t>FILENO3</t>
  </si>
  <si>
    <t>资产状况</t>
  </si>
  <si>
    <t>ASSETSTATUS</t>
  </si>
  <si>
    <t>权利说明</t>
  </si>
  <si>
    <t>GUARANTYDESCRIBE</t>
  </si>
  <si>
    <t>勘察单位</t>
  </si>
  <si>
    <t>SURVEYINGUNIT</t>
  </si>
  <si>
    <t>林地使用权人/海域使用权人</t>
  </si>
  <si>
    <t>资产用途</t>
  </si>
  <si>
    <t>ASSETPURPOSE</t>
  </si>
  <si>
    <r>
      <rPr>
        <sz val="10"/>
        <rFont val="Arial"/>
        <charset val="0"/>
      </rPr>
      <t>01-</t>
    </r>
    <r>
      <rPr>
        <sz val="10"/>
        <rFont val="宋体-简"/>
        <charset val="134"/>
      </rPr>
      <t>种植业、</t>
    </r>
    <r>
      <rPr>
        <sz val="10"/>
        <rFont val="Arial"/>
        <charset val="0"/>
      </rPr>
      <t>02-</t>
    </r>
    <r>
      <rPr>
        <sz val="10"/>
        <rFont val="宋体-简"/>
        <charset val="134"/>
      </rPr>
      <t>林业、</t>
    </r>
    <r>
      <rPr>
        <sz val="10"/>
        <rFont val="Arial"/>
        <charset val="0"/>
      </rPr>
      <t>03-</t>
    </r>
    <r>
      <rPr>
        <sz val="10"/>
        <rFont val="宋体-简"/>
        <charset val="134"/>
      </rPr>
      <t>畜牧业、</t>
    </r>
    <r>
      <rPr>
        <sz val="10"/>
        <rFont val="Arial"/>
        <charset val="0"/>
      </rPr>
      <t>04-</t>
    </r>
    <r>
      <rPr>
        <sz val="10"/>
        <rFont val="宋体-简"/>
        <charset val="134"/>
      </rPr>
      <t>渔业生产、</t>
    </r>
    <r>
      <rPr>
        <sz val="10"/>
        <rFont val="Arial"/>
        <charset val="0"/>
      </rPr>
      <t>05-</t>
    </r>
    <r>
      <rPr>
        <sz val="10"/>
        <rFont val="宋体-简"/>
        <charset val="134"/>
      </rPr>
      <t>其他</t>
    </r>
  </si>
  <si>
    <t>发证机关</t>
  </si>
  <si>
    <t>ISSUINGAUTHORITY</t>
  </si>
  <si>
    <t>发证日期</t>
  </si>
  <si>
    <t>ISSUINGDATE</t>
  </si>
  <si>
    <t>生产经营场所地址</t>
  </si>
  <si>
    <t>PRDADDRESS</t>
  </si>
  <si>
    <t>权利地域范围</t>
  </si>
  <si>
    <t>RIGHTSGEOSCOPE</t>
  </si>
  <si>
    <t>是否双证合一</t>
  </si>
  <si>
    <t>ISCOMBINEDCERT</t>
  </si>
  <si>
    <t>所属土地宗地号</t>
  </si>
  <si>
    <t>LANDNO</t>
  </si>
  <si>
    <t>配套设施情况</t>
  </si>
  <si>
    <t>FACILITIES</t>
  </si>
  <si>
    <t>商标注册地址</t>
  </si>
  <si>
    <t>TRADEMARKADDRESS</t>
  </si>
  <si>
    <t>收费权类型</t>
  </si>
  <si>
    <t>GUARANTYSUBTYPE</t>
  </si>
  <si>
    <r>
      <rPr>
        <sz val="10"/>
        <rFont val="Arial"/>
        <charset val="0"/>
      </rPr>
      <t>1 -</t>
    </r>
    <r>
      <rPr>
        <sz val="10"/>
        <rFont val="宋体-简"/>
        <charset val="0"/>
      </rPr>
      <t>商标专用权、</t>
    </r>
    <r>
      <rPr>
        <sz val="10"/>
        <rFont val="Arial"/>
        <charset val="0"/>
      </rPr>
      <t xml:space="preserve">2- </t>
    </r>
    <r>
      <rPr>
        <sz val="10"/>
        <rFont val="宋体-简"/>
        <charset val="0"/>
      </rPr>
      <t>专利权、</t>
    </r>
    <r>
      <rPr>
        <sz val="10"/>
        <rFont val="Arial"/>
        <charset val="0"/>
      </rPr>
      <t>3-</t>
    </r>
    <r>
      <rPr>
        <sz val="10"/>
        <rFont val="宋体-简"/>
        <charset val="0"/>
      </rPr>
      <t>著作权</t>
    </r>
  </si>
  <si>
    <t>权利证明文件</t>
  </si>
  <si>
    <t>RIGHTCERTDOC</t>
  </si>
  <si>
    <t>专利距离保护期届满时间（年）</t>
  </si>
  <si>
    <t>PATENTREMAIN</t>
  </si>
  <si>
    <t>integer(4)</t>
  </si>
  <si>
    <t>著作权权利范围</t>
  </si>
  <si>
    <t>COPYRIGHTSCOPE</t>
  </si>
  <si>
    <t>是否按揭</t>
  </si>
  <si>
    <t>ISMORTGAGE</t>
  </si>
  <si>
    <t>所在国家</t>
  </si>
  <si>
    <t>COUNTRY</t>
  </si>
  <si>
    <t>预抵押登记完成时间</t>
  </si>
  <si>
    <t>PREMORTGAGEDTIME</t>
  </si>
  <si>
    <t>交易价值</t>
  </si>
  <si>
    <t>TRADEVALUE</t>
  </si>
  <si>
    <t>已付房款</t>
  </si>
  <si>
    <t>PAYMENTPAID</t>
  </si>
  <si>
    <t>贷款卡号/权利人贷款卡号</t>
  </si>
  <si>
    <t>房产与经办机构是否在同一城市</t>
  </si>
  <si>
    <t>ISSAMECITY</t>
  </si>
  <si>
    <t>第几套住房</t>
  </si>
  <si>
    <t>HOUSEORDER</t>
  </si>
  <si>
    <t>房龄</t>
  </si>
  <si>
    <t>HOUSEAGE</t>
  </si>
  <si>
    <t>土地使用权单位</t>
  </si>
  <si>
    <t>LANDUSERIGHTUNIT</t>
  </si>
  <si>
    <t>土地他项使用权利证号</t>
  </si>
  <si>
    <t>LANDOTHERRIGHTCERT</t>
  </si>
  <si>
    <t>地段</t>
  </si>
  <si>
    <t>LOCATION</t>
  </si>
  <si>
    <t>抵押物入账情况</t>
  </si>
  <si>
    <t>MORTGAGEDACCOUNTINGSTATUS</t>
  </si>
  <si>
    <t>房屋他项权证书编号</t>
  </si>
  <si>
    <t>HOUSEOTHERRIGHTCERT</t>
  </si>
  <si>
    <t>地上有无附着物</t>
  </si>
  <si>
    <t>HASLANDATTACHMENT</t>
  </si>
  <si>
    <t>是否连带地上定着物</t>
  </si>
  <si>
    <t>HASLANDFIXTURE</t>
  </si>
  <si>
    <t>土地性质</t>
  </si>
  <si>
    <t>LANDNATURE</t>
  </si>
  <si>
    <r>
      <rPr>
        <sz val="10"/>
        <rFont val="Arial"/>
        <charset val="0"/>
      </rPr>
      <t>01 -</t>
    </r>
    <r>
      <rPr>
        <sz val="10"/>
        <rFont val="宋体-简"/>
        <charset val="0"/>
      </rPr>
      <t>出让、</t>
    </r>
    <r>
      <rPr>
        <sz val="10"/>
        <rFont val="Arial"/>
        <charset val="0"/>
      </rPr>
      <t>02-</t>
    </r>
    <r>
      <rPr>
        <sz val="10"/>
        <rFont val="宋体-简"/>
        <charset val="0"/>
      </rPr>
      <t>划拔、</t>
    </r>
    <r>
      <rPr>
        <sz val="10"/>
        <rFont val="Arial"/>
        <charset val="0"/>
      </rPr>
      <t>03-</t>
    </r>
    <r>
      <rPr>
        <sz val="10"/>
        <rFont val="宋体-简"/>
        <charset val="0"/>
      </rPr>
      <t>其他</t>
    </r>
  </si>
  <si>
    <t>已完成工程量</t>
  </si>
  <si>
    <t>WORKCOMPLETED</t>
  </si>
  <si>
    <t>CODENO</t>
  </si>
  <si>
    <t>CODENAME</t>
  </si>
  <si>
    <t>ITEMNO</t>
  </si>
  <si>
    <t>ITEMNAME</t>
  </si>
  <si>
    <t>码值：IndView</t>
  </si>
  <si>
    <t>IndView</t>
  </si>
  <si>
    <t>个人客户详情视图</t>
  </si>
  <si>
    <t>010</t>
  </si>
  <si>
    <t>客户基本信息</t>
  </si>
  <si>
    <t>010010</t>
  </si>
  <si>
    <t>个人概况</t>
  </si>
  <si>
    <t>010015</t>
  </si>
  <si>
    <t>农户基本情况</t>
  </si>
  <si>
    <t>010020</t>
  </si>
  <si>
    <t>个人经营企业信息</t>
  </si>
  <si>
    <t>010030</t>
  </si>
  <si>
    <t>个人摊位厂房信息</t>
  </si>
  <si>
    <t>010040</t>
  </si>
  <si>
    <t>家庭成员信息</t>
  </si>
  <si>
    <t>010050</t>
  </si>
  <si>
    <t>个人学业履历</t>
  </si>
  <si>
    <t>010060</t>
  </si>
  <si>
    <t>个人工作履历</t>
  </si>
  <si>
    <t>010070</t>
  </si>
  <si>
    <t>客户涉诉信息</t>
  </si>
  <si>
    <t>010080</t>
  </si>
  <si>
    <t>客户大事记</t>
  </si>
  <si>
    <t>010090</t>
  </si>
  <si>
    <t>客户关联关系图谱</t>
  </si>
  <si>
    <t>010100</t>
  </si>
  <si>
    <t>客户担保关联图谱</t>
  </si>
  <si>
    <t>020</t>
  </si>
  <si>
    <t>客户财务信息</t>
  </si>
  <si>
    <t>020010</t>
  </si>
  <si>
    <t>财务报表录入</t>
  </si>
  <si>
    <t>020020</t>
  </si>
  <si>
    <t>财务报表变更</t>
  </si>
  <si>
    <t>020030</t>
  </si>
  <si>
    <t>财务分析</t>
  </si>
  <si>
    <t>020030010</t>
  </si>
  <si>
    <t>趋势分析</t>
  </si>
  <si>
    <t>020030020</t>
  </si>
  <si>
    <t>结构分析</t>
  </si>
  <si>
    <t>020030030</t>
  </si>
  <si>
    <t>杜邦分析</t>
  </si>
  <si>
    <t>020040</t>
  </si>
  <si>
    <t>财务预警</t>
  </si>
  <si>
    <t>020040010</t>
  </si>
  <si>
    <t>财务检测</t>
  </si>
  <si>
    <t>020040020</t>
  </si>
  <si>
    <t>财务反欺诈识别</t>
  </si>
  <si>
    <t>030</t>
  </si>
  <si>
    <t>个人资产与负债信息</t>
  </si>
  <si>
    <t>030010</t>
  </si>
  <si>
    <t>社会保险</t>
  </si>
  <si>
    <t>030020</t>
  </si>
  <si>
    <t>财产保险</t>
  </si>
  <si>
    <t>030030</t>
  </si>
  <si>
    <t>人寿保险</t>
  </si>
  <si>
    <t>030040</t>
  </si>
  <si>
    <t>房屋资产</t>
  </si>
  <si>
    <t>030050</t>
  </si>
  <si>
    <t>车辆资产</t>
  </si>
  <si>
    <t>030060</t>
  </si>
  <si>
    <t>持有股票</t>
  </si>
  <si>
    <t>030070</t>
  </si>
  <si>
    <t>持有债券</t>
  </si>
  <si>
    <t>030080</t>
  </si>
  <si>
    <t>投资企业</t>
  </si>
  <si>
    <t>030090</t>
  </si>
  <si>
    <t>纳税信息</t>
  </si>
  <si>
    <t>030100</t>
  </si>
  <si>
    <t>无形资产</t>
  </si>
  <si>
    <t>030110</t>
  </si>
  <si>
    <t>其他资产</t>
  </si>
  <si>
    <t>030120</t>
  </si>
  <si>
    <t>负债信息</t>
  </si>
  <si>
    <t>040</t>
  </si>
  <si>
    <t>客户提供相关资料</t>
  </si>
  <si>
    <t>040010</t>
  </si>
  <si>
    <t>资料信息</t>
  </si>
  <si>
    <t>050</t>
  </si>
  <si>
    <t>客户评价信息</t>
  </si>
  <si>
    <t>050010</t>
  </si>
  <si>
    <t>客户情况分析</t>
  </si>
  <si>
    <t>110</t>
  </si>
  <si>
    <t>其他信息</t>
  </si>
  <si>
    <t>110010</t>
  </si>
  <si>
    <t>客户信息维护记录</t>
  </si>
  <si>
    <t>110020</t>
  </si>
  <si>
    <t>客户管户变更记录</t>
  </si>
  <si>
    <t>110030</t>
  </si>
  <si>
    <t>客户引入记录</t>
  </si>
  <si>
    <t>码值：文化水平</t>
  </si>
  <si>
    <t>文化水平</t>
  </si>
  <si>
    <t>1</t>
  </si>
  <si>
    <t>初中</t>
  </si>
  <si>
    <t>2</t>
  </si>
  <si>
    <t>高中</t>
  </si>
  <si>
    <t>3</t>
  </si>
  <si>
    <t>大专</t>
  </si>
  <si>
    <t>4</t>
  </si>
  <si>
    <t>本科及以上</t>
  </si>
  <si>
    <t>码值：CountryRisk</t>
  </si>
  <si>
    <t>CountryRisk</t>
  </si>
  <si>
    <t>国别风险</t>
  </si>
  <si>
    <t>CountryRisk01</t>
  </si>
  <si>
    <t>中国</t>
  </si>
  <si>
    <t>CountryRisk02</t>
  </si>
  <si>
    <t>港澳台</t>
  </si>
  <si>
    <t>CountryRisk03</t>
  </si>
  <si>
    <t>欧洲</t>
  </si>
  <si>
    <t>CountryRisk04</t>
  </si>
  <si>
    <t>美国</t>
  </si>
  <si>
    <t>CountryRisk05</t>
  </si>
  <si>
    <t>日本</t>
  </si>
  <si>
    <t>CountryRisk06</t>
  </si>
  <si>
    <t>新加坡</t>
  </si>
  <si>
    <t>CountryRisk07</t>
  </si>
  <si>
    <t>东南亚其他国家</t>
  </si>
  <si>
    <t>CountryRisk08</t>
  </si>
  <si>
    <t>澳洲</t>
  </si>
  <si>
    <t>CountryRisk09</t>
  </si>
  <si>
    <t>北美</t>
  </si>
  <si>
    <t>CountryRisk10</t>
  </si>
  <si>
    <t>码值：FamilyStatus</t>
  </si>
  <si>
    <t>FamilyStatus</t>
  </si>
  <si>
    <t>居住状况</t>
  </si>
  <si>
    <t>自置</t>
  </si>
  <si>
    <t>按揭</t>
  </si>
  <si>
    <t>亲属楼宇</t>
  </si>
  <si>
    <t>集体宿舍</t>
  </si>
  <si>
    <t>5</t>
  </si>
  <si>
    <t>租房</t>
  </si>
  <si>
    <t>6</t>
  </si>
  <si>
    <t>共有住宅</t>
  </si>
  <si>
    <t>7</t>
  </si>
  <si>
    <t>9</t>
  </si>
  <si>
    <t>未知</t>
  </si>
  <si>
    <t>码值：KeepType</t>
  </si>
  <si>
    <t>KeepType</t>
  </si>
  <si>
    <t>存货类型</t>
  </si>
  <si>
    <t>01</t>
  </si>
  <si>
    <t>原材料</t>
  </si>
  <si>
    <t>02</t>
  </si>
  <si>
    <t>产成品</t>
  </si>
  <si>
    <t>03</t>
  </si>
  <si>
    <t>在产品</t>
  </si>
  <si>
    <t>06</t>
  </si>
  <si>
    <t>码值：DemoInternetCompanyType</t>
  </si>
  <si>
    <t>DemoInternetCompanyType</t>
  </si>
  <si>
    <t>互联网公司</t>
  </si>
  <si>
    <t>0101</t>
  </si>
  <si>
    <t>树图</t>
  </si>
  <si>
    <t>码值：PProjectView</t>
  </si>
  <si>
    <t>PProjectView</t>
  </si>
  <si>
    <t>合作方项目申请树图</t>
  </si>
  <si>
    <t>0010</t>
  </si>
  <si>
    <t>合作项目基本信息</t>
  </si>
  <si>
    <t>0020</t>
  </si>
  <si>
    <t>项目额度信息</t>
  </si>
  <si>
    <t>0030</t>
  </si>
  <si>
    <t>担保额度信息</t>
  </si>
  <si>
    <t>0040</t>
  </si>
  <si>
    <t>保证金信息</t>
  </si>
  <si>
    <t>0050</t>
  </si>
  <si>
    <t>其他合作方</t>
  </si>
  <si>
    <t>0060</t>
  </si>
  <si>
    <t>项下业务要求</t>
  </si>
  <si>
    <t>0070</t>
  </si>
  <si>
    <t>附属信息</t>
  </si>
  <si>
    <t>007010</t>
  </si>
  <si>
    <t>设备信息</t>
  </si>
  <si>
    <t>007020</t>
  </si>
  <si>
    <t>车辆信息</t>
  </si>
  <si>
    <t>007030</t>
  </si>
  <si>
    <t>楼盘信息</t>
  </si>
  <si>
    <t>0080</t>
  </si>
  <si>
    <t>其他重要信息</t>
  </si>
  <si>
    <t>码值：DepositAccountType</t>
  </si>
  <si>
    <t>DepositAccountType</t>
  </si>
  <si>
    <t>存款账户类型</t>
  </si>
  <si>
    <t>卡</t>
  </si>
  <si>
    <t>折</t>
  </si>
  <si>
    <t>码值：LAWVALIDITYTYPE</t>
  </si>
  <si>
    <t>LAWVALIDITYTYPE</t>
  </si>
  <si>
    <t>法律有效性</t>
  </si>
  <si>
    <t>担保合法且手续完整</t>
  </si>
  <si>
    <t>担保不合法或手续不完整</t>
  </si>
  <si>
    <t>码值：ReserveSingleView</t>
  </si>
  <si>
    <t>ReserveSingleView</t>
  </si>
  <si>
    <t>减值计提详情树图</t>
  </si>
  <si>
    <t>减值计提信息</t>
  </si>
  <si>
    <t>拨备计提历史</t>
  </si>
  <si>
    <t>影像资料</t>
  </si>
  <si>
    <t>码值：创新能力</t>
  </si>
  <si>
    <t>创新能力</t>
  </si>
  <si>
    <t>公司的创新能力极强，有很多还未应用的已申请专利，且研发费用占比远高于同业水平</t>
  </si>
  <si>
    <t>公司的创新能力极强，且研发费用占比高于同业水平</t>
  </si>
  <si>
    <t>公司的创新能力一般，且研发费用占比基本持平于同业水平</t>
  </si>
  <si>
    <t>04</t>
  </si>
  <si>
    <t>公司的创新能力差，且研发费用占比低于同业水平</t>
  </si>
  <si>
    <t>码值：ScoreLevel</t>
  </si>
  <si>
    <t>ScoreLevel</t>
  </si>
  <si>
    <t>客户信用等级</t>
  </si>
  <si>
    <t>AAA</t>
  </si>
  <si>
    <t>AA+</t>
  </si>
  <si>
    <t>AA</t>
  </si>
  <si>
    <t>AA-</t>
  </si>
  <si>
    <t>A+</t>
  </si>
  <si>
    <t>060</t>
  </si>
  <si>
    <t>A</t>
  </si>
  <si>
    <t>070</t>
  </si>
  <si>
    <t>A-</t>
  </si>
  <si>
    <t>080</t>
  </si>
  <si>
    <t>BBB+</t>
  </si>
  <si>
    <t>090</t>
  </si>
  <si>
    <t>BBB</t>
  </si>
  <si>
    <t>100</t>
  </si>
  <si>
    <t>BBB-</t>
  </si>
  <si>
    <t>BB+</t>
  </si>
  <si>
    <t>120</t>
  </si>
  <si>
    <t>BB</t>
  </si>
  <si>
    <t>130</t>
  </si>
  <si>
    <t>BB-</t>
  </si>
  <si>
    <t>140</t>
  </si>
  <si>
    <t>B+</t>
  </si>
  <si>
    <t>150</t>
  </si>
  <si>
    <t>B</t>
  </si>
  <si>
    <t>160</t>
  </si>
  <si>
    <t>B-</t>
  </si>
  <si>
    <t>170</t>
  </si>
  <si>
    <t>X</t>
  </si>
  <si>
    <t>180</t>
  </si>
  <si>
    <t>无</t>
  </si>
  <si>
    <t>码值：AccountFlag</t>
  </si>
  <si>
    <t>AccountFlag</t>
  </si>
  <si>
    <t>存款账号性质</t>
  </si>
  <si>
    <t>本行存款账户</t>
  </si>
  <si>
    <t>他行账户</t>
  </si>
  <si>
    <t>本行信用卡账户</t>
  </si>
  <si>
    <t>第三方账户</t>
  </si>
  <si>
    <t>内部账户</t>
  </si>
  <si>
    <t>码值：GroupForkView</t>
  </si>
  <si>
    <t>GroupForkView</t>
  </si>
  <si>
    <t>集团详情</t>
  </si>
  <si>
    <t>集团客户基本情况</t>
  </si>
  <si>
    <t>集团家谱</t>
  </si>
  <si>
    <t>集团家谱历次已认定版本</t>
  </si>
  <si>
    <t>集团家谱复核意见</t>
  </si>
  <si>
    <t>集团家谱最新已认定成员</t>
  </si>
  <si>
    <t>集团变更历史</t>
  </si>
  <si>
    <t>财务信息</t>
  </si>
  <si>
    <t>集团授信额度</t>
  </si>
  <si>
    <t>集团额度切分</t>
  </si>
  <si>
    <t>码值：RiskType</t>
  </si>
  <si>
    <t>RiskType</t>
  </si>
  <si>
    <t>一般风险</t>
  </si>
  <si>
    <t>低风险</t>
  </si>
  <si>
    <t>码值：RealtyNature</t>
  </si>
  <si>
    <t>RealtyNature</t>
  </si>
  <si>
    <t>房产状况</t>
  </si>
  <si>
    <t>自购商品房</t>
  </si>
  <si>
    <t>自建房</t>
  </si>
  <si>
    <t>单位福利房</t>
  </si>
  <si>
    <t>其他房屋</t>
  </si>
  <si>
    <t>码值：SCompetitiveness</t>
  </si>
  <si>
    <t>SCompetitiveness</t>
  </si>
  <si>
    <t>信用等级评估统一导入</t>
  </si>
  <si>
    <t>211院校</t>
  </si>
  <si>
    <t>其他高等院校、高职以及省属重点中学</t>
  </si>
  <si>
    <t>市属重点中学</t>
  </si>
  <si>
    <t>市属重点小学</t>
  </si>
  <si>
    <t>05</t>
  </si>
  <si>
    <t>其他院校</t>
  </si>
  <si>
    <t>码值：Status</t>
  </si>
  <si>
    <t>Status</t>
  </si>
  <si>
    <t>状态</t>
  </si>
  <si>
    <t>生效</t>
  </si>
  <si>
    <t>失效</t>
  </si>
  <si>
    <t>码值：经营者行业经验</t>
  </si>
  <si>
    <t>经营者行业经验</t>
  </si>
  <si>
    <t>5年以上（含）</t>
  </si>
  <si>
    <t>3（含）-5年</t>
  </si>
  <si>
    <t>1（含）-3年</t>
  </si>
  <si>
    <t>0（含）-1年</t>
  </si>
  <si>
    <t>码值：ClassifyAdjustMain</t>
  </si>
  <si>
    <t>ClassifyAdjustMain</t>
  </si>
  <si>
    <t>风险调整申请主树图</t>
  </si>
  <si>
    <t>1010</t>
  </si>
  <si>
    <t>待处理申请</t>
  </si>
  <si>
    <t>1020</t>
  </si>
  <si>
    <t>认定中的申请</t>
  </si>
  <si>
    <t>1040</t>
  </si>
  <si>
    <t>认定通过的申请</t>
  </si>
  <si>
    <t>1050</t>
  </si>
  <si>
    <t>否决的申请</t>
  </si>
  <si>
    <t>码值：Escrow</t>
  </si>
  <si>
    <t>Escrow</t>
  </si>
  <si>
    <t>监管/专用账户</t>
  </si>
  <si>
    <t>不限</t>
  </si>
  <si>
    <t>常用的行名</t>
  </si>
  <si>
    <t>码值：SignalStatus</t>
  </si>
  <si>
    <t>SignalStatus</t>
  </si>
  <si>
    <t>预警状态</t>
  </si>
  <si>
    <t>10</t>
  </si>
  <si>
    <t>调查</t>
  </si>
  <si>
    <t>15</t>
  </si>
  <si>
    <t>分发</t>
  </si>
  <si>
    <t>20</t>
  </si>
  <si>
    <t>审批</t>
  </si>
  <si>
    <t>30</t>
  </si>
  <si>
    <t>批准</t>
  </si>
  <si>
    <t>40</t>
  </si>
  <si>
    <t>否决</t>
  </si>
  <si>
    <t>码值：GuarantyClassify</t>
  </si>
  <si>
    <t>GuarantyClassify</t>
  </si>
  <si>
    <t>担保类型</t>
  </si>
  <si>
    <t>阶段性担保</t>
  </si>
  <si>
    <t>全程担保</t>
  </si>
  <si>
    <t>其它</t>
  </si>
  <si>
    <t>码值：PrdApplyMain</t>
  </si>
  <si>
    <t>PrdApplyMain</t>
  </si>
  <si>
    <t>产品申请主树图</t>
  </si>
  <si>
    <t>1010,1030</t>
  </si>
  <si>
    <t>待处理</t>
  </si>
  <si>
    <t>审批中</t>
  </si>
  <si>
    <t>1040,1050</t>
  </si>
  <si>
    <t>处理完成</t>
  </si>
  <si>
    <t>码值：行业分类</t>
  </si>
  <si>
    <t>行业分类</t>
  </si>
  <si>
    <t>制造业</t>
  </si>
  <si>
    <t>服务业</t>
  </si>
  <si>
    <t>贸易</t>
  </si>
  <si>
    <t>房地产及相关</t>
  </si>
  <si>
    <t>码值：地方排名</t>
  </si>
  <si>
    <t>地方排名</t>
  </si>
  <si>
    <t>前5名</t>
  </si>
  <si>
    <t>前10名</t>
  </si>
  <si>
    <t>10名之外</t>
  </si>
  <si>
    <t>码值：TelType</t>
  </si>
  <si>
    <t>TelType</t>
  </si>
  <si>
    <t>电话类型</t>
  </si>
  <si>
    <t>手机</t>
  </si>
  <si>
    <t>家庭电话</t>
  </si>
  <si>
    <t>办公电话</t>
  </si>
  <si>
    <t>码值：上市情况</t>
  </si>
  <si>
    <t>上市情况</t>
  </si>
  <si>
    <t>上市有配股</t>
  </si>
  <si>
    <t>上市无配股</t>
  </si>
  <si>
    <t>未上市</t>
  </si>
  <si>
    <t>码值：MarginAccountType</t>
  </si>
  <si>
    <t>MarginAccountType</t>
  </si>
  <si>
    <t>保证金账户类型</t>
  </si>
  <si>
    <t>定期账户</t>
  </si>
  <si>
    <t>活期账户</t>
  </si>
  <si>
    <t>码值：SpecialCustomerType</t>
  </si>
  <si>
    <t>SpecialCustomerType</t>
  </si>
  <si>
    <t>特殊客户</t>
  </si>
  <si>
    <t>警示类客户名单</t>
  </si>
  <si>
    <t>人行黑名单</t>
  </si>
  <si>
    <t>银监会黑名单</t>
  </si>
  <si>
    <t>产能过剩客户名单</t>
  </si>
  <si>
    <t>我行关联方名单</t>
  </si>
  <si>
    <t>2002</t>
  </si>
  <si>
    <t>本行股东名单</t>
  </si>
  <si>
    <t>2010</t>
  </si>
  <si>
    <t>5%以上本行股东关联方名单</t>
  </si>
  <si>
    <t>2020</t>
  </si>
  <si>
    <t>本行内部人名单</t>
  </si>
  <si>
    <t>2030</t>
  </si>
  <si>
    <t>本行内部人关联方名单</t>
  </si>
  <si>
    <t>关注类客户名单</t>
  </si>
  <si>
    <t>4010</t>
  </si>
  <si>
    <t>政府类客户名单</t>
  </si>
  <si>
    <t>4020</t>
  </si>
  <si>
    <t>融资平台客户（银监口径）名单</t>
  </si>
  <si>
    <t>4030</t>
  </si>
  <si>
    <t>融资平台客户（人行口径）名单</t>
  </si>
  <si>
    <t>50</t>
  </si>
  <si>
    <t>营销类客户名单</t>
  </si>
  <si>
    <t>5010</t>
  </si>
  <si>
    <t>上市公司名单</t>
  </si>
  <si>
    <t>5020</t>
  </si>
  <si>
    <t>500强企业名单</t>
  </si>
  <si>
    <t>5021</t>
  </si>
  <si>
    <t>主动营销客户名单</t>
  </si>
  <si>
    <t>5030</t>
  </si>
  <si>
    <t>特别核准客户名单</t>
  </si>
  <si>
    <t>5040</t>
  </si>
  <si>
    <t>绿色通道客户名单</t>
  </si>
  <si>
    <t>6010</t>
  </si>
  <si>
    <t>产能过剩行业名单</t>
  </si>
  <si>
    <t>码值：MergerRole</t>
  </si>
  <si>
    <t>MergerRole</t>
  </si>
  <si>
    <t>并购角色</t>
  </si>
  <si>
    <t>收购方</t>
  </si>
  <si>
    <t>被收购方</t>
  </si>
  <si>
    <t>码值：EvaluateMode</t>
  </si>
  <si>
    <t>EvaluateMode</t>
  </si>
  <si>
    <t>最新估值方式</t>
  </si>
  <si>
    <t>内部评估</t>
  </si>
  <si>
    <t>外部评估</t>
  </si>
  <si>
    <t>内外部综合评估</t>
  </si>
  <si>
    <t>直接评估法</t>
  </si>
  <si>
    <t>码值：ContractMain</t>
  </si>
  <si>
    <t>ContractMain</t>
  </si>
  <si>
    <t>我的台账主界面</t>
  </si>
  <si>
    <t>未终结业务</t>
  </si>
  <si>
    <t>表内未终结业务</t>
  </si>
  <si>
    <t>表外未终结业务</t>
  </si>
  <si>
    <t>已终结的业务</t>
  </si>
  <si>
    <t>表内已终结业务</t>
  </si>
  <si>
    <t>表外已终结业务</t>
  </si>
  <si>
    <t>已移交保全业务</t>
  </si>
  <si>
    <t>030010010</t>
  </si>
  <si>
    <t>030010020</t>
  </si>
  <si>
    <t>030020010</t>
  </si>
  <si>
    <t>030020020</t>
  </si>
  <si>
    <t>码值：SegRPTAmountFlag</t>
  </si>
  <si>
    <t>SegRPTAmountFlag</t>
  </si>
  <si>
    <t>区段指定金额标识</t>
  </si>
  <si>
    <t>贷款余额</t>
  </si>
  <si>
    <t>指定区段归还本金</t>
  </si>
  <si>
    <t>指定每期还款额</t>
  </si>
  <si>
    <t>尾款金额</t>
  </si>
  <si>
    <t>码值：StrucType</t>
  </si>
  <si>
    <t>StrucType</t>
  </si>
  <si>
    <t>建筑类型</t>
  </si>
  <si>
    <t>00</t>
  </si>
  <si>
    <t>多层</t>
  </si>
  <si>
    <t>11</t>
  </si>
  <si>
    <t>小高层</t>
  </si>
  <si>
    <t>12</t>
  </si>
  <si>
    <t>超高层</t>
  </si>
  <si>
    <t>13</t>
  </si>
  <si>
    <t xml:space="preserve">高层  </t>
  </si>
  <si>
    <t>14</t>
  </si>
  <si>
    <t xml:space="preserve">花园洋房  </t>
  </si>
  <si>
    <t xml:space="preserve">老洋房  </t>
  </si>
  <si>
    <t>16</t>
  </si>
  <si>
    <t xml:space="preserve">四合院  </t>
  </si>
  <si>
    <t>17</t>
  </si>
  <si>
    <t xml:space="preserve">独栋  </t>
  </si>
  <si>
    <t>18</t>
  </si>
  <si>
    <t>双拼</t>
  </si>
  <si>
    <t>19</t>
  </si>
  <si>
    <t>联排</t>
  </si>
  <si>
    <t>叠加</t>
  </si>
  <si>
    <t>码值：CheckFormat</t>
  </si>
  <si>
    <t>CheckFormat</t>
  </si>
  <si>
    <t>检查格式</t>
  </si>
  <si>
    <t>字符串</t>
  </si>
  <si>
    <t>小数点后4位</t>
  </si>
  <si>
    <t>小数点后6位</t>
  </si>
  <si>
    <t>数字</t>
  </si>
  <si>
    <t>日期</t>
  </si>
  <si>
    <t>时间</t>
  </si>
  <si>
    <t>整数</t>
  </si>
  <si>
    <t>码值：CreditApplyMain</t>
  </si>
  <si>
    <t>CreditApplyMain</t>
  </si>
  <si>
    <t>授信申请主树图</t>
  </si>
  <si>
    <t>审查审批中申请</t>
  </si>
  <si>
    <t>1030</t>
  </si>
  <si>
    <t>退回补充资料申请</t>
  </si>
  <si>
    <t>审批通过申请</t>
  </si>
  <si>
    <t>被否决申请</t>
  </si>
  <si>
    <t>1060</t>
  </si>
  <si>
    <t>已归档申请</t>
  </si>
  <si>
    <t>码值：关联企业风险状况1</t>
  </si>
  <si>
    <t>关联企业风险状况1</t>
  </si>
  <si>
    <t>无关联企业。</t>
  </si>
  <si>
    <t>关联企业风险程度很低。</t>
  </si>
  <si>
    <t>关联企业存在一定风险。</t>
  </si>
  <si>
    <t>关联企业风险较高</t>
  </si>
  <si>
    <t>关联企业风险急剧上升或关联企业在各银行出现违约</t>
  </si>
  <si>
    <t>码值：TaxpayerType</t>
  </si>
  <si>
    <t>TaxpayerType</t>
  </si>
  <si>
    <t>纳税人类型</t>
  </si>
  <si>
    <t>增值税一般纳税人</t>
  </si>
  <si>
    <t>增值税小规模纳税人</t>
  </si>
  <si>
    <t>行政事业单位</t>
  </si>
  <si>
    <t>境外同业</t>
  </si>
  <si>
    <t>境外其他机构</t>
  </si>
  <si>
    <t>码值：LineControlMode</t>
  </si>
  <si>
    <t>LineControlMode</t>
  </si>
  <si>
    <t>额度管控模式</t>
  </si>
  <si>
    <t>Full</t>
  </si>
  <si>
    <t>全额分配</t>
  </si>
  <si>
    <t>Over</t>
  </si>
  <si>
    <t>超额分配</t>
  </si>
  <si>
    <t>码值：SScaleAndDebtLevel</t>
  </si>
  <si>
    <t>SScaleAndDebtLevel</t>
  </si>
  <si>
    <t>在校学生人数在3000人以上，在校学生人均贷款余额在30000元以下</t>
  </si>
  <si>
    <t>在校学生人数在3000人以上，在校学生人均贷款余额超过30000元</t>
  </si>
  <si>
    <t>在校学生人数在1000-3000之间</t>
  </si>
  <si>
    <t>在校学生人数低于1000</t>
  </si>
  <si>
    <t>码值：政府对其支持程度</t>
  </si>
  <si>
    <t>政府对其支持程度</t>
  </si>
  <si>
    <t>政府对其贷款承诺还本付息</t>
  </si>
  <si>
    <t>政府协调还本付息</t>
  </si>
  <si>
    <t>政府给予贴息</t>
  </si>
  <si>
    <t>政府无实质性还贷承诺</t>
  </si>
  <si>
    <t>码值：EducationExperience</t>
  </si>
  <si>
    <t>EducationExperience</t>
  </si>
  <si>
    <t>学历</t>
  </si>
  <si>
    <t>研究生</t>
  </si>
  <si>
    <t>大学本科</t>
  </si>
  <si>
    <t>大学专科</t>
  </si>
  <si>
    <t>中专/中等技校</t>
  </si>
  <si>
    <t>技术学校</t>
  </si>
  <si>
    <t>60</t>
  </si>
  <si>
    <t>70</t>
  </si>
  <si>
    <t>80</t>
  </si>
  <si>
    <t>小学</t>
  </si>
  <si>
    <t>90</t>
  </si>
  <si>
    <t>文盲或半文盲</t>
  </si>
  <si>
    <t>99</t>
  </si>
  <si>
    <t>码值：CertType</t>
  </si>
  <si>
    <t>CertType</t>
  </si>
  <si>
    <t>证件类型</t>
  </si>
  <si>
    <t>Ent01</t>
  </si>
  <si>
    <t>统一社会信用代码</t>
  </si>
  <si>
    <t>Ent02</t>
  </si>
  <si>
    <t>组织机构代码</t>
  </si>
  <si>
    <t>Ent03</t>
  </si>
  <si>
    <t>香港注册代码</t>
  </si>
  <si>
    <t>Ent04</t>
  </si>
  <si>
    <t>澳门注册代码</t>
  </si>
  <si>
    <t>Ent05</t>
  </si>
  <si>
    <t>台湾注册代码</t>
  </si>
  <si>
    <t>Ent06</t>
  </si>
  <si>
    <t>境外机构注册代码</t>
  </si>
  <si>
    <t>Ent07</t>
  </si>
  <si>
    <t>Fina01</t>
  </si>
  <si>
    <t>Fina02</t>
  </si>
  <si>
    <t>Fina03</t>
  </si>
  <si>
    <t>SWIFT号码</t>
  </si>
  <si>
    <t>Fina04</t>
  </si>
  <si>
    <t>外管编号</t>
  </si>
  <si>
    <t>Fina05</t>
  </si>
  <si>
    <t>Ind01</t>
  </si>
  <si>
    <t>身份证</t>
  </si>
  <si>
    <t>Ind02</t>
  </si>
  <si>
    <t>军官证</t>
  </si>
  <si>
    <t>Ind03</t>
  </si>
  <si>
    <t>士兵证</t>
  </si>
  <si>
    <t>Ind04</t>
  </si>
  <si>
    <t>警官证</t>
  </si>
  <si>
    <t>Ind05</t>
  </si>
  <si>
    <t>港澳居民来往内地通行证</t>
  </si>
  <si>
    <t>Ind06</t>
  </si>
  <si>
    <t>台湾同胞来往内地通行证</t>
  </si>
  <si>
    <t>Ind07</t>
  </si>
  <si>
    <t>外国人居留证</t>
  </si>
  <si>
    <t>码值：RelatedTransation</t>
  </si>
  <si>
    <t>RelatedTransation</t>
  </si>
  <si>
    <t>关联交易的资金往来和商品交易明晰，交易价格公允或者无关联交易</t>
  </si>
  <si>
    <t>关联交易严重且价格显失公允</t>
  </si>
  <si>
    <t>码值：授信结构</t>
  </si>
  <si>
    <t>授信结构</t>
  </si>
  <si>
    <t>集团公司采用集团授信，母公司对子公司债务承担完全连带责任</t>
  </si>
  <si>
    <t>采用单独授信，母公司对子公司债务只承担有限责任</t>
  </si>
  <si>
    <t>虽然为子母公司关系，但是母公司对子公司债务不承担责任</t>
  </si>
  <si>
    <t>非子母公司关系</t>
  </si>
  <si>
    <t>码值：PrepayInterestDaysFlag</t>
  </si>
  <si>
    <t>PrepayInterestDaysFlag</t>
  </si>
  <si>
    <t>提前还款利息计算时点选项</t>
  </si>
  <si>
    <t>按实际交易日收取</t>
  </si>
  <si>
    <t>按照下一还款日</t>
  </si>
  <si>
    <t>只还本不还息</t>
  </si>
  <si>
    <t>码值：宾馆服务投资环境</t>
  </si>
  <si>
    <t>宾馆服务投资环境</t>
  </si>
  <si>
    <t>好</t>
  </si>
  <si>
    <t>较好</t>
  </si>
  <si>
    <t>一般</t>
  </si>
  <si>
    <t>码值：FundCalBase</t>
  </si>
  <si>
    <t>FundCalBase</t>
  </si>
  <si>
    <t>保证金计算基础</t>
  </si>
  <si>
    <t>贷款本金</t>
  </si>
  <si>
    <t>购买价格</t>
  </si>
  <si>
    <t>预存定额保证金</t>
  </si>
  <si>
    <t>项目额度</t>
  </si>
  <si>
    <t>担保额度</t>
  </si>
  <si>
    <t>码值：BookInContractApplySMEMain</t>
  </si>
  <si>
    <t>BookInContractApplySMEMain</t>
  </si>
  <si>
    <t>小微批复合同登记申请主树图</t>
  </si>
  <si>
    <t>码值：SInstitutionLevel</t>
  </si>
  <si>
    <t>SInstitutionLevel</t>
  </si>
  <si>
    <t>部属院校</t>
  </si>
  <si>
    <t>省或直辖市属院校</t>
  </si>
  <si>
    <t>市属</t>
  </si>
  <si>
    <t>码值：UnionEditViewTree</t>
  </si>
  <si>
    <t>UnionEditViewTree</t>
  </si>
  <si>
    <t>客户群详情视图</t>
  </si>
  <si>
    <t>客户群信息</t>
  </si>
  <si>
    <t>客户群成员信息</t>
  </si>
  <si>
    <t>客户群额度信息</t>
  </si>
  <si>
    <t>客户群关联项目</t>
  </si>
  <si>
    <t>成员授信信息</t>
  </si>
  <si>
    <t>0500010</t>
  </si>
  <si>
    <t>成员授信额度信息</t>
  </si>
  <si>
    <t>0500020</t>
  </si>
  <si>
    <t>成员未结清授信业务</t>
  </si>
  <si>
    <t>0500030</t>
  </si>
  <si>
    <t>成员已结清授信业务</t>
  </si>
  <si>
    <t>0500040</t>
  </si>
  <si>
    <t>成员提供担保情况</t>
  </si>
  <si>
    <t>0500050</t>
  </si>
  <si>
    <t>成员被担保情况</t>
  </si>
  <si>
    <t>码值：OperateType</t>
  </si>
  <si>
    <t>OperateType</t>
  </si>
  <si>
    <t>操作方式</t>
  </si>
  <si>
    <t>普通贷款</t>
  </si>
  <si>
    <t>银团贷款</t>
  </si>
  <si>
    <t>行内银团贷款</t>
  </si>
  <si>
    <t>银团&amp;行内银团贷款</t>
  </si>
  <si>
    <t>码值：ButtonSetCredit</t>
  </si>
  <si>
    <t>ButtonSetCredit</t>
  </si>
  <si>
    <t>授信申请按钮组</t>
  </si>
  <si>
    <t>backStep</t>
  </si>
  <si>
    <t>退回前一步</t>
  </si>
  <si>
    <t>doSubmit</t>
  </si>
  <si>
    <t>提交</t>
  </si>
  <si>
    <t>readme</t>
  </si>
  <si>
    <t>riskSkan</t>
  </si>
  <si>
    <t>检测业务风险</t>
  </si>
  <si>
    <t>signApplyOpinion</t>
  </si>
  <si>
    <t>签署意见</t>
  </si>
  <si>
    <t>signTaskOpinion</t>
  </si>
  <si>
    <t>viewFlowGraph</t>
  </si>
  <si>
    <t>流程图形展示</t>
  </si>
  <si>
    <t>码值：ImageTree</t>
  </si>
  <si>
    <t>ImageTree</t>
  </si>
  <si>
    <t>业务资料清单管理</t>
  </si>
  <si>
    <t>影像管理</t>
  </si>
  <si>
    <t>码值：CreditLimitUnderIndApproveMain</t>
  </si>
  <si>
    <t>CreditLimitUnderIndApproveMain</t>
  </si>
  <si>
    <t xml:space="preserve"> </t>
  </si>
  <si>
    <t>N</t>
  </si>
  <si>
    <t>待办任务</t>
  </si>
  <si>
    <t>Y</t>
  </si>
  <si>
    <t>已办任务</t>
  </si>
  <si>
    <t>码值：StallNature</t>
  </si>
  <si>
    <t>StallNature</t>
  </si>
  <si>
    <t>摊位/厂房性质</t>
  </si>
  <si>
    <t>租赁</t>
  </si>
  <si>
    <t>自有</t>
  </si>
  <si>
    <t>码值：建设进度</t>
  </si>
  <si>
    <t>建设进度</t>
  </si>
  <si>
    <t>已完工</t>
  </si>
  <si>
    <t>50%以上</t>
  </si>
  <si>
    <t>25%-50%</t>
  </si>
  <si>
    <t>25%以下</t>
  </si>
  <si>
    <t>码值：销售水平</t>
  </si>
  <si>
    <t>销售水平</t>
  </si>
  <si>
    <t>已完工,项目销售（出租）&gt;=60%</t>
  </si>
  <si>
    <t>已完工,项目销售（出租）&gt;=30%,&lt;60%</t>
  </si>
  <si>
    <t>已完工,项目销售（出租）&lt;30%</t>
  </si>
  <si>
    <t>已完工,尚未销售</t>
  </si>
  <si>
    <t>在建,项目销售（出租）&gt;=30%</t>
  </si>
  <si>
    <t>在建,项目销售（出租）&lt;30%</t>
  </si>
  <si>
    <t>07</t>
  </si>
  <si>
    <t>在建,尚未销售</t>
  </si>
  <si>
    <t>码值：PricingPower</t>
  </si>
  <si>
    <t>PricingPower</t>
  </si>
  <si>
    <t>拥有完全定价权，对于约定费率的调整，没有任何法规或合同的障碍</t>
  </si>
  <si>
    <t>有明确的定价机制，在定价机制范围内允许获得合理的投资资本回报，并且实践中可事实</t>
  </si>
  <si>
    <t>有明确的定价机制，在定价机制范围内允许获得合理的投资资本回报，但落实有难度</t>
  </si>
  <si>
    <t>收费机制都是由政府或第三方机构确定的，且不是按公平的投资回报标准来设定的</t>
  </si>
  <si>
    <t>有过政府或第三方机构进行干预，并强制减收费用的历史，并对实体机构的财务状况产生不利影响</t>
  </si>
  <si>
    <t>码值：科研经费的比重</t>
  </si>
  <si>
    <t>科研经费的比重</t>
  </si>
  <si>
    <t>经费比重占销售收入5%及5%以上</t>
  </si>
  <si>
    <t>3%--5%</t>
  </si>
  <si>
    <t>3%以下</t>
  </si>
  <si>
    <t>码值：GroundStatus</t>
  </si>
  <si>
    <t>GroundStatus</t>
  </si>
  <si>
    <t>土地现状</t>
  </si>
  <si>
    <t>出租</t>
  </si>
  <si>
    <t>占用</t>
  </si>
  <si>
    <t>闲置</t>
  </si>
  <si>
    <t>自用</t>
  </si>
  <si>
    <t>码值：AccountBookType</t>
  </si>
  <si>
    <t>AccountBookType</t>
  </si>
  <si>
    <t>台账类型</t>
  </si>
  <si>
    <t>汇总</t>
  </si>
  <si>
    <t>明细</t>
  </si>
  <si>
    <t>码值：CreditPutoutApplyFactoryMain</t>
  </si>
  <si>
    <t>CreditPutoutApplyFactoryMain</t>
  </si>
  <si>
    <t>小微信贷工厂申请主树图</t>
  </si>
  <si>
    <t>码值：EvaluateModelType</t>
  </si>
  <si>
    <t>EvaluateModelType</t>
  </si>
  <si>
    <t>系统评估模型名称</t>
  </si>
  <si>
    <t>企业信用等级评估</t>
  </si>
  <si>
    <t>012</t>
  </si>
  <si>
    <t>中小企业信用等级评估</t>
  </si>
  <si>
    <t>015</t>
  </si>
  <si>
    <t>个人信用等级评估</t>
  </si>
  <si>
    <t>017</t>
  </si>
  <si>
    <t>个体经营户信用等级评估</t>
  </si>
  <si>
    <t>风险分类</t>
  </si>
  <si>
    <t>风险度评估</t>
  </si>
  <si>
    <t>流动资金需求量测算</t>
  </si>
  <si>
    <t>最高综合授信限额</t>
  </si>
  <si>
    <t>中小企业资格认定</t>
  </si>
  <si>
    <t>押品外部评估机构评估</t>
  </si>
  <si>
    <t>码值：WorkingExperience</t>
  </si>
  <si>
    <t>WorkingExperience</t>
  </si>
  <si>
    <t>主要领导人有过五个以上相关项目的成功领导人经验</t>
  </si>
  <si>
    <t>主要领导人有过三个以上相关项目的成功领导人经验</t>
  </si>
  <si>
    <t>主要领导人有过一个以上相关项目的成功领导人经验</t>
  </si>
  <si>
    <t>主要领导人没有相关项目的成功领导人经验</t>
  </si>
  <si>
    <t>码值：职称或最高学历</t>
  </si>
  <si>
    <t>职称或最高学历</t>
  </si>
  <si>
    <t>高级职称或博士学位</t>
  </si>
  <si>
    <t>硕士或双学士学位</t>
  </si>
  <si>
    <t>中级职称或学士学位</t>
  </si>
  <si>
    <t>码值：BatchType</t>
  </si>
  <si>
    <t>BatchType</t>
  </si>
  <si>
    <t>批量上传类型</t>
  </si>
  <si>
    <t>批量上传申请</t>
  </si>
  <si>
    <t>放款</t>
  </si>
  <si>
    <t>批量扣款</t>
  </si>
  <si>
    <t>码值：ApprovePaymentMain</t>
  </si>
  <si>
    <t>ApprovePaymentMain</t>
  </si>
  <si>
    <t>支付业务申请审批判断</t>
  </si>
  <si>
    <t>当前工作</t>
  </si>
  <si>
    <t>已完成工作</t>
  </si>
  <si>
    <t>码值：KnowledgeCatalog</t>
  </si>
  <si>
    <t>KnowledgeCatalog</t>
  </si>
  <si>
    <t>营销信息管理</t>
  </si>
  <si>
    <t>宏观信息</t>
  </si>
  <si>
    <t>010101</t>
  </si>
  <si>
    <t>重要新闻</t>
  </si>
  <si>
    <t>010102</t>
  </si>
  <si>
    <t>政策法规</t>
  </si>
  <si>
    <t>010103</t>
  </si>
  <si>
    <t>统计数据</t>
  </si>
  <si>
    <t>010104</t>
  </si>
  <si>
    <t>综合分析</t>
  </si>
  <si>
    <t>010105</t>
  </si>
  <si>
    <t>其它信息</t>
  </si>
  <si>
    <t>010201</t>
  </si>
  <si>
    <t>0103</t>
  </si>
  <si>
    <t>本市</t>
  </si>
  <si>
    <t>010301</t>
  </si>
  <si>
    <t>010302</t>
  </si>
  <si>
    <t>010303</t>
  </si>
  <si>
    <t>行业信息</t>
  </si>
  <si>
    <t>0201</t>
  </si>
  <si>
    <t>农、林、牧、渔业</t>
  </si>
  <si>
    <t>0202</t>
  </si>
  <si>
    <t>采掘业</t>
  </si>
  <si>
    <t>0203</t>
  </si>
  <si>
    <t>金融信息</t>
  </si>
  <si>
    <t>0301</t>
  </si>
  <si>
    <t>全部</t>
  </si>
  <si>
    <t>030101</t>
  </si>
  <si>
    <t>新闻动态</t>
  </si>
  <si>
    <t>030102</t>
  </si>
  <si>
    <t>业务创新</t>
  </si>
  <si>
    <t>030103</t>
  </si>
  <si>
    <t>0302</t>
  </si>
  <si>
    <t>混业</t>
  </si>
  <si>
    <t>030201</t>
  </si>
  <si>
    <t>030202</t>
  </si>
  <si>
    <t>0303</t>
  </si>
  <si>
    <t>银行</t>
  </si>
  <si>
    <t>0304</t>
  </si>
  <si>
    <t>证券</t>
  </si>
  <si>
    <t>0305</t>
  </si>
  <si>
    <t>保险</t>
  </si>
  <si>
    <t>0306</t>
  </si>
  <si>
    <t>0307</t>
  </si>
  <si>
    <t>信托</t>
  </si>
  <si>
    <t>0308</t>
  </si>
  <si>
    <t>本行信息</t>
  </si>
  <si>
    <t>客户营销信息</t>
  </si>
  <si>
    <t>项目信息</t>
  </si>
  <si>
    <t>制度规范</t>
  </si>
  <si>
    <t>08</t>
  </si>
  <si>
    <t>本行营销活动</t>
  </si>
  <si>
    <t>09</t>
  </si>
  <si>
    <t>返回</t>
  </si>
  <si>
    <t>码值：DOClass</t>
  </si>
  <si>
    <t>DOClass</t>
  </si>
  <si>
    <t>数据对象类别</t>
  </si>
  <si>
    <t>表</t>
  </si>
  <si>
    <t>视图</t>
  </si>
  <si>
    <t>SQL</t>
  </si>
  <si>
    <t>码值：FundInvestmentType</t>
  </si>
  <si>
    <t>FundInvestmentType</t>
  </si>
  <si>
    <t>基金投资类型</t>
  </si>
  <si>
    <t>股票基金</t>
  </si>
  <si>
    <t>债券基金</t>
  </si>
  <si>
    <t>货币市场基金</t>
  </si>
  <si>
    <t>期货基金</t>
  </si>
  <si>
    <t>码值：AgencyApplyMain</t>
  </si>
  <si>
    <t>AgencyApplyMain</t>
  </si>
  <si>
    <t>评价调查申请主树图</t>
  </si>
  <si>
    <t>码值：增加的总产品数</t>
  </si>
  <si>
    <t>增加的总产品数</t>
  </si>
  <si>
    <t>-1</t>
  </si>
  <si>
    <t>0</t>
  </si>
  <si>
    <t>码值：EdocModelStatus</t>
  </si>
  <si>
    <t>EdocModelStatus</t>
  </si>
  <si>
    <t>电子合同模板类型</t>
  </si>
  <si>
    <t>DISABLE</t>
  </si>
  <si>
    <t>不可用</t>
  </si>
  <si>
    <t>ENABLE</t>
  </si>
  <si>
    <t>正常</t>
  </si>
  <si>
    <t>HISTORY</t>
  </si>
  <si>
    <t>作废</t>
  </si>
  <si>
    <t>PAUSE</t>
  </si>
  <si>
    <t>停用</t>
  </si>
  <si>
    <t>码值：MarketCompetitionStatus</t>
  </si>
  <si>
    <t>MarketCompetitionStatus</t>
  </si>
  <si>
    <t>垄断</t>
  </si>
  <si>
    <t>激烈</t>
  </si>
  <si>
    <t>码值：IndCreditRecord</t>
  </si>
  <si>
    <t>IndCreditRecord</t>
  </si>
  <si>
    <t>无记录</t>
  </si>
  <si>
    <t>无失信</t>
  </si>
  <si>
    <t>有失信记录</t>
  </si>
  <si>
    <t>码值：AuditQueryDetail</t>
  </si>
  <si>
    <t>AuditQueryDetail</t>
  </si>
  <si>
    <t>安全审计主树图</t>
  </si>
  <si>
    <t>安全信息汇总</t>
  </si>
  <si>
    <t>用户登陆情况</t>
  </si>
  <si>
    <t>当日页面访问情况</t>
  </si>
  <si>
    <t>历史页面访问情况</t>
  </si>
  <si>
    <t>用户角色变更情况</t>
  </si>
  <si>
    <t>055</t>
  </si>
  <si>
    <t>用户登录信息一览</t>
  </si>
  <si>
    <t>安全选项设置</t>
  </si>
  <si>
    <t>06010</t>
  </si>
  <si>
    <t>密码校验规则</t>
  </si>
  <si>
    <t>06030</t>
  </si>
  <si>
    <t>强制更新规则</t>
  </si>
  <si>
    <t>06040</t>
  </si>
  <si>
    <t>错误锁定设置</t>
  </si>
  <si>
    <t>06050</t>
  </si>
  <si>
    <t>用户角色设置</t>
  </si>
  <si>
    <t>065</t>
  </si>
  <si>
    <t>安全选项查看</t>
  </si>
  <si>
    <t>安全选项变更情况</t>
  </si>
  <si>
    <t>码值：CorpusPayMethod</t>
  </si>
  <si>
    <t>CorpusPayMethod</t>
  </si>
  <si>
    <t>还款方式</t>
  </si>
  <si>
    <t>RPT-01</t>
  </si>
  <si>
    <t>等额本息</t>
  </si>
  <si>
    <t>RPT-02</t>
  </si>
  <si>
    <t>等额本金</t>
  </si>
  <si>
    <t>RPT-03</t>
  </si>
  <si>
    <t>一次还本付息</t>
  </si>
  <si>
    <t>RPT-04</t>
  </si>
  <si>
    <t>按期付息一次还本</t>
  </si>
  <si>
    <t>RPT-05</t>
  </si>
  <si>
    <t>等额递增/递减</t>
  </si>
  <si>
    <t>RPT-06</t>
  </si>
  <si>
    <t>等比递增/递减</t>
  </si>
  <si>
    <t>码值：ProjectDetail</t>
  </si>
  <si>
    <t>ProjectDetail</t>
  </si>
  <si>
    <t>项目概况</t>
  </si>
  <si>
    <t>项目资金来源</t>
  </si>
  <si>
    <t>项目进展情况</t>
  </si>
  <si>
    <t>项目投入产出概算</t>
  </si>
  <si>
    <t>码值：LoanBusinessStatus</t>
  </si>
  <si>
    <t>LoanBusinessStatus</t>
  </si>
  <si>
    <t>业务状态</t>
  </si>
  <si>
    <t>已核销</t>
  </si>
  <si>
    <t>已售出</t>
  </si>
  <si>
    <t>码值：LoadGuarantyApply1Main</t>
  </si>
  <si>
    <t>LoadGuarantyApply1Main</t>
  </si>
  <si>
    <t>LoadGuaranty申请主树图</t>
  </si>
  <si>
    <t>待处理的申请</t>
  </si>
  <si>
    <t>审查审批中的申请</t>
  </si>
  <si>
    <t>审批通过的申请</t>
  </si>
  <si>
    <t>被否决的申请</t>
  </si>
  <si>
    <t>码值：RateAdjustType</t>
  </si>
  <si>
    <t>RateAdjustType</t>
  </si>
  <si>
    <t>利率调整方式</t>
  </si>
  <si>
    <t>立即</t>
  </si>
  <si>
    <t>次年初</t>
  </si>
  <si>
    <t>次年对月对日</t>
  </si>
  <si>
    <t>按月调</t>
  </si>
  <si>
    <t>下一还款日调整</t>
  </si>
  <si>
    <t>码值：VoucherPrintMain</t>
  </si>
  <si>
    <t>VoucherPrintMain</t>
  </si>
  <si>
    <t>凭证打印主树图</t>
  </si>
  <si>
    <t>会计凭证</t>
  </si>
  <si>
    <t>还款凭证</t>
  </si>
  <si>
    <t>还款计划</t>
  </si>
  <si>
    <t>借据打印</t>
  </si>
  <si>
    <t>码值：RelatedEnterpriseCondition</t>
  </si>
  <si>
    <t>RelatedEnterpriseCondition</t>
  </si>
  <si>
    <t>无关联企业</t>
  </si>
  <si>
    <t>关联企业风险程度很低</t>
  </si>
  <si>
    <t>关联企业存在一定风险</t>
  </si>
  <si>
    <t>码值：BailType</t>
  </si>
  <si>
    <t>BailType</t>
  </si>
  <si>
    <t>保证金类型</t>
  </si>
  <si>
    <t>活期</t>
  </si>
  <si>
    <t>定期</t>
  </si>
  <si>
    <t>码值：COLLATERALSTATUS</t>
  </si>
  <si>
    <t>COLLATERALSTATUS</t>
  </si>
  <si>
    <t>押品类型</t>
  </si>
  <si>
    <t>临时</t>
  </si>
  <si>
    <t>落实担保</t>
  </si>
  <si>
    <t>解除担保</t>
  </si>
  <si>
    <t>终结</t>
  </si>
  <si>
    <t>处置</t>
  </si>
  <si>
    <t>码值：TermType</t>
  </si>
  <si>
    <t>TermType</t>
  </si>
  <si>
    <t>期限申请类型</t>
  </si>
  <si>
    <t>基础参数</t>
  </si>
  <si>
    <t>关联参数</t>
  </si>
  <si>
    <t>码值：SMECreditAge</t>
  </si>
  <si>
    <t>SMECreditAge</t>
  </si>
  <si>
    <t>年龄</t>
  </si>
  <si>
    <t>18(含)－30周岁</t>
  </si>
  <si>
    <t>30(含)－45周岁</t>
  </si>
  <si>
    <t>45(含)－60周岁</t>
  </si>
  <si>
    <t>60(含)周岁以上</t>
  </si>
  <si>
    <t>码值：事业单位级别</t>
  </si>
  <si>
    <t>事业单位级别</t>
  </si>
  <si>
    <t>101</t>
  </si>
  <si>
    <t>通用--中央属/部属</t>
  </si>
  <si>
    <t>102</t>
  </si>
  <si>
    <t>通用--省/直辖市/计划单列市/发达市级所属（发达市为全国GDP排名前50强的城市）</t>
  </si>
  <si>
    <t>103</t>
  </si>
  <si>
    <t>通用--地市级/发达县、区级（百强县）</t>
  </si>
  <si>
    <t>104</t>
  </si>
  <si>
    <t>通用--县/区级所属</t>
  </si>
  <si>
    <t>105</t>
  </si>
  <si>
    <t>通用--其他</t>
  </si>
  <si>
    <t>201</t>
  </si>
  <si>
    <t>学校--部属院校</t>
  </si>
  <si>
    <t>202</t>
  </si>
  <si>
    <t>学校--省或直辖市属院校</t>
  </si>
  <si>
    <t>203</t>
  </si>
  <si>
    <t>学校--市属</t>
  </si>
  <si>
    <t>204</t>
  </si>
  <si>
    <t>学校--其他</t>
  </si>
  <si>
    <t>301</t>
  </si>
  <si>
    <t>医院--卫生部直属医院</t>
  </si>
  <si>
    <t>302</t>
  </si>
  <si>
    <t>医院--直辖市或省级医院或985、211院校附属医院或军区直属医院</t>
  </si>
  <si>
    <t>303</t>
  </si>
  <si>
    <t>医院--市级医院或一般医学院附属医院</t>
  </si>
  <si>
    <t>304</t>
  </si>
  <si>
    <t>医院--县级医院</t>
  </si>
  <si>
    <t>305</t>
  </si>
  <si>
    <t>医院--其他</t>
  </si>
  <si>
    <t>码值：AdjustRateType</t>
  </si>
  <si>
    <t>AdjustRateType</t>
  </si>
  <si>
    <t>次年首个还款日调整</t>
  </si>
  <si>
    <t>不调整</t>
  </si>
  <si>
    <t>8</t>
  </si>
  <si>
    <t>手工指定调整日</t>
  </si>
  <si>
    <t>码值：DT</t>
  </si>
  <si>
    <t>DT</t>
  </si>
  <si>
    <t>数据字段类型</t>
  </si>
  <si>
    <t>String</t>
  </si>
  <si>
    <t>Double</t>
  </si>
  <si>
    <t>码值：CheckFrequency</t>
  </si>
  <si>
    <t>CheckFrequency</t>
  </si>
  <si>
    <t>检查频率</t>
  </si>
  <si>
    <t>年</t>
  </si>
  <si>
    <t>季度</t>
  </si>
  <si>
    <t>月</t>
  </si>
  <si>
    <t>日</t>
  </si>
  <si>
    <t>码值：ComponentParameterMethodType</t>
  </si>
  <si>
    <t>ComponentParameterMethodType</t>
  </si>
  <si>
    <t>业务组件参数取值方式</t>
  </si>
  <si>
    <t>AmarScript</t>
  </si>
  <si>
    <t>JBO</t>
  </si>
  <si>
    <t>JBO对象</t>
  </si>
  <si>
    <t>Java</t>
  </si>
  <si>
    <t>Java方法</t>
  </si>
  <si>
    <t>Nothing</t>
  </si>
  <si>
    <t>SQL查询</t>
  </si>
  <si>
    <t>码值：PDAInfoList</t>
  </si>
  <si>
    <t>PDAInfoList</t>
  </si>
  <si>
    <t>抵债资产详情树状菜单</t>
  </si>
  <si>
    <t>资产基本信息</t>
  </si>
  <si>
    <t>对应合同信息</t>
  </si>
  <si>
    <t>保险信息记录</t>
  </si>
  <si>
    <t>价值评估记录</t>
  </si>
  <si>
    <t>价值变动记录</t>
  </si>
  <si>
    <t>抵债资产处置台帐</t>
  </si>
  <si>
    <t>抵债资产出租台帐</t>
  </si>
  <si>
    <t>抵债资产收现台帐</t>
  </si>
  <si>
    <t>相关费用台帐</t>
  </si>
  <si>
    <t>待处理抵债资产科目余额变动台帐</t>
  </si>
  <si>
    <t>贷款余额变动台帐</t>
  </si>
  <si>
    <t>文档资料管理</t>
  </si>
  <si>
    <t>25</t>
  </si>
  <si>
    <t>抵债资产五级分类</t>
  </si>
  <si>
    <t>码值：PartnerAccessFlowAMain</t>
  </si>
  <si>
    <t>PartnerAccessFlowAMain</t>
  </si>
  <si>
    <t>合作方准入申请主树图</t>
  </si>
  <si>
    <t>码值：ProductCompetitive</t>
  </si>
  <si>
    <t>ProductCompetitive</t>
  </si>
  <si>
    <t>产品在市场上有唯一地位，并且没有替代品</t>
  </si>
  <si>
    <t>产品在市场上同类产品的竞争对手少于三家。替代品及其市场难于形成和进入</t>
  </si>
  <si>
    <t>产品在市场上没有唯一地位，竞争对少较多。替代品及其市场易于形成和进入</t>
  </si>
  <si>
    <t>码值：NPAReformView</t>
  </si>
  <si>
    <t>NPAReformView</t>
  </si>
  <si>
    <t>不良资产重组详情树图</t>
  </si>
  <si>
    <t>业务基本信息</t>
  </si>
  <si>
    <t>拟重组贷款合同</t>
  </si>
  <si>
    <t>相关文档信息</t>
  </si>
  <si>
    <t>码值：社会保险</t>
  </si>
  <si>
    <t>有</t>
  </si>
  <si>
    <t>码值：KnowledgeType</t>
  </si>
  <si>
    <t>KnowledgeType</t>
  </si>
  <si>
    <t>信息相关业务类型</t>
  </si>
  <si>
    <t>综合</t>
  </si>
  <si>
    <t>个人</t>
  </si>
  <si>
    <t>对公</t>
  </si>
  <si>
    <t>码值：RepayType</t>
  </si>
  <si>
    <t>RepayType</t>
  </si>
  <si>
    <t>RPT-07</t>
  </si>
  <si>
    <t>无忧月供-等额</t>
  </si>
  <si>
    <t>RPT-08</t>
  </si>
  <si>
    <t>无忧月供-等本</t>
  </si>
  <si>
    <t>RPT-09</t>
  </si>
  <si>
    <t>尾款等额还款</t>
  </si>
  <si>
    <t>RPT-10</t>
  </si>
  <si>
    <t>尾款等本还款</t>
  </si>
  <si>
    <t>RPT-11</t>
  </si>
  <si>
    <t>快速双周供（等额）</t>
  </si>
  <si>
    <t>RPT-12</t>
  </si>
  <si>
    <t>快速双周供（等本）</t>
  </si>
  <si>
    <t>RPT-13</t>
  </si>
  <si>
    <t>等额平息</t>
  </si>
  <si>
    <t>RPT-14</t>
  </si>
  <si>
    <t>指定还款额</t>
  </si>
  <si>
    <t>RPT-19</t>
  </si>
  <si>
    <t>自定义方式还款</t>
  </si>
  <si>
    <t>RPT-20</t>
  </si>
  <si>
    <t>灵活等额本息</t>
  </si>
  <si>
    <t>码值：SimpleForkFlowApplMain</t>
  </si>
  <si>
    <t>SimpleForkFlowApplMain</t>
  </si>
  <si>
    <t>申请阶段1010</t>
  </si>
  <si>
    <t>申请阶段1020</t>
  </si>
  <si>
    <t>申请阶段1040</t>
  </si>
  <si>
    <t>码值：DrawnInterestType</t>
  </si>
  <si>
    <t>DrawnInterestType</t>
  </si>
  <si>
    <t>收息方式</t>
  </si>
  <si>
    <t>正常收息</t>
  </si>
  <si>
    <t>后收利息</t>
  </si>
  <si>
    <t>码值：TransactionFlag</t>
  </si>
  <si>
    <t>TransactionFlag</t>
  </si>
  <si>
    <t>交易标志</t>
  </si>
  <si>
    <t>正常交易</t>
  </si>
  <si>
    <t>冲销交易</t>
  </si>
  <si>
    <t>被冲销交易</t>
  </si>
  <si>
    <t>特殊交易</t>
  </si>
  <si>
    <t>码值：CompanyNature</t>
  </si>
  <si>
    <t>CompanyNature</t>
  </si>
  <si>
    <t>单位性质</t>
  </si>
  <si>
    <t>事业、机关</t>
  </si>
  <si>
    <t>军队</t>
  </si>
  <si>
    <t>国有企业</t>
  </si>
  <si>
    <t>集体企业</t>
  </si>
  <si>
    <t>三资企业</t>
  </si>
  <si>
    <t>个人独资企业</t>
  </si>
  <si>
    <t>个体</t>
  </si>
  <si>
    <t>境内银行金融机构</t>
  </si>
  <si>
    <t>境内非银行金融机构</t>
  </si>
  <si>
    <t>境外银行金融机构</t>
  </si>
  <si>
    <t xml:space="preserve">境外非银行金融机构 </t>
  </si>
  <si>
    <t>码值：IMAssetType</t>
  </si>
  <si>
    <t>IMAssetType</t>
  </si>
  <si>
    <t>无形资产类型</t>
  </si>
  <si>
    <t>专利权</t>
  </si>
  <si>
    <t>商标权</t>
  </si>
  <si>
    <t>著作权</t>
  </si>
  <si>
    <t>码值：SMECreditAbility</t>
  </si>
  <si>
    <t>SMECreditAbility</t>
  </si>
  <si>
    <t>管理能力</t>
  </si>
  <si>
    <t>强</t>
  </si>
  <si>
    <t>弱</t>
  </si>
  <si>
    <t>码值：SubjectSubCategory</t>
  </si>
  <si>
    <t>SubjectSubCategory</t>
  </si>
  <si>
    <t>科目子类别</t>
  </si>
  <si>
    <t>共同</t>
  </si>
  <si>
    <t>其他收入</t>
  </si>
  <si>
    <t>其他费用</t>
  </si>
  <si>
    <t>固定资产</t>
  </si>
  <si>
    <t>坏账准备</t>
  </si>
  <si>
    <t>存货</t>
  </si>
  <si>
    <t>收入</t>
  </si>
  <si>
    <t>流动负债</t>
  </si>
  <si>
    <t>流动资产</t>
  </si>
  <si>
    <t>现金</t>
  </si>
  <si>
    <t>生产成本</t>
  </si>
  <si>
    <t>累计折旧</t>
  </si>
  <si>
    <t>累计盈余</t>
  </si>
  <si>
    <t>费用</t>
  </si>
  <si>
    <t>资本</t>
  </si>
  <si>
    <t>银行存款</t>
  </si>
  <si>
    <t>销售成本</t>
  </si>
  <si>
    <t>非流动负债</t>
  </si>
  <si>
    <t>非流动资产</t>
  </si>
  <si>
    <t>码值：DoNameManager</t>
  </si>
  <si>
    <t>DoNameManager</t>
  </si>
  <si>
    <t>虚拟字段取值方法</t>
  </si>
  <si>
    <t>CustomerID</t>
  </si>
  <si>
    <t>CustomerName</t>
  </si>
  <si>
    <t>InputOrgID</t>
  </si>
  <si>
    <t>InputOrgName</t>
  </si>
  <si>
    <t>InputUserID</t>
  </si>
  <si>
    <t>InputUserName</t>
  </si>
  <si>
    <t>ProjectId</t>
  </si>
  <si>
    <t>ProjectName</t>
  </si>
  <si>
    <t>码值：SavingMode</t>
  </si>
  <si>
    <t>SavingMode</t>
  </si>
  <si>
    <t>存单类型押品模板</t>
  </si>
  <si>
    <t>活期储蓄</t>
  </si>
  <si>
    <t>整存整取</t>
  </si>
  <si>
    <t>零存整取</t>
  </si>
  <si>
    <t>整存零取</t>
  </si>
  <si>
    <t>存本取息</t>
  </si>
  <si>
    <t>定活两便</t>
  </si>
  <si>
    <t>通知存款</t>
  </si>
  <si>
    <t>码值：CopyrightScope</t>
  </si>
  <si>
    <t>CopyrightScope</t>
  </si>
  <si>
    <t>全部权利</t>
  </si>
  <si>
    <t>发表权</t>
  </si>
  <si>
    <t>署名权</t>
  </si>
  <si>
    <t>修改权</t>
  </si>
  <si>
    <t>保护作品完整权</t>
  </si>
  <si>
    <t>使用权</t>
  </si>
  <si>
    <t>财产权</t>
  </si>
  <si>
    <t>码值：ClrOwnerType</t>
  </si>
  <si>
    <t>ClrOwnerType</t>
  </si>
  <si>
    <t>权属人类型</t>
  </si>
  <si>
    <t>一般法人单位</t>
  </si>
  <si>
    <t>专业担保公司</t>
  </si>
  <si>
    <t>保险公司</t>
  </si>
  <si>
    <t>证券公司</t>
  </si>
  <si>
    <t>自然人</t>
  </si>
  <si>
    <t>码值：ViewSetManage</t>
  </si>
  <si>
    <t>ViewSetManage</t>
  </si>
  <si>
    <t>展示Tab配置管理</t>
  </si>
  <si>
    <t>InputApplyDetail2</t>
  </si>
  <si>
    <t>录入附属申请信息</t>
  </si>
  <si>
    <t>genReport</t>
  </si>
  <si>
    <t>制作调查报告</t>
  </si>
  <si>
    <t>inputApplyDetail</t>
  </si>
  <si>
    <t>录入申请信息</t>
  </si>
  <si>
    <t>inputApproveDetail</t>
  </si>
  <si>
    <t>登记批复意见</t>
  </si>
  <si>
    <t>inputCustomerDetail</t>
  </si>
  <si>
    <t>完善客户信息</t>
  </si>
  <si>
    <t>默认标题</t>
  </si>
  <si>
    <t>recordProblem</t>
  </si>
  <si>
    <t>Apply@确认记录问题@Approve@记录问题</t>
  </si>
  <si>
    <t>scanImage</t>
  </si>
  <si>
    <t>viewApplyDetail</t>
  </si>
  <si>
    <t>查看申请信息</t>
  </si>
  <si>
    <t>viewApplyDetail2</t>
  </si>
  <si>
    <t>查看附属申请信息</t>
  </si>
  <si>
    <t>viewApplyFlowOpinions</t>
  </si>
  <si>
    <t>查看各级意见</t>
  </si>
  <si>
    <t>viewApproveDetail</t>
  </si>
  <si>
    <t>批复意见详情</t>
  </si>
  <si>
    <t>viewGroupDetail</t>
  </si>
  <si>
    <t>客户所在集团详情</t>
  </si>
  <si>
    <t>viewHistoryOpinion</t>
  </si>
  <si>
    <t>历史审批业务</t>
  </si>
  <si>
    <t>viewReport</t>
  </si>
  <si>
    <t>查看调查报告</t>
  </si>
  <si>
    <t>码值：PrecatoryType</t>
  </si>
  <si>
    <t>PrecatoryType</t>
  </si>
  <si>
    <t>委托贷款类型</t>
  </si>
  <si>
    <t>政府</t>
  </si>
  <si>
    <t>央行</t>
  </si>
  <si>
    <t>企业</t>
  </si>
  <si>
    <t>码值：FinanceClApplyView</t>
  </si>
  <si>
    <t>FinanceClApplyView</t>
  </si>
  <si>
    <t>同业单一授信申请视图</t>
  </si>
  <si>
    <t>基本信息</t>
  </si>
  <si>
    <t>共同申请人</t>
  </si>
  <si>
    <t>担保信息</t>
  </si>
  <si>
    <t>保证信息</t>
  </si>
  <si>
    <t>质押信息</t>
  </si>
  <si>
    <t>引入最高额担保合同</t>
  </si>
  <si>
    <t>03020</t>
  </si>
  <si>
    <t>抵押信息</t>
  </si>
  <si>
    <t>业务文档信息</t>
  </si>
  <si>
    <t>码值：IndustryPolicy</t>
  </si>
  <si>
    <t>IndustryPolicy</t>
  </si>
  <si>
    <t>鼓励发展</t>
  </si>
  <si>
    <t>一般态度</t>
  </si>
  <si>
    <t>限制发展</t>
  </si>
  <si>
    <t>要求淘汰</t>
  </si>
  <si>
    <t>码值：PersonType1</t>
  </si>
  <si>
    <t>PersonType1</t>
  </si>
  <si>
    <t>代理人类型</t>
  </si>
  <si>
    <t>我行员工</t>
  </si>
  <si>
    <t>外聘律师</t>
  </si>
  <si>
    <t>码值：EvaluateApplyMain</t>
  </si>
  <si>
    <t>EvaluateApplyMain</t>
  </si>
  <si>
    <t>信用等级认定申请主树图</t>
  </si>
  <si>
    <t>审查中申请</t>
  </si>
  <si>
    <t>1030,1040</t>
  </si>
  <si>
    <t>码值：JobAge</t>
  </si>
  <si>
    <t>JobAge</t>
  </si>
  <si>
    <t>5年及5年以上</t>
  </si>
  <si>
    <t>1年至5年</t>
  </si>
  <si>
    <t>1年以内</t>
  </si>
  <si>
    <t>码值：国家产业政策</t>
  </si>
  <si>
    <t>国家产业政策</t>
  </si>
  <si>
    <t>码值：RepaySource</t>
  </si>
  <si>
    <t>RepaySource</t>
  </si>
  <si>
    <t>还款来源</t>
  </si>
  <si>
    <t>企业通过自身经营产生现金流偿还</t>
  </si>
  <si>
    <t>码值：政府的支持能力</t>
  </si>
  <si>
    <t>政府的支持能力</t>
  </si>
  <si>
    <t>客户所属政府或主管部门为中央级别；或人均可支配收入水平居全国前列，且地方本级财政总收入位居全国前列。</t>
  </si>
  <si>
    <t>客户所在地方人均可支配收入水平居全国中游，且地方本级财政总收入位居全国前列。</t>
  </si>
  <si>
    <t>客户所在地方人均可支配收入水平居全国中游，且地方本级财政总收入位居全国中游。</t>
  </si>
  <si>
    <t>客户所在地方人均可支配收入水平居全国下游，且地方本级财政总收入位居全国中游。</t>
  </si>
  <si>
    <t>客户所在地方人均可支配收入水平居全国下游，且地方本级财政总收入位居全国下游。</t>
  </si>
  <si>
    <t>码值：YesOrNo</t>
  </si>
  <si>
    <t>YesOrNo</t>
  </si>
  <si>
    <t>是否</t>
  </si>
  <si>
    <t>是</t>
  </si>
  <si>
    <t>否</t>
  </si>
  <si>
    <t>码值：HCompetitiveness</t>
  </si>
  <si>
    <t>HCompetitiveness</t>
  </si>
  <si>
    <t>三级特等或三级甲等</t>
  </si>
  <si>
    <t>三级乙等</t>
  </si>
  <si>
    <t>三级丙等</t>
  </si>
  <si>
    <t>二级甲等</t>
  </si>
  <si>
    <t>其他医院</t>
  </si>
  <si>
    <t>码值：ChargeCycle</t>
  </si>
  <si>
    <t>ChargeCycle</t>
  </si>
  <si>
    <t>收费周期</t>
  </si>
  <si>
    <t>半年</t>
  </si>
  <si>
    <t>季</t>
  </si>
  <si>
    <t>码值：财政投融资窗口</t>
  </si>
  <si>
    <t>财政投融资窗口</t>
  </si>
  <si>
    <t>是省级(直辖市)以上财政投融资窗口企业</t>
  </si>
  <si>
    <t>是市级(直辖市区级)财政投融资窗口企业</t>
  </si>
  <si>
    <t>是县级财政投融资窗口企业</t>
  </si>
  <si>
    <t>以上都不是</t>
  </si>
  <si>
    <t>码值：偿债资金来源情况</t>
  </si>
  <si>
    <t>偿债资金来源情况</t>
  </si>
  <si>
    <t>已列入财政预算</t>
  </si>
  <si>
    <t>已列入偿债基金</t>
  </si>
  <si>
    <t>上两者皆有</t>
  </si>
  <si>
    <t>上两者皆无</t>
  </si>
  <si>
    <t>码值：TRAFFICCONDITIONTYPE</t>
  </si>
  <si>
    <t>TRAFFICCONDITIONTYPE</t>
  </si>
  <si>
    <t>交通条件</t>
  </si>
  <si>
    <t>交通十分便捷</t>
  </si>
  <si>
    <t>交通一般</t>
  </si>
  <si>
    <t>交通不便捷</t>
  </si>
  <si>
    <t>码值：PaySource</t>
  </si>
  <si>
    <t>PaySource</t>
  </si>
  <si>
    <t>销售收入</t>
  </si>
  <si>
    <t>租赁收入</t>
  </si>
  <si>
    <t>投资收益</t>
  </si>
  <si>
    <t>项目收入</t>
  </si>
  <si>
    <t>承兑托收款</t>
  </si>
  <si>
    <t>码值：AssureMain</t>
  </si>
  <si>
    <t>AssureMain</t>
  </si>
  <si>
    <t>担保合同管理</t>
  </si>
  <si>
    <t>有效的担保合同信息</t>
  </si>
  <si>
    <t>一般担保合同</t>
  </si>
  <si>
    <t>最高额担保合同</t>
  </si>
  <si>
    <t>010025</t>
  </si>
  <si>
    <t>失效的担保合同信息</t>
  </si>
  <si>
    <t>020015</t>
  </si>
  <si>
    <t>020025</t>
  </si>
  <si>
    <t>码值：FloorHeight</t>
  </si>
  <si>
    <t>FloorHeight</t>
  </si>
  <si>
    <t>房产层高</t>
  </si>
  <si>
    <t>2.2米以下</t>
  </si>
  <si>
    <t>2.2~2.7米</t>
  </si>
  <si>
    <t>2.7~3.5米</t>
  </si>
  <si>
    <t>3.5米以上</t>
  </si>
  <si>
    <t>码值：CreditFlow_barApproveMain</t>
  </si>
  <si>
    <t>CreditFlow_barApproveMain</t>
  </si>
  <si>
    <t>授信业务申请审批判断</t>
  </si>
  <si>
    <t>当前工作/已完成工作</t>
  </si>
  <si>
    <t>阶段名称</t>
  </si>
  <si>
    <t>码值：ManageArea</t>
  </si>
  <si>
    <t>ManageArea</t>
  </si>
  <si>
    <t>金融机构经营区域范围</t>
  </si>
  <si>
    <t>区域性</t>
  </si>
  <si>
    <t>全国性</t>
  </si>
  <si>
    <t>全球性</t>
  </si>
  <si>
    <t>码值：SimplePoolApplyMain</t>
  </si>
  <si>
    <t>SimplePoolApplyMain</t>
  </si>
  <si>
    <t>简单任务池主树图</t>
  </si>
  <si>
    <t>待提交</t>
  </si>
  <si>
    <t>已审批</t>
  </si>
  <si>
    <t>已否决</t>
  </si>
  <si>
    <t>码值：商业设施所处地理位置</t>
  </si>
  <si>
    <t>商业设施所处地理位置</t>
  </si>
  <si>
    <t>地处闹市区</t>
  </si>
  <si>
    <t>较差</t>
  </si>
  <si>
    <t>码值：OwnerStatus</t>
  </si>
  <si>
    <t>OwnerStatus</t>
  </si>
  <si>
    <t>权属人状况</t>
  </si>
  <si>
    <t>异常</t>
  </si>
  <si>
    <t>码值：EvalOccurType</t>
  </si>
  <si>
    <t>EvalOccurType</t>
  </si>
  <si>
    <t>评估方式</t>
  </si>
  <si>
    <t>贷前评估</t>
  </si>
  <si>
    <t>贷后重估</t>
  </si>
  <si>
    <t>码值：LawsuitAssetsType</t>
  </si>
  <si>
    <t>LawsuitAssetsType</t>
  </si>
  <si>
    <t>查封资产类型</t>
  </si>
  <si>
    <t>帐户类</t>
  </si>
  <si>
    <t>房产类</t>
  </si>
  <si>
    <t>土地类</t>
  </si>
  <si>
    <t>交通工具运输类</t>
  </si>
  <si>
    <t>机器设备类</t>
  </si>
  <si>
    <t>有价证券类</t>
  </si>
  <si>
    <t>收益类</t>
  </si>
  <si>
    <t>物资类</t>
  </si>
  <si>
    <t>其他类</t>
  </si>
  <si>
    <t>码值：技术及服务专业化水准</t>
  </si>
  <si>
    <t>技术及服务专业化水准</t>
  </si>
  <si>
    <t>高</t>
  </si>
  <si>
    <t>中</t>
  </si>
  <si>
    <t>低</t>
  </si>
  <si>
    <t>码值：CreditLimitUnderIndMain</t>
  </si>
  <si>
    <t>CreditLimitUnderIndMain</t>
  </si>
  <si>
    <t>个人额度项下授信申请</t>
  </si>
  <si>
    <t>码值：DeliveryWay</t>
  </si>
  <si>
    <t>DeliveryWay</t>
  </si>
  <si>
    <t>发货方式</t>
  </si>
  <si>
    <t>按数量</t>
  </si>
  <si>
    <t>按价值</t>
  </si>
  <si>
    <t>码值：WasteOccurType</t>
  </si>
  <si>
    <t>WasteOccurType</t>
  </si>
  <si>
    <t>流水发生类型</t>
  </si>
  <si>
    <t>逾期/表内</t>
  </si>
  <si>
    <t>呆滞/表外</t>
  </si>
  <si>
    <t>呆帐/坏帐</t>
  </si>
  <si>
    <t>提前</t>
  </si>
  <si>
    <t>码值：逾期情况</t>
  </si>
  <si>
    <t>逾期情况</t>
  </si>
  <si>
    <t>无逾期</t>
  </si>
  <si>
    <t>曾有逾期而目前没有</t>
  </si>
  <si>
    <t>逾期1年以内</t>
  </si>
  <si>
    <t>在两家及两家以上银行逾期</t>
  </si>
  <si>
    <t>逾期1年以上</t>
  </si>
  <si>
    <t>码值：EnterpriseView</t>
  </si>
  <si>
    <t>EnterpriseView</t>
  </si>
  <si>
    <t>公司客户详情视图</t>
  </si>
  <si>
    <t>企业概况</t>
  </si>
  <si>
    <t>高管信息</t>
  </si>
  <si>
    <t>法人代表家族成员信息</t>
  </si>
  <si>
    <t>股东情况</t>
  </si>
  <si>
    <t>对外股权投资情况</t>
  </si>
  <si>
    <t>上下游关联方情况</t>
  </si>
  <si>
    <t>所属集团信息</t>
  </si>
  <si>
    <t>所属客户群信息</t>
  </si>
  <si>
    <t>股票发行信息</t>
  </si>
  <si>
    <t>债券发行信息</t>
  </si>
  <si>
    <t>010110</t>
  </si>
  <si>
    <t>客户资质与认证信息</t>
  </si>
  <si>
    <t>010110010</t>
  </si>
  <si>
    <t>房地产资质情况</t>
  </si>
  <si>
    <t>010110020</t>
  </si>
  <si>
    <t>进出口贸易情况</t>
  </si>
  <si>
    <t>010110030</t>
  </si>
  <si>
    <t>特许经营行业情况</t>
  </si>
  <si>
    <t>010110040</t>
  </si>
  <si>
    <t>相关认证信息</t>
  </si>
  <si>
    <t>010115</t>
  </si>
  <si>
    <t>资产信息</t>
  </si>
  <si>
    <t>010120</t>
  </si>
  <si>
    <t>涉诉信息</t>
  </si>
  <si>
    <t>010130</t>
  </si>
  <si>
    <t>大事记信息</t>
  </si>
  <si>
    <t>010140</t>
  </si>
  <si>
    <t>参与项目情况</t>
  </si>
  <si>
    <t>010150</t>
  </si>
  <si>
    <t>财务报表</t>
  </si>
  <si>
    <t>客户关联信息</t>
  </si>
  <si>
    <t>关联客户一览表</t>
  </si>
  <si>
    <t>040020</t>
  </si>
  <si>
    <t>关联关系图谱</t>
  </si>
  <si>
    <t>040030</t>
  </si>
  <si>
    <t>担保关系智能搜索</t>
  </si>
  <si>
    <t>客户授信一览</t>
  </si>
  <si>
    <t>在我行的业务活动</t>
  </si>
  <si>
    <t>050010010</t>
  </si>
  <si>
    <t>统一授信视图</t>
  </si>
  <si>
    <t>050010020</t>
  </si>
  <si>
    <t>授信业务一览表</t>
  </si>
  <si>
    <t>050010030</t>
  </si>
  <si>
    <t>授信业务进行情况</t>
  </si>
  <si>
    <t>050010040</t>
  </si>
  <si>
    <t>未结清授信业务情况</t>
  </si>
  <si>
    <t>050010050</t>
  </si>
  <si>
    <t>已结清授信业务情况</t>
  </si>
  <si>
    <t>050010060</t>
  </si>
  <si>
    <t>为本行客户提供担保情况</t>
  </si>
  <si>
    <t>050010070</t>
  </si>
  <si>
    <t>被本行客户担保情况</t>
  </si>
  <si>
    <t>050010080</t>
  </si>
  <si>
    <t>客户在我行涉诉情况</t>
  </si>
  <si>
    <t>050020</t>
  </si>
  <si>
    <t>在其他金融机构业务活动</t>
  </si>
  <si>
    <t>060010</t>
  </si>
  <si>
    <t>060020</t>
  </si>
  <si>
    <t>客户评级信息</t>
  </si>
  <si>
    <t>060030</t>
  </si>
  <si>
    <t>对客户工作与维护</t>
  </si>
  <si>
    <t>060030010</t>
  </si>
  <si>
    <t>客户走访记录</t>
  </si>
  <si>
    <t>060030020</t>
  </si>
  <si>
    <t>客户调查记录</t>
  </si>
  <si>
    <t>060030030</t>
  </si>
  <si>
    <t>侧面打听记录</t>
  </si>
  <si>
    <t>客户外部信息</t>
  </si>
  <si>
    <t>070010</t>
  </si>
  <si>
    <t>客户征信信息</t>
  </si>
  <si>
    <t>070010010</t>
  </si>
  <si>
    <t>征信信息查询</t>
  </si>
  <si>
    <t>070010020</t>
  </si>
  <si>
    <t>征信数据分析</t>
  </si>
  <si>
    <t>070020</t>
  </si>
  <si>
    <t>客户外部数据</t>
  </si>
  <si>
    <t>070020010</t>
  </si>
  <si>
    <t>工商数据信息</t>
  </si>
  <si>
    <t>070020020</t>
  </si>
  <si>
    <t>诉讼数据信息</t>
  </si>
  <si>
    <t>070020030</t>
  </si>
  <si>
    <t>舆情数据信息</t>
  </si>
  <si>
    <t>070020040</t>
  </si>
  <si>
    <t>税务数据信息</t>
  </si>
  <si>
    <t>070020050</t>
  </si>
  <si>
    <t>环保数据信息</t>
  </si>
  <si>
    <t>客户监控信息</t>
  </si>
  <si>
    <t>080010</t>
  </si>
  <si>
    <t>资产分类信息</t>
  </si>
  <si>
    <t>080020</t>
  </si>
  <si>
    <t>贷后检查信息</t>
  </si>
  <si>
    <t>080030</t>
  </si>
  <si>
    <t>风险预警信息</t>
  </si>
  <si>
    <t>客户其他信息</t>
  </si>
  <si>
    <t>090010</t>
  </si>
  <si>
    <t>客户三表信息</t>
  </si>
  <si>
    <t>090020</t>
  </si>
  <si>
    <t>客户转移记录</t>
  </si>
  <si>
    <t>090030</t>
  </si>
  <si>
    <t>090040</t>
  </si>
  <si>
    <t>客户企业规模变更记录</t>
  </si>
  <si>
    <t>码值：CreditType</t>
  </si>
  <si>
    <t>CreditType</t>
  </si>
  <si>
    <t>信贷业务种类</t>
  </si>
  <si>
    <t>贷款业务</t>
  </si>
  <si>
    <t>流动资金贷款</t>
  </si>
  <si>
    <t>固定资产贷款</t>
  </si>
  <si>
    <t>境外筹资转贷</t>
  </si>
  <si>
    <t>买方信贷</t>
  </si>
  <si>
    <t>出口卖方信贷</t>
  </si>
  <si>
    <t>项目融资</t>
  </si>
  <si>
    <t>其他贷款</t>
  </si>
  <si>
    <t>保理业务</t>
  </si>
  <si>
    <t>21</t>
  </si>
  <si>
    <t>出口保理融资</t>
  </si>
  <si>
    <t>22</t>
  </si>
  <si>
    <t>进口保理</t>
  </si>
  <si>
    <t>23</t>
  </si>
  <si>
    <t>国内卖方保理融资</t>
  </si>
  <si>
    <t>24</t>
  </si>
  <si>
    <t>国内买方保理</t>
  </si>
  <si>
    <t>票据贴现业务</t>
  </si>
  <si>
    <t>31</t>
  </si>
  <si>
    <t>银行承兑汇票贴现</t>
  </si>
  <si>
    <t>32</t>
  </si>
  <si>
    <t>商业承兑汇票贴现</t>
  </si>
  <si>
    <t>贸易融资业务</t>
  </si>
  <si>
    <t>411</t>
  </si>
  <si>
    <t>进口押汇</t>
  </si>
  <si>
    <t>421</t>
  </si>
  <si>
    <t>打包放款</t>
  </si>
  <si>
    <t>422</t>
  </si>
  <si>
    <t>出口押汇</t>
  </si>
  <si>
    <t>423</t>
  </si>
  <si>
    <t>贴现</t>
  </si>
  <si>
    <t>424</t>
  </si>
  <si>
    <t>福费廷</t>
  </si>
  <si>
    <t>信用证业务</t>
  </si>
  <si>
    <t>保函业务</t>
  </si>
  <si>
    <t>61</t>
  </si>
  <si>
    <t>融资类保函</t>
  </si>
  <si>
    <t>62</t>
  </si>
  <si>
    <t>非融资类保函</t>
  </si>
  <si>
    <t>承兑汇票业务</t>
  </si>
  <si>
    <t>授信业务</t>
  </si>
  <si>
    <t>垫款业务</t>
  </si>
  <si>
    <t>91</t>
  </si>
  <si>
    <t>保函垫款</t>
  </si>
  <si>
    <t>92</t>
  </si>
  <si>
    <t>承兑汇票垫款</t>
  </si>
  <si>
    <t>93</t>
  </si>
  <si>
    <t>信用证垫款</t>
  </si>
  <si>
    <t>94</t>
  </si>
  <si>
    <t>保理垫款</t>
  </si>
  <si>
    <t>其他垫款</t>
  </si>
  <si>
    <t>码值：法律保障</t>
  </si>
  <si>
    <t>法律保障</t>
  </si>
  <si>
    <t>完善</t>
  </si>
  <si>
    <t>较完善</t>
  </si>
  <si>
    <t>码值：Age</t>
  </si>
  <si>
    <t>Age</t>
  </si>
  <si>
    <t>码值：CashAbilityType</t>
  </si>
  <si>
    <t>CashAbilityType</t>
  </si>
  <si>
    <t>变现能力</t>
  </si>
  <si>
    <t>通用且变现容易</t>
  </si>
  <si>
    <t>专用性强</t>
  </si>
  <si>
    <t>码值：BillType</t>
  </si>
  <si>
    <t>BillType</t>
  </si>
  <si>
    <t>票据种类</t>
  </si>
  <si>
    <t>纸票</t>
  </si>
  <si>
    <t>电票</t>
  </si>
  <si>
    <t>码值：ReclaimType</t>
  </si>
  <si>
    <t>ReclaimType</t>
  </si>
  <si>
    <t>贷款回收方式</t>
  </si>
  <si>
    <t>催收现金收回</t>
  </si>
  <si>
    <t>1001</t>
  </si>
  <si>
    <t>借款人还款</t>
  </si>
  <si>
    <t>1002</t>
  </si>
  <si>
    <t>担保人还款</t>
  </si>
  <si>
    <t>1003</t>
  </si>
  <si>
    <t>第三方还款</t>
  </si>
  <si>
    <t>清收现金收回</t>
  </si>
  <si>
    <t>2001</t>
  </si>
  <si>
    <t>诉讼还款</t>
  </si>
  <si>
    <t>执行还款</t>
  </si>
  <si>
    <t>表外抵债资产处置现金收回</t>
  </si>
  <si>
    <t>3001</t>
  </si>
  <si>
    <t>出租收入还款</t>
  </si>
  <si>
    <t>3002</t>
  </si>
  <si>
    <t>出售收入还款</t>
  </si>
  <si>
    <t>其他帐务销账</t>
  </si>
  <si>
    <t>4001</t>
  </si>
  <si>
    <t>债务重组</t>
  </si>
  <si>
    <t>4002</t>
  </si>
  <si>
    <t>抵债资产入帐</t>
  </si>
  <si>
    <t>4003</t>
  </si>
  <si>
    <t>债权减免</t>
  </si>
  <si>
    <t>4004</t>
  </si>
  <si>
    <t>有追索权核销</t>
  </si>
  <si>
    <t>4005</t>
  </si>
  <si>
    <t>无追索权核销</t>
  </si>
  <si>
    <t>码值：SynthesisManage</t>
  </si>
  <si>
    <t>SynthesisManage</t>
  </si>
  <si>
    <t>综合信息管理</t>
  </si>
  <si>
    <t>汇率管理</t>
  </si>
  <si>
    <t>利率管理</t>
  </si>
  <si>
    <t>节假日管理</t>
  </si>
  <si>
    <t>大陆</t>
  </si>
  <si>
    <t>香港</t>
  </si>
  <si>
    <t>澳门</t>
  </si>
  <si>
    <t>变更客户信息</t>
  </si>
  <si>
    <t>客户交接</t>
  </si>
  <si>
    <t>合同转移</t>
  </si>
  <si>
    <t>无效客户清理</t>
  </si>
  <si>
    <t>通知管理</t>
  </si>
  <si>
    <t>待处理业务转授权</t>
  </si>
  <si>
    <t>135</t>
  </si>
  <si>
    <t>授信限额集中度</t>
  </si>
  <si>
    <t>码值：SMECreditPolicy</t>
  </si>
  <si>
    <t>SMECreditPolicy</t>
  </si>
  <si>
    <t>行业政策</t>
  </si>
  <si>
    <t>码值：IsInUse</t>
  </si>
  <si>
    <t>IsInUse</t>
  </si>
  <si>
    <t>是否有效</t>
  </si>
  <si>
    <t>锁定</t>
  </si>
  <si>
    <t>码值：DataLeadMode</t>
  </si>
  <si>
    <t>DataLeadMode</t>
  </si>
  <si>
    <t>数据导入方式</t>
  </si>
  <si>
    <t>人工登记</t>
  </si>
  <si>
    <t>系统批量</t>
  </si>
  <si>
    <t>码值：LoanWay</t>
  </si>
  <si>
    <t>LoanWay</t>
  </si>
  <si>
    <t>借贷(收付)方向</t>
  </si>
  <si>
    <t>借</t>
  </si>
  <si>
    <t>贷</t>
  </si>
  <si>
    <t>收</t>
  </si>
  <si>
    <t>付</t>
  </si>
  <si>
    <t>码值：关联交易情况</t>
  </si>
  <si>
    <t>关联交易情况</t>
  </si>
  <si>
    <t>关联交易和资金往来存在一定问题，关联交易在营业收入中的占比达到25%</t>
  </si>
  <si>
    <t>关联交易和资金往来存在一定问题，关联交易在营业收入中的占比达到50%</t>
  </si>
  <si>
    <t>关联交易和资金往来存在一定问题，营业收入主要来自于关联方</t>
  </si>
  <si>
    <t>码值：StressAnalysis</t>
  </si>
  <si>
    <t>StressAnalysis</t>
  </si>
  <si>
    <t>当经济和行业面临持续、严重的问题时，项目仍能偿还债务。</t>
  </si>
  <si>
    <t>当经济和行业面临一般问题时，项目能偿还债务。只有当经济发生严重问题时，项目才可能违约。</t>
  </si>
  <si>
    <t>项目易受经济周期中常见的负面影响，可能在正常的低谷期违约。</t>
  </si>
  <si>
    <t>如果情况不好转，项目可能违约。</t>
  </si>
  <si>
    <t>码值：GuarantyList</t>
  </si>
  <si>
    <t>GuarantyList</t>
  </si>
  <si>
    <t>抵质押物列表</t>
  </si>
  <si>
    <t>抵押类型</t>
  </si>
  <si>
    <t>抵押-房产</t>
  </si>
  <si>
    <t>抵押-土地</t>
  </si>
  <si>
    <t>抵押-在建工程</t>
  </si>
  <si>
    <t>抵押-交通工具</t>
  </si>
  <si>
    <t>抵押-设备</t>
  </si>
  <si>
    <t>抵押-其他</t>
  </si>
  <si>
    <t>质押类型</t>
  </si>
  <si>
    <t>质押-我行存单</t>
  </si>
  <si>
    <t>质押-他行存单</t>
  </si>
  <si>
    <t>质押-基金</t>
  </si>
  <si>
    <t>质押-黄金</t>
  </si>
  <si>
    <t>质押-国库券</t>
  </si>
  <si>
    <t>020050</t>
  </si>
  <si>
    <t>质押-出口退税</t>
  </si>
  <si>
    <t>020060</t>
  </si>
  <si>
    <t>质押-保单</t>
  </si>
  <si>
    <t>020070</t>
  </si>
  <si>
    <t>质押-城市重点建设债券</t>
  </si>
  <si>
    <t>020080</t>
  </si>
  <si>
    <t>质押-信用证</t>
  </si>
  <si>
    <t>020090</t>
  </si>
  <si>
    <t>质押-备用信用证</t>
  </si>
  <si>
    <t>020100</t>
  </si>
  <si>
    <t>质押-外汇</t>
  </si>
  <si>
    <t>020110</t>
  </si>
  <si>
    <t>质押-仓单</t>
  </si>
  <si>
    <t>020120</t>
  </si>
  <si>
    <t>质押-提单</t>
  </si>
  <si>
    <t>020130</t>
  </si>
  <si>
    <t>质押-交通工具</t>
  </si>
  <si>
    <t>020140</t>
  </si>
  <si>
    <t>质押-汽车合格证</t>
  </si>
  <si>
    <t>020150</t>
  </si>
  <si>
    <t>质押-企业债券</t>
  </si>
  <si>
    <t>020160</t>
  </si>
  <si>
    <t>质押-上市公司法人股</t>
  </si>
  <si>
    <t>020170</t>
  </si>
  <si>
    <t>质押-上市公司流通股</t>
  </si>
  <si>
    <t>020180</t>
  </si>
  <si>
    <t>质押-非上市公司股权</t>
  </si>
  <si>
    <t>020190</t>
  </si>
  <si>
    <t>质押-应收帐款</t>
  </si>
  <si>
    <t>020210</t>
  </si>
  <si>
    <t>质押-银行承兑汇票</t>
  </si>
  <si>
    <t>020220</t>
  </si>
  <si>
    <t>质押-汇票、本票、支票</t>
  </si>
  <si>
    <t>020230</t>
  </si>
  <si>
    <t>质押-其他动产</t>
  </si>
  <si>
    <t>020250</t>
  </si>
  <si>
    <t>质押-其他可转让的权利</t>
  </si>
  <si>
    <t>020260</t>
  </si>
  <si>
    <t>质押-其他</t>
  </si>
  <si>
    <t>保证</t>
  </si>
  <si>
    <t>保证-保证</t>
  </si>
  <si>
    <t>保证-履约保险保证</t>
  </si>
  <si>
    <t>保证-保函保证</t>
  </si>
  <si>
    <t>保证-保证金保证</t>
  </si>
  <si>
    <t>码值：OccurStyle</t>
  </si>
  <si>
    <t>OccurStyle</t>
  </si>
  <si>
    <t>抵债资产相关费用发生方式</t>
  </si>
  <si>
    <t>抵债资产接受</t>
  </si>
  <si>
    <t>抵债资产经营</t>
  </si>
  <si>
    <t>抵债资产处置</t>
  </si>
  <si>
    <t>码值：FamilyMapStatus</t>
  </si>
  <si>
    <t>FamilyMapStatus</t>
  </si>
  <si>
    <t>家谱家谱复核状态</t>
  </si>
  <si>
    <t>草稿</t>
  </si>
  <si>
    <t>审核中</t>
  </si>
  <si>
    <t>已认定</t>
  </si>
  <si>
    <t>审核退回</t>
  </si>
  <si>
    <t>未处理</t>
  </si>
  <si>
    <t>已处理</t>
  </si>
  <si>
    <t>码值：InspectLimitSum</t>
  </si>
  <si>
    <t>InspectLimitSum</t>
  </si>
  <si>
    <t>银监局监管限额管理</t>
  </si>
  <si>
    <t>集团客户监管限额</t>
  </si>
  <si>
    <t>单一客户监管限额</t>
  </si>
  <si>
    <t>码值：NewYesNo</t>
  </si>
  <si>
    <t>NewYesNo</t>
  </si>
  <si>
    <t>码值：国家政策</t>
  </si>
  <si>
    <t>国家政策</t>
  </si>
  <si>
    <t>码值：RCObjectType</t>
  </si>
  <si>
    <t>RCObjectType</t>
  </si>
  <si>
    <t>五级分类业务对象</t>
  </si>
  <si>
    <t>BusinessContract</t>
  </si>
  <si>
    <t>合同</t>
  </si>
  <si>
    <t>BusinessDuebill</t>
  </si>
  <si>
    <t>借据</t>
  </si>
  <si>
    <t>码值：UnionType</t>
  </si>
  <si>
    <t>UnionType</t>
  </si>
  <si>
    <t>客户群类型</t>
  </si>
  <si>
    <t>联保体</t>
  </si>
  <si>
    <t>0110</t>
  </si>
  <si>
    <t>对公联保体</t>
  </si>
  <si>
    <t>0120</t>
  </si>
  <si>
    <t>个人联保体</t>
  </si>
  <si>
    <t>互助基金</t>
  </si>
  <si>
    <t>供应链群</t>
  </si>
  <si>
    <t>商圈/商会</t>
  </si>
  <si>
    <t>码值：SMECreditMarry</t>
  </si>
  <si>
    <t>SMECreditMarry</t>
  </si>
  <si>
    <t>婚姻状况</t>
  </si>
  <si>
    <t>已婚有子女</t>
  </si>
  <si>
    <t>已婚无子女</t>
  </si>
  <si>
    <t>未婚</t>
  </si>
  <si>
    <t>码值：HeadShip</t>
  </si>
  <si>
    <t>HeadShip</t>
  </si>
  <si>
    <t>职务</t>
  </si>
  <si>
    <t>高级领导(行政级别局级及局级以上领导或大公司高级管理人员)</t>
  </si>
  <si>
    <t>中级领导(行政级别局级以下领导或大公司中级管理人员)</t>
  </si>
  <si>
    <t>一般员工</t>
  </si>
  <si>
    <t>码值：HourseFormat</t>
  </si>
  <si>
    <t>HourseFormat</t>
  </si>
  <si>
    <t>房屋形式</t>
  </si>
  <si>
    <t>期房</t>
  </si>
  <si>
    <t>现房</t>
  </si>
  <si>
    <t>码值：RentType</t>
  </si>
  <si>
    <t>RentType</t>
  </si>
  <si>
    <t>租赁形式</t>
  </si>
  <si>
    <t>整体出租</t>
  </si>
  <si>
    <t>零售出租</t>
  </si>
  <si>
    <t>码值：对政府的重要性</t>
  </si>
  <si>
    <t>对政府的重要性</t>
  </si>
  <si>
    <t>事业单位可能是“旗舰”国家公司</t>
  </si>
  <si>
    <t>违约对当地政府声誉影响较大</t>
  </si>
  <si>
    <t>重要性较低，对于政府沒有策略意义</t>
  </si>
  <si>
    <t>码值：DmsOptionType</t>
  </si>
  <si>
    <t>DmsOptionType</t>
  </si>
  <si>
    <t>维度取值范围</t>
  </si>
  <si>
    <t>code</t>
  </si>
  <si>
    <t>Code代码</t>
  </si>
  <si>
    <t>json</t>
  </si>
  <si>
    <t>json数组</t>
  </si>
  <si>
    <t>sql</t>
  </si>
  <si>
    <t>JBOQL查询</t>
  </si>
  <si>
    <t>码值：VouchType1</t>
  </si>
  <si>
    <t>VouchType1</t>
  </si>
  <si>
    <t>担保方式</t>
  </si>
  <si>
    <t>005</t>
  </si>
  <si>
    <t>信用</t>
  </si>
  <si>
    <t>抵押</t>
  </si>
  <si>
    <t>质押</t>
  </si>
  <si>
    <t>码值：TimelinessOfGovermentSupport</t>
  </si>
  <si>
    <t>TimelinessOfGovermentSupport</t>
  </si>
  <si>
    <t>能够及时获得支持</t>
  </si>
  <si>
    <t>內部流程明确，但支持程序可能受到复杂的机制（例如多重行政机关）或外部干预（例如立法）的影响</t>
  </si>
  <si>
    <t>政府支持存在重大的阻碍力量（例如官僚化的程序、不明确或及其政治化的机制等）</t>
  </si>
  <si>
    <t>码值：商业融资情况</t>
  </si>
  <si>
    <t>商业融资情况</t>
  </si>
  <si>
    <t>主动取得商业信用</t>
  </si>
  <si>
    <t>不主动取得商业信用</t>
  </si>
  <si>
    <t>码值：承包商资质</t>
  </si>
  <si>
    <t>承包商资质</t>
  </si>
  <si>
    <t>特级</t>
  </si>
  <si>
    <t>一级</t>
  </si>
  <si>
    <t>二级</t>
  </si>
  <si>
    <t>其他（或没有提供）</t>
  </si>
  <si>
    <t>码值：LoadGuarantyAppro2Main</t>
  </si>
  <si>
    <t>LoadGuarantyAppro2Main</t>
  </si>
  <si>
    <t>LoadGuaranty审批主树图</t>
  </si>
  <si>
    <t>码值：SeqFlag</t>
  </si>
  <si>
    <t>SeqFlag</t>
  </si>
  <si>
    <t>扣款顺序约定</t>
  </si>
  <si>
    <t>正常贷款扣款顺序</t>
  </si>
  <si>
    <t>不良贷款扣款顺序</t>
  </si>
  <si>
    <t>指定还款金额还款</t>
  </si>
  <si>
    <t>码值：FirstInstalmentFlag</t>
  </si>
  <si>
    <t>FirstInstalmentFlag</t>
  </si>
  <si>
    <t>首次还款约定</t>
  </si>
  <si>
    <t>最早放款当月开始还款</t>
  </si>
  <si>
    <t>最早放款下月开始还款</t>
  </si>
  <si>
    <t>码值：CaseList</t>
  </si>
  <si>
    <t>CaseList</t>
  </si>
  <si>
    <t>法律事务</t>
  </si>
  <si>
    <t>诉讼前案件</t>
  </si>
  <si>
    <t>诉讼中案件</t>
  </si>
  <si>
    <t>025</t>
  </si>
  <si>
    <t>待执行案件</t>
  </si>
  <si>
    <t>执行中案件</t>
  </si>
  <si>
    <t>已归档案件</t>
  </si>
  <si>
    <t>码值：CreditPutoutApplyFinaMain</t>
  </si>
  <si>
    <t>CreditPutoutApplyFinaMain</t>
  </si>
  <si>
    <t>同业放贷申请主树图</t>
  </si>
  <si>
    <t>码值：融资能力</t>
  </si>
  <si>
    <t>融资能力</t>
  </si>
  <si>
    <t>码值：成长性</t>
  </si>
  <si>
    <t>成长性</t>
  </si>
  <si>
    <t>主营业务收入，净利润连续三年增长(增幅5%以上)</t>
  </si>
  <si>
    <t>主营业务收入，净利润连续三年持平(上下幅度5%以内)</t>
  </si>
  <si>
    <t>主营业务收入，净利润连续三年下降(降幅5%以内)</t>
  </si>
  <si>
    <t>码值：PartnerProjectChangeApprMain</t>
  </si>
  <si>
    <t>PartnerProjectChangeApprMain</t>
  </si>
  <si>
    <t>合作项目变更审批主树图</t>
  </si>
  <si>
    <t>码值：SMEcogState</t>
  </si>
  <si>
    <t>SMEcogState</t>
  </si>
  <si>
    <t>中小企业认定状态</t>
  </si>
  <si>
    <t>未认定</t>
  </si>
  <si>
    <t>认定中</t>
  </si>
  <si>
    <t>码值：StrengthSupport</t>
  </si>
  <si>
    <t>StrengthSupport</t>
  </si>
  <si>
    <t>&gt;=50%</t>
  </si>
  <si>
    <t>&gt;=30,&lt;50%</t>
  </si>
  <si>
    <t>&gt;=20,&lt;30%</t>
  </si>
  <si>
    <t>低于20%</t>
  </si>
  <si>
    <t>码值：HoldGainMode</t>
  </si>
  <si>
    <t>HoldGainMode</t>
  </si>
  <si>
    <t>土地取得方式</t>
  </si>
  <si>
    <t>划拨</t>
  </si>
  <si>
    <t>出让</t>
  </si>
  <si>
    <t>码值：ImplementationOfFunds</t>
  </si>
  <si>
    <t>ImplementationOfFunds</t>
  </si>
  <si>
    <t>项目资金已根据项目进度要求全部落实，且项目资金中的自有资本金已完全到位</t>
  </si>
  <si>
    <t>项目资金已根据项目进度要求全部落实，但尚有部分自有资本金未到位</t>
  </si>
  <si>
    <t>项目资金部分缺口需靠未来项目滚动运作以弥补，预期基本不存在问题</t>
  </si>
  <si>
    <t>项目资金仍有未落实的缺口</t>
  </si>
  <si>
    <t>码值：RuleType</t>
  </si>
  <si>
    <t>RuleType</t>
  </si>
  <si>
    <t>规则类型</t>
  </si>
  <si>
    <t>Abnormal</t>
  </si>
  <si>
    <t>Warning</t>
  </si>
  <si>
    <t>预警</t>
  </si>
  <si>
    <t>码值：WorksCreationMode</t>
  </si>
  <si>
    <t>WorksCreationMode</t>
  </si>
  <si>
    <t>作品创作形式</t>
  </si>
  <si>
    <t>原创</t>
  </si>
  <si>
    <t>改编</t>
  </si>
  <si>
    <t>翻译</t>
  </si>
  <si>
    <t>整理</t>
  </si>
  <si>
    <t>码值：RelativeAccount</t>
  </si>
  <si>
    <t>RelativeAccount</t>
  </si>
  <si>
    <t>关联帐户关系</t>
  </si>
  <si>
    <t>本人</t>
  </si>
  <si>
    <t>夫妻</t>
  </si>
  <si>
    <t>兄妹</t>
  </si>
  <si>
    <t>父母</t>
  </si>
  <si>
    <t>子女</t>
  </si>
  <si>
    <t>亲戚</t>
  </si>
  <si>
    <t>公司帐户</t>
  </si>
  <si>
    <t>股东</t>
  </si>
  <si>
    <t>999</t>
  </si>
  <si>
    <t>码值：项目性质</t>
  </si>
  <si>
    <t>项目性质</t>
  </si>
  <si>
    <t>安居工程</t>
  </si>
  <si>
    <t>普通住宅</t>
  </si>
  <si>
    <t>高档住宅</t>
  </si>
  <si>
    <t>别墅</t>
  </si>
  <si>
    <t>商住楼</t>
  </si>
  <si>
    <t>写字楼</t>
  </si>
  <si>
    <t>楼堂馆所</t>
  </si>
  <si>
    <t>码值：SimplePoolFlowApprMain</t>
  </si>
  <si>
    <t>SimplePoolFlowApprMain</t>
  </si>
  <si>
    <t>码值：客户概况</t>
  </si>
  <si>
    <t>客户概况</t>
  </si>
  <si>
    <t>项目预期服务对象范围很广（大于五个省）</t>
  </si>
  <si>
    <t>项目预期服务对象范围广（大于三个省）</t>
  </si>
  <si>
    <t>项目预期服务对象范围一般（大于一个省）</t>
  </si>
  <si>
    <t>项目预期服务对象范围在一个省内</t>
  </si>
  <si>
    <t>项目预期服务对象范围在一个地级市之内</t>
  </si>
  <si>
    <t>码值：ModuleBelong</t>
  </si>
  <si>
    <t>ModuleBelong</t>
  </si>
  <si>
    <t>数据表所属模块</t>
  </si>
  <si>
    <t>系统框架</t>
  </si>
  <si>
    <t>资产保全</t>
  </si>
  <si>
    <t>额度管理</t>
  </si>
  <si>
    <t>押品管理</t>
  </si>
  <si>
    <t>集团管理</t>
  </si>
  <si>
    <t>票据国结</t>
  </si>
  <si>
    <t>小企业授信</t>
  </si>
  <si>
    <t>个贷业务</t>
  </si>
  <si>
    <t>金融市场</t>
  </si>
  <si>
    <t>信贷授权和工作流管理</t>
  </si>
  <si>
    <t>统计分析体系</t>
  </si>
  <si>
    <t>客户管理</t>
  </si>
  <si>
    <t>信用风险量化工具</t>
  </si>
  <si>
    <t>授信流程</t>
  </si>
  <si>
    <t>产品管理</t>
  </si>
  <si>
    <t>授信申请与审批</t>
  </si>
  <si>
    <t>授信执行</t>
  </si>
  <si>
    <t>授信后管理</t>
  </si>
  <si>
    <t>风险预警</t>
  </si>
  <si>
    <t>风险拨备</t>
  </si>
  <si>
    <t>码值：USESTATUS</t>
  </si>
  <si>
    <t>USESTATUS</t>
  </si>
  <si>
    <t>使用现状</t>
  </si>
  <si>
    <t>码值：员工学科多样性</t>
  </si>
  <si>
    <t>员工学科多样性</t>
  </si>
  <si>
    <t>多样</t>
  </si>
  <si>
    <t>较多样</t>
  </si>
  <si>
    <t>单一</t>
  </si>
  <si>
    <t>码值：商业保险</t>
  </si>
  <si>
    <t>商业保险</t>
  </si>
  <si>
    <t>码值：BaseRateType</t>
  </si>
  <si>
    <t>BaseRateType</t>
  </si>
  <si>
    <t>基准利率类型</t>
  </si>
  <si>
    <t>正常利率</t>
  </si>
  <si>
    <t>人行基准利率</t>
  </si>
  <si>
    <t>公积金基准利率</t>
  </si>
  <si>
    <t>LPR市场利率</t>
  </si>
  <si>
    <t>贴现利率</t>
  </si>
  <si>
    <t>Libor</t>
  </si>
  <si>
    <t>Hibor</t>
  </si>
  <si>
    <t>Sibor</t>
  </si>
  <si>
    <t>码值：AccountCodeDirection</t>
  </si>
  <si>
    <t>AccountCodeDirection</t>
  </si>
  <si>
    <t>科目余额方向</t>
  </si>
  <si>
    <t>双向</t>
  </si>
  <si>
    <t>C</t>
  </si>
  <si>
    <t>D</t>
  </si>
  <si>
    <t>P</t>
  </si>
  <si>
    <t>R</t>
  </si>
  <si>
    <t>码值：GuarantyGroundUse</t>
  </si>
  <si>
    <t>GuarantyGroundUse</t>
  </si>
  <si>
    <t>担保土地用途</t>
  </si>
  <si>
    <t>商业</t>
  </si>
  <si>
    <t>工业</t>
  </si>
  <si>
    <t>农业</t>
  </si>
  <si>
    <t>商住</t>
  </si>
  <si>
    <t>住宅</t>
  </si>
  <si>
    <t>码值：PolicyStatus</t>
  </si>
  <si>
    <t>PolicyStatus</t>
  </si>
  <si>
    <t>未生效</t>
  </si>
  <si>
    <t>码值：欠息情况</t>
  </si>
  <si>
    <t>欠息情况</t>
  </si>
  <si>
    <t>1年度内，无欠息</t>
  </si>
  <si>
    <t>曾有欠息而目前没有</t>
  </si>
  <si>
    <t>目前有欠息</t>
  </si>
  <si>
    <t>连续2个季度欠息</t>
  </si>
  <si>
    <t>连续1年以上欠息</t>
  </si>
  <si>
    <t>码值：ApprovePutOutMain</t>
  </si>
  <si>
    <t>ApprovePutOutMain</t>
  </si>
  <si>
    <t>授信业务出帐审批判断</t>
  </si>
  <si>
    <t>码值：ReverseTransCode</t>
  </si>
  <si>
    <t>ReverseTransCode</t>
  </si>
  <si>
    <t>反冲交易</t>
  </si>
  <si>
    <t>ReverseForwardRepay</t>
  </si>
  <si>
    <t>冲提前还款</t>
  </si>
  <si>
    <t>ReversePutout</t>
  </si>
  <si>
    <t>冲放款</t>
  </si>
  <si>
    <t>ReverseRepay</t>
  </si>
  <si>
    <t>冲还款</t>
  </si>
  <si>
    <t>码值：TransactionOffApplyMain</t>
  </si>
  <si>
    <t>TransactionOffApplyMain</t>
  </si>
  <si>
    <t>交易申请主树图</t>
  </si>
  <si>
    <t>复核中</t>
  </si>
  <si>
    <t>已复核</t>
  </si>
  <si>
    <t>树型菜单中文名称</t>
  </si>
  <si>
    <t>码值：AccountDesc</t>
  </si>
  <si>
    <t>AccountDesc</t>
  </si>
  <si>
    <t>费用的帐务处理</t>
  </si>
  <si>
    <t>列为当期费用</t>
  </si>
  <si>
    <t>列为营业外支出</t>
  </si>
  <si>
    <t>抵扣处置收入</t>
  </si>
  <si>
    <t>码值：HOUSENATURE</t>
  </si>
  <si>
    <t>HOUSENATURE</t>
  </si>
  <si>
    <t>房屋性质</t>
  </si>
  <si>
    <t>商品房</t>
  </si>
  <si>
    <t>成本价购买住房</t>
  </si>
  <si>
    <t>优惠价购买住房</t>
  </si>
  <si>
    <t>码值：MyNobleMetalType</t>
  </si>
  <si>
    <t>MyNobleMetalType</t>
  </si>
  <si>
    <t>贵金属品种</t>
  </si>
  <si>
    <t>Au99.95</t>
  </si>
  <si>
    <t>Au99.99</t>
  </si>
  <si>
    <t>Au100g</t>
  </si>
  <si>
    <t>Ag99.9</t>
  </si>
  <si>
    <t>Ag99.99</t>
  </si>
  <si>
    <t>Pt99.95</t>
  </si>
  <si>
    <t>码值：ApproveStatus</t>
  </si>
  <si>
    <t>ApproveStatus</t>
  </si>
  <si>
    <t>合作方准入审批状态</t>
  </si>
  <si>
    <t>Approving</t>
  </si>
  <si>
    <t>Backorigin</t>
  </si>
  <si>
    <t>退回修改资料</t>
  </si>
  <si>
    <t>Backtrack</t>
  </si>
  <si>
    <t>原路退回修改</t>
  </si>
  <si>
    <t>Finished</t>
  </si>
  <si>
    <t>审批通过</t>
  </si>
  <si>
    <t>Invalid</t>
  </si>
  <si>
    <t>Presubmit</t>
  </si>
  <si>
    <t>未提交</t>
  </si>
  <si>
    <t>Reject</t>
  </si>
  <si>
    <t>拒绝</t>
  </si>
  <si>
    <t>码值：LCTermType</t>
  </si>
  <si>
    <t>LCTermType</t>
  </si>
  <si>
    <t>信用证期限类型</t>
  </si>
  <si>
    <t>即期</t>
  </si>
  <si>
    <t>&lt;90天</t>
  </si>
  <si>
    <t>90-180天</t>
  </si>
  <si>
    <t>180-360天</t>
  </si>
  <si>
    <t>&gt;360天</t>
  </si>
  <si>
    <t>码值：ReinforceIndEconomicView</t>
  </si>
  <si>
    <t>ReinforceIndEconomicView</t>
  </si>
  <si>
    <t>补登个体经营户视图</t>
  </si>
  <si>
    <t>个体经营户基本信息</t>
  </si>
  <si>
    <t>个体经营户企业信息</t>
  </si>
  <si>
    <t>码值：CustomerTable</t>
  </si>
  <si>
    <t>CustomerTable</t>
  </si>
  <si>
    <t>客户合并需处理表</t>
  </si>
  <si>
    <t>申请信息表（客户合并）</t>
  </si>
  <si>
    <t>合同信息表（客户合并）</t>
  </si>
  <si>
    <t>批复表（客户合并）</t>
  </si>
  <si>
    <t>出账表（客户合并）</t>
  </si>
  <si>
    <t>码值：AlarmType</t>
  </si>
  <si>
    <t>AlarmType</t>
  </si>
  <si>
    <t>JAVA</t>
  </si>
  <si>
    <t>码值：RuleAction</t>
  </si>
  <si>
    <t>RuleAction</t>
  </si>
  <si>
    <t>规则动作定义</t>
  </si>
  <si>
    <t>break</t>
  </si>
  <si>
    <t>判断终止(break)</t>
  </si>
  <si>
    <t>continue</t>
  </si>
  <si>
    <t>判断继续(continue)</t>
  </si>
  <si>
    <t>码值：投资控股投资人背景</t>
  </si>
  <si>
    <t>投资控股投资人背景</t>
  </si>
  <si>
    <t>世界500强企业</t>
  </si>
  <si>
    <t>省级(直辖市)以上财政出资</t>
  </si>
  <si>
    <t>欧美企业</t>
  </si>
  <si>
    <t>市级(直辖市区级)财政出资</t>
  </si>
  <si>
    <t>其他外商</t>
  </si>
  <si>
    <t>上市公司</t>
  </si>
  <si>
    <t>全部由私人出资，股东人数小于等于4人，且净资产在500万以下</t>
  </si>
  <si>
    <t>码值：竞争力</t>
  </si>
  <si>
    <t>竞争力</t>
  </si>
  <si>
    <t>通用--客户获得所在行业最高等级的资质认证，近3年事业收入连年增长，业绩在同行业中处于领先地位</t>
  </si>
  <si>
    <t>通用--客户在本省区认知接受程度很高，最近2年收入增长为正，业绩在同行业中处于上游</t>
  </si>
  <si>
    <t>通用--客户在本地区内有一定知名度，去年的收入增长为正，业绩接近行业平均水平</t>
  </si>
  <si>
    <t>通用--客户在本地区内没有知名度，去年为负，但此前为正，业绩明显低于行业平均水平</t>
  </si>
  <si>
    <t>通用--客户事业收入连年下降，亏损严重</t>
  </si>
  <si>
    <t>学校--211院校</t>
  </si>
  <si>
    <t>学校--其他高等院校、高职以及省属重点中学</t>
  </si>
  <si>
    <t>学校--市属重点中学</t>
  </si>
  <si>
    <t>学校--市属重点小学</t>
  </si>
  <si>
    <t>205</t>
  </si>
  <si>
    <t>学校--其他院校</t>
  </si>
  <si>
    <t>医院--三级特等或三级甲等</t>
  </si>
  <si>
    <t>医院--三级乙等</t>
  </si>
  <si>
    <t>医院--三级丙等</t>
  </si>
  <si>
    <t>医院--二级甲等</t>
  </si>
  <si>
    <t>医院--其他医院</t>
  </si>
  <si>
    <t>码值：EvalMethod</t>
  </si>
  <si>
    <t>EvalMethod</t>
  </si>
  <si>
    <t>评估方法</t>
  </si>
  <si>
    <t>成本法</t>
  </si>
  <si>
    <t>市场法</t>
  </si>
  <si>
    <t>收益法</t>
  </si>
  <si>
    <t>面值法</t>
  </si>
  <si>
    <t>市值法</t>
  </si>
  <si>
    <t>清算价格法</t>
  </si>
  <si>
    <t>审计每股净资产</t>
  </si>
  <si>
    <t>市场法与收益法孰低</t>
  </si>
  <si>
    <t>市场法与历史成本法孰低</t>
  </si>
  <si>
    <t>历史成本法</t>
  </si>
  <si>
    <t>市值法与历史成本法孰低</t>
  </si>
  <si>
    <t>市场法与重置成本法孰低</t>
  </si>
  <si>
    <t>历史成本法或收益法</t>
  </si>
  <si>
    <t>面值法或收益法</t>
  </si>
  <si>
    <t>适当方法</t>
  </si>
  <si>
    <t>码值：ManagementStyle</t>
  </si>
  <si>
    <t>ManagementStyle</t>
  </si>
  <si>
    <t>公司关注最低获利能力水平，能够从战略角度平衡安全性和盈利性，且公司能够平衡好各利益方的利益；相比同业，财务政策非常保守，杠杠水平较低，现金流充足。</t>
  </si>
  <si>
    <t>公司关注盈利，为了保持市场份额增长和公司正常扩张，甚至愿意在一定程度上牺牲盈利，但不会为此而破坏财务安全。较之同业，公司财务战略管理水平较高。杠杆率较行业水平更保守，现金流充足。</t>
  </si>
  <si>
    <t>公司主要关注盈利，同时兼顾市场份额增长和公司正常扩张，并且不会为此而破坏财务安全。较之同业，公司财务战略管理水平一般。杠杆率和产生现金流的能力一般。</t>
  </si>
  <si>
    <t>在追求公司市场份额增长或正常扩张的前提下，公司重点关注盈利，且愿意大幅牺牲财务安全性，但对公司流动性不构成威胁。财务战略管理水平低于市场标准，财务杠杆高于行业标准，产生现金流的能力有限。</t>
  </si>
  <si>
    <t>公司战略目标短期，过分关注盈利而忽视了市场份额增长或正常的业务扩张，面对挑战和机遇存在投机心理。</t>
  </si>
  <si>
    <t>码值：GroupCreditType</t>
  </si>
  <si>
    <t>GroupCreditType</t>
  </si>
  <si>
    <t>集团类型</t>
  </si>
  <si>
    <t>A类</t>
  </si>
  <si>
    <t>B类</t>
  </si>
  <si>
    <t>码值：SaleStyle</t>
  </si>
  <si>
    <t>SaleStyle</t>
  </si>
  <si>
    <t>出售方式</t>
  </si>
  <si>
    <t>拍卖</t>
  </si>
  <si>
    <t>变卖</t>
  </si>
  <si>
    <t>码值：RateModel</t>
  </si>
  <si>
    <t>RateModel</t>
  </si>
  <si>
    <t>利率模式</t>
  </si>
  <si>
    <t>固定利率</t>
  </si>
  <si>
    <t>浮动利率</t>
  </si>
  <si>
    <t>码值：DECORATIONSTATUS</t>
  </si>
  <si>
    <t>DECORATIONSTATUS</t>
  </si>
  <si>
    <t>装修状况</t>
  </si>
  <si>
    <t>精装</t>
  </si>
  <si>
    <t>简装</t>
  </si>
  <si>
    <t>毛坯</t>
  </si>
  <si>
    <t>码值：LimitNewView</t>
  </si>
  <si>
    <t>LimitNewView</t>
  </si>
  <si>
    <t>公司单一授信额度</t>
  </si>
  <si>
    <t>融资方案</t>
  </si>
  <si>
    <t>002010</t>
  </si>
  <si>
    <t>综合授信额度</t>
  </si>
  <si>
    <t>002020</t>
  </si>
  <si>
    <t>专项额度</t>
  </si>
  <si>
    <t>002030</t>
  </si>
  <si>
    <t>低风险额度</t>
  </si>
  <si>
    <t>002040</t>
  </si>
  <si>
    <t>集团额度</t>
  </si>
  <si>
    <t>限额测算</t>
  </si>
  <si>
    <t>流动资金测算</t>
  </si>
  <si>
    <t>码值：RealtyProjectType</t>
  </si>
  <si>
    <t>RealtyProjectType</t>
  </si>
  <si>
    <t>在建工程类型</t>
  </si>
  <si>
    <t>商业用房地产</t>
  </si>
  <si>
    <t>农业用房地产</t>
  </si>
  <si>
    <t>工业用房地产</t>
  </si>
  <si>
    <t>商住用房地产</t>
  </si>
  <si>
    <t>综合类房地产</t>
  </si>
  <si>
    <t>码值：AssumptionOperator</t>
  </si>
  <si>
    <t>AssumptionOperator</t>
  </si>
  <si>
    <t>授权维度比较符</t>
  </si>
  <si>
    <t>containsall</t>
  </si>
  <si>
    <t>包含全部</t>
  </si>
  <si>
    <t>containsone</t>
  </si>
  <si>
    <t>包含其一</t>
  </si>
  <si>
    <t>eq</t>
  </si>
  <si>
    <t>等于</t>
  </si>
  <si>
    <t>gt</t>
  </si>
  <si>
    <t>大于</t>
  </si>
  <si>
    <t>gteq</t>
  </si>
  <si>
    <t>大于等于</t>
  </si>
  <si>
    <t>ignore</t>
  </si>
  <si>
    <t>忽略</t>
  </si>
  <si>
    <t>in</t>
  </si>
  <si>
    <t>在...其中</t>
  </si>
  <si>
    <t>likes</t>
  </si>
  <si>
    <t>隶属于(like)</t>
  </si>
  <si>
    <t>limits</t>
  </si>
  <si>
    <t>局限于</t>
  </si>
  <si>
    <t>lt</t>
  </si>
  <si>
    <t>小于</t>
  </si>
  <si>
    <t>lteq</t>
  </si>
  <si>
    <t>小于等于</t>
  </si>
  <si>
    <t>notcontains</t>
  </si>
  <si>
    <t>不包含其一</t>
  </si>
  <si>
    <t>notcontainsAny</t>
  </si>
  <si>
    <t>不包含所有</t>
  </si>
  <si>
    <t>noteq</t>
  </si>
  <si>
    <t>不等于</t>
  </si>
  <si>
    <t>notin</t>
  </si>
  <si>
    <t>不在...其中</t>
  </si>
  <si>
    <t>notlikes</t>
  </si>
  <si>
    <t>不隶属于(not like)</t>
  </si>
  <si>
    <t>unlimits</t>
  </si>
  <si>
    <t>不局限于</t>
  </si>
  <si>
    <t>码值：ReportSituation</t>
  </si>
  <si>
    <t>ReportSituation</t>
  </si>
  <si>
    <t>报表未经审计</t>
  </si>
  <si>
    <t>审计后，持保留意见</t>
  </si>
  <si>
    <t>审计后，否定或拒绝表示意见</t>
  </si>
  <si>
    <t>码值：DrawingType</t>
  </si>
  <si>
    <t>DrawingType</t>
  </si>
  <si>
    <t>提款方式</t>
  </si>
  <si>
    <t>一次提款</t>
  </si>
  <si>
    <t>分次提款</t>
  </si>
  <si>
    <t>码值：RateType</t>
  </si>
  <si>
    <t>RateType</t>
  </si>
  <si>
    <t>利率类型</t>
  </si>
  <si>
    <t>贷款利率</t>
  </si>
  <si>
    <t>罚息利率</t>
  </si>
  <si>
    <t>AssetRate</t>
  </si>
  <si>
    <t>总资产增长率</t>
  </si>
  <si>
    <t>IncomeRate</t>
  </si>
  <si>
    <t>营业收入增长率</t>
  </si>
  <si>
    <t>RightsRate</t>
  </si>
  <si>
    <t>股东权益增长率</t>
  </si>
  <si>
    <t>码值：AccountAge</t>
  </si>
  <si>
    <t>AccountAge</t>
  </si>
  <si>
    <t>账龄</t>
  </si>
  <si>
    <t>未到期</t>
  </si>
  <si>
    <t>1~2年</t>
  </si>
  <si>
    <t>2~3年</t>
  </si>
  <si>
    <t>3~5年</t>
  </si>
  <si>
    <t>5年以上</t>
  </si>
  <si>
    <t>码值：UniqueSuitScope</t>
  </si>
  <si>
    <t>UniqueSuitScope</t>
  </si>
  <si>
    <t>唯一性适用范围</t>
  </si>
  <si>
    <t>全行</t>
  </si>
  <si>
    <t>分支行</t>
  </si>
  <si>
    <t>网点</t>
  </si>
  <si>
    <t>码值：股权结构</t>
  </si>
  <si>
    <t>股权结构</t>
  </si>
  <si>
    <t>国有独资</t>
  </si>
  <si>
    <t>政府控股</t>
  </si>
  <si>
    <t>码值：CorpusPayMethod1</t>
  </si>
  <si>
    <t>CorpusPayMethod1</t>
  </si>
  <si>
    <t>法人按揭还款方式</t>
  </si>
  <si>
    <t>等额本息还款</t>
  </si>
  <si>
    <t>等额本金还款</t>
  </si>
  <si>
    <t>分次付息一次还本</t>
  </si>
  <si>
    <t>码值：企业部门设置</t>
  </si>
  <si>
    <t>企业部门设置</t>
  </si>
  <si>
    <t>齐全</t>
  </si>
  <si>
    <t>不齐全</t>
  </si>
  <si>
    <t>码值：DemoSystemMain</t>
  </si>
  <si>
    <t>DemoSystemMain</t>
  </si>
  <si>
    <t>案例系统树图</t>
  </si>
  <si>
    <t>基础组件</t>
  </si>
  <si>
    <t>00100010</t>
  </si>
  <si>
    <t>List页面</t>
  </si>
  <si>
    <t>001000100010</t>
  </si>
  <si>
    <t>单选List页面</t>
  </si>
  <si>
    <t>001000100020</t>
  </si>
  <si>
    <t>多选List页面</t>
  </si>
  <si>
    <t>001000100030</t>
  </si>
  <si>
    <t>自定义服务List页面</t>
  </si>
  <si>
    <t>001000100040</t>
  </si>
  <si>
    <t>简单列表[不锁定表头和列]</t>
  </si>
  <si>
    <t>001000100050</t>
  </si>
  <si>
    <t>可编辑List页面</t>
  </si>
  <si>
    <t>001000100060</t>
  </si>
  <si>
    <t>列表汇总</t>
  </si>
  <si>
    <t>001000100070</t>
  </si>
  <si>
    <t>自定义列表样式</t>
  </si>
  <si>
    <t>001000100080</t>
  </si>
  <si>
    <t>自定义HTML事件</t>
  </si>
  <si>
    <t>001000100090</t>
  </si>
  <si>
    <t>自定义联动菜单</t>
  </si>
  <si>
    <t>001000100100</t>
  </si>
  <si>
    <t>每行放自定义按钮</t>
  </si>
  <si>
    <t>001000100110</t>
  </si>
  <si>
    <t>列表自定义过滤条件</t>
  </si>
  <si>
    <t>001000100120</t>
  </si>
  <si>
    <t>列表多选翻页</t>
  </si>
  <si>
    <t>00100020</t>
  </si>
  <si>
    <t>Info页面</t>
  </si>
  <si>
    <t>001000200010</t>
  </si>
  <si>
    <t>简单info页面</t>
  </si>
  <si>
    <t>001000200020</t>
  </si>
  <si>
    <t>001000200030</t>
  </si>
  <si>
    <t>界面分组</t>
  </si>
  <si>
    <t>001000200040</t>
  </si>
  <si>
    <t>特殊js脚本</t>
  </si>
  <si>
    <t>001000200050</t>
  </si>
  <si>
    <t>前后统一自定义校验</t>
  </si>
  <si>
    <t>001000200060</t>
  </si>
  <si>
    <t>001000200070</t>
  </si>
  <si>
    <t>复合页面</t>
  </si>
  <si>
    <t>001000200080</t>
  </si>
  <si>
    <t>12列模式Info</t>
  </si>
  <si>
    <t>00100030</t>
  </si>
  <si>
    <t>树图页面</t>
  </si>
  <si>
    <t>001000300010</t>
  </si>
  <si>
    <t>服务构造树图</t>
  </si>
  <si>
    <t>001000300020</t>
  </si>
  <si>
    <t>代码表生成树图</t>
  </si>
  <si>
    <t>001000300030</t>
  </si>
  <si>
    <t>页面构造树图</t>
  </si>
  <si>
    <t>00100040</t>
  </si>
  <si>
    <t>Tab页面</t>
  </si>
  <si>
    <t>00100050</t>
  </si>
  <si>
    <t>Strip页面</t>
  </si>
  <si>
    <t>00100060</t>
  </si>
  <si>
    <t>联动页面</t>
  </si>
  <si>
    <t>001000600010</t>
  </si>
  <si>
    <t>上下联动</t>
  </si>
  <si>
    <t>001000600020</t>
  </si>
  <si>
    <t>左右联动</t>
  </si>
  <si>
    <t>001000600030</t>
  </si>
  <si>
    <t>上下区域</t>
  </si>
  <si>
    <t>001000600040</t>
  </si>
  <si>
    <t>左右区域</t>
  </si>
  <si>
    <t>00100070</t>
  </si>
  <si>
    <t>按钮</t>
  </si>
  <si>
    <t>00100080</t>
  </si>
  <si>
    <t>日历选择</t>
  </si>
  <si>
    <t>00100090</t>
  </si>
  <si>
    <t>向导组件</t>
  </si>
  <si>
    <t>外部组件</t>
  </si>
  <si>
    <t>00200010</t>
  </si>
  <si>
    <t>Echarts</t>
  </si>
  <si>
    <t>002000100010</t>
  </si>
  <si>
    <t>标准柱状图</t>
  </si>
  <si>
    <t>002000100020</t>
  </si>
  <si>
    <t>堆积柱状图</t>
  </si>
  <si>
    <t>002000100030</t>
  </si>
  <si>
    <t>标准条形图</t>
  </si>
  <si>
    <t>002000100040</t>
  </si>
  <si>
    <t>旋风条形图</t>
  </si>
  <si>
    <t>002000100050</t>
  </si>
  <si>
    <t>标准折线图</t>
  </si>
  <si>
    <t>002000100060</t>
  </si>
  <si>
    <t>标准面积图</t>
  </si>
  <si>
    <t>002000100070</t>
  </si>
  <si>
    <t>标准饼图</t>
  </si>
  <si>
    <t>00200020</t>
  </si>
  <si>
    <t>jsp导出word</t>
  </si>
  <si>
    <t>自定义服务DEMO</t>
  </si>
  <si>
    <t>00300010</t>
  </si>
  <si>
    <t>自定义服务排序DEMO</t>
  </si>
  <si>
    <t>码值：Projectkind</t>
  </si>
  <si>
    <t>Projectkind</t>
  </si>
  <si>
    <t>新建</t>
  </si>
  <si>
    <t>扩建</t>
  </si>
  <si>
    <t>改建</t>
  </si>
  <si>
    <t>恢复</t>
  </si>
  <si>
    <t>重建</t>
  </si>
  <si>
    <t>码值：ClassifyApproveMain</t>
  </si>
  <si>
    <t>ClassifyApproveMain</t>
  </si>
  <si>
    <t>五级分类审批树图</t>
  </si>
  <si>
    <t>码值：FlowCatalogView</t>
  </si>
  <si>
    <t>FlowCatalogView</t>
  </si>
  <si>
    <t>流程记录视图</t>
  </si>
  <si>
    <t>流程模型列表</t>
  </si>
  <si>
    <t>码值：RightModifyMain</t>
  </si>
  <si>
    <t>RightModifyMain</t>
  </si>
  <si>
    <t>客户管户权管理主页面</t>
  </si>
  <si>
    <t>客户管户操作</t>
  </si>
  <si>
    <t>码值：SingleRiskReserveMain</t>
  </si>
  <si>
    <t>SingleRiskReserveMain</t>
  </si>
  <si>
    <t>单项减值计提申请</t>
  </si>
  <si>
    <t>码值：BookInContractApplyEntMain</t>
  </si>
  <si>
    <t>BookInContractApplyEntMain</t>
  </si>
  <si>
    <t>大中批复合同登记申请主树图</t>
  </si>
  <si>
    <t>码值：CarriagePaymentType</t>
  </si>
  <si>
    <t>CarriagePaymentType</t>
  </si>
  <si>
    <t>运费支付类型</t>
  </si>
  <si>
    <t>预付</t>
  </si>
  <si>
    <t>到付</t>
  </si>
  <si>
    <t>码值：MsgType</t>
  </si>
  <si>
    <t>MsgType</t>
  </si>
  <si>
    <t>系统警示信息</t>
  </si>
  <si>
    <t>未处理的Java常用异常</t>
  </si>
  <si>
    <t>ARE系统信息代码</t>
  </si>
  <si>
    <t>AWE系统信息代码</t>
  </si>
  <si>
    <t>DataWindow信息代码</t>
  </si>
  <si>
    <t>业务层面信息代码</t>
  </si>
  <si>
    <t>码值：从业年限</t>
  </si>
  <si>
    <t>从业年限</t>
  </si>
  <si>
    <t>码值：BusinessInspectMain</t>
  </si>
  <si>
    <t>BusinessInspectMain</t>
  </si>
  <si>
    <t>贷后检查主界面</t>
  </si>
  <si>
    <t>贷后检查报告</t>
  </si>
  <si>
    <t>01010</t>
  </si>
  <si>
    <t>贷款用途检查报告</t>
  </si>
  <si>
    <t>01010010</t>
  </si>
  <si>
    <t>未完成</t>
  </si>
  <si>
    <t>01010020</t>
  </si>
  <si>
    <t>已完成</t>
  </si>
  <si>
    <t>01020</t>
  </si>
  <si>
    <t>客户检查报告</t>
  </si>
  <si>
    <t>01020010</t>
  </si>
  <si>
    <t>01020020</t>
  </si>
  <si>
    <t>检查工作管理</t>
  </si>
  <si>
    <t>02010</t>
  </si>
  <si>
    <t>贷款用途检查报告查询</t>
  </si>
  <si>
    <t>02020</t>
  </si>
  <si>
    <t>客户检查报告查询</t>
  </si>
  <si>
    <t>02030</t>
  </si>
  <si>
    <t>信贷管理检查记录</t>
  </si>
  <si>
    <t>码值：VouchClass</t>
  </si>
  <si>
    <t>VouchClass</t>
  </si>
  <si>
    <t>担保形式</t>
  </si>
  <si>
    <t>多人联保</t>
  </si>
  <si>
    <t>多人分保</t>
  </si>
  <si>
    <t>单人担保</t>
  </si>
  <si>
    <t>码值：IncomeStability</t>
  </si>
  <si>
    <t>IncomeStability</t>
  </si>
  <si>
    <t>1000元以下(含1000元)</t>
  </si>
  <si>
    <t>1000元－3000元(含3000元)</t>
  </si>
  <si>
    <t>3000元－5000元(含5000元)</t>
  </si>
  <si>
    <t>5000元以上</t>
  </si>
  <si>
    <t>码值：LimitApproveNewView</t>
  </si>
  <si>
    <t>LimitApproveNewView</t>
  </si>
  <si>
    <t>公司单一授信批复</t>
  </si>
  <si>
    <t>码值：ColEditStyle</t>
  </si>
  <si>
    <t>ColEditStyle</t>
  </si>
  <si>
    <t>编辑形式</t>
  </si>
  <si>
    <t>文本框</t>
  </si>
  <si>
    <t>密码框</t>
  </si>
  <si>
    <t>选择框</t>
  </si>
  <si>
    <t>扁平下拉选择</t>
  </si>
  <si>
    <t>备注框</t>
  </si>
  <si>
    <t>富文本编辑框</t>
  </si>
  <si>
    <t>单选框(横向)</t>
  </si>
  <si>
    <t>单选框(竖向)</t>
  </si>
  <si>
    <t>复选框</t>
  </si>
  <si>
    <t>选择对话框</t>
  </si>
  <si>
    <t>码值：ProfessionExpectations</t>
  </si>
  <si>
    <t>ProfessionExpectations</t>
  </si>
  <si>
    <t>新兴的萌芽期行业</t>
  </si>
  <si>
    <t>早期高增长行业</t>
  </si>
  <si>
    <t>趋于成熟的高增长行业</t>
  </si>
  <si>
    <t>稳定的成熟期行业</t>
  </si>
  <si>
    <t>衰退期行业</t>
  </si>
  <si>
    <t>所处行业正进行重大转变</t>
  </si>
  <si>
    <t>码值：管理能力</t>
  </si>
  <si>
    <t>码值：资金落实情况</t>
  </si>
  <si>
    <t>资金落实情况</t>
  </si>
  <si>
    <t>码值：ValueVolattlityType</t>
  </si>
  <si>
    <t>ValueVolattlityType</t>
  </si>
  <si>
    <t>价值波动性</t>
  </si>
  <si>
    <t>价值波动大</t>
  </si>
  <si>
    <t>价值波动中</t>
  </si>
  <si>
    <t>有升值潜力或波动小</t>
  </si>
  <si>
    <t>码值：OccurType</t>
  </si>
  <si>
    <t>OccurType</t>
  </si>
  <si>
    <t>发生类型</t>
  </si>
  <si>
    <t>0100</t>
  </si>
  <si>
    <t>新增</t>
  </si>
  <si>
    <t>变更</t>
  </si>
  <si>
    <t>0102</t>
  </si>
  <si>
    <t>额度续作</t>
  </si>
  <si>
    <t>0200</t>
  </si>
  <si>
    <t>新发生</t>
  </si>
  <si>
    <t>展期</t>
  </si>
  <si>
    <t>借新还旧</t>
  </si>
  <si>
    <t>还旧借新</t>
  </si>
  <si>
    <t>0204</t>
  </si>
  <si>
    <t>资产重组</t>
  </si>
  <si>
    <t>码值：NoticeType</t>
  </si>
  <si>
    <t>NoticeType</t>
  </si>
  <si>
    <t>通知方式</t>
  </si>
  <si>
    <t>Email</t>
  </si>
  <si>
    <t>邮件</t>
  </si>
  <si>
    <t>SMS</t>
  </si>
  <si>
    <t>短信</t>
  </si>
  <si>
    <t>Task</t>
  </si>
  <si>
    <t>任务提示</t>
  </si>
  <si>
    <t>码值：OccurSubjectName</t>
  </si>
  <si>
    <t>OccurSubjectName</t>
  </si>
  <si>
    <t>发生摘要</t>
  </si>
  <si>
    <t>本金</t>
  </si>
  <si>
    <t>利息</t>
  </si>
  <si>
    <t>罚金</t>
  </si>
  <si>
    <t>码值：ProfessionPolicy01</t>
  </si>
  <si>
    <t>ProfessionPolicy01</t>
  </si>
  <si>
    <t>国家产业政策鼓励行业，受宏观经济波动影响小，行业发展前景广阔</t>
  </si>
  <si>
    <t>国家产业政策中性行业，受宏观经济波动影响小，行业发展前景稳定</t>
  </si>
  <si>
    <t>国家产业政策中性行业，受宏观经济周期影响大，行业发展不确定性较大</t>
  </si>
  <si>
    <t>国家产业政策限制行业，或者萌芽期行业，发展前景暗淡或者不明朗</t>
  </si>
  <si>
    <t>码值：SMApplyLimitMain</t>
  </si>
  <si>
    <t>SMApplyLimitMain</t>
  </si>
  <si>
    <t>码值：SurroundProperty</t>
  </si>
  <si>
    <t>SurroundProperty</t>
  </si>
  <si>
    <t>项目所在地区周边楼盘销售情况强劲</t>
  </si>
  <si>
    <t>项目所在地区周边楼盘销售情况一般</t>
  </si>
  <si>
    <t>所在城市没有同类型的楼盘 或 项目所在地区周边楼盘销售情况薄弱</t>
  </si>
  <si>
    <t>码值：CommercialRealtyType</t>
  </si>
  <si>
    <t>CommercialRealtyType</t>
  </si>
  <si>
    <t>房产类型</t>
  </si>
  <si>
    <t>商铺</t>
  </si>
  <si>
    <t>商场</t>
  </si>
  <si>
    <t>宾馆</t>
  </si>
  <si>
    <t>商住两用房</t>
  </si>
  <si>
    <t>码值：PartnerType</t>
  </si>
  <si>
    <t>PartnerType</t>
  </si>
  <si>
    <t>合作方客户类型</t>
  </si>
  <si>
    <t>资源类合作方</t>
  </si>
  <si>
    <t>担保类合作方</t>
  </si>
  <si>
    <t>服务类合作方</t>
  </si>
  <si>
    <t>委托类合作方</t>
  </si>
  <si>
    <t>码值：TakePartRole</t>
  </si>
  <si>
    <t>TakePartRole</t>
  </si>
  <si>
    <t>案件法院方人员参与角色</t>
  </si>
  <si>
    <t>法院院长</t>
  </si>
  <si>
    <t>审判长</t>
  </si>
  <si>
    <t>审判人员</t>
  </si>
  <si>
    <t>书记员</t>
  </si>
  <si>
    <t>合议庭成员</t>
  </si>
  <si>
    <t>执行法官</t>
  </si>
  <si>
    <t>码值：CopyrightSource</t>
  </si>
  <si>
    <t>CopyrightSource</t>
  </si>
  <si>
    <t>著作权取得方式</t>
  </si>
  <si>
    <t>原始</t>
  </si>
  <si>
    <t>赠与</t>
  </si>
  <si>
    <t>继承</t>
  </si>
  <si>
    <t>遗赠</t>
  </si>
  <si>
    <t>码值：TabStrip</t>
  </si>
  <si>
    <t>TabStrip</t>
  </si>
  <si>
    <t>欢&amp;nbsp;&amp;nbsp;&amp;nbsp;迎</t>
  </si>
  <si>
    <t>日常工作提示</t>
  </si>
  <si>
    <t>业务提示和预警</t>
  </si>
  <si>
    <t>工作计划/笔记</t>
  </si>
  <si>
    <t>重点信息链接</t>
  </si>
  <si>
    <t>码值：BondType</t>
  </si>
  <si>
    <t>BondType</t>
  </si>
  <si>
    <t>债券类型</t>
  </si>
  <si>
    <t>企业债券</t>
  </si>
  <si>
    <t>公司债券</t>
  </si>
  <si>
    <t>金融债券</t>
  </si>
  <si>
    <t>可转换(公司)债券</t>
  </si>
  <si>
    <t>国际债券</t>
  </si>
  <si>
    <t>离岸债券</t>
  </si>
  <si>
    <t>码值：GroupCustomerCreditView</t>
  </si>
  <si>
    <t>GroupCustomerCreditView</t>
  </si>
  <si>
    <t>集团授信状况</t>
  </si>
  <si>
    <t>集团授信信息</t>
  </si>
  <si>
    <t>集团担保信息</t>
  </si>
  <si>
    <t>集团内担保信息</t>
  </si>
  <si>
    <t>接受集团外客户担保信息</t>
  </si>
  <si>
    <t>为集团外客户担保信息</t>
  </si>
  <si>
    <t>码值：DebtServiceFund</t>
  </si>
  <si>
    <t>DebtServiceFund</t>
  </si>
  <si>
    <t>无相应的偿债基金，但列入财政预算</t>
  </si>
  <si>
    <t>国有土地使用权出让金收入</t>
  </si>
  <si>
    <t>市级城建税收入</t>
  </si>
  <si>
    <t>城市基础设施相关资产的转让收入</t>
  </si>
  <si>
    <t>特许经营权转让收入</t>
  </si>
  <si>
    <t>无相应的偿债基金，且未列入财政预算</t>
  </si>
  <si>
    <t>码值：DunAcknowledge</t>
  </si>
  <si>
    <t>DunAcknowledge</t>
  </si>
  <si>
    <t>反馈方式</t>
  </si>
  <si>
    <t>回执</t>
  </si>
  <si>
    <t>码值：EventType</t>
  </si>
  <si>
    <t>EventType</t>
  </si>
  <si>
    <t>大事记类型</t>
  </si>
  <si>
    <t>企业管理体制变化、超过所有者权益15%以上的收购、兼并或投资信息</t>
  </si>
  <si>
    <t>0104</t>
  </si>
  <si>
    <t>企业重大诉讼案件</t>
  </si>
  <si>
    <t>0105</t>
  </si>
  <si>
    <t>企业报表严重不实或未能提供</t>
  </si>
  <si>
    <t>0106</t>
  </si>
  <si>
    <t>企业申请贷款展期或借新还旧等</t>
  </si>
  <si>
    <t>0107</t>
  </si>
  <si>
    <t>贷款抵、质押物的价值发生巨大变化，或我行对抵押物失去控制</t>
  </si>
  <si>
    <t>0108</t>
  </si>
  <si>
    <t>担保人发生重大事件、如管理层变动，财务状况恶化等</t>
  </si>
  <si>
    <t>0109</t>
  </si>
  <si>
    <t>宏观经济、市场、行业等外部环境发生巨大变化</t>
  </si>
  <si>
    <t>离婚</t>
  </si>
  <si>
    <t>诉讼</t>
  </si>
  <si>
    <t>下岗</t>
  </si>
  <si>
    <t>个人控制企业发生重大变化</t>
  </si>
  <si>
    <t>0205</t>
  </si>
  <si>
    <t>重大疾病</t>
  </si>
  <si>
    <t>0206</t>
  </si>
  <si>
    <t>财产继承</t>
  </si>
  <si>
    <t>0207</t>
  </si>
  <si>
    <t>码值：ColTypeStatus</t>
  </si>
  <si>
    <t>ColTypeStatus</t>
  </si>
  <si>
    <t>押品类型状态</t>
  </si>
  <si>
    <t>码值：内部控制</t>
  </si>
  <si>
    <t>内部控制</t>
  </si>
  <si>
    <t>企业有完善的内部控制体系，有成熟的内审部门对企业运作定期审查，且已经形成基于COSO的内部控制体系</t>
  </si>
  <si>
    <t>企业有较好的内部控制体系，有内审部门对企业运作各个环节定期审查，且形成相应的报告体系</t>
  </si>
  <si>
    <t>企业有内部控制体系，有内审部门的设置，但是未能形成相应的定期报告体系</t>
  </si>
  <si>
    <t>企业没有内部控制体系</t>
  </si>
  <si>
    <t>码值：管理风格</t>
  </si>
  <si>
    <t>管理风格</t>
  </si>
  <si>
    <t>公司关注盈利，为保持市场份额增长和公司正常扩张，愿意在一定程度上牺牲盈利，但不会为此而破坏财务安全。较之同业，公司财务战略管理水平较高。</t>
  </si>
  <si>
    <t>公司主要关注盈利，同时兼顾市场份额增长和公司正常扩张，并且不会为此而破坏财务安全。较之同业，公司财务战略管理水平一般。</t>
  </si>
  <si>
    <t>在追求公司市场份额增长或正常扩张的前提下，公司重点关注盈利，且愿意大幅牺牲财务安全性，但对公司流动性不构成威胁。财务战略管理水平低于市场标准</t>
  </si>
  <si>
    <t>码值：-139976395-18650586</t>
  </si>
  <si>
    <t>-139976395-18650586</t>
  </si>
  <si>
    <t>申请阶段1050</t>
  </si>
  <si>
    <t>码值：InvoiceDrawApplyMain</t>
  </si>
  <si>
    <t>InvoiceDrawApplyMain</t>
  </si>
  <si>
    <t>开票主树图</t>
  </si>
  <si>
    <t>开票申请</t>
  </si>
  <si>
    <t>开票审核</t>
  </si>
  <si>
    <t>已批准</t>
  </si>
  <si>
    <t>码值：GuarantyType</t>
  </si>
  <si>
    <t>GuarantyType</t>
  </si>
  <si>
    <t>一般担保</t>
  </si>
  <si>
    <t>最高额担保</t>
  </si>
  <si>
    <t>码值：FamilyVersionApproveView</t>
  </si>
  <si>
    <t>FamilyVersionApproveView</t>
  </si>
  <si>
    <t>集团家谱复核视图</t>
  </si>
  <si>
    <t>码值：FlowControlMain</t>
  </si>
  <si>
    <t>FlowControlMain</t>
  </si>
  <si>
    <t>流程监控</t>
  </si>
  <si>
    <t>在办业务</t>
  </si>
  <si>
    <t>已办业务</t>
  </si>
  <si>
    <t>码值：RightCertStatus</t>
  </si>
  <si>
    <t>RightCertStatus</t>
  </si>
  <si>
    <t>权证出入库状态</t>
  </si>
  <si>
    <t>未入库</t>
  </si>
  <si>
    <t>待入库</t>
  </si>
  <si>
    <t>已入库</t>
  </si>
  <si>
    <t>待出库</t>
  </si>
  <si>
    <t>待回库</t>
  </si>
  <si>
    <t>借用</t>
  </si>
  <si>
    <t>改为临时出库</t>
  </si>
  <si>
    <t>特殊出库</t>
  </si>
  <si>
    <t>已出库</t>
  </si>
  <si>
    <t>码值：应收帐款风险</t>
  </si>
  <si>
    <t>应收帐款风险</t>
  </si>
  <si>
    <t>超过180天的应收账款余额占应收账款比例小于10%</t>
  </si>
  <si>
    <t>超过180天的应收账款余额占应收账款比例小于30%</t>
  </si>
  <si>
    <t>超过180天的应收账款余额占应收账款比例小于50%</t>
  </si>
  <si>
    <t>超过365天的应收账款余额占应收账款比例小于30%</t>
  </si>
  <si>
    <t>超过365天的应收账款余额占应收账款比例小于50%</t>
  </si>
  <si>
    <t>码值：FundType</t>
  </si>
  <si>
    <t>FundType</t>
  </si>
  <si>
    <t>基金类型</t>
  </si>
  <si>
    <t>债券型开放式基金</t>
  </si>
  <si>
    <t>货币市场型开放式基金</t>
  </si>
  <si>
    <t>码值：CompanyQualification</t>
  </si>
  <si>
    <t>CompanyQualification</t>
  </si>
  <si>
    <t>一级房地产企业</t>
  </si>
  <si>
    <t>二级以上房地产企业</t>
  </si>
  <si>
    <t>二级以下房地产企业</t>
  </si>
  <si>
    <t>其他企业</t>
  </si>
  <si>
    <t>码值：TransformApplyMain</t>
  </si>
  <si>
    <t>TransformApplyMain</t>
  </si>
  <si>
    <t>担保变更申请主树图</t>
  </si>
  <si>
    <t>码值：施工控股投资人背景</t>
  </si>
  <si>
    <t>施工控股投资人背景</t>
  </si>
  <si>
    <t>国际著名企业在华投资且外方投资金额在3000万美金以上</t>
  </si>
  <si>
    <t>中央级企业</t>
  </si>
  <si>
    <t>全部由私人出资，股东人数小于等于4人、且净资产在500万以下</t>
  </si>
  <si>
    <t>码值：经营管理目标</t>
  </si>
  <si>
    <t>经营管理目标</t>
  </si>
  <si>
    <t>码值：TakePartRole1</t>
  </si>
  <si>
    <t>TakePartRole1</t>
  </si>
  <si>
    <t>案件当事人参与角色</t>
  </si>
  <si>
    <t>原告</t>
  </si>
  <si>
    <t>被告</t>
  </si>
  <si>
    <t>上诉人</t>
  </si>
  <si>
    <t>被上诉人</t>
  </si>
  <si>
    <t>申请人</t>
  </si>
  <si>
    <t>被申请人</t>
  </si>
  <si>
    <t>第三人</t>
  </si>
  <si>
    <t>码值：贷款分期偿还计划</t>
  </si>
  <si>
    <t>贷款分期偿还计划</t>
  </si>
  <si>
    <t>贷款分期偿还计划 债务本息定期等额偿还</t>
  </si>
  <si>
    <t>债务本息定期等额偿还，但有20%-50%的部分到期一次性偿还</t>
  </si>
  <si>
    <t>债务本息定期等额偿还，但有大于等于50%的部分到期一次性偿还</t>
  </si>
  <si>
    <t>到期一次性偿还，或债务本息定期等额偿还，但有超过80%的部分到期一次性偿还</t>
  </si>
  <si>
    <t>码值：核心管理层从业年限</t>
  </si>
  <si>
    <t>核心管理层从业年限</t>
  </si>
  <si>
    <t>15年以上</t>
  </si>
  <si>
    <t>7-15年</t>
  </si>
  <si>
    <t>3-7年</t>
  </si>
  <si>
    <t>3年以下</t>
  </si>
  <si>
    <t>码值：DepositType</t>
  </si>
  <si>
    <t>DepositType</t>
  </si>
  <si>
    <t>外汇存款</t>
  </si>
  <si>
    <t>个人本币</t>
  </si>
  <si>
    <t>个人外币</t>
  </si>
  <si>
    <t>单位本币</t>
  </si>
  <si>
    <t>单位外币</t>
  </si>
  <si>
    <t>码值：ReserveIndication</t>
  </si>
  <si>
    <t>ReserveIndication</t>
  </si>
  <si>
    <t>减值迹象</t>
  </si>
  <si>
    <t>借款人是否发生严重财务困难，无法按合同约定以经营现金流归还贷款，需依靠出售经营性固定资产、拍卖抵押（质）物、履行担保等方式偿还借款</t>
  </si>
  <si>
    <t>贷款还款来源主要取决于抵押（质）物的使用价值的情形下，押品使用价值是否发生明显恶化</t>
  </si>
  <si>
    <t>担保人为还款重要保证的情况下（如基建项目贷款和集团贷款等），担保人代偿能力是否明显不足</t>
  </si>
  <si>
    <t>借款本金或利息是否已发生逾期</t>
  </si>
  <si>
    <t>借款人是否违反合同约定，如未按合同规定用款等，并使贷款发生实质性风险</t>
  </si>
  <si>
    <t>我行是否出于政策、法律或经济等方面因素的考虑，对借款人作出让步</t>
  </si>
  <si>
    <t>上市公司是否因负面因素被国内外证券交易所暂停上市</t>
  </si>
  <si>
    <t>是否有其他表明该贷款发生减值的迹象</t>
  </si>
  <si>
    <t>码值：BillResource</t>
  </si>
  <si>
    <t>BillResource</t>
  </si>
  <si>
    <t>票据来源</t>
  </si>
  <si>
    <t>同城</t>
  </si>
  <si>
    <t>异地</t>
  </si>
  <si>
    <t>码值：AgentType</t>
  </si>
  <si>
    <t>AgentType</t>
  </si>
  <si>
    <t>代理方式</t>
  </si>
  <si>
    <t>自行代理</t>
  </si>
  <si>
    <t>外聘代理人一般代理</t>
  </si>
  <si>
    <t>外聘代理人风险代理</t>
  </si>
  <si>
    <t>码值：NPAChangeList</t>
  </si>
  <si>
    <t>NPAChangeList</t>
  </si>
  <si>
    <t>不良资产管理人变更主界面树状菜单</t>
  </si>
  <si>
    <t>客户移交变更</t>
  </si>
  <si>
    <t>审批移交变更</t>
  </si>
  <si>
    <t>码值：ArgStatus</t>
  </si>
  <si>
    <t>ArgStatus</t>
  </si>
  <si>
    <t>码值：CatalogType</t>
  </si>
  <si>
    <t>CatalogType</t>
  </si>
  <si>
    <t>目录类型</t>
  </si>
  <si>
    <t>LOOP</t>
  </si>
  <si>
    <t>循环目录</t>
  </si>
  <si>
    <t>TEXT</t>
  </si>
  <si>
    <t>正文</t>
  </si>
  <si>
    <t>码值：EntProfileView</t>
  </si>
  <si>
    <t>EntProfileView</t>
  </si>
  <si>
    <t>公司客户统一视图</t>
  </si>
  <si>
    <t>客户评级情况</t>
  </si>
  <si>
    <t>最近重大变更事项</t>
  </si>
  <si>
    <t>股票及债券发行图谱</t>
  </si>
  <si>
    <t>所属集团家谱</t>
  </si>
  <si>
    <t>客户名单制情况</t>
  </si>
  <si>
    <t>客户贡献度信息</t>
  </si>
  <si>
    <t>授信申报情况</t>
  </si>
  <si>
    <t>贷后检查</t>
  </si>
  <si>
    <t>预警信息</t>
  </si>
  <si>
    <t>风险分类信息</t>
  </si>
  <si>
    <t>码值：PopSelectSourceType</t>
  </si>
  <si>
    <t>PopSelectSourceType</t>
  </si>
  <si>
    <t>JSFunc</t>
  </si>
  <si>
    <t>JS函数</t>
  </si>
  <si>
    <t>SelectCatalog</t>
  </si>
  <si>
    <t>选择对话配置</t>
  </si>
  <si>
    <t>码值：ContractType</t>
  </si>
  <si>
    <t>ContractType</t>
  </si>
  <si>
    <t>合同类型</t>
  </si>
  <si>
    <t>真实合同</t>
  </si>
  <si>
    <t>虚拟合同</t>
  </si>
  <si>
    <t>码值：资质等级</t>
  </si>
  <si>
    <t>资质等级</t>
  </si>
  <si>
    <t>三级</t>
  </si>
  <si>
    <t>无等级</t>
  </si>
  <si>
    <t>码值：QualificationGrade</t>
  </si>
  <si>
    <t>QualificationGrade</t>
  </si>
  <si>
    <t>开发资质</t>
  </si>
  <si>
    <t>一级资质</t>
  </si>
  <si>
    <t>二级资质</t>
  </si>
  <si>
    <t>三级资质</t>
  </si>
  <si>
    <t>四级资质</t>
  </si>
  <si>
    <t>码值：旅游业分类</t>
  </si>
  <si>
    <t>旅游业分类</t>
  </si>
  <si>
    <t>旅行社</t>
  </si>
  <si>
    <t>景点开发公司</t>
  </si>
  <si>
    <t>码值：CultureLevel</t>
  </si>
  <si>
    <t>CultureLevel</t>
  </si>
  <si>
    <t>码值：EnterpriseViewBack</t>
  </si>
  <si>
    <t>EnterpriseViewBack</t>
  </si>
  <si>
    <t>客户高管信息</t>
  </si>
  <si>
    <t>010055</t>
  </si>
  <si>
    <t>010080010</t>
  </si>
  <si>
    <t>010080020</t>
  </si>
  <si>
    <t>010080030</t>
  </si>
  <si>
    <t>010080040</t>
  </si>
  <si>
    <t>010085</t>
  </si>
  <si>
    <t>020005</t>
  </si>
  <si>
    <t>财务报表模板下载</t>
  </si>
  <si>
    <t>客户资产与负债明细</t>
  </si>
  <si>
    <t>020020010</t>
  </si>
  <si>
    <t>应收应付账款信息</t>
  </si>
  <si>
    <t>020020020</t>
  </si>
  <si>
    <t>存货信息</t>
  </si>
  <si>
    <t>020020030</t>
  </si>
  <si>
    <t>固定资产信息</t>
  </si>
  <si>
    <t>020020035</t>
  </si>
  <si>
    <t>无形资产信息</t>
  </si>
  <si>
    <t>020020040</t>
  </si>
  <si>
    <t>持有股票信息</t>
  </si>
  <si>
    <t>020020050</t>
  </si>
  <si>
    <t>持有债券信息</t>
  </si>
  <si>
    <t>020020060</t>
  </si>
  <si>
    <t>资金关联方业务信息</t>
  </si>
  <si>
    <t>040010010</t>
  </si>
  <si>
    <t>授信额度信息</t>
  </si>
  <si>
    <t>040010020</t>
  </si>
  <si>
    <t>040010030</t>
  </si>
  <si>
    <t>040010040</t>
  </si>
  <si>
    <t>040010050</t>
  </si>
  <si>
    <t>040010060</t>
  </si>
  <si>
    <t>业务申请情况</t>
  </si>
  <si>
    <t>关联关系智能搜索</t>
  </si>
  <si>
    <t>客户信用信息</t>
  </si>
  <si>
    <t>050030</t>
  </si>
  <si>
    <t>050040</t>
  </si>
  <si>
    <t>050050</t>
  </si>
  <si>
    <t>050060</t>
  </si>
  <si>
    <t>050070</t>
  </si>
  <si>
    <t>050080</t>
  </si>
  <si>
    <t>050090</t>
  </si>
  <si>
    <t>客户信用分析</t>
  </si>
  <si>
    <t>080015</t>
  </si>
  <si>
    <t>现金流预测</t>
  </si>
  <si>
    <t>客户信用等级评估</t>
  </si>
  <si>
    <t>080040</t>
  </si>
  <si>
    <t>风险预警信号</t>
  </si>
  <si>
    <t>080050</t>
  </si>
  <si>
    <t>最高授信限额参考</t>
  </si>
  <si>
    <t>080060</t>
  </si>
  <si>
    <t>080070</t>
  </si>
  <si>
    <t>080080</t>
  </si>
  <si>
    <t>风险度评级</t>
  </si>
  <si>
    <t>客户经理工作笔记</t>
  </si>
  <si>
    <t>管户权一览</t>
  </si>
  <si>
    <t>码值：VOUCHTYPE1</t>
  </si>
  <si>
    <t>VOUCHTYPE1</t>
  </si>
  <si>
    <t>码值：技术及服务手段多样性</t>
  </si>
  <si>
    <t>技术及服务手段多样性</t>
  </si>
  <si>
    <t>少</t>
  </si>
  <si>
    <t>码值：服务质量</t>
  </si>
  <si>
    <t>服务质量</t>
  </si>
  <si>
    <t>差</t>
  </si>
  <si>
    <t>码值：BookInContractUnderApplyIndMain</t>
  </si>
  <si>
    <t>BookInContractUnderApplyIndMain</t>
  </si>
  <si>
    <t>个人额度项下合同登记申请主树图</t>
  </si>
  <si>
    <t>码值：ClDrawnApplySMEMain</t>
  </si>
  <si>
    <t>ClDrawnApplySMEMain</t>
  </si>
  <si>
    <t>小微额度提用申请主树图</t>
  </si>
  <si>
    <t>码值：UnLoadGuarantyApp1Main</t>
  </si>
  <si>
    <t>UnLoadGuarantyApp1Main</t>
  </si>
  <si>
    <t>UnLoadGuaranty申请主树图</t>
  </si>
  <si>
    <t>码值：PublicCatalogStatus</t>
  </si>
  <si>
    <t>PublicCatalogStatus</t>
  </si>
  <si>
    <t>目录状态</t>
  </si>
  <si>
    <t>COMPLETE</t>
  </si>
  <si>
    <t>EDITING</t>
  </si>
  <si>
    <t>码值：分店数量</t>
  </si>
  <si>
    <t>分店数量</t>
  </si>
  <si>
    <t>10家以上</t>
  </si>
  <si>
    <t>3家以上</t>
  </si>
  <si>
    <t>1家至3家</t>
  </si>
  <si>
    <t>无分店</t>
  </si>
  <si>
    <t>码值：ControlInvertorRelation</t>
  </si>
  <si>
    <t>ControlInvertorRelation</t>
  </si>
  <si>
    <t>为其贷款提供担保</t>
  </si>
  <si>
    <t>为经营、销售提供支持</t>
  </si>
  <si>
    <t>与其关系松散</t>
  </si>
  <si>
    <t>码值：SMECreditCAbility</t>
  </si>
  <si>
    <t>SMECreditCAbility</t>
  </si>
  <si>
    <t>固定资产变现能力</t>
  </si>
  <si>
    <t>码值：PaymentFlowMain</t>
  </si>
  <si>
    <t>PaymentFlowMain</t>
  </si>
  <si>
    <t>支付流水树图</t>
  </si>
  <si>
    <t>处理中的支付</t>
  </si>
  <si>
    <t>已完成的支付</t>
  </si>
  <si>
    <t>借款人自主支付</t>
  </si>
  <si>
    <t>贷款人受托支付</t>
  </si>
  <si>
    <t>失败的支付</t>
  </si>
  <si>
    <t>03010</t>
  </si>
  <si>
    <t>码值：施工企业产权制度</t>
  </si>
  <si>
    <t>施工企业产权制度</t>
  </si>
  <si>
    <t>国际著名企业在华投资或外方投资金额在2000万美金以上</t>
  </si>
  <si>
    <t>上市股份有限公司</t>
  </si>
  <si>
    <t>未上市股份有限公司</t>
  </si>
  <si>
    <t>有限责任公司</t>
  </si>
  <si>
    <t>未经股份制改造的国有企业</t>
  </si>
  <si>
    <t>码值：ExamineSiteSelecting</t>
  </si>
  <si>
    <t>ExamineSiteSelecting</t>
  </si>
  <si>
    <t>已获全部批文</t>
  </si>
  <si>
    <t>一些事项尚待批准但获批可能性很大</t>
  </si>
  <si>
    <t>一些事项尚待批准但审批程序明确，审批只是例行公事</t>
  </si>
  <si>
    <t>尚未获得关键批件，审批并非例行公事，可能还要满足其他一些重要条件</t>
  </si>
  <si>
    <t>码值：地块规划</t>
  </si>
  <si>
    <t>地块规划</t>
  </si>
  <si>
    <t>有重大规划前景</t>
  </si>
  <si>
    <t>目前无</t>
  </si>
  <si>
    <t>码值：FundAppropriation</t>
  </si>
  <si>
    <t>FundAppropriation</t>
  </si>
  <si>
    <t>有融资资金专户，专项用于拨付投融资项目资金，并接受第三方监管</t>
  </si>
  <si>
    <t>资金拨付实行联合会审制度，且项目建设资金的拨付实行比例控制</t>
  </si>
  <si>
    <t>资金拨付实行联合会审制度</t>
  </si>
  <si>
    <t>无资金拨付相关制度</t>
  </si>
  <si>
    <t>码值：报表情况</t>
  </si>
  <si>
    <t>报表情况</t>
  </si>
  <si>
    <t>码值：ProjectSubType</t>
  </si>
  <si>
    <t>ProjectSubType</t>
  </si>
  <si>
    <t>固定资产投资类项目类型</t>
  </si>
  <si>
    <t>基本建设</t>
  </si>
  <si>
    <t>技术改造</t>
  </si>
  <si>
    <t>科技开发</t>
  </si>
  <si>
    <t>码值：RelativeType</t>
  </si>
  <si>
    <t>RelativeType</t>
  </si>
  <si>
    <t>集团客户和借款人关系</t>
  </si>
  <si>
    <t>源公司自身</t>
  </si>
  <si>
    <t>控制源公司50％以上股权</t>
  </si>
  <si>
    <t>其他集团关系</t>
  </si>
  <si>
    <t>为源公司第一大股东</t>
  </si>
  <si>
    <t>合并财务报表</t>
  </si>
  <si>
    <t>源公司控制其50％以上股权</t>
  </si>
  <si>
    <t>源公司为其第一大股东</t>
  </si>
  <si>
    <t>同一法人代表</t>
  </si>
  <si>
    <t>集团主体</t>
  </si>
  <si>
    <t>码值：RecordType</t>
  </si>
  <si>
    <t>RecordType</t>
  </si>
  <si>
    <t>记录类型</t>
  </si>
  <si>
    <t>文档资料缺少</t>
  </si>
  <si>
    <t>申请信息错误</t>
  </si>
  <si>
    <t>影像资料缺少</t>
  </si>
  <si>
    <t>码值：服务区域多元化</t>
  </si>
  <si>
    <t>服务区域多元化</t>
  </si>
  <si>
    <t>产品或服务销售范围大于4个省份或直辖市</t>
  </si>
  <si>
    <t>产品或服务销售范围在2至3个省或直辖市范围内</t>
  </si>
  <si>
    <t>产品或服务销售范围在1个省或直辖市内</t>
  </si>
  <si>
    <t>产品或服务销售范围在1个地级市之内　</t>
  </si>
  <si>
    <t>码值：SalesLevel</t>
  </si>
  <si>
    <t>SalesLevel</t>
  </si>
  <si>
    <t>&gt;=60%</t>
  </si>
  <si>
    <t>&gt;=30%,&lt;60%</t>
  </si>
  <si>
    <t>&lt;30%</t>
  </si>
  <si>
    <t>尚未销售</t>
  </si>
  <si>
    <t>&gt;=30%</t>
  </si>
  <si>
    <t>码值：技术力量</t>
  </si>
  <si>
    <t>技术力量</t>
  </si>
  <si>
    <t>码值：ControlInvertorBack</t>
  </si>
  <si>
    <t>ControlInvertorBack</t>
  </si>
  <si>
    <t>欧美合资企业</t>
  </si>
  <si>
    <t>码值：EvaluateQualificationType</t>
  </si>
  <si>
    <t>EvaluateQualificationType</t>
  </si>
  <si>
    <t>评估资质类型</t>
  </si>
  <si>
    <t>AppraisalOrg0101</t>
  </si>
  <si>
    <t>资产评估(准入)</t>
  </si>
  <si>
    <t>AppraisalOrg0102</t>
  </si>
  <si>
    <t>房地产评估(准入)</t>
  </si>
  <si>
    <t>AppraisalOrg0103</t>
  </si>
  <si>
    <t>土地评估(准入)</t>
  </si>
  <si>
    <t>AppraisalOrg0104</t>
  </si>
  <si>
    <t>其他资产评估(准入)</t>
  </si>
  <si>
    <t>AppraisalOrg0201</t>
  </si>
  <si>
    <t>资产评估(年审)</t>
  </si>
  <si>
    <t>AppraisalOrg0202</t>
  </si>
  <si>
    <t>房地产评估(年审)</t>
  </si>
  <si>
    <t>AppraisalOrg0203</t>
  </si>
  <si>
    <t>土地评估(年审)</t>
  </si>
  <si>
    <t>AppraisalOrg0204</t>
  </si>
  <si>
    <t>其他资产评估(年审)</t>
  </si>
  <si>
    <t>AppraisalOrg03</t>
  </si>
  <si>
    <t>特殊评估</t>
  </si>
  <si>
    <t>码值：税收政策</t>
  </si>
  <si>
    <t>税收政策</t>
  </si>
  <si>
    <t>优惠政策</t>
  </si>
  <si>
    <t>一般政策</t>
  </si>
  <si>
    <t>惩罚政策</t>
  </si>
  <si>
    <t>码值：UseOfProcessds</t>
  </si>
  <si>
    <t>UseOfProcessds</t>
  </si>
  <si>
    <t>用于自身经营</t>
  </si>
  <si>
    <t>用于政府项目投资</t>
  </si>
  <si>
    <t>码值：RelatedTransationStatus</t>
  </si>
  <si>
    <t>RelatedTransationStatus</t>
  </si>
  <si>
    <t>码值：ReceivableRisk</t>
  </si>
  <si>
    <t>ReceivableRisk</t>
  </si>
  <si>
    <t xml:space="preserve">超过90天的应收账款余额占应收账款比例小于10%
</t>
  </si>
  <si>
    <t>超过90天的应收账款余额占应收账款比例小于30%</t>
  </si>
  <si>
    <t>超过90天的应收账款余额占应收账款比例小于50%</t>
  </si>
  <si>
    <t>超过120天的应收账款余额占应收账款比例小于30%</t>
  </si>
  <si>
    <t>超过120天的应收账款余额占应收账款比例小于50%</t>
  </si>
  <si>
    <t>码值：支持力度</t>
  </si>
  <si>
    <t>支持力度</t>
  </si>
  <si>
    <t>&lt;20%</t>
  </si>
  <si>
    <t>码值：SMEIndustryType</t>
  </si>
  <si>
    <t>SMEIndustryType</t>
  </si>
  <si>
    <t>中小企业客户类型</t>
  </si>
  <si>
    <t>工业企业</t>
  </si>
  <si>
    <t>建筑业企业</t>
  </si>
  <si>
    <t>批发业企业</t>
  </si>
  <si>
    <t>零售业企业</t>
  </si>
  <si>
    <t>交通运输业企业</t>
  </si>
  <si>
    <t>邮政业企业</t>
  </si>
  <si>
    <t>住宿和餐馆业企业</t>
  </si>
  <si>
    <t>农林牧渔企业</t>
  </si>
  <si>
    <t>仓储企业</t>
  </si>
  <si>
    <t>房产企业</t>
  </si>
  <si>
    <t>金融企业</t>
  </si>
  <si>
    <t>地质勘察和水利环境管理企业</t>
  </si>
  <si>
    <t>文体、娱乐企业</t>
  </si>
  <si>
    <t>信息传输企业</t>
  </si>
  <si>
    <t>计算机服务及软件企业</t>
  </si>
  <si>
    <t>租赁企业</t>
  </si>
  <si>
    <t>商务及科技服务企业</t>
  </si>
  <si>
    <t>居民服务企业</t>
  </si>
  <si>
    <t>990</t>
  </si>
  <si>
    <t>码值：FinanceBelong</t>
  </si>
  <si>
    <t>FinanceBelong</t>
  </si>
  <si>
    <t>财务报表类型</t>
  </si>
  <si>
    <t>000</t>
  </si>
  <si>
    <t>通用财务报表</t>
  </si>
  <si>
    <t>019</t>
  </si>
  <si>
    <t>事业类单位财务报表</t>
  </si>
  <si>
    <t>新会计准则报表</t>
  </si>
  <si>
    <t>个体经营户财务报表</t>
  </si>
  <si>
    <t>保险公司财务报表</t>
  </si>
  <si>
    <t>财务公司新准则财务报表</t>
  </si>
  <si>
    <t>担保公司财务报表</t>
  </si>
  <si>
    <t>外资银行财务报表</t>
  </si>
  <si>
    <t>信托公司新准则财务报表</t>
  </si>
  <si>
    <t>证券公司新准则财务报表</t>
  </si>
  <si>
    <t>中资银行新准则财务报表</t>
  </si>
  <si>
    <t>中小学报表</t>
  </si>
  <si>
    <t>高校报表</t>
  </si>
  <si>
    <t>医疗卫生行业报表</t>
  </si>
  <si>
    <t>码值：ClrTableName</t>
  </si>
  <si>
    <t>ClrTableName</t>
  </si>
  <si>
    <t>押品表名</t>
  </si>
  <si>
    <t>金融类质押品表</t>
  </si>
  <si>
    <t>交通和机械设备表</t>
  </si>
  <si>
    <t>实物存货/贷权/出口退税账户表</t>
  </si>
  <si>
    <t>资源资产表</t>
  </si>
  <si>
    <t>特殊建筑构造物表</t>
  </si>
  <si>
    <t>可转让知识产权中的财产权表</t>
  </si>
  <si>
    <t>房地产/土地使用权/在建工程表</t>
  </si>
  <si>
    <t>应收账款表</t>
  </si>
  <si>
    <t>码值：AccountType</t>
  </si>
  <si>
    <t>AccountType</t>
  </si>
  <si>
    <t>账号类型</t>
  </si>
  <si>
    <t>存款帐户</t>
  </si>
  <si>
    <t>贷款帐户</t>
  </si>
  <si>
    <t>暂无</t>
  </si>
  <si>
    <t>行外账户</t>
  </si>
  <si>
    <t>其他行内账户</t>
  </si>
  <si>
    <t>码值：ProductServiceSupply</t>
  </si>
  <si>
    <t>ProductServiceSupply</t>
  </si>
  <si>
    <t>大</t>
  </si>
  <si>
    <t>小</t>
  </si>
  <si>
    <t>码值：CreditSingleIndUndMain</t>
  </si>
  <si>
    <t>CreditSingleIndUndMain</t>
  </si>
  <si>
    <t>码值：AcceptReceiptInfo</t>
  </si>
  <si>
    <t>AcceptReceiptInfo</t>
  </si>
  <si>
    <t>接收银行账单方式</t>
  </si>
  <si>
    <t>电子对账单</t>
  </si>
  <si>
    <t>纸质对账单</t>
  </si>
  <si>
    <t>码值：SMECreditSAbility</t>
  </si>
  <si>
    <t>SMECreditSAbility</t>
  </si>
  <si>
    <t>股东实力</t>
  </si>
  <si>
    <t>码值：QuickQueryList</t>
  </si>
  <si>
    <t>QuickQueryList</t>
  </si>
  <si>
    <t>快速查询</t>
  </si>
  <si>
    <t>信贷系统快速查询</t>
  </si>
  <si>
    <t>01001</t>
  </si>
  <si>
    <t>客户信息快速查询</t>
  </si>
  <si>
    <t>0100101</t>
  </si>
  <si>
    <t>大型企业快速查询</t>
  </si>
  <si>
    <t>0100102</t>
  </si>
  <si>
    <t>集团客户快速查询</t>
  </si>
  <si>
    <t>0100103</t>
  </si>
  <si>
    <t>个人客户快速查询</t>
  </si>
  <si>
    <t>0100104</t>
  </si>
  <si>
    <t>中小企业快速查询</t>
  </si>
  <si>
    <t>0100105</t>
  </si>
  <si>
    <t>同业客户快速查询</t>
  </si>
  <si>
    <t>0100106</t>
  </si>
  <si>
    <t>个体经营户快速查询</t>
  </si>
  <si>
    <t>0100107</t>
  </si>
  <si>
    <t>信用等级评估快速查询</t>
  </si>
  <si>
    <t>0100108</t>
  </si>
  <si>
    <t>公司客户快速查询</t>
  </si>
  <si>
    <t>0100109</t>
  </si>
  <si>
    <t>0100110</t>
  </si>
  <si>
    <t>合作方快速查询</t>
  </si>
  <si>
    <t>0100111</t>
  </si>
  <si>
    <t>客户群快速查询</t>
  </si>
  <si>
    <t>0100112</t>
  </si>
  <si>
    <t>名单制客户快速查询</t>
  </si>
  <si>
    <t>01002</t>
  </si>
  <si>
    <t>授信申请审批信息快速查询</t>
  </si>
  <si>
    <t>0100201</t>
  </si>
  <si>
    <t>申请信息快速查询</t>
  </si>
  <si>
    <t>0100202</t>
  </si>
  <si>
    <t>最终审批意见快速查询</t>
  </si>
  <si>
    <t>0100212</t>
  </si>
  <si>
    <t>01003</t>
  </si>
  <si>
    <t>签约放款快速查询</t>
  </si>
  <si>
    <t>0100301</t>
  </si>
  <si>
    <t>业务合同信息快速查询</t>
  </si>
  <si>
    <t>0100302</t>
  </si>
  <si>
    <t>借据信息快速查询</t>
  </si>
  <si>
    <t>01004</t>
  </si>
  <si>
    <t>贷后信息快速查询</t>
  </si>
  <si>
    <t>0100401</t>
  </si>
  <si>
    <t>0100402</t>
  </si>
  <si>
    <t>0100403</t>
  </si>
  <si>
    <t>资产风险分类快速查询</t>
  </si>
  <si>
    <t>01006</t>
  </si>
  <si>
    <t>0100601</t>
  </si>
  <si>
    <t>0100602</t>
  </si>
  <si>
    <t>办结业务</t>
  </si>
  <si>
    <t>01007</t>
  </si>
  <si>
    <t>预警信息快速查询</t>
  </si>
  <si>
    <t>0100701</t>
  </si>
  <si>
    <t>预警信号汇总表</t>
  </si>
  <si>
    <t>01008</t>
  </si>
  <si>
    <t>押品信息快速查询</t>
  </si>
  <si>
    <t>0100801</t>
  </si>
  <si>
    <t>担保合同信息快速查询</t>
  </si>
  <si>
    <t>0100802</t>
  </si>
  <si>
    <t>抵质押物快速查询</t>
  </si>
  <si>
    <t>01009</t>
  </si>
  <si>
    <t>贷款余额快速查询</t>
  </si>
  <si>
    <t>0100901</t>
  </si>
  <si>
    <t>表内业务贷款余额</t>
  </si>
  <si>
    <t>0100902</t>
  </si>
  <si>
    <t>表外/中间业务贷款余额</t>
  </si>
  <si>
    <t>0100903</t>
  </si>
  <si>
    <t>累放累收信息查询</t>
  </si>
  <si>
    <t>其他查询</t>
  </si>
  <si>
    <t>0101001</t>
  </si>
  <si>
    <t>按揭贷款快速查询</t>
  </si>
  <si>
    <t>0101002</t>
  </si>
  <si>
    <t>展期台帐快速查询</t>
  </si>
  <si>
    <t>0101003</t>
  </si>
  <si>
    <t>贴现余额快速查询</t>
  </si>
  <si>
    <t>0101004</t>
  </si>
  <si>
    <t>业务量统计查询</t>
  </si>
  <si>
    <t>资产保全快速查询</t>
  </si>
  <si>
    <t>05001</t>
  </si>
  <si>
    <t>不良资产快速查询</t>
  </si>
  <si>
    <t>05002</t>
  </si>
  <si>
    <t>催收函快速查询</t>
  </si>
  <si>
    <t>05003</t>
  </si>
  <si>
    <t>重组方案快速查询</t>
  </si>
  <si>
    <t>05005</t>
  </si>
  <si>
    <t>法律事务快速查询</t>
  </si>
  <si>
    <t>05006</t>
  </si>
  <si>
    <t>抵债资产快速查询</t>
  </si>
  <si>
    <t>码值：RePrinFreq</t>
  </si>
  <si>
    <t>RePrinFreq</t>
  </si>
  <si>
    <t>还款频率</t>
  </si>
  <si>
    <t>按月</t>
  </si>
  <si>
    <t>按季</t>
  </si>
  <si>
    <t>一次</t>
  </si>
  <si>
    <t>按半年</t>
  </si>
  <si>
    <t>按年</t>
  </si>
  <si>
    <t>按双周</t>
  </si>
  <si>
    <t>码值：AgencyKind</t>
  </si>
  <si>
    <t>AgencyKind</t>
  </si>
  <si>
    <t>代理性质</t>
  </si>
  <si>
    <t>合伙</t>
  </si>
  <si>
    <t>合作</t>
  </si>
  <si>
    <t>国有</t>
  </si>
  <si>
    <t>股份</t>
  </si>
  <si>
    <t>有限</t>
  </si>
  <si>
    <t>码值：IndestryExperience</t>
  </si>
  <si>
    <t>IndestryExperience</t>
  </si>
  <si>
    <t>3个及3个以上</t>
  </si>
  <si>
    <t>2个</t>
  </si>
  <si>
    <t>1个</t>
  </si>
  <si>
    <t>码值：FinishType</t>
  </si>
  <si>
    <t>FinishType</t>
  </si>
  <si>
    <t>终结类型</t>
  </si>
  <si>
    <t>净收回/兑付</t>
  </si>
  <si>
    <t>售出</t>
  </si>
  <si>
    <t>核销</t>
  </si>
  <si>
    <t>0601</t>
  </si>
  <si>
    <t>0602</t>
  </si>
  <si>
    <t>转贴现(卖出)</t>
  </si>
  <si>
    <t>再贴现</t>
  </si>
  <si>
    <t>逆回购</t>
  </si>
  <si>
    <t>发生垫款(表外业务)</t>
  </si>
  <si>
    <t>码值：ClrStatus</t>
  </si>
  <si>
    <t>ClrStatus</t>
  </si>
  <si>
    <t>押品状态</t>
  </si>
  <si>
    <t>冻结</t>
  </si>
  <si>
    <t>已处置</t>
  </si>
  <si>
    <t>已作废</t>
  </si>
  <si>
    <t>码值：EdocParamType</t>
  </si>
  <si>
    <t>EdocParamType</t>
  </si>
  <si>
    <t>电子合同参数类型</t>
  </si>
  <si>
    <t>PICTURE</t>
  </si>
  <si>
    <t>图片</t>
  </si>
  <si>
    <t>TABLE</t>
  </si>
  <si>
    <t>表格</t>
  </si>
  <si>
    <t>文字</t>
  </si>
  <si>
    <t>TEXTAREA</t>
  </si>
  <si>
    <t>文字区域</t>
  </si>
  <si>
    <t>码值：CreditSingleUnderFMain</t>
  </si>
  <si>
    <t>CreditSingleUnderFMain</t>
  </si>
  <si>
    <t>码值：TechnologyAdvancement</t>
  </si>
  <si>
    <t>TechnologyAdvancement</t>
  </si>
  <si>
    <t>技术和设计完全可靠，并且市场上没有出现更领先的技术</t>
  </si>
  <si>
    <t>技术和设计可靠</t>
  </si>
  <si>
    <t>技术和设计不可靠/存在技术问题和/或设计复杂</t>
  </si>
  <si>
    <t>码值：GroundCharacter</t>
  </si>
  <si>
    <t>GroundCharacter</t>
  </si>
  <si>
    <t>土地权使用性质</t>
  </si>
  <si>
    <t>集体</t>
  </si>
  <si>
    <t>码值：CommercialInsurance</t>
  </si>
  <si>
    <t>CommercialInsurance</t>
  </si>
  <si>
    <t>码值：技术及服务的先进性</t>
  </si>
  <si>
    <t>技术及服务的先进性</t>
  </si>
  <si>
    <t>先进</t>
  </si>
  <si>
    <t>较先进</t>
  </si>
  <si>
    <t>落后</t>
  </si>
  <si>
    <t>码值：BondStockType</t>
  </si>
  <si>
    <t>BondStockType</t>
  </si>
  <si>
    <t>债券上市类别</t>
  </si>
  <si>
    <t>上市债券</t>
  </si>
  <si>
    <t>非上市债券</t>
  </si>
  <si>
    <t>码值：在本行信用记录</t>
  </si>
  <si>
    <t>在本行信用记录</t>
  </si>
  <si>
    <t>码值：sGeographicPosition</t>
  </si>
  <si>
    <t>sGeographicPosition</t>
  </si>
  <si>
    <t>直辖市</t>
  </si>
  <si>
    <t>副省级及省会城市</t>
  </si>
  <si>
    <t>地级市（包括相当于地级市级别的行政单位，例如直辖市的区</t>
  </si>
  <si>
    <t>码值：Document</t>
  </si>
  <si>
    <t>Document</t>
  </si>
  <si>
    <t>文档管理</t>
  </si>
  <si>
    <t>客户相关文档</t>
  </si>
  <si>
    <t>业务相关文档</t>
  </si>
  <si>
    <t>申请相关文档</t>
  </si>
  <si>
    <t>批复相关文档</t>
  </si>
  <si>
    <t>合同相关文档</t>
  </si>
  <si>
    <t>资产保全相关文档</t>
  </si>
  <si>
    <t>重组方案相关文档</t>
  </si>
  <si>
    <t>法律诉讼相关文档</t>
  </si>
  <si>
    <t>抵债资产相关文档</t>
  </si>
  <si>
    <t>其它文档</t>
  </si>
  <si>
    <t>码值：ShiftType</t>
  </si>
  <si>
    <t>ShiftType</t>
  </si>
  <si>
    <t>移交类型</t>
  </si>
  <si>
    <t>审批移交</t>
  </si>
  <si>
    <t>客户移交</t>
  </si>
  <si>
    <t>码值：额度使用率</t>
  </si>
  <si>
    <t>额度使用率</t>
  </si>
  <si>
    <t>&gt;=0.9</t>
  </si>
  <si>
    <t>(0.9,0.75]</t>
  </si>
  <si>
    <t>(0.75,0.5]</t>
  </si>
  <si>
    <t>&lt;=0.5</t>
  </si>
  <si>
    <t>码值：GroupIrregularCheckMain</t>
  </si>
  <si>
    <t>GroupIrregularCheckMain</t>
  </si>
  <si>
    <t>集团公司客户不定期贷后检查申请</t>
  </si>
  <si>
    <t>码值：ParamDisplayTypeName</t>
  </si>
  <si>
    <t>ParamDisplayTypeName</t>
  </si>
  <si>
    <t>输入形式</t>
  </si>
  <si>
    <t>HORIZONTAL_CHECKBOX</t>
  </si>
  <si>
    <t>横向多选框</t>
  </si>
  <si>
    <t>HORIZONTAL_RADIO</t>
  </si>
  <si>
    <t>横向单选按钮</t>
  </si>
  <si>
    <t>OTHER</t>
  </si>
  <si>
    <t>SELECT</t>
  </si>
  <si>
    <t>下拉框</t>
  </si>
  <si>
    <t>VERTICAL_CHECKBOX</t>
  </si>
  <si>
    <t>纵向多选框</t>
  </si>
  <si>
    <t>VERTICAL_RADIO</t>
  </si>
  <si>
    <t>纵向单选按钮</t>
  </si>
  <si>
    <t>码值：CounterpartyType</t>
  </si>
  <si>
    <t>CounterpartyType</t>
  </si>
  <si>
    <t>交易对手类型</t>
  </si>
  <si>
    <t>境内同业-银行</t>
  </si>
  <si>
    <t>境内同业-非银行金融机构</t>
  </si>
  <si>
    <t>境内非同业-机构</t>
  </si>
  <si>
    <t>境内非同业-个体工商户</t>
  </si>
  <si>
    <t>境内非同业-个人</t>
  </si>
  <si>
    <t>境外</t>
  </si>
  <si>
    <t>码值：FinanceDisposeView</t>
  </si>
  <si>
    <t>FinanceDisposeView</t>
  </si>
  <si>
    <t>财务报表配置树图</t>
  </si>
  <si>
    <t>财务报表配置</t>
  </si>
  <si>
    <t>会计科目维护</t>
  </si>
  <si>
    <t>码值：PLASTUSTATUS</t>
  </si>
  <si>
    <t>PLASTUSTATUS</t>
  </si>
  <si>
    <t>平面结构优劣度</t>
  </si>
  <si>
    <t>合理</t>
  </si>
  <si>
    <t>较合理</t>
  </si>
  <si>
    <t>较不合理</t>
  </si>
  <si>
    <t>不合理</t>
  </si>
  <si>
    <t>码值：LocalGovernmentLevel</t>
  </si>
  <si>
    <t>LocalGovernmentLevel</t>
  </si>
  <si>
    <t>地级市</t>
  </si>
  <si>
    <t>县级市</t>
  </si>
  <si>
    <t>乡镇政府</t>
  </si>
  <si>
    <t>码值：RealtyAuthLevel</t>
  </si>
  <si>
    <t>RealtyAuthLevel</t>
  </si>
  <si>
    <t>合作方开发资质</t>
  </si>
  <si>
    <t>码值：Currency</t>
  </si>
  <si>
    <t>Currency</t>
  </si>
  <si>
    <t>AED</t>
  </si>
  <si>
    <t>阿联酋迪拉姆</t>
  </si>
  <si>
    <t>ALL</t>
  </si>
  <si>
    <t>阿尔尼亚列克</t>
  </si>
  <si>
    <t>ATS</t>
  </si>
  <si>
    <t>奥地利先令</t>
  </si>
  <si>
    <t>AUD</t>
  </si>
  <si>
    <t>澳大利亚元</t>
  </si>
  <si>
    <t>BDT</t>
  </si>
  <si>
    <t>孟加拉国塔卡</t>
  </si>
  <si>
    <t>BEF</t>
  </si>
  <si>
    <t>比利时法郎</t>
  </si>
  <si>
    <t>BGL</t>
  </si>
  <si>
    <t>保加利亚列瓦</t>
  </si>
  <si>
    <t>BHD</t>
  </si>
  <si>
    <t>巴林第纳尔</t>
  </si>
  <si>
    <t>BIF</t>
  </si>
  <si>
    <t>布隆迪法郎</t>
  </si>
  <si>
    <t>BRL</t>
  </si>
  <si>
    <t>巴西里亚尔</t>
  </si>
  <si>
    <t>BUK</t>
  </si>
  <si>
    <t>缅甸币</t>
  </si>
  <si>
    <t>BWP</t>
  </si>
  <si>
    <t>博茨瓦纳普拉</t>
  </si>
  <si>
    <t>CAD</t>
  </si>
  <si>
    <t>加拿大元</t>
  </si>
  <si>
    <t>CFC</t>
  </si>
  <si>
    <t>记帐法国法郎</t>
  </si>
  <si>
    <t>CHF</t>
  </si>
  <si>
    <t>瑞士法郎</t>
  </si>
  <si>
    <t>CNY</t>
  </si>
  <si>
    <t>人民币</t>
  </si>
  <si>
    <t>CPS</t>
  </si>
  <si>
    <t>记帐英镑</t>
  </si>
  <si>
    <t>CSF</t>
  </si>
  <si>
    <t>记帐瑞士法郎</t>
  </si>
  <si>
    <t>CSK</t>
  </si>
  <si>
    <t>捷克克朗</t>
  </si>
  <si>
    <t>CUR</t>
  </si>
  <si>
    <t>清算卢布</t>
  </si>
  <si>
    <t>CUS</t>
  </si>
  <si>
    <t>记帐美元</t>
  </si>
  <si>
    <t>CYP</t>
  </si>
  <si>
    <t>塞浦路斯镑</t>
  </si>
  <si>
    <t>DEM</t>
  </si>
  <si>
    <t>德国马克</t>
  </si>
  <si>
    <t>DKK</t>
  </si>
  <si>
    <t>丹麦克朗</t>
  </si>
  <si>
    <t>DZD</t>
  </si>
  <si>
    <t>阿尔及利亚第纳</t>
  </si>
  <si>
    <t>EGP</t>
  </si>
  <si>
    <t>埃及镑</t>
  </si>
  <si>
    <t>ESP</t>
  </si>
  <si>
    <t>西班牙比塞塔</t>
  </si>
  <si>
    <t>ETB</t>
  </si>
  <si>
    <t>埃塞俄比亚比尔</t>
  </si>
  <si>
    <t>EUR</t>
  </si>
  <si>
    <t>欧元</t>
  </si>
  <si>
    <t>FIM</t>
  </si>
  <si>
    <t>芬兰马克</t>
  </si>
  <si>
    <t>FRF</t>
  </si>
  <si>
    <t>法国法郎</t>
  </si>
  <si>
    <t>GBP</t>
  </si>
  <si>
    <t>英镑</t>
  </si>
  <si>
    <t>GHC</t>
  </si>
  <si>
    <t>加纳塞地</t>
  </si>
  <si>
    <t>GNS</t>
  </si>
  <si>
    <t>几内亚西里</t>
  </si>
  <si>
    <t>GRD</t>
  </si>
  <si>
    <t>希腊德拉马克</t>
  </si>
  <si>
    <t>HKD</t>
  </si>
  <si>
    <t>港币</t>
  </si>
  <si>
    <t>HUF</t>
  </si>
  <si>
    <t>匈牙利福林</t>
  </si>
  <si>
    <t>IDR</t>
  </si>
  <si>
    <t>印度尼西亚卢比</t>
  </si>
  <si>
    <t>INR</t>
  </si>
  <si>
    <t>印度罗比</t>
  </si>
  <si>
    <t>IQD</t>
  </si>
  <si>
    <t>伊拉克地纳尔</t>
  </si>
  <si>
    <t>IRR</t>
  </si>
  <si>
    <t>伊朗里亚尔</t>
  </si>
  <si>
    <t>ITL</t>
  </si>
  <si>
    <t>意大利里拉</t>
  </si>
  <si>
    <t>JOD</t>
  </si>
  <si>
    <t>约旦第纳尔</t>
  </si>
  <si>
    <t>JPY</t>
  </si>
  <si>
    <t>日元</t>
  </si>
  <si>
    <t>KES</t>
  </si>
  <si>
    <t>肯尼亚先令</t>
  </si>
  <si>
    <t>KPW</t>
  </si>
  <si>
    <t>朝鲜币</t>
  </si>
  <si>
    <t>KRW</t>
  </si>
  <si>
    <t>韩元</t>
  </si>
  <si>
    <t>KWD</t>
  </si>
  <si>
    <t>科威特第纳尔</t>
  </si>
  <si>
    <t>LKR</t>
  </si>
  <si>
    <t>斯里兰卡卢比</t>
  </si>
  <si>
    <t>LYD</t>
  </si>
  <si>
    <t>利比亚第纳尔</t>
  </si>
  <si>
    <t>MAD</t>
  </si>
  <si>
    <t>摩洛哥地拉姆</t>
  </si>
  <si>
    <t>MGF</t>
  </si>
  <si>
    <t>马达加斯加法郎</t>
  </si>
  <si>
    <t>MLF</t>
  </si>
  <si>
    <t>马里法郎</t>
  </si>
  <si>
    <t>MNT</t>
  </si>
  <si>
    <t>蒙古图格里克</t>
  </si>
  <si>
    <t>MOP</t>
  </si>
  <si>
    <t>澳门元</t>
  </si>
  <si>
    <t>MUR</t>
  </si>
  <si>
    <t>毛里求斯卢比</t>
  </si>
  <si>
    <t>MXP</t>
  </si>
  <si>
    <t>墨西哥比索</t>
  </si>
  <si>
    <t>MYR</t>
  </si>
  <si>
    <t>马来西亚林吉特</t>
  </si>
  <si>
    <t>NGN</t>
  </si>
  <si>
    <t>尼日利亚奈拉</t>
  </si>
  <si>
    <t>NLG</t>
  </si>
  <si>
    <t>荷兰盾</t>
  </si>
  <si>
    <t>NOK</t>
  </si>
  <si>
    <t>挪威克朗</t>
  </si>
  <si>
    <t>NPR</t>
  </si>
  <si>
    <t>尼泊尔卢比</t>
  </si>
  <si>
    <t>NZD</t>
  </si>
  <si>
    <t>新西兰元</t>
  </si>
  <si>
    <t>PGK</t>
  </si>
  <si>
    <t>巴布亚新基那</t>
  </si>
  <si>
    <t>PHP</t>
  </si>
  <si>
    <t>菲律宾比索</t>
  </si>
  <si>
    <t>PKR</t>
  </si>
  <si>
    <t>巴基斯坦卢比</t>
  </si>
  <si>
    <t>PLZ</t>
  </si>
  <si>
    <t>波兰兹罗提</t>
  </si>
  <si>
    <t>ROL</t>
  </si>
  <si>
    <t>罗马尼亚列依</t>
  </si>
  <si>
    <t>RUB</t>
  </si>
  <si>
    <t>俄国卢布</t>
  </si>
  <si>
    <t>RWF</t>
  </si>
  <si>
    <t>卢旺达法郎</t>
  </si>
  <si>
    <t>SCR</t>
  </si>
  <si>
    <t>塞舌尔卢比</t>
  </si>
  <si>
    <t>SDP</t>
  </si>
  <si>
    <t>苏丹镑</t>
  </si>
  <si>
    <t>SEK</t>
  </si>
  <si>
    <t>瑞典克朗</t>
  </si>
  <si>
    <t>SGD</t>
  </si>
  <si>
    <t>新加坡元</t>
  </si>
  <si>
    <t>SLL</t>
  </si>
  <si>
    <t>塞拉利昂</t>
  </si>
  <si>
    <t>SUR</t>
  </si>
  <si>
    <t>苏联卢布</t>
  </si>
  <si>
    <t>SYP</t>
  </si>
  <si>
    <t>叙利亚镑</t>
  </si>
  <si>
    <t>THB</t>
  </si>
  <si>
    <t>泰国铢</t>
  </si>
  <si>
    <t>TND</t>
  </si>
  <si>
    <t>突尼斯第纳尔</t>
  </si>
  <si>
    <t>TRL</t>
  </si>
  <si>
    <t>土耳其里拉</t>
  </si>
  <si>
    <t>TWD</t>
  </si>
  <si>
    <t>台湾元</t>
  </si>
  <si>
    <t>TZS</t>
  </si>
  <si>
    <t>坦桑尼亚先令</t>
  </si>
  <si>
    <t>UDM</t>
  </si>
  <si>
    <t>蒙古美元</t>
  </si>
  <si>
    <t>USD</t>
  </si>
  <si>
    <t>美元</t>
  </si>
  <si>
    <t>VND</t>
  </si>
  <si>
    <t>越南盾</t>
  </si>
  <si>
    <t>XAG</t>
  </si>
  <si>
    <t>白银</t>
  </si>
  <si>
    <t>XAU</t>
  </si>
  <si>
    <t>黄金</t>
  </si>
  <si>
    <t>XDR</t>
  </si>
  <si>
    <t>特别提款权</t>
  </si>
  <si>
    <t>XEU</t>
  </si>
  <si>
    <t>欧洲货币单位</t>
  </si>
  <si>
    <t>XOF</t>
  </si>
  <si>
    <t>西非共同体法郎</t>
  </si>
  <si>
    <t>YER</t>
  </si>
  <si>
    <t>也门里亚尔</t>
  </si>
  <si>
    <t>ZMK</t>
  </si>
  <si>
    <t>赞比亚克瓦查</t>
  </si>
  <si>
    <t>码值：TransactionCode</t>
  </si>
  <si>
    <t>TransactionCode</t>
  </si>
  <si>
    <t>交易代码</t>
  </si>
  <si>
    <t>P001</t>
  </si>
  <si>
    <t>贷款发放</t>
  </si>
  <si>
    <t>P002</t>
  </si>
  <si>
    <t>贷款发放冲销</t>
  </si>
  <si>
    <t>P003</t>
  </si>
  <si>
    <t>贷款展期</t>
  </si>
  <si>
    <t>P004</t>
  </si>
  <si>
    <t>贷款展期冲销</t>
  </si>
  <si>
    <t>P005</t>
  </si>
  <si>
    <t>承兑汇票出帐</t>
  </si>
  <si>
    <t>P006</t>
  </si>
  <si>
    <t>承兑汇票出帐冲销</t>
  </si>
  <si>
    <t>P007</t>
  </si>
  <si>
    <t>保函出帐</t>
  </si>
  <si>
    <t>P008</t>
  </si>
  <si>
    <t>保函出帐冲销</t>
  </si>
  <si>
    <t>P009</t>
  </si>
  <si>
    <t>贴现出帐</t>
  </si>
  <si>
    <t>P010</t>
  </si>
  <si>
    <t>贴现出帐冲销</t>
  </si>
  <si>
    <t>Q001</t>
  </si>
  <si>
    <t>客户开户查询</t>
  </si>
  <si>
    <t>Q002</t>
  </si>
  <si>
    <t>根据借据号查询借据余额</t>
  </si>
  <si>
    <t>码值：BondMode</t>
  </si>
  <si>
    <t>BondMode</t>
  </si>
  <si>
    <t>债券形态</t>
  </si>
  <si>
    <t>记名债券</t>
  </si>
  <si>
    <t>记名债券-记账式债券</t>
  </si>
  <si>
    <t>记名债券-凭证式债券</t>
  </si>
  <si>
    <t>不记名债券</t>
  </si>
  <si>
    <t>码值：行业关联度</t>
  </si>
  <si>
    <t>行业关联度</t>
  </si>
  <si>
    <t>较强</t>
  </si>
  <si>
    <t>码值：LimitUniqueType</t>
  </si>
  <si>
    <t>LimitUniqueType</t>
  </si>
  <si>
    <t>额度唯一类型</t>
  </si>
  <si>
    <t>全行唯一</t>
  </si>
  <si>
    <t>分行唯一</t>
  </si>
  <si>
    <t>支行唯一</t>
  </si>
  <si>
    <t>码值：ReserveApplyView</t>
  </si>
  <si>
    <t>ReserveApplyView</t>
  </si>
  <si>
    <t>码值：增加的总余额</t>
  </si>
  <si>
    <t>增加的总余额</t>
  </si>
  <si>
    <t>下降</t>
  </si>
  <si>
    <t>保持一样</t>
  </si>
  <si>
    <t>增加</t>
  </si>
  <si>
    <t>码值：CreditLineType</t>
  </si>
  <si>
    <t>CreditLineType</t>
  </si>
  <si>
    <t>授信额度类型</t>
  </si>
  <si>
    <t>对公综合授信额度</t>
  </si>
  <si>
    <t>个人综合授信额度</t>
  </si>
  <si>
    <t>集团综合授信额度</t>
  </si>
  <si>
    <t>4132451325</t>
  </si>
  <si>
    <t>fasdgh</t>
  </si>
  <si>
    <t>码值：EntIndustryType</t>
  </si>
  <si>
    <t>EntIndustryType</t>
  </si>
  <si>
    <t>企业行业分类</t>
  </si>
  <si>
    <t>建筑业</t>
  </si>
  <si>
    <t>02040</t>
  </si>
  <si>
    <t>批发业</t>
  </si>
  <si>
    <t>02050</t>
  </si>
  <si>
    <t>零售业</t>
  </si>
  <si>
    <t>02060</t>
  </si>
  <si>
    <t>交通运输业</t>
  </si>
  <si>
    <t>02070</t>
  </si>
  <si>
    <t>仓储业</t>
  </si>
  <si>
    <t>02080</t>
  </si>
  <si>
    <t>邮政业</t>
  </si>
  <si>
    <t>02090</t>
  </si>
  <si>
    <t>住宿业</t>
  </si>
  <si>
    <t>02100</t>
  </si>
  <si>
    <t>餐饮业</t>
  </si>
  <si>
    <t>02110</t>
  </si>
  <si>
    <t>信息传输业</t>
  </si>
  <si>
    <t>02120</t>
  </si>
  <si>
    <t>软件和信息技术服务业</t>
  </si>
  <si>
    <t>02130</t>
  </si>
  <si>
    <t>房地产开发运营</t>
  </si>
  <si>
    <t>02140</t>
  </si>
  <si>
    <t>物业管理</t>
  </si>
  <si>
    <t>02150</t>
  </si>
  <si>
    <t>租赁和商务服务业</t>
  </si>
  <si>
    <t>02160</t>
  </si>
  <si>
    <t>其他未列明行业</t>
  </si>
  <si>
    <t>码值：FundsType</t>
  </si>
  <si>
    <t>FundsType</t>
  </si>
  <si>
    <t>帐款类型</t>
  </si>
  <si>
    <t>应收</t>
  </si>
  <si>
    <t>其他应收</t>
  </si>
  <si>
    <t>应付</t>
  </si>
  <si>
    <t>其他应付</t>
  </si>
  <si>
    <t>预收</t>
  </si>
  <si>
    <t>码值：OrgNature</t>
  </si>
  <si>
    <t>OrgNature</t>
  </si>
  <si>
    <t>客户类型</t>
  </si>
  <si>
    <t>法人企业</t>
  </si>
  <si>
    <t>非法人企业</t>
  </si>
  <si>
    <t>个体工商户</t>
  </si>
  <si>
    <t>事业单位</t>
  </si>
  <si>
    <t>社会团体</t>
  </si>
  <si>
    <t>党政机关</t>
  </si>
  <si>
    <t>金融机构</t>
  </si>
  <si>
    <t>码值：BusinessScope</t>
  </si>
  <si>
    <t>BusinessScope</t>
  </si>
  <si>
    <t>收费权</t>
  </si>
  <si>
    <t>广告经营权</t>
  </si>
  <si>
    <t>服务设施经营权</t>
  </si>
  <si>
    <t>码值：ProductType</t>
  </si>
  <si>
    <t>ProductType</t>
  </si>
  <si>
    <t>产品类型</t>
  </si>
  <si>
    <t>基础产品</t>
  </si>
  <si>
    <t>方案产品</t>
  </si>
  <si>
    <t>码值：ProjectProgressType</t>
  </si>
  <si>
    <t>ProjectProgressType</t>
  </si>
  <si>
    <t>项目进度</t>
  </si>
  <si>
    <t>启动过程</t>
  </si>
  <si>
    <t>计划过程</t>
  </si>
  <si>
    <t>执行过程</t>
  </si>
  <si>
    <t>控制过程</t>
  </si>
  <si>
    <t>收尾过程</t>
  </si>
  <si>
    <t>码值：ButtonSetBC</t>
  </si>
  <si>
    <t>ButtonSetBC</t>
  </si>
  <si>
    <t>合同阶段按钮组</t>
  </si>
  <si>
    <t>回退任务</t>
  </si>
  <si>
    <t>cancelApply</t>
  </si>
  <si>
    <t>取消申请</t>
  </si>
  <si>
    <t>completeTask</t>
  </si>
  <si>
    <t>提交任务</t>
  </si>
  <si>
    <t>creditCheck</t>
  </si>
  <si>
    <t>额度检查</t>
  </si>
  <si>
    <t>invalid</t>
  </si>
  <si>
    <t>newApply</t>
  </si>
  <si>
    <t>登记合同</t>
  </si>
  <si>
    <t>signOpinion</t>
  </si>
  <si>
    <t>takeBack</t>
  </si>
  <si>
    <t>主动撤回</t>
  </si>
  <si>
    <t>viewContract</t>
  </si>
  <si>
    <t>合同详情</t>
  </si>
  <si>
    <t>viewOpinions</t>
  </si>
  <si>
    <t>查看意见</t>
  </si>
  <si>
    <t>码值：IsAgree</t>
  </si>
  <si>
    <t>IsAgree</t>
  </si>
  <si>
    <t>是否允许</t>
  </si>
  <si>
    <t>允许</t>
  </si>
  <si>
    <t>不允许</t>
  </si>
  <si>
    <t>码值：HouseAttribute</t>
  </si>
  <si>
    <t>HouseAttribute</t>
  </si>
  <si>
    <t>商品住房</t>
  </si>
  <si>
    <t>经济适用住房</t>
  </si>
  <si>
    <t>限价商品住房</t>
  </si>
  <si>
    <t>车位</t>
  </si>
  <si>
    <t>码值：LimitShareType</t>
  </si>
  <si>
    <t>LimitShareType</t>
  </si>
  <si>
    <t>额度共享方式</t>
  </si>
  <si>
    <t>不共享</t>
  </si>
  <si>
    <t>串用</t>
  </si>
  <si>
    <t>超额切分</t>
  </si>
  <si>
    <t>码值：ClrEnterApproveMain</t>
  </si>
  <si>
    <t>ClrEnterApproveMain</t>
  </si>
  <si>
    <t>ClrEnter审批主树图</t>
  </si>
  <si>
    <t>码值：PartnerEntType</t>
  </si>
  <si>
    <t>PartnerEntType</t>
  </si>
  <si>
    <t>合作方公司客户类型</t>
  </si>
  <si>
    <t>房地产开发商</t>
  </si>
  <si>
    <t>一手楼销售代理商</t>
  </si>
  <si>
    <t>二手楼中介</t>
  </si>
  <si>
    <t>汽车经销商</t>
  </si>
  <si>
    <t>汽车生产商</t>
  </si>
  <si>
    <t>其他担保机构</t>
  </si>
  <si>
    <t>3010</t>
  </si>
  <si>
    <t>房地产评估机构</t>
  </si>
  <si>
    <t>3020</t>
  </si>
  <si>
    <t>按揭服务公司</t>
  </si>
  <si>
    <t>3030</t>
  </si>
  <si>
    <t>催收公司</t>
  </si>
  <si>
    <t>3040</t>
  </si>
  <si>
    <t>律师事务所</t>
  </si>
  <si>
    <t>委托公司</t>
  </si>
  <si>
    <t>委托人</t>
  </si>
  <si>
    <t>码值：MessageOrigin</t>
  </si>
  <si>
    <t>MessageOrigin</t>
  </si>
  <si>
    <t>消息源</t>
  </si>
  <si>
    <t>贷后监控活动</t>
  </si>
  <si>
    <t>关注媒体</t>
  </si>
  <si>
    <t>研究分析</t>
  </si>
  <si>
    <t>金融监管机构披露</t>
  </si>
  <si>
    <t>码值：质量管理</t>
  </si>
  <si>
    <t>质量管理</t>
  </si>
  <si>
    <t>码值：ParamDisplayType</t>
  </si>
  <si>
    <t>ParamDisplayType</t>
  </si>
  <si>
    <t>电子合同参数展现形式</t>
  </si>
  <si>
    <t>CHNNUM</t>
  </si>
  <si>
    <t>中文数字</t>
  </si>
  <si>
    <t>NUM</t>
  </si>
  <si>
    <t>阿拉伯数字</t>
  </si>
  <si>
    <t>NUM_2_DECIMAL</t>
  </si>
  <si>
    <t>数字(2位小数)</t>
  </si>
  <si>
    <t>NUM_4_DECIMAL</t>
  </si>
  <si>
    <t>数字(4位小数)</t>
  </si>
  <si>
    <t>PIC</t>
  </si>
  <si>
    <t>码值：SEGRTPAmountFlag</t>
  </si>
  <si>
    <t>SEGRTPAmountFlag</t>
  </si>
  <si>
    <t>区段金额标示</t>
  </si>
  <si>
    <t>指定金额</t>
  </si>
  <si>
    <t>码值：CapitalPurposeIndCheckMain</t>
  </si>
  <si>
    <t>CapitalPurposeIndCheckMain</t>
  </si>
  <si>
    <t>个人资金用途监控申请主树图</t>
  </si>
  <si>
    <t>码值：AmountType</t>
  </si>
  <si>
    <t>AmountType</t>
  </si>
  <si>
    <t>金额类型</t>
  </si>
  <si>
    <t>本金+利息</t>
  </si>
  <si>
    <t>码值：LoginOne</t>
  </si>
  <si>
    <t>LoginOne</t>
  </si>
  <si>
    <t>单点登录</t>
  </si>
  <si>
    <t>是否启用单点登录</t>
  </si>
  <si>
    <t>码值：直接认定风险度</t>
  </si>
  <si>
    <t>直接认定风险度</t>
  </si>
  <si>
    <t>1)	不直接认定</t>
  </si>
  <si>
    <t>2)	逾期1－3个月，或欠息3－6个月</t>
  </si>
  <si>
    <t>3)	表外业务发生垫款3个月以内</t>
  </si>
  <si>
    <t>4)	贷款风险分类为次级</t>
  </si>
  <si>
    <t>5)	逾期3－6个月，或欠息6－9个月</t>
  </si>
  <si>
    <t>6)	表外业务发生垫款3－6个月</t>
  </si>
  <si>
    <t>7)	逾期6个月以上，或欠息9个月以上</t>
  </si>
  <si>
    <t>8)	表外业务发生垫款6个月以上</t>
  </si>
  <si>
    <t>9)	贷款风险分类为可疑</t>
  </si>
  <si>
    <t>10)	贷款风险分类为损失</t>
  </si>
  <si>
    <t>码值：GuarantyGroundAttribute</t>
  </si>
  <si>
    <t>GuarantyGroundAttribute</t>
  </si>
  <si>
    <t>担保土地性质</t>
  </si>
  <si>
    <t>划拔</t>
  </si>
  <si>
    <t>码值：RelateType</t>
  </si>
  <si>
    <t>RelateType</t>
  </si>
  <si>
    <t>相关性</t>
  </si>
  <si>
    <t>无相关</t>
  </si>
  <si>
    <t>一定相关性</t>
  </si>
  <si>
    <t>完全相关</t>
  </si>
  <si>
    <t>码值：CargoType</t>
  </si>
  <si>
    <t>CargoType</t>
  </si>
  <si>
    <t>货物类型</t>
  </si>
  <si>
    <t>黑色金属</t>
  </si>
  <si>
    <t>有色金属</t>
  </si>
  <si>
    <t>化工产品</t>
  </si>
  <si>
    <t>能源油品</t>
  </si>
  <si>
    <t>农产品</t>
  </si>
  <si>
    <t>煤炭</t>
  </si>
  <si>
    <t>木材</t>
  </si>
  <si>
    <t>成品纸</t>
  </si>
  <si>
    <t>白色家电</t>
  </si>
  <si>
    <t>实物黄金</t>
  </si>
  <si>
    <t>码值：TrueFalse</t>
  </si>
  <si>
    <t>TrueFalse</t>
  </si>
  <si>
    <t>码值：营销策略及措施</t>
  </si>
  <si>
    <t>营销策略及措施</t>
  </si>
  <si>
    <t>码值：AssureType</t>
  </si>
  <si>
    <t>AssureType</t>
  </si>
  <si>
    <t>保函类型</t>
  </si>
  <si>
    <t>开立保函授信</t>
  </si>
  <si>
    <t>0101010</t>
  </si>
  <si>
    <t>借款偿还保函</t>
  </si>
  <si>
    <t>0101020</t>
  </si>
  <si>
    <t>透支归还保函</t>
  </si>
  <si>
    <t>0101030</t>
  </si>
  <si>
    <t>银行授信额度保函</t>
  </si>
  <si>
    <t>0101040</t>
  </si>
  <si>
    <t>有价证券发行担保</t>
  </si>
  <si>
    <t>0101050</t>
  </si>
  <si>
    <t>租金偿还保函</t>
  </si>
  <si>
    <t>0101060</t>
  </si>
  <si>
    <t>补偿贸易保函</t>
  </si>
  <si>
    <t>0101070</t>
  </si>
  <si>
    <t>其他融资性保函</t>
  </si>
  <si>
    <t>0102010</t>
  </si>
  <si>
    <t>投标保函</t>
  </si>
  <si>
    <t>0102020</t>
  </si>
  <si>
    <t>履约保函</t>
  </si>
  <si>
    <t>0102030</t>
  </si>
  <si>
    <t>预付款保函</t>
  </si>
  <si>
    <t>0102040</t>
  </si>
  <si>
    <t>质量维修保函</t>
  </si>
  <si>
    <t>0102050</t>
  </si>
  <si>
    <t>付款保函</t>
  </si>
  <si>
    <t>0102060</t>
  </si>
  <si>
    <t>关税保付保函</t>
  </si>
  <si>
    <t>0102070</t>
  </si>
  <si>
    <t>承包工程保函</t>
  </si>
  <si>
    <t>0102080</t>
  </si>
  <si>
    <t>海事保函</t>
  </si>
  <si>
    <t>0102090</t>
  </si>
  <si>
    <t>诉讼保函</t>
  </si>
  <si>
    <t>0102091</t>
  </si>
  <si>
    <t>留置金保函</t>
  </si>
  <si>
    <t>0102092</t>
  </si>
  <si>
    <t>加工装配业务进口保函</t>
  </si>
  <si>
    <t>0102093</t>
  </si>
  <si>
    <t>0102094</t>
  </si>
  <si>
    <t>其他非融资性保函</t>
  </si>
  <si>
    <t>01030</t>
  </si>
  <si>
    <t>其他类保函</t>
  </si>
  <si>
    <t>码值：全国排名</t>
  </si>
  <si>
    <t>全国排名</t>
  </si>
  <si>
    <t>是前50强</t>
  </si>
  <si>
    <t>不是前50强</t>
  </si>
  <si>
    <t>码值：Growth</t>
  </si>
  <si>
    <t>Growth</t>
  </si>
  <si>
    <t>码值：DataInputMain</t>
  </si>
  <si>
    <t>DataInputMain</t>
  </si>
  <si>
    <t>数据补登主界面</t>
  </si>
  <si>
    <t>信贷业务数据</t>
  </si>
  <si>
    <t>需补登信贷业务</t>
  </si>
  <si>
    <t>补登完成信贷业务</t>
  </si>
  <si>
    <t>信贷业务补登统计</t>
  </si>
  <si>
    <t>已合并合同查询</t>
  </si>
  <si>
    <t>码值：个人全年收入</t>
  </si>
  <si>
    <t>个人全年收入</t>
  </si>
  <si>
    <t>5万元以上</t>
  </si>
  <si>
    <t xml:space="preserve">3万元－5万元(含5万元) </t>
  </si>
  <si>
    <t xml:space="preserve">3万元以下(含3万元) </t>
  </si>
  <si>
    <t>码值：场所</t>
  </si>
  <si>
    <t>场所</t>
  </si>
  <si>
    <t>房地产位于非常优越的地段，周边地段均价大于该城市/地区总体均价的两倍</t>
  </si>
  <si>
    <t>房地产位于优越的地段，周边地段均价小于该城市/地区总体均价的两倍但仍高于均价</t>
  </si>
  <si>
    <t>周边地段均价与该城市/地区总体均价相当</t>
  </si>
  <si>
    <t>房地产位置缺乏比较优势，周边地段均价低于该城市/地区的总体均价</t>
  </si>
  <si>
    <t>码值：ClewAndAlarmMain</t>
  </si>
  <si>
    <t>ClewAndAlarmMain</t>
  </si>
  <si>
    <t>业务提示</t>
  </si>
  <si>
    <t>7天内到期业务(含第7天)</t>
  </si>
  <si>
    <t>15天内到期业务(含第15天)</t>
  </si>
  <si>
    <t>30天内到期业务(含第30天)</t>
  </si>
  <si>
    <t>待预警检查的预警信号</t>
  </si>
  <si>
    <t>已完成预警检查的预警信号</t>
  </si>
  <si>
    <t>码值：ColAlign</t>
  </si>
  <si>
    <t>ColAlign</t>
  </si>
  <si>
    <t>对齐方式</t>
  </si>
  <si>
    <t>左</t>
  </si>
  <si>
    <t>右</t>
  </si>
  <si>
    <t>码值：DebitSituation</t>
  </si>
  <si>
    <t>DebitSituation</t>
  </si>
  <si>
    <t>码值：RelativeMonth</t>
  </si>
  <si>
    <t>RelativeMonth</t>
  </si>
  <si>
    <t>报表会计月份</t>
  </si>
  <si>
    <t>上年同期</t>
  </si>
  <si>
    <t>上年年初</t>
  </si>
  <si>
    <t>上年年末</t>
  </si>
  <si>
    <t>上期</t>
  </si>
  <si>
    <t>前年同期</t>
  </si>
  <si>
    <t>前年年初</t>
  </si>
  <si>
    <t>前年年末</t>
  </si>
  <si>
    <t>年初</t>
  </si>
  <si>
    <t>当期</t>
  </si>
  <si>
    <t>本年上期</t>
  </si>
  <si>
    <t>码值：产品更新换代</t>
  </si>
  <si>
    <t>产品更新换代</t>
  </si>
  <si>
    <t>快</t>
  </si>
  <si>
    <t>能力较差</t>
  </si>
  <si>
    <t>码值：BLType</t>
  </si>
  <si>
    <t>BLType</t>
  </si>
  <si>
    <t>保理类型</t>
  </si>
  <si>
    <t>回购</t>
  </si>
  <si>
    <t>买断型</t>
  </si>
  <si>
    <t>码值：各项目批件取得情况</t>
  </si>
  <si>
    <t>各项目批件取得情况</t>
  </si>
  <si>
    <t>码值：ButtonSetEdoc</t>
  </si>
  <si>
    <t>ButtonSetEdoc</t>
  </si>
  <si>
    <t>电子合同申请按钮组</t>
  </si>
  <si>
    <t>提交申请</t>
  </si>
  <si>
    <t>detailOpinion</t>
  </si>
  <si>
    <t>新增申请</t>
  </si>
  <si>
    <t>viewDetail</t>
  </si>
  <si>
    <t>申请详情</t>
  </si>
  <si>
    <t>码值：ColEditSourceType</t>
  </si>
  <si>
    <t>ColEditSourceType</t>
  </si>
  <si>
    <t>下拉框来源</t>
  </si>
  <si>
    <t>Code</t>
  </si>
  <si>
    <t>代码</t>
  </si>
  <si>
    <t>CodeTable</t>
  </si>
  <si>
    <t>代码表</t>
  </si>
  <si>
    <t>码值：ShareholdersType</t>
  </si>
  <si>
    <t>ShareholdersType</t>
  </si>
  <si>
    <t>央企，或者世界五百强企业，或其直接控股企业</t>
  </si>
  <si>
    <t>上市公司(包括国内及国外上市公司,但不包括ST股或已停牌上市公司)，或者省（自治区、直辖市）属国有企业</t>
  </si>
  <si>
    <t>B类公司的直接控股子公司</t>
  </si>
  <si>
    <t>非上市股份有限公司</t>
  </si>
  <si>
    <t>个人或其他</t>
  </si>
  <si>
    <t>码值：进取精神</t>
  </si>
  <si>
    <t>进取精神</t>
  </si>
  <si>
    <t>码值：BondInterestType</t>
  </si>
  <si>
    <t>BondInterestType</t>
  </si>
  <si>
    <t>定息债券</t>
  </si>
  <si>
    <t>浮息债券</t>
  </si>
  <si>
    <t>零息债券(贴现债券)</t>
  </si>
  <si>
    <t>码值：GovermentSupportLevel</t>
  </si>
  <si>
    <t>GovermentSupportLevel</t>
  </si>
  <si>
    <t>项目对（主要是出口导向型的）国家具有重大战略性意义，政府支持强有力</t>
  </si>
  <si>
    <t>项目对国家重要，政府支持程度较高</t>
  </si>
  <si>
    <t>项目不具有战略意义，但毫无疑问对政府有利，政府可能未明确表示支持</t>
  </si>
  <si>
    <t>项目对国家不重要。政府不支持或支持较弱</t>
  </si>
  <si>
    <t>码值：在本市居住时间</t>
  </si>
  <si>
    <t>在本市居住时间</t>
  </si>
  <si>
    <t>1年以下(含1年)</t>
  </si>
  <si>
    <t>1年以上－3年(含3年)</t>
  </si>
  <si>
    <t>3年以上－5年(含5年)</t>
  </si>
  <si>
    <t>码值：BrrowAge</t>
  </si>
  <si>
    <t>BrrowAge</t>
  </si>
  <si>
    <t>22岁以下(含22岁),55岁以上</t>
  </si>
  <si>
    <t>22岁－25岁(含25岁),50岁－55岁(含55岁)</t>
  </si>
  <si>
    <t>25岁－30岁(含30岁),45岁－50岁(含50岁)</t>
  </si>
  <si>
    <t>30岁－35岁(含35岁)</t>
  </si>
  <si>
    <t>35岁－45岁(含45岁)</t>
  </si>
  <si>
    <t>码值：FinancingSource</t>
  </si>
  <si>
    <t>FinancingSource</t>
  </si>
  <si>
    <t>平台自身盈利</t>
  </si>
  <si>
    <t>投资项目收益</t>
  </si>
  <si>
    <t>担保人偿还</t>
  </si>
  <si>
    <t>质押物偿还</t>
  </si>
  <si>
    <t>政府回购</t>
  </si>
  <si>
    <t>码值：StockHolderType</t>
  </si>
  <si>
    <t>StockHolderType</t>
  </si>
  <si>
    <t>股票持有类型</t>
  </si>
  <si>
    <t>国家股</t>
  </si>
  <si>
    <t>法人股</t>
  </si>
  <si>
    <t>流通股</t>
  </si>
  <si>
    <t>码值：RelationStatus</t>
  </si>
  <si>
    <t>RelationStatus</t>
  </si>
  <si>
    <t>押品关联状态</t>
  </si>
  <si>
    <t>有效</t>
  </si>
  <si>
    <t>码值：NewCustomerType</t>
  </si>
  <si>
    <t>NewCustomerType</t>
  </si>
  <si>
    <t>冻结户</t>
  </si>
  <si>
    <t>慎贷户</t>
  </si>
  <si>
    <t>拒贷户</t>
  </si>
  <si>
    <t>预警户</t>
  </si>
  <si>
    <t>压缩退出户</t>
  </si>
  <si>
    <t>分类管理户</t>
  </si>
  <si>
    <t>码值：ESTATEPURPOSETYPE</t>
  </si>
  <si>
    <t>ESTATEPURPOSETYPE</t>
  </si>
  <si>
    <t>房产用途</t>
  </si>
  <si>
    <t>一般住房</t>
  </si>
  <si>
    <t>公寓</t>
  </si>
  <si>
    <t>商用房</t>
  </si>
  <si>
    <t>厂房</t>
  </si>
  <si>
    <t>临街商铺</t>
  </si>
  <si>
    <t>底商</t>
  </si>
  <si>
    <t>社区商铺</t>
  </si>
  <si>
    <t>商业街商铺</t>
  </si>
  <si>
    <t>码值：ReserveFre</t>
  </si>
  <si>
    <t>ReserveFre</t>
  </si>
  <si>
    <t>计提频率</t>
  </si>
  <si>
    <t>固定模式</t>
  </si>
  <si>
    <t>随机模式</t>
  </si>
  <si>
    <t>码值：对红利分配的限制</t>
  </si>
  <si>
    <t>对红利分配的限制</t>
  </si>
  <si>
    <t>有不予分红或者贷款还清前不予分红的限制</t>
  </si>
  <si>
    <t>有分红限制条款，虽然存在一定的早期分红，但比例和额度均不大</t>
  </si>
  <si>
    <t>存在一定的早期大额分红</t>
  </si>
  <si>
    <t>无分红限制条款</t>
  </si>
  <si>
    <t>不适用</t>
  </si>
  <si>
    <t>码值：ProvinceShare</t>
  </si>
  <si>
    <t>ProvinceShare</t>
  </si>
  <si>
    <t>20%--50%</t>
  </si>
  <si>
    <t>10%--20%</t>
  </si>
  <si>
    <t>10%以下</t>
  </si>
  <si>
    <t>码值：CreditApplyFactoryMain</t>
  </si>
  <si>
    <t>CreditApplyFactoryMain</t>
  </si>
  <si>
    <t>码值：服务质量1</t>
  </si>
  <si>
    <t>服务质量1</t>
  </si>
  <si>
    <t>码值：RightPointType</t>
  </si>
  <si>
    <t>RightPointType</t>
  </si>
  <si>
    <t>权限点类型</t>
  </si>
  <si>
    <t>button</t>
  </si>
  <si>
    <t>javemethod</t>
  </si>
  <si>
    <t>link</t>
  </si>
  <si>
    <t>链接</t>
  </si>
  <si>
    <t>tab</t>
  </si>
  <si>
    <t>标签页</t>
  </si>
  <si>
    <t>码值：家族实力</t>
  </si>
  <si>
    <t>家族实力</t>
  </si>
  <si>
    <t>码值：EntScale</t>
  </si>
  <si>
    <t>EntScale</t>
  </si>
  <si>
    <t>企业规模</t>
  </si>
  <si>
    <t>大型企业</t>
  </si>
  <si>
    <t>中型企业</t>
  </si>
  <si>
    <t>0130</t>
  </si>
  <si>
    <t>小型企业</t>
  </si>
  <si>
    <t>0140</t>
  </si>
  <si>
    <t>微型企业</t>
  </si>
  <si>
    <t>码值：UnLoadGuarantyApp2Main</t>
  </si>
  <si>
    <t>UnLoadGuarantyApp2Main</t>
  </si>
  <si>
    <t>UnLoadGuaranty审批主树图</t>
  </si>
  <si>
    <t>码值：AssessFrequency</t>
  </si>
  <si>
    <t>AssessFrequency</t>
  </si>
  <si>
    <t>抵押物评估频率</t>
  </si>
  <si>
    <t>评估频率&lt;=1 年</t>
  </si>
  <si>
    <t>评估频率&gt;1 年</t>
  </si>
  <si>
    <t>码值：Occupation</t>
  </si>
  <si>
    <t>Occupation</t>
  </si>
  <si>
    <t>职业</t>
  </si>
  <si>
    <t>国家机关、党群组织、企业、事业单位负责人</t>
  </si>
  <si>
    <t>专业技术人员</t>
  </si>
  <si>
    <t>办事人员和有关人员</t>
  </si>
  <si>
    <t>商业、服务业人员</t>
  </si>
  <si>
    <t>农、林、牧、渔、水利业生产人员</t>
  </si>
  <si>
    <t>生产、运输设备操作人员及有关人员</t>
  </si>
  <si>
    <t>大中型企业技术人员</t>
  </si>
  <si>
    <t>军人</t>
  </si>
  <si>
    <t>不便分类的其他从业人员</t>
  </si>
  <si>
    <t>Z</t>
  </si>
  <si>
    <t>码值：ReinforceEnterpriseView</t>
  </si>
  <si>
    <t>ReinforceEnterpriseView</t>
  </si>
  <si>
    <t>补登公司客户视图</t>
  </si>
  <si>
    <t>码值：AuthStatus</t>
  </si>
  <si>
    <t>AuthStatus</t>
  </si>
  <si>
    <t>Effective</t>
  </si>
  <si>
    <t>码值：GroupTreeView</t>
  </si>
  <si>
    <t>GroupTreeView</t>
  </si>
  <si>
    <t>集团客户详情视图</t>
  </si>
  <si>
    <t>集团概况</t>
  </si>
  <si>
    <t>集团授信情况</t>
  </si>
  <si>
    <t>码值：企业类型</t>
  </si>
  <si>
    <t>企业类型</t>
  </si>
  <si>
    <t>大型百货零售</t>
  </si>
  <si>
    <t>超市</t>
  </si>
  <si>
    <t>一般零售</t>
  </si>
  <si>
    <t>一般的物资流通</t>
  </si>
  <si>
    <t>有专营权的物资流通</t>
  </si>
  <si>
    <t>供销合作社</t>
  </si>
  <si>
    <t>外贸</t>
  </si>
  <si>
    <t>码值：OfficialCredent</t>
  </si>
  <si>
    <t>OfficialCredent</t>
  </si>
  <si>
    <t>码值：BoardSetting</t>
  </si>
  <si>
    <t>BoardSetting</t>
  </si>
  <si>
    <t>按规定设定</t>
  </si>
  <si>
    <t>只设执行董事</t>
  </si>
  <si>
    <t>码值：InOutRCReason</t>
  </si>
  <si>
    <t>InOutRCReason</t>
  </si>
  <si>
    <t>权证出入库原因</t>
  </si>
  <si>
    <t>入库</t>
  </si>
  <si>
    <t>机构变更</t>
  </si>
  <si>
    <t>临时出库归还</t>
  </si>
  <si>
    <t>借用归还</t>
  </si>
  <si>
    <t>结清出库</t>
  </si>
  <si>
    <t>权证借用</t>
  </si>
  <si>
    <t>临时出库</t>
  </si>
  <si>
    <t>押品释放</t>
  </si>
  <si>
    <t>中途换证</t>
  </si>
  <si>
    <t>托收</t>
  </si>
  <si>
    <t>码值：SiteName</t>
  </si>
  <si>
    <t>SiteName</t>
  </si>
  <si>
    <t>地段/土地级别</t>
  </si>
  <si>
    <t>一类</t>
  </si>
  <si>
    <t>二类</t>
  </si>
  <si>
    <t>码值：ResumeIntType</t>
  </si>
  <si>
    <t>ResumeIntType</t>
  </si>
  <si>
    <t>计复息标志</t>
  </si>
  <si>
    <t>不计复息</t>
  </si>
  <si>
    <t>计复息</t>
  </si>
  <si>
    <t>码值：FinanceView</t>
  </si>
  <si>
    <t>FinanceView</t>
  </si>
  <si>
    <t>财务分析树图</t>
  </si>
  <si>
    <t>码值：OurRoleType</t>
  </si>
  <si>
    <t>OurRoleType</t>
  </si>
  <si>
    <t>额度控制类型</t>
  </si>
  <si>
    <t>余额控制(即循环额度)</t>
  </si>
  <si>
    <t>发生类控制(即非循环额度)</t>
  </si>
  <si>
    <t>码值：压力分析(项目融资)</t>
  </si>
  <si>
    <t>压力分析(项目融资)</t>
  </si>
  <si>
    <t>压力分析（项目融资）</t>
  </si>
  <si>
    <t>码值：PurchasingContractSituation</t>
  </si>
  <si>
    <t>PurchasingContractSituation</t>
  </si>
  <si>
    <t>承购方信誉卓著；合同终止条款完备；项目合同期限略微长于债务期限</t>
  </si>
  <si>
    <t>承购方信誉良好；合同终止条款完备；项目合同期限长于债务期限</t>
  </si>
  <si>
    <t>承购方信誉一般；合同对终止条款做一般规定；项目合同期限一般等于债务期限</t>
  </si>
  <si>
    <t>承购方信誉较差；合同终止条款规定不全；项目合同期限不长于债务期限</t>
  </si>
  <si>
    <t>项目产品即所产生的主要服务或商品在世界范围销售顺畅；即使市场价格增长率低于过去，产品也能按预定价格出售</t>
  </si>
  <si>
    <t>项目产品即所产生的主要服务或商品在地区市场销售顺畅，即使市场价格增长率低于过去，产品也能按预定价格出售</t>
  </si>
  <si>
    <t>商品销售范围有限且只能按比预定价格低的价格出售</t>
  </si>
  <si>
    <t>项目产品只有一两个买家或者在有组织市场一般无法售出</t>
  </si>
  <si>
    <t>码值：SocialInsurance</t>
  </si>
  <si>
    <t>SocialInsurance</t>
  </si>
  <si>
    <t>码值：经费来源稳定性</t>
  </si>
  <si>
    <t>经费来源稳定性</t>
  </si>
  <si>
    <t>稳定</t>
  </si>
  <si>
    <t>较稳定</t>
  </si>
  <si>
    <t>不稳定</t>
  </si>
  <si>
    <t>码值：ADVBailCalcbaseMent</t>
  </si>
  <si>
    <t>ADVBailCalcbaseMent</t>
  </si>
  <si>
    <t>预存定比保证金计算基础</t>
  </si>
  <si>
    <t>项目额度总金额</t>
  </si>
  <si>
    <t>担保额度总金额</t>
  </si>
  <si>
    <t>码值：ButtonSetP</t>
  </si>
  <si>
    <t>ButtonSetP</t>
  </si>
  <si>
    <t>信贷政策按钮组</t>
  </si>
  <si>
    <t>completeApply</t>
  </si>
  <si>
    <t>收回</t>
  </si>
  <si>
    <t>viewApply</t>
  </si>
  <si>
    <t>码值：SelfUseFlag</t>
  </si>
  <si>
    <t>SelfUseFlag</t>
  </si>
  <si>
    <t>额度自用或他用</t>
  </si>
  <si>
    <t>他用</t>
  </si>
  <si>
    <t>混用</t>
  </si>
  <si>
    <t>码值：ApproveCreditMain</t>
  </si>
  <si>
    <t>ApproveCreditMain</t>
  </si>
  <si>
    <t>码值：CasePhase</t>
  </si>
  <si>
    <t>CasePhase</t>
  </si>
  <si>
    <t>诉讼阶段</t>
  </si>
  <si>
    <t>归档案件</t>
  </si>
  <si>
    <t>码值：MortgageStatus</t>
  </si>
  <si>
    <t>MortgageStatus</t>
  </si>
  <si>
    <t>房产抵押情况</t>
  </si>
  <si>
    <t>无抵押</t>
  </si>
  <si>
    <t>有抵押</t>
  </si>
  <si>
    <t>码值：ButtonSetW</t>
  </si>
  <si>
    <t>ButtonSetW</t>
  </si>
  <si>
    <t>按钮组W（贷后管理）</t>
  </si>
  <si>
    <t>archive</t>
  </si>
  <si>
    <t>归档</t>
  </si>
  <si>
    <t>cancelClassify</t>
  </si>
  <si>
    <t>checkReport</t>
  </si>
  <si>
    <t>填写检查报告</t>
  </si>
  <si>
    <t>completeCheck</t>
  </si>
  <si>
    <t>完成检查</t>
  </si>
  <si>
    <t>completeClassify</t>
  </si>
  <si>
    <t>feedbackSummary</t>
  </si>
  <si>
    <t>反馈情况汇总</t>
  </si>
  <si>
    <t>newBtn</t>
  </si>
  <si>
    <t>新增检查申请</t>
  </si>
  <si>
    <t>newClassify</t>
  </si>
  <si>
    <t>reportBtn</t>
  </si>
  <si>
    <t>检查报告预览</t>
  </si>
  <si>
    <t>submitBtn</t>
  </si>
  <si>
    <t>submitW</t>
  </si>
  <si>
    <t>模型分类</t>
  </si>
  <si>
    <t>viewBtn</t>
  </si>
  <si>
    <t>检查详情</t>
  </si>
  <si>
    <t>viewCheck</t>
  </si>
  <si>
    <t>viewCustomer</t>
  </si>
  <si>
    <t>客户详情</t>
  </si>
  <si>
    <t>viewFeedback</t>
  </si>
  <si>
    <t>反馈情况</t>
  </si>
  <si>
    <t>viewProject</t>
  </si>
  <si>
    <t>项目详情</t>
  </si>
  <si>
    <t>码值：PatentCopyrightType</t>
  </si>
  <si>
    <t>PatentCopyrightType</t>
  </si>
  <si>
    <t>专利权客体类型</t>
  </si>
  <si>
    <t>发明专利</t>
  </si>
  <si>
    <t>实用新型专利</t>
  </si>
  <si>
    <t>外观设计专利</t>
  </si>
  <si>
    <t>码值：企业的竞争力</t>
  </si>
  <si>
    <t>企业的竞争力</t>
  </si>
  <si>
    <t>码值：LoanInstallmentPlan</t>
  </si>
  <si>
    <t>LoanInstallmentPlan</t>
  </si>
  <si>
    <t>码值：OperationMode</t>
  </si>
  <si>
    <t>OperationMode</t>
  </si>
  <si>
    <t>业务处理方式</t>
  </si>
  <si>
    <t>包买</t>
  </si>
  <si>
    <t xml:space="preserve">	让渡</t>
  </si>
  <si>
    <t>风险参与</t>
  </si>
  <si>
    <t>码值：ComponentFormat</t>
  </si>
  <si>
    <t>ComponentFormat</t>
  </si>
  <si>
    <t>组件展现形式</t>
  </si>
  <si>
    <t>参数组</t>
  </si>
  <si>
    <t>决策表</t>
  </si>
  <si>
    <t>组合组件</t>
  </si>
  <si>
    <t>码值：ButtonSetA</t>
  </si>
  <si>
    <t>ButtonSetA</t>
  </si>
  <si>
    <t>按钮组A</t>
  </si>
  <si>
    <t>bigDataRiskFunnel</t>
  </si>
  <si>
    <t>大数据风险漏斗</t>
  </si>
  <si>
    <t>claimTask</t>
  </si>
  <si>
    <t>认领任务</t>
  </si>
  <si>
    <t>delReport2</t>
  </si>
  <si>
    <t>删除传统调查报告</t>
  </si>
  <si>
    <t>editReport</t>
  </si>
  <si>
    <t>pageoffice填写调查报告</t>
  </si>
  <si>
    <t>editReport2</t>
  </si>
  <si>
    <t>填写传统调查报告</t>
  </si>
  <si>
    <t>entReportQuery</t>
  </si>
  <si>
    <t>智信尽调</t>
  </si>
  <si>
    <t>newClassifyAdjustApply</t>
  </si>
  <si>
    <t>新增发起</t>
  </si>
  <si>
    <t>showReport2</t>
  </si>
  <si>
    <t>查看传统调查报告</t>
  </si>
  <si>
    <t>客户统一视图</t>
  </si>
  <si>
    <t>viewEntInfo</t>
  </si>
  <si>
    <t>智数驱动</t>
  </si>
  <si>
    <t>查看流程图</t>
  </si>
  <si>
    <t>viewShareholderMap</t>
  </si>
  <si>
    <t>查看企业关联关系图谱</t>
  </si>
  <si>
    <t>viewShareholderRightMap</t>
  </si>
  <si>
    <t>智图云联</t>
  </si>
  <si>
    <t>码值：HOUSENEWOLDTYPE</t>
  </si>
  <si>
    <t>HOUSENEWOLDTYPE</t>
  </si>
  <si>
    <t>房屋新旧</t>
  </si>
  <si>
    <t>一手房</t>
  </si>
  <si>
    <t>二手房</t>
  </si>
  <si>
    <t>码值：ProjectApproveMain</t>
  </si>
  <si>
    <t>ProjectApproveMain</t>
  </si>
  <si>
    <t>Project审批主树图</t>
  </si>
  <si>
    <t>码值：审批和选址</t>
  </si>
  <si>
    <t>审批和选址</t>
  </si>
  <si>
    <t>码值：ButtonSetB</t>
  </si>
  <si>
    <t>ButtonSetB</t>
  </si>
  <si>
    <t>按钮组B（授信业务申请）</t>
  </si>
  <si>
    <t>applyPlatform</t>
  </si>
  <si>
    <t>任务详情</t>
  </si>
  <si>
    <t>approvePlatform</t>
  </si>
  <si>
    <t>flowHistory</t>
  </si>
  <si>
    <t>查看流程历史记录</t>
  </si>
  <si>
    <t>gatherOpinion</t>
  </si>
  <si>
    <t>汇总意见</t>
  </si>
  <si>
    <t>selectApply</t>
  </si>
  <si>
    <t>挑选审查申请</t>
  </si>
  <si>
    <t>sendNotice</t>
  </si>
  <si>
    <t>发送会议通知</t>
  </si>
  <si>
    <t>signCheckOpinion</t>
  </si>
  <si>
    <t>viewApplyInfo</t>
  </si>
  <si>
    <t>资料录入</t>
  </si>
  <si>
    <t>viewImage</t>
  </si>
  <si>
    <t>资料扫描</t>
  </si>
  <si>
    <t>viewTab</t>
  </si>
  <si>
    <t>码值：ButtonSetC</t>
  </si>
  <si>
    <t>ButtonSetC</t>
  </si>
  <si>
    <t>按钮组C（最终审批意见相关）</t>
  </si>
  <si>
    <t>取消最终审批意见</t>
  </si>
  <si>
    <t>登记最终审批意见</t>
  </si>
  <si>
    <t>newApplyWithNo</t>
  </si>
  <si>
    <t>登记否决最终审批意见</t>
  </si>
  <si>
    <t>print</t>
  </si>
  <si>
    <t>打印最终审批意见</t>
  </si>
  <si>
    <t>最终审批意见详情</t>
  </si>
  <si>
    <t>viewRefuse</t>
  </si>
  <si>
    <t>查看拒绝理由</t>
  </si>
  <si>
    <t>viewTask</t>
  </si>
  <si>
    <t>打印审批意见</t>
  </si>
  <si>
    <t>码值：企业进出口经营权</t>
  </si>
  <si>
    <t>企业进出口经营权</t>
  </si>
  <si>
    <t>主营业务以内贸为主</t>
  </si>
  <si>
    <t>主营业务以外贸为主，且有进出口经营权</t>
  </si>
  <si>
    <t>主营业务以外贸为主，且无进出口经营权</t>
  </si>
  <si>
    <t>码值：ButtonSetD</t>
  </si>
  <si>
    <t>ButtonSetD</t>
  </si>
  <si>
    <t>按钮组D</t>
  </si>
  <si>
    <t>useDefine</t>
  </si>
  <si>
    <t>自定义</t>
  </si>
  <si>
    <t>码值：FiscalSource</t>
  </si>
  <si>
    <t>FiscalSource</t>
  </si>
  <si>
    <t>财政补助收入来源</t>
  </si>
  <si>
    <t>中央</t>
  </si>
  <si>
    <t>省级</t>
  </si>
  <si>
    <t>地市</t>
  </si>
  <si>
    <t>区县</t>
  </si>
  <si>
    <t>无财政补助</t>
  </si>
  <si>
    <t>码值：ButtonSetE</t>
  </si>
  <si>
    <t>ButtonSetE</t>
  </si>
  <si>
    <t>按钮组E（出帐相关）</t>
  </si>
  <si>
    <t>SelectSubmit</t>
  </si>
  <si>
    <t>多笔提交</t>
  </si>
  <si>
    <t>SelectedAll</t>
  </si>
  <si>
    <t>全选</t>
  </si>
  <si>
    <t>SelectedBack</t>
  </si>
  <si>
    <t>反选</t>
  </si>
  <si>
    <t>SelectedCancel</t>
  </si>
  <si>
    <t>取消全选</t>
  </si>
  <si>
    <t>accounting</t>
  </si>
  <si>
    <t>放款入账</t>
  </si>
  <si>
    <t>取消放贷</t>
  </si>
  <si>
    <t>cancelarch</t>
  </si>
  <si>
    <t>取消归档</t>
  </si>
  <si>
    <t>contractDetail</t>
  </si>
  <si>
    <t>imageScan</t>
  </si>
  <si>
    <t>影像扫描</t>
  </si>
  <si>
    <t>新增放贷申请</t>
  </si>
  <si>
    <t>打印放贷通知书</t>
  </si>
  <si>
    <t>putOff</t>
  </si>
  <si>
    <t>冲销实时交易</t>
  </si>
  <si>
    <t>putOut</t>
  </si>
  <si>
    <t>发送实时交易</t>
  </si>
  <si>
    <t>sendPayment</t>
  </si>
  <si>
    <t>发送支付交易</t>
  </si>
  <si>
    <t>transToAfterLoan</t>
  </si>
  <si>
    <t>转入贷后</t>
  </si>
  <si>
    <t>放贷详情</t>
  </si>
  <si>
    <t>viewPayment</t>
  </si>
  <si>
    <t>查看支付申请表</t>
  </si>
  <si>
    <t>码值：ButtonSetF</t>
  </si>
  <si>
    <t>ButtonSetF</t>
  </si>
  <si>
    <t>按钮组F</t>
  </si>
  <si>
    <t>BackApply</t>
  </si>
  <si>
    <t>退回放贷申请人</t>
  </si>
  <si>
    <t>ContractDetail</t>
  </si>
  <si>
    <t>SelectSignOpinion</t>
  </si>
  <si>
    <t>selectPutOut</t>
  </si>
  <si>
    <t>挑选放贷申请</t>
  </si>
  <si>
    <t>userDefine</t>
  </si>
  <si>
    <t>码值：SMEConApplyMain</t>
  </si>
  <si>
    <t>SMEConApplyMain</t>
  </si>
  <si>
    <t>中小企业资格认定主树图</t>
  </si>
  <si>
    <t>码值：ButtonSetG</t>
  </si>
  <si>
    <t>ButtonSetG</t>
  </si>
  <si>
    <t>按钮组G（中小企业资格认定）</t>
  </si>
  <si>
    <t>取消任务</t>
  </si>
  <si>
    <t>码值：ButtonSetH</t>
  </si>
  <si>
    <t>ButtonSetH</t>
  </si>
  <si>
    <t>按钮组H</t>
  </si>
  <si>
    <t>码值：ButtonSetI</t>
  </si>
  <si>
    <t>ButtonSetI</t>
  </si>
  <si>
    <t>按钮组I(信用等级认定)</t>
  </si>
  <si>
    <t>detailModel</t>
  </si>
  <si>
    <t>查看模型</t>
  </si>
  <si>
    <t>查看审批意见</t>
  </si>
  <si>
    <t>getCeiling</t>
  </si>
  <si>
    <t>查看客户详情</t>
  </si>
  <si>
    <t>模型评定</t>
  </si>
  <si>
    <t>码值：GroupView</t>
  </si>
  <si>
    <t>GroupView</t>
  </si>
  <si>
    <t>关联集团详情视图</t>
  </si>
  <si>
    <t>码值：ButtonSetK</t>
  </si>
  <si>
    <t>ButtonSetK</t>
  </si>
  <si>
    <t>按钮组K(支付相关)</t>
  </si>
  <si>
    <t>新增支付申请</t>
  </si>
  <si>
    <t>viewPutout</t>
  </si>
  <si>
    <t>出帐详情</t>
  </si>
  <si>
    <t>支付申请详情</t>
  </si>
  <si>
    <t>码值：ButtonSetM</t>
  </si>
  <si>
    <t>ButtonSetM</t>
  </si>
  <si>
    <t>按钮组M(五级分类)</t>
  </si>
  <si>
    <t>取消分类</t>
  </si>
  <si>
    <t>detailFlow</t>
  </si>
  <si>
    <t>流程查看</t>
  </si>
  <si>
    <t>modelClassify</t>
  </si>
  <si>
    <t>分类详情</t>
  </si>
  <si>
    <t>新增分类</t>
  </si>
  <si>
    <t>码值：ButtonSetN</t>
  </si>
  <si>
    <t>ButtonSetN</t>
  </si>
  <si>
    <t>按钮组N(单项认定申请、审查审)</t>
  </si>
  <si>
    <t>calReserve</t>
  </si>
  <si>
    <t>减值准备计算</t>
  </si>
  <si>
    <t>changeCalculateFlag</t>
  </si>
  <si>
    <t>单项计提转组合计提</t>
  </si>
  <si>
    <t>认定提交</t>
  </si>
  <si>
    <t>predictInfo</t>
  </si>
  <si>
    <t>预测未来现金流</t>
  </si>
  <si>
    <t>码值：CreditRecord</t>
  </si>
  <si>
    <t>CreditRecord</t>
  </si>
  <si>
    <t>信用记录</t>
  </si>
  <si>
    <t>近三年有业务往来，无不良信用记录</t>
  </si>
  <si>
    <t>近三年无业务往来，无记录</t>
  </si>
  <si>
    <t>近三年有业务往来，仅有不可抗力形成的不良信用记录</t>
  </si>
  <si>
    <t>近三年有业务往来，有一次以上（含）除不可抗力以外的因素形成的不良信用记录</t>
  </si>
  <si>
    <t>码值：TaxType</t>
  </si>
  <si>
    <t>TaxType</t>
  </si>
  <si>
    <t>企业税种</t>
  </si>
  <si>
    <t>个人所得税</t>
  </si>
  <si>
    <t>印花税</t>
  </si>
  <si>
    <t>房产税</t>
  </si>
  <si>
    <t>营业税</t>
  </si>
  <si>
    <t>车辆购置税</t>
  </si>
  <si>
    <t>车船使用税</t>
  </si>
  <si>
    <t>城镇土地使用税</t>
  </si>
  <si>
    <t>土地增值税</t>
  </si>
  <si>
    <t>农业税</t>
  </si>
  <si>
    <t>耕地使用税</t>
  </si>
  <si>
    <t>契税</t>
  </si>
  <si>
    <t>码值：RentStyle</t>
  </si>
  <si>
    <t>RentStyle</t>
  </si>
  <si>
    <t>租金缴纳方式</t>
  </si>
  <si>
    <t>按月缴纳</t>
  </si>
  <si>
    <t>按季度缴纳</t>
  </si>
  <si>
    <t>按年缴纳</t>
  </si>
  <si>
    <t>码值：SMECreditStorage</t>
  </si>
  <si>
    <t>SMECreditStorage</t>
  </si>
  <si>
    <t>库存积压</t>
  </si>
  <si>
    <t>多</t>
  </si>
  <si>
    <t>码值：ReinforceCreditLineView</t>
  </si>
  <si>
    <t>ReinforceCreditLineView</t>
  </si>
  <si>
    <t>额度补登视图</t>
  </si>
  <si>
    <t>授信额度分配</t>
  </si>
  <si>
    <t>集团成员额度分配</t>
  </si>
  <si>
    <t>040050</t>
  </si>
  <si>
    <t>040060</t>
  </si>
  <si>
    <t>码值：FinancialAllocationType</t>
  </si>
  <si>
    <t>FinancialAllocationType</t>
  </si>
  <si>
    <t>全额拨款</t>
  </si>
  <si>
    <t>差额拨款</t>
  </si>
  <si>
    <t>自收自支</t>
  </si>
  <si>
    <t>码值：BillMode</t>
  </si>
  <si>
    <t>BillMode</t>
  </si>
  <si>
    <t>票据类型</t>
  </si>
  <si>
    <t>银行汇票</t>
  </si>
  <si>
    <t>公共部门实体承兑汇票</t>
  </si>
  <si>
    <t>银行本票</t>
  </si>
  <si>
    <t>公共部门实体发行的本票</t>
  </si>
  <si>
    <t>其他商业本票</t>
  </si>
  <si>
    <t>支票</t>
  </si>
  <si>
    <t>其他票据</t>
  </si>
  <si>
    <t>码值：IndustrialRealtyIndependence</t>
  </si>
  <si>
    <t>IndustrialRealtyIndependence</t>
  </si>
  <si>
    <t>独院</t>
  </si>
  <si>
    <t>部分楼栋出售</t>
  </si>
  <si>
    <t>部分楼层出售</t>
  </si>
  <si>
    <t>码值：ProjectType</t>
  </si>
  <si>
    <t>ProjectType</t>
  </si>
  <si>
    <t>客户参与项目类型</t>
  </si>
  <si>
    <t>固定资产投资类项目</t>
  </si>
  <si>
    <t>房地产项目</t>
  </si>
  <si>
    <t>土地储备项目</t>
  </si>
  <si>
    <t>开发区项目</t>
  </si>
  <si>
    <t>其他项目</t>
  </si>
  <si>
    <t>码值：ExtendPayMethod</t>
  </si>
  <si>
    <t>ExtendPayMethod</t>
  </si>
  <si>
    <t>宽限期付息方法</t>
  </si>
  <si>
    <t>按月付息方法</t>
  </si>
  <si>
    <t>宽限期到期付息</t>
  </si>
  <si>
    <t>码值：CognizanceResult</t>
  </si>
  <si>
    <t>CognizanceResult</t>
  </si>
  <si>
    <t>起诉受理结果</t>
  </si>
  <si>
    <t>受理</t>
  </si>
  <si>
    <t>不予受理</t>
  </si>
  <si>
    <t>判决我方胜诉</t>
  </si>
  <si>
    <t>判决我方败诉</t>
  </si>
  <si>
    <t>2003</t>
  </si>
  <si>
    <t>裁定我方撤诉</t>
  </si>
  <si>
    <t>2004</t>
  </si>
  <si>
    <t>裁定对方撤诉</t>
  </si>
  <si>
    <t>2005</t>
  </si>
  <si>
    <t>法院调解</t>
  </si>
  <si>
    <t>2006</t>
  </si>
  <si>
    <t>庭外和解后撤诉</t>
  </si>
  <si>
    <t>2007</t>
  </si>
  <si>
    <t>裁定发回重审</t>
  </si>
  <si>
    <t>2008</t>
  </si>
  <si>
    <t>裁定驳回起诉</t>
  </si>
  <si>
    <t>3003</t>
  </si>
  <si>
    <t>执行中</t>
  </si>
  <si>
    <t>3005</t>
  </si>
  <si>
    <t>执行中止</t>
  </si>
  <si>
    <t>3006</t>
  </si>
  <si>
    <t>执行终结</t>
  </si>
  <si>
    <t>3007</t>
  </si>
  <si>
    <t>申领债权凭证</t>
  </si>
  <si>
    <t>未审结</t>
  </si>
  <si>
    <t>胜诉</t>
  </si>
  <si>
    <t>败诉</t>
  </si>
  <si>
    <t>撤诉</t>
  </si>
  <si>
    <t>码值：行业政策1</t>
  </si>
  <si>
    <t>行业政策1</t>
  </si>
  <si>
    <t>码值：BankType</t>
  </si>
  <si>
    <t>BankType</t>
  </si>
  <si>
    <t>银团贷款类型</t>
  </si>
  <si>
    <t>参与行</t>
  </si>
  <si>
    <t>主办行</t>
  </si>
  <si>
    <t>码值：DunForm</t>
  </si>
  <si>
    <t>DunForm</t>
  </si>
  <si>
    <t>催收形式</t>
  </si>
  <si>
    <t>催收函</t>
  </si>
  <si>
    <t>码值：UserDefine</t>
  </si>
  <si>
    <t>UserDefine</t>
  </si>
  <si>
    <t>重点客户</t>
  </si>
  <si>
    <t>重点合同</t>
  </si>
  <si>
    <t>码值：省市占有率</t>
  </si>
  <si>
    <t>省市占有率</t>
  </si>
  <si>
    <t>码值：市场地位及份额</t>
  </si>
  <si>
    <t>市场地位及份额</t>
  </si>
  <si>
    <t>在其服务区域已形成实质性垄断或者寡头垄断，并且市场份额稳定</t>
  </si>
  <si>
    <t>在其服务区域具有寡头垄断地位，但是由于受到竞争者一定程度的威胁，市场份额有下降趋势</t>
  </si>
  <si>
    <t>在其服务区域内面临一定程度的竞争，但竞争中处于一定的优势地位（例如市场份额或者品牌知名度处于同业前10%）</t>
  </si>
  <si>
    <t>在其服务区域内面临竞争，市场份额没有明显优势</t>
  </si>
  <si>
    <t>答案难以判断</t>
  </si>
  <si>
    <t>码值：ResidenceTime</t>
  </si>
  <si>
    <t>ResidenceTime</t>
  </si>
  <si>
    <t>码值：FeeType</t>
  </si>
  <si>
    <t>FeeType</t>
  </si>
  <si>
    <t>费用类型</t>
  </si>
  <si>
    <t>手续费</t>
  </si>
  <si>
    <t>承兑费</t>
  </si>
  <si>
    <t>码值：IndustryCorrlation</t>
  </si>
  <si>
    <t>IndustryCorrlation</t>
  </si>
  <si>
    <t>码值：IndCreditOccupation</t>
  </si>
  <si>
    <t>IndCreditOccupation</t>
  </si>
  <si>
    <t>国家公务员,职业律师,职业会计师,评估师,精算师</t>
  </si>
  <si>
    <t>国有独资垄断性企业(电信,水电气供应公司),金融业从业人员</t>
  </si>
  <si>
    <t>大中型企业管理人员</t>
  </si>
  <si>
    <t>码值：BUILDINGSTUCTTYPE</t>
  </si>
  <si>
    <t>BUILDINGSTUCTTYPE</t>
  </si>
  <si>
    <t>建筑结构</t>
  </si>
  <si>
    <t>框架</t>
  </si>
  <si>
    <t>框剪</t>
  </si>
  <si>
    <t>砖混</t>
  </si>
  <si>
    <t>简易</t>
  </si>
  <si>
    <t>码值：EntFinanceState</t>
  </si>
  <si>
    <t>EntFinanceState</t>
  </si>
  <si>
    <t>企业财务状况</t>
  </si>
  <si>
    <t>1、好：财务状况稳定，各项指标都很好，呈良性发展态势；</t>
  </si>
  <si>
    <t>2、较好：财务状况基本稳定，各项指标较好；</t>
  </si>
  <si>
    <t>3、一般：财务状况基本稳定，各项指标一般；</t>
  </si>
  <si>
    <t>4、较差：财务状况不稳定，报表有虚假成份，或利润与营业额呈下降趋势，或已出现亏损；</t>
  </si>
  <si>
    <t>5、差：财务状况很不稳定，报送虚假的财务报表或因财务管理原因无法报送报表，或出现严重亏损；</t>
  </si>
  <si>
    <t>码值：SecurityAuditOption</t>
  </si>
  <si>
    <t>SecurityAuditOption</t>
  </si>
  <si>
    <t>安全审计规则</t>
  </si>
  <si>
    <t>PWDCheckRule</t>
  </si>
  <si>
    <t>PWDExpiredDay</t>
  </si>
  <si>
    <t>PWDErrorTime</t>
  </si>
  <si>
    <t>IsLogonLog</t>
  </si>
  <si>
    <t>IsRuntimeLog</t>
  </si>
  <si>
    <t>IsDBLog</t>
  </si>
  <si>
    <t>IsDBAlterLog</t>
  </si>
  <si>
    <t>IsUserChangeLog</t>
  </si>
  <si>
    <t>码值：BatchFinanceClApplyView</t>
  </si>
  <si>
    <t>BatchFinanceClApplyView</t>
  </si>
  <si>
    <t>同业批量授信申请视图</t>
  </si>
  <si>
    <t>码值：NPAReformBDList</t>
  </si>
  <si>
    <t>NPAReformBDList</t>
  </si>
  <si>
    <t>重组方案详情视图</t>
  </si>
  <si>
    <t>重组方案信息列表</t>
  </si>
  <si>
    <t>码值：车辆信息</t>
  </si>
  <si>
    <t>自购车辆</t>
  </si>
  <si>
    <t>按揭购车</t>
  </si>
  <si>
    <t>无车辆</t>
  </si>
  <si>
    <t>码值：控股投资人背景</t>
  </si>
  <si>
    <t>控股投资人背景</t>
  </si>
  <si>
    <t>码值：SMECreditQuality</t>
  </si>
  <si>
    <t>SMECreditQuality</t>
  </si>
  <si>
    <t>存货质量</t>
  </si>
  <si>
    <t>码值：BUILDINGFORM</t>
  </si>
  <si>
    <t>BUILDINGFORM</t>
  </si>
  <si>
    <t>建筑形式</t>
  </si>
  <si>
    <t>独栋别墅</t>
  </si>
  <si>
    <t>联排别墅</t>
  </si>
  <si>
    <t>双拼别墅</t>
  </si>
  <si>
    <t>叠拼别墅</t>
  </si>
  <si>
    <t>高层板楼</t>
  </si>
  <si>
    <t>高层塔楼</t>
  </si>
  <si>
    <t>小高层板楼</t>
  </si>
  <si>
    <t>多层板楼</t>
  </si>
  <si>
    <t>板塔结合</t>
  </si>
  <si>
    <t>其他形式</t>
  </si>
  <si>
    <t>码值：BailPayMentType</t>
  </si>
  <si>
    <t>BailPayMentType</t>
  </si>
  <si>
    <t>保证金缴纳方式</t>
  </si>
  <si>
    <t>按每笔贷款信息留存保证金</t>
  </si>
  <si>
    <t>预存定比保证金</t>
  </si>
  <si>
    <t>码值：ApproveApprovalMain</t>
  </si>
  <si>
    <t>ApproveApprovalMain</t>
  </si>
  <si>
    <t>授信业务批复审批判断</t>
  </si>
  <si>
    <t>码值：收入稳定性</t>
  </si>
  <si>
    <t>收入稳定性</t>
  </si>
  <si>
    <t>码值：PDADailyList</t>
  </si>
  <si>
    <t>PDADailyList</t>
  </si>
  <si>
    <t>抵债资产日常管理树状菜单</t>
  </si>
  <si>
    <t>待处置的资产</t>
  </si>
  <si>
    <t>处置中的资产</t>
  </si>
  <si>
    <t>表内登记</t>
  </si>
  <si>
    <t>表外登记</t>
  </si>
  <si>
    <t>处置终结的资产</t>
  </si>
  <si>
    <t>码值：母子公司银行授信结构</t>
  </si>
  <si>
    <t>母子公司银行授信结构</t>
  </si>
  <si>
    <t>码值：GuarantorRegularCheckApproveMain</t>
  </si>
  <si>
    <t>GuarantorRegularCheckApproveMain</t>
  </si>
  <si>
    <t>担保公司贷后检查审批</t>
  </si>
  <si>
    <t>码值：股东类型</t>
  </si>
  <si>
    <t>股东类型</t>
  </si>
  <si>
    <t>码值：AccountBank</t>
  </si>
  <si>
    <t>AccountBank</t>
  </si>
  <si>
    <t>账户行</t>
  </si>
  <si>
    <t>中国工商银行</t>
  </si>
  <si>
    <t>中国农业银行</t>
  </si>
  <si>
    <t>中国银行</t>
  </si>
  <si>
    <t>中国建设银行</t>
  </si>
  <si>
    <t>交通银行</t>
  </si>
  <si>
    <t>中信银行</t>
  </si>
  <si>
    <t>中国光大银行</t>
  </si>
  <si>
    <t>华夏银行</t>
  </si>
  <si>
    <t>广东发展银行</t>
  </si>
  <si>
    <t>招商银行</t>
  </si>
  <si>
    <t>深圳发展银行</t>
  </si>
  <si>
    <t>兴业银行</t>
  </si>
  <si>
    <t>中国民生银行</t>
  </si>
  <si>
    <t>码值：EntType</t>
  </si>
  <si>
    <t>EntType</t>
  </si>
  <si>
    <t>企业性质</t>
  </si>
  <si>
    <t>0199</t>
  </si>
  <si>
    <t>码值：GroundPurpose</t>
  </si>
  <si>
    <t>GroundPurpose</t>
  </si>
  <si>
    <t>土地用途</t>
  </si>
  <si>
    <t>码值：ORIENTATIONS</t>
  </si>
  <si>
    <t>ORIENTATIONS</t>
  </si>
  <si>
    <t>朝向</t>
  </si>
  <si>
    <t>东</t>
  </si>
  <si>
    <t>西</t>
  </si>
  <si>
    <t>南</t>
  </si>
  <si>
    <t>北</t>
  </si>
  <si>
    <t>东南</t>
  </si>
  <si>
    <t>西南</t>
  </si>
  <si>
    <t>东北</t>
  </si>
  <si>
    <t>西北</t>
  </si>
  <si>
    <t>南北通透</t>
  </si>
  <si>
    <t>码值：RoadLevel</t>
  </si>
  <si>
    <t>RoadLevel</t>
  </si>
  <si>
    <t>高速公路</t>
  </si>
  <si>
    <t>一级公路</t>
  </si>
  <si>
    <t>二级公路</t>
  </si>
  <si>
    <t>三级公路</t>
  </si>
  <si>
    <t>四级公路</t>
  </si>
  <si>
    <t>码值：偿债资金来源</t>
  </si>
  <si>
    <t>偿债资金来源</t>
  </si>
  <si>
    <t>码值：ProductClassify</t>
  </si>
  <si>
    <t>ProductClassify</t>
  </si>
  <si>
    <t>产品所属大类</t>
  </si>
  <si>
    <t>贷款融资类</t>
  </si>
  <si>
    <t>贸易融资类</t>
  </si>
  <si>
    <t>票据担保类</t>
  </si>
  <si>
    <t>资金交易类</t>
  </si>
  <si>
    <t>个人贷款类</t>
  </si>
  <si>
    <t>同业投资类</t>
  </si>
  <si>
    <t>码值：ResourceRightType</t>
  </si>
  <si>
    <t>ResourceRightType</t>
  </si>
  <si>
    <t>林地用途类型</t>
  </si>
  <si>
    <t>承包</t>
  </si>
  <si>
    <t>集体所有</t>
  </si>
  <si>
    <t>码值：FinancingType</t>
  </si>
  <si>
    <t>FinancingType</t>
  </si>
  <si>
    <t>融资业务种类</t>
  </si>
  <si>
    <t>短期贷款</t>
  </si>
  <si>
    <t>1011</t>
  </si>
  <si>
    <t>短期流动资金贷款</t>
  </si>
  <si>
    <t>1019</t>
  </si>
  <si>
    <t>短期其他贷款</t>
  </si>
  <si>
    <t>中期贷款</t>
  </si>
  <si>
    <t>2021</t>
  </si>
  <si>
    <t>中期流动资金贷款</t>
  </si>
  <si>
    <t>2022</t>
  </si>
  <si>
    <t>中期基建贷款</t>
  </si>
  <si>
    <t>2023</t>
  </si>
  <si>
    <t>中期技改贷款</t>
  </si>
  <si>
    <t>2029</t>
  </si>
  <si>
    <t>中期其他贷款</t>
  </si>
  <si>
    <t>长期贷款</t>
  </si>
  <si>
    <t>3031</t>
  </si>
  <si>
    <t>长期基建贷款</t>
  </si>
  <si>
    <t>3032</t>
  </si>
  <si>
    <t>长期技改贷款</t>
  </si>
  <si>
    <t>3039</t>
  </si>
  <si>
    <t>长期其他贷款</t>
  </si>
  <si>
    <t>进口类</t>
  </si>
  <si>
    <t>4011</t>
  </si>
  <si>
    <t>出口类</t>
  </si>
  <si>
    <t>5022</t>
  </si>
  <si>
    <t>5023</t>
  </si>
  <si>
    <t>5024</t>
  </si>
  <si>
    <t>码值：HInstitutionLevel</t>
  </si>
  <si>
    <t>HInstitutionLevel</t>
  </si>
  <si>
    <t>卫生部直属医院</t>
  </si>
  <si>
    <t>直辖市或省级医院或985、211院校附属医院或军区直属医院</t>
  </si>
  <si>
    <t>市级医院或一般医学院附属医院</t>
  </si>
  <si>
    <t>县级医院</t>
  </si>
  <si>
    <t>码值：PersonalRelation</t>
  </si>
  <si>
    <t>PersonalRelation</t>
  </si>
  <si>
    <t>个人关系类型</t>
  </si>
  <si>
    <t>直系亲属</t>
  </si>
  <si>
    <t>朋友</t>
  </si>
  <si>
    <t>合伙人</t>
  </si>
  <si>
    <t>同事</t>
  </si>
  <si>
    <t>邻居</t>
  </si>
  <si>
    <t>码值：SimpleMeetingApplyMain</t>
  </si>
  <si>
    <t>SimpleMeetingApplyMain</t>
  </si>
  <si>
    <t>简单贷审会主树图</t>
  </si>
  <si>
    <t>已通过</t>
  </si>
  <si>
    <t>码值：技术领先性</t>
  </si>
  <si>
    <t>技术领先性</t>
  </si>
  <si>
    <t>码值：关联企业风险状况</t>
  </si>
  <si>
    <t>关联企业风险状况</t>
  </si>
  <si>
    <t>码值：Scope</t>
  </si>
  <si>
    <t>Scope</t>
  </si>
  <si>
    <t>码值：AgreeOrNot</t>
  </si>
  <si>
    <t>AgreeOrNot</t>
  </si>
  <si>
    <t>同意否决</t>
  </si>
  <si>
    <t>同意</t>
  </si>
  <si>
    <t>码值：BatchClApplyView</t>
  </si>
  <si>
    <t>BatchClApplyView</t>
  </si>
  <si>
    <t>批量授信额度</t>
  </si>
  <si>
    <t>003010</t>
  </si>
  <si>
    <t>003020</t>
  </si>
  <si>
    <t>003030</t>
  </si>
  <si>
    <t>003040</t>
  </si>
  <si>
    <t>码值：ManagementTeamExperience</t>
  </si>
  <si>
    <t>ManagementTeamExperience</t>
  </si>
  <si>
    <t>&gt; 10 年</t>
  </si>
  <si>
    <t>3 - 10 年</t>
  </si>
  <si>
    <t>1 - 2 年</t>
  </si>
  <si>
    <t>对于行业很新，但有相关经验</t>
  </si>
  <si>
    <t>对于行业很新，没有经验</t>
  </si>
  <si>
    <t>码值：ReFreq</t>
  </si>
  <si>
    <t>ReFreq</t>
  </si>
  <si>
    <t>码值：FinaRunArea</t>
  </si>
  <si>
    <t>FinaRunArea</t>
  </si>
  <si>
    <t>码值：LocationType</t>
  </si>
  <si>
    <t>LocationType</t>
  </si>
  <si>
    <t>调查实地类型</t>
  </si>
  <si>
    <t>借款人经营地</t>
  </si>
  <si>
    <t>担保人经营地</t>
  </si>
  <si>
    <t>借款人住所</t>
  </si>
  <si>
    <t>担保人住所</t>
  </si>
  <si>
    <t>码值：NFinancingCapacity</t>
  </si>
  <si>
    <t>NFinancingCapacity</t>
  </si>
  <si>
    <t>融资理念成熟，融资渠道多样。体现为，已经在境内外主要交易所上市，或者在工农中建交中的三家及以上银行有授信，或者成功在公开市场发行过债券</t>
  </si>
  <si>
    <t>融资理念较成熟，融资渠道较多样。体现为，已经进入上市辅导期，或者在我行以外的至少三家银行有授信</t>
  </si>
  <si>
    <t>公司有一些融资理念，且已经成功实现过外部资金融入。体现为，在我行以外的至少一家银行有授信，或者有风险投资或者类似资金入股</t>
  </si>
  <si>
    <t>公司融资理念不清晰，基本没有获得过股东以外的资金融入</t>
  </si>
  <si>
    <t>码值：GiveType</t>
  </si>
  <si>
    <t>GiveType</t>
  </si>
  <si>
    <t>交单方式</t>
  </si>
  <si>
    <t>D/P（付款交单）</t>
  </si>
  <si>
    <t>D/A（承兑交单）</t>
  </si>
  <si>
    <t>码值：IndustrialRealtyType</t>
  </si>
  <si>
    <t>IndustrialRealtyType</t>
  </si>
  <si>
    <t>标准工业厂房</t>
  </si>
  <si>
    <t>非标准工业厂房</t>
  </si>
  <si>
    <t>物流仓库</t>
  </si>
  <si>
    <t>码值：DimensionType</t>
  </si>
  <si>
    <t>DimensionType</t>
  </si>
  <si>
    <t>授权维度类型</t>
  </si>
  <si>
    <t>Integer</t>
  </si>
  <si>
    <t>整数型</t>
  </si>
  <si>
    <t>Number</t>
  </si>
  <si>
    <t>精度数</t>
  </si>
  <si>
    <t>字符型</t>
  </si>
  <si>
    <t>码值：CreditPutoutApplyIndMain</t>
  </si>
  <si>
    <t>CreditPutoutApplyIndMain</t>
  </si>
  <si>
    <t>个人放贷申请主树图</t>
  </si>
  <si>
    <t>码值：SEGTermFlag</t>
  </si>
  <si>
    <t>SEGTermFlag</t>
  </si>
  <si>
    <t>区段执行标识</t>
  </si>
  <si>
    <t>贷款期限</t>
  </si>
  <si>
    <t>区段期限</t>
  </si>
  <si>
    <t>指定期限</t>
  </si>
  <si>
    <t>码值：ReserveView</t>
  </si>
  <si>
    <t>ReserveView</t>
  </si>
  <si>
    <t>码值：LimitCustomerType</t>
  </si>
  <si>
    <t>LimitCustomerType</t>
  </si>
  <si>
    <t>Company</t>
  </si>
  <si>
    <t>公司客户</t>
  </si>
  <si>
    <t>CustomerGroup</t>
  </si>
  <si>
    <t>客户群</t>
  </si>
  <si>
    <t>Finance</t>
  </si>
  <si>
    <t>同业客户</t>
  </si>
  <si>
    <t>Group</t>
  </si>
  <si>
    <t>集团客户</t>
  </si>
  <si>
    <t>Single</t>
  </si>
  <si>
    <t>个人客户</t>
  </si>
  <si>
    <t>码值：ClassifyApplyMain</t>
  </si>
  <si>
    <t>ClassifyApplyMain</t>
  </si>
  <si>
    <t>五级分类申请主树图</t>
  </si>
  <si>
    <t>码值：FinancingPlatFormPerson</t>
  </si>
  <si>
    <t>FinancingPlatFormPerson</t>
  </si>
  <si>
    <t>政府机构（如：融资办）向融资平台派驻财务总监</t>
  </si>
  <si>
    <t>财务总监为融资平台自身委任</t>
  </si>
  <si>
    <t>无财务总监或其不能履行相应职责</t>
  </si>
  <si>
    <t>码值：FinaTreeView</t>
  </si>
  <si>
    <t>FinaTreeView</t>
  </si>
  <si>
    <t>金融客户详情视图</t>
  </si>
  <si>
    <t>股东信息</t>
  </si>
  <si>
    <t>对外股权投资信息</t>
  </si>
  <si>
    <t>客户影像资料</t>
  </si>
  <si>
    <t>码值：VersionStatus</t>
  </si>
  <si>
    <t>VersionStatus</t>
  </si>
  <si>
    <t>版本状态</t>
  </si>
  <si>
    <t>码值：供应商集中度</t>
  </si>
  <si>
    <t>供应商集中度</t>
  </si>
  <si>
    <t>少于20%</t>
  </si>
  <si>
    <t xml:space="preserve">20 到 30% </t>
  </si>
  <si>
    <t xml:space="preserve">多于30到40% </t>
  </si>
  <si>
    <t>多于40到60%</t>
  </si>
  <si>
    <t>多于60%</t>
  </si>
  <si>
    <t>码值：BookInContractApplyFinaMain</t>
  </si>
  <si>
    <t>BookInContractApplyFinaMain</t>
  </si>
  <si>
    <t>同业批复合同登记申请主树图</t>
  </si>
  <si>
    <t>码值：PartnerListView</t>
  </si>
  <si>
    <t>PartnerListView</t>
  </si>
  <si>
    <t>合作方列表视图</t>
  </si>
  <si>
    <t>0000</t>
  </si>
  <si>
    <t>合作方客户</t>
  </si>
  <si>
    <t>住房置业担保公司</t>
  </si>
  <si>
    <t>担保公司</t>
  </si>
  <si>
    <t>房产中介</t>
  </si>
  <si>
    <t>委托贷款合作方</t>
  </si>
  <si>
    <t>市场经营/管理方</t>
  </si>
  <si>
    <t>资产买卖合作方</t>
  </si>
  <si>
    <t>0090</t>
  </si>
  <si>
    <t>0091</t>
  </si>
  <si>
    <t>评估公司</t>
  </si>
  <si>
    <t>0092</t>
  </si>
  <si>
    <t>公证公司</t>
  </si>
  <si>
    <t>0093</t>
  </si>
  <si>
    <t>追索代理机构</t>
  </si>
  <si>
    <t>0094</t>
  </si>
  <si>
    <t>码值：ECRReason</t>
  </si>
  <si>
    <t>ECRReason</t>
  </si>
  <si>
    <t>对公征信查询原因</t>
  </si>
  <si>
    <t>贷前审查</t>
  </si>
  <si>
    <t>贷中操作</t>
  </si>
  <si>
    <t>贷后管理</t>
  </si>
  <si>
    <t>其他理由</t>
  </si>
  <si>
    <t>关联查询</t>
  </si>
  <si>
    <t>码值：LineClass</t>
  </si>
  <si>
    <t>LineClass</t>
  </si>
  <si>
    <t>额度种类</t>
  </si>
  <si>
    <t>综合额度</t>
  </si>
  <si>
    <t>码值：NationalMarketShare</t>
  </si>
  <si>
    <t>NationalMarketShare</t>
  </si>
  <si>
    <t>20%以上</t>
  </si>
  <si>
    <t>5%以上(含5%)</t>
  </si>
  <si>
    <t>2%--5%</t>
  </si>
  <si>
    <t>1%--2%</t>
  </si>
  <si>
    <t>1%以下</t>
  </si>
  <si>
    <t>码值：PartnerProjectApplChangeMain</t>
  </si>
  <si>
    <t>PartnerProjectApplChangeMain</t>
  </si>
  <si>
    <t>合作方项目变更申请主树图</t>
  </si>
  <si>
    <t>码值：RemitMode</t>
  </si>
  <si>
    <t>RemitMode</t>
  </si>
  <si>
    <t>汇款方式</t>
  </si>
  <si>
    <t>T/T（电汇）</t>
  </si>
  <si>
    <t>M/T（信汇）</t>
  </si>
  <si>
    <t>D/D（票汇）</t>
  </si>
  <si>
    <t>码值：EntInd</t>
  </si>
  <si>
    <t>EntInd</t>
  </si>
  <si>
    <t>对公业务/对私业务</t>
  </si>
  <si>
    <t>对公业务</t>
  </si>
  <si>
    <t>对私业务</t>
  </si>
  <si>
    <t>码值：AccountSource</t>
  </si>
  <si>
    <t>AccountSource</t>
  </si>
  <si>
    <t>帐号来源</t>
  </si>
  <si>
    <t>合同登记</t>
  </si>
  <si>
    <t>码值：AssetAttribute</t>
  </si>
  <si>
    <t>AssetAttribute</t>
  </si>
  <si>
    <t>资产属性</t>
  </si>
  <si>
    <t>抵债资产</t>
  </si>
  <si>
    <t>查封资产</t>
  </si>
  <si>
    <t>码值：InspectType</t>
  </si>
  <si>
    <t>InspectType</t>
  </si>
  <si>
    <t>码值：SubjectLevel</t>
  </si>
  <si>
    <t>SubjectLevel</t>
  </si>
  <si>
    <t>科目级别</t>
  </si>
  <si>
    <t>1级</t>
  </si>
  <si>
    <t>2级</t>
  </si>
  <si>
    <t>3级</t>
  </si>
  <si>
    <t>码值：AcceptMessageInfo</t>
  </si>
  <si>
    <t>AcceptMessageInfo</t>
  </si>
  <si>
    <t>接收银行信息方式</t>
  </si>
  <si>
    <t>电子邮件</t>
  </si>
  <si>
    <t>手机短信</t>
  </si>
  <si>
    <t>码值：OperationStability</t>
  </si>
  <si>
    <t>OperationStability</t>
  </si>
  <si>
    <t>长期稳定的优秀业绩记录</t>
  </si>
  <si>
    <t>长期稳定的良好业绩记录</t>
  </si>
  <si>
    <t>有限的业绩记录，当前的业绩高于或持平于预期</t>
  </si>
  <si>
    <t>业绩纪录不稳定且低于预期，业绩也会难以衡量，并缺乏历史数据</t>
  </si>
  <si>
    <t>很少业绩记录，或业绩记录极不稳定，或有数据的质量问题</t>
  </si>
  <si>
    <t>没有业绩记录或相关数据</t>
  </si>
  <si>
    <t>码值：企业销售增长程度</t>
  </si>
  <si>
    <t>企业销售增长程度</t>
  </si>
  <si>
    <t>连续2 年增长且平均增长20％（含）以上</t>
  </si>
  <si>
    <t>连续2 年增长且平均增长10％（含）以上</t>
  </si>
  <si>
    <t>连续2 年增长且平均增长5％（含）以上</t>
  </si>
  <si>
    <t>码值：主要控股股东类型</t>
  </si>
  <si>
    <t>主要控股股东类型</t>
  </si>
  <si>
    <t>央企，或者世界五百强企业，或其直接控股的企业</t>
  </si>
  <si>
    <t>C类公司的直接控股子公司</t>
  </si>
  <si>
    <t>码值：市场竞争状态</t>
  </si>
  <si>
    <t>市场竞争状态</t>
  </si>
  <si>
    <t>码值：公司资质</t>
  </si>
  <si>
    <t>公司资质</t>
  </si>
  <si>
    <t>码值：Stability</t>
  </si>
  <si>
    <t>Stability</t>
  </si>
  <si>
    <t>码值：企业形象</t>
  </si>
  <si>
    <t>企业形象</t>
  </si>
  <si>
    <t>著名品牌</t>
  </si>
  <si>
    <t>未树立著名品牌形象</t>
  </si>
  <si>
    <t>码值：EdocCodeMethod</t>
  </si>
  <si>
    <t>EdocCodeMethod</t>
  </si>
  <si>
    <t>电子合同编辑来源类型</t>
  </si>
  <si>
    <t>CODE</t>
  </si>
  <si>
    <t>CODELIST</t>
  </si>
  <si>
    <t>INPUT</t>
  </si>
  <si>
    <t>手工输入</t>
  </si>
  <si>
    <t>码值：地理位置(事业单位)</t>
  </si>
  <si>
    <t>地理位置(事业单位)</t>
  </si>
  <si>
    <t>地级市（包括相当于地级市级别的行政单位，例如直辖市的区）</t>
  </si>
  <si>
    <t>码值：BuyoutType</t>
  </si>
  <si>
    <t>BuyoutType</t>
  </si>
  <si>
    <t>收购方式</t>
  </si>
  <si>
    <t>协议转让</t>
  </si>
  <si>
    <t>要约收购</t>
  </si>
  <si>
    <t>码值：FundContractType</t>
  </si>
  <si>
    <t>FundContractType</t>
  </si>
  <si>
    <t>基金契约类型</t>
  </si>
  <si>
    <t>开放式</t>
  </si>
  <si>
    <t>封闭式</t>
  </si>
  <si>
    <t>码值：RulePriority</t>
  </si>
  <si>
    <t>RulePriority</t>
  </si>
  <si>
    <t>规则优先级</t>
  </si>
  <si>
    <t>Level_0</t>
  </si>
  <si>
    <t>Level_1</t>
  </si>
  <si>
    <t>Level_2</t>
  </si>
  <si>
    <t>Level_3</t>
  </si>
  <si>
    <t>Level_4</t>
  </si>
  <si>
    <t>码值：SMECreditBRecord</t>
  </si>
  <si>
    <t>SMECreditBRecord</t>
  </si>
  <si>
    <t>信用状况</t>
  </si>
  <si>
    <t>无逾期记录</t>
  </si>
  <si>
    <t>有逾期记录</t>
  </si>
  <si>
    <t>码值：ComponentParameterOperator</t>
  </si>
  <si>
    <t>ComponentParameterOperator</t>
  </si>
  <si>
    <t>业务组件参数控制逻辑</t>
  </si>
  <si>
    <t>EXCLUDEDVALUE</t>
  </si>
  <si>
    <t>不可选择范围</t>
  </si>
  <si>
    <t>MANDATORYVALUE</t>
  </si>
  <si>
    <t>必选范围</t>
  </si>
  <si>
    <t>MAXIMUMVALUE</t>
  </si>
  <si>
    <t>最大值</t>
  </si>
  <si>
    <t>MINIMUMVALUE</t>
  </si>
  <si>
    <t>最小值</t>
  </si>
  <si>
    <t>OPTIONALVALUE</t>
  </si>
  <si>
    <t>可选范围</t>
  </si>
  <si>
    <t>VALUE</t>
  </si>
  <si>
    <t>指定值</t>
  </si>
  <si>
    <t>码值：OtherBankCreditRecord</t>
  </si>
  <si>
    <t>OtherBankCreditRecord</t>
  </si>
  <si>
    <t>码值：产品质量</t>
  </si>
  <si>
    <t>产品质量</t>
  </si>
  <si>
    <t>码值：DetailedType</t>
  </si>
  <si>
    <t>DetailedType</t>
  </si>
  <si>
    <t>查封资产性质</t>
  </si>
  <si>
    <t>房产-住宅</t>
  </si>
  <si>
    <t>房产-厂房</t>
  </si>
  <si>
    <t>房产-商业用房</t>
  </si>
  <si>
    <t>房产-其他</t>
  </si>
  <si>
    <t>股权-流通股</t>
  </si>
  <si>
    <t>股权-国有股</t>
  </si>
  <si>
    <t>股权-法人股</t>
  </si>
  <si>
    <t>股权-外资股</t>
  </si>
  <si>
    <t>股权-其他</t>
  </si>
  <si>
    <t>码值：InputType</t>
  </si>
  <si>
    <t>InputType</t>
  </si>
  <si>
    <t>输入类型</t>
  </si>
  <si>
    <t>文本输入框</t>
  </si>
  <si>
    <t>文本区域输入框</t>
  </si>
  <si>
    <t>多选框</t>
  </si>
  <si>
    <t>单选框</t>
  </si>
  <si>
    <t>金额</t>
  </si>
  <si>
    <t>弹出框(单选)</t>
  </si>
  <si>
    <t>弹出框(多选)</t>
  </si>
  <si>
    <t>文档</t>
  </si>
  <si>
    <t>利率</t>
  </si>
  <si>
    <t>码值：OperationalLoanType</t>
  </si>
  <si>
    <t>OperationalLoanType</t>
  </si>
  <si>
    <t>个人经营性贷款分类</t>
  </si>
  <si>
    <t>小微企业</t>
  </si>
  <si>
    <t>码值：DimensionTypeX</t>
  </si>
  <si>
    <t>DimensionTypeX</t>
  </si>
  <si>
    <t>码值：InputMethod</t>
  </si>
  <si>
    <t>InputMethod</t>
  </si>
  <si>
    <t>电子合同编辑来源</t>
  </si>
  <si>
    <t>码值：Liquidity</t>
  </si>
  <si>
    <t>Liquidity</t>
  </si>
  <si>
    <t>流动性强，价格波动性小</t>
  </si>
  <si>
    <t>流动性强，价格波动性大</t>
  </si>
  <si>
    <t>流动性弱，价格波动性小</t>
  </si>
  <si>
    <t>3.</t>
  </si>
  <si>
    <t>流动性弱，价格波动性大</t>
  </si>
  <si>
    <t>码值：OverSituation</t>
  </si>
  <si>
    <t>OverSituation</t>
  </si>
  <si>
    <t>码值：IntraIndustryType</t>
  </si>
  <si>
    <t>IntraIndustryType</t>
  </si>
  <si>
    <t>行内行业投向</t>
  </si>
  <si>
    <t>市政项目</t>
  </si>
  <si>
    <t>园区</t>
  </si>
  <si>
    <t>房地产</t>
  </si>
  <si>
    <t>土地储备</t>
  </si>
  <si>
    <t>建筑</t>
  </si>
  <si>
    <t>商贸</t>
  </si>
  <si>
    <t>机车及配件</t>
  </si>
  <si>
    <t>摩托车及配件</t>
  </si>
  <si>
    <t>文化教育</t>
  </si>
  <si>
    <t>能源</t>
  </si>
  <si>
    <t>水利</t>
  </si>
  <si>
    <t>医药</t>
  </si>
  <si>
    <t>信息</t>
  </si>
  <si>
    <t>医疗卫生</t>
  </si>
  <si>
    <t>建材</t>
  </si>
  <si>
    <t>机械</t>
  </si>
  <si>
    <t>运输</t>
  </si>
  <si>
    <t>190</t>
  </si>
  <si>
    <t>冶金</t>
  </si>
  <si>
    <t>200</t>
  </si>
  <si>
    <t>烟草</t>
  </si>
  <si>
    <t>210</t>
  </si>
  <si>
    <t>纺织</t>
  </si>
  <si>
    <t>220</t>
  </si>
  <si>
    <t>交通基础设施</t>
  </si>
  <si>
    <t>230</t>
  </si>
  <si>
    <t>化工</t>
  </si>
  <si>
    <t>240</t>
  </si>
  <si>
    <t>住房开发贷款</t>
  </si>
  <si>
    <t>241</t>
  </si>
  <si>
    <t>经济适用住房开发贷款</t>
  </si>
  <si>
    <t>242</t>
  </si>
  <si>
    <t>集资、合作建房贷款</t>
  </si>
  <si>
    <t>243</t>
  </si>
  <si>
    <t>廉租住房开发贷款</t>
  </si>
  <si>
    <t>250</t>
  </si>
  <si>
    <t>商业用房开发贷款</t>
  </si>
  <si>
    <t>260</t>
  </si>
  <si>
    <t>其他房产开发贷款</t>
  </si>
  <si>
    <t>261</t>
  </si>
  <si>
    <t>旧城改造贷款</t>
  </si>
  <si>
    <t>262</t>
  </si>
  <si>
    <t>工矿和棚户区改造建设贷款</t>
  </si>
  <si>
    <t>263</t>
  </si>
  <si>
    <t>公共租赁住房开发贷款</t>
  </si>
  <si>
    <t>264</t>
  </si>
  <si>
    <t>农民工公寓建设贷款</t>
  </si>
  <si>
    <t>270</t>
  </si>
  <si>
    <t>仪器仪表</t>
  </si>
  <si>
    <t>280</t>
  </si>
  <si>
    <t>环保</t>
  </si>
  <si>
    <t>290</t>
  </si>
  <si>
    <t>300</t>
  </si>
  <si>
    <t>印刷</t>
  </si>
  <si>
    <t>310</t>
  </si>
  <si>
    <t>钢贸</t>
  </si>
  <si>
    <t>320</t>
  </si>
  <si>
    <t>码值：PaymentMode</t>
  </si>
  <si>
    <t>PaymentMode</t>
  </si>
  <si>
    <t>支付方式</t>
  </si>
  <si>
    <t>自主支付</t>
  </si>
  <si>
    <t>受托支付</t>
  </si>
  <si>
    <t>码值：RegisterProcess</t>
  </si>
  <si>
    <t>RegisterProcess</t>
  </si>
  <si>
    <t>登记进度</t>
  </si>
  <si>
    <t>已送件</t>
  </si>
  <si>
    <t>已取件</t>
  </si>
  <si>
    <t>码值：Site</t>
  </si>
  <si>
    <t>Site</t>
  </si>
  <si>
    <t>码值：BalanceChangeType</t>
  </si>
  <si>
    <t>BalanceChangeType</t>
  </si>
  <si>
    <t>余额变动方向</t>
  </si>
  <si>
    <t>减少</t>
  </si>
  <si>
    <t>码值：销售归行率</t>
  </si>
  <si>
    <t>销售归行率</t>
  </si>
  <si>
    <t>80％以上（含）</t>
  </si>
  <si>
    <t>60％（含）-80％</t>
  </si>
  <si>
    <t>20％（含）-60％</t>
  </si>
  <si>
    <t>20％以下</t>
  </si>
  <si>
    <t>码值：企业类型2</t>
  </si>
  <si>
    <t>企业类型2</t>
  </si>
  <si>
    <t>技术密集型</t>
  </si>
  <si>
    <t>资本密集型</t>
  </si>
  <si>
    <t>劳动密集型</t>
  </si>
  <si>
    <t>码值：企业类型1</t>
  </si>
  <si>
    <t>企业类型1</t>
  </si>
  <si>
    <t>央企，或者世界五百强企业,</t>
  </si>
  <si>
    <t>央企控股的企业，或者世界五百强企业的控股企业</t>
  </si>
  <si>
    <t>不属于A、B两类，但为上市公司(包括国内及国外上市公司,但不包括ST股或已摘牌上市公司)，或者省（自治区、直辖市）属国有企业</t>
  </si>
  <si>
    <t>B、C两类公司的控股子公司</t>
  </si>
  <si>
    <t>其他公司</t>
  </si>
  <si>
    <t>码值：AlikeOrgType</t>
  </si>
  <si>
    <t>AlikeOrgType</t>
  </si>
  <si>
    <t>同业客户机构性质</t>
  </si>
  <si>
    <t>境内银行</t>
  </si>
  <si>
    <t>境内保险公司</t>
  </si>
  <si>
    <t>其他境内非银行同业</t>
  </si>
  <si>
    <t>境外银行</t>
  </si>
  <si>
    <t>境外机构</t>
  </si>
  <si>
    <t>码值：InvoicePurpose</t>
  </si>
  <si>
    <t>InvoicePurpose</t>
  </si>
  <si>
    <t>票据用途</t>
  </si>
  <si>
    <t>P01</t>
  </si>
  <si>
    <t>P02</t>
  </si>
  <si>
    <t>R01</t>
  </si>
  <si>
    <t>采购</t>
  </si>
  <si>
    <t>R02</t>
  </si>
  <si>
    <t>融资</t>
  </si>
  <si>
    <t>码值：BizContractStatus</t>
  </si>
  <si>
    <t>BizContractStatus</t>
  </si>
  <si>
    <t>已生效</t>
  </si>
  <si>
    <t>330</t>
  </si>
  <si>
    <t>部分冻结</t>
  </si>
  <si>
    <t>340</t>
  </si>
  <si>
    <t>全部冻结</t>
  </si>
  <si>
    <t>350</t>
  </si>
  <si>
    <t>解冻</t>
  </si>
  <si>
    <t>360</t>
  </si>
  <si>
    <t>已失效</t>
  </si>
  <si>
    <t>码值：InsuranceType</t>
  </si>
  <si>
    <t>InsuranceType</t>
  </si>
  <si>
    <t>保险类型</t>
  </si>
  <si>
    <t>地震险</t>
  </si>
  <si>
    <t>公众责任险</t>
  </si>
  <si>
    <t>财产险</t>
  </si>
  <si>
    <t>个人抵押贷款房屋保险</t>
  </si>
  <si>
    <t>第三者责任险</t>
  </si>
  <si>
    <t>财产综合险及地震险</t>
  </si>
  <si>
    <t>财产一切险及地震险</t>
  </si>
  <si>
    <t>汽车损失及责任等保险</t>
  </si>
  <si>
    <t>个人消费信贷保证保险</t>
  </si>
  <si>
    <t>财产一切险及盗窃险</t>
  </si>
  <si>
    <t>全车盗抢险</t>
  </si>
  <si>
    <t>家庭财产险</t>
  </si>
  <si>
    <t>车辆损失险</t>
  </si>
  <si>
    <t>个人抵押商品住房综合险</t>
  </si>
  <si>
    <t>财产及地震险</t>
  </si>
  <si>
    <t>财产及家庭财产险</t>
  </si>
  <si>
    <t>财产及公众责任险</t>
  </si>
  <si>
    <t>财产一切险</t>
  </si>
  <si>
    <t>住房按揭险</t>
  </si>
  <si>
    <t>财产,家庭财产及公众责任险</t>
  </si>
  <si>
    <t>险种代码</t>
  </si>
  <si>
    <t>险种中文描述</t>
  </si>
  <si>
    <t>码值：ClassifyResult</t>
  </si>
  <si>
    <t>ClassifyResult</t>
  </si>
  <si>
    <t>五级分类</t>
  </si>
  <si>
    <t>关注</t>
  </si>
  <si>
    <t>次级</t>
  </si>
  <si>
    <t>可疑</t>
  </si>
  <si>
    <t>损失</t>
  </si>
  <si>
    <t>码值：FinanceCertType</t>
  </si>
  <si>
    <t>FinanceCertType</t>
  </si>
  <si>
    <t>同业客户类型</t>
  </si>
  <si>
    <t>码值：OffSheetFlag</t>
  </si>
  <si>
    <t>OffSheetFlag</t>
  </si>
  <si>
    <t>对公表内/对公表外/个人表内/个人表外</t>
  </si>
  <si>
    <t>EntOff</t>
  </si>
  <si>
    <t>对公表外</t>
  </si>
  <si>
    <t>EntOn</t>
  </si>
  <si>
    <t>对公表内</t>
  </si>
  <si>
    <t>IndOff</t>
  </si>
  <si>
    <t>个人表外</t>
  </si>
  <si>
    <t>IndOn</t>
  </si>
  <si>
    <t>个人表内</t>
  </si>
  <si>
    <t>码值：负债收入比</t>
  </si>
  <si>
    <t>负债收入比</t>
  </si>
  <si>
    <t>制造业≦10%/贸易行业≦4%/服务行业≦15%/其他≦4%</t>
  </si>
  <si>
    <t>10%﹤制造业≦15%/4%﹤贸易行业≦6%/15%﹤服务行业≦25%/4%﹤其他≦6%</t>
  </si>
  <si>
    <t>15%﹤制造业≦20%/6%﹤贸易行业≦8%/25%﹤服务行业≦40%/6%﹤其他≦8%</t>
  </si>
  <si>
    <t>20%﹤制造业≦30%/8%﹤贸易行业≦12%/40%﹤服务行业≦60%/8%﹤其他≦12%</t>
  </si>
  <si>
    <t>制造业﹥30%/贸易行业﹥12%/服务行业﹥60%/其他﹥12%</t>
  </si>
  <si>
    <t>码值：贷款申请人年龄</t>
  </si>
  <si>
    <t>贷款申请人年龄</t>
  </si>
  <si>
    <t xml:space="preserve">35岁－45岁(含45岁) </t>
  </si>
  <si>
    <t>码值：AppraisalApplyType</t>
  </si>
  <si>
    <t>AppraisalApplyType</t>
  </si>
  <si>
    <t>评估机构申请类型</t>
  </si>
  <si>
    <t>AgencyAccessApply</t>
  </si>
  <si>
    <t>准入申请</t>
  </si>
  <si>
    <t>AgencyAlertApply</t>
  </si>
  <si>
    <t>警示信息申请</t>
  </si>
  <si>
    <t>AgencyBlackApply</t>
  </si>
  <si>
    <t>黑名单信息申请</t>
  </si>
  <si>
    <t>AgencyEvaluateApply</t>
  </si>
  <si>
    <t>评价调查申请</t>
  </si>
  <si>
    <t>AgencyExaminedApply</t>
  </si>
  <si>
    <t>年审申请</t>
  </si>
  <si>
    <t>AgencyExitApply</t>
  </si>
  <si>
    <t>退出申请</t>
  </si>
  <si>
    <t>AgencyRelieveAlertApply</t>
  </si>
  <si>
    <t>警示信息解除申请</t>
  </si>
  <si>
    <t>AgencyRelieveBlackApply</t>
  </si>
  <si>
    <t>黑名单信息解除申请</t>
  </si>
  <si>
    <t>码值：AppraisalAssessType</t>
  </si>
  <si>
    <t>AppraisalAssessType</t>
  </si>
  <si>
    <t>评分码值</t>
  </si>
  <si>
    <t>最高</t>
  </si>
  <si>
    <t>次之</t>
  </si>
  <si>
    <t>最末</t>
  </si>
  <si>
    <t>码值：ProfessionalLife</t>
  </si>
  <si>
    <t>ProfessionalLife</t>
  </si>
  <si>
    <t>5年以上－10年(含10年)</t>
  </si>
  <si>
    <t>10年以上</t>
  </si>
  <si>
    <t>码值：AcctLoanView</t>
  </si>
  <si>
    <t>AcctLoanView</t>
  </si>
  <si>
    <t>表内贷款账号信息树图</t>
  </si>
  <si>
    <t>借据基本信息</t>
  </si>
  <si>
    <t>还款信息</t>
  </si>
  <si>
    <t>利率信息</t>
  </si>
  <si>
    <t>罚息信息</t>
  </si>
  <si>
    <t>账户信息</t>
  </si>
  <si>
    <t>利润分配信息</t>
  </si>
  <si>
    <t>还款记录</t>
  </si>
  <si>
    <t>交易记录</t>
  </si>
  <si>
    <t>分账信息</t>
  </si>
  <si>
    <t>计息信息</t>
  </si>
  <si>
    <t>码值：OccupyRole</t>
  </si>
  <si>
    <t>OccupyRole</t>
  </si>
  <si>
    <t>占有角色</t>
  </si>
  <si>
    <t>BelongGroup</t>
  </si>
  <si>
    <t>所属集团</t>
  </si>
  <si>
    <t>CarDealers</t>
  </si>
  <si>
    <t>CommerialTicketAcceptor</t>
  </si>
  <si>
    <t>商票承兑人</t>
  </si>
  <si>
    <t>Developers</t>
  </si>
  <si>
    <t xml:space="preserve">开发商 </t>
  </si>
  <si>
    <t>GuaranteeCompany</t>
  </si>
  <si>
    <t xml:space="preserve">担保公司 </t>
  </si>
  <si>
    <t>LetterOfCreditIssuingBank</t>
  </si>
  <si>
    <t>信用证开证行</t>
  </si>
  <si>
    <t>ReceivablesPayer</t>
  </si>
  <si>
    <t>应收账款支付方</t>
  </si>
  <si>
    <t>SilverAcceptanceBank</t>
  </si>
  <si>
    <t>银票承兑行</t>
  </si>
  <si>
    <t>TransactionObject</t>
  </si>
  <si>
    <t>交易对象</t>
  </si>
  <si>
    <t>码值：职业或工作种类</t>
  </si>
  <si>
    <t>职业或工作种类</t>
  </si>
  <si>
    <t>码值：ClrInfoView</t>
  </si>
  <si>
    <t>ClrInfoView</t>
  </si>
  <si>
    <t>押品详情树图</t>
  </si>
  <si>
    <t>押品基本信息</t>
  </si>
  <si>
    <t>权属人信息</t>
  </si>
  <si>
    <t>保险信息</t>
  </si>
  <si>
    <t>合格性信息</t>
  </si>
  <si>
    <t>价值信息</t>
  </si>
  <si>
    <t>关联信息</t>
  </si>
  <si>
    <t>关联担保信息</t>
  </si>
  <si>
    <t>关联业务信息</t>
  </si>
  <si>
    <t>码值：CLUseRule</t>
  </si>
  <si>
    <t>CLUseRule</t>
  </si>
  <si>
    <t>串用规则</t>
  </si>
  <si>
    <t>串用共享</t>
  </si>
  <si>
    <t>超额共享</t>
  </si>
  <si>
    <t>码值：ReportType</t>
  </si>
  <si>
    <t>ReportType</t>
  </si>
  <si>
    <t>报告类型</t>
  </si>
  <si>
    <t>ECR</t>
  </si>
  <si>
    <t>对公征信报告</t>
  </si>
  <si>
    <t>ICR</t>
  </si>
  <si>
    <t>个人征信报告</t>
  </si>
  <si>
    <t>码值：全国市场占有率</t>
  </si>
  <si>
    <t>全国市场占有率</t>
  </si>
  <si>
    <t>码值：InvestmentPolicy</t>
  </si>
  <si>
    <t>InvestmentPolicy</t>
  </si>
  <si>
    <t>综合回报率在基贷率之上</t>
  </si>
  <si>
    <t>等于基贷率</t>
  </si>
  <si>
    <t>在基贷率之下</t>
  </si>
  <si>
    <t>综合回报率为负值</t>
  </si>
  <si>
    <t>无对外投资</t>
  </si>
  <si>
    <t>码值：景点开发公司</t>
  </si>
  <si>
    <t>国家级</t>
  </si>
  <si>
    <t>码值：DisplayType</t>
  </si>
  <si>
    <t>DisplayType</t>
  </si>
  <si>
    <t>展示类型</t>
  </si>
  <si>
    <t>标签(tab)</t>
  </si>
  <si>
    <t>层叠(strip)</t>
  </si>
  <si>
    <t>码值：职务年限</t>
  </si>
  <si>
    <t>职务年限</t>
  </si>
  <si>
    <t>3年及3年以上</t>
  </si>
  <si>
    <t>1年至3年</t>
  </si>
  <si>
    <t>1年以下</t>
  </si>
  <si>
    <t>码值：KeapOrder</t>
  </si>
  <si>
    <t>KeapOrder</t>
  </si>
  <si>
    <t>保证金到期扣款顺序</t>
  </si>
  <si>
    <t>先扣保证金,后活期帐户</t>
  </si>
  <si>
    <t>先活期帐户,后保证金</t>
  </si>
  <si>
    <t>不关联</t>
  </si>
  <si>
    <t>码值：FeeStatus</t>
  </si>
  <si>
    <t>FeeStatus</t>
  </si>
  <si>
    <t>费用状态</t>
  </si>
  <si>
    <t>无效</t>
  </si>
  <si>
    <t>码值：CreditApplyGroupClMain</t>
  </si>
  <si>
    <t>CreditApplyGroupClMain</t>
  </si>
  <si>
    <t>码值：CreditAlarmApplyMain</t>
  </si>
  <si>
    <t>CreditAlarmApplyMain</t>
  </si>
  <si>
    <t>风险预警树图</t>
  </si>
  <si>
    <t>预警信号发起</t>
  </si>
  <si>
    <t>待处理的预警信号</t>
  </si>
  <si>
    <t>认定中的预警信号</t>
  </si>
  <si>
    <t>已批准的预警信号</t>
  </si>
  <si>
    <t>01040</t>
  </si>
  <si>
    <t>已否决的预警信号</t>
  </si>
  <si>
    <t>预警信号解除</t>
  </si>
  <si>
    <t>码值：MergerType</t>
  </si>
  <si>
    <t>MergerType</t>
  </si>
  <si>
    <t>并购类型</t>
  </si>
  <si>
    <t>受让现有股权</t>
  </si>
  <si>
    <t>认购新增股权</t>
  </si>
  <si>
    <t>收购资产</t>
  </si>
  <si>
    <t>承接债务</t>
  </si>
  <si>
    <t>码值：PaymentBasis</t>
  </si>
  <si>
    <t>PaymentBasis</t>
  </si>
  <si>
    <t>首付款依据</t>
  </si>
  <si>
    <t>发票</t>
  </si>
  <si>
    <t>收据</t>
  </si>
  <si>
    <t>存款证明</t>
  </si>
  <si>
    <t>进账单</t>
  </si>
  <si>
    <t>POS单</t>
  </si>
  <si>
    <t>码值：FinancialAssets</t>
  </si>
  <si>
    <t>FinancialAssets</t>
  </si>
  <si>
    <t xml:space="preserve">10万元以下(含10万元) </t>
  </si>
  <si>
    <t xml:space="preserve">10万元－30万元(含30万元)  </t>
  </si>
  <si>
    <t xml:space="preserve">30万元－50万元(含50万元) </t>
  </si>
  <si>
    <t>50万元以上</t>
  </si>
  <si>
    <t>码值：AttachConvenType</t>
  </si>
  <si>
    <t>AttachConvenType</t>
  </si>
  <si>
    <t>查封便利性</t>
  </si>
  <si>
    <t>无查封障碍的不动产，动产由我行监管</t>
  </si>
  <si>
    <t>查封有一定障碍的不动产，动产存放地点相对固定但非我行监管</t>
  </si>
  <si>
    <t>查封有障碍的不动产，动产存放地点难掌握和控制</t>
  </si>
  <si>
    <t>码值：ChargeType</t>
  </si>
  <si>
    <t>ChargeType</t>
  </si>
  <si>
    <t>收费方式</t>
  </si>
  <si>
    <t>一次性支付</t>
  </si>
  <si>
    <t>按月计收</t>
  </si>
  <si>
    <t>按季计收</t>
  </si>
  <si>
    <t>按半年计收</t>
  </si>
  <si>
    <t>按年计收</t>
  </si>
  <si>
    <t>码值：CheckType</t>
  </si>
  <si>
    <t>CheckType</t>
  </si>
  <si>
    <t>校验类型</t>
  </si>
  <si>
    <t>定期检查</t>
  </si>
  <si>
    <t>不定期检查</t>
  </si>
  <si>
    <t>码值：OrgType</t>
  </si>
  <si>
    <t>OrgType</t>
  </si>
  <si>
    <t>内资企业</t>
  </si>
  <si>
    <t>100110</t>
  </si>
  <si>
    <t>100120</t>
  </si>
  <si>
    <t>100130</t>
  </si>
  <si>
    <t>股份合作企业</t>
  </si>
  <si>
    <t>100140</t>
  </si>
  <si>
    <t>联营企业</t>
  </si>
  <si>
    <t>100150</t>
  </si>
  <si>
    <t>100160</t>
  </si>
  <si>
    <t>股份有限公司</t>
  </si>
  <si>
    <t>100170</t>
  </si>
  <si>
    <t>私营企业</t>
  </si>
  <si>
    <t>100170171</t>
  </si>
  <si>
    <t>私营独资企业</t>
  </si>
  <si>
    <t>100170174</t>
  </si>
  <si>
    <t>私营有限责任公司</t>
  </si>
  <si>
    <t>100190</t>
  </si>
  <si>
    <t>港、澳、台商投资企业</t>
  </si>
  <si>
    <t>200210</t>
  </si>
  <si>
    <t>合资经营企业(港或澳、台资)</t>
  </si>
  <si>
    <t>200210211</t>
  </si>
  <si>
    <t>港、澳与内地合资企业</t>
  </si>
  <si>
    <t>200210212</t>
  </si>
  <si>
    <t>台湾与内地合资企业</t>
  </si>
  <si>
    <t>200220</t>
  </si>
  <si>
    <t>合作经营企业(港或澳、台资)</t>
  </si>
  <si>
    <t>200220221</t>
  </si>
  <si>
    <t>港、澳与内地合作企业</t>
  </si>
  <si>
    <t>200220222</t>
  </si>
  <si>
    <t>台湾与内地合作企业</t>
  </si>
  <si>
    <t>200230</t>
  </si>
  <si>
    <t>港、澳、台商独资经营企业</t>
  </si>
  <si>
    <t>200230231</t>
  </si>
  <si>
    <t>港、澳独资经营企业</t>
  </si>
  <si>
    <t>200230232</t>
  </si>
  <si>
    <t>台湾独资经营企业</t>
  </si>
  <si>
    <t>200240</t>
  </si>
  <si>
    <t>港、澳、台商投资股份有限公司</t>
  </si>
  <si>
    <t>200240241</t>
  </si>
  <si>
    <t>港、澳投资股份有限公司</t>
  </si>
  <si>
    <t>200240242</t>
  </si>
  <si>
    <t>台商投资股份有限公司</t>
  </si>
  <si>
    <t>外商投资企业</t>
  </si>
  <si>
    <t>300310</t>
  </si>
  <si>
    <t>中外合资经营企业</t>
  </si>
  <si>
    <t>300320</t>
  </si>
  <si>
    <t>中外合作经营企业</t>
  </si>
  <si>
    <t>300330</t>
  </si>
  <si>
    <t>外资(独资)企业</t>
  </si>
  <si>
    <t>300340</t>
  </si>
  <si>
    <t>外商投资股份有限公司</t>
  </si>
  <si>
    <t>400</t>
  </si>
  <si>
    <t>个体经营</t>
  </si>
  <si>
    <t>400410</t>
  </si>
  <si>
    <t>个体经营户</t>
  </si>
  <si>
    <t>400420</t>
  </si>
  <si>
    <t>个人合伙</t>
  </si>
  <si>
    <t>码值：QualicationEnterpreneurs</t>
  </si>
  <si>
    <t>QualicationEnterpreneurs</t>
  </si>
  <si>
    <t>码值：AgencyAlertRules</t>
  </si>
  <si>
    <t>AgencyAlertRules</t>
  </si>
  <si>
    <t>警示规则</t>
  </si>
  <si>
    <t>（一）评估执业资格等级被降级处分，或受到评估行业主管部门各种形式处分的；</t>
  </si>
  <si>
    <t>（二）评估收费不符合行业标准，受到有关管理部门查处和通报批评的；</t>
  </si>
  <si>
    <t>（三）出具的评估报告中未对抵（质）押品存在的明显风险进行揭示的；</t>
  </si>
  <si>
    <t>（四）评估机构未考虑基准日后事项对评估对象价值的影响，未对预期可能导致抵（质）押品价值 &lt;br/&gt;&amp;nbsp&amp;nbsp&amp;nbsp&amp;nbsp&amp;nbsp&amp;nbsp&amp;nbsp&amp;nbsp下跌的因素予以分析和说明，未对估价对象的变现能力进行分析的;</t>
  </si>
  <si>
    <t>（五）未能及时合理地回复本行相关人员对其出具的评估报告有关疑问的；</t>
  </si>
  <si>
    <t>（六）按规定向本行提供有关材料，或不按照本行管理制度要求对本行日常管理和检查不予配合的；</t>
  </si>
  <si>
    <t>（七）与被评估对象或授信客户有利害关系，或其他可能直接或间接影响评估质量的利害关系的；</t>
  </si>
  <si>
    <t>（八）分行相关部门或人员反映评估质量等存在问题的；</t>
  </si>
  <si>
    <t>码值：旅行社</t>
  </si>
  <si>
    <t>全国旅游50强</t>
  </si>
  <si>
    <t>码值：NewFlowApproveMain</t>
  </si>
  <si>
    <t>NewFlowApproveMain</t>
  </si>
  <si>
    <t>码值：TransactionApplyMain</t>
  </si>
  <si>
    <t>TransactionApplyMain</t>
  </si>
  <si>
    <t>贷款交易申请主树图</t>
  </si>
  <si>
    <t>被否决</t>
  </si>
  <si>
    <t>码值：ListingCorpType</t>
  </si>
  <si>
    <t>ListingCorpType</t>
  </si>
  <si>
    <t>上市公司类型</t>
  </si>
  <si>
    <t>非上市</t>
  </si>
  <si>
    <t>A股上市</t>
  </si>
  <si>
    <t>B股上市</t>
  </si>
  <si>
    <t>F</t>
  </si>
  <si>
    <t>海外上市</t>
  </si>
  <si>
    <t>H</t>
  </si>
  <si>
    <t>香港上市</t>
  </si>
  <si>
    <t>码值：MergerDealType</t>
  </si>
  <si>
    <t>MergerDealType</t>
  </si>
  <si>
    <t>并购交易方式</t>
  </si>
  <si>
    <t>合并</t>
  </si>
  <si>
    <t>股权收购</t>
  </si>
  <si>
    <t>资产收购</t>
  </si>
  <si>
    <t>码值：决策机制</t>
  </si>
  <si>
    <t>决策机制</t>
  </si>
  <si>
    <t>健全</t>
  </si>
  <si>
    <t>不健全</t>
  </si>
  <si>
    <t>无决策机制</t>
  </si>
  <si>
    <t>码值：GuarantyBillType</t>
  </si>
  <si>
    <t>GuarantyBillType</t>
  </si>
  <si>
    <t>担保票据类型</t>
  </si>
  <si>
    <t>汇票</t>
  </si>
  <si>
    <t>本票</t>
  </si>
  <si>
    <t>码值：总经理学历</t>
  </si>
  <si>
    <t>总经理学历</t>
  </si>
  <si>
    <t>研究生及研究生以上</t>
  </si>
  <si>
    <t>本科生</t>
  </si>
  <si>
    <t>大专及大专以下</t>
  </si>
  <si>
    <t>博士</t>
  </si>
  <si>
    <t>欧美名牌大学MBA</t>
  </si>
  <si>
    <t>有外资投资银行工作经验</t>
  </si>
  <si>
    <t>码值：BookInContractUnderApproveMain</t>
  </si>
  <si>
    <t>BookInContractUnderApproveMain</t>
  </si>
  <si>
    <t>额度项下合同登记审批主树图</t>
  </si>
  <si>
    <t>码值：决策能力</t>
  </si>
  <si>
    <t>决策能力</t>
  </si>
  <si>
    <t>码值：Classify</t>
  </si>
  <si>
    <t>Classify</t>
  </si>
  <si>
    <t>风险缓释分类</t>
  </si>
  <si>
    <t>表内净额结算</t>
  </si>
  <si>
    <t>金融质押品</t>
  </si>
  <si>
    <t>应收帐款</t>
  </si>
  <si>
    <t>房地产抵押</t>
  </si>
  <si>
    <t>其它抵押品</t>
  </si>
  <si>
    <t>信用衍生工具</t>
  </si>
  <si>
    <t>码值：IndEconomicView</t>
  </si>
  <si>
    <t>IndEconomicView</t>
  </si>
  <si>
    <t>个体经营户详情视图</t>
  </si>
  <si>
    <t>010180</t>
  </si>
  <si>
    <t>010190</t>
  </si>
  <si>
    <t>个人账户存款信息</t>
  </si>
  <si>
    <t>010240</t>
  </si>
  <si>
    <t>个人房屋资产信息</t>
  </si>
  <si>
    <t>010250</t>
  </si>
  <si>
    <t>个人车辆资产信息</t>
  </si>
  <si>
    <t>010950</t>
  </si>
  <si>
    <t>个人大事记</t>
  </si>
  <si>
    <t>010970</t>
  </si>
  <si>
    <t>个人提供相关资料</t>
  </si>
  <si>
    <t>010990</t>
  </si>
  <si>
    <t>配偶或家庭主要成员情况</t>
  </si>
  <si>
    <t>个体经营户财务信息</t>
  </si>
  <si>
    <t>社会保险情况</t>
  </si>
  <si>
    <t>财产保险情况</t>
  </si>
  <si>
    <t>030020030</t>
  </si>
  <si>
    <t>人寿保险情况</t>
  </si>
  <si>
    <t>030020060</t>
  </si>
  <si>
    <t>030020070</t>
  </si>
  <si>
    <t>030020080</t>
  </si>
  <si>
    <t>投资企业情况</t>
  </si>
  <si>
    <t>030020090</t>
  </si>
  <si>
    <t>030020100</t>
  </si>
  <si>
    <t>无形资产情况</t>
  </si>
  <si>
    <t>030020110</t>
  </si>
  <si>
    <t>其他资产情况</t>
  </si>
  <si>
    <t>030020120</t>
  </si>
  <si>
    <t>其他负债情况</t>
  </si>
  <si>
    <t>个体经营客户评级信息</t>
  </si>
  <si>
    <t>个人关联信息</t>
  </si>
  <si>
    <t>人员关联查询</t>
  </si>
  <si>
    <t>企业关联查询</t>
  </si>
  <si>
    <t>本行业务活动信息</t>
  </si>
  <si>
    <t>060040</t>
  </si>
  <si>
    <t>060050</t>
  </si>
  <si>
    <t>060060</t>
  </si>
  <si>
    <t>060070</t>
  </si>
  <si>
    <t>个人情况分析</t>
  </si>
  <si>
    <t>100010</t>
  </si>
  <si>
    <t>100020</t>
  </si>
  <si>
    <t>查看贷后检查情况</t>
  </si>
  <si>
    <t>码值：RiskAlarmApproveMain</t>
  </si>
  <si>
    <t>RiskAlarmApproveMain</t>
  </si>
  <si>
    <t>风险预警分发认定审批主树图</t>
  </si>
  <si>
    <t>码值：SMECreditSValue</t>
  </si>
  <si>
    <t>SMECreditSValue</t>
  </si>
  <si>
    <t>社会评价</t>
  </si>
  <si>
    <t>码值：GroupEventType</t>
  </si>
  <si>
    <t>GroupEventType</t>
  </si>
  <si>
    <t>集团变更</t>
  </si>
  <si>
    <t>业务主办行变更</t>
  </si>
  <si>
    <t>集团成员变更</t>
  </si>
  <si>
    <t>核心企业变更</t>
  </si>
  <si>
    <t>名单是否集中总行管理</t>
  </si>
  <si>
    <t>码值：Frontage</t>
  </si>
  <si>
    <t>Frontage</t>
  </si>
  <si>
    <t>临街情况</t>
  </si>
  <si>
    <t>四面临街</t>
  </si>
  <si>
    <t>三面临街</t>
  </si>
  <si>
    <t>二面临街</t>
  </si>
  <si>
    <t>一面临街</t>
  </si>
  <si>
    <t>不临街</t>
  </si>
  <si>
    <t>码值：ReserveParamView</t>
  </si>
  <si>
    <t>ReserveParamView</t>
  </si>
  <si>
    <t>减值计提参数配置树图</t>
  </si>
  <si>
    <t>组合计提减值比例设置</t>
  </si>
  <si>
    <t>减值计提时间参数设置</t>
  </si>
  <si>
    <t>组合计提计算时间</t>
  </si>
  <si>
    <t>单项计提发起时间</t>
  </si>
  <si>
    <t>减值周期</t>
  </si>
  <si>
    <t>码值：CrqAccountTree</t>
  </si>
  <si>
    <t>CrqAccountTree</t>
  </si>
  <si>
    <t>征信帐号树图</t>
  </si>
  <si>
    <t>征信查询帐号维护</t>
  </si>
  <si>
    <t>公司征信</t>
  </si>
  <si>
    <t>个人征信</t>
  </si>
  <si>
    <t>征信参数配置</t>
  </si>
  <si>
    <t>码值：NPALawsuitList</t>
  </si>
  <si>
    <t>NPALawsuitList</t>
  </si>
  <si>
    <t>查封资产树图</t>
  </si>
  <si>
    <t>查封资产基本信息</t>
  </si>
  <si>
    <t>价值变更记录</t>
  </si>
  <si>
    <t>资产定期监管信息</t>
  </si>
  <si>
    <t>码值：ExampleTree</t>
  </si>
  <si>
    <t>ExampleTree</t>
  </si>
  <si>
    <t>其他信息1</t>
  </si>
  <si>
    <t>其他信息2</t>
  </si>
  <si>
    <t>另外的信息</t>
  </si>
  <si>
    <t>码值：LimitClass</t>
  </si>
  <si>
    <t>LimitClass</t>
  </si>
  <si>
    <t>额度算法</t>
  </si>
  <si>
    <t>通用名义金额计算</t>
  </si>
  <si>
    <t>通用敞口金额计算</t>
  </si>
  <si>
    <t>委托贷款名义金额计算</t>
  </si>
  <si>
    <t>委托敞口计算</t>
  </si>
  <si>
    <t>码值：SMECreditChannel</t>
  </si>
  <si>
    <t>SMECreditChannel</t>
  </si>
  <si>
    <t>销售渠道</t>
  </si>
  <si>
    <t>多元化</t>
  </si>
  <si>
    <t>码值：OffLoanView</t>
  </si>
  <si>
    <t>OffLoanView</t>
  </si>
  <si>
    <t>表外贷款账号信息树图</t>
  </si>
  <si>
    <t>交易信息</t>
  </si>
  <si>
    <t>码值：技术人员的比重</t>
  </si>
  <si>
    <t>技术人员的比重</t>
  </si>
  <si>
    <t>30%--50%</t>
  </si>
  <si>
    <t>20%--30%</t>
  </si>
  <si>
    <t>码值：经营者居住状况</t>
  </si>
  <si>
    <t>经营者居住状况</t>
  </si>
  <si>
    <t>自有住宅</t>
  </si>
  <si>
    <t>按揭购房</t>
  </si>
  <si>
    <t>租住</t>
  </si>
  <si>
    <t>码值：ItemCost</t>
  </si>
  <si>
    <t>ItemCost</t>
  </si>
  <si>
    <t>项目拿地成本明显低于周边项目</t>
  </si>
  <si>
    <t>项目拿地成本与周边项目相差不大</t>
  </si>
  <si>
    <t>地王项目或拿地成本大大高于周边项目</t>
  </si>
  <si>
    <t>码值：LeaderShipExperience</t>
  </si>
  <si>
    <t>LeaderShipExperience</t>
  </si>
  <si>
    <t>主要领导人为本行业专家，具有15年以上丰富的从业经验</t>
  </si>
  <si>
    <t>主要领导人专业知识和经验较丰富，具有7-15年的从业经验</t>
  </si>
  <si>
    <t>主要领导人具有一定的专业知识和经验 ，具有3-7年的从业经验</t>
  </si>
  <si>
    <t>主要领导人对专业知识和经验较缺乏</t>
  </si>
  <si>
    <t>主要领导人不具备专业知识和经验</t>
  </si>
  <si>
    <t>码值：RateUnit</t>
  </si>
  <si>
    <t>RateUnit</t>
  </si>
  <si>
    <t>年利率(百分比)</t>
  </si>
  <si>
    <t>月利率(千分比)</t>
  </si>
  <si>
    <t>日利率(万分比)</t>
  </si>
  <si>
    <t>码值：GuaranteeForm</t>
  </si>
  <si>
    <t>GuaranteeForm</t>
  </si>
  <si>
    <t>保证担保形式</t>
  </si>
  <si>
    <t>码值：CreditLevel</t>
  </si>
  <si>
    <t>CreditLevel</t>
  </si>
  <si>
    <t>CCC</t>
  </si>
  <si>
    <t>CC</t>
  </si>
  <si>
    <t>码值：LandUseType</t>
  </si>
  <si>
    <t>LandUseType</t>
  </si>
  <si>
    <t>所属土地使用权类型</t>
  </si>
  <si>
    <t>转让</t>
  </si>
  <si>
    <t>码值：PayType</t>
  </si>
  <si>
    <t>PayType</t>
  </si>
  <si>
    <t>抵债方式</t>
  </si>
  <si>
    <t>协议抵债</t>
  </si>
  <si>
    <t>法院裁定</t>
  </si>
  <si>
    <t>破产受偿</t>
  </si>
  <si>
    <t>码值：CopyrightOwnerShip</t>
  </si>
  <si>
    <t>CopyrightOwnerShip</t>
  </si>
  <si>
    <t>著作权享有关系</t>
  </si>
  <si>
    <t>独有</t>
  </si>
  <si>
    <t>共有</t>
  </si>
  <si>
    <t>码值：DepositDrawType</t>
  </si>
  <si>
    <t>DepositDrawType</t>
  </si>
  <si>
    <t>存单支取方式</t>
  </si>
  <si>
    <t>密码</t>
  </si>
  <si>
    <t>证件</t>
  </si>
  <si>
    <t>印鉴</t>
  </si>
  <si>
    <t>码值：BookInContractUnderApplySMEMain</t>
  </si>
  <si>
    <t>BookInContractUnderApplySMEMain</t>
  </si>
  <si>
    <t>小微额度项下合同登记申请主树图</t>
  </si>
  <si>
    <t>码值：VehicleCodition</t>
  </si>
  <si>
    <t>VehicleCodition</t>
  </si>
  <si>
    <t xml:space="preserve">按揭购车 </t>
  </si>
  <si>
    <t>码值：融资能力2</t>
  </si>
  <si>
    <t>融资能力2</t>
  </si>
  <si>
    <t>为两家以上银行（本行除外）授信对象</t>
  </si>
  <si>
    <t>有另一家银行（本行除外）对该客户授信c</t>
  </si>
  <si>
    <t>本行授信客户</t>
  </si>
  <si>
    <t>没有银行对其授信</t>
  </si>
  <si>
    <t>码值：TableName</t>
  </si>
  <si>
    <t>TableName</t>
  </si>
  <si>
    <t>业务数据表</t>
  </si>
  <si>
    <t>ACCOUNT_INFO</t>
  </si>
  <si>
    <t>ACCOUNT_WASTEBOOK</t>
  </si>
  <si>
    <t>AGENCY_INFO</t>
  </si>
  <si>
    <t>AGENT_INFO</t>
  </si>
  <si>
    <t>APPLY_RELATIVE</t>
  </si>
  <si>
    <t>APPROVE_RELATIVE</t>
  </si>
  <si>
    <t>ASSET_BALANCE</t>
  </si>
  <si>
    <t>ASSET_CONTRACT</t>
  </si>
  <si>
    <t>ASSET_DISPOSITION</t>
  </si>
  <si>
    <t>ASSET_INFO</t>
  </si>
  <si>
    <t>IND_OASSET</t>
  </si>
  <si>
    <t>IND_ODEBT</t>
  </si>
  <si>
    <t>IND_RESUME</t>
  </si>
  <si>
    <t>IND_SI</t>
  </si>
  <si>
    <t>INSPECT_DATA</t>
  </si>
  <si>
    <t>INSPECT_DETAIL</t>
  </si>
  <si>
    <t>106</t>
  </si>
  <si>
    <t>INSPECT_INFO</t>
  </si>
  <si>
    <t>107</t>
  </si>
  <si>
    <t>INSURANCE_INFO</t>
  </si>
  <si>
    <t>108</t>
  </si>
  <si>
    <t>INVOICE_INFO</t>
  </si>
  <si>
    <t>109</t>
  </si>
  <si>
    <t>KNOWLEDGE_CATALOG</t>
  </si>
  <si>
    <t>LAWCASE_BOOK</t>
  </si>
  <si>
    <t>111</t>
  </si>
  <si>
    <t>LAWCASE_COGNIZANCE</t>
  </si>
  <si>
    <t>112</t>
  </si>
  <si>
    <t>LAWCASE_INFO</t>
  </si>
  <si>
    <t>113</t>
  </si>
  <si>
    <t>LAWCASE_PERSONS</t>
  </si>
  <si>
    <t>114</t>
  </si>
  <si>
    <t>LAWCASE_RELATIVE</t>
  </si>
  <si>
    <t>115</t>
  </si>
  <si>
    <t>LC_INFO</t>
  </si>
  <si>
    <t>116</t>
  </si>
  <si>
    <t>MANAGE_CHANGE</t>
  </si>
  <si>
    <t>117</t>
  </si>
  <si>
    <t>MANAGER_CHECKREPORT</t>
  </si>
  <si>
    <t>118</t>
  </si>
  <si>
    <t>OTHERCHANGE_INFO</t>
  </si>
  <si>
    <t>119</t>
  </si>
  <si>
    <t>PAYMENT_INFO</t>
  </si>
  <si>
    <t>BUSINESS_APPLICANT</t>
  </si>
  <si>
    <t>PROJECT_BUDGET</t>
  </si>
  <si>
    <t>121</t>
  </si>
  <si>
    <t>PROJECT_FUNDS</t>
  </si>
  <si>
    <t>122</t>
  </si>
  <si>
    <t>PROJECT_INFO</t>
  </si>
  <si>
    <t>123</t>
  </si>
  <si>
    <t>PROJECT_PROGRESS</t>
  </si>
  <si>
    <t>124</t>
  </si>
  <si>
    <t>PROJECT_RELATIVE</t>
  </si>
  <si>
    <t>125</t>
  </si>
  <si>
    <t>PUTOUT_RELATIVE</t>
  </si>
  <si>
    <t>126</t>
  </si>
  <si>
    <t>RATE_INFO</t>
  </si>
  <si>
    <t>127</t>
  </si>
  <si>
    <t>RECLAIM_INFO</t>
  </si>
  <si>
    <t>128</t>
  </si>
  <si>
    <t>REPORT_DATA</t>
  </si>
  <si>
    <t>129</t>
  </si>
  <si>
    <t>REPORT_RECORD</t>
  </si>
  <si>
    <t>BUSINESS_APPLY</t>
  </si>
  <si>
    <t>RESERVE_APPLY</t>
  </si>
  <si>
    <t>131</t>
  </si>
  <si>
    <t>RESERVE_COMPTOSIN</t>
  </si>
  <si>
    <t>132</t>
  </si>
  <si>
    <t>RESERVE_DETRANRATE</t>
  </si>
  <si>
    <t>133</t>
  </si>
  <si>
    <t>RESERVE_DUEBALANCE</t>
  </si>
  <si>
    <t>134</t>
  </si>
  <si>
    <t>RESERVE_ENTPARA</t>
  </si>
  <si>
    <t>RESERVE_ERATE</t>
  </si>
  <si>
    <t>136</t>
  </si>
  <si>
    <t>RESERVE_FINISH</t>
  </si>
  <si>
    <t>137</t>
  </si>
  <si>
    <t>RESERVE_INDPARA</t>
  </si>
  <si>
    <t>138</t>
  </si>
  <si>
    <t>RESERVE_IRATE</t>
  </si>
  <si>
    <t>139</t>
  </si>
  <si>
    <t>RESERVE_LOSSRATE</t>
  </si>
  <si>
    <t>BUSINESS_APPROVE</t>
  </si>
  <si>
    <t>RESERVE_NCREDATA</t>
  </si>
  <si>
    <t>141</t>
  </si>
  <si>
    <t>RESERVE_PREDICTDATA</t>
  </si>
  <si>
    <t>142</t>
  </si>
  <si>
    <t>RESERVE_TOTAL</t>
  </si>
  <si>
    <t>143</t>
  </si>
  <si>
    <t>RESERVE_TRANDATA</t>
  </si>
  <si>
    <t>144</t>
  </si>
  <si>
    <t>RISK_CRITERIA</t>
  </si>
  <si>
    <t>145</t>
  </si>
  <si>
    <t>RISK_SIGNAL</t>
  </si>
  <si>
    <t>146</t>
  </si>
  <si>
    <t>RISKSIGNAL_OPINION</t>
  </si>
  <si>
    <t>147</t>
  </si>
  <si>
    <t>SADRE_ASSUMPTION</t>
  </si>
  <si>
    <t>148</t>
  </si>
  <si>
    <t>SADRE_DIMENSION</t>
  </si>
  <si>
    <t>149</t>
  </si>
  <si>
    <t>SADRE_RULESCENE</t>
  </si>
  <si>
    <t>SADRE_SCENEGROUP</t>
  </si>
  <si>
    <t>151</t>
  </si>
  <si>
    <t>SADRE_SCENERELATIVE</t>
  </si>
  <si>
    <t>152</t>
  </si>
  <si>
    <t>SADRE_SYNONYMN</t>
  </si>
  <si>
    <t>153</t>
  </si>
  <si>
    <t>SME_APPLY</t>
  </si>
  <si>
    <t>154</t>
  </si>
  <si>
    <t>SME_CONFMODE</t>
  </si>
  <si>
    <t>155</t>
  </si>
  <si>
    <t>SME_CONSINFO</t>
  </si>
  <si>
    <t>156</t>
  </si>
  <si>
    <t>SME_CUSTACCO</t>
  </si>
  <si>
    <t>157</t>
  </si>
  <si>
    <t>SME_CUSTRELA</t>
  </si>
  <si>
    <t>158</t>
  </si>
  <si>
    <t>SME_INVEINFO</t>
  </si>
  <si>
    <t>159</t>
  </si>
  <si>
    <t>SUBJECT_HISTORY</t>
  </si>
  <si>
    <t>BUSINESS_DUEBILL</t>
  </si>
  <si>
    <t>TRANSFORM_RELATIVE</t>
  </si>
  <si>
    <t>161</t>
  </si>
  <si>
    <t>WORK_RECORD</t>
  </si>
  <si>
    <t>BUSINESS_EXTENSION</t>
  </si>
  <si>
    <t>BUSINESS_HISTORY</t>
  </si>
  <si>
    <t>BUSINESS_PUTOUT</t>
  </si>
  <si>
    <t>BUSINESS_SORT</t>
  </si>
  <si>
    <t>BUSINESS_TYPE</t>
  </si>
  <si>
    <t>BUSINESS_WASTEBOOK</t>
  </si>
  <si>
    <t>CASHFLOW_DATA</t>
  </si>
  <si>
    <t>CASHFLOW_PARAMETER</t>
  </si>
  <si>
    <t>CASHFLOW_RECORD</t>
  </si>
  <si>
    <t>26</t>
  </si>
  <si>
    <t>CL_DIVIDE</t>
  </si>
  <si>
    <t>27</t>
  </si>
  <si>
    <t>CL_OCCUPY</t>
  </si>
  <si>
    <t>28</t>
  </si>
  <si>
    <t>CLASSIFY_DATA</t>
  </si>
  <si>
    <t>29</t>
  </si>
  <si>
    <t>CLASSIFY_RECORD</t>
  </si>
  <si>
    <t>CODE_CATALOG</t>
  </si>
  <si>
    <t>CODE_LIBRARY</t>
  </si>
  <si>
    <t>CODE_LIBRARY1</t>
  </si>
  <si>
    <t>33</t>
  </si>
  <si>
    <t>CONCEDE_INFO</t>
  </si>
  <si>
    <t>34</t>
  </si>
  <si>
    <t>CONTRACT_INFO</t>
  </si>
  <si>
    <t>35</t>
  </si>
  <si>
    <t>CONTRACT_RELATIVE</t>
  </si>
  <si>
    <t>36</t>
  </si>
  <si>
    <t>COST_INFO</t>
  </si>
  <si>
    <t>37</t>
  </si>
  <si>
    <t>CREDIT_PROVE</t>
  </si>
  <si>
    <t>38</t>
  </si>
  <si>
    <t>CUSTOMER_ANARECORD</t>
  </si>
  <si>
    <t>39</t>
  </si>
  <si>
    <t>CUSTOMER_BELONG</t>
  </si>
  <si>
    <t>CUSTOMER_BOND</t>
  </si>
  <si>
    <t>41</t>
  </si>
  <si>
    <t>CUSTOMER_CORE</t>
  </si>
  <si>
    <t>42</t>
  </si>
  <si>
    <t>CUSTOMER_CRM_CORE</t>
  </si>
  <si>
    <t>43</t>
  </si>
  <si>
    <t>CUSTOMER_FSRECORD</t>
  </si>
  <si>
    <t>44</t>
  </si>
  <si>
    <t>CUSTOMER_IMASSET</t>
  </si>
  <si>
    <t>45</t>
  </si>
  <si>
    <t>CUSTOMER_INFO</t>
  </si>
  <si>
    <t>46</t>
  </si>
  <si>
    <t>CUSTOMER_INFO_CHANGE</t>
  </si>
  <si>
    <t>47</t>
  </si>
  <si>
    <t>CUSTOMER_MEMO</t>
  </si>
  <si>
    <t>48</t>
  </si>
  <si>
    <t>CUSTOMER_MODEL</t>
  </si>
  <si>
    <t>49</t>
  </si>
  <si>
    <t>CUSTOMER_OACCOUNT</t>
  </si>
  <si>
    <t>CUSTOMER_OACTIVITY</t>
  </si>
  <si>
    <t>51</t>
  </si>
  <si>
    <t>CUSTOMER_REALTY</t>
  </si>
  <si>
    <t>52</t>
  </si>
  <si>
    <t>CUSTOMER_RELATIVE</t>
  </si>
  <si>
    <t>53</t>
  </si>
  <si>
    <t>CUSTOMER_SPECIAL</t>
  </si>
  <si>
    <t>54</t>
  </si>
  <si>
    <t>CUSTOMER_STOCK</t>
  </si>
  <si>
    <t>55</t>
  </si>
  <si>
    <t>CUSTOMER_TAXPAYING</t>
  </si>
  <si>
    <t>56</t>
  </si>
  <si>
    <t>CUSTOMER_VEHICLE</t>
  </si>
  <si>
    <t>57</t>
  </si>
  <si>
    <t>DOC_LIBRARY</t>
  </si>
  <si>
    <t>58</t>
  </si>
  <si>
    <t>DOC_RELATIVE</t>
  </si>
  <si>
    <t>59</t>
  </si>
  <si>
    <t>DUN_INFO</t>
  </si>
  <si>
    <t>DUTY_INFO</t>
  </si>
  <si>
    <t>ENT_ASSETDEBT</t>
  </si>
  <si>
    <t>ENT_AUTH</t>
  </si>
  <si>
    <t>63</t>
  </si>
  <si>
    <t>ENT_BONDISSUE</t>
  </si>
  <si>
    <t>64</t>
  </si>
  <si>
    <t>ENT_ENTRANCEAUTH</t>
  </si>
  <si>
    <t>65</t>
  </si>
  <si>
    <t>ENT_FIXEDASSETS</t>
  </si>
  <si>
    <t>66</t>
  </si>
  <si>
    <t>ENT_FOA</t>
  </si>
  <si>
    <t>67</t>
  </si>
  <si>
    <t>ENT_INFO</t>
  </si>
  <si>
    <t>68</t>
  </si>
  <si>
    <t>ENT_INVENTORY</t>
  </si>
  <si>
    <t>69</t>
  </si>
  <si>
    <t>ENT_IPO</t>
  </si>
  <si>
    <t>ENT_REALTYAUTH</t>
  </si>
  <si>
    <t>71</t>
  </si>
  <si>
    <t>ERATE_INFO</t>
  </si>
  <si>
    <t>72</t>
  </si>
  <si>
    <t>EVALUATE_DATA</t>
  </si>
  <si>
    <t>73</t>
  </si>
  <si>
    <t>EVALUATE_INFO</t>
  </si>
  <si>
    <t>74</t>
  </si>
  <si>
    <t>EVALUATE_RECORD</t>
  </si>
  <si>
    <t>75</t>
  </si>
  <si>
    <t>FINANCE_DATA</t>
  </si>
  <si>
    <t>76</t>
  </si>
  <si>
    <t>FINANCE_RECORD</t>
  </si>
  <si>
    <t>77</t>
  </si>
  <si>
    <t>FLOW_OBJECT</t>
  </si>
  <si>
    <t>78</t>
  </si>
  <si>
    <t>FLOW_OPINION</t>
  </si>
  <si>
    <t>79</t>
  </si>
  <si>
    <t>FLOW_TASK</t>
  </si>
  <si>
    <t>FLOW_TASK_CLOSED</t>
  </si>
  <si>
    <t>81</t>
  </si>
  <si>
    <t>FORMATDOC_DATA</t>
  </si>
  <si>
    <t>82</t>
  </si>
  <si>
    <t>FORMATDOC_RECORD</t>
  </si>
  <si>
    <t>83</t>
  </si>
  <si>
    <t>GROUP_EVENT</t>
  </si>
  <si>
    <t>84</t>
  </si>
  <si>
    <t>GROUP_FAMILY_MEMBER</t>
  </si>
  <si>
    <t>85</t>
  </si>
  <si>
    <t>GROUP_FAMILY_OPINION</t>
  </si>
  <si>
    <t>86</t>
  </si>
  <si>
    <t>GROUP_FAMILY_VERSION</t>
  </si>
  <si>
    <t>87</t>
  </si>
  <si>
    <t>GROUP_INFO</t>
  </si>
  <si>
    <t>88</t>
  </si>
  <si>
    <t>GROUP_MEMBER_RELATIVE</t>
  </si>
  <si>
    <t>89</t>
  </si>
  <si>
    <t>GROUP_RESULT</t>
  </si>
  <si>
    <t>GROUP_SEARCH</t>
  </si>
  <si>
    <t>GUARANTY_AUDIT</t>
  </si>
  <si>
    <t>GUARANTY_CHANGE</t>
  </si>
  <si>
    <t>GUARANTY_INFO</t>
  </si>
  <si>
    <t>95</t>
  </si>
  <si>
    <t>96</t>
  </si>
  <si>
    <t>GUARANTY_TRANSFORM</t>
  </si>
  <si>
    <t>97</t>
  </si>
  <si>
    <t>IND_BI</t>
  </si>
  <si>
    <t>98</t>
  </si>
  <si>
    <t>IND_EDUCATION</t>
  </si>
  <si>
    <t>IND_INFO</t>
  </si>
  <si>
    <t>码值：融资能力1</t>
  </si>
  <si>
    <t>融资能力1</t>
  </si>
  <si>
    <t>码值：CreditSingleAppMain</t>
  </si>
  <si>
    <t>CreditSingleAppMain</t>
  </si>
  <si>
    <t>码值：PaymentMethod</t>
  </si>
  <si>
    <t>PaymentMethod</t>
  </si>
  <si>
    <t>缴费方式</t>
  </si>
  <si>
    <t>趸缴</t>
  </si>
  <si>
    <t>分期缴付</t>
  </si>
  <si>
    <t>码值：InputCreditView</t>
  </si>
  <si>
    <t>InputCreditView</t>
  </si>
  <si>
    <t>业务补登树图</t>
  </si>
  <si>
    <t>016</t>
  </si>
  <si>
    <t>相关项目信息</t>
  </si>
  <si>
    <t>018</t>
  </si>
  <si>
    <t>关联额度信息</t>
  </si>
  <si>
    <t>041</t>
  </si>
  <si>
    <t>担保合同信息</t>
  </si>
  <si>
    <t>041050</t>
  </si>
  <si>
    <t>041060</t>
  </si>
  <si>
    <t>码值：OwnerCustomerType</t>
  </si>
  <si>
    <t>OwnerCustomerType</t>
  </si>
  <si>
    <t>权属人客户类型</t>
  </si>
  <si>
    <t>码值：ButtonSet5J</t>
  </si>
  <si>
    <t>ButtonSet5J</t>
  </si>
  <si>
    <t>五级分类调整</t>
  </si>
  <si>
    <t>classifyResultAdjust</t>
  </si>
  <si>
    <t>分类调整详情</t>
  </si>
  <si>
    <t>码值：CRQCertType</t>
  </si>
  <si>
    <t>CRQCertType</t>
  </si>
  <si>
    <t>征信个人客户证件类型</t>
  </si>
  <si>
    <t>户口薄</t>
  </si>
  <si>
    <t>护照</t>
  </si>
  <si>
    <t>临时身份证</t>
  </si>
  <si>
    <t>码值：IssueDirection</t>
  </si>
  <si>
    <t>IssueDirection</t>
  </si>
  <si>
    <t>专项下发维度</t>
  </si>
  <si>
    <t>按客户下发</t>
  </si>
  <si>
    <t>按机构下发</t>
  </si>
  <si>
    <t>码值：AcceptIntType</t>
  </si>
  <si>
    <t>AcceptIntType</t>
  </si>
  <si>
    <t>收息类型</t>
  </si>
  <si>
    <t>计息不自动入帐</t>
  </si>
  <si>
    <t>计息自动入帐</t>
  </si>
  <si>
    <t>码值：CreditApplyBatchClFlowMain</t>
  </si>
  <si>
    <t>CreditApplyBatchClFlowMain</t>
  </si>
  <si>
    <t>码值：OccurMode</t>
  </si>
  <si>
    <t>OccurMode</t>
  </si>
  <si>
    <t>发生方式</t>
  </si>
  <si>
    <t>流入</t>
  </si>
  <si>
    <t>流出</t>
  </si>
  <si>
    <t>码值：MoneyInType</t>
  </si>
  <si>
    <t>MoneyInType</t>
  </si>
  <si>
    <t>入账金额类型</t>
  </si>
  <si>
    <t>评估价值</t>
  </si>
  <si>
    <t>市值</t>
  </si>
  <si>
    <t>面值</t>
  </si>
  <si>
    <t>码值：CreditPutoutApplyEntMain</t>
  </si>
  <si>
    <t>CreditPutoutApplyEntMain</t>
  </si>
  <si>
    <t>大中放贷申请主树图</t>
  </si>
  <si>
    <t>码值：SMECreditCharge</t>
  </si>
  <si>
    <t>SMECreditCharge</t>
  </si>
  <si>
    <t>生产饱和度</t>
  </si>
  <si>
    <t>饱和</t>
  </si>
  <si>
    <t>码值：LoanStatus</t>
  </si>
  <si>
    <t>LoanStatus</t>
  </si>
  <si>
    <t>贷款状态</t>
  </si>
  <si>
    <t>逾期</t>
  </si>
  <si>
    <t>正常结清</t>
  </si>
  <si>
    <t>提前结清</t>
  </si>
  <si>
    <t>逾期结清</t>
  </si>
  <si>
    <t>已全部核销/已全部售出</t>
  </si>
  <si>
    <t>已冲销</t>
  </si>
  <si>
    <t>码值：BondMarketType</t>
  </si>
  <si>
    <t>BondMarketType</t>
  </si>
  <si>
    <t>债券市场类型</t>
  </si>
  <si>
    <t>银行间债券市场</t>
  </si>
  <si>
    <t>交易所债券交易市场</t>
  </si>
  <si>
    <t>柜台债券交易市场债券</t>
  </si>
  <si>
    <t>码值：CreditFlow_barApplyMain</t>
  </si>
  <si>
    <t>CreditFlow_barApplyMain</t>
  </si>
  <si>
    <t>码值：FirstPaySource</t>
  </si>
  <si>
    <t>FirstPaySource</t>
  </si>
  <si>
    <t>首付款来源</t>
  </si>
  <si>
    <t>自有资金</t>
  </si>
  <si>
    <t>借款</t>
  </si>
  <si>
    <t>码值：IsOwnBank</t>
  </si>
  <si>
    <t>IsOwnBank</t>
  </si>
  <si>
    <t>本/他行账户标志位</t>
  </si>
  <si>
    <t>本行账户</t>
  </si>
  <si>
    <t>码值：经济区域</t>
  </si>
  <si>
    <t>经济区域</t>
  </si>
  <si>
    <t>北京</t>
  </si>
  <si>
    <t>上海</t>
  </si>
  <si>
    <t>杭州</t>
  </si>
  <si>
    <t>南京</t>
  </si>
  <si>
    <t>深圳</t>
  </si>
  <si>
    <t>温州</t>
  </si>
  <si>
    <t>码值：LanguageType</t>
  </si>
  <si>
    <t>LanguageType</t>
  </si>
  <si>
    <t>语言类型</t>
  </si>
  <si>
    <t>中文</t>
  </si>
  <si>
    <t>英文</t>
  </si>
  <si>
    <t>码值：企业外观形象</t>
  </si>
  <si>
    <t>企业外观形象</t>
  </si>
  <si>
    <t>码值：SMECreditTax</t>
  </si>
  <si>
    <t>SMECreditTax</t>
  </si>
  <si>
    <t>码值：BizApplyView</t>
  </si>
  <si>
    <t>BizApplyView</t>
  </si>
  <si>
    <t>授信申请树图</t>
  </si>
  <si>
    <t>关联项目信息</t>
  </si>
  <si>
    <t>关联票据信息</t>
  </si>
  <si>
    <t>006010</t>
  </si>
  <si>
    <t>006020</t>
  </si>
  <si>
    <t>006030</t>
  </si>
  <si>
    <t>006040</t>
  </si>
  <si>
    <t>授信组织方式信息</t>
  </si>
  <si>
    <t>借据信息</t>
  </si>
  <si>
    <t>码值：LandingLevel</t>
  </si>
  <si>
    <t>LandingLevel</t>
  </si>
  <si>
    <t>土地分级</t>
  </si>
  <si>
    <t>四级</t>
  </si>
  <si>
    <t>五级</t>
  </si>
  <si>
    <t>六级</t>
  </si>
  <si>
    <t>七级</t>
  </si>
  <si>
    <t>八级</t>
  </si>
  <si>
    <t>九级</t>
  </si>
  <si>
    <t>十级</t>
  </si>
  <si>
    <t>码值：MonetaryUnit</t>
  </si>
  <si>
    <t>MonetaryUnit</t>
  </si>
  <si>
    <t>单位</t>
  </si>
  <si>
    <t>元</t>
  </si>
  <si>
    <t>1000</t>
  </si>
  <si>
    <t>千</t>
  </si>
  <si>
    <t>10000</t>
  </si>
  <si>
    <t>万</t>
  </si>
  <si>
    <t>100000</t>
  </si>
  <si>
    <t>十万</t>
  </si>
  <si>
    <t>1000000</t>
  </si>
  <si>
    <t>百万</t>
  </si>
  <si>
    <t>10000000</t>
  </si>
  <si>
    <t>千万</t>
  </si>
  <si>
    <t>100000000</t>
  </si>
  <si>
    <t>亿</t>
  </si>
  <si>
    <t>码值：SysParamManage</t>
  </si>
  <si>
    <t>SysParamManage</t>
  </si>
  <si>
    <t>系统参数配置</t>
  </si>
  <si>
    <t>单用户登录配置</t>
  </si>
  <si>
    <t>工作台配置</t>
  </si>
  <si>
    <t>任务</t>
  </si>
  <si>
    <t>提示</t>
  </si>
  <si>
    <t>业务对象配置</t>
  </si>
  <si>
    <t>格式化报告配置</t>
  </si>
  <si>
    <t>码值：CustomerTypeInEI</t>
  </si>
  <si>
    <t>CustomerTypeInEI</t>
  </si>
  <si>
    <t>公司和个人客户类型</t>
  </si>
  <si>
    <t>中小企业</t>
  </si>
  <si>
    <t>0310</t>
  </si>
  <si>
    <t>0320</t>
  </si>
  <si>
    <t>码值：身体状况</t>
  </si>
  <si>
    <t>身体状况</t>
  </si>
  <si>
    <t>健康</t>
  </si>
  <si>
    <t>不健康</t>
  </si>
  <si>
    <t>码值：EntEventType</t>
  </si>
  <si>
    <t>EntEventType</t>
  </si>
  <si>
    <t>企业大事记</t>
  </si>
  <si>
    <t>EET01</t>
  </si>
  <si>
    <t>客户名称变更</t>
  </si>
  <si>
    <t>EET02</t>
  </si>
  <si>
    <t>法人代表变更</t>
  </si>
  <si>
    <t>EET03</t>
  </si>
  <si>
    <t>注册资本变更</t>
  </si>
  <si>
    <t>EET04</t>
  </si>
  <si>
    <t>股东信息变更</t>
  </si>
  <si>
    <t>EET05</t>
  </si>
  <si>
    <t>资产被查封，冻结</t>
  </si>
  <si>
    <t>EET06</t>
  </si>
  <si>
    <t>股权与资产重组</t>
  </si>
  <si>
    <t>EET07</t>
  </si>
  <si>
    <t>重大项目投资</t>
  </si>
  <si>
    <t>EET08</t>
  </si>
  <si>
    <t>被起诉</t>
  </si>
  <si>
    <t>EET09</t>
  </si>
  <si>
    <t>违规违法</t>
  </si>
  <si>
    <t>EET10</t>
  </si>
  <si>
    <t>逃废债</t>
  </si>
  <si>
    <t>EET11</t>
  </si>
  <si>
    <t>筹资融资大事</t>
  </si>
  <si>
    <t>EET12</t>
  </si>
  <si>
    <t>码值：ProjectApply</t>
  </si>
  <si>
    <t>ProjectApply</t>
  </si>
  <si>
    <t>项目申请详情</t>
  </si>
  <si>
    <t>委托信息</t>
  </si>
  <si>
    <t>经营权质押类合作信息</t>
  </si>
  <si>
    <t>资产买卖信息</t>
  </si>
  <si>
    <t>保险类合作信息</t>
  </si>
  <si>
    <t>交易对象收款账户信息</t>
  </si>
  <si>
    <t>检查清单</t>
  </si>
  <si>
    <t>配置方案产品</t>
  </si>
  <si>
    <t>012010</t>
  </si>
  <si>
    <t>012020</t>
  </si>
  <si>
    <t>012030</t>
  </si>
  <si>
    <t>船只信息</t>
  </si>
  <si>
    <t>012040</t>
  </si>
  <si>
    <t>码值：GuarantyStatus</t>
  </si>
  <si>
    <t>GuarantyStatus</t>
  </si>
  <si>
    <t>抵质押物有效标志</t>
  </si>
  <si>
    <t>未签合同</t>
  </si>
  <si>
    <t>已签合同</t>
  </si>
  <si>
    <t>出库</t>
  </si>
  <si>
    <t>码值：BusinessSource</t>
  </si>
  <si>
    <t>BusinessSource</t>
  </si>
  <si>
    <t>业务渠道</t>
  </si>
  <si>
    <t>信贷系统</t>
  </si>
  <si>
    <t>网上用户</t>
  </si>
  <si>
    <t>码值：在他行的信用记录</t>
  </si>
  <si>
    <t>在他行的信用记录</t>
  </si>
  <si>
    <t>码值：是否</t>
  </si>
  <si>
    <t>码值：ReportStatus</t>
  </si>
  <si>
    <t>ReportStatus</t>
  </si>
  <si>
    <t>报表状态</t>
  </si>
  <si>
    <t>完成</t>
  </si>
  <si>
    <t>Locked</t>
  </si>
  <si>
    <t>Open</t>
  </si>
  <si>
    <t>录入</t>
  </si>
  <si>
    <t>码值：ViewTabBC</t>
  </si>
  <si>
    <t>ViewTabBC</t>
  </si>
  <si>
    <t>合同阶段任务tab</t>
  </si>
  <si>
    <t>inputContractInfo</t>
  </si>
  <si>
    <t>登记合同信息</t>
  </si>
  <si>
    <t>扫描合同资料</t>
  </si>
  <si>
    <t>viewCustomerDetail</t>
  </si>
  <si>
    <t>查看客户信息</t>
  </si>
  <si>
    <t>查看客户所在集团详情</t>
  </si>
  <si>
    <t>查看扫描资料</t>
  </si>
  <si>
    <t>码值：EffectStatus</t>
  </si>
  <si>
    <t>EffectStatus</t>
  </si>
  <si>
    <t>合作方客户生效状态</t>
  </si>
  <si>
    <t>待生效</t>
  </si>
  <si>
    <t>码值：EntTreeView</t>
  </si>
  <si>
    <t>EntTreeView</t>
  </si>
  <si>
    <t>上下游关联方信息</t>
  </si>
  <si>
    <t>房地产资质信息</t>
  </si>
  <si>
    <t>进出口贸易信息</t>
  </si>
  <si>
    <t>特许经营行业信息</t>
  </si>
  <si>
    <t>客户参与项目信息</t>
  </si>
  <si>
    <t>参与项目信息</t>
  </si>
  <si>
    <t>外部信息视图</t>
  </si>
  <si>
    <t>200010</t>
  </si>
  <si>
    <t>基础信息</t>
  </si>
  <si>
    <t>200020</t>
  </si>
  <si>
    <t>投资信息</t>
  </si>
  <si>
    <t>200030</t>
  </si>
  <si>
    <t>法人关联</t>
  </si>
  <si>
    <t>200040</t>
  </si>
  <si>
    <t>200050</t>
  </si>
  <si>
    <t>舆情信息</t>
  </si>
  <si>
    <t>200055</t>
  </si>
  <si>
    <t>税务信息</t>
  </si>
  <si>
    <t>200056</t>
  </si>
  <si>
    <t>环保信息</t>
  </si>
  <si>
    <t>200060</t>
  </si>
  <si>
    <t>风险信息</t>
  </si>
  <si>
    <t>200070</t>
  </si>
  <si>
    <t>股权关联图谱</t>
  </si>
  <si>
    <t>200080</t>
  </si>
  <si>
    <t>全景关联图谱</t>
  </si>
  <si>
    <t>企业信用报告管理</t>
  </si>
  <si>
    <t>210010</t>
  </si>
  <si>
    <t>码值：PayFrequencyType</t>
  </si>
  <si>
    <t>PayFrequencyType</t>
  </si>
  <si>
    <t>还款周期</t>
  </si>
  <si>
    <t>按指定周期</t>
  </si>
  <si>
    <t>按季(固定)</t>
  </si>
  <si>
    <t>码值：LandRightNature</t>
  </si>
  <si>
    <t>LandRightNature</t>
  </si>
  <si>
    <t>土地使用权类型</t>
  </si>
  <si>
    <t>国有建设用地使用权</t>
  </si>
  <si>
    <t>集体建设用地使用权</t>
  </si>
  <si>
    <t>码值：ReportPeriod</t>
  </si>
  <si>
    <t>ReportPeriod</t>
  </si>
  <si>
    <t>报表周期</t>
  </si>
  <si>
    <t>Half_Year</t>
  </si>
  <si>
    <t>半年报</t>
  </si>
  <si>
    <t>Month</t>
  </si>
  <si>
    <t>月报</t>
  </si>
  <si>
    <t>Season</t>
  </si>
  <si>
    <t>季报</t>
  </si>
  <si>
    <t>Year</t>
  </si>
  <si>
    <t>年报</t>
  </si>
  <si>
    <t>码值：WorkType</t>
  </si>
  <si>
    <t>WorkType</t>
  </si>
  <si>
    <t>工作类型</t>
  </si>
  <si>
    <t>内部管理</t>
  </si>
  <si>
    <t>上门催款</t>
  </si>
  <si>
    <t>电话催款</t>
  </si>
  <si>
    <t>拟定保全方案</t>
  </si>
  <si>
    <t>实施保全方案</t>
  </si>
  <si>
    <t>计划还款</t>
  </si>
  <si>
    <t>码值：纳税情况</t>
  </si>
  <si>
    <t>纳税情况</t>
  </si>
  <si>
    <t>无纳税</t>
  </si>
  <si>
    <t>按时足额纳税</t>
  </si>
  <si>
    <t>有应纳未纳税款</t>
  </si>
  <si>
    <t>码值：FlowDemoApproveMain</t>
  </si>
  <si>
    <t>FlowDemoApproveMain</t>
  </si>
  <si>
    <t>流程示例审批树图</t>
  </si>
  <si>
    <t>码值：现金销售成本比</t>
  </si>
  <si>
    <t>现金销售成本比</t>
  </si>
  <si>
    <t>&lt;=0.3</t>
  </si>
  <si>
    <t>(0.3,0.6]</t>
  </si>
  <si>
    <t>(0.6,0.9]</t>
  </si>
  <si>
    <t>&gt;0.9</t>
  </si>
  <si>
    <t>码值：EnterpriseProRight</t>
  </si>
  <si>
    <t>EnterpriseProRight</t>
  </si>
  <si>
    <t>500强企业在华投资或外方投资额在2000万美金以上</t>
  </si>
  <si>
    <t>码值：EntRegularCheckMain</t>
  </si>
  <si>
    <t>EntRegularCheckMain</t>
  </si>
  <si>
    <t>单一公司客户贷后定期检查申请</t>
  </si>
  <si>
    <t>码值：HouseDecorDegree</t>
  </si>
  <si>
    <t>HouseDecorDegree</t>
  </si>
  <si>
    <t>房屋装修程度</t>
  </si>
  <si>
    <t xml:space="preserve">毛坯/简装  </t>
  </si>
  <si>
    <t xml:space="preserve">精装  </t>
  </si>
  <si>
    <t>全装修</t>
  </si>
  <si>
    <t>码值：BusinessInputMain</t>
  </si>
  <si>
    <t>BusinessInputMain</t>
  </si>
  <si>
    <t>信贷业务补充登记主界面</t>
  </si>
  <si>
    <t>补登统计</t>
  </si>
  <si>
    <t>实时查询</t>
  </si>
  <si>
    <t>历史查询</t>
  </si>
  <si>
    <t>码值：RetrialType</t>
  </si>
  <si>
    <t>RetrialType</t>
  </si>
  <si>
    <t>再审类别</t>
  </si>
  <si>
    <t>提审</t>
  </si>
  <si>
    <t>发回重审</t>
  </si>
  <si>
    <t>指定再审</t>
  </si>
  <si>
    <t>码值：TotalCertType</t>
  </si>
  <si>
    <t>TotalCertType</t>
  </si>
  <si>
    <t>码值：TransferType</t>
  </si>
  <si>
    <t>TransferType</t>
  </si>
  <si>
    <t>客户转移转让状态</t>
  </si>
  <si>
    <t>未确认</t>
  </si>
  <si>
    <t>已确认</t>
  </si>
  <si>
    <t>已拒绝</t>
  </si>
  <si>
    <t>码值：行业门槛</t>
  </si>
  <si>
    <t>行业门槛</t>
  </si>
  <si>
    <t>难</t>
  </si>
  <si>
    <t>容易</t>
  </si>
  <si>
    <t>码值：BonusDevideLimitation</t>
  </si>
  <si>
    <t>BonusDevideLimitation</t>
  </si>
  <si>
    <t>码值：AdjstType</t>
  </si>
  <si>
    <t>AdjstType</t>
  </si>
  <si>
    <t>调整类型</t>
  </si>
  <si>
    <t>分类结果调整</t>
  </si>
  <si>
    <t>分类方式调整</t>
  </si>
  <si>
    <t>码值：TechPost</t>
  </si>
  <si>
    <t>TechPost</t>
  </si>
  <si>
    <t>职称</t>
  </si>
  <si>
    <t>高级</t>
  </si>
  <si>
    <t>中级</t>
  </si>
  <si>
    <t>初级</t>
  </si>
  <si>
    <t>码值：AssetType</t>
  </si>
  <si>
    <t>AssetType</t>
  </si>
  <si>
    <t>其它资产类型</t>
  </si>
  <si>
    <t>现钞</t>
  </si>
  <si>
    <t>家用电器</t>
  </si>
  <si>
    <t>家具</t>
  </si>
  <si>
    <t>基金</t>
  </si>
  <si>
    <t>期货</t>
  </si>
  <si>
    <t>短期票券</t>
  </si>
  <si>
    <t>个人借贷（借出）</t>
  </si>
  <si>
    <t>遗产</t>
  </si>
  <si>
    <t>赠予</t>
  </si>
  <si>
    <t>赡养</t>
  </si>
  <si>
    <t>收藏品</t>
  </si>
  <si>
    <t>码值：OpinionViwRightType</t>
  </si>
  <si>
    <t>OpinionViwRightType</t>
  </si>
  <si>
    <t>意见查看权限方式</t>
  </si>
  <si>
    <t>all_except</t>
  </si>
  <si>
    <t>all_except - 所有阶段承办人均能查看，除指定阶段外</t>
  </si>
  <si>
    <t>none_except</t>
  </si>
  <si>
    <t>none_except - 所有阶段承办人均不能查看，除指定阶段外</t>
  </si>
  <si>
    <t>码值：MemberType</t>
  </si>
  <si>
    <t>MemberType</t>
  </si>
  <si>
    <t>成员类型</t>
  </si>
  <si>
    <t>核心企业</t>
  </si>
  <si>
    <t>一般成员</t>
  </si>
  <si>
    <t>码值：EvalModel</t>
  </si>
  <si>
    <t>EvalModel</t>
  </si>
  <si>
    <t>M_CMG_BGYFSCF</t>
  </si>
  <si>
    <t>办公用房市场法</t>
  </si>
  <si>
    <t>M_CMG_CKQL</t>
  </si>
  <si>
    <t>采矿权</t>
  </si>
  <si>
    <t>M_CMG_FSSGQCWBBFXF</t>
  </si>
  <si>
    <t>非上市股权财务报表分析法</t>
  </si>
  <si>
    <t>M_CMG_FSSGSGQZCJCF</t>
  </si>
  <si>
    <t>非上市公司股权资产基础法</t>
  </si>
  <si>
    <t>M_CMG_GYYFSCF</t>
  </si>
  <si>
    <t>工业用房市场法</t>
  </si>
  <si>
    <t>M_CMG_JQSBGCCBF</t>
  </si>
  <si>
    <t>机器设备（国产）成本法</t>
  </si>
  <si>
    <t>M_CMG_JQSBJKCBF</t>
  </si>
  <si>
    <t>机器设备（进口）成本法</t>
  </si>
  <si>
    <t>M_CMG_JQSBZJCBF</t>
  </si>
  <si>
    <t>机器设备（自建）成本法</t>
  </si>
  <si>
    <t>M_CMG_JTYSSBCF</t>
  </si>
  <si>
    <t>交通运输设备市场法</t>
  </si>
  <si>
    <t>M_CMG_JTYSSBGCCBF</t>
  </si>
  <si>
    <t>交通运输设备（国产）成本法</t>
  </si>
  <si>
    <t>M_CMG_JTYSSBJKCBF</t>
  </si>
  <si>
    <t>交通运输设备（进口）成本法</t>
  </si>
  <si>
    <t>M_CMG_JZYFSCF</t>
  </si>
  <si>
    <t>居住用房市场法</t>
  </si>
  <si>
    <t>M_CMG_LDSCF</t>
  </si>
  <si>
    <t>林地市场法</t>
  </si>
  <si>
    <t>M_CMG_LM</t>
  </si>
  <si>
    <t>林木收益法</t>
  </si>
  <si>
    <t>M_CMG_PMJZF</t>
  </si>
  <si>
    <t>票面价值法</t>
  </si>
  <si>
    <t>M_CMG_SYYFSCF</t>
  </si>
  <si>
    <t>商业用房市场法</t>
  </si>
  <si>
    <t>M_CMG_TDJZDJXZF</t>
  </si>
  <si>
    <t>土地基准地价修正法</t>
  </si>
  <si>
    <t>M_CMG_XXSJF</t>
  </si>
  <si>
    <t>现行市价法</t>
  </si>
  <si>
    <t>M_CMG_YSZKZLFXF</t>
  </si>
  <si>
    <t>应收款项账龄分析法</t>
  </si>
  <si>
    <t>M_CMG_ZJGCCBF</t>
  </si>
  <si>
    <t>在建工程成本法</t>
  </si>
  <si>
    <t>M_CMG_ZJGCWGJDBFBF</t>
  </si>
  <si>
    <t>在建工程完工进度百分比法</t>
  </si>
  <si>
    <t>码值：Formation</t>
  </si>
  <si>
    <t>Formation</t>
  </si>
  <si>
    <t>编制</t>
  </si>
  <si>
    <t>公务员</t>
  </si>
  <si>
    <t>教师、医生或其他事业单位编制人员</t>
  </si>
  <si>
    <t>企业单位的中高级管理人员</t>
  </si>
  <si>
    <t>码值：YesNo</t>
  </si>
  <si>
    <t>YesNo</t>
  </si>
  <si>
    <t>码值：PrePayAmtFlag</t>
  </si>
  <si>
    <t>PrePayAmtFlag</t>
  </si>
  <si>
    <t>提前还款金额类型</t>
  </si>
  <si>
    <t>码值：规模和负债水平</t>
  </si>
  <si>
    <t>规模和负债水平</t>
  </si>
  <si>
    <t>通用--在业务覆盖范围内没有直接竞争对手</t>
  </si>
  <si>
    <t>通用--在业务覆盖范围内有1~2个直接竞争对手，但该单位现排名第一</t>
  </si>
  <si>
    <t>通用--在业务覆盖范围内有5个以内直接竞争对手，但该单位现排名前三</t>
  </si>
  <si>
    <t>通用--在业务覆盖范围内有5个以上直接竞争对手，且行业排名在前三</t>
  </si>
  <si>
    <t>学校--在校学生人数在3000人以上，在校学生人均贷款余额在30000元以下</t>
  </si>
  <si>
    <t>学校--在校学生人数在3000人以上，在校学生人均贷款余额超过30000元</t>
  </si>
  <si>
    <t>学校--在校学生人数在1000-3000之间</t>
  </si>
  <si>
    <t>学校--在校学生人数低于1000</t>
  </si>
  <si>
    <t>医院--实际开放床位大于1000张，或者病床使用率超过90%</t>
  </si>
  <si>
    <t>医院--实际开放床位500-1000张，或者病床使用率高于80%</t>
  </si>
  <si>
    <t>医院--实际开放床位300-500，或者病床使用率高于70%</t>
  </si>
  <si>
    <t>码值：CreditApplyLimitIndMain</t>
  </si>
  <si>
    <t>CreditApplyLimitIndMain</t>
  </si>
  <si>
    <t>个人额度申请授信</t>
  </si>
  <si>
    <t>码值：LawsuitPhase</t>
  </si>
  <si>
    <t>LawsuitPhase</t>
  </si>
  <si>
    <t>所属诉讼阶段</t>
  </si>
  <si>
    <t>一审</t>
  </si>
  <si>
    <t>二审</t>
  </si>
  <si>
    <t>一审再审</t>
  </si>
  <si>
    <t>二审再审</t>
  </si>
  <si>
    <t>码值：CreditApplyLimitIndApproveMain</t>
  </si>
  <si>
    <t>CreditApplyLimitIndApproveMain</t>
  </si>
  <si>
    <t>个人额度批复申请授信</t>
  </si>
  <si>
    <t>码值：OccurDirection</t>
  </si>
  <si>
    <t>OccurDirection</t>
  </si>
  <si>
    <t>发生方向</t>
  </si>
  <si>
    <t>发放</t>
  </si>
  <si>
    <t>回收</t>
  </si>
  <si>
    <t>码值：担保类型</t>
  </si>
  <si>
    <t>抵质押物，抵押率&lt;=70%</t>
  </si>
  <si>
    <t>抵质押物＋一般保证（贷易融），抵押率&gt;70%</t>
  </si>
  <si>
    <t>房产抵押＋企业主实际经营者夫妻双方连带责任担保（贷易融），抵押率&gt;70%</t>
  </si>
  <si>
    <t>专业公司担保（友保融/联保融）</t>
  </si>
  <si>
    <t>一般企业担保（友保融/联保融）</t>
  </si>
  <si>
    <t>一般企业＋自然人保证（友保融/联保融）</t>
  </si>
  <si>
    <t>自然人担保（友保融/联保融）</t>
  </si>
  <si>
    <t>应收账款质押＋企业实际经营者夫妻双方连带责任保证（业链融）</t>
  </si>
  <si>
    <t>信用＋企业实际经营者夫妻双方连带责任保证（诚信融/透易融）</t>
  </si>
  <si>
    <t>码值：RiskClassifyApproveMain</t>
  </si>
  <si>
    <t>RiskClassifyApproveMain</t>
  </si>
  <si>
    <t>风险分类审批主树图</t>
  </si>
  <si>
    <t>码值：BusinessStatus</t>
  </si>
  <si>
    <t>BusinessStatus</t>
  </si>
  <si>
    <t>四级分类</t>
  </si>
  <si>
    <t>逾期天数在30天及以下</t>
  </si>
  <si>
    <t>逾期天数在90天以下</t>
  </si>
  <si>
    <t>逾期90天(含90天)以上</t>
  </si>
  <si>
    <t>2024</t>
  </si>
  <si>
    <t>逾期180天(含180天)以上</t>
  </si>
  <si>
    <t>2025</t>
  </si>
  <si>
    <t>逾期360天(含360天)以上</t>
  </si>
  <si>
    <t>呆滞</t>
  </si>
  <si>
    <t>呆帐</t>
  </si>
  <si>
    <t>码值：ImageType</t>
  </si>
  <si>
    <t>ImageType</t>
  </si>
  <si>
    <t>影像类型</t>
  </si>
  <si>
    <t>业务档案</t>
  </si>
  <si>
    <t>合作项目</t>
  </si>
  <si>
    <t>档案管理</t>
  </si>
  <si>
    <t>码值：ApproveApplyMain</t>
  </si>
  <si>
    <t>ApproveApplyMain</t>
  </si>
  <si>
    <t>最终审批意见主树图</t>
  </si>
  <si>
    <t>待提交复核最终审批意见</t>
  </si>
  <si>
    <t>复核中最终审批意见</t>
  </si>
  <si>
    <t>复核退回最终审批意见</t>
  </si>
  <si>
    <t>已复核的最终审批意见</t>
  </si>
  <si>
    <t>码值：TransactionModel</t>
  </si>
  <si>
    <t>TransactionModel</t>
  </si>
  <si>
    <t>交易模式</t>
  </si>
  <si>
    <t>转账</t>
  </si>
  <si>
    <t>码值：ApplyType</t>
  </si>
  <si>
    <t>ApplyType</t>
  </si>
  <si>
    <t>申请类型</t>
  </si>
  <si>
    <t>新增准入申请</t>
  </si>
  <si>
    <t>新增警示申请</t>
  </si>
  <si>
    <t>新增黑名单申请</t>
  </si>
  <si>
    <t>新增年审申请</t>
  </si>
  <si>
    <t>新增退出申请</t>
  </si>
  <si>
    <t>新增警示信息解除申请</t>
  </si>
  <si>
    <t>新增黑名单解除申请</t>
  </si>
  <si>
    <t>ApplyType代码</t>
  </si>
  <si>
    <t>ApplyType名称</t>
  </si>
  <si>
    <t>ApproveApply</t>
  </si>
  <si>
    <t>最终审批意见登记</t>
  </si>
  <si>
    <t>BookInContractApplyEnt</t>
  </si>
  <si>
    <t>大中批复合同登记申请</t>
  </si>
  <si>
    <t>BookInContractApplyFina</t>
  </si>
  <si>
    <t>同业批复合同登记申请</t>
  </si>
  <si>
    <t>BookInContractApplyInd</t>
  </si>
  <si>
    <t>个人批复合同登记申请</t>
  </si>
  <si>
    <t>BookInContractApplySME</t>
  </si>
  <si>
    <t>小微批复合同登记申请</t>
  </si>
  <si>
    <t>BookInContractUnderApplyEnt</t>
  </si>
  <si>
    <t>额度项下合同登记申请</t>
  </si>
  <si>
    <t>BookInContractUnderApplyFina</t>
  </si>
  <si>
    <t>同业项下合同登记申请</t>
  </si>
  <si>
    <t>BookInContractUnderApplyInd</t>
  </si>
  <si>
    <t>个人项下合同登记申请</t>
  </si>
  <si>
    <t>BookInContractUnderApplySME</t>
  </si>
  <si>
    <t>小微项下合同登记申请</t>
  </si>
  <si>
    <t>CapitalPurposeCheck</t>
  </si>
  <si>
    <t>资金用途检查申请</t>
  </si>
  <si>
    <t>CapitalPurposeIndCheck</t>
  </si>
  <si>
    <t>个人资金用途检查申请</t>
  </si>
  <si>
    <t>CapitalPurposeMinCheck</t>
  </si>
  <si>
    <t>小微资金用途检查申请</t>
  </si>
  <si>
    <t>ClDrawnApplyEnt</t>
  </si>
  <si>
    <t>大中额度提用申请</t>
  </si>
  <si>
    <t>ClDrawnApplyFina</t>
  </si>
  <si>
    <t>同业额度提用申请</t>
  </si>
  <si>
    <t>ClDrawnApplyInd</t>
  </si>
  <si>
    <t>个人额度提用申请</t>
  </si>
  <si>
    <t>ClDrawnApplySME</t>
  </si>
  <si>
    <t>小微额度提用申请</t>
  </si>
  <si>
    <t>ClassifyAdjust</t>
  </si>
  <si>
    <t>风险调整申请</t>
  </si>
  <si>
    <t>ClassifyApply</t>
  </si>
  <si>
    <t>五级分类认定申请</t>
  </si>
  <si>
    <t>ClrSimpleEvaluate</t>
  </si>
  <si>
    <t>押品单笔估值申请</t>
  </si>
  <si>
    <t>CreditApplyBatchCl</t>
  </si>
  <si>
    <t>批量授信申请</t>
  </si>
  <si>
    <t>CreditApplyBatchFinanceCl</t>
  </si>
  <si>
    <t>同业客户批量授信申请流程</t>
  </si>
  <si>
    <t>CreditApplyBatchUnderCl</t>
  </si>
  <si>
    <t>批量项下授信申请</t>
  </si>
  <si>
    <t>CreditApplyEnt</t>
  </si>
  <si>
    <t>公司单笔授信</t>
  </si>
  <si>
    <t>CreditApplyFactory</t>
  </si>
  <si>
    <t>授信工厂申请流程</t>
  </si>
  <si>
    <t>CreditApplyFinanceCl</t>
  </si>
  <si>
    <t>同业客户授信申请流程</t>
  </si>
  <si>
    <t>CreditApplyGroupCl</t>
  </si>
  <si>
    <t>集团授信申请</t>
  </si>
  <si>
    <t>CreditApplyInd</t>
  </si>
  <si>
    <t>个人单笔授信申请</t>
  </si>
  <si>
    <t>CreditApplyIndCl</t>
  </si>
  <si>
    <t>个人额度授信</t>
  </si>
  <si>
    <t>CreditApplyLimitInd</t>
  </si>
  <si>
    <t>个人授信额度申请</t>
  </si>
  <si>
    <t>CreditApplySME</t>
  </si>
  <si>
    <t>小微传统单笔授信申请</t>
  </si>
  <si>
    <t>CreditApplySMECl</t>
  </si>
  <si>
    <t>小微传统单一授信申请</t>
  </si>
  <si>
    <t>CreditApplySMEUnderCl</t>
  </si>
  <si>
    <t>小微传统额度项下授信</t>
  </si>
  <si>
    <t>CreditApplySingle</t>
  </si>
  <si>
    <t>公司单一授信申请</t>
  </si>
  <si>
    <t>CreditApplySingleInd</t>
  </si>
  <si>
    <t>CreditApplySingleUnderCl</t>
  </si>
  <si>
    <t>公司额度项下授信</t>
  </si>
  <si>
    <t>CreditApproveBatchCl</t>
  </si>
  <si>
    <t>批量授信批复申请</t>
  </si>
  <si>
    <t>CreditApproveBatchFinanceCl</t>
  </si>
  <si>
    <t>同业客户批量授信批复流程</t>
  </si>
  <si>
    <t>CreditApproveBatchUnderCl</t>
  </si>
  <si>
    <t>批量项下授信批复申请</t>
  </si>
  <si>
    <t>CreditApproveEnt</t>
  </si>
  <si>
    <t>公司单笔授信批复申请</t>
  </si>
  <si>
    <t>CreditApproveFinanceCl</t>
  </si>
  <si>
    <t>同业客户单一授信批复流程</t>
  </si>
  <si>
    <t>CreditApproveGroup</t>
  </si>
  <si>
    <t>集团授信批复申请</t>
  </si>
  <si>
    <t>CreditApproveLimitInd</t>
  </si>
  <si>
    <t>个人额度批复申请</t>
  </si>
  <si>
    <t>CreditApproveLimitUnderInd</t>
  </si>
  <si>
    <t>个人额度项下批复申请</t>
  </si>
  <si>
    <t>CreditApproveSingle</t>
  </si>
  <si>
    <t>公司单一批复申请</t>
  </si>
  <si>
    <t>CreditApproveSingleInd</t>
  </si>
  <si>
    <t>个人单笔授信批复申请</t>
  </si>
  <si>
    <t>CreditApproveSingleUnderCl</t>
  </si>
  <si>
    <t>公司额度项下批复申请</t>
  </si>
  <si>
    <t>CreditClrInput</t>
  </si>
  <si>
    <t>押品录入申请</t>
  </si>
  <si>
    <t>CreditCogApply</t>
  </si>
  <si>
    <t>信用等级评估申请</t>
  </si>
  <si>
    <t>CreditFlow_barApply</t>
  </si>
  <si>
    <t>授信额度申请</t>
  </si>
  <si>
    <t>CreditLimitUnderInd</t>
  </si>
  <si>
    <t>CreditLineApply</t>
  </si>
  <si>
    <t>CreditPutoutApplyEnt</t>
  </si>
  <si>
    <t>大中放贷申请</t>
  </si>
  <si>
    <t>CreditPutoutApplyFactory</t>
  </si>
  <si>
    <t>小微信贷工厂申请</t>
  </si>
  <si>
    <t>CreditPutoutApplyFina</t>
  </si>
  <si>
    <t>同业放贷申请</t>
  </si>
  <si>
    <t>CreditPutoutApplyInd</t>
  </si>
  <si>
    <t>个人放贷申请</t>
  </si>
  <si>
    <t>CreditPutoutApplySME</t>
  </si>
  <si>
    <t>小微放贷申请</t>
  </si>
  <si>
    <t>CreditSMEApproveEnt</t>
  </si>
  <si>
    <t>小微单笔授信批复申请</t>
  </si>
  <si>
    <t>CreditSMEApproveSingle</t>
  </si>
  <si>
    <t>小微单一批复申请</t>
  </si>
  <si>
    <t>CreditSMEApproveSingleUnderCl</t>
  </si>
  <si>
    <t>小微单一授信项下业务批复申请</t>
  </si>
  <si>
    <t>CreditTestFlowAppl</t>
  </si>
  <si>
    <t>CusAssetAndOwe</t>
  </si>
  <si>
    <t>DependentApply</t>
  </si>
  <si>
    <t>额度项下业务申请</t>
  </si>
  <si>
    <t>EdocApply</t>
  </si>
  <si>
    <t>电子合同模板申请</t>
  </si>
  <si>
    <t>ElectricContractM1</t>
  </si>
  <si>
    <t>电子合同模板审批申请</t>
  </si>
  <si>
    <t>EntBackTransApply</t>
  </si>
  <si>
    <t>反冲交易申请</t>
  </si>
  <si>
    <t>EntCreditApply</t>
  </si>
  <si>
    <t>对公客户授信申请</t>
  </si>
  <si>
    <t>EntDepenApply</t>
  </si>
  <si>
    <t>对公额度项下业务申请</t>
  </si>
  <si>
    <t>EntIrregularCheck</t>
  </si>
  <si>
    <t>单一公司客户不定期贷后检查申请</t>
  </si>
  <si>
    <t>EntLimitApply</t>
  </si>
  <si>
    <t>对公授信额度申请</t>
  </si>
  <si>
    <t>EntLoanApply</t>
  </si>
  <si>
    <t>贷款交易申请</t>
  </si>
  <si>
    <t>EntLoanChangeApply</t>
  </si>
  <si>
    <t>贷后变更申请</t>
  </si>
  <si>
    <t>EntOffLoanTransApply</t>
  </si>
  <si>
    <t>表外业务申请</t>
  </si>
  <si>
    <t>EntRegularCheck</t>
  </si>
  <si>
    <t>EntSingleApply</t>
  </si>
  <si>
    <t>对公单笔授信业务申请</t>
  </si>
  <si>
    <t>FinaApplyBatch</t>
  </si>
  <si>
    <t>同业批量授信</t>
  </si>
  <si>
    <t>FinaApplySingle</t>
  </si>
  <si>
    <t>同业单一授信</t>
  </si>
  <si>
    <t>FinanceBackTransApply</t>
  </si>
  <si>
    <t>FinanceLoanApply</t>
  </si>
  <si>
    <t>FinanceLoanChangeApply</t>
  </si>
  <si>
    <t>FinanceOffLoanTransApply</t>
  </si>
  <si>
    <t>GroupIrregularCheck</t>
  </si>
  <si>
    <t>GroupRegularCheck</t>
  </si>
  <si>
    <t>集团公司客户贷定期后检查申请</t>
  </si>
  <si>
    <t>GuarantorRegularCheck</t>
  </si>
  <si>
    <t>担保公司客户定期贷后检查申请</t>
  </si>
  <si>
    <t>GuarantyTransformApply</t>
  </si>
  <si>
    <t>担保合同变更申请</t>
  </si>
  <si>
    <t>IndBackTransApply</t>
  </si>
  <si>
    <t>IndCreditApply</t>
  </si>
  <si>
    <t>个人客户授信申请</t>
  </si>
  <si>
    <t>IndDepenApply</t>
  </si>
  <si>
    <t>个人额度项下业务申请</t>
  </si>
  <si>
    <t>IndIrregularCheck</t>
  </si>
  <si>
    <t>个人客户不定期贷后检查申请</t>
  </si>
  <si>
    <t>IndLimitApply</t>
  </si>
  <si>
    <t>IndLoanApply</t>
  </si>
  <si>
    <t>IndLoanChangeApply</t>
  </si>
  <si>
    <t>IndOffLoanTransApply</t>
  </si>
  <si>
    <t>IndRegularCheck</t>
  </si>
  <si>
    <t>个人客户定期贷后检查申请</t>
  </si>
  <si>
    <t>IndSingleApply</t>
  </si>
  <si>
    <t>个人单笔授信业务申请</t>
  </si>
  <si>
    <t>IndependentApply</t>
  </si>
  <si>
    <t>单笔授信业务申请</t>
  </si>
  <si>
    <t>InvoiceDrawApply</t>
  </si>
  <si>
    <t>InvoiceReceiptApply</t>
  </si>
  <si>
    <t>收票申请</t>
  </si>
  <si>
    <t>LoadGuarantyApply1</t>
  </si>
  <si>
    <t>押品入库申请</t>
  </si>
  <si>
    <t>NewFlowApply</t>
  </si>
  <si>
    <t>PartnerAccessFlowA</t>
  </si>
  <si>
    <t>合作方准入申请</t>
  </si>
  <si>
    <t>PartnerProjChange</t>
  </si>
  <si>
    <t>合作方项目变更申请</t>
  </si>
  <si>
    <t>PartnerProjectAppl</t>
  </si>
  <si>
    <t>合作方项目申请</t>
  </si>
  <si>
    <t>PaymentApply</t>
  </si>
  <si>
    <t>支付申请</t>
  </si>
  <si>
    <t>PrdApply</t>
  </si>
  <si>
    <t>产品配置申请</t>
  </si>
  <si>
    <t>ProjectFlow1Apply</t>
  </si>
  <si>
    <t>ProjectFlow1申请</t>
  </si>
  <si>
    <t>ProjectRegularCheck</t>
  </si>
  <si>
    <t>合作项目贷后检查申请</t>
  </si>
  <si>
    <t>PutOutApply</t>
  </si>
  <si>
    <t>放贷申请</t>
  </si>
  <si>
    <t>ReserveApply</t>
  </si>
  <si>
    <t>单项计提减值准备认定申请</t>
  </si>
  <si>
    <t>RightCertInOutApply</t>
  </si>
  <si>
    <t>RiskAlarmApply</t>
  </si>
  <si>
    <t>风险预警分发认定申请</t>
  </si>
  <si>
    <t>RiskClassify</t>
  </si>
  <si>
    <t>风险分类申请</t>
  </si>
  <si>
    <t>SMApplyLimit</t>
  </si>
  <si>
    <t>公司单一授信</t>
  </si>
  <si>
    <t>SMApplySingle</t>
  </si>
  <si>
    <t>SMApplyUnder</t>
  </si>
  <si>
    <t>SMEBackTransApply</t>
  </si>
  <si>
    <t>SMEClassifyAdjust</t>
  </si>
  <si>
    <t>SMEConApply</t>
  </si>
  <si>
    <t>中小企业资格认定申请</t>
  </si>
  <si>
    <t>SMELoanApply</t>
  </si>
  <si>
    <t>SMELoanChangeApply</t>
  </si>
  <si>
    <t>SMEOffLoanTransApply</t>
  </si>
  <si>
    <t>SimpleForkApply</t>
  </si>
  <si>
    <t>简单并行流程申请</t>
  </si>
  <si>
    <t>SimpleForkFlowAppl</t>
  </si>
  <si>
    <t>SimpleMeetingApply</t>
  </si>
  <si>
    <t>简单贷审会</t>
  </si>
  <si>
    <t>SimpleMeetingFlowA</t>
  </si>
  <si>
    <t>SimplePoolApply</t>
  </si>
  <si>
    <t>简单任务池</t>
  </si>
  <si>
    <t>SimplePoolFlowAppl</t>
  </si>
  <si>
    <t>SingleRiskReserve</t>
  </si>
  <si>
    <t>SpecialCheck</t>
  </si>
  <si>
    <t>专项检查申请</t>
  </si>
  <si>
    <t>TransformApply</t>
  </si>
  <si>
    <t>UGBodyApply</t>
  </si>
  <si>
    <t>联保体贷款申请</t>
  </si>
  <si>
    <t>UnLoadGuarantyApp1</t>
  </si>
  <si>
    <t>押品出库申请</t>
  </si>
  <si>
    <t>UnPackApply</t>
  </si>
  <si>
    <t>授信业务打包申请</t>
  </si>
  <si>
    <t>码值：AppraisalFlowType</t>
  </si>
  <si>
    <t>AppraisalFlowType</t>
  </si>
  <si>
    <t>评估机构日常管理申请类型</t>
  </si>
  <si>
    <t>码值：FitmentLevel</t>
  </si>
  <si>
    <t>FitmentLevel</t>
  </si>
  <si>
    <t>装修程度</t>
  </si>
  <si>
    <t>毛坯房</t>
  </si>
  <si>
    <t>初装修</t>
  </si>
  <si>
    <t>精装修</t>
  </si>
  <si>
    <t>豪华装修</t>
  </si>
  <si>
    <t>码值：工艺规程</t>
  </si>
  <si>
    <t>工艺规程</t>
  </si>
  <si>
    <t>码值：OffLoanCode</t>
  </si>
  <si>
    <t>OffLoanCode</t>
  </si>
  <si>
    <t>表外业务</t>
  </si>
  <si>
    <t>AdvanceCash</t>
  </si>
  <si>
    <t>表外垫款</t>
  </si>
  <si>
    <t>ChangeOffloan</t>
  </si>
  <si>
    <t>表外修改</t>
  </si>
  <si>
    <t>ExtrafeeOffloan</t>
  </si>
  <si>
    <t>表外手续费收取</t>
  </si>
  <si>
    <t>OffloanSquareUp</t>
  </si>
  <si>
    <t>表外结清</t>
  </si>
  <si>
    <t>ReverseOffloan</t>
  </si>
  <si>
    <t>表外手续费冲回</t>
  </si>
  <si>
    <t>码值：PartnerProjStatus</t>
  </si>
  <si>
    <t>PartnerProjStatus</t>
  </si>
  <si>
    <t>码值：家庭全年收入</t>
  </si>
  <si>
    <t>家庭全年收入</t>
  </si>
  <si>
    <t>10万元以上</t>
  </si>
  <si>
    <t xml:space="preserve">6万元－10万元(含10万元) </t>
  </si>
  <si>
    <t xml:space="preserve">6万元以下(含6万元) </t>
  </si>
  <si>
    <t>码值：OperateType1</t>
  </si>
  <si>
    <t>OperateType1</t>
  </si>
  <si>
    <t>授信组织方式</t>
  </si>
  <si>
    <t>码值：IPOName</t>
  </si>
  <si>
    <t>IPOName</t>
  </si>
  <si>
    <t>上市地</t>
  </si>
  <si>
    <t>伦敦</t>
  </si>
  <si>
    <t>纽约</t>
  </si>
  <si>
    <t>东京</t>
  </si>
  <si>
    <t>码值：LimitPeriod</t>
  </si>
  <si>
    <t>LimitPeriod</t>
  </si>
  <si>
    <t>占额度生效阶段</t>
  </si>
  <si>
    <t>Applying</t>
  </si>
  <si>
    <t>授信申请</t>
  </si>
  <si>
    <t>授信批复</t>
  </si>
  <si>
    <t>Contracted</t>
  </si>
  <si>
    <t>合同/协议阶段</t>
  </si>
  <si>
    <t>LoanApplying</t>
  </si>
  <si>
    <t>码值：服务素质</t>
  </si>
  <si>
    <t>服务素质</t>
  </si>
  <si>
    <t>服务质量高、富有特色</t>
  </si>
  <si>
    <t>服务质量一般、有一定特色</t>
  </si>
  <si>
    <t>服务质量差，无特色</t>
  </si>
  <si>
    <t>码值：SignalType</t>
  </si>
  <si>
    <t>SignalType</t>
  </si>
  <si>
    <t>预警类型</t>
  </si>
  <si>
    <t>发起</t>
  </si>
  <si>
    <t>解除</t>
  </si>
  <si>
    <t>码值：CreditApplySingleAMain</t>
  </si>
  <si>
    <t>CreditApplySingleAMain</t>
  </si>
  <si>
    <t>码值：PartnerProjectApplMain</t>
  </si>
  <si>
    <t>PartnerProjectApplMain</t>
  </si>
  <si>
    <t>PartnerProject申请主树图</t>
  </si>
  <si>
    <t>已拒绝的合作项目</t>
  </si>
  <si>
    <t>码值：WorkFieldFee</t>
  </si>
  <si>
    <t>WorkFieldFee</t>
  </si>
  <si>
    <t>经营场地所有权</t>
  </si>
  <si>
    <t>码值：BankCardUsage</t>
  </si>
  <si>
    <t>BankCardUsage</t>
  </si>
  <si>
    <t>未使用</t>
  </si>
  <si>
    <t>使用</t>
  </si>
  <si>
    <t>码值：CreditApplySingleUnderClMain</t>
  </si>
  <si>
    <t>CreditApplySingleUnderClMain</t>
  </si>
  <si>
    <t>码值：库存周转速度</t>
  </si>
  <si>
    <t>库存周转速度</t>
  </si>
  <si>
    <t>慢</t>
  </si>
  <si>
    <t>码值：ResearchProportion</t>
  </si>
  <si>
    <t>ResearchProportion</t>
  </si>
  <si>
    <t>码值：EnterpriseBelong</t>
  </si>
  <si>
    <t>EnterpriseBelong</t>
  </si>
  <si>
    <t>企业隶属关系</t>
  </si>
  <si>
    <t>省部属</t>
  </si>
  <si>
    <t>区、县属及以下</t>
  </si>
  <si>
    <t>码值：CLControlType</t>
  </si>
  <si>
    <t>CLControlType</t>
  </si>
  <si>
    <t>控制类型</t>
  </si>
  <si>
    <t>敞口</t>
  </si>
  <si>
    <t>码值：产品、服务供求</t>
  </si>
  <si>
    <t>产品、服务供求</t>
  </si>
  <si>
    <t>码值：CreditRecordAtBank</t>
  </si>
  <si>
    <t>CreditRecordAtBank</t>
  </si>
  <si>
    <t>码值：DepartType</t>
  </si>
  <si>
    <t>DepartType</t>
  </si>
  <si>
    <t>受理机关类型</t>
  </si>
  <si>
    <t>法院</t>
  </si>
  <si>
    <t>仲裁机关</t>
  </si>
  <si>
    <t>公证机关</t>
  </si>
  <si>
    <t>码值：DevModel</t>
  </si>
  <si>
    <t>DevModel</t>
  </si>
  <si>
    <t>工业园区模式</t>
  </si>
  <si>
    <t>工业地产商模式</t>
  </si>
  <si>
    <t>主体企业引导模式</t>
  </si>
  <si>
    <t>综合模式</t>
  </si>
  <si>
    <t>私人业主开发模式</t>
  </si>
  <si>
    <t>码值：Sex</t>
  </si>
  <si>
    <t>Sex</t>
  </si>
  <si>
    <t>性别</t>
  </si>
  <si>
    <t>未知的性别</t>
  </si>
  <si>
    <t>男性</t>
  </si>
  <si>
    <t>女性</t>
  </si>
  <si>
    <t>未说明性别</t>
  </si>
  <si>
    <t>码值：ActionCode</t>
  </si>
  <si>
    <t>ActionCode</t>
  </si>
  <si>
    <t>信贷处理方法</t>
  </si>
  <si>
    <t>业务处理</t>
  </si>
  <si>
    <t>快速申请提交</t>
  </si>
  <si>
    <t>一般申请</t>
  </si>
  <si>
    <t>节假日日期初始化</t>
  </si>
  <si>
    <t>客户相关处理</t>
  </si>
  <si>
    <t>客户合并</t>
  </si>
  <si>
    <t>客户新增(检查客户信息)</t>
  </si>
  <si>
    <t>新增合作方客户</t>
  </si>
  <si>
    <t>2031</t>
  </si>
  <si>
    <t>新增合作方客户(合作方客户新增关联)</t>
  </si>
  <si>
    <t>额度相关</t>
  </si>
  <si>
    <t>删除额度分配</t>
  </si>
  <si>
    <t>额度结构初始化</t>
  </si>
  <si>
    <t>系统相关</t>
  </si>
  <si>
    <t>9010</t>
  </si>
  <si>
    <t>影像初始化</t>
  </si>
  <si>
    <t>码值：SimpleMeetingFlowAMain</t>
  </si>
  <si>
    <t>SimpleMeetingFlowAMain</t>
  </si>
  <si>
    <t>码值：ReserveFlag</t>
  </si>
  <si>
    <t>ReserveFlag</t>
  </si>
  <si>
    <t>计提模式</t>
  </si>
  <si>
    <t>组合计提</t>
  </si>
  <si>
    <t>单项计提</t>
  </si>
  <si>
    <t>码值：clType</t>
  </si>
  <si>
    <t>clType</t>
  </si>
  <si>
    <t>额度品种</t>
  </si>
  <si>
    <t>同业授信额度</t>
  </si>
  <si>
    <t>码值：IntType</t>
  </si>
  <si>
    <t>IntType</t>
  </si>
  <si>
    <t>贴现付息方式</t>
  </si>
  <si>
    <t>卖方付息</t>
  </si>
  <si>
    <t>买方付息</t>
  </si>
  <si>
    <t>协议付息</t>
  </si>
  <si>
    <t>码值：项目定位</t>
  </si>
  <si>
    <t>项目定位</t>
  </si>
  <si>
    <t>住宅建筑</t>
  </si>
  <si>
    <t>办公写字楼</t>
  </si>
  <si>
    <t>商用建筑/商铺/商场</t>
  </si>
  <si>
    <t>酒店</t>
  </si>
  <si>
    <t>仓库/工厂建筑</t>
  </si>
  <si>
    <t>码值：管理团队经验</t>
  </si>
  <si>
    <t>管理团队经验</t>
  </si>
  <si>
    <t>码值：现金流动负债比</t>
  </si>
  <si>
    <t>现金流动负债比</t>
  </si>
  <si>
    <t>&lt;=0.03</t>
  </si>
  <si>
    <t>(0.03,0.07]</t>
  </si>
  <si>
    <t>(0.07,0.13]</t>
  </si>
  <si>
    <t>(0.13,0.25]</t>
  </si>
  <si>
    <t>(0.25,0.50]</t>
  </si>
  <si>
    <t>&gt;0.50</t>
  </si>
  <si>
    <t>码值：CreditState</t>
  </si>
  <si>
    <t>CreditState</t>
  </si>
  <si>
    <t>转化贷款</t>
  </si>
  <si>
    <t>重组贷款</t>
  </si>
  <si>
    <t>贴现结清</t>
  </si>
  <si>
    <t>转贴现</t>
  </si>
  <si>
    <t>汇票未用退回</t>
  </si>
  <si>
    <t>汇票结清</t>
  </si>
  <si>
    <t>信用证注销</t>
  </si>
  <si>
    <t>保函解除</t>
  </si>
  <si>
    <t>保理逾期</t>
  </si>
  <si>
    <t>码值：NPABookView</t>
  </si>
  <si>
    <t>NPABookView</t>
  </si>
  <si>
    <t>不良台帐管理</t>
  </si>
  <si>
    <t>保全工作笔记管理</t>
  </si>
  <si>
    <t>五级分类管理</t>
  </si>
  <si>
    <t>025010</t>
  </si>
  <si>
    <t>待完成分类</t>
  </si>
  <si>
    <t>025020</t>
  </si>
  <si>
    <t>已完成分类</t>
  </si>
  <si>
    <t>025030</t>
  </si>
  <si>
    <t>025040</t>
  </si>
  <si>
    <t>债权让步记录</t>
  </si>
  <si>
    <t>责任认定信息</t>
  </si>
  <si>
    <t>放还款记录查询</t>
  </si>
  <si>
    <t>放款记录查询</t>
  </si>
  <si>
    <t>还款记录查询</t>
  </si>
  <si>
    <t>核销后收现登记</t>
  </si>
  <si>
    <t>保全物信息</t>
  </si>
  <si>
    <t>075</t>
  </si>
  <si>
    <t>查封资产管理</t>
  </si>
  <si>
    <t>075010</t>
  </si>
  <si>
    <t>未退出查封的资产</t>
  </si>
  <si>
    <t>075020</t>
  </si>
  <si>
    <t>已退出查封的资产</t>
  </si>
  <si>
    <t>码值：SimplePoolFlowApplMain</t>
  </si>
  <si>
    <t>SimplePoolFlowApplMain</t>
  </si>
  <si>
    <t>码值：StockType</t>
  </si>
  <si>
    <t>StockType</t>
  </si>
  <si>
    <t>股票类型</t>
  </si>
  <si>
    <t>码值：DataType</t>
  </si>
  <si>
    <t>DataType</t>
  </si>
  <si>
    <t>数据类型</t>
  </si>
  <si>
    <t>Boolean</t>
  </si>
  <si>
    <t>布尔值</t>
  </si>
  <si>
    <t>Boolean[]</t>
  </si>
  <si>
    <t>布尔值数组</t>
  </si>
  <si>
    <t>Date</t>
  </si>
  <si>
    <t>Date[]</t>
  </si>
  <si>
    <t>日期数组</t>
  </si>
  <si>
    <t>Number[]</t>
  </si>
  <si>
    <t>数字数组</t>
  </si>
  <si>
    <t>String[]</t>
  </si>
  <si>
    <t>字符串数组</t>
  </si>
  <si>
    <t>码值：ElectricContractM1Main</t>
  </si>
  <si>
    <t>ElectricContractM1Main</t>
  </si>
  <si>
    <t>ElectricContractModel申请主树图</t>
  </si>
  <si>
    <t>待提交审批模板</t>
  </si>
  <si>
    <t>审批中的模板</t>
  </si>
  <si>
    <t>通过的模板</t>
  </si>
  <si>
    <t>否决的模板</t>
  </si>
  <si>
    <t>码值：OffSheet</t>
  </si>
  <si>
    <t>OffSheet</t>
  </si>
  <si>
    <t>表内外属性</t>
  </si>
  <si>
    <t>表内</t>
  </si>
  <si>
    <t>表外</t>
  </si>
  <si>
    <t>码值：RelationShip</t>
  </si>
  <si>
    <t>RelationShip</t>
  </si>
  <si>
    <t>关联关系</t>
  </si>
  <si>
    <t>高管</t>
  </si>
  <si>
    <t>法人代表</t>
  </si>
  <si>
    <t>公司董事长</t>
  </si>
  <si>
    <t>公司总经理/厂长/CEO</t>
  </si>
  <si>
    <t>财务主管/CFO</t>
  </si>
  <si>
    <t>授权经办人</t>
  </si>
  <si>
    <t>部门经理</t>
  </si>
  <si>
    <t>董事</t>
  </si>
  <si>
    <t>监事</t>
  </si>
  <si>
    <t>实际控制人</t>
  </si>
  <si>
    <t>资本构成</t>
  </si>
  <si>
    <t>资金</t>
  </si>
  <si>
    <t>技术</t>
  </si>
  <si>
    <t>实物</t>
  </si>
  <si>
    <t>权利</t>
  </si>
  <si>
    <t>家庭关系</t>
  </si>
  <si>
    <t>配偶</t>
  </si>
  <si>
    <t>其他血亲</t>
  </si>
  <si>
    <t>其他姻亲</t>
  </si>
  <si>
    <t>投资</t>
  </si>
  <si>
    <t>0401</t>
  </si>
  <si>
    <t>资金(投资)</t>
  </si>
  <si>
    <t>0402</t>
  </si>
  <si>
    <t>技术(投资)</t>
  </si>
  <si>
    <t>0403</t>
  </si>
  <si>
    <t>实物(投资)</t>
  </si>
  <si>
    <t>0404</t>
  </si>
  <si>
    <t>权利(投资)</t>
  </si>
  <si>
    <t>0405</t>
  </si>
  <si>
    <t>其他(投资)</t>
  </si>
  <si>
    <t>上下游关系</t>
  </si>
  <si>
    <t>0501</t>
  </si>
  <si>
    <t>供应商</t>
  </si>
  <si>
    <t>0502</t>
  </si>
  <si>
    <t>销售商</t>
  </si>
  <si>
    <t>码值：BizContractView</t>
  </si>
  <si>
    <t>BizContractView</t>
  </si>
  <si>
    <t>业务合同树图</t>
  </si>
  <si>
    <t>码值：CreditApproveSingleIndMain</t>
  </si>
  <si>
    <t>CreditApproveSingleIndMain</t>
  </si>
  <si>
    <t>码值：ProjectRegularCheckMain</t>
  </si>
  <si>
    <t>ProjectRegularCheckMain</t>
  </si>
  <si>
    <t>码值：ProductionSupply</t>
  </si>
  <si>
    <t>ProductionSupply</t>
  </si>
  <si>
    <t>6个部门齐全</t>
  </si>
  <si>
    <t>3个至5个</t>
  </si>
  <si>
    <t>3个以下</t>
  </si>
  <si>
    <t>码值：CapitalPurposeMinCheckMain</t>
  </si>
  <si>
    <t>CapitalPurposeMinCheckMain</t>
  </si>
  <si>
    <t>码值：MethodType</t>
  </si>
  <si>
    <t>MethodType</t>
  </si>
  <si>
    <t>方法类型</t>
  </si>
  <si>
    <t>Bizlet</t>
  </si>
  <si>
    <t>Expression</t>
  </si>
  <si>
    <t>表达式</t>
  </si>
  <si>
    <t>Sql</t>
  </si>
  <si>
    <t>Sql语句</t>
  </si>
  <si>
    <t>码值：VehicleType</t>
  </si>
  <si>
    <t>VehicleType</t>
  </si>
  <si>
    <t>交通工具类型</t>
  </si>
  <si>
    <t>大型客车</t>
  </si>
  <si>
    <t>牵引车</t>
  </si>
  <si>
    <t>城市公交车</t>
  </si>
  <si>
    <t>中型客车</t>
  </si>
  <si>
    <t>大型货车</t>
  </si>
  <si>
    <t>小型汽车</t>
  </si>
  <si>
    <t>小型自动挡汽车</t>
  </si>
  <si>
    <t>码值：员工培训机制</t>
  </si>
  <si>
    <t>员工培训机制</t>
  </si>
  <si>
    <t>较健全</t>
  </si>
  <si>
    <t>码值：HouseFiement</t>
  </si>
  <si>
    <t>HouseFiement</t>
  </si>
  <si>
    <t>房屋装修情况</t>
  </si>
  <si>
    <t>豪装</t>
  </si>
  <si>
    <t>码值：ProductStatus</t>
  </si>
  <si>
    <t>ProductStatus</t>
  </si>
  <si>
    <t>产品状态</t>
  </si>
  <si>
    <t>码值：项目成本</t>
  </si>
  <si>
    <t>项目成本</t>
  </si>
  <si>
    <t>码值：InterestPayType</t>
  </si>
  <si>
    <t>InterestPayType</t>
  </si>
  <si>
    <t>码值：RightRegOrgType</t>
  </si>
  <si>
    <t>RightRegOrgType</t>
  </si>
  <si>
    <t>登记机构类型</t>
  </si>
  <si>
    <t>土地管理部门</t>
  </si>
  <si>
    <t>房产管理部门</t>
  </si>
  <si>
    <t>工商行政管理部门</t>
  </si>
  <si>
    <t>林木主管部门</t>
  </si>
  <si>
    <t>交通运输管理部门</t>
  </si>
  <si>
    <t>公证部门</t>
  </si>
  <si>
    <t>证券登记部门</t>
  </si>
  <si>
    <t>农业行政主管部门</t>
  </si>
  <si>
    <t>上海黄金交易所</t>
  </si>
  <si>
    <t>海洋行政管理部门</t>
  </si>
  <si>
    <t>国家知识产权局</t>
  </si>
  <si>
    <t>商标局</t>
  </si>
  <si>
    <t>版权局</t>
  </si>
  <si>
    <t>其他部门</t>
  </si>
  <si>
    <t>码值：BeneficialType</t>
  </si>
  <si>
    <t>BeneficialType</t>
  </si>
  <si>
    <t>自用_他用</t>
  </si>
  <si>
    <t>码值：CreditView</t>
  </si>
  <si>
    <t>CreditView</t>
  </si>
  <si>
    <t>业务树图</t>
  </si>
  <si>
    <t>021</t>
  </si>
  <si>
    <t>贴现票据信息</t>
  </si>
  <si>
    <t>022</t>
  </si>
  <si>
    <t>承兑票据信息</t>
  </si>
  <si>
    <t>023</t>
  </si>
  <si>
    <t>相关信用证信息</t>
  </si>
  <si>
    <t>024</t>
  </si>
  <si>
    <t>相关贸易合同信息</t>
  </si>
  <si>
    <t>相关发票信息</t>
  </si>
  <si>
    <t>026</t>
  </si>
  <si>
    <t>额度项下业务信息</t>
  </si>
  <si>
    <t>027</t>
  </si>
  <si>
    <t>028</t>
  </si>
  <si>
    <t>相关议付单据信息</t>
  </si>
  <si>
    <t>029</t>
  </si>
  <si>
    <t>相关贸易单据信息</t>
  </si>
  <si>
    <t>032</t>
  </si>
  <si>
    <t>共同申请人信息</t>
  </si>
  <si>
    <t>035</t>
  </si>
  <si>
    <t>相关出账信息</t>
  </si>
  <si>
    <t>新增的担保信息</t>
  </si>
  <si>
    <t>040015</t>
  </si>
  <si>
    <t>拟引入的担保合同</t>
  </si>
  <si>
    <t>040025</t>
  </si>
  <si>
    <t>040035</t>
  </si>
  <si>
    <t>040040</t>
  </si>
  <si>
    <t>040045</t>
  </si>
  <si>
    <t>041055</t>
  </si>
  <si>
    <t>041065</t>
  </si>
  <si>
    <t>041090</t>
  </si>
  <si>
    <t>变更申请历史记录</t>
  </si>
  <si>
    <t>借还款记录</t>
  </si>
  <si>
    <t>首笔申请信息</t>
  </si>
  <si>
    <t>码值：DocRelativeTreeNo</t>
  </si>
  <si>
    <t>DocRelativeTreeNo</t>
  </si>
  <si>
    <t>文件映射的业务结点</t>
  </si>
  <si>
    <t>申请基本信息</t>
  </si>
  <si>
    <t>码值：Arbitrate</t>
  </si>
  <si>
    <t>Arbitrate</t>
  </si>
  <si>
    <t>公证效力</t>
  </si>
  <si>
    <t>有强制执行效力</t>
  </si>
  <si>
    <t>无强制执行效力</t>
  </si>
  <si>
    <t>码值：CPProjectType</t>
  </si>
  <si>
    <t>CPProjectType</t>
  </si>
  <si>
    <t>项目类型</t>
  </si>
  <si>
    <t>一手按揭楼盘项目</t>
  </si>
  <si>
    <t>二手楼项目</t>
  </si>
  <si>
    <t>交通工具类项目</t>
  </si>
  <si>
    <t>设备类项目</t>
  </si>
  <si>
    <t>专业担保合作项目</t>
  </si>
  <si>
    <t>经营权质押类合作项目</t>
  </si>
  <si>
    <t>委托类合作项目</t>
  </si>
  <si>
    <t>资产买卖类合作项目</t>
  </si>
  <si>
    <t>保险公司合作项目</t>
  </si>
  <si>
    <t>三方共保合作项目</t>
  </si>
  <si>
    <t>其他合作项目</t>
  </si>
  <si>
    <t>码值：ComponentParameterCodeSource</t>
  </si>
  <si>
    <t>ComponentParameterCodeSource</t>
  </si>
  <si>
    <t>业务组件参数选项来源</t>
  </si>
  <si>
    <t>代码库</t>
  </si>
  <si>
    <t>JBO查询</t>
  </si>
  <si>
    <t>XML</t>
  </si>
  <si>
    <t>XML文件</t>
  </si>
  <si>
    <t>码值：CreditApproveIndMain</t>
  </si>
  <si>
    <t>CreditApproveIndMain</t>
  </si>
  <si>
    <t>码值：TermApplyType</t>
  </si>
  <si>
    <t>TermApplyType</t>
  </si>
  <si>
    <t>固定期限</t>
  </si>
  <si>
    <t>固定到期日</t>
  </si>
  <si>
    <t>码值：LawValidity</t>
  </si>
  <si>
    <t>LawValidity</t>
  </si>
  <si>
    <t>担保合法且手续不完整</t>
  </si>
  <si>
    <t>码值：SMECreditPhase</t>
  </si>
  <si>
    <t>SMECreditPhase</t>
  </si>
  <si>
    <t>行业发展阶段</t>
  </si>
  <si>
    <t>初创期</t>
  </si>
  <si>
    <t>成长期</t>
  </si>
  <si>
    <t>成熟期</t>
  </si>
  <si>
    <t>衰退期</t>
  </si>
  <si>
    <t>码值：ButtonSetPA</t>
  </si>
  <si>
    <t>ButtonSetPA</t>
  </si>
  <si>
    <t>放款阶段按钮组</t>
  </si>
  <si>
    <t>新增放贷</t>
  </si>
  <si>
    <t>newPutout</t>
  </si>
  <si>
    <t>新增提用</t>
  </si>
  <si>
    <t>撤回</t>
  </si>
  <si>
    <t>提用详情</t>
  </si>
  <si>
    <t>码值：ReformInstitutioanl</t>
  </si>
  <si>
    <t>ReformInstitutioanl</t>
  </si>
  <si>
    <t>建立了完善的事业法人制度，确立了非政府，非企业的独立事业主体，制定了社会公益事业的发展目标，拥有必要的权利和财产，独立承担相应的责任</t>
  </si>
  <si>
    <t>基本建立了完善的事业法人制度，确立了非政府，非企业的独立事业主体，制定了社会公益事业的发展目标，但产权关系还不明晰，能独立承担相应的责任</t>
  </si>
  <si>
    <t>正在进行事业法人制度改革，逐步确立非政府，非企业的独立事业主体，正在制定社会公益事业的发展目标，但产权关系还不明晰，不能独立承担相应的责任</t>
  </si>
  <si>
    <t>未建立事业法人制度，依然沿用过去的行政制度，产权关系混乱，没有独立的权利和财产，不能独立承担相应的责任</t>
  </si>
  <si>
    <t>码值：地方产业政策</t>
  </si>
  <si>
    <t>地方产业政策</t>
  </si>
  <si>
    <t>被当地列为支柱产业</t>
  </si>
  <si>
    <t>码值：InsuranceCompany</t>
  </si>
  <si>
    <t>InsuranceCompany</t>
  </si>
  <si>
    <t>保险机构</t>
  </si>
  <si>
    <t>中国人寿保险股份有限公司</t>
  </si>
  <si>
    <t>中国太平洋人寿保险股份有限公司</t>
  </si>
  <si>
    <t>泰康人寿保险股份有限公司</t>
  </si>
  <si>
    <t>新华人寿保险股份有限公司</t>
  </si>
  <si>
    <t>民生人寿保险股份有限公司</t>
  </si>
  <si>
    <t>中国平安人寿保险股份有限公司</t>
  </si>
  <si>
    <t>太平人寿保险有限公司</t>
  </si>
  <si>
    <t>生命人寿保险股份有限公司</t>
  </si>
  <si>
    <t>合众人寿保险股份有限公司</t>
  </si>
  <si>
    <t>长城人寿保险股份有限公司</t>
  </si>
  <si>
    <t>中国人民人寿保险股份有限公司</t>
  </si>
  <si>
    <t>中国人民健康保险股份有限公司</t>
  </si>
  <si>
    <t>平安健康保险股份有限公司</t>
  </si>
  <si>
    <t>太平养老保险股份有限公司</t>
  </si>
  <si>
    <t>0150</t>
  </si>
  <si>
    <t>平安养老保险股份有限公司</t>
  </si>
  <si>
    <t>0160</t>
  </si>
  <si>
    <t>信诚人寿保险股份公司</t>
  </si>
  <si>
    <t>0170</t>
  </si>
  <si>
    <t>华泰人寿保险股份有限公司</t>
  </si>
  <si>
    <t>0180</t>
  </si>
  <si>
    <t>正德人寿保险股份有限公司</t>
  </si>
  <si>
    <t>0190</t>
  </si>
  <si>
    <t>嘉禾人寿保险股份有限公司</t>
  </si>
  <si>
    <t>信泰人寿保险股份有限公司</t>
  </si>
  <si>
    <t>0210</t>
  </si>
  <si>
    <t>瑞福德健康保险股份有限公司</t>
  </si>
  <si>
    <t>0220</t>
  </si>
  <si>
    <t>泰康养老保险股份有限公司</t>
  </si>
  <si>
    <t>0240</t>
  </si>
  <si>
    <t>中国人寿养老保险股份有限公司</t>
  </si>
  <si>
    <t>0250</t>
  </si>
  <si>
    <t>长江养老保险股份有限公司</t>
  </si>
  <si>
    <t>0260</t>
  </si>
  <si>
    <t>中国人寿保险(海外)股份有限公司</t>
  </si>
  <si>
    <t>0270</t>
  </si>
  <si>
    <t>华夏人寿保险股份有限公司</t>
  </si>
  <si>
    <t>0280</t>
  </si>
  <si>
    <t>国泰人寿保险有限责任公司</t>
  </si>
  <si>
    <t>0290</t>
  </si>
  <si>
    <t>金盛人寿保险有限公司</t>
  </si>
  <si>
    <t>0300</t>
  </si>
  <si>
    <t>中宏人寿保险有限公司</t>
  </si>
  <si>
    <t>太平洋安泰人寿保险有限公司</t>
  </si>
  <si>
    <t>中德安联人寿保险有限公司</t>
  </si>
  <si>
    <t>0330</t>
  </si>
  <si>
    <t>美国友邦保险有限公司上海分公司</t>
  </si>
  <si>
    <t>0340</t>
  </si>
  <si>
    <t>光大永明人寿保险有限公司</t>
  </si>
  <si>
    <t>0350</t>
  </si>
  <si>
    <t>海尔纽约人寿保险有限公司</t>
  </si>
  <si>
    <t>0360</t>
  </si>
  <si>
    <t>联泰大都会人寿保险有限公司</t>
  </si>
  <si>
    <t>0370</t>
  </si>
  <si>
    <t>中新大东方人寿保险有限公司</t>
  </si>
  <si>
    <t>0380</t>
  </si>
  <si>
    <t>中意人寿保险有限公司</t>
  </si>
  <si>
    <t>0390</t>
  </si>
  <si>
    <t>首创安泰人寿保险有限公司</t>
  </si>
  <si>
    <t>0400</t>
  </si>
  <si>
    <t>中英人寿保险有限公司</t>
  </si>
  <si>
    <t>0410</t>
  </si>
  <si>
    <t>瑞泰人寿保险有限公司</t>
  </si>
  <si>
    <t>0420</t>
  </si>
  <si>
    <t>招商信诺人寿保险有限公司</t>
  </si>
  <si>
    <t>0430</t>
  </si>
  <si>
    <t>中法人寿保险有限责任公司</t>
  </si>
  <si>
    <t>0440</t>
  </si>
  <si>
    <t>恒安标准人寿保险有限公司</t>
  </si>
  <si>
    <t>0450</t>
  </si>
  <si>
    <t>海康人寿保险有限公司</t>
  </si>
  <si>
    <t>9990</t>
  </si>
  <si>
    <t>码值：OccurPhase</t>
  </si>
  <si>
    <t>OccurPhase</t>
  </si>
  <si>
    <t>费用发生阶段</t>
  </si>
  <si>
    <t>诉前</t>
  </si>
  <si>
    <t>再审</t>
  </si>
  <si>
    <t>执行</t>
  </si>
  <si>
    <t>码值：FundsProvided</t>
  </si>
  <si>
    <t>FundsProvided</t>
  </si>
  <si>
    <t>资金来源</t>
  </si>
  <si>
    <t>码值：PutOutApplyMain</t>
  </si>
  <si>
    <t>PutOutApplyMain</t>
  </si>
  <si>
    <t>出账管理主树图</t>
  </si>
  <si>
    <t>待提交审核的放贷</t>
  </si>
  <si>
    <t>审核复核中放贷</t>
  </si>
  <si>
    <t>退回补充资料的放贷</t>
  </si>
  <si>
    <t>复核通过的放贷</t>
  </si>
  <si>
    <t>已归档放贷</t>
  </si>
  <si>
    <t>码值：STREETSTATUS</t>
  </si>
  <si>
    <t>STREETSTATUS</t>
  </si>
  <si>
    <t>临街状况</t>
  </si>
  <si>
    <t>繁华商业区</t>
  </si>
  <si>
    <t>普通地段</t>
  </si>
  <si>
    <t>偏远地段</t>
  </si>
  <si>
    <t>码值：SubjectCategory</t>
  </si>
  <si>
    <t>SubjectCategory</t>
  </si>
  <si>
    <t>科目类别</t>
  </si>
  <si>
    <t>事业单位收入支出类</t>
  </si>
  <si>
    <t>共同类</t>
  </si>
  <si>
    <t>成本类</t>
  </si>
  <si>
    <t>所有者权益类</t>
  </si>
  <si>
    <t>损益类</t>
  </si>
  <si>
    <t>现金流量类</t>
  </si>
  <si>
    <t>负债类</t>
  </si>
  <si>
    <t>财务指标类</t>
  </si>
  <si>
    <t>资产类</t>
  </si>
  <si>
    <t>码值：ChangeType</t>
  </si>
  <si>
    <t>ChangeType</t>
  </si>
  <si>
    <t>变更类型</t>
  </si>
  <si>
    <t>价值变更</t>
  </si>
  <si>
    <t>信息变更</t>
  </si>
  <si>
    <t>他项权证变更</t>
  </si>
  <si>
    <t>码值：DisplayMethod</t>
  </si>
  <si>
    <t>DisplayMethod</t>
  </si>
  <si>
    <t>报表显示属性</t>
  </si>
  <si>
    <t>单列双值</t>
  </si>
  <si>
    <t>双列双值</t>
  </si>
  <si>
    <t>单列单值</t>
  </si>
  <si>
    <t>码值：TransStatus</t>
  </si>
  <si>
    <t>TransStatus</t>
  </si>
  <si>
    <t>交易状态</t>
  </si>
  <si>
    <t>已执行</t>
  </si>
  <si>
    <t>已反冲</t>
  </si>
  <si>
    <t>待执行</t>
  </si>
  <si>
    <t>已取消</t>
  </si>
  <si>
    <t>码值：InvoiceReceiptApproveMain</t>
  </si>
  <si>
    <t>InvoiceReceiptApproveMain</t>
  </si>
  <si>
    <t>收票审批主树图</t>
  </si>
  <si>
    <t>码值：RiskAlarmApplyMain</t>
  </si>
  <si>
    <t>RiskAlarmApplyMain</t>
  </si>
  <si>
    <t>风险预警分发认定申请主树图</t>
  </si>
  <si>
    <t>码值：CorporateImage</t>
  </si>
  <si>
    <t>CorporateImage</t>
  </si>
  <si>
    <t>码值：FinancingCapacity</t>
  </si>
  <si>
    <t>FinancingCapacity</t>
  </si>
  <si>
    <t>码值：客户多元化</t>
  </si>
  <si>
    <t>客户多元化</t>
  </si>
  <si>
    <t>50%的营业收入来自于至少5家客户，且合作关系稳定（两年以上合作关系）</t>
  </si>
  <si>
    <t>50%的销售收入来自于3-4家企业</t>
  </si>
  <si>
    <t>50%的销售收入来自于1-2家企业</t>
  </si>
  <si>
    <t>50%的销售收入来自于零售市场，客户群非常分散</t>
  </si>
  <si>
    <t>码值：IndType</t>
  </si>
  <si>
    <t>IndType</t>
  </si>
  <si>
    <t>个人客户类型</t>
  </si>
  <si>
    <t>自然人客户</t>
  </si>
  <si>
    <t>农户客户</t>
  </si>
  <si>
    <t>码值：PrdApproveMain</t>
  </si>
  <si>
    <t>PrdApproveMain</t>
  </si>
  <si>
    <t>产品配置审批主树图</t>
  </si>
  <si>
    <t>码值：EntIrregularCheckMain</t>
  </si>
  <si>
    <t>EntIrregularCheckMain</t>
  </si>
  <si>
    <t>单一公司客户贷后不定期检查申请</t>
  </si>
  <si>
    <t>码值：BondRating</t>
  </si>
  <si>
    <t>BondRating</t>
  </si>
  <si>
    <t>债券评级</t>
  </si>
  <si>
    <t>码值：GuarantyStyle</t>
  </si>
  <si>
    <t>GuarantyStyle</t>
  </si>
  <si>
    <t>码值：OtherIndBusinessType</t>
  </si>
  <si>
    <t>OtherIndBusinessType</t>
  </si>
  <si>
    <t>个人他行业务品种</t>
  </si>
  <si>
    <t>个人业务</t>
  </si>
  <si>
    <t>码值：抵押资产</t>
  </si>
  <si>
    <t>抵押资产</t>
  </si>
  <si>
    <t>对起动项目的全部资产、合同、批文和账户拥有手续完全完备的优先担保权益</t>
  </si>
  <si>
    <t>对起动项目的全部资产、合同、批文和账户拥有手续较完备的优先担保权益</t>
  </si>
  <si>
    <t>对起动项目的全部资产、合同、批文和账户拥有一般性的担保权益</t>
  </si>
  <si>
    <t>对贷款人几乎未提供担保；抵押条款对银行不利</t>
  </si>
  <si>
    <t>码值：ShadinessReason</t>
  </si>
  <si>
    <t>ShadinessReason</t>
  </si>
  <si>
    <t>贷款可疑原因</t>
  </si>
  <si>
    <t>借款人虽已破产或已经法院裁决，但没有按国务院规定办理破产手续或不符合国务院关于规范破产有关文件规定，有以破产的形式逃废银行债务嫌疑的</t>
  </si>
  <si>
    <t>借款人通过重组、租赁、转让、承包等名目逃废银行债务，债权银行尚未依法起诉追索的贷款</t>
  </si>
  <si>
    <t>地方政府及其有关部门决定关闭或注销，有行政干预逃废银行债务嫌疑的</t>
  </si>
  <si>
    <t>借款人虽已资不抵债，但领导班子和职工基本稳定，大部分生产活动仍在进行</t>
  </si>
  <si>
    <t>在未彻底清查之前，银行违规从事账外经营形成的风险贷款</t>
  </si>
  <si>
    <t>码值：投资策略</t>
  </si>
  <si>
    <t>投资策略</t>
  </si>
  <si>
    <t>码值：ProjectLevel</t>
  </si>
  <si>
    <t>ProjectLevel</t>
  </si>
  <si>
    <t>项目级别</t>
  </si>
  <si>
    <t>国家重点项目</t>
  </si>
  <si>
    <t>国家预备重点项目</t>
  </si>
  <si>
    <t>国家项目</t>
  </si>
  <si>
    <t>省级重点项目</t>
  </si>
  <si>
    <t>省级预备重点项目</t>
  </si>
  <si>
    <t>省级项目</t>
  </si>
  <si>
    <t>地市级重点项目</t>
  </si>
  <si>
    <t>地市级预备重点项目</t>
  </si>
  <si>
    <t>地市级项目</t>
  </si>
  <si>
    <t>一般项目</t>
  </si>
  <si>
    <t>码值：AccountIndicator</t>
  </si>
  <si>
    <t>AccountIndicator</t>
  </si>
  <si>
    <t>账户性质(系统内使用)</t>
  </si>
  <si>
    <t>放款账号</t>
  </si>
  <si>
    <t>还款账号</t>
  </si>
  <si>
    <t>委托人存款账号（发放和回收本息）</t>
  </si>
  <si>
    <t>委托人委托存款账号</t>
  </si>
  <si>
    <t>收款账号（代收代付）</t>
  </si>
  <si>
    <t>码值：监事会设置</t>
  </si>
  <si>
    <t>监事会设置</t>
  </si>
  <si>
    <t>只设一名监事</t>
  </si>
  <si>
    <t>码值：LimitControlType</t>
  </si>
  <si>
    <t>LimitControlType</t>
  </si>
  <si>
    <t>金额控制方式</t>
  </si>
  <si>
    <t>发生额</t>
  </si>
  <si>
    <t>余额</t>
  </si>
  <si>
    <t>发生额+敞口</t>
  </si>
  <si>
    <t>余额+敞口</t>
  </si>
  <si>
    <t>码值：BookInContractApplyIndMain</t>
  </si>
  <si>
    <t>BookInContractApplyIndMain</t>
  </si>
  <si>
    <t>个人批复合同登记申请主树图</t>
  </si>
  <si>
    <t>码值：WorksType</t>
  </si>
  <si>
    <t>WorksType</t>
  </si>
  <si>
    <t>作品类别</t>
  </si>
  <si>
    <t>文字作品</t>
  </si>
  <si>
    <t>口述作品</t>
  </si>
  <si>
    <t>音乐、戏剧、曲艺、舞蹈、杂技艺术作品</t>
  </si>
  <si>
    <t>美术、建筑作品</t>
  </si>
  <si>
    <t>摄影作品</t>
  </si>
  <si>
    <t>电影作品或以类似摄制电影方法创作的作品</t>
  </si>
  <si>
    <t>工程设计图、产品设计图、地图、示意图等图形作品和模型作品</t>
  </si>
  <si>
    <t>计算机软件</t>
  </si>
  <si>
    <t>法律、行政法规规定的作品</t>
  </si>
  <si>
    <t>码值：TakePartPhase</t>
  </si>
  <si>
    <t>TakePartPhase</t>
  </si>
  <si>
    <t>案件相关人参与阶段</t>
  </si>
  <si>
    <t>全程</t>
  </si>
  <si>
    <t>码值：BigDataSwitch</t>
  </si>
  <si>
    <t>BigDataSwitch</t>
  </si>
  <si>
    <t>大数据开关</t>
  </si>
  <si>
    <t>码值：RateAdjustCyc</t>
  </si>
  <si>
    <t>RateAdjustCyc</t>
  </si>
  <si>
    <t>利率调整周期</t>
  </si>
  <si>
    <t>1个月</t>
  </si>
  <si>
    <t>3个月</t>
  </si>
  <si>
    <t>6个月</t>
  </si>
  <si>
    <t>码值：CustomerScale</t>
  </si>
  <si>
    <t>CustomerScale</t>
  </si>
  <si>
    <t>公司企业类型</t>
  </si>
  <si>
    <t>中小企业客户</t>
  </si>
  <si>
    <t>码值：在该领域的地位</t>
  </si>
  <si>
    <t>在该领域的地位</t>
  </si>
  <si>
    <t>码值：LandRightSource</t>
  </si>
  <si>
    <t>LandRightSource</t>
  </si>
  <si>
    <t>招标出让</t>
  </si>
  <si>
    <t>拍卖出让</t>
  </si>
  <si>
    <t>挂牌出让</t>
  </si>
  <si>
    <t>协议出让</t>
  </si>
  <si>
    <t>码值：LoanTransCode</t>
  </si>
  <si>
    <t>LoanTransCode</t>
  </si>
  <si>
    <t>贷款交易</t>
  </si>
  <si>
    <t>CommonRepay</t>
  </si>
  <si>
    <t>一般还款</t>
  </si>
  <si>
    <t>ForwardRepay</t>
  </si>
  <si>
    <t>提前还款</t>
  </si>
  <si>
    <t>LoanWriteoffhx</t>
  </si>
  <si>
    <t>贷款核销</t>
  </si>
  <si>
    <t>LoanWriteoffsc</t>
  </si>
  <si>
    <t>贷款售出</t>
  </si>
  <si>
    <t>SpecialRepay</t>
  </si>
  <si>
    <t>特殊还款</t>
  </si>
  <si>
    <t>码值：FamliyAbility</t>
  </si>
  <si>
    <t>FamliyAbility</t>
  </si>
  <si>
    <t>码值：母公司/子公司支持结构</t>
  </si>
  <si>
    <t>母公司/子公司支持结构</t>
  </si>
  <si>
    <t>虽然母公司在法律上不对借款人承担连带责任，但是借款人对母公司收入、业务或者战略具有重要地位，因此母公司对其具有隐性担保</t>
  </si>
  <si>
    <t>或者虽然存在母子公司关系，但是母公司对子公司债务不承担责任；</t>
  </si>
  <si>
    <t>不存在母子公司关系；</t>
  </si>
  <si>
    <t>码值：AssetStatus</t>
  </si>
  <si>
    <t>AssetStatus</t>
  </si>
  <si>
    <t>抵债资产处置现状</t>
  </si>
  <si>
    <t>未批准</t>
  </si>
  <si>
    <t>待处置</t>
  </si>
  <si>
    <t>处置中</t>
  </si>
  <si>
    <t>处置终结</t>
  </si>
  <si>
    <t>码值：Type1</t>
  </si>
  <si>
    <t>Type1</t>
  </si>
  <si>
    <t>系统内外</t>
  </si>
  <si>
    <t>系统外</t>
  </si>
  <si>
    <t>系统内</t>
  </si>
  <si>
    <t>码值：TypeOfFinancingPlatform</t>
  </si>
  <si>
    <t>TypeOfFinancingPlatform</t>
  </si>
  <si>
    <t>融资平台公司因承担公益性项目建设举借、主要依靠财政性资金偿还的债务</t>
  </si>
  <si>
    <t>融资平台公司因承担公益性项目建设举借、项目本身有稳定经营性收入并主要依靠自身收益偿还的债务</t>
  </si>
  <si>
    <t>融资平台公司因承担非公益性项目建设举借的债务</t>
  </si>
  <si>
    <t>兼有上述类型</t>
  </si>
  <si>
    <t>码值：SMECreditPlace</t>
  </si>
  <si>
    <t>SMECreditPlace</t>
  </si>
  <si>
    <t>固定经营场所</t>
  </si>
  <si>
    <t>码值：Language</t>
  </si>
  <si>
    <t>Language</t>
  </si>
  <si>
    <t>en</t>
  </si>
  <si>
    <t>English</t>
  </si>
  <si>
    <t>tw</t>
  </si>
  <si>
    <t>繁体</t>
  </si>
  <si>
    <t>zh</t>
  </si>
  <si>
    <t>简体</t>
  </si>
  <si>
    <t>语言标识</t>
  </si>
  <si>
    <t>语言名称</t>
  </si>
  <si>
    <t>码值：TransactionOffApproveMain</t>
  </si>
  <si>
    <t>TransactionOffApproveMain</t>
  </si>
  <si>
    <t>交易复核主树图</t>
  </si>
  <si>
    <t>码值：SegTermID</t>
  </si>
  <si>
    <t>SegTermID</t>
  </si>
  <si>
    <t>RPT-19-01</t>
  </si>
  <si>
    <t>RPT-19-02</t>
  </si>
  <si>
    <t>RPT-19-03</t>
  </si>
  <si>
    <t>RPT-19-04</t>
  </si>
  <si>
    <t>码值：LCType</t>
  </si>
  <si>
    <t>LCType</t>
  </si>
  <si>
    <t>信用证类型</t>
  </si>
  <si>
    <t>普通</t>
  </si>
  <si>
    <t>背对背</t>
  </si>
  <si>
    <t>循环</t>
  </si>
  <si>
    <t>对开</t>
  </si>
  <si>
    <t>码值：HousePay</t>
  </si>
  <si>
    <t>HousePay</t>
  </si>
  <si>
    <t>房屋抵债情况</t>
  </si>
  <si>
    <t>无抵债</t>
  </si>
  <si>
    <t>有抵债</t>
  </si>
  <si>
    <t>码值：资金拨付</t>
  </si>
  <si>
    <t>资金拨付</t>
  </si>
  <si>
    <t>码值：ModelStatus</t>
  </si>
  <si>
    <t>ModelStatus</t>
  </si>
  <si>
    <t>模板状态</t>
  </si>
  <si>
    <t>历史</t>
  </si>
  <si>
    <t>码值：风险度系数</t>
  </si>
  <si>
    <t>风险度系数</t>
  </si>
  <si>
    <t>1)  不调整</t>
  </si>
  <si>
    <t>2)  贷款风险分类为关注</t>
  </si>
  <si>
    <t>3)  逾期1个月（含）以内，或欠息3个月（含）以内</t>
  </si>
  <si>
    <t>码值：CertInputOrgType</t>
  </si>
  <si>
    <t>CertInputOrgType</t>
  </si>
  <si>
    <t>机关类型</t>
  </si>
  <si>
    <t>房屋建筑管理部门</t>
  </si>
  <si>
    <t>林木管理部门</t>
  </si>
  <si>
    <t>运输工具的管理部门</t>
  </si>
  <si>
    <t>其他管理部门</t>
  </si>
  <si>
    <t>码值：HaveNot</t>
  </si>
  <si>
    <t>HaveNot</t>
  </si>
  <si>
    <t>有无</t>
  </si>
  <si>
    <t>码值：ClassifyCognMain</t>
  </si>
  <si>
    <t>ClassifyCognMain</t>
  </si>
  <si>
    <t>五级分类认定主界面</t>
  </si>
  <si>
    <t>按合同分类</t>
  </si>
  <si>
    <t>需认定资产风险分类</t>
  </si>
  <si>
    <t>已认定资产风险分类</t>
  </si>
  <si>
    <t>按借据分类</t>
  </si>
  <si>
    <t>码值：ComponentType</t>
  </si>
  <si>
    <t>ComponentType</t>
  </si>
  <si>
    <t>组件类型</t>
  </si>
  <si>
    <t>关联组件</t>
  </si>
  <si>
    <t>Batch</t>
  </si>
  <si>
    <t>批量程序</t>
  </si>
  <si>
    <t>Free</t>
  </si>
  <si>
    <t>MainWindow</t>
  </si>
  <si>
    <t>模块主页面</t>
  </si>
  <si>
    <t>ObjectViewer</t>
  </si>
  <si>
    <t>对象容器</t>
  </si>
  <si>
    <t>Pagelet</t>
  </si>
  <si>
    <t>单页面</t>
  </si>
  <si>
    <t>Report</t>
  </si>
  <si>
    <t>报表</t>
  </si>
  <si>
    <t>SP</t>
  </si>
  <si>
    <t>存储过程</t>
  </si>
  <si>
    <t>SimpleEdit</t>
  </si>
  <si>
    <t>简单增删改</t>
  </si>
  <si>
    <t>Tab</t>
  </si>
  <si>
    <t>标签</t>
  </si>
  <si>
    <t>View</t>
  </si>
  <si>
    <t>Wizard</t>
  </si>
  <si>
    <t>向导</t>
  </si>
  <si>
    <t>码值：PartnerStatus</t>
  </si>
  <si>
    <t>PartnerStatus</t>
  </si>
  <si>
    <t>合作方状态</t>
  </si>
  <si>
    <t>码值：LandTransFeesStatus</t>
  </si>
  <si>
    <t>LandTransFeesStatus</t>
  </si>
  <si>
    <t>土地出让金缴纳状态</t>
  </si>
  <si>
    <t>未缴纳</t>
  </si>
  <si>
    <t>部分缴纳</t>
  </si>
  <si>
    <t>全额缴纳</t>
  </si>
  <si>
    <t>码值：CashBackType2</t>
  </si>
  <si>
    <t>CashBackType2</t>
  </si>
  <si>
    <t>不良资产收回方式</t>
  </si>
  <si>
    <t>正常清收</t>
  </si>
  <si>
    <t>和解</t>
  </si>
  <si>
    <t>债权减让</t>
  </si>
  <si>
    <t>码值：CashBackType1</t>
  </si>
  <si>
    <t>CashBackType1</t>
  </si>
  <si>
    <t>抵债资产收回方式</t>
  </si>
  <si>
    <t>租金收入</t>
  </si>
  <si>
    <t>出售收现</t>
  </si>
  <si>
    <t>转固定资产</t>
  </si>
  <si>
    <t>协议转让收现</t>
  </si>
  <si>
    <t>其他收现</t>
  </si>
  <si>
    <t>码值：承购合同的情况</t>
  </si>
  <si>
    <t>承购合同的情况</t>
  </si>
  <si>
    <t>码值：Select_j</t>
  </si>
  <si>
    <t>Select_j</t>
  </si>
  <si>
    <t>选项1</t>
  </si>
  <si>
    <t>选项2</t>
  </si>
  <si>
    <t>码值：LawCasePhase</t>
  </si>
  <si>
    <t>LawCasePhase</t>
  </si>
  <si>
    <t>案件转入阶段</t>
  </si>
  <si>
    <t>诉讼中</t>
  </si>
  <si>
    <t>码值：SMECreditRequest</t>
  </si>
  <si>
    <t>SMECreditRequest</t>
  </si>
  <si>
    <t>产品、服务需求</t>
  </si>
  <si>
    <t>供不应求</t>
  </si>
  <si>
    <t>供求平衡</t>
  </si>
  <si>
    <t>供过于求</t>
  </si>
  <si>
    <t>码值：FlowMain</t>
  </si>
  <si>
    <t>FlowMain</t>
  </si>
  <si>
    <t>流程查询主页面</t>
  </si>
  <si>
    <t>授信业务流程查询</t>
  </si>
  <si>
    <t>最终审批意见查询</t>
  </si>
  <si>
    <t>放贷流程查询</t>
  </si>
  <si>
    <t>码值：RateFloatType</t>
  </si>
  <si>
    <t>RateFloatType</t>
  </si>
  <si>
    <t>利率浮动方式</t>
  </si>
  <si>
    <t>浮动点</t>
  </si>
  <si>
    <t>浮动比</t>
  </si>
  <si>
    <t>BP</t>
  </si>
  <si>
    <t>码值：学历</t>
  </si>
  <si>
    <t>研究生及研究生以下</t>
  </si>
  <si>
    <t>本科</t>
  </si>
  <si>
    <t>本科以下</t>
  </si>
  <si>
    <t>码值：BIType</t>
  </si>
  <si>
    <t>BIType</t>
  </si>
  <si>
    <t>码值：ElectricContractM2Main</t>
  </si>
  <si>
    <t>ElectricContractM2Main</t>
  </si>
  <si>
    <t>ElectricContractModel审批主树图</t>
  </si>
  <si>
    <t>码值：PriorityClaim</t>
  </si>
  <si>
    <t>PriorityClaim</t>
  </si>
  <si>
    <t>优先受偿权</t>
  </si>
  <si>
    <t>优先</t>
  </si>
  <si>
    <t>次优先</t>
  </si>
  <si>
    <t>码值：最大逾期天数</t>
  </si>
  <si>
    <t>最大逾期天数</t>
  </si>
  <si>
    <t>(60,90]</t>
  </si>
  <si>
    <t>(30,60]</t>
  </si>
  <si>
    <t>(0,30]</t>
  </si>
  <si>
    <t>码值：PrepayInterestBaseFlag</t>
  </si>
  <si>
    <t>PrepayInterestBaseFlag</t>
  </si>
  <si>
    <t>提前还款利息计算基础选项</t>
  </si>
  <si>
    <t>按还款本金计息</t>
  </si>
  <si>
    <t>按贷款余额计息</t>
  </si>
  <si>
    <t>码值：人财物产供销部门设置</t>
  </si>
  <si>
    <t>人财物产供销部门设置</t>
  </si>
  <si>
    <t>码值：InstitutionLevel</t>
  </si>
  <si>
    <t>InstitutionLevel</t>
  </si>
  <si>
    <t>中央属/部属</t>
  </si>
  <si>
    <t>省/直辖市/计划单列市/发达市级所属（发达市为全国GDP排名前50强的城市）</t>
  </si>
  <si>
    <t>地市级/发达县、区级（百强县）</t>
  </si>
  <si>
    <t>县/区级所属</t>
  </si>
  <si>
    <t>码值：DemoListMain</t>
  </si>
  <si>
    <t>DemoListMain</t>
  </si>
  <si>
    <t>list页面</t>
  </si>
  <si>
    <t>单选list页面</t>
  </si>
  <si>
    <t>多选list页面</t>
  </si>
  <si>
    <t>自定义模板list页面</t>
  </si>
  <si>
    <t>码值：NewFlowApplyMain</t>
  </si>
  <si>
    <t>NewFlowApplyMain</t>
  </si>
  <si>
    <t>申请阶段1030</t>
  </si>
  <si>
    <t>码值：CooperateMode</t>
  </si>
  <si>
    <t>CooperateMode</t>
  </si>
  <si>
    <t>合作模式</t>
  </si>
  <si>
    <t>经销商模式</t>
  </si>
  <si>
    <t>生产商模式</t>
  </si>
  <si>
    <t>经销商+生产商模式</t>
  </si>
  <si>
    <t>码值：HouseholdAnnualIncome</t>
  </si>
  <si>
    <t>HouseholdAnnualIncome</t>
  </si>
  <si>
    <t xml:space="preserve">6万元－10万元(含6万元) </t>
  </si>
  <si>
    <t xml:space="preserve">6万元以下(含3万元) </t>
  </si>
  <si>
    <t>码值：SignalChannel</t>
  </si>
  <si>
    <t>SignalChannel</t>
  </si>
  <si>
    <t>预警渠道</t>
  </si>
  <si>
    <t>自动</t>
  </si>
  <si>
    <t>码值：BookInContractUnderApplyEntMain</t>
  </si>
  <si>
    <t>BookInContractUnderApplyEntMain</t>
  </si>
  <si>
    <t>大中额度项下合同登记申请主树图</t>
  </si>
  <si>
    <t>码值：ButtonSetIR</t>
  </si>
  <si>
    <t>ButtonSetIR</t>
  </si>
  <si>
    <t>流程按钮（发票）</t>
  </si>
  <si>
    <t>doFinish</t>
  </si>
  <si>
    <t>终止</t>
  </si>
  <si>
    <t>drawInvoice</t>
  </si>
  <si>
    <t>editTask</t>
  </si>
  <si>
    <t>scenarAlarm</t>
  </si>
  <si>
    <t>查看流程</t>
  </si>
  <si>
    <t>码值：SupplierConcentration</t>
  </si>
  <si>
    <t>SupplierConcentration</t>
  </si>
  <si>
    <t>码值：ButtonCertInOut</t>
  </si>
  <si>
    <t>ButtonCertInOut</t>
  </si>
  <si>
    <t>出入库按钮</t>
  </si>
  <si>
    <t>码值：ApproveSMEConMain</t>
  </si>
  <si>
    <t>ApproveSMEConMain</t>
  </si>
  <si>
    <t>中小企业资格认定审批</t>
  </si>
  <si>
    <t>码值：ReportUnit</t>
  </si>
  <si>
    <t>ReportUnit</t>
  </si>
  <si>
    <t>报表单位</t>
  </si>
  <si>
    <t>千元</t>
  </si>
  <si>
    <t>万元</t>
  </si>
  <si>
    <t>码值：ReserveApproveMain</t>
  </si>
  <si>
    <t>ReserveApproveMain</t>
  </si>
  <si>
    <t>单项计提减值准备认定审批树图</t>
  </si>
  <si>
    <t>码值：CreditApplyFinanceMain</t>
  </si>
  <si>
    <t>CreditApplyFinanceMain</t>
  </si>
  <si>
    <t>同业客户申请流程</t>
  </si>
  <si>
    <t>审批完成</t>
  </si>
  <si>
    <t>码值：StockMarketType</t>
  </si>
  <si>
    <t>StockMarketType</t>
  </si>
  <si>
    <t>上市类型</t>
  </si>
  <si>
    <t>沪市A股</t>
  </si>
  <si>
    <t>沪市B股</t>
  </si>
  <si>
    <t>深市A股</t>
  </si>
  <si>
    <t>深市B股</t>
  </si>
  <si>
    <t>H股</t>
  </si>
  <si>
    <t>S股</t>
  </si>
  <si>
    <t>N股</t>
  </si>
  <si>
    <t>L股</t>
  </si>
  <si>
    <t>码值：行业年限</t>
  </si>
  <si>
    <t>行业年限</t>
  </si>
  <si>
    <t>3年至5年</t>
  </si>
  <si>
    <t>码值：InvoiceDrawApproveMain</t>
  </si>
  <si>
    <t>InvoiceDrawApproveMain</t>
  </si>
  <si>
    <t>开票审批主树图</t>
  </si>
  <si>
    <t>码值：投资人背景</t>
  </si>
  <si>
    <t>投资人背景</t>
  </si>
  <si>
    <t>政府出资办</t>
  </si>
  <si>
    <t>大型企业集团出资办</t>
  </si>
  <si>
    <t>外商出资办</t>
  </si>
  <si>
    <t>一般企业出资办</t>
  </si>
  <si>
    <t>私人出资</t>
  </si>
  <si>
    <t>码值：所有权性质/控制</t>
  </si>
  <si>
    <t>所有权性质/控制</t>
  </si>
  <si>
    <t>项目公司对项目主要资产拥有绝对控制权</t>
  </si>
  <si>
    <t>项目公司对项目重要资产通过长期租约持有，且长期租约中只有非常有限的中止权</t>
  </si>
  <si>
    <t>项目公司对项目重要资产通过租约持有，且租约中有可执行的中止权描述</t>
  </si>
  <si>
    <t>项目某些关键资产被第三方管理和持有，或是租用来得</t>
  </si>
  <si>
    <t>主要资产通过短期经营租赁或牌照的安排持有</t>
  </si>
  <si>
    <t>项目公司正在对某一租约合同违约，并有可能导致合同终止</t>
  </si>
  <si>
    <t>码值：GeneralBusinessType</t>
  </si>
  <si>
    <t>GeneralBusinessType</t>
  </si>
  <si>
    <t>主业务品种分类</t>
  </si>
  <si>
    <t>贷款</t>
  </si>
  <si>
    <t>承兑</t>
  </si>
  <si>
    <t>保函</t>
  </si>
  <si>
    <t>信用证</t>
  </si>
  <si>
    <t>委托贷款</t>
  </si>
  <si>
    <t>垫款</t>
  </si>
  <si>
    <t>贷款承诺</t>
  </si>
  <si>
    <t>担保</t>
  </si>
  <si>
    <t>码值：科研组织</t>
  </si>
  <si>
    <t>科研组织</t>
  </si>
  <si>
    <t>有科研中心</t>
  </si>
  <si>
    <t>有科研部门</t>
  </si>
  <si>
    <t>有科研小组</t>
  </si>
  <si>
    <t>无科研人员</t>
  </si>
  <si>
    <t>码值：ProjectFlow1ApplyMain</t>
  </si>
  <si>
    <t>ProjectFlow1ApplyMain</t>
  </si>
  <si>
    <t>ProjectFlow1申请主树图</t>
  </si>
  <si>
    <t>码值：TransformApproveMain</t>
  </si>
  <si>
    <t>TransformApproveMain</t>
  </si>
  <si>
    <t>担保合同变更审批主树图</t>
  </si>
  <si>
    <t>码值：经营管理控制</t>
  </si>
  <si>
    <t>经营管理控制</t>
  </si>
  <si>
    <t>政府对年度经营和资本预算进行审查和批准；贷款需政府批准或限制；政府有能力在现有的法律/监管体制下，通过重大政策操纵，对财务状况采取突然的正面影响</t>
  </si>
  <si>
    <t>政府对年度经营和资本预算进行审查和批准；贷款也需政府批准或限制</t>
  </si>
  <si>
    <t>政府不对年度经营和资本预算进行审查和批准；但贷款认需政府批准或限制</t>
  </si>
  <si>
    <t>政府基本对机构的经营管理不进行控制和介入</t>
  </si>
  <si>
    <t>码值：ReformShape</t>
  </si>
  <si>
    <t>ReformShape</t>
  </si>
  <si>
    <t>重组形式</t>
  </si>
  <si>
    <t>原1笔不良资产重组成1笔贷款</t>
  </si>
  <si>
    <t>原1笔不良资产重组成多笔贷款</t>
  </si>
  <si>
    <t>原多笔不良资产重组成1笔贷款</t>
  </si>
  <si>
    <t>码值：CustomerOrgType</t>
  </si>
  <si>
    <t>CustomerOrgType</t>
  </si>
  <si>
    <t>客户机构类型</t>
  </si>
  <si>
    <t>码值：抵质押未偿还余额比</t>
  </si>
  <si>
    <t>抵质押未偿还余额比</t>
  </si>
  <si>
    <t>[0,0.7)</t>
  </si>
  <si>
    <t>(0.7,0.95)</t>
  </si>
  <si>
    <t>[0.95,1.05]</t>
  </si>
  <si>
    <t>&gt;1.05</t>
  </si>
  <si>
    <t>码值：Position</t>
  </si>
  <si>
    <t>Position</t>
  </si>
  <si>
    <t>5100</t>
  </si>
  <si>
    <t>5101</t>
  </si>
  <si>
    <t>5102</t>
  </si>
  <si>
    <t>5103</t>
  </si>
  <si>
    <t>5104</t>
  </si>
  <si>
    <t>5105</t>
  </si>
  <si>
    <t>5106</t>
  </si>
  <si>
    <t>5108</t>
  </si>
  <si>
    <t>5109</t>
  </si>
  <si>
    <t>5110</t>
  </si>
  <si>
    <t>会计</t>
  </si>
  <si>
    <t>5111</t>
  </si>
  <si>
    <t>出纳</t>
  </si>
  <si>
    <t>5112</t>
  </si>
  <si>
    <t>人事专员</t>
  </si>
  <si>
    <t>5113</t>
  </si>
  <si>
    <t>行政专员</t>
  </si>
  <si>
    <t>5114</t>
  </si>
  <si>
    <t>市场专员</t>
  </si>
  <si>
    <t>5115</t>
  </si>
  <si>
    <t>销售代表</t>
  </si>
  <si>
    <t>5116</t>
  </si>
  <si>
    <t>技术员</t>
  </si>
  <si>
    <t>5117</t>
  </si>
  <si>
    <t>码值：IndRegularCheckApproveMain</t>
  </si>
  <si>
    <t>IndRegularCheckApproveMain</t>
  </si>
  <si>
    <t>个人客户贷后检查审批</t>
  </si>
  <si>
    <t>码值：ImplementationScheduling</t>
  </si>
  <si>
    <t>ImplementationScheduling</t>
  </si>
  <si>
    <t>建设后期（已完成项目建设的50%以上）</t>
  </si>
  <si>
    <t>已经完成項目建設的25%以内（含）</t>
  </si>
  <si>
    <t>码值：FlowObject</t>
  </si>
  <si>
    <t>FlowObject</t>
  </si>
  <si>
    <t>流程参数配置</t>
  </si>
  <si>
    <t>最终审批意见流程</t>
  </si>
  <si>
    <t>BookContractApply</t>
  </si>
  <si>
    <t>合同登记流程</t>
  </si>
  <si>
    <t>五级分类认定流程</t>
  </si>
  <si>
    <t>CreditApply</t>
  </si>
  <si>
    <t>授信业务流程</t>
  </si>
  <si>
    <t>中小企业业务审查审批标准流程</t>
  </si>
  <si>
    <t>CreditSingleApply</t>
  </si>
  <si>
    <t>企业单一授信</t>
  </si>
  <si>
    <t>Customer</t>
  </si>
  <si>
    <t>信用等级认定流程</t>
  </si>
  <si>
    <t>支付业务流程</t>
  </si>
  <si>
    <t>放贷流程</t>
  </si>
  <si>
    <t>Reserve</t>
  </si>
  <si>
    <t>单项计提减值准备认定流程</t>
  </si>
  <si>
    <t>风险预警分发认定流程</t>
  </si>
  <si>
    <t>SMEApply</t>
  </si>
  <si>
    <t>中小企业资格流程</t>
  </si>
  <si>
    <t>担保合同变更认定流程</t>
  </si>
  <si>
    <t>码值：ReInteFreq</t>
  </si>
  <si>
    <t>ReInteFreq</t>
  </si>
  <si>
    <t>还息频率</t>
  </si>
  <si>
    <t>码值：AgencType</t>
  </si>
  <si>
    <t>AgencType</t>
  </si>
  <si>
    <t>担保机构类型</t>
  </si>
  <si>
    <t>受理机构</t>
  </si>
  <si>
    <t>代理机构</t>
  </si>
  <si>
    <t>码值：CreditStructure</t>
  </si>
  <si>
    <t>CreditStructure</t>
  </si>
  <si>
    <t>码值：GroupType</t>
  </si>
  <si>
    <t>GroupType</t>
  </si>
  <si>
    <t>集团客户分类</t>
  </si>
  <si>
    <t>单一客户</t>
  </si>
  <si>
    <t>实体集团</t>
  </si>
  <si>
    <t>虚拟集团</t>
  </si>
  <si>
    <t>码值：GuaranteeType</t>
  </si>
  <si>
    <t>GuaranteeType</t>
  </si>
  <si>
    <t>保证方式</t>
  </si>
  <si>
    <t>工程承包保函</t>
  </si>
  <si>
    <t>质量保函</t>
  </si>
  <si>
    <t>工程维修保函</t>
  </si>
  <si>
    <t>码值：LostReason</t>
  </si>
  <si>
    <t>LostReason</t>
  </si>
  <si>
    <t>贷款损失原因</t>
  </si>
  <si>
    <t>借款人和担保人经依法宣告破产，进行清偿后，未能还清的贷款</t>
  </si>
  <si>
    <t>借款人死亡，或者依照《中华人民共和国民法通则》的规定，宣告失踪或宣告死亡，以其财产或遗产清偿后，未能还清的贷款</t>
  </si>
  <si>
    <t>借款人遭受重大自然灾害或意外事故，损失巨大且不能获得保险补偿，确实无力偿还的部分或全部贷款，或者以保险赔偿清偿后，未能还清的贷款</t>
  </si>
  <si>
    <t>经国务院专案批准核销的逾期贷款</t>
  </si>
  <si>
    <t>借款人被依法撤销、关闭、解散，并终止法人资格，经确认无法还清的贷款</t>
  </si>
  <si>
    <t>借款人虽未依法终止法人资格，但生产经营活动已经停止，且借款人已名存实亡，复工无望，经确认无法还清的贷款</t>
  </si>
  <si>
    <t>生产单位的经营活动虽未停止，但产品毫无市场，企业资不抵债，亏损严重并濒临倒闭，且政府不予救助，经确认无法还清的贷款</t>
  </si>
  <si>
    <t>码值：CaseStatus</t>
  </si>
  <si>
    <t>CaseStatus</t>
  </si>
  <si>
    <t>当前诉讼进程</t>
  </si>
  <si>
    <t>支付令</t>
  </si>
  <si>
    <t>诉前保全</t>
  </si>
  <si>
    <t>诉讼保全</t>
  </si>
  <si>
    <t>立案</t>
  </si>
  <si>
    <t>公证</t>
  </si>
  <si>
    <t>068</t>
  </si>
  <si>
    <t>仲裁</t>
  </si>
  <si>
    <t>破产</t>
  </si>
  <si>
    <t>码值：SendType</t>
  </si>
  <si>
    <t>SendType</t>
  </si>
  <si>
    <t>发送方式</t>
  </si>
  <si>
    <t>信开</t>
  </si>
  <si>
    <t>电开(行内)</t>
  </si>
  <si>
    <t>电开(行外)</t>
  </si>
  <si>
    <t>码值：OutterEvalMethod</t>
  </si>
  <si>
    <t>OutterEvalMethod</t>
  </si>
  <si>
    <t>外部评估方法</t>
  </si>
  <si>
    <t>码值：ClDrawnApplyFinaMain</t>
  </si>
  <si>
    <t>ClDrawnApplyFinaMain</t>
  </si>
  <si>
    <t>同业额度提用申请主树图</t>
  </si>
  <si>
    <t>码值：AppraisalAgencyView</t>
  </si>
  <si>
    <t>AppraisalAgencyView</t>
  </si>
  <si>
    <t>评估机构详情左侧视图</t>
  </si>
  <si>
    <t>专家信息</t>
  </si>
  <si>
    <t>评价信息</t>
  </si>
  <si>
    <t>合作协议信息</t>
  </si>
  <si>
    <t>大事信息</t>
  </si>
  <si>
    <t>文档资料信息</t>
  </si>
  <si>
    <t>码值：ObtainmentType</t>
  </si>
  <si>
    <t>ObtainmentType</t>
  </si>
  <si>
    <t>码值：CreditTempletType</t>
  </si>
  <si>
    <t>CreditTempletType</t>
  </si>
  <si>
    <t>信用等级评估模型</t>
  </si>
  <si>
    <t>综合类企业信用等级评估表</t>
  </si>
  <si>
    <t>001</t>
  </si>
  <si>
    <t>轻工业企业信用等级评估表</t>
  </si>
  <si>
    <t>002</t>
  </si>
  <si>
    <t>重工业企业信用等级评估表</t>
  </si>
  <si>
    <t>003</t>
  </si>
  <si>
    <t>商业企业信用等级评估表</t>
  </si>
  <si>
    <t>004</t>
  </si>
  <si>
    <t>房产企业信用等级评估表</t>
  </si>
  <si>
    <t>施工企业信用等级评估表</t>
  </si>
  <si>
    <t>006</t>
  </si>
  <si>
    <t>交通运输企业信用等级评估表</t>
  </si>
  <si>
    <t>007</t>
  </si>
  <si>
    <t>宾馆服务企业信用等级评估表</t>
  </si>
  <si>
    <t>008</t>
  </si>
  <si>
    <t>投资管理企业信用等级评估表</t>
  </si>
  <si>
    <t>009</t>
  </si>
  <si>
    <t>城建开发与地产企业信用等级评估表</t>
  </si>
  <si>
    <t>企业化管理的事业单位信用等级评估表</t>
  </si>
  <si>
    <t>中小企业信用评分标准（生产类）</t>
  </si>
  <si>
    <t>中小企业信用评分标准（流通类）</t>
  </si>
  <si>
    <t>中小企业信用评分标准（综合类）</t>
  </si>
  <si>
    <t>NJ001</t>
  </si>
  <si>
    <t>房地产企业信用等级评估模型表(南京)</t>
  </si>
  <si>
    <t>NJ002</t>
  </si>
  <si>
    <t>事业单位信用等级评估表(南京)</t>
  </si>
  <si>
    <t>NJ003</t>
  </si>
  <si>
    <t>政府融资平台信用等级评估表（南京）</t>
  </si>
  <si>
    <t>NJ004</t>
  </si>
  <si>
    <t>制造业信用等级评估模型表(南京)</t>
  </si>
  <si>
    <t>NJ005</t>
  </si>
  <si>
    <t>项目融资平台信用等级评估表（南京）</t>
  </si>
  <si>
    <t>NJ006</t>
  </si>
  <si>
    <t>批发零售业信用等级评估模型表(南京)</t>
  </si>
  <si>
    <t>NJ007</t>
  </si>
  <si>
    <t>其他公司信用等级评估模型表(南京)</t>
  </si>
  <si>
    <t>NJ008</t>
  </si>
  <si>
    <t>新建企业信用等级评估模型表(南京)</t>
  </si>
  <si>
    <t>码值：AlertSignal</t>
  </si>
  <si>
    <t>AlertSignal</t>
  </si>
  <si>
    <t>预警信号风险提示</t>
  </si>
  <si>
    <t>AL</t>
  </si>
  <si>
    <t>警示信息</t>
  </si>
  <si>
    <t>AL1010</t>
  </si>
  <si>
    <t>企业负责人失踪或无法联系。</t>
  </si>
  <si>
    <t>AL1020</t>
  </si>
  <si>
    <t>客户不愿意提供与信用审核有关的文件。</t>
  </si>
  <si>
    <t>AL1030</t>
  </si>
  <si>
    <t>在没有正当理由的情况下撤回或延迟提供与财务、业务、税收或抵押担保有关的信息或要求提供的其他文件。</t>
  </si>
  <si>
    <t>AL1040</t>
  </si>
  <si>
    <t>资产或抵押品高估。</t>
  </si>
  <si>
    <t>AL1050</t>
  </si>
  <si>
    <t>客户不愿意提供过去的所得税纳税单。</t>
  </si>
  <si>
    <t>AL1060</t>
  </si>
  <si>
    <t>客户的竞争者、供货商或其他客户对授信客户产生负面评价。</t>
  </si>
  <si>
    <t>AL1070</t>
  </si>
  <si>
    <t>改变主要授信银行，向许多银行借款或不断在这些银行中间借新还旧。</t>
  </si>
  <si>
    <t>AL1080</t>
  </si>
  <si>
    <t>客户频繁更换会计人员或主要管理人员。</t>
  </si>
  <si>
    <t>AL1090</t>
  </si>
  <si>
    <t>企业涉及重大法律诉讼、仲裁或重大经济纠纷，可能危及贷款安全。</t>
  </si>
  <si>
    <t>AL1100</t>
  </si>
  <si>
    <t>有破产经历。</t>
  </si>
  <si>
    <t>AL1110</t>
  </si>
  <si>
    <t>有些债务未在资产负债表上反映或列示。</t>
  </si>
  <si>
    <t>AL1120</t>
  </si>
  <si>
    <t>客户内部或客户的审计机构使用的会计政策不够审慎。</t>
  </si>
  <si>
    <t>AL2010</t>
  </si>
  <si>
    <t>客户在银行的头寸不断减少。</t>
  </si>
  <si>
    <t>AL2020</t>
  </si>
  <si>
    <t>对授信的长期占用。</t>
  </si>
  <si>
    <t>AL2030</t>
  </si>
  <si>
    <t>缺乏财务计划，如总是突然向银行提出借款需求。</t>
  </si>
  <si>
    <t>AL2040</t>
  </si>
  <si>
    <t>短期授信和长期授信错配。</t>
  </si>
  <si>
    <t>AL2050</t>
  </si>
  <si>
    <t>在银行存款变化出现异常。</t>
  </si>
  <si>
    <t>AL2060</t>
  </si>
  <si>
    <t>经常接到供货商查询核实头寸情况的电话。</t>
  </si>
  <si>
    <t>AL2070</t>
  </si>
  <si>
    <t>突然出现大额资金向新交易商转移。</t>
  </si>
  <si>
    <t>AL2080</t>
  </si>
  <si>
    <t>对授信的需求增长异常。</t>
  </si>
  <si>
    <t>AL3010</t>
  </si>
  <si>
    <t>管理层行为异常。</t>
  </si>
  <si>
    <t>AL3020</t>
  </si>
  <si>
    <t>财务计划和报告质量下降。</t>
  </si>
  <si>
    <t>AL3030</t>
  </si>
  <si>
    <t>业务战略频繁变化。</t>
  </si>
  <si>
    <t>AL3040</t>
  </si>
  <si>
    <t>对竞争变化或其他外部条件变化缺少对策。</t>
  </si>
  <si>
    <t>AL3050</t>
  </si>
  <si>
    <t>核心盈利业务削弱和偏离。</t>
  </si>
  <si>
    <t>AL3060</t>
  </si>
  <si>
    <t>管理层主要成员家庭出现问题。</t>
  </si>
  <si>
    <t>AL3070</t>
  </si>
  <si>
    <t>与以往合作的伙伴不再进行合作。</t>
  </si>
  <si>
    <t>AL3080</t>
  </si>
  <si>
    <t>不遵守授信的承诺。</t>
  </si>
  <si>
    <t>AL3090</t>
  </si>
  <si>
    <t>管理层能力不足或构成缺乏代表性。</t>
  </si>
  <si>
    <t>AL3100</t>
  </si>
  <si>
    <t>缺乏技术工人或有劳资争议。</t>
  </si>
  <si>
    <t>AL4010</t>
  </si>
  <si>
    <t>库存水平的异常变化。</t>
  </si>
  <si>
    <t>AL4020</t>
  </si>
  <si>
    <t>工厂维护或设备管理落后。</t>
  </si>
  <si>
    <t>AL4030</t>
  </si>
  <si>
    <t>核心业务发生变动。</t>
  </si>
  <si>
    <t>AL4040</t>
  </si>
  <si>
    <t>缺乏操作控制、程序、质量控制等。</t>
  </si>
  <si>
    <t>AL4050</t>
  </si>
  <si>
    <t>主要产品线上的供货商或客户流失。</t>
  </si>
  <si>
    <t>AL5010</t>
  </si>
  <si>
    <t>付息或还本拖延，不断申请延期支付或申请实施新的授信或不断透支。</t>
  </si>
  <si>
    <t>AL5020</t>
  </si>
  <si>
    <t>申请实施授信支付其他银行的债务，不交割抵押品，授信抵押品情况恶化。</t>
  </si>
  <si>
    <t>AL5030</t>
  </si>
  <si>
    <t>违反合同规定。</t>
  </si>
  <si>
    <t>AL5040</t>
  </si>
  <si>
    <t>支票收益人要求核实客户支票账户的余额。</t>
  </si>
  <si>
    <t>AL5050</t>
  </si>
  <si>
    <t>定期存款账户余额减少。</t>
  </si>
  <si>
    <t>AL5060</t>
  </si>
  <si>
    <t>授信需求增加，短期债务超常增加。</t>
  </si>
  <si>
    <t>AL5070</t>
  </si>
  <si>
    <t>客户自身的配套资金不到位或不充足。</t>
  </si>
  <si>
    <t>AL5080</t>
  </si>
  <si>
    <t>杠杆率过高，经常用短期债务支付长期债务。</t>
  </si>
  <si>
    <t>AL5090</t>
  </si>
  <si>
    <t>现金流不足以支付利息。</t>
  </si>
  <si>
    <t>AL5100</t>
  </si>
  <si>
    <t>其他银行提高对同一客户的利率。</t>
  </si>
  <si>
    <t>AL5110</t>
  </si>
  <si>
    <t>客户申请无抵押授信产品或申请特殊还款方式。</t>
  </si>
  <si>
    <t>AL5120</t>
  </si>
  <si>
    <t>交易和文件过于复杂。</t>
  </si>
  <si>
    <t>AL5130</t>
  </si>
  <si>
    <t>银行无法控制抵押品和质押权。</t>
  </si>
  <si>
    <t>AL6010</t>
  </si>
  <si>
    <t>业务领域收缩。</t>
  </si>
  <si>
    <t>AL6020</t>
  </si>
  <si>
    <t>无核心业务并过分追求多样化。</t>
  </si>
  <si>
    <t>AL6030</t>
  </si>
  <si>
    <t>业务增长过快。</t>
  </si>
  <si>
    <t>AL6040</t>
  </si>
  <si>
    <t>市场份额下降。</t>
  </si>
  <si>
    <t>AL7010</t>
  </si>
  <si>
    <t>成本和费用失控。</t>
  </si>
  <si>
    <t>AL7020</t>
  </si>
  <si>
    <t>客户现金流出现问题。</t>
  </si>
  <si>
    <t>AL7030</t>
  </si>
  <si>
    <t>客户产品或服务的市场需求下降。</t>
  </si>
  <si>
    <t>AL7040</t>
  </si>
  <si>
    <t>还款记录不正常。</t>
  </si>
  <si>
    <t>AL7050</t>
  </si>
  <si>
    <t>欺诈，如在对方付款后故意不提供相应的产品或服务。</t>
  </si>
  <si>
    <t>AL7060</t>
  </si>
  <si>
    <t>弄虚作假(如伪造或涂改各种批准文件或相关业务凭证)。</t>
  </si>
  <si>
    <t>AL7070</t>
  </si>
  <si>
    <t>对传统财务分析的某些趋势，例如市场份额的快速下降未作解释。</t>
  </si>
  <si>
    <t>AL7080</t>
  </si>
  <si>
    <t>客户战略、业务或环境的重大变动。</t>
  </si>
  <si>
    <t>AL7090</t>
  </si>
  <si>
    <t>某些欺诈信号，如无法证明财务记录的合法性。</t>
  </si>
  <si>
    <t>AL7100</t>
  </si>
  <si>
    <t>财务报表披露延迟。</t>
  </si>
  <si>
    <t>AL7110</t>
  </si>
  <si>
    <t>未按合同还款。</t>
  </si>
  <si>
    <t>AL7120</t>
  </si>
  <si>
    <t>未作客户破产的应急预案。</t>
  </si>
  <si>
    <t>AL7130</t>
  </si>
  <si>
    <t>对于信息的反应迟缓。</t>
  </si>
  <si>
    <t>AL7140</t>
  </si>
  <si>
    <t>公司大规模裁员或大批人员离职，引起社会关注。</t>
  </si>
  <si>
    <t>AL7150</t>
  </si>
  <si>
    <t>公司组织形式发生重大变化，包括资产委托经营、承包、兼并、被收购、公司分立、股份制改造、资产重组等重大改制。</t>
  </si>
  <si>
    <t>AL7160</t>
  </si>
  <si>
    <t>企业经营策略、经营计划发生了重大调整，致使公司原有的经营模式(如收入来源、主营业务)发生重大变化。</t>
  </si>
  <si>
    <t>AL7170</t>
  </si>
  <si>
    <t>企业被吊销(或停止使用)贷款证、专营权、主导产品生产许可证等，或未参加工商年检或被有关职能部门查处。</t>
  </si>
  <si>
    <t>AL7180</t>
  </si>
  <si>
    <t>对银行的态度有所转变，如出现不与银行积极合作的态度、在我行业务结算骤降等。</t>
  </si>
  <si>
    <t>AL7190</t>
  </si>
  <si>
    <t>借款人向其他银行的信贷申请被拒绝；其他金融机构，特别是曾提供较大额度授信、历史较长的商业银行突然非正常退出。</t>
  </si>
  <si>
    <t>AL7200</t>
  </si>
  <si>
    <t>外部机构下调了借款人的信用评级。</t>
  </si>
  <si>
    <t>AL7210</t>
  </si>
  <si>
    <t>建设项目的进展与计划出现较大的不利偏差。</t>
  </si>
  <si>
    <t>AL7220</t>
  </si>
  <si>
    <t>对外提供新的大额担保或大量资产被抵押，接近或超过自身的承受能力。</t>
  </si>
  <si>
    <t>AL7230</t>
  </si>
  <si>
    <t>主要客户丢失，产品线、代理经营权、特许经营权、供应商的丧失；产品严重积压，企业发生重大质量、生产事故，企业处于停产、半停产。</t>
  </si>
  <si>
    <t>AL7240</t>
  </si>
  <si>
    <t>股票被ST或被证券管理机构发布不利的预警信息。</t>
  </si>
  <si>
    <t>AL7250</t>
  </si>
  <si>
    <t>企业出售、变卖主要的生产、经营性固定资产。</t>
  </si>
  <si>
    <t>AL7260</t>
  </si>
  <si>
    <t>借款人借款大量增加，与其业务规模不成比例。</t>
  </si>
  <si>
    <t>AL7270</t>
  </si>
  <si>
    <t>借款人的主要股东、关联企业或母子公司等发生了重大的不利变化。</t>
  </si>
  <si>
    <t>AL7280</t>
  </si>
  <si>
    <t>不按贷款合同规定的贷款用途使用贷款，逃避我行监督，将贷款用于风险较大的项目，或用于不正当的用途，使得还款来源无法落实。</t>
  </si>
  <si>
    <t>AL7290</t>
  </si>
  <si>
    <t>发现我行开出的银行承兑汇票/信用证/保函无真实的贸易基础，或客户以贸易未完成等理由拒绝履行付款责任。</t>
  </si>
  <si>
    <t>AL7300</t>
  </si>
  <si>
    <t>人行信贷咨询系统中出现一逾两呆或五级分类次级(含)以下情况，经查属实。</t>
  </si>
  <si>
    <t>AL7310</t>
  </si>
  <si>
    <t>企业被人民银行或其他金融机构宣布为信誉不良用户。</t>
  </si>
  <si>
    <t>码值：MandateRiskClassify</t>
  </si>
  <si>
    <t>MandateRiskClassify</t>
  </si>
  <si>
    <t>委托贷款风险类型</t>
  </si>
  <si>
    <t>A类委托-被委托人不承担风险</t>
  </si>
  <si>
    <t>B类委托-被委托人承担风险</t>
  </si>
  <si>
    <t>C类委托-双方共同承担风险</t>
  </si>
  <si>
    <t>码值：ProfitModel</t>
  </si>
  <si>
    <t>ProfitModel</t>
  </si>
  <si>
    <t>工业房产盈利模式</t>
  </si>
  <si>
    <t>出售</t>
  </si>
  <si>
    <t>混合</t>
  </si>
  <si>
    <t>码值：EdocApproveMain</t>
  </si>
  <si>
    <t>EdocApproveMain</t>
  </si>
  <si>
    <t>电子合同审批主树图</t>
  </si>
  <si>
    <t>码值：NoPassDeal</t>
  </si>
  <si>
    <t>NoPassDeal</t>
  </si>
  <si>
    <t>未通过的处理方法</t>
  </si>
  <si>
    <t>停止</t>
  </si>
  <si>
    <t>禁止办理</t>
  </si>
  <si>
    <t>码值：EdocApplyMain</t>
  </si>
  <si>
    <t>EdocApplyMain</t>
  </si>
  <si>
    <t>电子合同模板申请主树图</t>
  </si>
  <si>
    <t>码值：行业经历</t>
  </si>
  <si>
    <t>行业经历</t>
  </si>
  <si>
    <t>码值：AlarmModelType</t>
  </si>
  <si>
    <t>AlarmModelType</t>
  </si>
  <si>
    <t>预警模型类型</t>
  </si>
  <si>
    <t>码值：ManagementControl</t>
  </si>
  <si>
    <t>ManagementControl</t>
  </si>
  <si>
    <t>政府对年度经营和资本预算进行审查和批准；贷款需政府批准或限制；政府有能力在现有的法律/监管体制下，通过重大政策操纵，例如强制合并或改变大学的总体目标范围（但不包括直接财务贡献），对大学的财务状况采取突然的正面影响</t>
  </si>
  <si>
    <t>码值：BillForm</t>
  </si>
  <si>
    <t>BillForm</t>
  </si>
  <si>
    <t>票据形式</t>
  </si>
  <si>
    <t>码值：VouchType</t>
  </si>
  <si>
    <t>VouchType</t>
  </si>
  <si>
    <t>码值：ChangeRule</t>
  </si>
  <si>
    <t>ChangeRule</t>
  </si>
  <si>
    <t>产品政策变更规则</t>
  </si>
  <si>
    <t>一刀切</t>
  </si>
  <si>
    <t>分水岭</t>
  </si>
  <si>
    <t>码值：星级标准</t>
  </si>
  <si>
    <t>星级标准</t>
  </si>
  <si>
    <t>五星级</t>
  </si>
  <si>
    <t>四星级</t>
  </si>
  <si>
    <t>码值：ApproveType</t>
  </si>
  <si>
    <t>ApproveType</t>
  </si>
  <si>
    <t>审批类型</t>
  </si>
  <si>
    <t>AgencyAccessApprove</t>
  </si>
  <si>
    <t>资格认定审批</t>
  </si>
  <si>
    <t>AgencyEvaluateApprove</t>
  </si>
  <si>
    <t>日常管理审批</t>
  </si>
  <si>
    <t>ApproveApprovalApply</t>
  </si>
  <si>
    <t>最终审批意见复核</t>
  </si>
  <si>
    <t>ApproveClDrawnApply</t>
  </si>
  <si>
    <t>额度提用申请审查复核</t>
  </si>
  <si>
    <t>ApproveCreditApply</t>
  </si>
  <si>
    <t>授信业务审查审批</t>
  </si>
  <si>
    <t>ApprovePaymentApply</t>
  </si>
  <si>
    <t>支付业务审查审批</t>
  </si>
  <si>
    <t>ApprovePutOutApply</t>
  </si>
  <si>
    <t>放贷申请审查复核</t>
  </si>
  <si>
    <t>ApprovePutoutApply</t>
  </si>
  <si>
    <t>ApproveSMEConApply</t>
  </si>
  <si>
    <t>中小企业资格认定审查审批</t>
  </si>
  <si>
    <t>ApproveType编号</t>
  </si>
  <si>
    <t>ApproveType名称</t>
  </si>
  <si>
    <t>BookInContractApprove</t>
  </si>
  <si>
    <t>批复合同登记审批</t>
  </si>
  <si>
    <t>BookInContractUnderApprove</t>
  </si>
  <si>
    <t>额度项下合同登记审批</t>
  </si>
  <si>
    <t>CapitalPurposeCheckApprove</t>
  </si>
  <si>
    <t>大中业务检查审批</t>
  </si>
  <si>
    <t>CapitalPurposeIndCheckApprove</t>
  </si>
  <si>
    <t>个人业务检查审批</t>
  </si>
  <si>
    <t>CapitalPurposeMinCheckApprove</t>
  </si>
  <si>
    <t>小微业务检查审批</t>
  </si>
  <si>
    <t>ClassifyAdjustApprove</t>
  </si>
  <si>
    <t>风险调整审批</t>
  </si>
  <si>
    <t>ClassifyApprove</t>
  </si>
  <si>
    <t>五级分类审批</t>
  </si>
  <si>
    <t>ClrEnterApprove</t>
  </si>
  <si>
    <t>押品录入审批</t>
  </si>
  <si>
    <t>ClrSimpleEvaluateAppr</t>
  </si>
  <si>
    <t>押品评估审批</t>
  </si>
  <si>
    <t>CreditApplyBatchClApprove</t>
  </si>
  <si>
    <t>批量授信申请审批</t>
  </si>
  <si>
    <t>CreditApplyBatchFinanceClApprove</t>
  </si>
  <si>
    <t>同业客户批量授信审批</t>
  </si>
  <si>
    <t>CreditApplyBatchUnderClApprove</t>
  </si>
  <si>
    <t>批量项下授信申请审批</t>
  </si>
  <si>
    <t>CreditApplyEntApprove</t>
  </si>
  <si>
    <t>单笔授信审批</t>
  </si>
  <si>
    <t>CreditApplyFinanceClApprove</t>
  </si>
  <si>
    <t>同业客户单一授信审批</t>
  </si>
  <si>
    <t>CreditApplyGroupClApprove</t>
  </si>
  <si>
    <t>集团授信审批</t>
  </si>
  <si>
    <t>CreditApplyLimitIndApprove</t>
  </si>
  <si>
    <t>个人授信额度审批</t>
  </si>
  <si>
    <t>CreditApplySingleA</t>
  </si>
  <si>
    <t>CreditApplySingleApprove</t>
  </si>
  <si>
    <t>单一客户授信审批</t>
  </si>
  <si>
    <t>CreditApplySingleIndApprove</t>
  </si>
  <si>
    <t>个人客户单笔授信审批</t>
  </si>
  <si>
    <t>CreditApplySingleUnderApprove</t>
  </si>
  <si>
    <t>大中额度项下授信审批</t>
  </si>
  <si>
    <t>CreditApproveBatchClApprove</t>
  </si>
  <si>
    <t>批量授信批复审批</t>
  </si>
  <si>
    <t>CreditApproveBatchUnderClApprove</t>
  </si>
  <si>
    <t>批量项下授信批复审批</t>
  </si>
  <si>
    <t>公司单笔授信批复审批</t>
  </si>
  <si>
    <t>CreditApproveFinaBatch</t>
  </si>
  <si>
    <t>同业客户批量批复授信审批</t>
  </si>
  <si>
    <t>CreditApproveFinance</t>
  </si>
  <si>
    <t>同业客户单一批复授信审批</t>
  </si>
  <si>
    <t>集团授信批复审批</t>
  </si>
  <si>
    <t>公司单一授信批复审批</t>
  </si>
  <si>
    <t>公司额度项下批复审批</t>
  </si>
  <si>
    <t>CreditApproveTaskLimitInd</t>
  </si>
  <si>
    <t>个人授信额度批复审批</t>
  </si>
  <si>
    <t>CreditApproveTaskLimitUnderInd</t>
  </si>
  <si>
    <t>个人额度项下授信批复审批</t>
  </si>
  <si>
    <t>CreditApproveTaskSingleInd</t>
  </si>
  <si>
    <t>个人客户单笔授信批复审批</t>
  </si>
  <si>
    <t>CreditCogApprove</t>
  </si>
  <si>
    <t>信用等级认定审批</t>
  </si>
  <si>
    <t>CreditFlow_barApprove</t>
  </si>
  <si>
    <t>CreditLimitUnderIndApprove</t>
  </si>
  <si>
    <t>个人额度项下授信审批</t>
  </si>
  <si>
    <t>小微单笔授信批复审批</t>
  </si>
  <si>
    <t>小微单一授信批复审批</t>
  </si>
  <si>
    <t>小微单一授信项下业务批复审批</t>
  </si>
  <si>
    <t>CreditSingleFlowAp</t>
  </si>
  <si>
    <t>CreditSingleIndUnd</t>
  </si>
  <si>
    <t>CreditSingleUnderF</t>
  </si>
  <si>
    <t>CreditTestFlowAppr</t>
  </si>
  <si>
    <t>EdocApprove</t>
  </si>
  <si>
    <t>ElectricContractM2</t>
  </si>
  <si>
    <t>电子合同模板审批</t>
  </si>
  <si>
    <t>EntBackTransApprove</t>
  </si>
  <si>
    <t>反冲交易复核</t>
  </si>
  <si>
    <t>EntIrregularCheckApprove</t>
  </si>
  <si>
    <t>单一公司贷后不定期检查审批</t>
  </si>
  <si>
    <t>EntLoanApprove</t>
  </si>
  <si>
    <t>贷款交易复核</t>
  </si>
  <si>
    <t>EntLoanChangeApprove</t>
  </si>
  <si>
    <t>贷后变更复核</t>
  </si>
  <si>
    <t>EntOffLoanTransApprove</t>
  </si>
  <si>
    <t>表外交易复核</t>
  </si>
  <si>
    <t>EntRegularCheckApprove</t>
  </si>
  <si>
    <t>单一公司贷后定期检查审批</t>
  </si>
  <si>
    <t>FinanceBackTransApprove</t>
  </si>
  <si>
    <t>FinanceLoanApprove</t>
  </si>
  <si>
    <t>FinanceLoanChangeApprove</t>
  </si>
  <si>
    <t>FinanceOffLoanTransApprove</t>
  </si>
  <si>
    <t>FlowDemoApprove</t>
  </si>
  <si>
    <t>流程示例审批</t>
  </si>
  <si>
    <t>GroupIrregularCheckApprove</t>
  </si>
  <si>
    <t>集团公司贷后不定期检查审批</t>
  </si>
  <si>
    <t>GroupRegularCheckApprove</t>
  </si>
  <si>
    <t>集团公司贷后定期检查审批</t>
  </si>
  <si>
    <t>GuarantorRegularCheckApprove</t>
  </si>
  <si>
    <t>IndBackTransApprove</t>
  </si>
  <si>
    <t>IndIrregularCheckApprove</t>
  </si>
  <si>
    <t>个人客户不定期贷后检查审批</t>
  </si>
  <si>
    <t>IndLoanApprove</t>
  </si>
  <si>
    <t>IndLoanChangeApprove</t>
  </si>
  <si>
    <t>IndOffLoanTransApprove</t>
  </si>
  <si>
    <t>IndRegularCheckApprove</t>
  </si>
  <si>
    <t>个人客户定期贷后检查审批</t>
  </si>
  <si>
    <t>InvoiceDrawApprove</t>
  </si>
  <si>
    <t>开票复核</t>
  </si>
  <si>
    <t>InvoiceReceiptApprove</t>
  </si>
  <si>
    <t>收票复核</t>
  </si>
  <si>
    <t>LoadGuarantyAppro2</t>
  </si>
  <si>
    <t>押品入库审查审批</t>
  </si>
  <si>
    <t>NewFlowApprove</t>
  </si>
  <si>
    <t>合作方准入审批</t>
  </si>
  <si>
    <t>合作方项目变更审批</t>
  </si>
  <si>
    <t>PartnerProjChangeF</t>
  </si>
  <si>
    <t>合作方项目审批</t>
  </si>
  <si>
    <t>PrdApprove</t>
  </si>
  <si>
    <t>产品配置审批</t>
  </si>
  <si>
    <t>ProjectRegularCheckApprove</t>
  </si>
  <si>
    <t>合作项目检查审批</t>
  </si>
  <si>
    <t>ReserveApprove</t>
  </si>
  <si>
    <t>单项计提减值准备认定审批</t>
  </si>
  <si>
    <t>RightCertInOutApprove</t>
  </si>
  <si>
    <t>权证出入库审批</t>
  </si>
  <si>
    <t>RiskAlarmApprove</t>
  </si>
  <si>
    <t>风险预警分发认定审批</t>
  </si>
  <si>
    <t>RiskClassifyApprove</t>
  </si>
  <si>
    <t>风险分类审批</t>
  </si>
  <si>
    <t>SMApplyLimitApprove</t>
  </si>
  <si>
    <t>小微单一授信审批</t>
  </si>
  <si>
    <t>SMApplySingleApprove</t>
  </si>
  <si>
    <t>小微单笔授信审批</t>
  </si>
  <si>
    <t>SMApplyUnderApprove</t>
  </si>
  <si>
    <t>小微额度项下授信审批</t>
  </si>
  <si>
    <t>SMEBackTransApprove</t>
  </si>
  <si>
    <t>SMEClassifyAdjustApprove</t>
  </si>
  <si>
    <t>SMELoanApprove</t>
  </si>
  <si>
    <t>SMELoanChangeApprove</t>
  </si>
  <si>
    <t>SMEOffLoanTransApprove</t>
  </si>
  <si>
    <t>SimpleForkFlowAppr</t>
  </si>
  <si>
    <t>SimplePoolFlowAppr</t>
  </si>
  <si>
    <t>SpecialCheckApprove</t>
  </si>
  <si>
    <t>专项检查审批</t>
  </si>
  <si>
    <t>TransformApprove</t>
  </si>
  <si>
    <t>担保合同变更认定审批</t>
  </si>
  <si>
    <t>UnLoadGuarantyApp2</t>
  </si>
  <si>
    <t>押品出库审查审批</t>
  </si>
  <si>
    <t>码值：ConcedeBasicFile</t>
  </si>
  <si>
    <t>ConcedeBasicFile</t>
  </si>
  <si>
    <t>让步依据文件</t>
  </si>
  <si>
    <t>法院调解书或裁定书</t>
  </si>
  <si>
    <t>政府协调会议纪要或协调意见</t>
  </si>
  <si>
    <t>码值：SpecialCheckApproveMain</t>
  </si>
  <si>
    <t>SpecialCheckApproveMain</t>
  </si>
  <si>
    <t>专项检查审批审批主树图</t>
  </si>
  <si>
    <t>码值：TermUnit</t>
  </si>
  <si>
    <t>TermUnit</t>
  </si>
  <si>
    <t>天</t>
  </si>
  <si>
    <t>M</t>
  </si>
  <si>
    <t>码值：TransferStatus</t>
  </si>
  <si>
    <t>TransferStatus</t>
  </si>
  <si>
    <t>过户情况</t>
  </si>
  <si>
    <t>已过户</t>
  </si>
  <si>
    <t>可以过户而未过户</t>
  </si>
  <si>
    <t>无法过户</t>
  </si>
  <si>
    <t>码值：ClrGntStatus</t>
  </si>
  <si>
    <t>ClrGntStatus</t>
  </si>
  <si>
    <t>押品准入状态</t>
  </si>
  <si>
    <t>未确立押权</t>
  </si>
  <si>
    <t>已确立押权</t>
  </si>
  <si>
    <t>已注销押权</t>
  </si>
  <si>
    <t>码值：TransformView</t>
  </si>
  <si>
    <t>TransformView</t>
  </si>
  <si>
    <t>担保合同变更管理树图</t>
  </si>
  <si>
    <t>业务信息</t>
  </si>
  <si>
    <t>有效的担保合同</t>
  </si>
  <si>
    <t>拟新增的担保合同</t>
  </si>
  <si>
    <t>拟解除的担保合同</t>
  </si>
  <si>
    <t>码值：WaybillType</t>
  </si>
  <si>
    <t>WaybillType</t>
  </si>
  <si>
    <t>运单种类</t>
  </si>
  <si>
    <t>全套海运提单</t>
  </si>
  <si>
    <t>非全套海运提单</t>
  </si>
  <si>
    <t>空运单</t>
  </si>
  <si>
    <t>陆运单</t>
  </si>
  <si>
    <t>全套连运提单</t>
  </si>
  <si>
    <t>非全套连运提单</t>
  </si>
  <si>
    <t>货物收据或发货证明</t>
  </si>
  <si>
    <t>码值：房地产企业产权制度</t>
  </si>
  <si>
    <t>房地产企业产权制度</t>
  </si>
  <si>
    <t>500强企业在华投资或外方投资额2000万美金以上</t>
  </si>
  <si>
    <t>项目公司</t>
  </si>
  <si>
    <t>码值：BalanceChangeStyle</t>
  </si>
  <si>
    <t>BalanceChangeStyle</t>
  </si>
  <si>
    <t>余额变动类型</t>
  </si>
  <si>
    <t>处置损失</t>
  </si>
  <si>
    <t>码值：EvalModelQuick</t>
  </si>
  <si>
    <t>EvalModelQuick</t>
  </si>
  <si>
    <t>贷后快速评估模板</t>
  </si>
  <si>
    <t>码值：IndProfileView</t>
  </si>
  <si>
    <t>IndProfileView</t>
  </si>
  <si>
    <t>个人客户统一试图</t>
  </si>
  <si>
    <t>客户证件信息</t>
  </si>
  <si>
    <t>客户联系信息</t>
  </si>
  <si>
    <t>客户地址信息</t>
  </si>
  <si>
    <t>个人学历履历</t>
  </si>
  <si>
    <t>客户涉讼信息</t>
  </si>
  <si>
    <t>码值：InvoiceReceiptApplyMain</t>
  </si>
  <si>
    <t>InvoiceReceiptApplyMain</t>
  </si>
  <si>
    <t>收票主树图</t>
  </si>
  <si>
    <t>收票审核</t>
  </si>
  <si>
    <t>码值：StudentFromType</t>
  </si>
  <si>
    <t>StudentFromType</t>
  </si>
  <si>
    <t>助学类型</t>
  </si>
  <si>
    <t>生源地</t>
  </si>
  <si>
    <t>就读地</t>
  </si>
  <si>
    <t>码值：施工设备</t>
  </si>
  <si>
    <t>施工设备</t>
  </si>
  <si>
    <t>非常先进</t>
  </si>
  <si>
    <t>陈旧</t>
  </si>
  <si>
    <t>码值：EntCertType</t>
  </si>
  <si>
    <t>EntCertType</t>
  </si>
  <si>
    <t>企业证件类型</t>
  </si>
  <si>
    <t>码值：XQueryListnew</t>
  </si>
  <si>
    <t>XQueryListnew</t>
  </si>
  <si>
    <t>灵活统计查询</t>
  </si>
  <si>
    <t>客户信息查询</t>
  </si>
  <si>
    <t>企业客户查询</t>
  </si>
  <si>
    <t>个人客户查询</t>
  </si>
  <si>
    <t>业务信息查询</t>
  </si>
  <si>
    <t>昨日数据查询</t>
  </si>
  <si>
    <t>历史数据查询(月报)</t>
  </si>
  <si>
    <t>业务流水信息</t>
  </si>
  <si>
    <t>法律事务查询</t>
  </si>
  <si>
    <t>法律事务基本信息查询</t>
  </si>
  <si>
    <t>法律事务台帐信息查询</t>
  </si>
  <si>
    <t>码值：EntAddressType</t>
  </si>
  <si>
    <t>EntAddressType</t>
  </si>
  <si>
    <t>公司地址类型</t>
  </si>
  <si>
    <t>EntAddress01</t>
  </si>
  <si>
    <t>注册地址</t>
  </si>
  <si>
    <t>EntAddress02</t>
  </si>
  <si>
    <t>经营地址</t>
  </si>
  <si>
    <t>EntAddress03</t>
  </si>
  <si>
    <t>其他地址</t>
  </si>
  <si>
    <t>码值：GroupRegularCheckMain</t>
  </si>
  <si>
    <t>GroupRegularCheckMain</t>
  </si>
  <si>
    <t>集团公司客户贷后检查申请</t>
  </si>
  <si>
    <t>码值：LMApplyLimitMain</t>
  </si>
  <si>
    <t>LMApplyLimitMain</t>
  </si>
  <si>
    <t>码值：ReportScope</t>
  </si>
  <si>
    <t>ReportScope</t>
  </si>
  <si>
    <t>报表口径</t>
  </si>
  <si>
    <t>Consolidated</t>
  </si>
  <si>
    <t>Headquarters</t>
  </si>
  <si>
    <t>本部</t>
  </si>
  <si>
    <t>Uniformed</t>
  </si>
  <si>
    <t>码值：SMECreditLeLevel</t>
  </si>
  <si>
    <t>SMECreditLeLevel</t>
  </si>
  <si>
    <t>码值：CustomerDetail</t>
  </si>
  <si>
    <t>CustomerDetail</t>
  </si>
  <si>
    <t>码值：GroupFlag</t>
  </si>
  <si>
    <t>GroupFlag</t>
  </si>
  <si>
    <t>联保体客户类型</t>
  </si>
  <si>
    <t>码值：IPOAddress</t>
  </si>
  <si>
    <t>IPOAddress</t>
  </si>
  <si>
    <t>码值：Nationality</t>
  </si>
  <si>
    <t>Nationality</t>
  </si>
  <si>
    <t>民族</t>
  </si>
  <si>
    <t>汉</t>
  </si>
  <si>
    <t>其他少数民族</t>
  </si>
  <si>
    <t>码值：AccountReceivableRisk</t>
  </si>
  <si>
    <t>AccountReceivableRisk</t>
  </si>
  <si>
    <t>超过360天的应收账款余额占应收账款比例小于30%</t>
  </si>
  <si>
    <t>超过360天的应收账款余额占应收账款比例小于50%</t>
  </si>
  <si>
    <t>码值：企业持续经营年限</t>
  </si>
  <si>
    <t>企业持续经营年限</t>
  </si>
  <si>
    <t>3-5年(含)</t>
  </si>
  <si>
    <t>1-3年(含)</t>
  </si>
  <si>
    <t>1年（含)以下</t>
  </si>
  <si>
    <t>码值：StructureType</t>
  </si>
  <si>
    <t>StructureType</t>
  </si>
  <si>
    <t>其他建筑形式</t>
  </si>
  <si>
    <t>码值：ClrInfoApplyView</t>
  </si>
  <si>
    <t>ClrInfoApplyView</t>
  </si>
  <si>
    <t>押品申请详情树图</t>
  </si>
  <si>
    <t>码值：CheckTarget</t>
  </si>
  <si>
    <t>CheckTarget</t>
  </si>
  <si>
    <t>检查对象</t>
  </si>
  <si>
    <t>Ent</t>
  </si>
  <si>
    <t>Guarantor</t>
  </si>
  <si>
    <t>Ind</t>
  </si>
  <si>
    <t>Project</t>
  </si>
  <si>
    <t>码值：FlowType</t>
  </si>
  <si>
    <t>FlowType</t>
  </si>
  <si>
    <t>授信管理</t>
  </si>
  <si>
    <t>CreditApplyGroupClFlow</t>
  </si>
  <si>
    <t>集团授信申请流程</t>
  </si>
  <si>
    <t>CreditLimitFlow</t>
  </si>
  <si>
    <t>公司单一授信额度流程</t>
  </si>
  <si>
    <t>CreditSingleFlow</t>
  </si>
  <si>
    <t>公司单笔授信流程</t>
  </si>
  <si>
    <t>CreditSingleUnderFlow</t>
  </si>
  <si>
    <t>公司额度项下授信流程</t>
  </si>
  <si>
    <t>码值：FitmentStatus</t>
  </si>
  <si>
    <t>FitmentStatus</t>
  </si>
  <si>
    <t>装修情况</t>
  </si>
  <si>
    <t>码值：SMECreditSpeed</t>
  </si>
  <si>
    <t>SMECreditSpeed</t>
  </si>
  <si>
    <t>存货周转速度</t>
  </si>
  <si>
    <t>码值：PutOutNotice</t>
  </si>
  <si>
    <t>PutOutNotice</t>
  </si>
  <si>
    <t>出帐通知单类型</t>
  </si>
  <si>
    <t>2201</t>
  </si>
  <si>
    <t>按揭贷款出帐通知单</t>
  </si>
  <si>
    <t>4280</t>
  </si>
  <si>
    <t>贸易融资保函出帐通知单</t>
  </si>
  <si>
    <t>6002</t>
  </si>
  <si>
    <t>一般贷款出帐通知单</t>
  </si>
  <si>
    <t>6003</t>
  </si>
  <si>
    <t>委托贷款出帐通知单</t>
  </si>
  <si>
    <t>6005</t>
  </si>
  <si>
    <t>银团贷款出帐通知单</t>
  </si>
  <si>
    <t>6007</t>
  </si>
  <si>
    <t>押汇贷款出帐通知单</t>
  </si>
  <si>
    <t>6201</t>
  </si>
  <si>
    <t>展期出帐通知单</t>
  </si>
  <si>
    <t>6501</t>
  </si>
  <si>
    <t>票据贴现出帐通知单</t>
  </si>
  <si>
    <t>6801</t>
  </si>
  <si>
    <t>国内信用证出帐通知单</t>
  </si>
  <si>
    <t>8315</t>
  </si>
  <si>
    <t>承兑汇票出帐通知单</t>
  </si>
  <si>
    <t>A001</t>
  </si>
  <si>
    <t>进口信用证出帐通知书</t>
  </si>
  <si>
    <t>A002</t>
  </si>
  <si>
    <t>保函出帐通知书</t>
  </si>
  <si>
    <t>A003</t>
  </si>
  <si>
    <t>担保出帐通知单</t>
  </si>
  <si>
    <t>码值：压力分析</t>
  </si>
  <si>
    <t>压力分析</t>
  </si>
  <si>
    <t>房价下跌15%以上，公司仍能盈亏平衡</t>
  </si>
  <si>
    <t>房价下跌15%内，公司仍能盈亏平衡</t>
  </si>
  <si>
    <t>房价下跌10%内，公司仍能盈亏平衡</t>
  </si>
  <si>
    <t>房价下跌5%内，公司仍能盈亏平衡</t>
  </si>
  <si>
    <t>码值：DebtRepaymentArrangement</t>
  </si>
  <si>
    <t>DebtRepaymentArrangement</t>
  </si>
  <si>
    <t>还贷来源全部列入政府财政预算，政府财政收入充足且信誉良好</t>
  </si>
  <si>
    <t>还贷来源部分列入政府财政预算，信贷资金保障程度较高</t>
  </si>
  <si>
    <t>政府对客户借款出具意向承诺，但未经过法律程序批准</t>
  </si>
  <si>
    <t>政府对客户借款无任何承诺，但不干预客户资金的使用</t>
  </si>
  <si>
    <t>政府对客户借款无任何承诺，且政府对投资人和债权人有较大干预</t>
  </si>
  <si>
    <t>码值：DocRecordType</t>
  </si>
  <si>
    <t>DocRecordType</t>
  </si>
  <si>
    <t>CREATE</t>
  </si>
  <si>
    <t>MODIFY</t>
  </si>
  <si>
    <t>修改</t>
  </si>
  <si>
    <t>码值：项目销售前景</t>
  </si>
  <si>
    <t>项目销售前景</t>
  </si>
  <si>
    <t>码值：CertPossessorType</t>
  </si>
  <si>
    <t>CertPossessorType</t>
  </si>
  <si>
    <t>权证持有者类型</t>
  </si>
  <si>
    <t>银行持有</t>
  </si>
  <si>
    <t>银行指定第三方持有</t>
  </si>
  <si>
    <t>码值：市场定位是否合理</t>
  </si>
  <si>
    <t>市场定位是否合理</t>
  </si>
  <si>
    <t>码值：ScaleAndDebtLevel</t>
  </si>
  <si>
    <t>ScaleAndDebtLevel</t>
  </si>
  <si>
    <t>在业务覆盖范围内没有直接竞争对手</t>
  </si>
  <si>
    <t>在业务覆盖范围内有1~2个直接竞争对手，但该单位现排名第一</t>
  </si>
  <si>
    <t>在业务覆盖范围内有5个以内直接竞争对手，但该单位现排名前三</t>
  </si>
  <si>
    <t>在业务覆盖范围内有5个以上直接竞争对手，且行业排名在前三</t>
  </si>
  <si>
    <t>码值：MainMenu</t>
  </si>
  <si>
    <t>MainMenu</t>
  </si>
  <si>
    <t>主菜单</t>
  </si>
  <si>
    <t>信贷政策管理</t>
  </si>
  <si>
    <t>信贷产品管理</t>
  </si>
  <si>
    <t>100015</t>
  </si>
  <si>
    <t>核心科目管理</t>
  </si>
  <si>
    <t>审批授权管理</t>
  </si>
  <si>
    <t>1000200010</t>
  </si>
  <si>
    <t>授权基础设定</t>
  </si>
  <si>
    <t>1000200020</t>
  </si>
  <si>
    <t>授权表配置</t>
  </si>
  <si>
    <t>100025</t>
  </si>
  <si>
    <t>授权管理</t>
  </si>
  <si>
    <t>100030</t>
  </si>
  <si>
    <t>审批流程管理</t>
  </si>
  <si>
    <t>100040</t>
  </si>
  <si>
    <t>信贷模型管理</t>
  </si>
  <si>
    <t>客户信息管理</t>
  </si>
  <si>
    <t>公司客户管理</t>
  </si>
  <si>
    <t>2000100010</t>
  </si>
  <si>
    <t>大型企业客户管理</t>
  </si>
  <si>
    <t>2000100020</t>
  </si>
  <si>
    <t>中小企业客户管理</t>
  </si>
  <si>
    <t>集团客户管理</t>
  </si>
  <si>
    <t>2000200010</t>
  </si>
  <si>
    <t>一类集团客户管理</t>
  </si>
  <si>
    <t>2000200020</t>
  </si>
  <si>
    <t>二类集团客户管理</t>
  </si>
  <si>
    <t>个人客户管理</t>
  </si>
  <si>
    <t>2000300010</t>
  </si>
  <si>
    <t>2000300020</t>
  </si>
  <si>
    <t>个体经营户管理</t>
  </si>
  <si>
    <t>客户资质评定</t>
  </si>
  <si>
    <t>2000400010</t>
  </si>
  <si>
    <t>2000400020</t>
  </si>
  <si>
    <t>客户权限管理</t>
  </si>
  <si>
    <t>200090</t>
  </si>
  <si>
    <t>授信额度管理</t>
  </si>
  <si>
    <t>230010</t>
  </si>
  <si>
    <t>授信额度调整</t>
  </si>
  <si>
    <t>230030</t>
  </si>
  <si>
    <t>授信额度冻结与解冻</t>
  </si>
  <si>
    <t>230040</t>
  </si>
  <si>
    <t>授信额度终止</t>
  </si>
  <si>
    <t>230050</t>
  </si>
  <si>
    <t>授信额度监控</t>
  </si>
  <si>
    <t>230060</t>
  </si>
  <si>
    <t>授信额度台账总览</t>
  </si>
  <si>
    <t>230070</t>
  </si>
  <si>
    <t>授信额度配置</t>
  </si>
  <si>
    <t>授信方案管理</t>
  </si>
  <si>
    <t>250010</t>
  </si>
  <si>
    <t>250020</t>
  </si>
  <si>
    <t>250030</t>
  </si>
  <si>
    <t>审查审批管理</t>
  </si>
  <si>
    <t>300020</t>
  </si>
  <si>
    <t>300030</t>
  </si>
  <si>
    <t>300040</t>
  </si>
  <si>
    <t>300041</t>
  </si>
  <si>
    <t>信用等级认定</t>
  </si>
  <si>
    <t>300050</t>
  </si>
  <si>
    <t>五级分类审查审批</t>
  </si>
  <si>
    <t>300052</t>
  </si>
  <si>
    <t>中小企业资格认定审查</t>
  </si>
  <si>
    <t>放贷管理</t>
  </si>
  <si>
    <t>400010</t>
  </si>
  <si>
    <t>400020</t>
  </si>
  <si>
    <t>400030</t>
  </si>
  <si>
    <t>500010</t>
  </si>
  <si>
    <t>授信台账</t>
  </si>
  <si>
    <t>500030</t>
  </si>
  <si>
    <t>500035</t>
  </si>
  <si>
    <t>风险预警分发</t>
  </si>
  <si>
    <t>500040</t>
  </si>
  <si>
    <t>风险预警认定</t>
  </si>
  <si>
    <t>500050</t>
  </si>
  <si>
    <t>风险检查</t>
  </si>
  <si>
    <t>500060</t>
  </si>
  <si>
    <t>资产风险分类认定申请</t>
  </si>
  <si>
    <t>500070</t>
  </si>
  <si>
    <t>资产风险分类认定</t>
  </si>
  <si>
    <t>减值准备</t>
  </si>
  <si>
    <t>550010</t>
  </si>
  <si>
    <t>单项计提减值准备数据</t>
  </si>
  <si>
    <t>550014</t>
  </si>
  <si>
    <t>组合计提减值准备数据</t>
  </si>
  <si>
    <t>550015</t>
  </si>
  <si>
    <t>单项计提认定申请</t>
  </si>
  <si>
    <t>550020</t>
  </si>
  <si>
    <t>单项计提认定审查审批</t>
  </si>
  <si>
    <t>550030</t>
  </si>
  <si>
    <t>减值准备基础参数配置</t>
  </si>
  <si>
    <t>担保品管理</t>
  </si>
  <si>
    <t>600010</t>
  </si>
  <si>
    <t>600020</t>
  </si>
  <si>
    <t>抵质押物管理</t>
  </si>
  <si>
    <t>资产保全管理</t>
  </si>
  <si>
    <t>700010</t>
  </si>
  <si>
    <t>保全催收重组管理</t>
  </si>
  <si>
    <t>7000100010</t>
  </si>
  <si>
    <t>保全催收管理</t>
  </si>
  <si>
    <t>7000100020</t>
  </si>
  <si>
    <t>重组方案管理</t>
  </si>
  <si>
    <t>700030</t>
  </si>
  <si>
    <t>不良资产管理</t>
  </si>
  <si>
    <t>7000300010</t>
  </si>
  <si>
    <t>不良资产分发</t>
  </si>
  <si>
    <t>7000300020</t>
  </si>
  <si>
    <t>不良资产日常管理</t>
  </si>
  <si>
    <t>7000300030</t>
  </si>
  <si>
    <t>不良资产管理人变更</t>
  </si>
  <si>
    <t>700040</t>
  </si>
  <si>
    <t>法律事务管理</t>
  </si>
  <si>
    <t>7000400010</t>
  </si>
  <si>
    <t>法律事务日常管理</t>
  </si>
  <si>
    <t>7000400020</t>
  </si>
  <si>
    <t>案件管理人变更</t>
  </si>
  <si>
    <t>7000400030</t>
  </si>
  <si>
    <t>代理机构及代理人管理</t>
  </si>
  <si>
    <t>7000400040</t>
  </si>
  <si>
    <t>受理机关及受理人管理</t>
  </si>
  <si>
    <t>700050</t>
  </si>
  <si>
    <t>抵债资产管理</t>
  </si>
  <si>
    <t>7000500010</t>
  </si>
  <si>
    <t>抵债资产日常管理</t>
  </si>
  <si>
    <t>7000500020</t>
  </si>
  <si>
    <t>抵债资产管理人变更</t>
  </si>
  <si>
    <t>统计查询</t>
  </si>
  <si>
    <t>800010</t>
  </si>
  <si>
    <t>固定报表查询</t>
  </si>
  <si>
    <t>800020</t>
  </si>
  <si>
    <t>快速统计查询</t>
  </si>
  <si>
    <t>800030</t>
  </si>
  <si>
    <t>800040</t>
  </si>
  <si>
    <t>800050</t>
  </si>
  <si>
    <t>信息补登</t>
  </si>
  <si>
    <t>800060</t>
  </si>
  <si>
    <t>还款计算器</t>
  </si>
  <si>
    <t>系统管理</t>
  </si>
  <si>
    <t>900010</t>
  </si>
  <si>
    <t>机构管理</t>
  </si>
  <si>
    <t>900020</t>
  </si>
  <si>
    <t>用户管理</t>
  </si>
  <si>
    <t>900030</t>
  </si>
  <si>
    <t>角色管理</t>
  </si>
  <si>
    <t>900050</t>
  </si>
  <si>
    <t>安全审计查询</t>
  </si>
  <si>
    <t>900060</t>
  </si>
  <si>
    <t>流程查询</t>
  </si>
  <si>
    <t>900100</t>
  </si>
  <si>
    <t>基础配置</t>
  </si>
  <si>
    <t>900120</t>
  </si>
  <si>
    <t>控制台</t>
  </si>
  <si>
    <t>900130</t>
  </si>
  <si>
    <t>示例</t>
  </si>
  <si>
    <t>900140</t>
  </si>
  <si>
    <t>码值：GroupRelation</t>
  </si>
  <si>
    <t>GroupRelation</t>
  </si>
  <si>
    <t>集团成员类型</t>
  </si>
  <si>
    <t>实体集团成员类型</t>
  </si>
  <si>
    <t>母公司</t>
  </si>
  <si>
    <t>子公司</t>
  </si>
  <si>
    <t>虚拟集团成员类型</t>
  </si>
  <si>
    <t>码值：CodeMethod</t>
  </si>
  <si>
    <t>CodeMethod</t>
  </si>
  <si>
    <t>默认格式</t>
  </si>
  <si>
    <t>AUTO</t>
  </si>
  <si>
    <t>自动读取</t>
  </si>
  <si>
    <t>CUSTOM</t>
  </si>
  <si>
    <t>JAVA方法</t>
  </si>
  <si>
    <t>码值：CreditPutoutApplySMEMain</t>
  </si>
  <si>
    <t>CreditPutoutApplySMEMain</t>
  </si>
  <si>
    <t>小微放贷申请主树图</t>
  </si>
  <si>
    <t>码值：EntReadOnlyView</t>
  </si>
  <si>
    <t>EntReadOnlyView</t>
  </si>
  <si>
    <t xml:space="preserve">客户信息视图	</t>
  </si>
  <si>
    <t>码值：CheckResult</t>
  </si>
  <si>
    <t>CheckResult</t>
  </si>
  <si>
    <t>核实结果</t>
  </si>
  <si>
    <t>有误</t>
  </si>
  <si>
    <t>正确</t>
  </si>
  <si>
    <t>未核实</t>
  </si>
  <si>
    <t>码值：RenewInsuranceFlag</t>
  </si>
  <si>
    <t>RenewInsuranceFlag</t>
  </si>
  <si>
    <t>续保标志</t>
  </si>
  <si>
    <t>未续保</t>
  </si>
  <si>
    <t>已续保</t>
  </si>
  <si>
    <t>码值：产品需求稳定性</t>
  </si>
  <si>
    <t>产品需求稳定性</t>
  </si>
  <si>
    <t>产品需求不受产品更新周期影响，同时具有很强的抵御经济周期的能力</t>
  </si>
  <si>
    <t>产品需求受产品更新周期的影响较小，同时具有较强的抵御经济周期的能力</t>
  </si>
  <si>
    <t>产品需求受产品更新周期的影响适中，抵御经济周期的能力一般</t>
  </si>
  <si>
    <t>产品需求受产品更新周期的影响较大，或者随经济周期有较大的波动</t>
  </si>
  <si>
    <t>产品需求受产品更新周期的影响非常大，或者随经济周期有显著的波动</t>
  </si>
  <si>
    <t>码值：AddType</t>
  </si>
  <si>
    <t>AddType</t>
  </si>
  <si>
    <t>地址类型</t>
  </si>
  <si>
    <t>办公地址</t>
  </si>
  <si>
    <t>永久地址</t>
  </si>
  <si>
    <t>经营场所地址</t>
  </si>
  <si>
    <t>码值：CustomerType2</t>
  </si>
  <si>
    <t>CustomerType2</t>
  </si>
  <si>
    <t>码值：房地产企业资质等级</t>
  </si>
  <si>
    <t>房地产企业资质等级</t>
  </si>
  <si>
    <t>暂二级</t>
  </si>
  <si>
    <t>暂三级</t>
  </si>
  <si>
    <t>码值：PaymentStatus</t>
  </si>
  <si>
    <t>PaymentStatus</t>
  </si>
  <si>
    <t>支付状态</t>
  </si>
  <si>
    <t>处理中</t>
  </si>
  <si>
    <t>失败</t>
  </si>
  <si>
    <t>码值：ApprovePutoutMain</t>
  </si>
  <si>
    <t>ApprovePutoutMain</t>
  </si>
  <si>
    <t>码值：品牌</t>
  </si>
  <si>
    <t>品牌</t>
  </si>
  <si>
    <t>老字号或著名品牌</t>
  </si>
  <si>
    <t>码值：ConfiguratorTree</t>
  </si>
  <si>
    <t>ConfiguratorTree</t>
  </si>
  <si>
    <t>在线配置树图</t>
  </si>
  <si>
    <t>控制中心</t>
  </si>
  <si>
    <t>基础设置</t>
  </si>
  <si>
    <t>代码管理</t>
  </si>
  <si>
    <t>101010</t>
  </si>
  <si>
    <t>代码目录</t>
  </si>
  <si>
    <t>101020</t>
  </si>
  <si>
    <t>类及方法</t>
  </si>
  <si>
    <t>102010</t>
  </si>
  <si>
    <t>类</t>
  </si>
  <si>
    <t>102020</t>
  </si>
  <si>
    <t>业务对象管理</t>
  </si>
  <si>
    <t>103010</t>
  </si>
  <si>
    <t>对象类型</t>
  </si>
  <si>
    <t>103020</t>
  </si>
  <si>
    <t>对象类型Tab</t>
  </si>
  <si>
    <t>105010</t>
  </si>
  <si>
    <t>列表选择</t>
  </si>
  <si>
    <t>105020</t>
  </si>
  <si>
    <t>树型选择</t>
  </si>
  <si>
    <t>应用及组件配置</t>
  </si>
  <si>
    <t>2050</t>
  </si>
  <si>
    <t>功能</t>
  </si>
  <si>
    <t>2060</t>
  </si>
  <si>
    <t>数据对象</t>
  </si>
  <si>
    <t>接口配置</t>
  </si>
  <si>
    <t>批量接口</t>
  </si>
  <si>
    <t>401010</t>
  </si>
  <si>
    <t>元数据配置</t>
  </si>
  <si>
    <t>40101010</t>
  </si>
  <si>
    <t>内部标准域配置</t>
  </si>
  <si>
    <t>40101020</t>
  </si>
  <si>
    <t>应用视图模型配置</t>
  </si>
  <si>
    <t>40101030</t>
  </si>
  <si>
    <t>应用视图结构配置</t>
  </si>
  <si>
    <t>40101040</t>
  </si>
  <si>
    <t>应用视图字段配置</t>
  </si>
  <si>
    <t>401020</t>
  </si>
  <si>
    <t>处理流程配置</t>
  </si>
  <si>
    <t>40102010</t>
  </si>
  <si>
    <t>40102020</t>
  </si>
  <si>
    <t>流程子任务配置</t>
  </si>
  <si>
    <t>40102030</t>
  </si>
  <si>
    <t>衍生字段配置</t>
  </si>
  <si>
    <t>401030</t>
  </si>
  <si>
    <t>处理算法配置</t>
  </si>
  <si>
    <t>40103010</t>
  </si>
  <si>
    <t>40103020</t>
  </si>
  <si>
    <t>处理算法内容配置</t>
  </si>
  <si>
    <t>40103030</t>
  </si>
  <si>
    <t>处理算法公式配置</t>
  </si>
  <si>
    <t>401040</t>
  </si>
  <si>
    <t>40104010</t>
  </si>
  <si>
    <t>系统参数表配置</t>
  </si>
  <si>
    <t>40104020</t>
  </si>
  <si>
    <t>系统序号表配置</t>
  </si>
  <si>
    <t>40104030</t>
  </si>
  <si>
    <t>处理机信息配置</t>
  </si>
  <si>
    <t>实时接口</t>
  </si>
  <si>
    <t>402010</t>
  </si>
  <si>
    <t>通讯链接配置</t>
  </si>
  <si>
    <t>402020</t>
  </si>
  <si>
    <t>通讯格式基本信息配置</t>
  </si>
  <si>
    <t>402030</t>
  </si>
  <si>
    <t>交易基本信息配置</t>
  </si>
  <si>
    <t>402040</t>
  </si>
  <si>
    <t>通讯报文的详细域配置</t>
  </si>
  <si>
    <t>码值：OverIntType</t>
  </si>
  <si>
    <t>OverIntType</t>
  </si>
  <si>
    <t>逾期计息方式</t>
  </si>
  <si>
    <t>逾期利率</t>
  </si>
  <si>
    <t>逾期罚息</t>
  </si>
  <si>
    <t>码值：Facticity</t>
  </si>
  <si>
    <t>Facticity</t>
  </si>
  <si>
    <t>押品真实性标志</t>
  </si>
  <si>
    <t>真实</t>
  </si>
  <si>
    <t>不真实</t>
  </si>
  <si>
    <t>码值：FreezeType</t>
  </si>
  <si>
    <t>FreezeType</t>
  </si>
  <si>
    <t>冻结方式</t>
  </si>
  <si>
    <t>只收不付</t>
  </si>
  <si>
    <t>不收不付</t>
  </si>
  <si>
    <t>码值：MaritalStatus</t>
  </si>
  <si>
    <t>MaritalStatus</t>
  </si>
  <si>
    <t>已婚且有子女</t>
  </si>
  <si>
    <t>码值：Payment</t>
  </si>
  <si>
    <t>Payment</t>
  </si>
  <si>
    <t>码值：AuthView</t>
  </si>
  <si>
    <t>AuthView</t>
  </si>
  <si>
    <t>授权管理视图</t>
  </si>
  <si>
    <t>授权方案配置</t>
  </si>
  <si>
    <t>授权参数</t>
  </si>
  <si>
    <t>码值：PayFrequencyUnit</t>
  </si>
  <si>
    <t>PayFrequencyUnit</t>
  </si>
  <si>
    <t>指定周期单位</t>
  </si>
  <si>
    <t>码值：ProjOccurType</t>
  </si>
  <si>
    <t>ProjOccurType</t>
  </si>
  <si>
    <t>合作项目变更审批状态</t>
  </si>
  <si>
    <t>项目新建</t>
  </si>
  <si>
    <t>项目调整</t>
  </si>
  <si>
    <t>项目终止</t>
  </si>
  <si>
    <t>码值：ForestUseType</t>
  </si>
  <si>
    <t>ForestUseType</t>
  </si>
  <si>
    <t>林地资源权属类型</t>
  </si>
  <si>
    <t>用材林</t>
  </si>
  <si>
    <t>经济林</t>
  </si>
  <si>
    <t>薪炭林</t>
  </si>
  <si>
    <t>防护林</t>
  </si>
  <si>
    <t>码值：人力资源</t>
  </si>
  <si>
    <t>人力资源</t>
  </si>
  <si>
    <t>丰富</t>
  </si>
  <si>
    <t>较丰富</t>
  </si>
  <si>
    <t>贫乏</t>
  </si>
  <si>
    <t>码值：DOFilterType</t>
  </si>
  <si>
    <t>DOFilterType</t>
  </si>
  <si>
    <t>数据对象过滤器类型</t>
  </si>
  <si>
    <t>解释</t>
  </si>
  <si>
    <t>BeginsWith</t>
  </si>
  <si>
    <t>以...开始</t>
  </si>
  <si>
    <t>BetweenNumber</t>
  </si>
  <si>
    <t>在...之间</t>
  </si>
  <si>
    <t>BetweenString</t>
  </si>
  <si>
    <t>BiggerThan</t>
  </si>
  <si>
    <t>BiggerThanOrEquals</t>
  </si>
  <si>
    <t>Contains</t>
  </si>
  <si>
    <t>包含</t>
  </si>
  <si>
    <t>EndWith</t>
  </si>
  <si>
    <t>以...结束</t>
  </si>
  <si>
    <t>EqualsNumber</t>
  </si>
  <si>
    <t>EqualsString</t>
  </si>
  <si>
    <t>InString</t>
  </si>
  <si>
    <t>NotEquals</t>
  </si>
  <si>
    <t>SmallerThan</t>
  </si>
  <si>
    <t>SmallerThanOrEquals</t>
  </si>
  <si>
    <t>码值：FinishOrgType</t>
  </si>
  <si>
    <t>FinishOrgType</t>
  </si>
  <si>
    <t>批复机构类型</t>
  </si>
  <si>
    <t>总行</t>
  </si>
  <si>
    <t>分行</t>
  </si>
  <si>
    <t>支行</t>
  </si>
  <si>
    <t>码值：BodyStatus</t>
  </si>
  <si>
    <t>BodyStatus</t>
  </si>
  <si>
    <t>码值：EducationDegree</t>
  </si>
  <si>
    <t>EducationDegree</t>
  </si>
  <si>
    <t>学位</t>
  </si>
  <si>
    <t>名誉博士</t>
  </si>
  <si>
    <t>硕士</t>
  </si>
  <si>
    <t>学士</t>
  </si>
  <si>
    <t>码值：现职业的从业年限</t>
  </si>
  <si>
    <t>现职业的从业年限</t>
  </si>
  <si>
    <t>码值：FinanceApproveView</t>
  </si>
  <si>
    <t>FinanceApproveView</t>
  </si>
  <si>
    <t>同业单一授信批量申请视图</t>
  </si>
  <si>
    <t>码值：FundsAge</t>
  </si>
  <si>
    <t>FundsAge</t>
  </si>
  <si>
    <t>1年以内(含)</t>
  </si>
  <si>
    <t>1～2年(含)</t>
  </si>
  <si>
    <t>2~3年(含)</t>
  </si>
  <si>
    <t>3年以上</t>
  </si>
  <si>
    <t>码值：LegalFlag</t>
  </si>
  <si>
    <t>LegalFlag</t>
  </si>
  <si>
    <t>合格标志</t>
  </si>
  <si>
    <t>有条件合格</t>
  </si>
  <si>
    <t>不合格</t>
  </si>
  <si>
    <t>T</t>
  </si>
  <si>
    <t>合格</t>
  </si>
  <si>
    <t>码值：CLCalMethod</t>
  </si>
  <si>
    <t>CLCalMethod</t>
  </si>
  <si>
    <t>计算方式</t>
  </si>
  <si>
    <t>批准额度</t>
  </si>
  <si>
    <t>担保价值</t>
  </si>
  <si>
    <t>码值：DutyAttribute</t>
  </si>
  <si>
    <t>DutyAttribute</t>
  </si>
  <si>
    <t>责任性质</t>
  </si>
  <si>
    <t>主要责任</t>
  </si>
  <si>
    <t>次要责任</t>
  </si>
  <si>
    <t>码值：TrademarkType</t>
  </si>
  <si>
    <t>TrademarkType</t>
  </si>
  <si>
    <t>商标类型</t>
  </si>
  <si>
    <t>产业商标(制造商标)</t>
  </si>
  <si>
    <t>商业商标(销售商标)</t>
  </si>
  <si>
    <t>服务商标(劳务商标)</t>
  </si>
  <si>
    <t>码值：LoanChangeTransCode</t>
  </si>
  <si>
    <t>LoanChangeTransCode</t>
  </si>
  <si>
    <t>贷后变更</t>
  </si>
  <si>
    <t>ChangeAccount</t>
  </si>
  <si>
    <t>还款账户变更</t>
  </si>
  <si>
    <t>ChangeDueday</t>
  </si>
  <si>
    <t>默认还款日变更</t>
  </si>
  <si>
    <t>ChangeOrg</t>
  </si>
  <si>
    <t>机构调整</t>
  </si>
  <si>
    <t>ChangePaymentType</t>
  </si>
  <si>
    <t>还款方式变更</t>
  </si>
  <si>
    <t>ChangePprate</t>
  </si>
  <si>
    <t>本息调整</t>
  </si>
  <si>
    <t>ChangeRate</t>
  </si>
  <si>
    <t>利率变更</t>
  </si>
  <si>
    <t>ChangeSubject</t>
  </si>
  <si>
    <t>科目调整</t>
  </si>
  <si>
    <t>ChangeSupplement</t>
  </si>
  <si>
    <t>罚复息及扣款标识修改</t>
  </si>
  <si>
    <t>ChangeTerm</t>
  </si>
  <si>
    <t>贷款期限变更</t>
  </si>
  <si>
    <t>码值：SurveyMethod</t>
  </si>
  <si>
    <t>SurveyMethod</t>
  </si>
  <si>
    <t>调查方式</t>
  </si>
  <si>
    <t>现场</t>
  </si>
  <si>
    <t>非现场</t>
  </si>
  <si>
    <t>码值：CapitalPurposeCheckApproveMain</t>
  </si>
  <si>
    <t>CapitalPurposeCheckApproveMain</t>
  </si>
  <si>
    <t>码值：ComponentParameterRightType</t>
  </si>
  <si>
    <t>ComponentParameterRightType</t>
  </si>
  <si>
    <t>业务组件参数控制权限</t>
  </si>
  <si>
    <t>All</t>
  </si>
  <si>
    <t>可写(非必须)</t>
  </si>
  <si>
    <t>Hide</t>
  </si>
  <si>
    <t>不可见</t>
  </si>
  <si>
    <t>None</t>
  </si>
  <si>
    <t>ReadOnly</t>
  </si>
  <si>
    <t>只读</t>
  </si>
  <si>
    <t>Required</t>
  </si>
  <si>
    <t>可写必须</t>
  </si>
  <si>
    <t>码值：WasteLandUsageType</t>
  </si>
  <si>
    <t>WasteLandUsageType</t>
  </si>
  <si>
    <t>荒地用途</t>
  </si>
  <si>
    <t>种植业</t>
  </si>
  <si>
    <t>林业</t>
  </si>
  <si>
    <t>畜牧业</t>
  </si>
  <si>
    <t>渔业生产</t>
  </si>
  <si>
    <t>码值：AssureStyle</t>
  </si>
  <si>
    <t>AssureStyle</t>
  </si>
  <si>
    <t>保证形式</t>
  </si>
  <si>
    <t>码值：BDRateModel</t>
  </si>
  <si>
    <t>BDRateModel</t>
  </si>
  <si>
    <t>借据利率模式</t>
  </si>
  <si>
    <t>CUT01</t>
  </si>
  <si>
    <t>砍头息费率</t>
  </si>
  <si>
    <t>FEE01</t>
  </si>
  <si>
    <t>月度管理费率</t>
  </si>
  <si>
    <t>FIN01</t>
  </si>
  <si>
    <t>贷款罚息浮动利率</t>
  </si>
  <si>
    <t>FIN02</t>
  </si>
  <si>
    <t>贷款罚息固定利率</t>
  </si>
  <si>
    <t>RAT01</t>
  </si>
  <si>
    <t>RAT02</t>
  </si>
  <si>
    <t>RAT03</t>
  </si>
  <si>
    <t>自定义利率</t>
  </si>
  <si>
    <t>码值：FreezeFlag</t>
  </si>
  <si>
    <t>FreezeFlag</t>
  </si>
  <si>
    <t>冻结标志</t>
  </si>
  <si>
    <t>码值：DepreciationType</t>
  </si>
  <si>
    <t>DepreciationType</t>
  </si>
  <si>
    <t>折旧方法</t>
  </si>
  <si>
    <t>年限平均法</t>
  </si>
  <si>
    <t>工作量法</t>
  </si>
  <si>
    <t>双倍余额递减法和年数总和法</t>
  </si>
  <si>
    <t>码值：人财物后勤4个部门</t>
  </si>
  <si>
    <t>人财物后勤4个部门</t>
  </si>
  <si>
    <t>4个部门齐全</t>
  </si>
  <si>
    <t>2个至3个</t>
  </si>
  <si>
    <t>2个以下</t>
  </si>
  <si>
    <t>码值：CountryCode</t>
  </si>
  <si>
    <t>CountryCode</t>
  </si>
  <si>
    <t>国家地区</t>
  </si>
  <si>
    <t>亚洲</t>
  </si>
  <si>
    <t>非洲</t>
  </si>
  <si>
    <t>拉丁美洲</t>
  </si>
  <si>
    <t>北美洲</t>
  </si>
  <si>
    <t>大洋洲</t>
  </si>
  <si>
    <t>其他地区</t>
  </si>
  <si>
    <t>AFG</t>
  </si>
  <si>
    <t>阿富汗</t>
  </si>
  <si>
    <t>AGO</t>
  </si>
  <si>
    <t>安哥拉共和国</t>
  </si>
  <si>
    <t>AIA</t>
  </si>
  <si>
    <t>安圭拉</t>
  </si>
  <si>
    <t>ALB</t>
  </si>
  <si>
    <t>阿尔巴尼亚共和国</t>
  </si>
  <si>
    <t>AND</t>
  </si>
  <si>
    <t>安道尔公国</t>
  </si>
  <si>
    <t>ARE</t>
  </si>
  <si>
    <t>阿拉伯联合酋长国</t>
  </si>
  <si>
    <t>ARG</t>
  </si>
  <si>
    <t>阿根廷</t>
  </si>
  <si>
    <t>ASM</t>
  </si>
  <si>
    <t>美属萨摩亚</t>
  </si>
  <si>
    <t>ATA</t>
  </si>
  <si>
    <t>南极洲</t>
  </si>
  <si>
    <t>ATG</t>
  </si>
  <si>
    <t>安提瓜和巴布达</t>
  </si>
  <si>
    <t>AUS</t>
  </si>
  <si>
    <t>澳大利亚</t>
  </si>
  <si>
    <t>BDI</t>
  </si>
  <si>
    <t>布隆迪共和国</t>
  </si>
  <si>
    <t>BEL</t>
  </si>
  <si>
    <t>比利时</t>
  </si>
  <si>
    <t>BEN</t>
  </si>
  <si>
    <t>贝宁共和国</t>
  </si>
  <si>
    <t>BFA</t>
  </si>
  <si>
    <t>布基纳法索</t>
  </si>
  <si>
    <t>BGD</t>
  </si>
  <si>
    <t>孟加拉人民共和国</t>
  </si>
  <si>
    <t>BGR</t>
  </si>
  <si>
    <t>保加利亚共和国</t>
  </si>
  <si>
    <t>BHR</t>
  </si>
  <si>
    <t>巴林国</t>
  </si>
  <si>
    <t>BHS</t>
  </si>
  <si>
    <t>巴哈马联邦</t>
  </si>
  <si>
    <t>BIH</t>
  </si>
  <si>
    <t>波斯尼亚和黑塞哥维那</t>
  </si>
  <si>
    <t>BLR</t>
  </si>
  <si>
    <t>白俄罗斯共和国</t>
  </si>
  <si>
    <t>BLZ</t>
  </si>
  <si>
    <t>伯利兹</t>
  </si>
  <si>
    <t>BMU</t>
  </si>
  <si>
    <t>百慕大</t>
  </si>
  <si>
    <t>BOL</t>
  </si>
  <si>
    <t>玻利维亚共和国</t>
  </si>
  <si>
    <t>BRA</t>
  </si>
  <si>
    <t>巴西</t>
  </si>
  <si>
    <t>BRB</t>
  </si>
  <si>
    <t>巴巴多斯</t>
  </si>
  <si>
    <t>BRN</t>
  </si>
  <si>
    <t>文莱达鲁萨兰国</t>
  </si>
  <si>
    <t>BTN</t>
  </si>
  <si>
    <t>不丹王国</t>
  </si>
  <si>
    <t>BVT</t>
  </si>
  <si>
    <t>布维岛</t>
  </si>
  <si>
    <t>BWA</t>
  </si>
  <si>
    <t>博茨瓦纳共和国</t>
  </si>
  <si>
    <t>CAN</t>
  </si>
  <si>
    <t>加拿大</t>
  </si>
  <si>
    <t>CHE</t>
  </si>
  <si>
    <t>瑞士</t>
  </si>
  <si>
    <t>CHL</t>
  </si>
  <si>
    <t>智利</t>
  </si>
  <si>
    <t>CHN</t>
  </si>
  <si>
    <t>中华人民共和国</t>
  </si>
  <si>
    <t>CMR</t>
  </si>
  <si>
    <t>喀麦隆共和国</t>
  </si>
  <si>
    <t>COL</t>
  </si>
  <si>
    <t>哥伦比亚</t>
  </si>
  <si>
    <t>CPV</t>
  </si>
  <si>
    <t>佛得角共和国</t>
  </si>
  <si>
    <t>CUB</t>
  </si>
  <si>
    <t>古巴</t>
  </si>
  <si>
    <t>CYM</t>
  </si>
  <si>
    <t>开曼群岛</t>
  </si>
  <si>
    <t>DMA</t>
  </si>
  <si>
    <t>多米尼克国</t>
  </si>
  <si>
    <t>DZA</t>
  </si>
  <si>
    <t>阿尔及利亚民主人民共和国</t>
  </si>
  <si>
    <t>IDN</t>
  </si>
  <si>
    <t>印度尼西亚</t>
  </si>
  <si>
    <t>IND</t>
  </si>
  <si>
    <t>印度</t>
  </si>
  <si>
    <t>IOT</t>
  </si>
  <si>
    <t>英属印度洋领地</t>
  </si>
  <si>
    <t>IRL</t>
  </si>
  <si>
    <t>爱尔兰</t>
  </si>
  <si>
    <t>IRN</t>
  </si>
  <si>
    <t>伊朗</t>
  </si>
  <si>
    <t>IRQ</t>
  </si>
  <si>
    <t>伊拉克</t>
  </si>
  <si>
    <t>ISR</t>
  </si>
  <si>
    <t>以色列</t>
  </si>
  <si>
    <t>ITA</t>
  </si>
  <si>
    <t>意大利</t>
  </si>
  <si>
    <t>JPN</t>
  </si>
  <si>
    <t>KHM</t>
  </si>
  <si>
    <t>柬埔寨王国</t>
  </si>
  <si>
    <t>KOR</t>
  </si>
  <si>
    <t>韩国</t>
  </si>
  <si>
    <t>KWT</t>
  </si>
  <si>
    <t>科威特</t>
  </si>
  <si>
    <t>MAR</t>
  </si>
  <si>
    <t>摩洛哥</t>
  </si>
  <si>
    <t>MEX</t>
  </si>
  <si>
    <t>墨西哥</t>
  </si>
  <si>
    <t>MNG</t>
  </si>
  <si>
    <t>蒙古</t>
  </si>
  <si>
    <t>MUS</t>
  </si>
  <si>
    <t>毛里求斯</t>
  </si>
  <si>
    <t>MYS</t>
  </si>
  <si>
    <t>马来西亚</t>
  </si>
  <si>
    <t>NGA</t>
  </si>
  <si>
    <t>尼日利亚</t>
  </si>
  <si>
    <t>NLD</t>
  </si>
  <si>
    <t>荷兰</t>
  </si>
  <si>
    <t>NOR</t>
  </si>
  <si>
    <t>挪威</t>
  </si>
  <si>
    <t>NZL</t>
  </si>
  <si>
    <t>新西兰</t>
  </si>
  <si>
    <t>OTH</t>
  </si>
  <si>
    <t>PAK</t>
  </si>
  <si>
    <t>巴基斯坦</t>
  </si>
  <si>
    <t>PER</t>
  </si>
  <si>
    <t>秘鲁</t>
  </si>
  <si>
    <t>PHL</t>
  </si>
  <si>
    <t>菲律宾</t>
  </si>
  <si>
    <t>POL</t>
  </si>
  <si>
    <t>波兰</t>
  </si>
  <si>
    <t>PRK</t>
  </si>
  <si>
    <t>朝鲜</t>
  </si>
  <si>
    <t>PRT</t>
  </si>
  <si>
    <t>葡萄牙</t>
  </si>
  <si>
    <t>ROM</t>
  </si>
  <si>
    <t>罗马尼亚</t>
  </si>
  <si>
    <t>RUS</t>
  </si>
  <si>
    <t>俄罗斯</t>
  </si>
  <si>
    <t>SAU</t>
  </si>
  <si>
    <t>沙特阿拉伯</t>
  </si>
  <si>
    <t>SDN</t>
  </si>
  <si>
    <t>苏丹</t>
  </si>
  <si>
    <t>SEN</t>
  </si>
  <si>
    <t>塞内加尔</t>
  </si>
  <si>
    <t>SGP</t>
  </si>
  <si>
    <t>SLB</t>
  </si>
  <si>
    <t>所罗门群岛</t>
  </si>
  <si>
    <t>SWE</t>
  </si>
  <si>
    <t>瑞典</t>
  </si>
  <si>
    <t>SYR</t>
  </si>
  <si>
    <t>阿拉伯叙利亚共和国</t>
  </si>
  <si>
    <t>THA</t>
  </si>
  <si>
    <t>泰国</t>
  </si>
  <si>
    <t>TUN</t>
  </si>
  <si>
    <t>突尼斯</t>
  </si>
  <si>
    <t>TUR</t>
  </si>
  <si>
    <t>土耳其</t>
  </si>
  <si>
    <t>UKR</t>
  </si>
  <si>
    <t>乌克兰</t>
  </si>
  <si>
    <t>URY</t>
  </si>
  <si>
    <t>乌拉圭</t>
  </si>
  <si>
    <t>USA</t>
  </si>
  <si>
    <t>VAT</t>
  </si>
  <si>
    <t>梵蒂冈城国</t>
  </si>
  <si>
    <t>VEN</t>
  </si>
  <si>
    <t>委内瑞拉</t>
  </si>
  <si>
    <t>VGB</t>
  </si>
  <si>
    <t>英属维尔京群岛</t>
  </si>
  <si>
    <t>VIR</t>
  </si>
  <si>
    <t>美属维尔京群岛</t>
  </si>
  <si>
    <t>VNM</t>
  </si>
  <si>
    <t>越南</t>
  </si>
  <si>
    <t>WLF</t>
  </si>
  <si>
    <t>瓦利斯和富图纳</t>
  </si>
  <si>
    <t>YEM</t>
  </si>
  <si>
    <t>也门共和国</t>
  </si>
  <si>
    <t>YUG</t>
  </si>
  <si>
    <t>南斯拉夫联盟共和国</t>
  </si>
  <si>
    <t>ZAF</t>
  </si>
  <si>
    <t>南非</t>
  </si>
  <si>
    <t>码值：AssetTransferViewTree</t>
  </si>
  <si>
    <t>AssetTransferViewTree</t>
  </si>
  <si>
    <t>项下资产</t>
  </si>
  <si>
    <t>项目调整历史</t>
  </si>
  <si>
    <t>基本信息调整</t>
  </si>
  <si>
    <t>资产调整</t>
  </si>
  <si>
    <t>码值：EntGuarantyRelative</t>
  </si>
  <si>
    <t>EntGuarantyRelative</t>
  </si>
  <si>
    <t>担保关联类型</t>
  </si>
  <si>
    <t>被担保</t>
  </si>
  <si>
    <t>互相担保</t>
  </si>
  <si>
    <t>码值：BlackCustControlType</t>
  </si>
  <si>
    <t>BlackCustControlType</t>
  </si>
  <si>
    <t>特殊客户控制方式</t>
  </si>
  <si>
    <t>慎贷</t>
  </si>
  <si>
    <t>禁贷</t>
  </si>
  <si>
    <t>重点营销</t>
  </si>
  <si>
    <t>快速审批</t>
  </si>
  <si>
    <t>码值：SMECreditYear</t>
  </si>
  <si>
    <t>SMECreditYear</t>
  </si>
  <si>
    <t>从事本行业年限</t>
  </si>
  <si>
    <t>码值：BusinessCharacter</t>
  </si>
  <si>
    <t>BusinessCharacter</t>
  </si>
  <si>
    <t>业务性质</t>
  </si>
  <si>
    <t>正回购</t>
  </si>
  <si>
    <t>到期返售</t>
  </si>
  <si>
    <t>到期回购</t>
  </si>
  <si>
    <t>买断</t>
  </si>
  <si>
    <t>卖断</t>
  </si>
  <si>
    <t>行内转贴现</t>
  </si>
  <si>
    <t>码值：FinanceType</t>
  </si>
  <si>
    <t>FinanceType</t>
  </si>
  <si>
    <t>金融机构类型</t>
  </si>
  <si>
    <t>政策性银行</t>
  </si>
  <si>
    <t>国家开发银行</t>
  </si>
  <si>
    <t>国有商业银行</t>
  </si>
  <si>
    <t>股份制商业银行</t>
  </si>
  <si>
    <t>城市商业银行</t>
  </si>
  <si>
    <t>农村商业银行</t>
  </si>
  <si>
    <t>城市信用合作社</t>
  </si>
  <si>
    <t>农村信用合作社</t>
  </si>
  <si>
    <t>农村合作银行</t>
  </si>
  <si>
    <t>村镇银行</t>
  </si>
  <si>
    <t>0111</t>
  </si>
  <si>
    <t>农村资金互助社</t>
  </si>
  <si>
    <t>0112</t>
  </si>
  <si>
    <t>邮政储蓄银行</t>
  </si>
  <si>
    <t>信托公司</t>
  </si>
  <si>
    <t>基金公司</t>
  </si>
  <si>
    <t>财务公司</t>
  </si>
  <si>
    <t>期货公司</t>
  </si>
  <si>
    <t>消费金融公司</t>
  </si>
  <si>
    <t>0208</t>
  </si>
  <si>
    <t>金融租赁公司</t>
  </si>
  <si>
    <t>0209</t>
  </si>
  <si>
    <t>汽车金融公司</t>
  </si>
  <si>
    <t>小额贷款公司</t>
  </si>
  <si>
    <t>0211</t>
  </si>
  <si>
    <t>金融资产管理公司</t>
  </si>
  <si>
    <t>0212</t>
  </si>
  <si>
    <t>保理商</t>
  </si>
  <si>
    <t>0299</t>
  </si>
  <si>
    <t>外资法人银行</t>
  </si>
  <si>
    <t>外国银行分行</t>
  </si>
  <si>
    <t>境外非银行金融机构</t>
  </si>
  <si>
    <t>码值：RuleDecision</t>
  </si>
  <si>
    <t>RuleDecision</t>
  </si>
  <si>
    <t>规则结果</t>
  </si>
  <si>
    <t>accept</t>
  </si>
  <si>
    <t>终批授权</t>
  </si>
  <si>
    <t>noright</t>
  </si>
  <si>
    <t>审批授权外</t>
  </si>
  <si>
    <t>prohibit</t>
  </si>
  <si>
    <t>禁批授权</t>
  </si>
  <si>
    <t>码值：LeadingIndustry</t>
  </si>
  <si>
    <t>LeadingIndustry</t>
  </si>
  <si>
    <t>农户主导产业</t>
  </si>
  <si>
    <t>粮食</t>
  </si>
  <si>
    <t>棉花</t>
  </si>
  <si>
    <t>油料</t>
  </si>
  <si>
    <t>蔬菜</t>
  </si>
  <si>
    <t>烤烟</t>
  </si>
  <si>
    <t>茶叶</t>
  </si>
  <si>
    <t>中药材</t>
  </si>
  <si>
    <t>花果</t>
  </si>
  <si>
    <t>林木</t>
  </si>
  <si>
    <t>花卉</t>
  </si>
  <si>
    <t>竹材</t>
  </si>
  <si>
    <t>蚕桑业</t>
  </si>
  <si>
    <t>养猪业</t>
  </si>
  <si>
    <t>家禽饲养</t>
  </si>
  <si>
    <t>牲畜饲养</t>
  </si>
  <si>
    <t>农村运输业</t>
  </si>
  <si>
    <t>副业</t>
  </si>
  <si>
    <t>渔业</t>
  </si>
  <si>
    <t>农村服务业</t>
  </si>
  <si>
    <t>手工作坊</t>
  </si>
  <si>
    <t>码值：Resouce</t>
  </si>
  <si>
    <t>Resouce</t>
  </si>
  <si>
    <t>黑名单来源</t>
  </si>
  <si>
    <t>人行</t>
  </si>
  <si>
    <t>本行</t>
  </si>
  <si>
    <t>其他监管机构</t>
  </si>
  <si>
    <t>码值：TrademarkReputaiton</t>
  </si>
  <si>
    <t>TrademarkReputaiton</t>
  </si>
  <si>
    <t>商标信誉情况</t>
  </si>
  <si>
    <t>普通商标</t>
  </si>
  <si>
    <t>闻名商标</t>
  </si>
  <si>
    <t>世界驰名商标</t>
  </si>
  <si>
    <t>全国驰名商标</t>
  </si>
  <si>
    <t>地方名牌(商标)</t>
  </si>
  <si>
    <t>码值：BookInContractMain</t>
  </si>
  <si>
    <t>BookInContractMain</t>
  </si>
  <si>
    <t>合同管理主界面</t>
  </si>
  <si>
    <t>待登记合同的最终审批意见</t>
  </si>
  <si>
    <t>已登记合同的最终审批意见</t>
  </si>
  <si>
    <t>待登记合同的申请</t>
  </si>
  <si>
    <t>已登记合同的申请</t>
  </si>
  <si>
    <t>待生效的业务合同</t>
  </si>
  <si>
    <t>已生效的业务合同</t>
  </si>
  <si>
    <t>待生效的授信额度</t>
  </si>
  <si>
    <t>已生效的授信额度</t>
  </si>
  <si>
    <t>已中止的合同</t>
  </si>
  <si>
    <t>码值：AppraisalFlowType2</t>
  </si>
  <si>
    <t>AppraisalFlowType2</t>
  </si>
  <si>
    <t>评估机构资质认定申请类型</t>
  </si>
  <si>
    <t>码值：JudgementNo</t>
  </si>
  <si>
    <t>JudgementNo</t>
  </si>
  <si>
    <t>生效判决书</t>
  </si>
  <si>
    <t>公证书</t>
  </si>
  <si>
    <t>仲裁书</t>
  </si>
  <si>
    <t>一审判决书</t>
  </si>
  <si>
    <t>二审判决书</t>
  </si>
  <si>
    <t>再审判决书</t>
  </si>
  <si>
    <t>一审调解</t>
  </si>
  <si>
    <t>二审调解</t>
  </si>
  <si>
    <t>再审调解</t>
  </si>
  <si>
    <t>码值：DetailedType5</t>
  </si>
  <si>
    <t>DetailedType5</t>
  </si>
  <si>
    <t>有价证券类型</t>
  </si>
  <si>
    <t>国债</t>
  </si>
  <si>
    <t>股票</t>
  </si>
  <si>
    <t>股权</t>
  </si>
  <si>
    <t>存单</t>
  </si>
  <si>
    <t>码值：AssetTransferViewButtonSet</t>
  </si>
  <si>
    <t>AssetTransferViewButtonSet</t>
  </si>
  <si>
    <t>资产转受让按钮组</t>
  </si>
  <si>
    <t>add</t>
  </si>
  <si>
    <t>append</t>
  </si>
  <si>
    <t>资产追加</t>
  </si>
  <si>
    <t>assetAdjust</t>
  </si>
  <si>
    <t>bugBack</t>
  </si>
  <si>
    <t>清仓回购</t>
  </si>
  <si>
    <t>cashFlowCal</t>
  </si>
  <si>
    <t>delete</t>
  </si>
  <si>
    <t>删除</t>
  </si>
  <si>
    <t>delivery</t>
  </si>
  <si>
    <t>资产交割</t>
  </si>
  <si>
    <t>edit</t>
  </si>
  <si>
    <t>详情</t>
  </si>
  <si>
    <t>infoAdjust</t>
  </si>
  <si>
    <t>项目信息调整</t>
  </si>
  <si>
    <t>projectCal</t>
  </si>
  <si>
    <t>项目测算</t>
  </si>
  <si>
    <t>ransom</t>
  </si>
  <si>
    <t>资产赎回</t>
  </si>
  <si>
    <t>register</t>
  </si>
  <si>
    <t>收益与费用登记</t>
  </si>
  <si>
    <t>replacement</t>
  </si>
  <si>
    <t>资产置换</t>
  </si>
  <si>
    <t>takeEffect</t>
  </si>
  <si>
    <t>项目生效</t>
  </si>
  <si>
    <t>unarchive</t>
  </si>
  <si>
    <t>退档</t>
  </si>
  <si>
    <t>码值：CreditAlarmApproveMain</t>
  </si>
  <si>
    <t>CreditAlarmApproveMain</t>
  </si>
  <si>
    <t>风险预警认定树图</t>
  </si>
  <si>
    <t>待认定的预警信号</t>
  </si>
  <si>
    <t>码值：LoanMethod</t>
  </si>
  <si>
    <t>LoanMethod</t>
  </si>
  <si>
    <t>处理措施</t>
  </si>
  <si>
    <t>不处理</t>
  </si>
  <si>
    <t>码值：DetailedType2</t>
  </si>
  <si>
    <t>DetailedType2</t>
  </si>
  <si>
    <t>交通运输工具类别</t>
  </si>
  <si>
    <t>小汽车</t>
  </si>
  <si>
    <t>面包车</t>
  </si>
  <si>
    <t>吉普车</t>
  </si>
  <si>
    <t>货车</t>
  </si>
  <si>
    <t>轮船</t>
  </si>
  <si>
    <t>飞机</t>
  </si>
  <si>
    <t>码值：周边配套设施</t>
  </si>
  <si>
    <t>周边配套设施</t>
  </si>
  <si>
    <t>不齐全，但是已获市政部门配套承诺</t>
  </si>
  <si>
    <t>码值：RiskClassifyMain</t>
  </si>
  <si>
    <t>RiskClassifyMain</t>
  </si>
  <si>
    <t>风险五级分类申请</t>
  </si>
  <si>
    <t>码值：SubjectFlag</t>
  </si>
  <si>
    <t>SubjectFlag</t>
  </si>
  <si>
    <t>表内表外标志</t>
  </si>
  <si>
    <t>码值：BatUploadStatus</t>
  </si>
  <si>
    <t>BatUploadStatus</t>
  </si>
  <si>
    <t>批次导入状态</t>
  </si>
  <si>
    <t>待导入</t>
  </si>
  <si>
    <t>导入中</t>
  </si>
  <si>
    <t>导入完成</t>
  </si>
  <si>
    <t>还款中</t>
  </si>
  <si>
    <t>已还款</t>
  </si>
  <si>
    <t>导入失败</t>
  </si>
  <si>
    <t>码值：PaybackState2</t>
  </si>
  <si>
    <t>PaybackState2</t>
  </si>
  <si>
    <t>贷款还款记录</t>
  </si>
  <si>
    <t>1 不逾期、不欠息</t>
  </si>
  <si>
    <t>2 逾期6个月内(不含)、不欠息</t>
  </si>
  <si>
    <t>3 逾期在6个月(含)~12个月(不含)、不欠息</t>
  </si>
  <si>
    <t>4 逾期在12个月(含)以上、不欠息</t>
  </si>
  <si>
    <t>5 不逾期、欠息&lt;3个月</t>
  </si>
  <si>
    <t>6 不逾期、欠息&gt;=3个月</t>
  </si>
  <si>
    <t>7 逾期&lt;6个月、欠息&lt;3个月</t>
  </si>
  <si>
    <t>8 逾期&lt;6个月、欠息&gt;3个月</t>
  </si>
  <si>
    <t>9 逾期在6个月(含)~12个月、0&lt;欠息&lt;1个月</t>
  </si>
  <si>
    <t>10 逾期在6个月(含)~12个月、欠息&gt;=1个月</t>
  </si>
  <si>
    <t>12 没有欠款</t>
  </si>
  <si>
    <t>13 连续欠3期(不含)内或没有欠款且累计欠9期(不含)上</t>
  </si>
  <si>
    <t>14 连续欠3期(含)~6期(不含)</t>
  </si>
  <si>
    <t>15 连续欠6期(含)以上</t>
  </si>
  <si>
    <t>16 连续欠6期(不含)内或累计欠9期(不含)内</t>
  </si>
  <si>
    <t>码值：制度建设</t>
  </si>
  <si>
    <t>制度建设</t>
  </si>
  <si>
    <t>有健全的制度，且遵照实施</t>
  </si>
  <si>
    <t>有制度，但不实施</t>
  </si>
  <si>
    <t>码值：BankRole</t>
  </si>
  <si>
    <t>BankRole</t>
  </si>
  <si>
    <t>银行角色</t>
  </si>
  <si>
    <t>牵头行</t>
  </si>
  <si>
    <t>代理行</t>
  </si>
  <si>
    <t>码值：PZType</t>
  </si>
  <si>
    <t>PZType</t>
  </si>
  <si>
    <t>帐户种类</t>
  </si>
  <si>
    <t>活期一本通</t>
  </si>
  <si>
    <t>存折</t>
  </si>
  <si>
    <t>暂无扣款帐号</t>
  </si>
  <si>
    <t>对公活期</t>
  </si>
  <si>
    <t>码值：BusinessFinance</t>
  </si>
  <si>
    <t>BusinessFinance</t>
  </si>
  <si>
    <t>码值：PayRuleType</t>
  </si>
  <si>
    <t>PayRuleType</t>
  </si>
  <si>
    <t>扣款顺序</t>
  </si>
  <si>
    <t>正常还款顺序</t>
  </si>
  <si>
    <t>不良还款顺序</t>
  </si>
  <si>
    <t>码值：MortgageAssets</t>
  </si>
  <si>
    <t>MortgageAssets</t>
  </si>
  <si>
    <t>码值：InOutWHType</t>
  </si>
  <si>
    <t>InOutWHType</t>
  </si>
  <si>
    <t>出入库申请类型</t>
  </si>
  <si>
    <t>码值：MortgageSituation</t>
  </si>
  <si>
    <t>MortgageSituation</t>
  </si>
  <si>
    <t xml:space="preserve">有抵押 </t>
  </si>
  <si>
    <t>码值：CLCycFlag</t>
  </si>
  <si>
    <t>CLCycFlag</t>
  </si>
  <si>
    <t>额度循环标志</t>
  </si>
  <si>
    <t>不循环</t>
  </si>
  <si>
    <t>码值：IndRegularCheckMain</t>
  </si>
  <si>
    <t>IndRegularCheckMain</t>
  </si>
  <si>
    <t>码值：董事会设置</t>
  </si>
  <si>
    <t>董事会设置</t>
  </si>
  <si>
    <t>码值：LoanType</t>
  </si>
  <si>
    <t>LoanType</t>
  </si>
  <si>
    <t>贷款业务种类</t>
  </si>
  <si>
    <t>地产开发贷款</t>
  </si>
  <si>
    <t>其他用房开发贷款</t>
  </si>
  <si>
    <t>企业购买商业房产贷款</t>
  </si>
  <si>
    <t>土储机构贷款</t>
  </si>
  <si>
    <t>码值：WatersUsageType</t>
  </si>
  <si>
    <t>WatersUsageType</t>
  </si>
  <si>
    <t>用海类型</t>
  </si>
  <si>
    <t>渔业用海</t>
  </si>
  <si>
    <t>交通运输用海</t>
  </si>
  <si>
    <t>工矿用海</t>
  </si>
  <si>
    <t>旅游娱乐用海</t>
  </si>
  <si>
    <t>海底工程用海</t>
  </si>
  <si>
    <t>排污倾倒用海</t>
  </si>
  <si>
    <t>造地工程用海用海</t>
  </si>
  <si>
    <t>特殊用海</t>
  </si>
  <si>
    <t>其他用海</t>
  </si>
  <si>
    <t>码值：OrgLevel</t>
  </si>
  <si>
    <t>OrgLevel</t>
  </si>
  <si>
    <t>机构级别</t>
  </si>
  <si>
    <t>码值：BelongDept</t>
  </si>
  <si>
    <t>BelongDept</t>
  </si>
  <si>
    <t>所属条线</t>
  </si>
  <si>
    <t>大中业务</t>
  </si>
  <si>
    <t>小微业务</t>
  </si>
  <si>
    <t>码值：CreditLineManage</t>
  </si>
  <si>
    <t>CreditLineManage</t>
  </si>
  <si>
    <t>有效的额度列表</t>
  </si>
  <si>
    <t>已冻结的额度列表</t>
  </si>
  <si>
    <t>已终止的额度列表</t>
  </si>
  <si>
    <t>码值：ParentRelationType</t>
  </si>
  <si>
    <t>ParentRelationType</t>
  </si>
  <si>
    <t>与父成员关系</t>
  </si>
  <si>
    <t>监管机构定义的集团客户</t>
  </si>
  <si>
    <t>关系3</t>
  </si>
  <si>
    <t>共同被第三方企事业法人所控制的</t>
  </si>
  <si>
    <t>主要投资人个人、关键管理人员或与其关系密切的家庭成员（包括三代以内直系亲属关系和二代以内旁系亲属关系）共同直接或间接控制的</t>
  </si>
  <si>
    <t>关系4</t>
  </si>
  <si>
    <t>013003</t>
  </si>
  <si>
    <t>存在其他关联关系，可能不按照公允价格原则转移资产和利润，应视同集团客户进行授信管理的企事业法人</t>
  </si>
  <si>
    <t>参股企业</t>
  </si>
  <si>
    <t>关系5</t>
  </si>
  <si>
    <t>关系6</t>
  </si>
  <si>
    <t>关系7</t>
  </si>
  <si>
    <t>关系8</t>
  </si>
  <si>
    <t>关系99</t>
  </si>
  <si>
    <t>码值：DOFilterHtmlTemplate</t>
  </si>
  <si>
    <t>DOFilterHtmlTemplate</t>
  </si>
  <si>
    <t>数据对象过滤器html模版</t>
  </si>
  <si>
    <t>DropDownSelect</t>
  </si>
  <si>
    <t>下拉选择</t>
  </si>
  <si>
    <t>PopSelect</t>
  </si>
  <si>
    <t>弹出选择</t>
  </si>
  <si>
    <t>码值：固定经营场所</t>
  </si>
  <si>
    <t>自有且有权证</t>
  </si>
  <si>
    <t>自有但无权证，或关联方所有</t>
  </si>
  <si>
    <t>违章建筑</t>
  </si>
  <si>
    <t>码值：ConfirmType</t>
  </si>
  <si>
    <t>ConfirmType</t>
  </si>
  <si>
    <t>核实方法</t>
  </si>
  <si>
    <t>实地考察</t>
  </si>
  <si>
    <t>电话联系</t>
  </si>
  <si>
    <t>码值：EffStatus</t>
  </si>
  <si>
    <t>EffStatus</t>
  </si>
  <si>
    <t>码值：企业产权制度</t>
  </si>
  <si>
    <t>企业产权制度</t>
  </si>
  <si>
    <t>码值：行业展望</t>
  </si>
  <si>
    <t>行业展望</t>
  </si>
  <si>
    <t>码值：DocOriginal</t>
  </si>
  <si>
    <t>DocOriginal</t>
  </si>
  <si>
    <t>文件类型</t>
  </si>
  <si>
    <t>原件</t>
  </si>
  <si>
    <t>扫描件</t>
  </si>
  <si>
    <t>码值：婚姻状况</t>
  </si>
  <si>
    <t>码值：Behave</t>
  </si>
  <si>
    <t>Behave</t>
  </si>
  <si>
    <t>社会表现</t>
  </si>
  <si>
    <t>优良</t>
  </si>
  <si>
    <t>码值：重要程度</t>
  </si>
  <si>
    <t>重要程度</t>
  </si>
  <si>
    <t>在其服务区域是其销售商品的独家销售渠道，或者是其服务区域内下游市场客户的首选购买渠道</t>
  </si>
  <si>
    <t>在其服务区域是其销售商品的主要销售渠道（排名前三），或者是其服务区域内下游市场客户的优先购买渠道（排名前三）</t>
  </si>
  <si>
    <t>在其服务区域是其销售商品的普通销售渠道，或者是其服务区域内下游市场客户的普通购买渠道</t>
  </si>
  <si>
    <t>在其服务区域是其销售商品的新加入销售渠道</t>
  </si>
  <si>
    <t>码值：TurnOverSpeed</t>
  </si>
  <si>
    <t>TurnOverSpeed</t>
  </si>
  <si>
    <t>码值：基础设施</t>
  </si>
  <si>
    <t>基础设施</t>
  </si>
  <si>
    <t>码值：OtherBusinessType</t>
  </si>
  <si>
    <t>OtherBusinessType</t>
  </si>
  <si>
    <t>他行业务品种</t>
  </si>
  <si>
    <t>授信额度</t>
  </si>
  <si>
    <t>银票贴现</t>
  </si>
  <si>
    <t>商票贴现</t>
  </si>
  <si>
    <t>国际贸易融资</t>
  </si>
  <si>
    <t>对外担保</t>
  </si>
  <si>
    <t>码值：TRADESTATUS</t>
  </si>
  <si>
    <t>TRADESTATUS</t>
  </si>
  <si>
    <t>商业繁华度</t>
  </si>
  <si>
    <t>繁华</t>
  </si>
  <si>
    <t>偏远</t>
  </si>
  <si>
    <t>码值：GuarantyMain</t>
  </si>
  <si>
    <t>GuarantyMain</t>
  </si>
  <si>
    <t>担保品管理树图</t>
  </si>
  <si>
    <t>抵押物信息</t>
  </si>
  <si>
    <t>0100010</t>
  </si>
  <si>
    <t>未入库的押品</t>
  </si>
  <si>
    <t>0100020</t>
  </si>
  <si>
    <t>已入库的押品</t>
  </si>
  <si>
    <t>0100030</t>
  </si>
  <si>
    <t>临时出库的押品</t>
  </si>
  <si>
    <t>0100040</t>
  </si>
  <si>
    <t>已出库的押品</t>
  </si>
  <si>
    <t>010009</t>
  </si>
  <si>
    <t>不应入库的抵押物</t>
  </si>
  <si>
    <t>未入库的抵押物</t>
  </si>
  <si>
    <t>已入库的抵押物</t>
  </si>
  <si>
    <t>临时出库的抵押物</t>
  </si>
  <si>
    <t>已出库的抵押物</t>
  </si>
  <si>
    <t>质物信息</t>
  </si>
  <si>
    <t>未入库的质物</t>
  </si>
  <si>
    <t>已入库的质物</t>
  </si>
  <si>
    <t>临时出库的质物</t>
  </si>
  <si>
    <t>已出库的质物</t>
  </si>
  <si>
    <t>码值：Marriage</t>
  </si>
  <si>
    <t>Marriage</t>
  </si>
  <si>
    <t>离异</t>
  </si>
  <si>
    <t>复婚</t>
  </si>
  <si>
    <t>丧偶</t>
  </si>
  <si>
    <t>未说明</t>
  </si>
  <si>
    <t>码值：地方政府级别</t>
  </si>
  <si>
    <t>地方政府级别</t>
  </si>
  <si>
    <t>码值：PDAType</t>
  </si>
  <si>
    <t>PDAType</t>
  </si>
  <si>
    <t>抵债资产类型</t>
  </si>
  <si>
    <t>交通运输工具类</t>
  </si>
  <si>
    <t>收益权类</t>
  </si>
  <si>
    <t>码值：DunMode</t>
  </si>
  <si>
    <t>DunMode</t>
  </si>
  <si>
    <t>送达方式</t>
  </si>
  <si>
    <t>上门送达</t>
  </si>
  <si>
    <t>挂号邮寄</t>
  </si>
  <si>
    <t>EMS</t>
  </si>
  <si>
    <t>公证送达</t>
  </si>
  <si>
    <t>码值：增加的总余额比</t>
  </si>
  <si>
    <t>增加的总余额比</t>
  </si>
  <si>
    <t>&lt; -1.05</t>
  </si>
  <si>
    <t>[-1.05,-0.95]</t>
  </si>
  <si>
    <t>(-0.95,-0.05)</t>
  </si>
  <si>
    <t>[-0.05,0.05]</t>
  </si>
  <si>
    <t>(0.05,0.95)</t>
  </si>
  <si>
    <t>码值：CalcCircle</t>
  </si>
  <si>
    <t>CalcCircle</t>
  </si>
  <si>
    <t>计息周期</t>
  </si>
  <si>
    <t>一年</t>
  </si>
  <si>
    <t>一月</t>
  </si>
  <si>
    <t>到期支付本息</t>
  </si>
  <si>
    <t>码值：信息环境</t>
  </si>
  <si>
    <t>信息环境</t>
  </si>
  <si>
    <t>渠道畅通</t>
  </si>
  <si>
    <t>渠道较畅通</t>
  </si>
  <si>
    <t>渠道不畅通</t>
  </si>
  <si>
    <t>码值：BookInContractUnderApplyFinaMain</t>
  </si>
  <si>
    <t>BookInContractUnderApplyFinaMain</t>
  </si>
  <si>
    <t>同业额度项下合同登记申请主树图</t>
  </si>
  <si>
    <t>码值：FinancingAbility02</t>
  </si>
  <si>
    <t>FinancingAbility02</t>
  </si>
  <si>
    <t>码值：商品质量保证</t>
  </si>
  <si>
    <t>商品质量保证</t>
  </si>
  <si>
    <t>码值：ProjectIsInUse</t>
  </si>
  <si>
    <t>ProjectIsInUse</t>
  </si>
  <si>
    <t>项目状态</t>
  </si>
  <si>
    <t>待启用</t>
  </si>
  <si>
    <t>码值：EntIrregularCheckApproveMain</t>
  </si>
  <si>
    <t>EntIrregularCheckApproveMain</t>
  </si>
  <si>
    <t>单一公司贷后不定期检查审批批主树图</t>
  </si>
  <si>
    <t>码值：MarketPositionAndShare</t>
  </si>
  <si>
    <t>MarketPositionAndShare</t>
  </si>
  <si>
    <t>码值：SocialInsType</t>
  </si>
  <si>
    <t>SocialInsType</t>
  </si>
  <si>
    <t>养老保险</t>
  </si>
  <si>
    <t>医疗保险</t>
  </si>
  <si>
    <t>住房公积金</t>
  </si>
  <si>
    <t>失业保险金</t>
  </si>
  <si>
    <t>其它保险</t>
  </si>
  <si>
    <t>码值：AnalytivalMethod</t>
  </si>
  <si>
    <t>AnalytivalMethod</t>
  </si>
  <si>
    <t>分析方法</t>
  </si>
  <si>
    <t>核实分析法</t>
  </si>
  <si>
    <t>利息扣除法</t>
  </si>
  <si>
    <t>账龄分析法</t>
  </si>
  <si>
    <t>码值：BizModelConfiguratorTree</t>
  </si>
  <si>
    <t>BizModelConfiguratorTree</t>
  </si>
  <si>
    <t>业务模型树图</t>
  </si>
  <si>
    <t>0020010</t>
  </si>
  <si>
    <t>0020020</t>
  </si>
  <si>
    <t>限制类型定义</t>
  </si>
  <si>
    <t>0020030</t>
  </si>
  <si>
    <t>产品组定义</t>
  </si>
  <si>
    <t>0020040</t>
  </si>
  <si>
    <t>币种组定义</t>
  </si>
  <si>
    <t>0020050</t>
  </si>
  <si>
    <t>担保方式组定义</t>
  </si>
  <si>
    <t>0065</t>
  </si>
  <si>
    <t>决策流模型设置</t>
  </si>
  <si>
    <t>0080010</t>
  </si>
  <si>
    <t>预警结果查看</t>
  </si>
  <si>
    <t>0080020</t>
  </si>
  <si>
    <t>预警场景设置</t>
  </si>
  <si>
    <t>0080030</t>
  </si>
  <si>
    <t>预警参数设置</t>
  </si>
  <si>
    <t>0080040</t>
  </si>
  <si>
    <t>预警模型设置</t>
  </si>
  <si>
    <t>0080050</t>
  </si>
  <si>
    <t>预警条件库设置</t>
  </si>
  <si>
    <t>0080060</t>
  </si>
  <si>
    <t>处理措施设置</t>
  </si>
  <si>
    <t>0090010</t>
  </si>
  <si>
    <t>财务科目</t>
  </si>
  <si>
    <t>0090020</t>
  </si>
  <si>
    <t>任务类型</t>
  </si>
  <si>
    <t>风险预警配置</t>
  </si>
  <si>
    <t>企业标准模型配置</t>
  </si>
  <si>
    <t>0130010</t>
  </si>
  <si>
    <t>农林牧渔业</t>
  </si>
  <si>
    <t>0130020</t>
  </si>
  <si>
    <t>0130030</t>
  </si>
  <si>
    <t>0130040</t>
  </si>
  <si>
    <t>0130050</t>
  </si>
  <si>
    <t>0130060</t>
  </si>
  <si>
    <t>0130070</t>
  </si>
  <si>
    <t>0130080</t>
  </si>
  <si>
    <t>0130090</t>
  </si>
  <si>
    <t>0130100</t>
  </si>
  <si>
    <t>0130110</t>
  </si>
  <si>
    <t>0130120</t>
  </si>
  <si>
    <t>0130130</t>
  </si>
  <si>
    <t>房地产开发经营</t>
  </si>
  <si>
    <t>0130140</t>
  </si>
  <si>
    <t>0130150</t>
  </si>
  <si>
    <t>0130160</t>
  </si>
  <si>
    <t>码值：GroupAddressType</t>
  </si>
  <si>
    <t>GroupAddressType</t>
  </si>
  <si>
    <t>地区内</t>
  </si>
  <si>
    <t>温州地区或跨地区</t>
  </si>
  <si>
    <t>码值：城建企业产权制度</t>
  </si>
  <si>
    <t>城建企业产权制度</t>
  </si>
  <si>
    <t>国有中央级</t>
  </si>
  <si>
    <t>国有省级(直辖市)</t>
  </si>
  <si>
    <t>国有地、市级(直辖市区级)</t>
  </si>
  <si>
    <t>国有县级及县级以下</t>
  </si>
  <si>
    <t>民办</t>
  </si>
  <si>
    <t>码值：EffectiveStatus</t>
  </si>
  <si>
    <t>EffectiveStatus</t>
  </si>
  <si>
    <t>码值：TelecomScope</t>
  </si>
  <si>
    <t>TelecomScope</t>
  </si>
  <si>
    <t>通信</t>
  </si>
  <si>
    <t>网络</t>
  </si>
  <si>
    <t>有线电视</t>
  </si>
  <si>
    <t xml:space="preserve"> 其他</t>
  </si>
  <si>
    <t>码值：WoodlandSubType</t>
  </si>
  <si>
    <t>WoodlandSubType</t>
  </si>
  <si>
    <t>林地二级地类</t>
  </si>
  <si>
    <t>有林地</t>
  </si>
  <si>
    <t>灌木地</t>
  </si>
  <si>
    <t>疏林地</t>
  </si>
  <si>
    <t>未成林造林地</t>
  </si>
  <si>
    <t>迹地</t>
  </si>
  <si>
    <t>苗圃</t>
  </si>
  <si>
    <t>码值：IndividualTaxType</t>
  </si>
  <si>
    <t>IndividualTaxType</t>
  </si>
  <si>
    <t>个人税种</t>
  </si>
  <si>
    <t>耕地占用税</t>
  </si>
  <si>
    <t>码值：AssetTransferTree</t>
  </si>
  <si>
    <t>AssetTransferTree</t>
  </si>
  <si>
    <t>资产转受让树图</t>
  </si>
  <si>
    <t>项目管理</t>
  </si>
  <si>
    <t>新建立项目</t>
  </si>
  <si>
    <t>已生效项目</t>
  </si>
  <si>
    <t>已交割项目</t>
  </si>
  <si>
    <t>已结清项目</t>
  </si>
  <si>
    <t>已归档项目</t>
  </si>
  <si>
    <t>已下账项目</t>
  </si>
  <si>
    <t>项目相关查询</t>
  </si>
  <si>
    <t>码值：EvalModelProfit</t>
  </si>
  <si>
    <t>EvalModelProfit</t>
  </si>
  <si>
    <t>收益法估值模板</t>
  </si>
  <si>
    <t>码值：SMECreditSupply</t>
  </si>
  <si>
    <t>SMECreditSupply</t>
  </si>
  <si>
    <t>产品供求</t>
  </si>
  <si>
    <t>码值：PTFreezeType</t>
  </si>
  <si>
    <t>PTFreezeType</t>
  </si>
  <si>
    <t>ACS</t>
  </si>
  <si>
    <t>账户冻结</t>
  </si>
  <si>
    <t>BEM</t>
  </si>
  <si>
    <t>警告信息</t>
  </si>
  <si>
    <t>CSH</t>
  </si>
  <si>
    <t>只允许现金交易</t>
  </si>
  <si>
    <t>FDH</t>
  </si>
  <si>
    <t>余额冻结</t>
  </si>
  <si>
    <t>FEH</t>
  </si>
  <si>
    <t>存款额度冻结</t>
  </si>
  <si>
    <t>HOL</t>
  </si>
  <si>
    <t>余额冻结（系统使用）</t>
  </si>
  <si>
    <t>贷方冻结</t>
  </si>
  <si>
    <t>SWD</t>
  </si>
  <si>
    <t>借方冻结（系统使用）</t>
  </si>
  <si>
    <t>SWR</t>
  </si>
  <si>
    <t>借方冻结</t>
  </si>
  <si>
    <t>TDS</t>
  </si>
  <si>
    <t>存单冻结</t>
  </si>
  <si>
    <t>YQD</t>
  </si>
  <si>
    <t>QDII</t>
  </si>
  <si>
    <t>YUT</t>
  </si>
  <si>
    <t>人民币基金</t>
  </si>
  <si>
    <t>YWM</t>
  </si>
  <si>
    <t>行内理财</t>
  </si>
  <si>
    <t>码值：设计和技术风险</t>
  </si>
  <si>
    <t>设计和技术风险</t>
  </si>
  <si>
    <t>技术和设计完全可靠</t>
  </si>
  <si>
    <t>技术和设计可靠，虽然项目面临建设风险，但可用完工方案完备，可缓解新技术等可能存在的问题</t>
  </si>
  <si>
    <t>码值：ApplyTypeX</t>
  </si>
  <si>
    <t>ApplyTypeX</t>
  </si>
  <si>
    <t>五级分类申请</t>
  </si>
  <si>
    <t>码值：PersonFeedBack</t>
  </si>
  <si>
    <t>PersonFeedBack</t>
  </si>
  <si>
    <t>人员反馈事项</t>
  </si>
  <si>
    <t>对评估机构的人员或评估师整体的沟通</t>
  </si>
  <si>
    <t>评估机构的整体服务效率</t>
  </si>
  <si>
    <t>评估报告的全面性</t>
  </si>
  <si>
    <t>评估报告的公正性</t>
  </si>
  <si>
    <t>评估报告的客观性</t>
  </si>
  <si>
    <t>评估报告的准确性</t>
  </si>
  <si>
    <t>评估报告的概括性</t>
  </si>
  <si>
    <t>评估机构服务情况</t>
  </si>
  <si>
    <t>码值：BatchFinanceApproveView</t>
  </si>
  <si>
    <t>BatchFinanceApproveView</t>
  </si>
  <si>
    <t>同业批量授信批复视图</t>
  </si>
  <si>
    <t>码值：AssessAssetsType</t>
  </si>
  <si>
    <t>AssessAssetsType</t>
  </si>
  <si>
    <t>评估机构评分模板</t>
  </si>
  <si>
    <t>资产评估</t>
  </si>
  <si>
    <t>房地产评估</t>
  </si>
  <si>
    <t>土地评估</t>
  </si>
  <si>
    <t>其他资产评估</t>
  </si>
  <si>
    <t>码值：政府支持的及时性</t>
  </si>
  <si>
    <t>政府支持的及时性</t>
  </si>
  <si>
    <t>码值：定价能力</t>
  </si>
  <si>
    <t>定价能力</t>
  </si>
  <si>
    <t>码值：SubjectDirection</t>
  </si>
  <si>
    <t>SubjectDirection</t>
  </si>
  <si>
    <t>科目方向(借/贷/'')</t>
  </si>
  <si>
    <t>码值：地理位置</t>
  </si>
  <si>
    <t>地理位置</t>
  </si>
  <si>
    <t>市区</t>
  </si>
  <si>
    <t>郊区</t>
  </si>
  <si>
    <t>码值：PoliticalFace</t>
  </si>
  <si>
    <t>PoliticalFace</t>
  </si>
  <si>
    <t>政治面貌</t>
  </si>
  <si>
    <t>中共党员</t>
  </si>
  <si>
    <t>中共预备党员</t>
  </si>
  <si>
    <t>共青团员</t>
  </si>
  <si>
    <t>民革党员</t>
  </si>
  <si>
    <t>民盟盟员</t>
  </si>
  <si>
    <t>民建会员</t>
  </si>
  <si>
    <t>民进会员</t>
  </si>
  <si>
    <t>农工党党员</t>
  </si>
  <si>
    <t>致公党党员</t>
  </si>
  <si>
    <t>九三学社社员</t>
  </si>
  <si>
    <t>台盟盟员</t>
  </si>
  <si>
    <t>无党派人士</t>
  </si>
  <si>
    <t>群众</t>
  </si>
  <si>
    <t>码值：项目周边环境</t>
  </si>
  <si>
    <t>项目周边环境</t>
  </si>
  <si>
    <t>码值：DefaultFormat</t>
  </si>
  <si>
    <t>DefaultFormat</t>
  </si>
  <si>
    <t>CONTENT_FORMAT</t>
  </si>
  <si>
    <t>正文格式</t>
  </si>
  <si>
    <t>DEFAULT</t>
  </si>
  <si>
    <t>文档格式</t>
  </si>
  <si>
    <t>TEST_FORMAT</t>
  </si>
  <si>
    <t>测试格式</t>
  </si>
  <si>
    <t>码值：TaskViewTab</t>
  </si>
  <si>
    <t>TaskViewTab</t>
  </si>
  <si>
    <t>任务管理</t>
  </si>
  <si>
    <t>contractTask_N</t>
  </si>
  <si>
    <t>合同未登记任务</t>
  </si>
  <si>
    <t>contractTask_Y</t>
  </si>
  <si>
    <t>合同已登记任务</t>
  </si>
  <si>
    <t>createCreditTask</t>
  </si>
  <si>
    <t>客户经理申请岗</t>
  </si>
  <si>
    <t>desc</t>
  </si>
  <si>
    <t>代码字段说明</t>
  </si>
  <si>
    <t>imageScanTask_N</t>
  </si>
  <si>
    <t>扫描岗任务(未完成)</t>
  </si>
  <si>
    <t>imageScanTask_Y</t>
  </si>
  <si>
    <t>扫描岗任务(已完成)</t>
  </si>
  <si>
    <t>inputApporveTask_N</t>
  </si>
  <si>
    <t>批复登记岗</t>
  </si>
  <si>
    <t>inputCreditInfoTask_N</t>
  </si>
  <si>
    <t>资料录入岗(未完成)</t>
  </si>
  <si>
    <t>inputCreditInfoTask_Y</t>
  </si>
  <si>
    <t>资料录入岗(已完成)</t>
  </si>
  <si>
    <t>viewApporveTask_N</t>
  </si>
  <si>
    <t>批复确认岗(未完成)</t>
  </si>
  <si>
    <t>viewApporveTask_Y</t>
  </si>
  <si>
    <t>批复确认岗(已完成)</t>
  </si>
  <si>
    <t>viewCreditInfoTask_N</t>
  </si>
  <si>
    <t>审批岗(未完成)</t>
  </si>
  <si>
    <t>viewCreditInfoTask_Y</t>
  </si>
  <si>
    <t>审批岗(已完成)</t>
  </si>
  <si>
    <t>码值：DispositionType</t>
  </si>
  <si>
    <t>DispositionType</t>
  </si>
  <si>
    <t>抵债资产处置方式</t>
  </si>
  <si>
    <t>资产出租</t>
  </si>
  <si>
    <t>资产出售</t>
  </si>
  <si>
    <t>资产转让</t>
  </si>
  <si>
    <t>资产互换</t>
  </si>
  <si>
    <t>资产自用</t>
  </si>
  <si>
    <t>其他处置</t>
  </si>
  <si>
    <t>码值：CLPayType</t>
  </si>
  <si>
    <t>CLPayType</t>
  </si>
  <si>
    <t>付款方式</t>
  </si>
  <si>
    <t>即期付款</t>
  </si>
  <si>
    <t>延期付款</t>
  </si>
  <si>
    <t>码值：EvalModelMarket</t>
  </si>
  <si>
    <t>EvalModelMarket</t>
  </si>
  <si>
    <t>市场法估值模板</t>
  </si>
  <si>
    <t>码值：ViewTabCredit</t>
  </si>
  <si>
    <t>ViewTabCredit</t>
  </si>
  <si>
    <t>inputApplyDetail2</t>
  </si>
  <si>
    <t>录入客户信息</t>
  </si>
  <si>
    <t>记录业务问题</t>
  </si>
  <si>
    <t>扫描申请资料</t>
  </si>
  <si>
    <t>签署批复意见</t>
  </si>
  <si>
    <t>查看各级审批意见</t>
  </si>
  <si>
    <t>查看历史审批业务</t>
  </si>
  <si>
    <t>码值：ReinforceSMEView</t>
  </si>
  <si>
    <t>ReinforceSMEView</t>
  </si>
  <si>
    <t>补登中小企业客户视图</t>
  </si>
  <si>
    <t>码值：EvaluateType</t>
  </si>
  <si>
    <t>EvaluateType</t>
  </si>
  <si>
    <t>抵押物价值评估方式</t>
  </si>
  <si>
    <t>评估公司评估</t>
  </si>
  <si>
    <t>自评</t>
  </si>
  <si>
    <t>码值：QuickType</t>
  </si>
  <si>
    <t>QuickType</t>
  </si>
  <si>
    <t>快捷链接类型</t>
  </si>
  <si>
    <t>快捷菜单</t>
  </si>
  <si>
    <t>码值：AgencyBlackRules</t>
  </si>
  <si>
    <t>AgencyBlackRules</t>
  </si>
  <si>
    <t>黑名单规则</t>
  </si>
  <si>
    <t>（一）被主管部门撤消评估执业资格；</t>
  </si>
  <si>
    <t>（二）无评估资格的人员在评估报告上签字；</t>
  </si>
  <si>
    <t>（三）未进行现场勘察的；</t>
  </si>
  <si>
    <t>（四）迎合借款人或委托方不正当要求，评估时有意隐瞒抵（质）押品存在的重大影响事项，错误地评估价值，&lt;br/&gt;&amp;nbsp&amp;nbsp&amp;nbsp&amp;nbsp&amp;nbsp&amp;nbsp&amp;nbsp&amp;nbsp造成本行贷款出现损失的；或与借款人或委托人串通，恶意高估抵（质）押品价值；</t>
  </si>
  <si>
    <t>（五）故意提供虚假信息、资料，出具虚假评估报告、证明文件及其他文件的；</t>
  </si>
  <si>
    <t>（六）一年内被警示累计达五个(含)以上（系统自动触发）；</t>
  </si>
  <si>
    <t>（七）被当地银行同业协会或银监会列入高估抵（质）押品黑名单的（如有）；</t>
  </si>
  <si>
    <t>（八）由于违法、违纪或其他不良行为而被媒体曝光的；</t>
  </si>
  <si>
    <t>（九）其他损害本行、借款人和其他当事人利益的事项；</t>
  </si>
  <si>
    <t>码值：PublishStatus</t>
  </si>
  <si>
    <t>PublishStatus</t>
  </si>
  <si>
    <t>发布状态</t>
  </si>
  <si>
    <t>已发布</t>
  </si>
  <si>
    <t>未发布</t>
  </si>
  <si>
    <t>码值：ShareType01</t>
  </si>
  <si>
    <t>ShareType01</t>
  </si>
  <si>
    <t>证券类型</t>
  </si>
  <si>
    <t>流通股股票（权）</t>
  </si>
  <si>
    <t>限售流通股</t>
  </si>
  <si>
    <t>非上市全国性股份制商业银行股票（权）</t>
  </si>
  <si>
    <t>非上市非全国性股份制商业银行股票（权）</t>
  </si>
  <si>
    <t>其他非上市公司股票（权）</t>
  </si>
  <si>
    <t>码值：CreditApproveLimitUnderIndApMain</t>
  </si>
  <si>
    <t>CreditApproveLimitUnderIndApMain</t>
  </si>
  <si>
    <t>个人额度项下授信申请审批</t>
  </si>
  <si>
    <t>码值：PDASalePayStyle</t>
  </si>
  <si>
    <t>PDASalePayStyle</t>
  </si>
  <si>
    <t>抵债资产出售付款方式</t>
  </si>
  <si>
    <t>一次性付款</t>
  </si>
  <si>
    <t>分期付款</t>
  </si>
  <si>
    <t>码值：RegistagencyType</t>
  </si>
  <si>
    <t>RegistagencyType</t>
  </si>
  <si>
    <t>权力登记机关类型</t>
  </si>
  <si>
    <t>房管局</t>
  </si>
  <si>
    <t>车管所</t>
  </si>
  <si>
    <t>民航局</t>
  </si>
  <si>
    <t>码值：DocPhase</t>
  </si>
  <si>
    <t>DocPhase</t>
  </si>
  <si>
    <t>文件所属阶段</t>
  </si>
  <si>
    <t>合同阶段</t>
  </si>
  <si>
    <t>申请阶段</t>
  </si>
  <si>
    <t>出账阶段</t>
  </si>
  <si>
    <t>码值：宾馆服务业分类</t>
  </si>
  <si>
    <t>宾馆服务业分类</t>
  </si>
  <si>
    <t>餐饮</t>
  </si>
  <si>
    <t>旅游</t>
  </si>
  <si>
    <t>娱乐</t>
  </si>
  <si>
    <t>码值：FinanceTrendAnalyse</t>
  </si>
  <si>
    <t>FinanceTrendAnalyse</t>
  </si>
  <si>
    <t>财务趋势分析</t>
  </si>
  <si>
    <t>定比分析</t>
  </si>
  <si>
    <t>环比分析</t>
  </si>
  <si>
    <t>码值：DoUpdateWhere</t>
  </si>
  <si>
    <t>DoUpdateWhere</t>
  </si>
  <si>
    <t>更新方式</t>
  </si>
  <si>
    <t>Key</t>
  </si>
  <si>
    <t>Key &amp; Update</t>
  </si>
  <si>
    <t>Key &amp; Modify</t>
  </si>
  <si>
    <t>码值：ResourceType</t>
  </si>
  <si>
    <t>ResourceType</t>
  </si>
  <si>
    <t>水电缴费类型</t>
  </si>
  <si>
    <t>水费</t>
  </si>
  <si>
    <t>电费</t>
  </si>
  <si>
    <t>码值：销售稳定性</t>
  </si>
  <si>
    <t>销售稳定性</t>
  </si>
  <si>
    <t>码值：BankFinance</t>
  </si>
  <si>
    <t>BankFinance</t>
  </si>
  <si>
    <t>融资成本的利率下浮于基准利率</t>
  </si>
  <si>
    <t>融资成本的利率等于基准利率;或只取得表外业务授信(没有银行贷款)</t>
  </si>
  <si>
    <t>融资成本的利率上浮于基准利率10%以内</t>
  </si>
  <si>
    <t>上浮于基准利率10%--20%</t>
  </si>
  <si>
    <t>上浮于基准利率20%以上或不易获得贷款</t>
  </si>
  <si>
    <t>码值：PrePayType</t>
  </si>
  <si>
    <t>PrePayType</t>
  </si>
  <si>
    <t>提前还款类型及方式</t>
  </si>
  <si>
    <t>部分提前还款-期限不变</t>
  </si>
  <si>
    <t>部分提前还款-期供不变</t>
  </si>
  <si>
    <t>全部提前还款</t>
  </si>
  <si>
    <t>码值：TranBillType</t>
  </si>
  <si>
    <t>TranBillType</t>
  </si>
  <si>
    <t>运输单据种类</t>
  </si>
  <si>
    <t>码值：EnterpriseType02</t>
  </si>
  <si>
    <t>EnterpriseType02</t>
  </si>
  <si>
    <t>码值：个人或家庭月债务偿还</t>
  </si>
  <si>
    <t>个人或家庭月债务偿还</t>
  </si>
  <si>
    <t>个人或家庭月债务偿还能力状况</t>
  </si>
  <si>
    <t xml:space="preserve">1000元以下(含1000元) </t>
  </si>
  <si>
    <t xml:space="preserve">1000元－3000元(含3000元) </t>
  </si>
  <si>
    <t xml:space="preserve">3000元－5000元(含5000元) </t>
  </si>
  <si>
    <t>码值：AlarmDeal</t>
  </si>
  <si>
    <t>AlarmDeal</t>
  </si>
  <si>
    <t>预警管理</t>
  </si>
  <si>
    <t>码值：ModelType</t>
  </si>
  <si>
    <t>ModelType</t>
  </si>
  <si>
    <t>模型类型</t>
  </si>
  <si>
    <t>基础模型</t>
  </si>
  <si>
    <t>关联模型</t>
  </si>
  <si>
    <t>码值：CourtList</t>
  </si>
  <si>
    <t>CourtList</t>
  </si>
  <si>
    <t>法院人员信息树状菜单</t>
  </si>
  <si>
    <t>受理机关信息</t>
  </si>
  <si>
    <t>受理人信息</t>
  </si>
  <si>
    <t>码值：SheetType</t>
  </si>
  <si>
    <t>SheetType</t>
  </si>
  <si>
    <t>财报页类型</t>
  </si>
  <si>
    <t>BS</t>
  </si>
  <si>
    <t>资产负债表</t>
  </si>
  <si>
    <t>CFS</t>
  </si>
  <si>
    <t>现金流量表</t>
  </si>
  <si>
    <t>CFSA</t>
  </si>
  <si>
    <t>现金流量表(自动)</t>
  </si>
  <si>
    <t>CFSGS</t>
  </si>
  <si>
    <t>一般准则现金流量表</t>
  </si>
  <si>
    <t>CFSI</t>
  </si>
  <si>
    <t>现金流量表(间接法)</t>
  </si>
  <si>
    <t>CFSM</t>
  </si>
  <si>
    <t>现金流量表(人工)</t>
  </si>
  <si>
    <t>CFSS</t>
  </si>
  <si>
    <t>现金流量表附表</t>
  </si>
  <si>
    <t>CFSY</t>
  </si>
  <si>
    <t>年度现金流量表(人工)</t>
  </si>
  <si>
    <t>CGB</t>
  </si>
  <si>
    <t>担保余额变动表</t>
  </si>
  <si>
    <t>FIS</t>
  </si>
  <si>
    <t>财务指标表</t>
  </si>
  <si>
    <t>PS</t>
  </si>
  <si>
    <t>利润表</t>
  </si>
  <si>
    <t>RDSDM</t>
  </si>
  <si>
    <t>医疗收入支出明细表</t>
  </si>
  <si>
    <t>RDSFS</t>
  </si>
  <si>
    <t>财政补助收支表</t>
  </si>
  <si>
    <t>RDSFSM</t>
  </si>
  <si>
    <t>财政补助收支表医疗</t>
  </si>
  <si>
    <t>RDSI</t>
  </si>
  <si>
    <t>事业单位收入支出表</t>
  </si>
  <si>
    <t>RDSM</t>
  </si>
  <si>
    <t>医疗收入支出表</t>
  </si>
  <si>
    <t>RDSS</t>
  </si>
  <si>
    <t>学校收入支出表</t>
  </si>
  <si>
    <t>RIS</t>
  </si>
  <si>
    <t>评级分类专用指标表</t>
  </si>
  <si>
    <t>SFD</t>
  </si>
  <si>
    <t>补充财务数据表</t>
  </si>
  <si>
    <t>SS</t>
  </si>
  <si>
    <t>偿付能力状况表</t>
  </si>
  <si>
    <t>码值：EntNonFinanceState</t>
  </si>
  <si>
    <t>EntNonFinanceState</t>
  </si>
  <si>
    <t>企业非财务状况</t>
  </si>
  <si>
    <t>1 好：在所处行业中处于垄断地位，或该行业总体盈利水平高，竞争度尚未饱和，客户增长潜力大，经营有方、管理合规高效；</t>
  </si>
  <si>
    <t>2 较好：行业整体处于上升期、产品或服务有较稳定的市场份额，经营有方、管理合规高效；</t>
  </si>
  <si>
    <t>3 一般：行业竞争激烈、经营状况尚属正常、管理合规有效；</t>
  </si>
  <si>
    <t>4 较差</t>
  </si>
  <si>
    <t>5 差</t>
  </si>
  <si>
    <t>码值：银行卡使用情况</t>
  </si>
  <si>
    <t>银行卡使用情况</t>
  </si>
  <si>
    <t>码值：ClrInputApplyMain</t>
  </si>
  <si>
    <t>ClrInputApplyMain</t>
  </si>
  <si>
    <t>码值：RiskLevel</t>
  </si>
  <si>
    <t>RiskLevel</t>
  </si>
  <si>
    <t>业务风险等级</t>
  </si>
  <si>
    <t>远期</t>
  </si>
  <si>
    <t>即期有货权</t>
  </si>
  <si>
    <t>即期无货权</t>
  </si>
  <si>
    <t>码值：UnionView</t>
  </si>
  <si>
    <t>UnionView</t>
  </si>
  <si>
    <t>成员批量项下业务信息</t>
  </si>
  <si>
    <t>0500060</t>
  </si>
  <si>
    <t>码值：GroupEventRecord</t>
  </si>
  <si>
    <t>GroupEventRecord</t>
  </si>
  <si>
    <t>码值：OWTips</t>
  </si>
  <si>
    <t>OWTips</t>
  </si>
  <si>
    <t>OW提示相关</t>
  </si>
  <si>
    <t>PleaseChoose</t>
  </si>
  <si>
    <t>请选择</t>
  </si>
  <si>
    <t>码值：ProjectPosition</t>
  </si>
  <si>
    <t>ProjectPosition</t>
  </si>
  <si>
    <t>码值：ColumnType</t>
  </si>
  <si>
    <t>ColumnType</t>
  </si>
  <si>
    <t>是否SUM</t>
  </si>
  <si>
    <t>码值：ImageMain</t>
  </si>
  <si>
    <t>ImageMain</t>
  </si>
  <si>
    <t>影像管理主页面</t>
  </si>
  <si>
    <t>影像目录</t>
  </si>
  <si>
    <t>客户影像信息</t>
  </si>
  <si>
    <t>业务影像信息</t>
  </si>
  <si>
    <t>码值：LawCaseType</t>
  </si>
  <si>
    <t>LawCaseType</t>
  </si>
  <si>
    <t>案件类型</t>
  </si>
  <si>
    <t>一般案件</t>
  </si>
  <si>
    <t>公证执行/仲裁案件</t>
  </si>
  <si>
    <t>破产案件</t>
  </si>
  <si>
    <t>码值：OwnershipNature/Control</t>
  </si>
  <si>
    <t>OwnershipNature/Control</t>
  </si>
  <si>
    <t>码值：PRI</t>
  </si>
  <si>
    <t>PRI</t>
  </si>
  <si>
    <t>核算账户优先级</t>
  </si>
  <si>
    <t>码值：CostType1</t>
  </si>
  <si>
    <t>CostType1</t>
  </si>
  <si>
    <t>法律事务费用类型</t>
  </si>
  <si>
    <t>受理费</t>
  </si>
  <si>
    <t>一般代理费</t>
  </si>
  <si>
    <t>风险代理费</t>
  </si>
  <si>
    <t>上诉费</t>
  </si>
  <si>
    <t>执行费</t>
  </si>
  <si>
    <t>评估费</t>
  </si>
  <si>
    <t>拍卖费</t>
  </si>
  <si>
    <t>公告费</t>
  </si>
  <si>
    <t>仓储费</t>
  </si>
  <si>
    <t>运输费</t>
  </si>
  <si>
    <t>保管费</t>
  </si>
  <si>
    <t>公证费</t>
  </si>
  <si>
    <t>过户费</t>
  </si>
  <si>
    <t>保全费</t>
  </si>
  <si>
    <t>码值：SettlementType</t>
  </si>
  <si>
    <t>SettlementType</t>
  </si>
  <si>
    <t>结算方式</t>
  </si>
  <si>
    <t>T/T电汇</t>
  </si>
  <si>
    <t>码值：ApproveEvaluateMain</t>
  </si>
  <si>
    <t>ApproveEvaluateMain</t>
  </si>
  <si>
    <t>码值：发债情况</t>
  </si>
  <si>
    <t>发债情况</t>
  </si>
  <si>
    <t>近2年发行过债券</t>
  </si>
  <si>
    <t>已取得发债资格</t>
  </si>
  <si>
    <t>无发债资格</t>
  </si>
  <si>
    <t>码值：财政拨款类型</t>
  </si>
  <si>
    <t>财政拨款类型</t>
  </si>
  <si>
    <t>码值：CusAssetAndOwe</t>
  </si>
  <si>
    <t>应收应付帐款信息</t>
  </si>
  <si>
    <t>码值：EquipmentType</t>
  </si>
  <si>
    <t>EquipmentType</t>
  </si>
  <si>
    <t>设备类型</t>
  </si>
  <si>
    <t>计算机设备及软件</t>
  </si>
  <si>
    <t>办公设备</t>
  </si>
  <si>
    <t>图书档案设备</t>
  </si>
  <si>
    <t>机械设备</t>
  </si>
  <si>
    <t>电气设备</t>
  </si>
  <si>
    <t>雷达、无线电和卫星导航设备</t>
  </si>
  <si>
    <t>通信设备</t>
  </si>
  <si>
    <t>广播、电视、电影设备</t>
  </si>
  <si>
    <t>电子和通信测量仪器</t>
  </si>
  <si>
    <t>计量标准器及量具、衡器</t>
  </si>
  <si>
    <t>探矿、采矿、选矿和造块设备</t>
  </si>
  <si>
    <t>石油天然气开采专用设备</t>
  </si>
  <si>
    <t>炼焦和金属冶炼轧制设备</t>
  </si>
  <si>
    <t>电力工业专用设备</t>
  </si>
  <si>
    <t>非金属矿物制品工业专用设备</t>
  </si>
  <si>
    <t>核工业专用设备</t>
  </si>
  <si>
    <t>航空航天工业专用设备</t>
  </si>
  <si>
    <t>工程机械</t>
  </si>
  <si>
    <t>农业和林业机械</t>
  </si>
  <si>
    <t>木材采集和加工设备</t>
  </si>
  <si>
    <t>食品加工专用设备</t>
  </si>
  <si>
    <t>饮料加工设备</t>
  </si>
  <si>
    <t>烟草加工设备</t>
  </si>
  <si>
    <t>粮油作物和饲料加工设备</t>
  </si>
  <si>
    <t>纺织设备</t>
  </si>
  <si>
    <t>缝纫、服饰、改革和毛皮加工设备</t>
  </si>
  <si>
    <t>造纸和印刷机械</t>
  </si>
  <si>
    <t>化学药品和中药专用设备</t>
  </si>
  <si>
    <t>医疗设备</t>
  </si>
  <si>
    <t>电工、电子专用生产设备</t>
  </si>
  <si>
    <t>安全生产设备</t>
  </si>
  <si>
    <t>邮政专用设备</t>
  </si>
  <si>
    <t>环境污染防治设备</t>
  </si>
  <si>
    <t>公安专用设备</t>
  </si>
  <si>
    <t>水工机械</t>
  </si>
  <si>
    <t>殡葬设备及用品</t>
  </si>
  <si>
    <t>铁路运输设备</t>
  </si>
  <si>
    <t>水上交通运输设备</t>
  </si>
  <si>
    <t>航空器及其配套设备</t>
  </si>
  <si>
    <t>专用仪器仪表</t>
  </si>
  <si>
    <t>文艺设备</t>
  </si>
  <si>
    <t>体育设备</t>
  </si>
  <si>
    <t>娱乐设备</t>
  </si>
  <si>
    <t>码值：RediscountType</t>
  </si>
  <si>
    <t>RediscountType</t>
  </si>
  <si>
    <t>再贴现方式</t>
  </si>
  <si>
    <t>码值：ConstructionContractType</t>
  </si>
  <si>
    <t>ConstructionContractType</t>
  </si>
  <si>
    <t>价格和日期都固定的总承包工程、采购及建设合同</t>
  </si>
  <si>
    <t>价格和日期都固定的承包建设合同，有一家或一家以上的承包商</t>
  </si>
  <si>
    <t>缺乏价格固定的总承包合同或合同不完整和/或存在与各承包商多方联络的问题</t>
  </si>
  <si>
    <t>码值：ConsignerType</t>
  </si>
  <si>
    <t>ConsignerType</t>
  </si>
  <si>
    <t>委托人类型</t>
  </si>
  <si>
    <t>机构</t>
  </si>
  <si>
    <t>码值：偿债基金来源情况</t>
  </si>
  <si>
    <t>偿债基金来源情况</t>
  </si>
  <si>
    <t>码值：CommentItemType</t>
  </si>
  <si>
    <t>CommentItemType</t>
  </si>
  <si>
    <t>注释类型</t>
  </si>
  <si>
    <t>FAQ 常见问题</t>
  </si>
  <si>
    <t>界面功能说明</t>
  </si>
  <si>
    <t>技术说明</t>
  </si>
  <si>
    <t>程序注释</t>
  </si>
  <si>
    <t>工作手册</t>
  </si>
  <si>
    <t>名词解释</t>
  </si>
  <si>
    <t>码值：tOperateType</t>
  </si>
  <si>
    <t>tOperateType</t>
  </si>
  <si>
    <t>客户转移操作类型</t>
  </si>
  <si>
    <t>转入</t>
  </si>
  <si>
    <t>转出</t>
  </si>
  <si>
    <t>码值：DocumentKind</t>
  </si>
  <si>
    <t>DocumentKind</t>
  </si>
  <si>
    <t>文档性质</t>
  </si>
  <si>
    <t>*.txt</t>
  </si>
  <si>
    <t>*.doc</t>
  </si>
  <si>
    <t>*.xls</t>
  </si>
  <si>
    <t>码值：DebtServiceFunds</t>
  </si>
  <si>
    <t>DebtServiceFunds</t>
  </si>
  <si>
    <t>码值：StudentLoanType</t>
  </si>
  <si>
    <t>StudentLoanType</t>
  </si>
  <si>
    <t>类别</t>
  </si>
  <si>
    <t xml:space="preserve">010	</t>
  </si>
  <si>
    <t>码值：DutyType</t>
  </si>
  <si>
    <t>DutyType</t>
  </si>
  <si>
    <t>责任类别</t>
  </si>
  <si>
    <t>不良资产形成责任</t>
  </si>
  <si>
    <t>保全管理责任</t>
  </si>
  <si>
    <t>码值：土地储备周边环境</t>
  </si>
  <si>
    <t>土地储备周边环境</t>
  </si>
  <si>
    <t>码值：EntAssetsType</t>
  </si>
  <si>
    <t>EntAssetsType</t>
  </si>
  <si>
    <t>公司客户资产类型</t>
  </si>
  <si>
    <t>其它资产</t>
  </si>
  <si>
    <t>码值：SpecIndustryType</t>
  </si>
  <si>
    <t>SpecIndustryType</t>
  </si>
  <si>
    <t>特定行业分类</t>
  </si>
  <si>
    <t>非经营性基础设施贷款</t>
  </si>
  <si>
    <t>经营性基础设施贷款</t>
  </si>
  <si>
    <t>开发区贷款</t>
  </si>
  <si>
    <t>码值：SoilUtility</t>
  </si>
  <si>
    <t>SoilUtility</t>
  </si>
  <si>
    <t>农用</t>
  </si>
  <si>
    <t>居住</t>
  </si>
  <si>
    <t>商业旅游娱乐</t>
  </si>
  <si>
    <t>教科文</t>
  </si>
  <si>
    <t>码值：LostReason2</t>
  </si>
  <si>
    <t>LostReason2</t>
  </si>
  <si>
    <t>码值：NotTransferStatus</t>
  </si>
  <si>
    <t>NotTransferStatus</t>
  </si>
  <si>
    <t>未过户状态</t>
  </si>
  <si>
    <t>抵押登记</t>
  </si>
  <si>
    <t>查封</t>
  </si>
  <si>
    <t>码值：HourseSort</t>
  </si>
  <si>
    <t>HourseSort</t>
  </si>
  <si>
    <t>房屋类别</t>
  </si>
  <si>
    <t>商住两用</t>
  </si>
  <si>
    <t>码值：ClrTypeStatus</t>
  </si>
  <si>
    <t>ClrTypeStatus</t>
  </si>
  <si>
    <t xml:space="preserve">押品类型状态
</t>
  </si>
  <si>
    <t>启用</t>
  </si>
  <si>
    <t>禁用</t>
  </si>
  <si>
    <t>码值：CustomerClear</t>
  </si>
  <si>
    <t>CustomerClear</t>
  </si>
  <si>
    <t>客户管理工具</t>
  </si>
  <si>
    <t>客户关键信息修改</t>
  </si>
  <si>
    <t>客户权限转移</t>
  </si>
  <si>
    <t>00400010</t>
  </si>
  <si>
    <t>客户转让申请</t>
  </si>
  <si>
    <t>004000100010</t>
  </si>
  <si>
    <t>客户转出申请</t>
  </si>
  <si>
    <t>004000100020</t>
  </si>
  <si>
    <t>客户转入申请</t>
  </si>
  <si>
    <t>004000100030</t>
  </si>
  <si>
    <t>00400020</t>
  </si>
  <si>
    <t>客户转让确认</t>
  </si>
  <si>
    <t>004000200010</t>
  </si>
  <si>
    <t>待确认请求</t>
  </si>
  <si>
    <t>004000200020</t>
  </si>
  <si>
    <t>已确认请求</t>
  </si>
  <si>
    <t>004000200030</t>
  </si>
  <si>
    <t>已拒绝请求</t>
  </si>
  <si>
    <t>码值：建设合同类型</t>
  </si>
  <si>
    <t>建设合同类型</t>
  </si>
  <si>
    <t>码值：财政政策</t>
  </si>
  <si>
    <t>财政政策</t>
  </si>
  <si>
    <t>码值：BillUsageType</t>
  </si>
  <si>
    <t>BillUsageType</t>
  </si>
  <si>
    <t>码值：AgencyType1</t>
  </si>
  <si>
    <t>AgencyType1</t>
  </si>
  <si>
    <t>代理类别</t>
  </si>
  <si>
    <t>码值：ManagementAbility</t>
  </si>
  <si>
    <t>ManagementAbility</t>
  </si>
  <si>
    <t>码值：ParamType</t>
  </si>
  <si>
    <t>ParamType</t>
  </si>
  <si>
    <t>参数获取方式</t>
  </si>
  <si>
    <t>MANUAL</t>
  </si>
  <si>
    <t>手动</t>
  </si>
  <si>
    <t>码值：PaymentApplyMain</t>
  </si>
  <si>
    <t>PaymentApplyMain</t>
  </si>
  <si>
    <t>支付申请主树图</t>
  </si>
  <si>
    <t>待处理支付申请</t>
  </si>
  <si>
    <t>审查审批中支付申请</t>
  </si>
  <si>
    <t>退回补充资料支付申请</t>
  </si>
  <si>
    <t>审批通过支付申请</t>
  </si>
  <si>
    <t>被否决支付申请</t>
  </si>
  <si>
    <t>已归档支付申请</t>
  </si>
  <si>
    <t>码值：从业经验</t>
  </si>
  <si>
    <t>从业经验</t>
  </si>
  <si>
    <t>码值：GroupIrregularCheckApproveMain</t>
  </si>
  <si>
    <t>GroupIrregularCheckApproveMain</t>
  </si>
  <si>
    <t>单一公司贷后定期检查审批批主树图</t>
  </si>
  <si>
    <t>码值：PartnerProjChangeFMain</t>
  </si>
  <si>
    <t>PartnerProjChangeFMain</t>
  </si>
  <si>
    <t>码值：债务偿还资金安排</t>
  </si>
  <si>
    <t>债务偿还资金安排</t>
  </si>
  <si>
    <t xml:space="preserve">还贷来源部分列入政府财政预算，信贷资金保障程度较高 </t>
  </si>
  <si>
    <t>码值：CapitalsourceStyle</t>
  </si>
  <si>
    <t>CapitalsourceStyle</t>
  </si>
  <si>
    <t>项目资本金</t>
  </si>
  <si>
    <t>金融机构融资</t>
  </si>
  <si>
    <t>其他自筹资金</t>
  </si>
  <si>
    <t>码值：BookType</t>
  </si>
  <si>
    <t>BookType</t>
  </si>
  <si>
    <t>台帐类型</t>
  </si>
  <si>
    <t>支付令台帐</t>
  </si>
  <si>
    <t>诉前台帐</t>
  </si>
  <si>
    <t>诉讼保全台帐</t>
  </si>
  <si>
    <t>立案台帐</t>
  </si>
  <si>
    <t>一审台帐</t>
  </si>
  <si>
    <t>二审台帐</t>
  </si>
  <si>
    <t>再审台帐</t>
  </si>
  <si>
    <t>公证台帐</t>
  </si>
  <si>
    <t>仲裁台帐</t>
  </si>
  <si>
    <t>执行台帐</t>
  </si>
  <si>
    <t>破产台帐</t>
  </si>
  <si>
    <t>码值：PersonalAnnualIncome</t>
  </si>
  <si>
    <t>PersonalAnnualIncome</t>
  </si>
  <si>
    <t>码值：ImportanceLevel</t>
  </si>
  <si>
    <t>ImportanceLevel</t>
  </si>
  <si>
    <t>码值：CusAssetAndOweMain</t>
  </si>
  <si>
    <t>CusAssetAndOweMain</t>
  </si>
  <si>
    <t>客户资产与负债明细主树图</t>
  </si>
  <si>
    <t>码值：ScorereSource</t>
  </si>
  <si>
    <t>ScorereSource</t>
  </si>
  <si>
    <t>信用等级依据</t>
  </si>
  <si>
    <t>国际评级穆迪</t>
  </si>
  <si>
    <t>国际评级标普</t>
  </si>
  <si>
    <t>国际评级惠誉</t>
  </si>
  <si>
    <t>内部测算打分</t>
  </si>
  <si>
    <t>未满1年可不评级</t>
  </si>
  <si>
    <t>低风险业务认定评级</t>
  </si>
  <si>
    <t>码值：RightType</t>
  </si>
  <si>
    <t>RightType</t>
  </si>
  <si>
    <t>客户转移权限类型</t>
  </si>
  <si>
    <t>管户权</t>
  </si>
  <si>
    <t>维护权</t>
  </si>
  <si>
    <t>码值：ShipType</t>
  </si>
  <si>
    <t>ShipType</t>
  </si>
  <si>
    <t>船舶类型</t>
  </si>
  <si>
    <t>散货船</t>
  </si>
  <si>
    <t>集装箱船</t>
  </si>
  <si>
    <t>油船</t>
  </si>
  <si>
    <t>多用途船</t>
  </si>
  <si>
    <t>海工船</t>
  </si>
  <si>
    <t>拖船</t>
  </si>
  <si>
    <t>驳船</t>
  </si>
  <si>
    <t>客运船</t>
  </si>
  <si>
    <t>渔船</t>
  </si>
  <si>
    <t>其他类型船舶</t>
  </si>
  <si>
    <t>码值：周边房产成交情况</t>
  </si>
  <si>
    <t>周边房产成交情况</t>
  </si>
  <si>
    <t>周边相似类型房产成交情况</t>
  </si>
  <si>
    <t>码值：贷款用途</t>
  </si>
  <si>
    <t>贷款用途</t>
  </si>
  <si>
    <t>码值：DealRelationType</t>
  </si>
  <si>
    <t>DealRelationType</t>
  </si>
  <si>
    <t>与借款人关系</t>
  </si>
  <si>
    <t>同名</t>
  </si>
  <si>
    <t>供销</t>
  </si>
  <si>
    <t>关联企业</t>
  </si>
  <si>
    <t>码值：RetrialPhase</t>
  </si>
  <si>
    <t>RetrialPhase</t>
  </si>
  <si>
    <t>再审程序</t>
  </si>
  <si>
    <t>再审一审</t>
  </si>
  <si>
    <t>再审二审</t>
  </si>
  <si>
    <t>码值：ContractStatus</t>
  </si>
  <si>
    <t>ContractStatus</t>
  </si>
  <si>
    <t>合同状态</t>
  </si>
  <si>
    <t>已失效合同</t>
  </si>
  <si>
    <t>码值：TradeType</t>
  </si>
  <si>
    <t>TradeType</t>
  </si>
  <si>
    <t>贸易方式</t>
  </si>
  <si>
    <t>O/A</t>
  </si>
  <si>
    <t>承兑交单</t>
  </si>
  <si>
    <t>码值：AuthorType</t>
  </si>
  <si>
    <t>AuthorType</t>
  </si>
  <si>
    <t>授权种类</t>
  </si>
  <si>
    <t>授信审批授权</t>
  </si>
  <si>
    <t>出账审批授权</t>
  </si>
  <si>
    <t>码值：AgencyEventStatus</t>
  </si>
  <si>
    <t>AgencyEventStatus</t>
  </si>
  <si>
    <t>警示状态</t>
  </si>
  <si>
    <t>生效中</t>
  </si>
  <si>
    <t>失效中</t>
  </si>
  <si>
    <t>码值：CaseBrief</t>
  </si>
  <si>
    <t>CaseBrief</t>
  </si>
  <si>
    <t>案由</t>
  </si>
  <si>
    <t>借款纠纷</t>
  </si>
  <si>
    <t>拆借纠纷</t>
  </si>
  <si>
    <t>侵权纠纷</t>
  </si>
  <si>
    <t>承兑汇票</t>
  </si>
  <si>
    <t>信用证纠纷</t>
  </si>
  <si>
    <t>保理纠纷</t>
  </si>
  <si>
    <t>码值：ReviewStyle</t>
  </si>
  <si>
    <t>ReviewStyle</t>
  </si>
  <si>
    <t>再审案件复查方式</t>
  </si>
  <si>
    <t>书面复查</t>
  </si>
  <si>
    <t>听证会</t>
  </si>
  <si>
    <t>码值：GroupRegularCheckApproveMain</t>
  </si>
  <si>
    <t>GroupRegularCheckApproveMain</t>
  </si>
  <si>
    <t>码值：OccupyMod</t>
  </si>
  <si>
    <t>OccupyMod</t>
  </si>
  <si>
    <t>占有类型</t>
  </si>
  <si>
    <t>HaveOccupyOne</t>
  </si>
  <si>
    <t>有则必占其一</t>
  </si>
  <si>
    <t>MustOccupyOne</t>
  </si>
  <si>
    <t>必占其一</t>
  </si>
  <si>
    <t>UnnecessaryOccupy</t>
  </si>
  <si>
    <t>非必占</t>
  </si>
  <si>
    <t>码值：RepayCycle</t>
  </si>
  <si>
    <t>RepayCycle</t>
  </si>
  <si>
    <t>双月</t>
  </si>
  <si>
    <t>码值：ReserveApplyMain</t>
  </si>
  <si>
    <t>ReserveApplyMain</t>
  </si>
  <si>
    <t>单项计提减值准备认定申请树图</t>
  </si>
  <si>
    <t>待处理单项计提申请</t>
  </si>
  <si>
    <t>审查审批中的单项计提申请</t>
  </si>
  <si>
    <t>退回重新预测未来现金流</t>
  </si>
  <si>
    <t>单项计提待转组合计提</t>
  </si>
  <si>
    <t>已归档的单项计提申请</t>
  </si>
  <si>
    <t>码值：SpecialCheckApplyMain</t>
  </si>
  <si>
    <t>SpecialCheckApplyMain</t>
  </si>
  <si>
    <t>码值：ProjectRegularCheckApproveMain</t>
  </si>
  <si>
    <t>ProjectRegularCheckApproveMain</t>
  </si>
  <si>
    <t>合作项目检查审批主树图</t>
  </si>
  <si>
    <t>码值：当地产业政策</t>
  </si>
  <si>
    <t>当地产业政策</t>
  </si>
  <si>
    <t>码值：BondIssuance</t>
  </si>
  <si>
    <t>BondIssuance</t>
  </si>
  <si>
    <t>码值：CreditLimitFlowAppMain</t>
  </si>
  <si>
    <t>CreditLimitFlowAppMain</t>
  </si>
  <si>
    <t>码值：SMECreditReplace</t>
  </si>
  <si>
    <t>SMECreditReplace</t>
  </si>
  <si>
    <t>产品替代性</t>
  </si>
  <si>
    <t>码值：InsuranceaType</t>
  </si>
  <si>
    <t>InsuranceaType</t>
  </si>
  <si>
    <t>保险费交缴方式</t>
  </si>
  <si>
    <t>分期</t>
  </si>
  <si>
    <t>趸交</t>
  </si>
  <si>
    <t>码值：行业政策</t>
  </si>
  <si>
    <t>码值：FinalApproveType</t>
  </si>
  <si>
    <t>FinalApproveType</t>
  </si>
  <si>
    <t>最终审批意见类型</t>
  </si>
  <si>
    <t>同意最终审批意见</t>
  </si>
  <si>
    <t>否决最终审批意见</t>
  </si>
  <si>
    <t>码值：OwnershipStructure</t>
  </si>
  <si>
    <t>OwnershipStructure</t>
  </si>
  <si>
    <t>码值：行业年限1</t>
  </si>
  <si>
    <t>行业年限1</t>
  </si>
  <si>
    <t>8年及8年以上</t>
  </si>
  <si>
    <t>5年至8年</t>
  </si>
  <si>
    <t>5年以下</t>
  </si>
  <si>
    <t>码值：DebtType</t>
  </si>
  <si>
    <t>DebtType</t>
  </si>
  <si>
    <t>其它负债类型</t>
  </si>
  <si>
    <t>个人借贷(借入)</t>
  </si>
  <si>
    <t>应付帐单</t>
  </si>
  <si>
    <t>码值：ImportanceOfGoverment</t>
  </si>
  <si>
    <t>ImportanceOfGoverment</t>
  </si>
  <si>
    <t>码值：金融资产</t>
  </si>
  <si>
    <t>金融资产</t>
  </si>
  <si>
    <t xml:space="preserve">10万元－30万元(含30万元) </t>
  </si>
  <si>
    <t>码值：ComponentParameterDataType</t>
  </si>
  <si>
    <t>ComponentParameterDataType</t>
  </si>
  <si>
    <t>业务组件参数数据类型</t>
  </si>
  <si>
    <t>文本</t>
  </si>
  <si>
    <t>选项</t>
  </si>
  <si>
    <t>码值：HouseStructureType</t>
  </si>
  <si>
    <t>HouseStructureType</t>
  </si>
  <si>
    <t>房产结构类型</t>
  </si>
  <si>
    <t>Athse</t>
  </si>
  <si>
    <t>附属物</t>
  </si>
  <si>
    <t>Bung</t>
  </si>
  <si>
    <t>平房</t>
  </si>
  <si>
    <t>High</t>
  </si>
  <si>
    <t>高层</t>
  </si>
  <si>
    <t>Other</t>
  </si>
  <si>
    <t>Villa</t>
  </si>
  <si>
    <t>low</t>
  </si>
  <si>
    <t>低层(带电梯)</t>
  </si>
  <si>
    <t>low1</t>
  </si>
  <si>
    <t>低层</t>
  </si>
  <si>
    <t>码值：行业年限2</t>
  </si>
  <si>
    <t>行业年限2</t>
  </si>
  <si>
    <t>10年及10年以上</t>
  </si>
  <si>
    <t>5年至10年</t>
  </si>
  <si>
    <t>码值：EconomicType</t>
  </si>
  <si>
    <t>EconomicType</t>
  </si>
  <si>
    <t>经济类型</t>
  </si>
  <si>
    <t>国有控股</t>
  </si>
  <si>
    <t>联营</t>
  </si>
  <si>
    <t>股份有限</t>
  </si>
  <si>
    <t>有限责任</t>
  </si>
  <si>
    <t>股份合作</t>
  </si>
  <si>
    <t>三资（中外合资）</t>
  </si>
  <si>
    <t>港澳台合资</t>
  </si>
  <si>
    <t>码值：PlantformTask</t>
  </si>
  <si>
    <t>PlantformTask</t>
  </si>
  <si>
    <t>工作台待处理任务</t>
  </si>
  <si>
    <t>2344</t>
  </si>
  <si>
    <t>32434</t>
  </si>
  <si>
    <t>2345</t>
  </si>
  <si>
    <t>32435</t>
  </si>
  <si>
    <t>2346</t>
  </si>
  <si>
    <t>2347</t>
  </si>
  <si>
    <t>码值：PreIntType</t>
  </si>
  <si>
    <t>PreIntType</t>
  </si>
  <si>
    <t>预收息标志</t>
  </si>
  <si>
    <t>不预收</t>
  </si>
  <si>
    <t>先入帐再扣收</t>
  </si>
  <si>
    <t>先扣收再发放</t>
  </si>
  <si>
    <t>码值：CheckStyle</t>
  </si>
  <si>
    <t>CheckStyle</t>
  </si>
  <si>
    <t>检查方式</t>
  </si>
  <si>
    <t>码值：土地储备面积</t>
  </si>
  <si>
    <t>土地储备面积</t>
  </si>
  <si>
    <t>1万平方米以上</t>
  </si>
  <si>
    <t>1万平方米以下</t>
  </si>
  <si>
    <t>码值：CorpusMortgagePayMethod</t>
  </si>
  <si>
    <t>CorpusMortgagePayMethod</t>
  </si>
  <si>
    <t>码值：DOType</t>
  </si>
  <si>
    <t>DOType</t>
  </si>
  <si>
    <t>数据对象分类</t>
  </si>
  <si>
    <t>显示模版</t>
  </si>
  <si>
    <t>30010</t>
  </si>
  <si>
    <t>01.客户管理</t>
  </si>
  <si>
    <t>30015</t>
  </si>
  <si>
    <t>New.新客户管理</t>
  </si>
  <si>
    <t>30020</t>
  </si>
  <si>
    <t>02.评级管理</t>
  </si>
  <si>
    <t>30030</t>
  </si>
  <si>
    <t>03.授信申请</t>
  </si>
  <si>
    <t>30040</t>
  </si>
  <si>
    <t>04.审批流程</t>
  </si>
  <si>
    <t>30050</t>
  </si>
  <si>
    <t>05.终审批复</t>
  </si>
  <si>
    <t>30060</t>
  </si>
  <si>
    <t>06.合同管理</t>
  </si>
  <si>
    <t>30070</t>
  </si>
  <si>
    <t>07.担保管理</t>
  </si>
  <si>
    <t>30080</t>
  </si>
  <si>
    <t>08.出账日终</t>
  </si>
  <si>
    <t>30090</t>
  </si>
  <si>
    <t>09.贷后管理</t>
  </si>
  <si>
    <t>30100</t>
  </si>
  <si>
    <t>10.资产保全</t>
  </si>
  <si>
    <t>30110</t>
  </si>
  <si>
    <t>11.减值准备</t>
  </si>
  <si>
    <t>30120</t>
  </si>
  <si>
    <t>12.额度管理</t>
  </si>
  <si>
    <t>30130</t>
  </si>
  <si>
    <t>电子合同</t>
  </si>
  <si>
    <t>30140</t>
  </si>
  <si>
    <t>14.系统管理</t>
  </si>
  <si>
    <t>30150</t>
  </si>
  <si>
    <t>15.政策管理</t>
  </si>
  <si>
    <t>30170</t>
  </si>
  <si>
    <t>16.资产转受让</t>
  </si>
  <si>
    <t>30180</t>
  </si>
  <si>
    <t>17.选择对话框</t>
  </si>
  <si>
    <t>30190</t>
  </si>
  <si>
    <t>New.系统管理</t>
  </si>
  <si>
    <t>30200</t>
  </si>
  <si>
    <t>New.授信申请</t>
  </si>
  <si>
    <t>30210</t>
  </si>
  <si>
    <t>New.担保管理</t>
  </si>
  <si>
    <t>30220</t>
  </si>
  <si>
    <t>New.产品管理</t>
  </si>
  <si>
    <t>30230</t>
  </si>
  <si>
    <t>New.贷后管理</t>
  </si>
  <si>
    <t>30240</t>
  </si>
  <si>
    <t>New.签约放款</t>
  </si>
  <si>
    <t>30250</t>
  </si>
  <si>
    <t>New.核算交易管理</t>
  </si>
  <si>
    <t>30260</t>
  </si>
  <si>
    <t>调查报告</t>
  </si>
  <si>
    <t>30270</t>
  </si>
  <si>
    <t>New.电子合同</t>
  </si>
  <si>
    <t>30280</t>
  </si>
  <si>
    <t>New.统计查询</t>
  </si>
  <si>
    <t>码值：DevelopType</t>
  </si>
  <si>
    <t>DevelopType</t>
  </si>
  <si>
    <t>开发类型</t>
  </si>
  <si>
    <t>商业用房开发项目</t>
  </si>
  <si>
    <t>保障性住房</t>
  </si>
  <si>
    <t>安置房</t>
  </si>
  <si>
    <t>码值：PositionYear</t>
  </si>
  <si>
    <t>PositionYear</t>
  </si>
  <si>
    <t>码值：JoinReason</t>
  </si>
  <si>
    <t>JoinReason</t>
  </si>
  <si>
    <t>加入原因</t>
  </si>
  <si>
    <t>共同第三方控制</t>
  </si>
  <si>
    <t>直接控制（共同控制人）</t>
  </si>
  <si>
    <t>间接控制（共同控制人）</t>
  </si>
  <si>
    <t>码值：ReinforceIndView</t>
  </si>
  <si>
    <t>ReinforceIndView</t>
  </si>
  <si>
    <t>补登个人客户视图</t>
  </si>
  <si>
    <t>个人基本信息</t>
  </si>
  <si>
    <t>码值：HouseSituation</t>
  </si>
  <si>
    <t>HouseSituation</t>
  </si>
  <si>
    <t xml:space="preserve">自购商品房 </t>
  </si>
  <si>
    <t xml:space="preserve">单位福利房 </t>
  </si>
  <si>
    <t xml:space="preserve">租房 </t>
  </si>
  <si>
    <t>无房</t>
  </si>
  <si>
    <t>码值：InnovationAbility</t>
  </si>
  <si>
    <t>InnovationAbility</t>
  </si>
  <si>
    <t>码值：IndIrregularCheckMain</t>
  </si>
  <si>
    <t>IndIrregularCheckMain</t>
  </si>
  <si>
    <t>码值：Parent/SubsupportStructure</t>
  </si>
  <si>
    <t>Parent/SubsupportStructure</t>
  </si>
  <si>
    <t>或者虽然存在母子公司关系，但是母公司对子公司债务不承担责任</t>
  </si>
  <si>
    <t>不存在母子公司关系</t>
  </si>
  <si>
    <t>码值：LinkageVieWDemo</t>
  </si>
  <si>
    <t>LinkageVieWDemo</t>
  </si>
  <si>
    <t>客户页面联动树图</t>
  </si>
  <si>
    <t>码值：LoanFlag</t>
  </si>
  <si>
    <t>LoanFlag</t>
  </si>
  <si>
    <t>借贷标志</t>
  </si>
  <si>
    <t>码值：CountBasic</t>
  </si>
  <si>
    <t>CountBasic</t>
  </si>
  <si>
    <t>CB01</t>
  </si>
  <si>
    <t>CB02</t>
  </si>
  <si>
    <t>CB03</t>
  </si>
  <si>
    <t>CB04</t>
  </si>
  <si>
    <t>CB05</t>
  </si>
  <si>
    <t>CB06</t>
  </si>
  <si>
    <t>码值：GovermentSupport</t>
  </si>
  <si>
    <t>GovermentSupport</t>
  </si>
  <si>
    <t>客户所属政府或主管部门为中央级别；或人均可支配收入水平居全国前列，且地方本级财政总收入位居全国前列</t>
  </si>
  <si>
    <t>客户所在地方人均可支配收入水平居全国中游，且地方本级财政总收入位居全国前列</t>
  </si>
  <si>
    <t>客户所在地方人均可支配收入水平居全国中游，且地方本级财政总收入位居全国中游</t>
  </si>
  <si>
    <t>客户所在地方人均可支配收入水平居全国下游，且地方本级财政总收入位居全国中游</t>
  </si>
  <si>
    <t>客户所在地方人均可支配收入水平居全国下游，且地方本级财政总收入位居全国下游</t>
  </si>
  <si>
    <t>码值：IndCertType</t>
  </si>
  <si>
    <t>IndCertType</t>
  </si>
  <si>
    <t>个人证件类型</t>
  </si>
  <si>
    <t>码值：控股投资人与其关系</t>
  </si>
  <si>
    <t>控股投资人与其关系</t>
  </si>
  <si>
    <t>码值：PrePayInterestDaysFlag</t>
  </si>
  <si>
    <t>PrePayInterestDaysFlag</t>
  </si>
  <si>
    <t>提前还款计息模式</t>
  </si>
  <si>
    <t>码值：CatalogTreeView</t>
  </si>
  <si>
    <t>CatalogTreeView</t>
  </si>
  <si>
    <t>格式化报告目录详情视图</t>
  </si>
  <si>
    <t>待完成目录</t>
  </si>
  <si>
    <t>已完成目录</t>
  </si>
  <si>
    <t>码值：Competitiveness</t>
  </si>
  <si>
    <t>Competitiveness</t>
  </si>
  <si>
    <t>客户获得所在行业最高等级的资质认证，近3年事业收入连年增长，业绩在同行业中处于领先地位</t>
  </si>
  <si>
    <t>客户在本省区认知接受程度很高，最近2年收入增长为正，业绩在同行业中处于上游</t>
  </si>
  <si>
    <t>客户在本地区内有一定知名度，去年的收入增长为正，业绩接近行业平均水平</t>
  </si>
  <si>
    <t>客户在本地区内没有知名度，去年为负，但此前为正，业绩明显低于行业平均水平</t>
  </si>
  <si>
    <t>客户事业收入连年下降，亏损严重</t>
  </si>
  <si>
    <t>码值：完成项目情况</t>
  </si>
  <si>
    <t>完成项目情况</t>
  </si>
  <si>
    <t>已完工1个及1个项目以上</t>
  </si>
  <si>
    <t>1个项目也未完成的</t>
  </si>
  <si>
    <t>码值：PersonType</t>
  </si>
  <si>
    <t>PersonType</t>
  </si>
  <si>
    <t>案件相关人员类别</t>
  </si>
  <si>
    <t>案件当事人</t>
  </si>
  <si>
    <t>法院方人员</t>
  </si>
  <si>
    <t>代理人</t>
  </si>
  <si>
    <t>码值：FinalInstalmentFlag</t>
  </si>
  <si>
    <t>FinalInstalmentFlag</t>
  </si>
  <si>
    <t>末期还款约定方式</t>
  </si>
  <si>
    <t>最后一期合并</t>
  </si>
  <si>
    <t>最后一期拆分</t>
  </si>
  <si>
    <t>自动顺延直至贷款到期</t>
  </si>
  <si>
    <t>码值：SMECreditTLevel</t>
  </si>
  <si>
    <t>SMECreditTLevel</t>
  </si>
  <si>
    <t>技术水平</t>
  </si>
  <si>
    <t>高于行业平均水平</t>
  </si>
  <si>
    <t>行业平均水平</t>
  </si>
  <si>
    <t>低于行业平均水平</t>
  </si>
  <si>
    <t>码值：PrepaymentType</t>
  </si>
  <si>
    <t>PrepaymentType</t>
  </si>
  <si>
    <t>提前还款方式</t>
  </si>
  <si>
    <t>码值：SpecialStructureType</t>
  </si>
  <si>
    <t>SpecialStructureType</t>
  </si>
  <si>
    <t>构造物类型</t>
  </si>
  <si>
    <t>车位、车库</t>
  </si>
  <si>
    <t>加油站</t>
  </si>
  <si>
    <t>铁路</t>
  </si>
  <si>
    <t>机场</t>
  </si>
  <si>
    <t>码头</t>
  </si>
  <si>
    <t>港口</t>
  </si>
  <si>
    <t>井巷</t>
  </si>
  <si>
    <t>公路</t>
  </si>
  <si>
    <t>水坝</t>
  </si>
  <si>
    <t>储油罐</t>
  </si>
  <si>
    <t>管道</t>
  </si>
  <si>
    <t>码值：RightCertType</t>
  </si>
  <si>
    <t>RightCertType</t>
  </si>
  <si>
    <t>权证类型</t>
  </si>
  <si>
    <t>不动产登记证明（房屋他项权证）</t>
  </si>
  <si>
    <t>期房他项权证</t>
  </si>
  <si>
    <t>土地使用权证</t>
  </si>
  <si>
    <t>土地他项权利证书</t>
  </si>
  <si>
    <t>在建工程抵押登记证明</t>
  </si>
  <si>
    <t>不动产登记证明-公积金</t>
  </si>
  <si>
    <t>结构性存款质押存单</t>
  </si>
  <si>
    <t>1070</t>
  </si>
  <si>
    <t>债券</t>
  </si>
  <si>
    <t>1080</t>
  </si>
  <si>
    <t>票据</t>
  </si>
  <si>
    <t>1090</t>
  </si>
  <si>
    <t>保单正本、保险公司出具相关证明</t>
  </si>
  <si>
    <t>1100</t>
  </si>
  <si>
    <t>理财协议书或理财产品合同</t>
  </si>
  <si>
    <t>1110</t>
  </si>
  <si>
    <t>收费权质押登记证明</t>
  </si>
  <si>
    <t>1120</t>
  </si>
  <si>
    <t>已经背书“质押”字样的仓单/提单</t>
  </si>
  <si>
    <t>1130</t>
  </si>
  <si>
    <t>机动车登记证书</t>
  </si>
  <si>
    <t>1140</t>
  </si>
  <si>
    <t>贵金属出质证明书或托管证明</t>
  </si>
  <si>
    <t>1150</t>
  </si>
  <si>
    <t>证券质押登记证明书（上市）</t>
  </si>
  <si>
    <t>1160</t>
  </si>
  <si>
    <t>股权质押登记证明书（非上市）</t>
  </si>
  <si>
    <t>1170</t>
  </si>
  <si>
    <t>机器设备抵押登记证书</t>
  </si>
  <si>
    <t>1180</t>
  </si>
  <si>
    <t>船舶抵押权登记证书</t>
  </si>
  <si>
    <t>1190</t>
  </si>
  <si>
    <t>森林资源资产抵押登记证</t>
  </si>
  <si>
    <t>1200</t>
  </si>
  <si>
    <t>海域使用权登记证明</t>
  </si>
  <si>
    <t>1210</t>
  </si>
  <si>
    <t>民用航空器抵押权登记证书</t>
  </si>
  <si>
    <t>1220</t>
  </si>
  <si>
    <t>商标专用权质押登记证</t>
  </si>
  <si>
    <t>1230</t>
  </si>
  <si>
    <t>专利权质押合同登记通知书</t>
  </si>
  <si>
    <t>1240</t>
  </si>
  <si>
    <t>著作权质押合同登记证</t>
  </si>
  <si>
    <t>1250</t>
  </si>
  <si>
    <t>人行应收账款质押登记证明</t>
  </si>
  <si>
    <t>1260</t>
  </si>
  <si>
    <t>汽车合格证</t>
  </si>
  <si>
    <t>1270</t>
  </si>
  <si>
    <t>出租车营运证</t>
  </si>
  <si>
    <t>1280</t>
  </si>
  <si>
    <t>备用信用证</t>
  </si>
  <si>
    <t>1290</t>
  </si>
  <si>
    <t>1300</t>
  </si>
  <si>
    <t>收件单（二手房按揭）</t>
  </si>
  <si>
    <t>1310</t>
  </si>
  <si>
    <t>其他抵押或质押登记证</t>
  </si>
  <si>
    <t>码值：ServiceAreaDiversification</t>
  </si>
  <si>
    <t>ServiceAreaDiversification</t>
  </si>
  <si>
    <t>产品或服务销售范围在1个地级市之内</t>
  </si>
  <si>
    <t>码值：CLDivideType</t>
  </si>
  <si>
    <t>CLDivideType</t>
  </si>
  <si>
    <t>额度切分维度</t>
  </si>
  <si>
    <t>产品</t>
  </si>
  <si>
    <t>借款主体</t>
  </si>
  <si>
    <t>码值：ICCyc</t>
  </si>
  <si>
    <t>ICCyc</t>
  </si>
  <si>
    <t>按月计息</t>
  </si>
  <si>
    <t>按季计息</t>
  </si>
  <si>
    <t>按半年计息</t>
  </si>
  <si>
    <t>按留学半年计息</t>
  </si>
  <si>
    <t>按年计息</t>
  </si>
  <si>
    <t>按固定月数计息</t>
  </si>
  <si>
    <t>利随本清</t>
  </si>
  <si>
    <t>预扣息</t>
  </si>
  <si>
    <t>按3个月对月对日计息</t>
  </si>
  <si>
    <t>按6个月对月对日计息</t>
  </si>
  <si>
    <t>码值：BlacklistClass</t>
  </si>
  <si>
    <t>BlacklistClass</t>
  </si>
  <si>
    <t>黑名单类别</t>
  </si>
  <si>
    <t>欠息</t>
  </si>
  <si>
    <t>评为次级以下</t>
  </si>
  <si>
    <t>逃废银行债务</t>
  </si>
  <si>
    <t>提供虚假报表资料</t>
  </si>
  <si>
    <t>涉诉</t>
  </si>
  <si>
    <t>信用等级恶化</t>
  </si>
  <si>
    <t>其他情况</t>
  </si>
  <si>
    <t>码值：房地产控股投资人背景</t>
  </si>
  <si>
    <t>房地产控股投资人背景</t>
  </si>
  <si>
    <t>国际著名企业在华投资且外方投资金额在4000万美金以上</t>
  </si>
  <si>
    <t>码值：ConcedeReason</t>
  </si>
  <si>
    <t>ConcedeReason</t>
  </si>
  <si>
    <t>债权让步原因</t>
  </si>
  <si>
    <t>法院主持</t>
  </si>
  <si>
    <t>政府机构协调</t>
  </si>
  <si>
    <t>码值：ProjectStyle</t>
  </si>
  <si>
    <t>ProjectStyle</t>
  </si>
  <si>
    <t>项目分类</t>
  </si>
  <si>
    <t>码值：ICType</t>
  </si>
  <si>
    <t>ICType</t>
  </si>
  <si>
    <t>计息方式</t>
  </si>
  <si>
    <t>一次计息</t>
  </si>
  <si>
    <t>分段计息</t>
  </si>
  <si>
    <t>码值：ResearchOrg</t>
  </si>
  <si>
    <t>ResearchOrg</t>
  </si>
  <si>
    <t>码值：OccurDirection1</t>
  </si>
  <si>
    <t>OccurDirection1</t>
  </si>
  <si>
    <t>费用发生方向</t>
  </si>
  <si>
    <t>支付</t>
  </si>
  <si>
    <t>码值：OutterEvalType</t>
  </si>
  <si>
    <t>OutterEvalType</t>
  </si>
  <si>
    <t>外部评估类型</t>
  </si>
  <si>
    <t>预评估</t>
  </si>
  <si>
    <t>正式评估</t>
  </si>
  <si>
    <t>码值：AssessArea</t>
  </si>
  <si>
    <t>AssessArea</t>
  </si>
  <si>
    <t>可估价地域范围</t>
  </si>
  <si>
    <t>全国范围</t>
  </si>
  <si>
    <t>全省范围</t>
  </si>
  <si>
    <t>全市、县范围</t>
  </si>
  <si>
    <t>码值：SimpleForkFlowApprMain</t>
  </si>
  <si>
    <t>SimpleForkFlowApprMain</t>
  </si>
  <si>
    <t>码值：BaseChangeRateType</t>
  </si>
  <si>
    <t>BaseChangeRateType</t>
  </si>
  <si>
    <t>基准利率变更类型</t>
  </si>
  <si>
    <t>码值：融资平台类型</t>
  </si>
  <si>
    <t>融资平台类型</t>
  </si>
  <si>
    <t>码值：SMECreditRelative</t>
  </si>
  <si>
    <t>SMECreditRelative</t>
  </si>
  <si>
    <t>码值：AgentList</t>
  </si>
  <si>
    <t>AgentList</t>
  </si>
  <si>
    <t>代理人员信息树状菜单</t>
  </si>
  <si>
    <t>代理机构信息</t>
  </si>
  <si>
    <t>代理人信息</t>
  </si>
  <si>
    <t>码值：CustomerType</t>
  </si>
  <si>
    <t>CustomerType</t>
  </si>
  <si>
    <t>码值：融资平台财务人员</t>
  </si>
  <si>
    <t>融资平台财务人员</t>
  </si>
  <si>
    <t>码值：CapitalPurposeIndApproveMain</t>
  </si>
  <si>
    <t>CapitalPurposeIndApproveMain</t>
  </si>
  <si>
    <t>个人业务检查审批审批主树图</t>
  </si>
  <si>
    <t>码值：RatingAgency</t>
  </si>
  <si>
    <t>RatingAgency</t>
  </si>
  <si>
    <t>债券评级机构</t>
  </si>
  <si>
    <t>美国标准普尔公司</t>
  </si>
  <si>
    <t>穆迪投资服务公司</t>
  </si>
  <si>
    <t>惠誉国际信用评级有限公司</t>
  </si>
  <si>
    <t>中诚信国际信用评级有限公司</t>
  </si>
  <si>
    <t>大公国际资信评估有限公司</t>
  </si>
  <si>
    <t>联合资信评估有限公司</t>
  </si>
  <si>
    <t>上海新世纪资讯评估投资服务有限公司</t>
  </si>
  <si>
    <t>码值：BeginChargeBailTime</t>
  </si>
  <si>
    <t>BeginChargeBailTime</t>
  </si>
  <si>
    <t>开始收取保证金基准时点</t>
  </si>
  <si>
    <t>BCBT01</t>
  </si>
  <si>
    <t>房产他项权证签发日</t>
  </si>
  <si>
    <t>BCBT02</t>
  </si>
  <si>
    <t>贷款发放日</t>
  </si>
  <si>
    <t>BCBT03</t>
  </si>
  <si>
    <t>房屋所有权证签发日</t>
  </si>
  <si>
    <t>BCBT04</t>
  </si>
  <si>
    <t>国有土地他项权证签发日</t>
  </si>
  <si>
    <t>BCBT05</t>
  </si>
  <si>
    <t>交付使用通知书签发日</t>
  </si>
  <si>
    <t>BCBT06</t>
  </si>
  <si>
    <t>房地产权证签发日期</t>
  </si>
  <si>
    <t>BCBT07</t>
  </si>
  <si>
    <t>办妥抵押登记</t>
  </si>
  <si>
    <t>BCBT08</t>
  </si>
  <si>
    <t>办妥预抵押登记</t>
  </si>
  <si>
    <t>BCBT09</t>
  </si>
  <si>
    <t>国有土地使用证签发日期</t>
  </si>
  <si>
    <t>BCBT10</t>
  </si>
  <si>
    <t>贷款结清</t>
  </si>
  <si>
    <t>码值：CreditPutoutApproveMain</t>
  </si>
  <si>
    <t>CreditPutoutApproveMain</t>
  </si>
  <si>
    <t>放贷审批主树图</t>
  </si>
  <si>
    <t>码值：ListSituation</t>
  </si>
  <si>
    <t>ListSituation</t>
  </si>
  <si>
    <t>码值：ControlType</t>
  </si>
  <si>
    <t>ControlType</t>
  </si>
  <si>
    <t>控制方式</t>
  </si>
  <si>
    <t>排他</t>
  </si>
  <si>
    <t>不排他</t>
  </si>
  <si>
    <t>码值：InventionType</t>
  </si>
  <si>
    <t>InventionType</t>
  </si>
  <si>
    <t>专利发明创造类别</t>
  </si>
  <si>
    <t>非职务发明创造</t>
  </si>
  <si>
    <t>职务发明创造</t>
  </si>
  <si>
    <t>码值：RealtyRightSource</t>
  </si>
  <si>
    <t>RealtyRightSource</t>
  </si>
  <si>
    <t>房屋所有权来源</t>
  </si>
  <si>
    <t>购买</t>
  </si>
  <si>
    <t>码值：COLINPUTTYPE</t>
  </si>
  <si>
    <t>COLINPUTTYPE</t>
  </si>
  <si>
    <t>DataWindow可视化</t>
  </si>
  <si>
    <t>Address</t>
  </si>
  <si>
    <t>地址</t>
  </si>
  <si>
    <t>Checkbox</t>
  </si>
  <si>
    <t>Checkbox2</t>
  </si>
  <si>
    <t>复选框[优化只读显示]</t>
  </si>
  <si>
    <t>ColorLabel</t>
  </si>
  <si>
    <t>高亮文本框</t>
  </si>
  <si>
    <t>日期选择</t>
  </si>
  <si>
    <t>DateRange</t>
  </si>
  <si>
    <t>区间日期</t>
  </si>
  <si>
    <t>FlatSelect</t>
  </si>
  <si>
    <t>MultiSelect</t>
  </si>
  <si>
    <t>选择框[多选]</t>
  </si>
  <si>
    <t>NumberRange</t>
  </si>
  <si>
    <t>区间数字</t>
  </si>
  <si>
    <t>ParentSelect</t>
  </si>
  <si>
    <t>联动菜单</t>
  </si>
  <si>
    <t>Password</t>
  </si>
  <si>
    <t>PictureRadio</t>
  </si>
  <si>
    <t>图片单选框[横向]</t>
  </si>
  <si>
    <t>PictureRadioV</t>
  </si>
  <si>
    <t>图片单选框[纵向]</t>
  </si>
  <si>
    <t>Radiobox</t>
  </si>
  <si>
    <t>横向单选框</t>
  </si>
  <si>
    <t>RadioboxV</t>
  </si>
  <si>
    <t>纵向单选框</t>
  </si>
  <si>
    <t>Select</t>
  </si>
  <si>
    <t>选择框[单选]</t>
  </si>
  <si>
    <t>Star</t>
  </si>
  <si>
    <t>五星评分</t>
  </si>
  <si>
    <t>Text</t>
  </si>
  <si>
    <t>Textarea</t>
  </si>
  <si>
    <t>多行文本框</t>
  </si>
  <si>
    <t>YearMonth</t>
  </si>
  <si>
    <t>月份选择</t>
  </si>
  <si>
    <t>码值：EnterpriseType</t>
  </si>
  <si>
    <t>EnterpriseType</t>
  </si>
  <si>
    <t>央企，或者世界五百强企业</t>
  </si>
  <si>
    <t>未上市公司(包括国内及国外上市公司,但不包括ST股或已摘牌上市公司)，或者省（自治区、直辖市）属国有企业</t>
  </si>
  <si>
    <t>码值：SecurityType</t>
  </si>
  <si>
    <t>SecurityType</t>
  </si>
  <si>
    <t>担保权利人类型</t>
  </si>
  <si>
    <t>码值：贷款人对现金流控制</t>
  </si>
  <si>
    <t>贷款人对现金流控制</t>
  </si>
  <si>
    <t>码值：PrePayInterestBaseFlag</t>
  </si>
  <si>
    <t>PrePayInterestBaseFlag</t>
  </si>
  <si>
    <t>提前还款计息基础</t>
  </si>
  <si>
    <t>码值：PenaltyType</t>
  </si>
  <si>
    <t>PenaltyType</t>
  </si>
  <si>
    <t>逾期利率按贷款利率上浮50%</t>
  </si>
  <si>
    <t>逾期利率按贷款利率上浮100%</t>
  </si>
  <si>
    <t>码值：IndAddressType</t>
  </si>
  <si>
    <t>IndAddressType</t>
  </si>
  <si>
    <t>个人地址类型</t>
  </si>
  <si>
    <t>IndAddress01</t>
  </si>
  <si>
    <t>家庭地址</t>
  </si>
  <si>
    <t>IndAddress02</t>
  </si>
  <si>
    <t>单位地址</t>
  </si>
  <si>
    <t>IndAddress03</t>
  </si>
  <si>
    <t>码值：ClewMain</t>
  </si>
  <si>
    <t>ClewMain</t>
  </si>
  <si>
    <t>提示页面</t>
  </si>
  <si>
    <t>名称</t>
  </si>
  <si>
    <t>码值：CreditLineInputMain</t>
  </si>
  <si>
    <t>CreditLineInputMain</t>
  </si>
  <si>
    <t>额度业务补充登记主界面</t>
  </si>
  <si>
    <t>授信额度补登</t>
  </si>
  <si>
    <t>需补登授信额度</t>
  </si>
  <si>
    <t>补登完成授信额度</t>
  </si>
  <si>
    <t>码值：PartnerProjectApprMain</t>
  </si>
  <si>
    <t>PartnerProjectApprMain</t>
  </si>
  <si>
    <t>PartnerProject审批主树图</t>
  </si>
  <si>
    <t>码值：营销方式是否多</t>
  </si>
  <si>
    <t>营销方式是否多</t>
  </si>
  <si>
    <t>较多</t>
  </si>
  <si>
    <t>较少</t>
  </si>
  <si>
    <t>码值：InterestPayMethod</t>
  </si>
  <si>
    <t>InterestPayMethod</t>
  </si>
  <si>
    <t>利息支付方式</t>
  </si>
  <si>
    <t xml:space="preserve">按季支付 </t>
  </si>
  <si>
    <t xml:space="preserve">按月支付 </t>
  </si>
  <si>
    <t>一次付清</t>
  </si>
  <si>
    <t>码值：银行融资情况</t>
  </si>
  <si>
    <t>银行融资情况</t>
  </si>
  <si>
    <t>码值：EvalModelCost</t>
  </si>
  <si>
    <t>EvalModelCost</t>
  </si>
  <si>
    <t>成本法估值模板</t>
  </si>
  <si>
    <t>码值：企业项目建设经历</t>
  </si>
  <si>
    <t>企业项目建设经历</t>
  </si>
  <si>
    <t>已完工2个及2个项目以上</t>
  </si>
  <si>
    <t>从事过1个项目的建设或刚接手第一个项目</t>
  </si>
  <si>
    <t>码值：ProjectSubType1</t>
  </si>
  <si>
    <t>ProjectSubType1</t>
  </si>
  <si>
    <t>码值：CreditLineView</t>
  </si>
  <si>
    <t>CreditLineView</t>
  </si>
  <si>
    <t>授信额度树图</t>
  </si>
  <si>
    <t>码值：HouseType</t>
  </si>
  <si>
    <t>HouseType</t>
  </si>
  <si>
    <t>房屋状况</t>
  </si>
  <si>
    <t>HT01</t>
  </si>
  <si>
    <t>HT02</t>
  </si>
  <si>
    <t>HT03</t>
  </si>
  <si>
    <t>HT04</t>
  </si>
  <si>
    <t>HT05</t>
  </si>
  <si>
    <t>HT06</t>
  </si>
  <si>
    <t>HT07</t>
  </si>
  <si>
    <t>码值：InsuranceStatus</t>
  </si>
  <si>
    <t>InsuranceStatus</t>
  </si>
  <si>
    <t>保险状态</t>
  </si>
  <si>
    <t>已办</t>
  </si>
  <si>
    <t>未办</t>
  </si>
  <si>
    <t>码值：NewGuarantyType</t>
  </si>
  <si>
    <t>NewGuarantyType</t>
  </si>
  <si>
    <t>新增类型</t>
  </si>
  <si>
    <t>码值：人财供储销5个部门</t>
  </si>
  <si>
    <t>人财供储销5个部门</t>
  </si>
  <si>
    <t>5个部门齐全</t>
  </si>
  <si>
    <t>2个至4个</t>
  </si>
  <si>
    <t>码值：DivideType</t>
  </si>
  <si>
    <t>DivideType</t>
  </si>
  <si>
    <t>额度分配类型</t>
  </si>
  <si>
    <t>产品切分</t>
  </si>
  <si>
    <t>机构切分</t>
  </si>
  <si>
    <t>集团成员切分</t>
  </si>
  <si>
    <t>码值：业绩和运营的稳定性</t>
  </si>
  <si>
    <t>业绩和运营的稳定性</t>
  </si>
  <si>
    <t>码值：事业法人制度改革</t>
  </si>
  <si>
    <t>事业法人制度改革</t>
  </si>
  <si>
    <t>码值：TaxAffairs</t>
  </si>
  <si>
    <t>TaxAffairs</t>
  </si>
  <si>
    <t>码值：GagaType</t>
  </si>
  <si>
    <t>GagaType</t>
  </si>
  <si>
    <t>担保房产类型</t>
  </si>
  <si>
    <t>车库</t>
  </si>
  <si>
    <t>码值：HKBPlatformTask</t>
  </si>
  <si>
    <t>HKBPlatformTask</t>
  </si>
  <si>
    <t>待办事项树图</t>
  </si>
  <si>
    <t>产品申请</t>
  </si>
  <si>
    <t>产品审核</t>
  </si>
  <si>
    <t>合作方准入申请待办任务</t>
  </si>
  <si>
    <t>合作方准入审批待办任务</t>
  </si>
  <si>
    <t>合作项目申请待办任务</t>
  </si>
  <si>
    <t>合作项目审批待办任务</t>
  </si>
  <si>
    <t>合作项目变更申请待办任务</t>
  </si>
  <si>
    <t>合作项目变更审批待办任务</t>
  </si>
  <si>
    <t>企业规模认定申请待办</t>
  </si>
  <si>
    <t>企业规模认定审批待办</t>
  </si>
  <si>
    <t>信用等级评估申请待办任务</t>
  </si>
  <si>
    <t>信用等级评估审批待办任务</t>
  </si>
  <si>
    <t>大中单一授信待办任务</t>
  </si>
  <si>
    <t>大中额度项下待办任务</t>
  </si>
  <si>
    <t>大中单笔授信待办任务</t>
  </si>
  <si>
    <t>大中集团授信待办任务</t>
  </si>
  <si>
    <t>个人单笔授信待办任务</t>
  </si>
  <si>
    <t>个人授信额度待办任务</t>
  </si>
  <si>
    <t>个人额度项下待办任务</t>
  </si>
  <si>
    <t>同业单一授信申请待办任务</t>
  </si>
  <si>
    <t>同业批量授信申请待办任务</t>
  </si>
  <si>
    <t>050100</t>
  </si>
  <si>
    <t>小微单一授信待办任务</t>
  </si>
  <si>
    <t>050110</t>
  </si>
  <si>
    <t>小微单笔授信待办任务</t>
  </si>
  <si>
    <t>050120</t>
  </si>
  <si>
    <t>小微额度项下待办任务</t>
  </si>
  <si>
    <t>050130</t>
  </si>
  <si>
    <t>大中单一授信审批待办任务</t>
  </si>
  <si>
    <t>050140</t>
  </si>
  <si>
    <t>大中额度项下审批待办任务</t>
  </si>
  <si>
    <t>050150</t>
  </si>
  <si>
    <t>大中单笔授信审批待办任务</t>
  </si>
  <si>
    <t>050160</t>
  </si>
  <si>
    <t>大中集团授信审批待办任务</t>
  </si>
  <si>
    <t>050170</t>
  </si>
  <si>
    <t>个人单笔授信审批待办任务</t>
  </si>
  <si>
    <t>050180</t>
  </si>
  <si>
    <t>个人授信额度审批待办任务</t>
  </si>
  <si>
    <t>050190</t>
  </si>
  <si>
    <t>个人额度项下审批待办任务</t>
  </si>
  <si>
    <t>050200</t>
  </si>
  <si>
    <t>小微单一授信审批待办任务</t>
  </si>
  <si>
    <t>050210</t>
  </si>
  <si>
    <t>小微单笔授信审批待办任务</t>
  </si>
  <si>
    <t>050220</t>
  </si>
  <si>
    <t>同业单一授信审批待办任务</t>
  </si>
  <si>
    <t>050230</t>
  </si>
  <si>
    <t>同业批量授信审批待办任务</t>
  </si>
  <si>
    <t>050240</t>
  </si>
  <si>
    <t>小微额度项下审批待办任务</t>
  </si>
  <si>
    <t>050250</t>
  </si>
  <si>
    <t>同业单一授信批复待办任务</t>
  </si>
  <si>
    <t>050260</t>
  </si>
  <si>
    <t>同业批量授信批复待办任务</t>
  </si>
  <si>
    <t>050270</t>
  </si>
  <si>
    <t>个人单笔授信批复待办任务</t>
  </si>
  <si>
    <t>050280</t>
  </si>
  <si>
    <t>个人授信额度批复待办任务</t>
  </si>
  <si>
    <t>050290</t>
  </si>
  <si>
    <t>个人额度项下批复待办任务</t>
  </si>
  <si>
    <t>050300</t>
  </si>
  <si>
    <t>个人单笔授信批复复核待办任务</t>
  </si>
  <si>
    <t>050310</t>
  </si>
  <si>
    <t>个人授信额度批复复核待办任务</t>
  </si>
  <si>
    <t>050320</t>
  </si>
  <si>
    <t>个人额度项下批复复核待办任务</t>
  </si>
  <si>
    <t>050330</t>
  </si>
  <si>
    <t>大中单一批复待办任务</t>
  </si>
  <si>
    <t>050340</t>
  </si>
  <si>
    <t>大中额度项下批复待办任务</t>
  </si>
  <si>
    <t>050350</t>
  </si>
  <si>
    <t>大中单笔批复待办任务</t>
  </si>
  <si>
    <t>050360</t>
  </si>
  <si>
    <t>大中集团批复待办任务</t>
  </si>
  <si>
    <t>050370</t>
  </si>
  <si>
    <t>大中单一批复复核待办任务</t>
  </si>
  <si>
    <t>050380</t>
  </si>
  <si>
    <t>大中额度项下批复复核待办任务</t>
  </si>
  <si>
    <t>050390</t>
  </si>
  <si>
    <t>大中单笔批复复核待办任务</t>
  </si>
  <si>
    <t>050400</t>
  </si>
  <si>
    <t>大中集团批复复核待办任务</t>
  </si>
  <si>
    <t>050410</t>
  </si>
  <si>
    <t>同业单一授信批复复核待办任务</t>
  </si>
  <si>
    <t>050420</t>
  </si>
  <si>
    <t>同业批量授信批复复核待办任务</t>
  </si>
  <si>
    <t>050430</t>
  </si>
  <si>
    <t>小微单一授信批复待办任务</t>
  </si>
  <si>
    <t>050440</t>
  </si>
  <si>
    <t>小微单笔授信批复待办任务</t>
  </si>
  <si>
    <t>050450</t>
  </si>
  <si>
    <t>小微额度项下批复待办任务</t>
  </si>
  <si>
    <t>050460</t>
  </si>
  <si>
    <t>小微单一授信批复复核待办任务</t>
  </si>
  <si>
    <t>050470</t>
  </si>
  <si>
    <t>小微单笔授信批复复核待办任务</t>
  </si>
  <si>
    <t>050480</t>
  </si>
  <si>
    <t>小微额度项下批复复核待办任务</t>
  </si>
  <si>
    <t>050490</t>
  </si>
  <si>
    <t>批量授信</t>
  </si>
  <si>
    <t>050500</t>
  </si>
  <si>
    <t>批量项下授信</t>
  </si>
  <si>
    <t>050510</t>
  </si>
  <si>
    <t>050520</t>
  </si>
  <si>
    <t>050530</t>
  </si>
  <si>
    <t>050540</t>
  </si>
  <si>
    <t>050550</t>
  </si>
  <si>
    <t>050560</t>
  </si>
  <si>
    <t>050570</t>
  </si>
  <si>
    <t>050580</t>
  </si>
  <si>
    <t>大中批复合同登记审批</t>
  </si>
  <si>
    <t>050590</t>
  </si>
  <si>
    <t>大中额度项下合同登记申请</t>
  </si>
  <si>
    <t>050600</t>
  </si>
  <si>
    <t>大中额度项下合同登记审批</t>
  </si>
  <si>
    <t>050610</t>
  </si>
  <si>
    <t>050620</t>
  </si>
  <si>
    <t>小微批复合同登记审批</t>
  </si>
  <si>
    <t>050630</t>
  </si>
  <si>
    <t>小微额度项下合同登记申请</t>
  </si>
  <si>
    <t>050640</t>
  </si>
  <si>
    <t>小微额度项下合同登记审批</t>
  </si>
  <si>
    <t>050650</t>
  </si>
  <si>
    <t>050660</t>
  </si>
  <si>
    <t>个人批复合同登记审批</t>
  </si>
  <si>
    <t>050670</t>
  </si>
  <si>
    <t>个人额度项下合同登记申请</t>
  </si>
  <si>
    <t>050680</t>
  </si>
  <si>
    <t>个人额度项下合同登记审批</t>
  </si>
  <si>
    <t>050690</t>
  </si>
  <si>
    <t>050700</t>
  </si>
  <si>
    <t>同业批复合同登记审批</t>
  </si>
  <si>
    <t>050710</t>
  </si>
  <si>
    <t>同业额度项下合同登记申请</t>
  </si>
  <si>
    <t>050720</t>
  </si>
  <si>
    <t>同业额度项下合同登记审批</t>
  </si>
  <si>
    <t>050730</t>
  </si>
  <si>
    <t>050740</t>
  </si>
  <si>
    <t>大中放贷审批</t>
  </si>
  <si>
    <t>050750</t>
  </si>
  <si>
    <t>050760</t>
  </si>
  <si>
    <t>大中额度提用审批</t>
  </si>
  <si>
    <t>050770</t>
  </si>
  <si>
    <t>050780</t>
  </si>
  <si>
    <t>小微放贷审批</t>
  </si>
  <si>
    <t>050790</t>
  </si>
  <si>
    <t>050800</t>
  </si>
  <si>
    <t>小微额度提用审批</t>
  </si>
  <si>
    <t>050810</t>
  </si>
  <si>
    <t>050820</t>
  </si>
  <si>
    <t>个人放贷审批</t>
  </si>
  <si>
    <t>050830</t>
  </si>
  <si>
    <t>050840</t>
  </si>
  <si>
    <t>个人额度提用审批</t>
  </si>
  <si>
    <t>050850</t>
  </si>
  <si>
    <t>050860</t>
  </si>
  <si>
    <t>同业放贷审批</t>
  </si>
  <si>
    <t>050870</t>
  </si>
  <si>
    <t>050880</t>
  </si>
  <si>
    <t>同业额度提用审批</t>
  </si>
  <si>
    <t>050890</t>
  </si>
  <si>
    <t>担保合同变更申请待办任务</t>
  </si>
  <si>
    <t>050900</t>
  </si>
  <si>
    <t>担保合同变更审批待办任务</t>
  </si>
  <si>
    <t>抵质押品估值申请</t>
  </si>
  <si>
    <t>抵质押品估值审批</t>
  </si>
  <si>
    <t>日常管理申请</t>
  </si>
  <si>
    <t>资格认定申请</t>
  </si>
  <si>
    <t>060080</t>
  </si>
  <si>
    <t>060090</t>
  </si>
  <si>
    <t>060100</t>
  </si>
  <si>
    <t>060110</t>
  </si>
  <si>
    <t>大中业务检查申请待办任务</t>
  </si>
  <si>
    <t>060120</t>
  </si>
  <si>
    <t>大中业务检查审批待办任务</t>
  </si>
  <si>
    <t>060130</t>
  </si>
  <si>
    <t>小微业务检查申请待办任务</t>
  </si>
  <si>
    <t>060140</t>
  </si>
  <si>
    <t>小微业务检查审批待办任务</t>
  </si>
  <si>
    <t>060150</t>
  </si>
  <si>
    <t>个人业务检查申请待办任务</t>
  </si>
  <si>
    <t>060160</t>
  </si>
  <si>
    <t>个人业务检查审批待办任务</t>
  </si>
  <si>
    <t>060170</t>
  </si>
  <si>
    <t>单一公司客户定期贷后检查申请待办任务</t>
  </si>
  <si>
    <t>060180</t>
  </si>
  <si>
    <t>单一公司客户定期贷后检查审批待办任务</t>
  </si>
  <si>
    <t>060190</t>
  </si>
  <si>
    <t>个人客户定期贷后检查申请待办任务</t>
  </si>
  <si>
    <t>060200</t>
  </si>
  <si>
    <t>个人客户定期贷后检查审批待办任务</t>
  </si>
  <si>
    <t>060210</t>
  </si>
  <si>
    <t>集团客户定期贷后检查申请待办任务</t>
  </si>
  <si>
    <t>060220</t>
  </si>
  <si>
    <t>集团客户定期贷后检查审批待办任务</t>
  </si>
  <si>
    <t>060230</t>
  </si>
  <si>
    <t>单一公司客户不定期贷后检查申请待办任务</t>
  </si>
  <si>
    <t>060240</t>
  </si>
  <si>
    <t>单一公司客户不定期贷后检查审批待办任务</t>
  </si>
  <si>
    <t>060250</t>
  </si>
  <si>
    <t>个人客户不定期贷后检查申请待办任务</t>
  </si>
  <si>
    <t>060260</t>
  </si>
  <si>
    <t>个人客户不定期贷后检查审批待办任务</t>
  </si>
  <si>
    <t>060270</t>
  </si>
  <si>
    <t>集团客户不定期贷后检查申请待办任务</t>
  </si>
  <si>
    <t>060280</t>
  </si>
  <si>
    <t>集团客户不定期贷后检查审批待办任务</t>
  </si>
  <si>
    <t>060290</t>
  </si>
  <si>
    <t>合作项目检查申请待办任务</t>
  </si>
  <si>
    <t>060300</t>
  </si>
  <si>
    <t>合作项目检查审批待办任务</t>
  </si>
  <si>
    <t>060310</t>
  </si>
  <si>
    <t>专项检查申请待办任务</t>
  </si>
  <si>
    <t>060320</t>
  </si>
  <si>
    <t>专项检查审批待办任务</t>
  </si>
  <si>
    <t>060330</t>
  </si>
  <si>
    <t>大中业务风险五级分类申请待办任务</t>
  </si>
  <si>
    <t>060340</t>
  </si>
  <si>
    <t>大中业务风险五级分类审批待办任务</t>
  </si>
  <si>
    <t>060350</t>
  </si>
  <si>
    <t>小微业务风险五级分类申请待办任务</t>
  </si>
  <si>
    <t>060360</t>
  </si>
  <si>
    <t>小微业务风险五级分类审批待办任务</t>
  </si>
  <si>
    <t>060370</t>
  </si>
  <si>
    <t>个人业务风险五级分类申请待办任务</t>
  </si>
  <si>
    <t>060380</t>
  </si>
  <si>
    <t>个人业务风险五级分类审批待办任务</t>
  </si>
  <si>
    <t>码值：AppraisalOrgType</t>
  </si>
  <si>
    <t>AppraisalOrgType</t>
  </si>
  <si>
    <t>评估机公司类型</t>
  </si>
  <si>
    <t>一般类评估机构</t>
  </si>
  <si>
    <t>特殊资产类评估机构</t>
  </si>
  <si>
    <t>码值：MarginLevel</t>
  </si>
  <si>
    <t>MarginLevel</t>
  </si>
  <si>
    <t>保证金账户层级</t>
  </si>
  <si>
    <t>一级账户</t>
  </si>
  <si>
    <t>二级账户</t>
  </si>
  <si>
    <t>三级账户</t>
  </si>
  <si>
    <t>码值：DocImportance</t>
  </si>
  <si>
    <t>DocImportance</t>
  </si>
  <si>
    <t>文档重要性</t>
  </si>
  <si>
    <t>重要</t>
  </si>
  <si>
    <t>非常重要</t>
  </si>
  <si>
    <t>码值：EvalType</t>
  </si>
  <si>
    <t>EvalType</t>
  </si>
  <si>
    <t>评估类型</t>
  </si>
  <si>
    <t>码值：ParentRelationType1</t>
  </si>
  <si>
    <t>ParentRelationType1</t>
  </si>
  <si>
    <t>集团成员与父节点关系</t>
  </si>
  <si>
    <t>父子</t>
  </si>
  <si>
    <t>兄弟</t>
  </si>
  <si>
    <t>码值：DesignTechnologyRisk</t>
  </si>
  <si>
    <t>DesignTechnologyRisk</t>
  </si>
  <si>
    <t>码值：IsComplete</t>
  </si>
  <si>
    <t>IsComplete</t>
  </si>
  <si>
    <t>是否完成</t>
  </si>
  <si>
    <t>完整</t>
  </si>
  <si>
    <t>不完整</t>
  </si>
  <si>
    <t>码值：ClDrawnApplyIndMain</t>
  </si>
  <si>
    <t>ClDrawnApplyIndMain</t>
  </si>
  <si>
    <t>个人额度提用申请主树图</t>
  </si>
  <si>
    <t>码值：AreaLoanFlag</t>
  </si>
  <si>
    <t>AreaLoanFlag</t>
  </si>
  <si>
    <t>异地贷款标志</t>
  </si>
  <si>
    <t>非异地贷款</t>
  </si>
  <si>
    <t>跨省贷款</t>
  </si>
  <si>
    <t>跨市贷款</t>
  </si>
  <si>
    <t>码值：CCyc</t>
  </si>
  <si>
    <t>CCyc</t>
  </si>
  <si>
    <t>扣款周期</t>
  </si>
  <si>
    <t>码值：产销情况</t>
  </si>
  <si>
    <t>产销情况</t>
  </si>
  <si>
    <t>产销率在98%以上</t>
  </si>
  <si>
    <t>95%--98%</t>
  </si>
  <si>
    <t>92%--95%</t>
  </si>
  <si>
    <t>92%以下</t>
  </si>
  <si>
    <t>码值：HouseDirection</t>
  </si>
  <si>
    <t>HouseDirection</t>
  </si>
  <si>
    <t>房屋主要朝向</t>
  </si>
  <si>
    <t xml:space="preserve">西北/北  </t>
  </si>
  <si>
    <t xml:space="preserve">东/西/东西  </t>
  </si>
  <si>
    <t xml:space="preserve">南/东南/南北  </t>
  </si>
  <si>
    <t>码值：CustomerStatus</t>
  </si>
  <si>
    <t>CustomerStatus</t>
  </si>
  <si>
    <t>客户状态</t>
  </si>
  <si>
    <t>休眠</t>
  </si>
  <si>
    <t>码值：DuebillView</t>
  </si>
  <si>
    <t>DuebillView</t>
  </si>
  <si>
    <t>借据详情树图</t>
  </si>
  <si>
    <t>码值：AWEPageTxt</t>
  </si>
  <si>
    <t>AWEPageTxt</t>
  </si>
  <si>
    <t>A3Web页面文字对照</t>
  </si>
  <si>
    <t>主页</t>
  </si>
  <si>
    <t>皮肤</t>
  </si>
  <si>
    <t>我的信息</t>
  </si>
  <si>
    <t>安全退出</t>
  </si>
  <si>
    <t>当前机构</t>
  </si>
  <si>
    <t>当前用户</t>
  </si>
  <si>
    <t>手机号</t>
  </si>
  <si>
    <t>保存</t>
  </si>
  <si>
    <t>保存修改信息</t>
  </si>
  <si>
    <t>修改密码</t>
  </si>
  <si>
    <t>帮助</t>
  </si>
  <si>
    <t>查看本页面的内容</t>
  </si>
  <si>
    <t>编辑帮助</t>
  </si>
  <si>
    <t>编辑本页面的内容</t>
  </si>
  <si>
    <t>请输入</t>
  </si>
  <si>
    <t>请输入正确的日期格式</t>
  </si>
  <si>
    <t>您输入的ColHeader(ColLimit字节)超长</t>
  </si>
  <si>
    <t>1071</t>
  </si>
  <si>
    <t>上一页</t>
  </si>
  <si>
    <t>1072</t>
  </si>
  <si>
    <t>下一页</t>
  </si>
  <si>
    <t>1073</t>
  </si>
  <si>
    <t>确定</t>
  </si>
  <si>
    <t>1074</t>
  </si>
  <si>
    <t>共pageCount页 rowCount条</t>
  </si>
  <si>
    <t>1075</t>
  </si>
  <si>
    <t>到第Page页</t>
  </si>
  <si>
    <t>标准</t>
  </si>
  <si>
    <t>标准风格主题</t>
  </si>
  <si>
    <t>科技</t>
  </si>
  <si>
    <t>科技风格主题</t>
  </si>
  <si>
    <t>经典</t>
  </si>
  <si>
    <t>经典风格主题</t>
  </si>
  <si>
    <t>码值：DunObjectType</t>
  </si>
  <si>
    <t>DunObjectType</t>
  </si>
  <si>
    <t>催收对象类型</t>
  </si>
  <si>
    <t>借款人</t>
  </si>
  <si>
    <t>保证人</t>
  </si>
  <si>
    <t>码值：ColType</t>
  </si>
  <si>
    <t>ColType</t>
  </si>
  <si>
    <t>字段类型</t>
  </si>
  <si>
    <t>流水号字段</t>
  </si>
  <si>
    <t>表关联字段</t>
  </si>
  <si>
    <t>业务信息字段</t>
  </si>
  <si>
    <t>复杂业务状态字段</t>
  </si>
  <si>
    <t>系统标签字段</t>
  </si>
  <si>
    <t>待扩展字段</t>
  </si>
  <si>
    <t>码值：InternalControls</t>
  </si>
  <si>
    <t>InternalControls</t>
  </si>
  <si>
    <t>码值：1656428367175923149</t>
  </si>
  <si>
    <t>1656428367175923149</t>
  </si>
  <si>
    <t>码值：ActionType</t>
  </si>
  <si>
    <t>ActionType</t>
  </si>
  <si>
    <t>紧急行动</t>
  </si>
  <si>
    <t>提前收回贷款</t>
  </si>
  <si>
    <t>停止额度使用</t>
  </si>
  <si>
    <t>冻结保证金</t>
  </si>
  <si>
    <t>法律诉讼</t>
  </si>
  <si>
    <t>码值：GuarantorRegularCheckMain</t>
  </si>
  <si>
    <t>GuarantorRegularCheckMain</t>
  </si>
  <si>
    <t>码值：EvaluateMethod</t>
  </si>
  <si>
    <t>EvaluateMethod</t>
  </si>
  <si>
    <t>市场定价法</t>
  </si>
  <si>
    <t>重置</t>
  </si>
  <si>
    <t>码值：HouseFlag</t>
  </si>
  <si>
    <t>HouseFlag</t>
  </si>
  <si>
    <t>码值：ProductRequirementStability</t>
  </si>
  <si>
    <t>ProductRequirementStability</t>
  </si>
  <si>
    <t>码值：CoreManagementYear</t>
  </si>
  <si>
    <t>CoreManagementYear</t>
  </si>
  <si>
    <t xml:space="preserve">3-7年 </t>
  </si>
  <si>
    <t>码值：RiskReserveStatus</t>
  </si>
  <si>
    <t>RiskReserveStatus</t>
  </si>
  <si>
    <t>减值计提认定状态</t>
  </si>
  <si>
    <t>码值：SMEView</t>
  </si>
  <si>
    <t>SMEView</t>
  </si>
  <si>
    <t>中小企业客户详情视图</t>
  </si>
  <si>
    <t>010005</t>
  </si>
  <si>
    <t>中小企业客户资质认定信息</t>
  </si>
  <si>
    <t>上下游企业关联</t>
  </si>
  <si>
    <t>码值：周边房产成交情况X</t>
  </si>
  <si>
    <t>周边房产成交情况X</t>
  </si>
  <si>
    <t>码值：BookInContractApproveMain</t>
  </si>
  <si>
    <t>BookInContractApproveMain</t>
  </si>
  <si>
    <t>批复合同登记审批主树图</t>
  </si>
  <si>
    <t>码值：GroupStatus</t>
  </si>
  <si>
    <t>GroupStatus</t>
  </si>
  <si>
    <t>码值：ClDrawnApplyEntMain</t>
  </si>
  <si>
    <t>ClDrawnApplyEntMain</t>
  </si>
  <si>
    <t>大中额度提用申请主树图</t>
  </si>
  <si>
    <t>码值：SimpleForkApplyMain</t>
  </si>
  <si>
    <t>SimpleForkApplyMain</t>
  </si>
  <si>
    <t>简单并行主树图</t>
  </si>
  <si>
    <t>码值：主要出资方式</t>
  </si>
  <si>
    <t>主要出资方式</t>
  </si>
  <si>
    <t>财政资金</t>
  </si>
  <si>
    <t>土地划拨</t>
  </si>
  <si>
    <t>股权划拨</t>
  </si>
  <si>
    <t>债券等债权划拨</t>
  </si>
  <si>
    <t>规费</t>
  </si>
  <si>
    <t>码值：运输线路</t>
  </si>
  <si>
    <t>运输线路</t>
  </si>
  <si>
    <t>国际范围</t>
  </si>
  <si>
    <t>省内</t>
  </si>
  <si>
    <t>本地范围</t>
  </si>
  <si>
    <t>码值：年龄</t>
  </si>
  <si>
    <t>码值：ReserveType</t>
  </si>
  <si>
    <t>ReserveType</t>
  </si>
  <si>
    <t>减值计提方式</t>
  </si>
  <si>
    <t>码值：DealType</t>
  </si>
  <si>
    <t>DealType</t>
  </si>
  <si>
    <t>资产买卖类型</t>
  </si>
  <si>
    <t>资产买入</t>
  </si>
  <si>
    <t>资产卖出</t>
  </si>
  <si>
    <t>码值：VirtualCorrela</t>
  </si>
  <si>
    <t>VirtualCorrela</t>
  </si>
  <si>
    <t>实质相关性标志</t>
  </si>
  <si>
    <t>有一定相关性</t>
  </si>
  <si>
    <t>无相关性</t>
  </si>
  <si>
    <t>码值：CASHABILITYTYPE</t>
  </si>
  <si>
    <t>CASHABILITYTYPE</t>
  </si>
  <si>
    <t>变现类型</t>
  </si>
  <si>
    <t>通用但变现较不易</t>
  </si>
  <si>
    <t>码值：CreditApplyIndMain</t>
  </si>
  <si>
    <t>CreditApplyIndMain</t>
  </si>
  <si>
    <t>码值：OrganizeType</t>
  </si>
  <si>
    <t>OrganizeType</t>
  </si>
  <si>
    <t>一般贷款</t>
  </si>
  <si>
    <t>02-1</t>
  </si>
  <si>
    <t>主办银团贷款</t>
  </si>
  <si>
    <t>02-2</t>
  </si>
  <si>
    <t>一般银团贷款</t>
  </si>
  <si>
    <t>联合贷款</t>
  </si>
  <si>
    <t>码值：PatentApplStatus</t>
  </si>
  <si>
    <t>PatentApplStatus</t>
  </si>
  <si>
    <t>专利申请状态</t>
  </si>
  <si>
    <t>初审阶段</t>
  </si>
  <si>
    <t>实质性审查阶段</t>
  </si>
  <si>
    <t>已获得专利证书</t>
  </si>
  <si>
    <t>码值：ReinforceDefaultCustomeView</t>
  </si>
  <si>
    <t>ReinforceDefaultCustomeView</t>
  </si>
  <si>
    <t>补登默认客户视图</t>
  </si>
  <si>
    <t>码值：经营者年龄</t>
  </si>
  <si>
    <t>经营者年龄</t>
  </si>
  <si>
    <t>30岁以下</t>
  </si>
  <si>
    <t>30-35岁</t>
  </si>
  <si>
    <t>35-40岁</t>
  </si>
  <si>
    <t>40-45岁</t>
  </si>
  <si>
    <t>45-50岁</t>
  </si>
  <si>
    <t>50-55岁</t>
  </si>
  <si>
    <t>55岁以上</t>
  </si>
  <si>
    <t>码值：PaybackState</t>
  </si>
  <si>
    <t>PaybackState</t>
  </si>
  <si>
    <t>码值：GroupType3</t>
  </si>
  <si>
    <t>GroupType3</t>
  </si>
  <si>
    <t>紧密型</t>
  </si>
  <si>
    <t>松散型</t>
  </si>
  <si>
    <t>码值：COLLATERALCERTTYPE</t>
  </si>
  <si>
    <t>COLLATERALCERTTYPE</t>
  </si>
  <si>
    <t>他证</t>
  </si>
  <si>
    <t>产证</t>
  </si>
  <si>
    <t>仓单</t>
  </si>
  <si>
    <t>提单</t>
  </si>
  <si>
    <t>留置物</t>
  </si>
  <si>
    <t>保单</t>
  </si>
  <si>
    <t>预售合同</t>
  </si>
  <si>
    <t>码值：投资评价</t>
  </si>
  <si>
    <t>投资评价</t>
  </si>
  <si>
    <t>码值：HouseStatus</t>
  </si>
  <si>
    <t>HouseStatus</t>
  </si>
  <si>
    <t>楼盘状态</t>
  </si>
  <si>
    <t>HS01</t>
  </si>
  <si>
    <t>HS02</t>
  </si>
  <si>
    <t>HS03</t>
  </si>
  <si>
    <t>HS04</t>
  </si>
  <si>
    <t>码值：AssetsType</t>
  </si>
  <si>
    <t>AssetsType</t>
  </si>
  <si>
    <t>房屋建筑物</t>
  </si>
  <si>
    <t>机器设备</t>
  </si>
  <si>
    <t>运输工具</t>
  </si>
  <si>
    <t>码值：DeptLine</t>
  </si>
  <si>
    <t>DeptLine</t>
  </si>
  <si>
    <t>隶属管理部门</t>
  </si>
  <si>
    <t>大中公司部</t>
  </si>
  <si>
    <t>个人公司部</t>
  </si>
  <si>
    <t>小微公司部</t>
  </si>
  <si>
    <t>同业公司部</t>
  </si>
  <si>
    <t>码值：ReformType</t>
  </si>
  <si>
    <t>ReformType</t>
  </si>
  <si>
    <t>重组类型</t>
  </si>
  <si>
    <t>一般重组</t>
  </si>
  <si>
    <t>扩盘重组</t>
  </si>
  <si>
    <t>码值：7个部门设置</t>
  </si>
  <si>
    <t>7个部门设置</t>
  </si>
  <si>
    <t>7个</t>
  </si>
  <si>
    <t>3-6个</t>
  </si>
  <si>
    <t>码值：LandPurpose</t>
  </si>
  <si>
    <t>LandPurpose</t>
  </si>
  <si>
    <t>办公</t>
  </si>
  <si>
    <t>码值：RoadType</t>
  </si>
  <si>
    <t>RoadType</t>
  </si>
  <si>
    <t>桥梁</t>
  </si>
  <si>
    <t>渡口</t>
  </si>
  <si>
    <t>隧道</t>
  </si>
  <si>
    <t>码值：CreditApproveTaskSingleIndMain</t>
  </si>
  <si>
    <t>CreditApproveTaskSingleIndMain</t>
  </si>
  <si>
    <t>码值：CreditAlarmDistributeMain</t>
  </si>
  <si>
    <t>CreditAlarmDistributeMain</t>
  </si>
  <si>
    <t>风险预警分发树图</t>
  </si>
  <si>
    <t>预警信号分发</t>
  </si>
  <si>
    <t>码值：企业品牌</t>
  </si>
  <si>
    <t>企业品牌</t>
  </si>
  <si>
    <t>老字号</t>
  </si>
  <si>
    <t>著名品牌企业</t>
  </si>
  <si>
    <t>一般品牌企业</t>
  </si>
  <si>
    <t>码值：AlarmMain</t>
  </si>
  <si>
    <t>AlarmMain</t>
  </si>
  <si>
    <t>预警页面</t>
  </si>
  <si>
    <t>码值：CaseInfoList5</t>
  </si>
  <si>
    <t>CaseInfoList5</t>
  </si>
  <si>
    <t>案件基本信息（破产案件）</t>
  </si>
  <si>
    <t>案件基本信息</t>
  </si>
  <si>
    <t>相关合同信息</t>
  </si>
  <si>
    <t>案件当事人信息</t>
  </si>
  <si>
    <t>受理机关人员信息</t>
  </si>
  <si>
    <t>案件文档信息</t>
  </si>
  <si>
    <t>案件台帐信息</t>
  </si>
  <si>
    <t>费用台帐</t>
  </si>
  <si>
    <t>码值：贷款与项目持续期比</t>
  </si>
  <si>
    <t>贷款与项目持续期比</t>
  </si>
  <si>
    <t>项目有效寿命大于贷款期限超过3年</t>
  </si>
  <si>
    <t>项目有效寿命大于贷款期限不到3年</t>
  </si>
  <si>
    <t>项目的有效使用寿命低于贷款期限</t>
  </si>
  <si>
    <t>码值：CodeDeployView</t>
  </si>
  <si>
    <t>CodeDeployView</t>
  </si>
  <si>
    <t>代码配置树图</t>
  </si>
  <si>
    <t>代码配置</t>
  </si>
  <si>
    <t>码值：purpose</t>
  </si>
  <si>
    <t>purpose</t>
  </si>
  <si>
    <t>贷款用途报告</t>
  </si>
  <si>
    <t>贷款用途分析</t>
  </si>
  <si>
    <t>提款记录</t>
  </si>
  <si>
    <t>用款记录</t>
  </si>
  <si>
    <t>码值：SupervisorsSetting</t>
  </si>
  <si>
    <t>SupervisorsSetting</t>
  </si>
  <si>
    <t>码值：领导人从业经验</t>
  </si>
  <si>
    <t>领导人从业经验</t>
  </si>
  <si>
    <t>码值：LawsuitType</t>
  </si>
  <si>
    <t>LawsuitType</t>
  </si>
  <si>
    <t>诉讼类型</t>
  </si>
  <si>
    <t>民事</t>
  </si>
  <si>
    <t>刑事</t>
  </si>
  <si>
    <t>行政</t>
  </si>
  <si>
    <t>码值：LawsuitStatus</t>
  </si>
  <si>
    <t>LawsuitStatus</t>
  </si>
  <si>
    <t>我行的诉讼地位</t>
  </si>
  <si>
    <t>被执行</t>
  </si>
  <si>
    <t>参与人</t>
  </si>
  <si>
    <t>码值：SMECreditMStation</t>
  </si>
  <si>
    <t>SMECreditMStation</t>
  </si>
  <si>
    <t>市场地位</t>
  </si>
  <si>
    <t>码值：CaseInfoList2</t>
  </si>
  <si>
    <t>CaseInfoList2</t>
  </si>
  <si>
    <t>案件基本信息（公证/仲裁案件）</t>
  </si>
  <si>
    <t>查封资产台帐</t>
  </si>
  <si>
    <t>码值：CapitalPurposeMinApproveMain</t>
  </si>
  <si>
    <t>CapitalPurposeMinApproveMain</t>
  </si>
  <si>
    <t>码值：CaseInfoList1</t>
  </si>
  <si>
    <t>CaseInfoList1</t>
  </si>
  <si>
    <t>案件基本信息（一般案件）</t>
  </si>
  <si>
    <t>030001</t>
  </si>
  <si>
    <t>案件过程台帐</t>
  </si>
  <si>
    <t>030001001</t>
  </si>
  <si>
    <t>030001003</t>
  </si>
  <si>
    <t>诉前保全台帐</t>
  </si>
  <si>
    <t>030001004</t>
  </si>
  <si>
    <t>030001005</t>
  </si>
  <si>
    <t>030001006</t>
  </si>
  <si>
    <t>030001007</t>
  </si>
  <si>
    <t>030001008</t>
  </si>
  <si>
    <t>030001009</t>
  </si>
  <si>
    <t>030001010</t>
  </si>
  <si>
    <t>庭审记录</t>
  </si>
  <si>
    <t>码值：Tablename</t>
  </si>
  <si>
    <t>Tablename</t>
  </si>
  <si>
    <t>模块</t>
  </si>
  <si>
    <t>授信详情</t>
  </si>
  <si>
    <t>公司客户详情</t>
  </si>
  <si>
    <t>个人客户详情</t>
  </si>
  <si>
    <t>码值：HaveOrNot</t>
  </si>
  <si>
    <t>HaveOrNot</t>
  </si>
  <si>
    <t>码值：UseStatus</t>
  </si>
  <si>
    <t>UseStatus</t>
  </si>
  <si>
    <t>资产使用状态</t>
  </si>
  <si>
    <t>码值：TestButtonSetB</t>
  </si>
  <si>
    <t>TestButtonSetB</t>
  </si>
  <si>
    <t>按钮组B（Test）</t>
  </si>
  <si>
    <t>fetchTask</t>
  </si>
  <si>
    <t>从任务池获取任务</t>
  </si>
  <si>
    <t>returnSupply</t>
  </si>
  <si>
    <t>退回补充资料</t>
  </si>
  <si>
    <t>returnTask</t>
  </si>
  <si>
    <t>退回任意阶段</t>
  </si>
  <si>
    <t>returnTaskToPool</t>
  </si>
  <si>
    <t>任务返回任务池</t>
  </si>
  <si>
    <t>码值：CapitalPurposeCheckApplyMain</t>
  </si>
  <si>
    <t>CapitalPurposeCheckApplyMain</t>
  </si>
  <si>
    <t>资金用途检查申请申请主树图</t>
  </si>
  <si>
    <t>码值：CommodityFuture</t>
  </si>
  <si>
    <t>CommodityFuture</t>
  </si>
  <si>
    <t>所属商品期货交易所</t>
  </si>
  <si>
    <t>大连商品交易所</t>
  </si>
  <si>
    <t>郑州商品交易所</t>
  </si>
  <si>
    <t>上海商品交易所</t>
  </si>
  <si>
    <t>码值：ParkCondition</t>
  </si>
  <si>
    <t>ParkCondition</t>
  </si>
  <si>
    <t>泊车条件</t>
  </si>
  <si>
    <t>有车位</t>
  </si>
  <si>
    <t>独立车库</t>
  </si>
  <si>
    <t>码值：ComponentParameterSelectType</t>
  </si>
  <si>
    <t>ComponentParameterSelectType</t>
  </si>
  <si>
    <t>参数选项编辑样式</t>
  </si>
  <si>
    <t>列表选择框</t>
  </si>
  <si>
    <t>树图选择框</t>
  </si>
  <si>
    <t>自定义选择框</t>
  </si>
  <si>
    <t>下拉选择框</t>
  </si>
  <si>
    <t>横向选择框</t>
  </si>
  <si>
    <t>横向多选择框</t>
  </si>
  <si>
    <t>码值：ProType</t>
  </si>
  <si>
    <t>ProType</t>
  </si>
  <si>
    <t>物业类型</t>
  </si>
  <si>
    <t xml:space="preserve">别墅  </t>
  </si>
  <si>
    <t>码值：MajorInvestmentModel</t>
  </si>
  <si>
    <t>MajorInvestmentModel</t>
  </si>
  <si>
    <t>码值：SMECreditStab</t>
  </si>
  <si>
    <t>SMECreditStab</t>
  </si>
  <si>
    <t>客户稳定性</t>
  </si>
  <si>
    <t>码值：SubjectVerifyBeforeComplete</t>
  </si>
  <si>
    <t>SubjectVerifyBeforeComplete</t>
  </si>
  <si>
    <t>财报完成条件</t>
  </si>
  <si>
    <t>!03,04,05_6001</t>
  </si>
  <si>
    <t>营业收入/主营业务</t>
  </si>
  <si>
    <t>1903</t>
  </si>
  <si>
    <t>资产合计</t>
  </si>
  <si>
    <t>2906</t>
  </si>
  <si>
    <t>负债合计</t>
  </si>
  <si>
    <t>4501</t>
  </si>
  <si>
    <t>所有者权益合计</t>
  </si>
  <si>
    <t>4601.右栏</t>
  </si>
  <si>
    <t>负债和所有者权益总计</t>
  </si>
  <si>
    <t>码值：MaterialName</t>
  </si>
  <si>
    <t>MaterialName</t>
  </si>
  <si>
    <t>大宗商品码值</t>
  </si>
  <si>
    <t>A010</t>
  </si>
  <si>
    <t>二甲醚</t>
  </si>
  <si>
    <t>A011</t>
  </si>
  <si>
    <t>液化气</t>
  </si>
  <si>
    <t>A015</t>
  </si>
  <si>
    <t>燃料油</t>
  </si>
  <si>
    <t>A018</t>
  </si>
  <si>
    <t>燃料油380CST</t>
  </si>
  <si>
    <t>B005</t>
  </si>
  <si>
    <t>溴素</t>
  </si>
  <si>
    <t>B015</t>
  </si>
  <si>
    <t>尿素</t>
  </si>
  <si>
    <t>B018</t>
  </si>
  <si>
    <t>三氯甲烷</t>
  </si>
  <si>
    <t>B020</t>
  </si>
  <si>
    <t>己二酸</t>
  </si>
  <si>
    <t>B021</t>
  </si>
  <si>
    <t>码值：LineType</t>
  </si>
  <si>
    <t>LineType</t>
  </si>
  <si>
    <t>业务条线</t>
  </si>
  <si>
    <t>大中条线</t>
  </si>
  <si>
    <t>个人条线</t>
  </si>
  <si>
    <t>小微条线</t>
  </si>
  <si>
    <t>同业条线</t>
  </si>
  <si>
    <t>码值：授信及合作情况</t>
  </si>
  <si>
    <t>授信及合作情况</t>
  </si>
  <si>
    <t>我行为唯一主办行</t>
  </si>
  <si>
    <t>我行授信或预计授信占比60％以上，且全部合作银行在2家（含）以下</t>
  </si>
  <si>
    <t>上述条件均不满足</t>
  </si>
  <si>
    <t>码值：AgencyApproveMain</t>
  </si>
  <si>
    <t>AgencyApproveMain</t>
  </si>
  <si>
    <t>评价调查审批</t>
  </si>
  <si>
    <t>码值：LoanProjectDurationRatio</t>
  </si>
  <si>
    <t>LoanProjectDurationRatio</t>
  </si>
  <si>
    <t>码值：CreditApplyEntMain</t>
  </si>
  <si>
    <t>CreditApplyEntMain</t>
  </si>
  <si>
    <t>公司单笔单批授信</t>
  </si>
  <si>
    <t>码值：CreditTestFlowApprMain</t>
  </si>
  <si>
    <t>CreditTestFlowApprMain</t>
  </si>
  <si>
    <t>码值：CurrentStatus</t>
  </si>
  <si>
    <t>CurrentStatus</t>
  </si>
  <si>
    <t>房屋状态</t>
  </si>
  <si>
    <t>预售房</t>
  </si>
  <si>
    <t>码值：EntRegularCheckApproveMain</t>
  </si>
  <si>
    <t>EntRegularCheckApproveMain</t>
  </si>
  <si>
    <t>码值：SignalLevel</t>
  </si>
  <si>
    <t>SignalLevel</t>
  </si>
  <si>
    <t>预警级别</t>
  </si>
  <si>
    <t>紧急处理</t>
  </si>
  <si>
    <t>高度关注</t>
  </si>
  <si>
    <t>码值：HScaleAndDebtLevel</t>
  </si>
  <si>
    <t>HScaleAndDebtLevel</t>
  </si>
  <si>
    <t>实际开放床位大于1000张，或者病床使用率超过90%</t>
  </si>
  <si>
    <t>实际开放床位500-1000张，或者病床使用率高于80%</t>
  </si>
  <si>
    <t>实际开放床位300-500，或者病床使用率高于70%</t>
  </si>
  <si>
    <t>码值：AgencyStatus</t>
  </si>
  <si>
    <t>AgencyStatus</t>
  </si>
  <si>
    <t>评估机构管理状态</t>
  </si>
  <si>
    <t>入围</t>
  </si>
  <si>
    <t>改为生效</t>
  </si>
  <si>
    <t>准入中</t>
  </si>
  <si>
    <t>改为失效</t>
  </si>
  <si>
    <t>淘汰</t>
  </si>
  <si>
    <t>准入</t>
  </si>
  <si>
    <t>退出中</t>
  </si>
  <si>
    <t>已退出</t>
  </si>
  <si>
    <t>待年审</t>
  </si>
  <si>
    <t>码值：产品竞争力</t>
  </si>
  <si>
    <t>产品竞争力</t>
  </si>
  <si>
    <t>码值：DisburseMent</t>
  </si>
  <si>
    <t>DisburseMent</t>
  </si>
  <si>
    <t>支付系统类型</t>
  </si>
  <si>
    <t>大额支付系统</t>
  </si>
  <si>
    <t>小额支付系统</t>
  </si>
  <si>
    <t>码值：InvoiceType</t>
  </si>
  <si>
    <t>InvoiceType</t>
  </si>
  <si>
    <t>普通商业发票</t>
  </si>
  <si>
    <t>增值税专用发票</t>
  </si>
  <si>
    <t>增值税普通发票</t>
  </si>
  <si>
    <t>码值：ListDemoType</t>
  </si>
  <si>
    <t>ListDemoType</t>
  </si>
  <si>
    <t>IC</t>
  </si>
  <si>
    <t>List页面开发</t>
  </si>
  <si>
    <t>IC01</t>
  </si>
  <si>
    <t>自定义显示模板List页面开发</t>
  </si>
  <si>
    <t>IC02</t>
  </si>
  <si>
    <t>通用显示模板List页面开发(使用的IND_INFO表)</t>
  </si>
  <si>
    <t>IC03</t>
  </si>
  <si>
    <t>非显示模板页面开发</t>
  </si>
  <si>
    <t>码值：ReserveFinFlag</t>
  </si>
  <si>
    <t>ReserveFinFlag</t>
  </si>
  <si>
    <t>终结方式</t>
  </si>
  <si>
    <t>完全收回</t>
  </si>
  <si>
    <t>完全核销</t>
  </si>
  <si>
    <t>部分核销</t>
  </si>
  <si>
    <t>码值：CustomerDiversity</t>
  </si>
  <si>
    <t>CustomerDiversity</t>
  </si>
  <si>
    <t>码值：政府的支持程度</t>
  </si>
  <si>
    <t>政府的支持程度</t>
  </si>
  <si>
    <t>码值：CreditApplySingleApproveMain</t>
  </si>
  <si>
    <t>CreditApplySingleApproveMain</t>
  </si>
  <si>
    <t>码值：有无</t>
  </si>
  <si>
    <t>码值：ApproveClDrawnMain</t>
  </si>
  <si>
    <t>ApproveClDrawnMain</t>
  </si>
  <si>
    <t>额度提用出帐审批判断</t>
  </si>
  <si>
    <t>码值：PurchaseState</t>
  </si>
  <si>
    <t>PurchaseState</t>
  </si>
  <si>
    <t>付款情况</t>
  </si>
  <si>
    <t>已付清全款</t>
  </si>
  <si>
    <t>按揭中</t>
  </si>
  <si>
    <t>码值：ClassifyType</t>
  </si>
  <si>
    <t>ClassifyType</t>
  </si>
  <si>
    <t>分类方式</t>
  </si>
  <si>
    <t>系统分类</t>
  </si>
  <si>
    <t>人工分类</t>
  </si>
  <si>
    <t>码值：InOut</t>
  </si>
  <si>
    <t>InOut</t>
  </si>
  <si>
    <t>码值：ReleaseTermType</t>
  </si>
  <si>
    <t>ReleaseTermType</t>
  </si>
  <si>
    <t>收取保证金时点</t>
  </si>
  <si>
    <t>办妥汽车抵押登记</t>
  </si>
  <si>
    <t>办妥设备抵押登记</t>
  </si>
  <si>
    <t>办妥交通工具抵押登记</t>
  </si>
  <si>
    <t>码值：DBCOL</t>
  </si>
  <si>
    <t>DBCOL</t>
  </si>
  <si>
    <t>数据库字段名</t>
  </si>
  <si>
    <t>业务状态字段</t>
  </si>
  <si>
    <t>待删除字段</t>
  </si>
  <si>
    <t>虚拟字段</t>
  </si>
  <si>
    <t>码值：NPADaily</t>
  </si>
  <si>
    <t>NPADaily</t>
  </si>
  <si>
    <t>不良资产日常管理主界面树状菜单</t>
  </si>
  <si>
    <t>还款方式补登</t>
  </si>
  <si>
    <t>00510</t>
  </si>
  <si>
    <t>待补登工作</t>
  </si>
  <si>
    <t>00520</t>
  </si>
  <si>
    <t>未终结不良资产</t>
  </si>
  <si>
    <t>已核销不良资产</t>
  </si>
  <si>
    <t>已终结不良资产</t>
  </si>
  <si>
    <r>
      <rPr>
        <sz val="10"/>
        <rFont val="黑体"/>
        <charset val="134"/>
      </rPr>
      <t>码值：</t>
    </r>
    <r>
      <rPr>
        <sz val="10"/>
        <rFont val="Nimbus Roman No9 L"/>
        <charset val="134"/>
      </rPr>
      <t>AgencyInformationType</t>
    </r>
  </si>
  <si>
    <t>AgencyInformationType</t>
  </si>
  <si>
    <t>机构信息种类</t>
  </si>
  <si>
    <t>联系人信息</t>
  </si>
  <si>
    <t>资质情况</t>
  </si>
  <si>
    <r>
      <rPr>
        <sz val="10"/>
        <rFont val="黑体"/>
        <charset val="134"/>
      </rPr>
      <t>码值：</t>
    </r>
    <r>
      <rPr>
        <sz val="10"/>
        <rFont val="Nimbus Roman No9 L"/>
        <charset val="134"/>
      </rPr>
      <t>MenuStatus</t>
    </r>
  </si>
  <si>
    <t>MenuStatus</t>
  </si>
  <si>
    <t>菜单状态</t>
  </si>
  <si>
    <r>
      <rPr>
        <sz val="10"/>
        <rFont val="黑体"/>
        <charset val="134"/>
      </rPr>
      <t>码值：</t>
    </r>
    <r>
      <rPr>
        <sz val="10"/>
        <rFont val="Nimbus Roman No9 L"/>
        <charset val="134"/>
      </rPr>
      <t>AccessType</t>
    </r>
  </si>
  <si>
    <t>AccessType</t>
  </si>
  <si>
    <t>动态</t>
  </si>
  <si>
    <r>
      <rPr>
        <sz val="10"/>
        <rFont val="黑体"/>
        <charset val="134"/>
      </rPr>
      <t>码值：</t>
    </r>
    <r>
      <rPr>
        <sz val="10"/>
        <rFont val="Nimbus Roman No9 L"/>
        <charset val="134"/>
      </rPr>
      <t>Score</t>
    </r>
  </si>
  <si>
    <t>Score</t>
  </si>
  <si>
    <t>评分</t>
  </si>
  <si>
    <r>
      <rPr>
        <sz val="10"/>
        <rFont val="黑体"/>
        <charset val="134"/>
      </rPr>
      <t>码值：</t>
    </r>
    <r>
      <rPr>
        <sz val="10"/>
        <rFont val="Nimbus Roman No9 L"/>
        <charset val="134"/>
      </rPr>
      <t>PlaneLayout</t>
    </r>
  </si>
  <si>
    <t>PlaneLayout</t>
  </si>
  <si>
    <t>布局</t>
  </si>
  <si>
    <t>平面</t>
  </si>
  <si>
    <t>复式</t>
  </si>
  <si>
    <t>跃式</t>
  </si>
  <si>
    <r>
      <rPr>
        <sz val="10"/>
        <rFont val="黑体"/>
        <charset val="134"/>
      </rPr>
      <t>码值：</t>
    </r>
    <r>
      <rPr>
        <sz val="10"/>
        <rFont val="Nimbus Roman No9 L"/>
        <charset val="134"/>
      </rPr>
      <t>UserStatus</t>
    </r>
  </si>
  <si>
    <t>UserStatus</t>
  </si>
  <si>
    <r>
      <rPr>
        <sz val="10"/>
        <rFont val="黑体"/>
        <charset val="134"/>
      </rPr>
      <t>码值：</t>
    </r>
    <r>
      <rPr>
        <sz val="10"/>
        <rFont val="Nimbus Roman No9 L"/>
        <charset val="134"/>
      </rPr>
      <t>AreaCode</t>
    </r>
  </si>
  <si>
    <t>AreaCode</t>
  </si>
  <si>
    <t>地区代码</t>
  </si>
  <si>
    <t>北京市</t>
  </si>
  <si>
    <t>北京市市辖区</t>
  </si>
  <si>
    <t>北京市市辖区东城区</t>
  </si>
  <si>
    <t>北京市市辖区西城区</t>
  </si>
  <si>
    <t>北京市市辖区朝阳区</t>
  </si>
  <si>
    <t>北京市市辖区丰台区</t>
  </si>
  <si>
    <t>北京市市辖区石景山区</t>
  </si>
  <si>
    <t>北京市市辖区海淀区</t>
  </si>
  <si>
    <t>北京市市辖区门头沟区</t>
  </si>
  <si>
    <t>北京市市辖区房山区</t>
  </si>
  <si>
    <t>北京市市辖区通州区</t>
  </si>
  <si>
    <t>北京市市辖区顺义区</t>
  </si>
  <si>
    <t>北京市市辖区昌平区</t>
  </si>
  <si>
    <t>北京市市辖区大兴区</t>
  </si>
  <si>
    <t>北京市市辖区怀柔区</t>
  </si>
  <si>
    <t>北京市市辖区平谷区</t>
  </si>
  <si>
    <t>北京市县</t>
  </si>
  <si>
    <t>北京市密云县</t>
  </si>
  <si>
    <t>北京市延庆县</t>
  </si>
  <si>
    <t>天津市</t>
  </si>
  <si>
    <t>天津市市辖区</t>
  </si>
  <si>
    <t>天津市市辖区和平区</t>
  </si>
  <si>
    <t>天津市市辖区河东区</t>
  </si>
  <si>
    <t>天津市市辖区河西区</t>
  </si>
  <si>
    <t>天津市市辖区南开区</t>
  </si>
  <si>
    <t>天津市市辖区河北区</t>
  </si>
  <si>
    <t>天津市市辖区红桥区</t>
  </si>
  <si>
    <t>天津市市辖区东丽区</t>
  </si>
  <si>
    <t>天津市市辖区西青区</t>
  </si>
  <si>
    <t>天津市市辖区津南区</t>
  </si>
  <si>
    <t>天津市市辖区北辰区</t>
  </si>
  <si>
    <t>天津市市辖区武清区</t>
  </si>
  <si>
    <t>天津市市辖区宝坻区</t>
  </si>
  <si>
    <t>天津市市辖区滨海新区</t>
  </si>
  <si>
    <t>天津市县</t>
  </si>
  <si>
    <t>天津市宁河县</t>
  </si>
  <si>
    <t>天津市静海县</t>
  </si>
  <si>
    <t>天津市蓟县</t>
  </si>
  <si>
    <t>河北省</t>
  </si>
  <si>
    <t>河北省石家庄市</t>
  </si>
  <si>
    <t>河北省石家庄市市辖区</t>
  </si>
  <si>
    <t>河北省石家庄市长安区</t>
  </si>
  <si>
    <t>河北省石家庄市桥西区</t>
  </si>
  <si>
    <t>河北省石家庄市新华区</t>
  </si>
  <si>
    <t>河北省石家庄市井陉矿区</t>
  </si>
  <si>
    <t>河北省石家庄市裕华区</t>
  </si>
  <si>
    <t>河北省石家庄市藁城区</t>
  </si>
  <si>
    <t>河北省石家庄市鹿泉区</t>
  </si>
  <si>
    <t>河北省石家庄市栾城区</t>
  </si>
  <si>
    <t>河北省石家庄市井陉县</t>
  </si>
  <si>
    <t>河北省石家庄市正定县</t>
  </si>
  <si>
    <t>河北省石家庄市行唐县</t>
  </si>
  <si>
    <t>河北省石家庄市灵寿县</t>
  </si>
  <si>
    <t>河北省石家庄市高邑县</t>
  </si>
  <si>
    <t>河北省石家庄市深泽县</t>
  </si>
  <si>
    <t>河北省石家庄市赞皇县</t>
  </si>
  <si>
    <t>河北省石家庄市无极县</t>
  </si>
  <si>
    <t>河北省石家庄市平山县</t>
  </si>
  <si>
    <t>河北省石家庄市元氏县</t>
  </si>
  <si>
    <t>河北省石家庄市赵县</t>
  </si>
  <si>
    <t>河北省石家庄市晋州市</t>
  </si>
  <si>
    <t>河北省石家庄市新乐市</t>
  </si>
  <si>
    <t>河北省唐山市</t>
  </si>
  <si>
    <t>河北省唐山市市辖区</t>
  </si>
  <si>
    <t>河北省唐山市路南区</t>
  </si>
  <si>
    <t>河北省唐山市路北区</t>
  </si>
  <si>
    <t>河北省唐山市古冶区</t>
  </si>
  <si>
    <t>河北省唐山市开平区</t>
  </si>
  <si>
    <t>河北省唐山市丰南区</t>
  </si>
  <si>
    <t>河北省唐山市丰润区</t>
  </si>
  <si>
    <t>河北省唐山市曹妃甸区</t>
  </si>
  <si>
    <t>河北省唐山市滦县</t>
  </si>
  <si>
    <t>河北省唐山市滦南县</t>
  </si>
  <si>
    <t>河北省唐山市乐亭县</t>
  </si>
  <si>
    <t>河北省唐山市迁西县</t>
  </si>
  <si>
    <t>河北省唐山市玉田县</t>
  </si>
  <si>
    <t>河北省唐山市遵化市</t>
  </si>
  <si>
    <t>河北省唐山市迁安市</t>
  </si>
  <si>
    <t>河北省秦皇岛市</t>
  </si>
  <si>
    <t>河北省秦皇岛市市辖区</t>
  </si>
  <si>
    <t>河北省秦皇岛市海港区</t>
  </si>
  <si>
    <t>河北省秦皇岛市山海关区</t>
  </si>
  <si>
    <t>河北省秦皇岛市北戴河区</t>
  </si>
  <si>
    <t>河北省秦皇岛市青龙满族自治县</t>
  </si>
  <si>
    <t>河北省秦皇岛市昌黎县</t>
  </si>
  <si>
    <t>河北省秦皇岛市抚宁县</t>
  </si>
  <si>
    <t>河北省秦皇岛市卢龙县</t>
  </si>
  <si>
    <t>河北省邯郸市</t>
  </si>
  <si>
    <t>河北省邯郸市市辖区</t>
  </si>
  <si>
    <t>河北省邯郸市邯山区</t>
  </si>
  <si>
    <t>河北省邯郸市丛台区</t>
  </si>
  <si>
    <t>河北省邯郸市复兴区</t>
  </si>
  <si>
    <t>河北省邯郸市峰峰矿区</t>
  </si>
  <si>
    <t>河北省邯郸市邯郸县</t>
  </si>
  <si>
    <t>河北省邯郸市临漳县</t>
  </si>
  <si>
    <t>河北省邯郸市成安县</t>
  </si>
  <si>
    <t>河北省邯郸市大名县</t>
  </si>
  <si>
    <t>河北省邯郸市涉县</t>
  </si>
  <si>
    <t>河北省邯郸市磁县</t>
  </si>
  <si>
    <t>河北省邯郸市肥乡县</t>
  </si>
  <si>
    <t>河北省邯郸市永年县</t>
  </si>
  <si>
    <t>河北省邯郸市邱县</t>
  </si>
  <si>
    <t>河北省邯郸市鸡泽县</t>
  </si>
  <si>
    <t>河北省邯郸市广平县</t>
  </si>
  <si>
    <t>河北省邯郸市馆陶县</t>
  </si>
  <si>
    <t>河北省邯郸市魏县</t>
  </si>
  <si>
    <t>河北省邯郸市曲周县</t>
  </si>
  <si>
    <t>河北省邯郸市武安市</t>
  </si>
  <si>
    <t>河北省邢台市</t>
  </si>
  <si>
    <t>河北省邢台市市辖区</t>
  </si>
  <si>
    <t>河北省邢台市桥东区</t>
  </si>
  <si>
    <t>河北省邢台市桥西区</t>
  </si>
  <si>
    <t>河北省邢台市邢台县</t>
  </si>
  <si>
    <t>河北省邢台市临城县</t>
  </si>
  <si>
    <t>河北省邢台市内丘县</t>
  </si>
  <si>
    <t>河北省邢台市柏乡县</t>
  </si>
  <si>
    <t>河北省邢台市隆尧县</t>
  </si>
  <si>
    <t>河北省邢台市任县</t>
  </si>
  <si>
    <t>河北省邢台市南和县</t>
  </si>
  <si>
    <t>河北省邢台市宁晋县</t>
  </si>
  <si>
    <t>河北省邢台市巨鹿县</t>
  </si>
  <si>
    <t>河北省邢台市新河县</t>
  </si>
  <si>
    <t>河北省邢台市广宗县</t>
  </si>
  <si>
    <t>河北省邢台市平乡县</t>
  </si>
  <si>
    <t>河北省邢台市威县</t>
  </si>
  <si>
    <t>河北省邢台市清河县</t>
  </si>
  <si>
    <t>河北省邢台市临西县</t>
  </si>
  <si>
    <t>河北省邢台市南宫市</t>
  </si>
  <si>
    <t>河北省邢台市沙河市</t>
  </si>
  <si>
    <t>河北省保定市</t>
  </si>
  <si>
    <t>河北省保定市市辖区</t>
  </si>
  <si>
    <t>河北省保定市新市区</t>
  </si>
  <si>
    <t>河北省保定市北市区</t>
  </si>
  <si>
    <t>河北省保定市南市区</t>
  </si>
  <si>
    <t>河北省保定市满城县</t>
  </si>
  <si>
    <t>河北省保定市清苑县</t>
  </si>
  <si>
    <t>河北省保定市涞水县</t>
  </si>
  <si>
    <t>河北省保定市阜平县</t>
  </si>
  <si>
    <t>河北省保定市徐水县</t>
  </si>
  <si>
    <t>河北省保定市定兴县</t>
  </si>
  <si>
    <t>河北省保定市唐县</t>
  </si>
  <si>
    <t>河北省保定市高阳县</t>
  </si>
  <si>
    <t>河北省保定市容城县</t>
  </si>
  <si>
    <t>河北省保定市涞源县</t>
  </si>
  <si>
    <t>河北省保定市望都县</t>
  </si>
  <si>
    <t>河北省保定市安新县</t>
  </si>
  <si>
    <t>河北省保定市易县</t>
  </si>
  <si>
    <t>河北省保定市曲阳县</t>
  </si>
  <si>
    <t>河北省保定市蠡县</t>
  </si>
  <si>
    <t>河北省保定市顺平县</t>
  </si>
  <si>
    <t>河北省保定市博野县</t>
  </si>
  <si>
    <t>河北省保定市雄县</t>
  </si>
  <si>
    <t>河北省保定市涿州市</t>
  </si>
  <si>
    <t>河北省保定市安国市</t>
  </si>
  <si>
    <t>河北省保定市高碑店市</t>
  </si>
  <si>
    <t>河北省张家口市</t>
  </si>
  <si>
    <t>河北省张家口市市辖区</t>
  </si>
  <si>
    <t>河北省张家口市桥东区</t>
  </si>
  <si>
    <t>河北省张家口市桥西区</t>
  </si>
  <si>
    <t>河北省张家口市宣化区</t>
  </si>
  <si>
    <t>河北省张家口市下花园区</t>
  </si>
  <si>
    <t>河北省张家口市宣化县</t>
  </si>
  <si>
    <t>河北省张家口市张北县</t>
  </si>
  <si>
    <t>河北省张家口市康保县</t>
  </si>
  <si>
    <t>河北省张家口市沽源县</t>
  </si>
  <si>
    <t>河北省张家口市尚义县</t>
  </si>
  <si>
    <t>河北省张家口市蔚县</t>
  </si>
  <si>
    <t>河北省张家口市阳原县</t>
  </si>
  <si>
    <t>河北省张家口市怀安县</t>
  </si>
  <si>
    <t>河北省张家口市万全县</t>
  </si>
  <si>
    <t>河北省张家口市怀来县</t>
  </si>
  <si>
    <t>河北省张家口市涿鹿县</t>
  </si>
  <si>
    <t>河北省张家口市赤城县</t>
  </si>
  <si>
    <t>河北省张家口市崇礼县</t>
  </si>
  <si>
    <t>河北省承德市</t>
  </si>
  <si>
    <t>河北省承德市市辖区</t>
  </si>
  <si>
    <t>河北省承德市双桥区</t>
  </si>
  <si>
    <t>河北省承德市双滦区</t>
  </si>
  <si>
    <t>河北省承德市鹰手营子矿区</t>
  </si>
  <si>
    <t>河北省承德市承德县</t>
  </si>
  <si>
    <t>河北省承德市兴隆县</t>
  </si>
  <si>
    <t>河北省承德市平泉县</t>
  </si>
  <si>
    <t>河北省承德市滦平县</t>
  </si>
  <si>
    <t>河北省承德市隆化县</t>
  </si>
  <si>
    <t>河北省承德市丰宁满族自治县</t>
  </si>
  <si>
    <t>河北省承德市宽城满族自治县</t>
  </si>
  <si>
    <t>河北省承德市围场满族蒙古族自治县</t>
  </si>
  <si>
    <t>河北省沧州市</t>
  </si>
  <si>
    <t>河北省沧州市市辖区</t>
  </si>
  <si>
    <t>河北省沧州市新华区</t>
  </si>
  <si>
    <t>河北省沧州市运河区</t>
  </si>
  <si>
    <t>河北省沧州市沧县</t>
  </si>
  <si>
    <t>河北省沧州市青县</t>
  </si>
  <si>
    <t>河北省沧州市东光县</t>
  </si>
  <si>
    <t>河北省沧州市海兴县</t>
  </si>
  <si>
    <t>河北省沧州市盐山县</t>
  </si>
  <si>
    <t>河北省沧州市肃宁县</t>
  </si>
  <si>
    <t>河北省沧州市南皮县</t>
  </si>
  <si>
    <t>河北省沧州市吴桥县</t>
  </si>
  <si>
    <t>河北省沧州市献县</t>
  </si>
  <si>
    <t>河北省沧州市孟村回族自治县</t>
  </si>
  <si>
    <t>河北省沧州市泊头市</t>
  </si>
  <si>
    <t>河北省沧州市任丘市</t>
  </si>
  <si>
    <t>河北省沧州市黄骅市</t>
  </si>
  <si>
    <t>河北省沧州市河间市</t>
  </si>
  <si>
    <t>河北省廊坊市</t>
  </si>
  <si>
    <t>河北省廊坊市市辖区</t>
  </si>
  <si>
    <t>河北省廊坊市安次区</t>
  </si>
  <si>
    <t>河北省廊坊市广阳区</t>
  </si>
  <si>
    <t>河北省廊坊市固安县</t>
  </si>
  <si>
    <t>河北省廊坊市永清县</t>
  </si>
  <si>
    <t>河北省廊坊市香河县</t>
  </si>
  <si>
    <t>河北省廊坊市大城县</t>
  </si>
  <si>
    <t>河北省廊坊市文安县</t>
  </si>
  <si>
    <t>河北省廊坊市大厂回族自治县</t>
  </si>
  <si>
    <t>河北省廊坊市霸州市</t>
  </si>
  <si>
    <t>河北省廊坊市三河市</t>
  </si>
  <si>
    <t>河北省衡水市</t>
  </si>
  <si>
    <t>河北省衡水市市辖区</t>
  </si>
  <si>
    <t>河北省衡水市桃城区</t>
  </si>
  <si>
    <t>河北省衡水市枣强县</t>
  </si>
  <si>
    <t>河北省衡水市武邑县</t>
  </si>
  <si>
    <t>河北省衡水市武强县</t>
  </si>
  <si>
    <t>河北省衡水市饶阳县</t>
  </si>
  <si>
    <t>河北省衡水市安平县</t>
  </si>
  <si>
    <t>河北省衡水市故城县</t>
  </si>
  <si>
    <t>河北省衡水市景县</t>
  </si>
  <si>
    <t>河北省衡水市阜城县</t>
  </si>
  <si>
    <t>河北省衡水市冀州市</t>
  </si>
  <si>
    <t>河北省衡水市深州市</t>
  </si>
  <si>
    <t>河北省省直辖县级行政区划</t>
  </si>
  <si>
    <t>河北省省直辖县级行政区划定州市</t>
  </si>
  <si>
    <t>河北省省直辖县级行政区划辛集市</t>
  </si>
  <si>
    <t>山西省</t>
  </si>
  <si>
    <t>山西省太原市</t>
  </si>
  <si>
    <t>山西省太原市市辖区</t>
  </si>
  <si>
    <t>山西省太原市小店区</t>
  </si>
  <si>
    <t>山西省太原市迎泽区</t>
  </si>
  <si>
    <t>山西省太原市杏花岭区</t>
  </si>
  <si>
    <t>山西省太原市尖草坪区</t>
  </si>
  <si>
    <t>山西省太原市万柏林区</t>
  </si>
  <si>
    <t>山西省太原市晋源区</t>
  </si>
  <si>
    <t>山西省太原市清徐县</t>
  </si>
  <si>
    <t>山西省太原市阳曲县</t>
  </si>
  <si>
    <t>山西省太原市娄烦县</t>
  </si>
  <si>
    <t>山西省太原市古交市</t>
  </si>
  <si>
    <t>山西省大同市</t>
  </si>
  <si>
    <t>山西省大同市市辖区</t>
  </si>
  <si>
    <t>山西省大同市城区</t>
  </si>
  <si>
    <t>山西省大同市矿区</t>
  </si>
  <si>
    <t>山西省大同市南郊区</t>
  </si>
  <si>
    <t>山西省大同市新荣区</t>
  </si>
  <si>
    <t>山西省大同市阳高县</t>
  </si>
  <si>
    <t>山西省大同市天镇县</t>
  </si>
  <si>
    <t>山西省大同市广灵县</t>
  </si>
  <si>
    <t>山西省大同市灵丘县</t>
  </si>
  <si>
    <t>山西省大同市浑源县</t>
  </si>
  <si>
    <t>山西省大同市左云县</t>
  </si>
  <si>
    <t>山西省大同市大同县</t>
  </si>
  <si>
    <t>山西省阳泉市</t>
  </si>
  <si>
    <t>山西省阳泉市市辖区</t>
  </si>
  <si>
    <t>山西省阳泉市城区</t>
  </si>
  <si>
    <t>山西省阳泉市矿区</t>
  </si>
  <si>
    <t>山西省阳泉市郊区</t>
  </si>
  <si>
    <t>山西省阳泉市平定县</t>
  </si>
  <si>
    <t>山西省阳泉市盂县</t>
  </si>
  <si>
    <t>山西省长治市</t>
  </si>
  <si>
    <t>山西省长治市市辖区</t>
  </si>
  <si>
    <t>山西省长治市城区</t>
  </si>
  <si>
    <t>山西省长治市郊区</t>
  </si>
  <si>
    <t>山西省长治市长治县</t>
  </si>
  <si>
    <t>山西省长治市襄垣县</t>
  </si>
  <si>
    <t>山西省长治市屯留县</t>
  </si>
  <si>
    <t>山西省长治市平顺县</t>
  </si>
  <si>
    <t>山西省长治市黎城县</t>
  </si>
  <si>
    <t>山西省长治市壶关县</t>
  </si>
  <si>
    <t>山西省长治市长子县</t>
  </si>
  <si>
    <t>山西省长治市武乡县</t>
  </si>
  <si>
    <t>山西省市辖区沁县</t>
  </si>
  <si>
    <t>山西省长治市沁源县</t>
  </si>
  <si>
    <t>山西省长治市潞城市</t>
  </si>
  <si>
    <t>山西省晋城市</t>
  </si>
  <si>
    <t>山西省晋城市市辖区</t>
  </si>
  <si>
    <t>山西省晋城市城区</t>
  </si>
  <si>
    <t>山西省晋城市沁水县</t>
  </si>
  <si>
    <t>山西省晋城市阳城县</t>
  </si>
  <si>
    <t>山西省晋城市陵川县</t>
  </si>
  <si>
    <t>山西省晋城市泽州县</t>
  </si>
  <si>
    <t>山西省晋城市高平市</t>
  </si>
  <si>
    <t>山西省朔州市</t>
  </si>
  <si>
    <t>山西省朔州市市辖区</t>
  </si>
  <si>
    <t>山西省朔州市朔城区</t>
  </si>
  <si>
    <t>山西省朔州市平鲁区</t>
  </si>
  <si>
    <t>山西省朔州市山阴县</t>
  </si>
  <si>
    <t>山西省朔州市应县</t>
  </si>
  <si>
    <t>山西省朔州市右玉县</t>
  </si>
  <si>
    <t>山西省朔州市怀仁县</t>
  </si>
  <si>
    <t>山西省晋中市</t>
  </si>
  <si>
    <t>山西省晋中市市辖区</t>
  </si>
  <si>
    <t>山西省晋中市榆次区</t>
  </si>
  <si>
    <t>山西省晋中市榆社县</t>
  </si>
  <si>
    <t>山西省晋中市左权县</t>
  </si>
  <si>
    <t>山西省晋中市和顺县</t>
  </si>
  <si>
    <t>山西省晋中市昔阳县</t>
  </si>
  <si>
    <t>山西省晋中市寿阳县</t>
  </si>
  <si>
    <t>山西省晋中市太谷县</t>
  </si>
  <si>
    <t>山西省晋中市祁县</t>
  </si>
  <si>
    <t>山西省晋中市平遥县</t>
  </si>
  <si>
    <t>山西省晋中市灵石县</t>
  </si>
  <si>
    <t>山西省晋中市介休市</t>
  </si>
  <si>
    <t>山西省运城市</t>
  </si>
  <si>
    <t>山西省运城市市辖区</t>
  </si>
  <si>
    <t>山西省运城市盐湖区</t>
  </si>
  <si>
    <t>山西省运城市临猗县</t>
  </si>
  <si>
    <t>山西省运城市万荣县</t>
  </si>
  <si>
    <t>山西省运城市闻喜县</t>
  </si>
  <si>
    <t>山西省运城市稷山县</t>
  </si>
  <si>
    <t>山西省运城市新绛县</t>
  </si>
  <si>
    <t>山西省运城市绛县</t>
  </si>
  <si>
    <t>山西省运城市垣曲县</t>
  </si>
  <si>
    <t>山西省运城市夏县</t>
  </si>
  <si>
    <t>山西省运城市平陆县</t>
  </si>
  <si>
    <t>山西省运城市芮城县</t>
  </si>
  <si>
    <t>山西省运城市永济市</t>
  </si>
  <si>
    <t>山西省运城市河津市</t>
  </si>
  <si>
    <t>山西省忻州市</t>
  </si>
  <si>
    <t>山西省忻州市市辖区</t>
  </si>
  <si>
    <t>山西省忻州市忻府区</t>
  </si>
  <si>
    <t>山西省忻州市定襄县</t>
  </si>
  <si>
    <t>山西省忻州市五台县</t>
  </si>
  <si>
    <t>山西省忻州市代县</t>
  </si>
  <si>
    <t>山西省忻州市繁峙县</t>
  </si>
  <si>
    <t>山西省忻州市宁武县</t>
  </si>
  <si>
    <t>山西省忻州市静乐县</t>
  </si>
  <si>
    <t>山西省忻州市神池县</t>
  </si>
  <si>
    <t>山西省忻州市五寨县</t>
  </si>
  <si>
    <t>山西省忻州市岢岚县</t>
  </si>
  <si>
    <t>山西省忻州市河曲县</t>
  </si>
  <si>
    <t>山西省忻州市保德县</t>
  </si>
  <si>
    <t>山西省忻州市偏关县</t>
  </si>
  <si>
    <t>山西省忻州市原平市</t>
  </si>
  <si>
    <t>山西省临汾市</t>
  </si>
  <si>
    <t>山西省临汾市市辖区</t>
  </si>
  <si>
    <t>山西省临汾市尧都区</t>
  </si>
  <si>
    <t>山西省临汾市曲沃县</t>
  </si>
  <si>
    <t>山西省临汾市翼城县</t>
  </si>
  <si>
    <t>山西省临汾市襄汾县</t>
  </si>
  <si>
    <t>山西省临汾市洪洞县</t>
  </si>
  <si>
    <t>山西省临汾市古县</t>
  </si>
  <si>
    <t>山西省临汾市安泽县</t>
  </si>
  <si>
    <t>山西省临汾市浮山县</t>
  </si>
  <si>
    <t>山西省临汾市吉县</t>
  </si>
  <si>
    <t>山西省临汾市乡宁县</t>
  </si>
  <si>
    <t>山西省临汾市大宁县</t>
  </si>
  <si>
    <t>山西省临汾市隰县</t>
  </si>
  <si>
    <t>山西省临汾市永和县</t>
  </si>
  <si>
    <t>山西省临汾市蒲县</t>
  </si>
  <si>
    <t>山西省临汾市汾西县</t>
  </si>
  <si>
    <t>山西省临汾市侯马市</t>
  </si>
  <si>
    <t>山西省临汾市霍州市</t>
  </si>
  <si>
    <t>山西省吕梁市</t>
  </si>
  <si>
    <t>山西省吕梁市市辖区</t>
  </si>
  <si>
    <t>山西省吕梁市离石区</t>
  </si>
  <si>
    <t>山西省吕梁市文水县</t>
  </si>
  <si>
    <t>山西省吕梁市交城县</t>
  </si>
  <si>
    <t>山西省吕梁市兴县</t>
  </si>
  <si>
    <t>山西省吕梁市临县</t>
  </si>
  <si>
    <t>山西省吕梁市柳林县</t>
  </si>
  <si>
    <t>山西省吕梁市石楼县</t>
  </si>
  <si>
    <t>山西省吕梁市岚县</t>
  </si>
  <si>
    <t>山西省吕梁市方山县</t>
  </si>
  <si>
    <t>山西省吕梁市中阳县</t>
  </si>
  <si>
    <t>山西省吕梁市交口县</t>
  </si>
  <si>
    <t>山西省吕梁市孝义市</t>
  </si>
  <si>
    <t>山西省吕梁市汾阳市</t>
  </si>
  <si>
    <t>内蒙古自治区</t>
  </si>
  <si>
    <t>内蒙古自治区呼和浩特市</t>
  </si>
  <si>
    <t>内蒙古自治区呼和浩特市市辖区</t>
  </si>
  <si>
    <t>内蒙古自治区呼和浩特市新城区</t>
  </si>
  <si>
    <t>内蒙古自治区呼和浩特市回民区</t>
  </si>
  <si>
    <t>内蒙古自治区呼和浩特市玉泉区</t>
  </si>
  <si>
    <t>内蒙古自治区呼和浩特市赛罕区</t>
  </si>
  <si>
    <t>内蒙古自治区呼和浩特市土默特左旗</t>
  </si>
  <si>
    <t>内蒙古自治区呼和浩特市托克托县</t>
  </si>
  <si>
    <t>内蒙古自治区呼和浩特市和林格尔县</t>
  </si>
  <si>
    <t>内蒙古自治区呼和浩特市清水河县</t>
  </si>
  <si>
    <t>内蒙古自治区呼和浩特市武川县</t>
  </si>
  <si>
    <t>内蒙古自治区包头市</t>
  </si>
  <si>
    <t>内蒙古自治区包头市市辖区</t>
  </si>
  <si>
    <t>内蒙古自治区包头市东河区</t>
  </si>
  <si>
    <t>内蒙古自治区包头市昆都仑区</t>
  </si>
  <si>
    <t>内蒙古自治区包头市青山区</t>
  </si>
  <si>
    <t>内蒙古自治区包头市石拐区</t>
  </si>
  <si>
    <t>内蒙古自治区包头市白云鄂博矿区</t>
  </si>
  <si>
    <t>内蒙古自治区包头市九原区</t>
  </si>
  <si>
    <t>内蒙古自治区包头市土默特右旗</t>
  </si>
  <si>
    <t>内蒙古自治区包头市固阳县</t>
  </si>
  <si>
    <t>内蒙古自治区包头市达尔罕茂明安联合旗</t>
  </si>
  <si>
    <t>内蒙古自治区乌海市</t>
  </si>
  <si>
    <t>内蒙古自治区乌海市市辖区</t>
  </si>
  <si>
    <t>内蒙古自治区乌海市海勃湾区</t>
  </si>
  <si>
    <t>内蒙古自治区乌海市海南区</t>
  </si>
  <si>
    <t>内蒙古自治区乌海市乌达区</t>
  </si>
  <si>
    <t>内蒙古自治区赤峰市</t>
  </si>
  <si>
    <t>内蒙古自治区赤峰市市辖区</t>
  </si>
  <si>
    <t>内蒙古自治区赤峰市红山区</t>
  </si>
  <si>
    <t>内蒙古自治区赤峰市元宝山区</t>
  </si>
  <si>
    <t>内蒙古自治区赤峰市松山区</t>
  </si>
  <si>
    <t>内蒙古自治区赤峰市阿鲁科尔沁旗</t>
  </si>
  <si>
    <t>内蒙古自治区赤峰市巴林左旗</t>
  </si>
  <si>
    <t>内蒙古自治区赤峰市巴林右旗</t>
  </si>
  <si>
    <t>内蒙古自治区赤峰市林西县</t>
  </si>
  <si>
    <t>内蒙古自治区赤峰市克什克腾旗</t>
  </si>
  <si>
    <t>内蒙古自治区赤峰市翁牛特旗</t>
  </si>
  <si>
    <t>内蒙古自治区赤峰市喀喇沁旗</t>
  </si>
  <si>
    <t>内蒙古自治区赤峰市宁城县</t>
  </si>
  <si>
    <t>内蒙古自治区赤峰市敖汉旗</t>
  </si>
  <si>
    <t>内蒙古自治区通辽市</t>
  </si>
  <si>
    <t>内蒙古自治区通辽市市辖区</t>
  </si>
  <si>
    <t>内蒙古自治区通辽市科尔沁区</t>
  </si>
  <si>
    <t>内蒙古自治区通辽市科尔沁左翼中旗</t>
  </si>
  <si>
    <t>内蒙古自治区通辽市科尔沁左翼后旗</t>
  </si>
  <si>
    <t>内蒙古自治区通辽市开鲁县</t>
  </si>
  <si>
    <t>内蒙古自治区通辽市库伦旗</t>
  </si>
  <si>
    <t>内蒙古自治区通辽市奈曼旗</t>
  </si>
  <si>
    <t>内蒙古自治区通辽市扎鲁特旗</t>
  </si>
  <si>
    <t>内蒙古自治区通辽市霍林郭勒市</t>
  </si>
  <si>
    <t>内蒙古自治区鄂尔多斯市</t>
  </si>
  <si>
    <t>内蒙古自治区鄂尔多斯市市辖区</t>
  </si>
  <si>
    <t>内蒙古自治区鄂尔多斯市东胜区</t>
  </si>
  <si>
    <t>内蒙古自治区鄂尔多斯市达拉特旗</t>
  </si>
  <si>
    <t>内蒙古自治区鄂尔多斯市准格尔旗</t>
  </si>
  <si>
    <t>内蒙古自治区鄂尔多斯市鄂托克前旗</t>
  </si>
  <si>
    <t>内蒙古自治区鄂尔多斯市鄂托克旗</t>
  </si>
  <si>
    <t>内蒙古自治区鄂尔多斯市杭锦旗</t>
  </si>
  <si>
    <t>内蒙古自治区鄂尔多斯市乌审旗</t>
  </si>
  <si>
    <t>内蒙古自治区鄂尔多斯市伊金霍洛旗</t>
  </si>
  <si>
    <t>内蒙古自治区呼伦贝尔市</t>
  </si>
  <si>
    <t>内蒙古自治区呼伦贝尔市市辖区</t>
  </si>
  <si>
    <t>内蒙古自治区呼伦贝尔市海拉尔区</t>
  </si>
  <si>
    <t>内蒙古自治区呼伦贝尔市扎赉诺尔区</t>
  </si>
  <si>
    <t>内蒙古自治区呼伦贝尔市阿荣旗</t>
  </si>
  <si>
    <t>内蒙古自治区呼伦贝尔市莫力达瓦达斡尔族自治旗</t>
  </si>
  <si>
    <t>内蒙古自治区呼伦贝尔市鄂伦春自治旗</t>
  </si>
  <si>
    <t>内蒙古自治区呼伦贝尔市鄂温克族自治旗</t>
  </si>
  <si>
    <t>内蒙古自治区呼伦贝尔市陈巴尔虎旗</t>
  </si>
  <si>
    <t>内蒙古自治区呼伦贝尔市新巴尔虎左旗</t>
  </si>
  <si>
    <t>内蒙古自治区呼伦贝尔市新巴尔虎右旗</t>
  </si>
  <si>
    <t>内蒙古自治区呼伦贝尔市满洲里市</t>
  </si>
  <si>
    <t>内蒙古自治区呼伦贝尔市牙克石市</t>
  </si>
  <si>
    <t>内蒙古自治区呼伦贝尔市扎兰屯市</t>
  </si>
  <si>
    <t>内蒙古自治区呼伦贝尔市额尔古纳市</t>
  </si>
  <si>
    <t>内蒙古自治区呼伦贝尔市根河市</t>
  </si>
  <si>
    <t>内蒙古自治区巴彦淖尔市</t>
  </si>
  <si>
    <t>内蒙古自治区巴彦淖尔市市辖区</t>
  </si>
  <si>
    <t>内蒙古自治区巴彦淖尔市临河区</t>
  </si>
  <si>
    <t>内蒙古自治区巴彦淖尔市五原县</t>
  </si>
  <si>
    <t>内蒙古自治区巴彦淖尔市磴口县</t>
  </si>
  <si>
    <t>内蒙古自治区巴彦淖尔市乌拉特前旗</t>
  </si>
  <si>
    <t>内蒙古自治区巴彦淖尔市乌拉特中旗</t>
  </si>
  <si>
    <t>内蒙古自治区巴彦淖尔市乌拉特后旗</t>
  </si>
  <si>
    <t>内蒙古自治区巴彦淖尔市杭锦后旗</t>
  </si>
  <si>
    <t>内蒙古自治区乌兰察布市</t>
  </si>
  <si>
    <t>内蒙古自治区乌兰察布市市辖区</t>
  </si>
  <si>
    <t>内蒙古自治区乌兰察布市集宁区</t>
  </si>
  <si>
    <t>内蒙古自治区乌兰察布市卓资县</t>
  </si>
  <si>
    <t>内蒙古自治区乌兰察布市化德县</t>
  </si>
  <si>
    <t>内蒙古自治区乌兰察布市商都县</t>
  </si>
  <si>
    <t>内蒙古自治区乌兰察布市兴和县</t>
  </si>
  <si>
    <t>内蒙古自治区乌兰察布市凉城县</t>
  </si>
  <si>
    <t>内蒙古自治区乌兰察布市察哈尔右翼前旗</t>
  </si>
  <si>
    <t>内蒙古自治区乌兰察布市察哈尔右翼中旗</t>
  </si>
  <si>
    <t>内蒙古自治区乌兰察布市察哈尔右翼后旗</t>
  </si>
  <si>
    <t>内蒙古自治区乌兰察布市四子王旗</t>
  </si>
  <si>
    <t>内蒙古自治区乌兰察布市丰镇市</t>
  </si>
  <si>
    <t>内蒙古自治区兴安盟</t>
  </si>
  <si>
    <t>内蒙古自治区兴安盟乌兰浩特市</t>
  </si>
  <si>
    <t>内蒙古自治区兴安盟阿尔山市</t>
  </si>
  <si>
    <t>内蒙古自治区兴安盟科尔沁右翼前旗</t>
  </si>
  <si>
    <t>内蒙古自治区兴安盟科尔沁右翼中旗</t>
  </si>
  <si>
    <t>内蒙古自治区兴安盟扎赉特旗</t>
  </si>
  <si>
    <t>内蒙古自治区兴安盟突泉县</t>
  </si>
  <si>
    <t>内蒙古自治区锡林郭勒盟</t>
  </si>
  <si>
    <t>内蒙古自治区锡林郭勒盟二连浩特市</t>
  </si>
  <si>
    <t>内蒙古自治区锡林郭勒盟锡林浩特市</t>
  </si>
  <si>
    <t>内蒙古自治区锡林郭勒盟阿巴嘎旗</t>
  </si>
  <si>
    <t>内蒙古自治区锡林郭勒盟苏尼特左旗</t>
  </si>
  <si>
    <t>内蒙古自治区锡林郭勒盟苏尼特右旗</t>
  </si>
  <si>
    <t>内蒙古自治区锡林郭勒盟东乌珠穆沁旗</t>
  </si>
  <si>
    <t>内蒙古自治区锡林郭勒盟西乌珠穆沁旗</t>
  </si>
  <si>
    <t>内蒙古自治区锡林郭勒盟太仆寺旗</t>
  </si>
  <si>
    <t>内蒙古自治区锡林郭勒盟镶黄旗</t>
  </si>
  <si>
    <t>内蒙古自治区锡林郭勒盟正镶白旗</t>
  </si>
  <si>
    <t>内蒙古自治区锡林郭勒盟正蓝旗</t>
  </si>
  <si>
    <t>内蒙古自治区锡林郭勒盟多伦县</t>
  </si>
  <si>
    <t>内蒙古自治区阿拉善盟</t>
  </si>
  <si>
    <t>内蒙古自治区阿拉善盟阿拉善左旗</t>
  </si>
  <si>
    <t>内蒙古自治区阿拉善盟阿拉善右旗</t>
  </si>
  <si>
    <t>内蒙古自治区阿拉善盟额济纳旗</t>
  </si>
  <si>
    <t>辽宁省</t>
  </si>
  <si>
    <t>辽宁省沈阳市</t>
  </si>
  <si>
    <t>辽宁省沈阳市市辖区</t>
  </si>
  <si>
    <t>辽宁省沈阳市和平区</t>
  </si>
  <si>
    <t>辽宁省沈阳市沈河区</t>
  </si>
  <si>
    <t>辽宁省沈阳市大东区</t>
  </si>
  <si>
    <t>辽宁省沈阳市皇姑区</t>
  </si>
  <si>
    <t>辽宁省沈阳市铁西区</t>
  </si>
  <si>
    <t>辽宁省沈阳市苏家屯区</t>
  </si>
  <si>
    <t>辽宁省沈阳市浑南区</t>
  </si>
  <si>
    <t>辽宁省沈阳市沈北新区</t>
  </si>
  <si>
    <t>辽宁省沈阳市于洪区</t>
  </si>
  <si>
    <t>辽宁省沈阳市辽中县</t>
  </si>
  <si>
    <t>辽宁省沈阳市康平县</t>
  </si>
  <si>
    <t>辽宁省沈阳市法库县</t>
  </si>
  <si>
    <t>辽宁省沈阳市新民市</t>
  </si>
  <si>
    <t>辽宁省大连市</t>
  </si>
  <si>
    <t>辽宁省大连市市辖区</t>
  </si>
  <si>
    <t>辽宁省大连市中山区</t>
  </si>
  <si>
    <t>辽宁省大连市西岗区</t>
  </si>
  <si>
    <t>辽宁省大连市沙河口区</t>
  </si>
  <si>
    <t>辽宁省大连市甘井子区</t>
  </si>
  <si>
    <t>辽宁省大连市旅顺口区</t>
  </si>
  <si>
    <t>辽宁省大连市金州区</t>
  </si>
  <si>
    <t>辽宁省大连市长海县</t>
  </si>
  <si>
    <t>辽宁省大连市瓦房店市</t>
  </si>
  <si>
    <t>辽宁省大连市普兰店市</t>
  </si>
  <si>
    <t>辽宁省大连市庄河市</t>
  </si>
  <si>
    <t>辽宁省鞍山市</t>
  </si>
  <si>
    <t>辽宁省鞍山市市辖区</t>
  </si>
  <si>
    <t>辽宁省鞍山市铁东区</t>
  </si>
  <si>
    <t>辽宁省鞍山市铁西区</t>
  </si>
  <si>
    <t>辽宁省鞍山市立山区</t>
  </si>
  <si>
    <t>辽宁省鞍山市千山区</t>
  </si>
  <si>
    <t>辽宁省鞍山市台安县</t>
  </si>
  <si>
    <t>辽宁省鞍山市岫岩满族自治县</t>
  </si>
  <si>
    <t>辽宁省鞍山市海城市</t>
  </si>
  <si>
    <t>辽宁省抚顺市</t>
  </si>
  <si>
    <t>辽宁省抚顺市市辖区</t>
  </si>
  <si>
    <t>辽宁省抚顺市新抚区</t>
  </si>
  <si>
    <t>辽宁省抚顺市东洲区</t>
  </si>
  <si>
    <t>辽宁省抚顺市望花区</t>
  </si>
  <si>
    <t>辽宁省抚顺市顺城区</t>
  </si>
  <si>
    <t>辽宁省抚顺市抚顺县</t>
  </si>
  <si>
    <t>辽宁省抚顺市新宾满族自治县</t>
  </si>
  <si>
    <t>辽宁省抚顺市清原满族自治县</t>
  </si>
  <si>
    <t>辽宁省本溪市</t>
  </si>
  <si>
    <t>辽宁省本溪市市辖区</t>
  </si>
  <si>
    <t>辽宁省本溪市平山区</t>
  </si>
  <si>
    <t>辽宁省本溪市溪湖区</t>
  </si>
  <si>
    <t>辽宁省本溪市明山区</t>
  </si>
  <si>
    <t>辽宁省本溪市南芬区</t>
  </si>
  <si>
    <t>辽宁省本溪市本溪满族自治县</t>
  </si>
  <si>
    <t>辽宁省本溪市桓仁满族自治县</t>
  </si>
  <si>
    <t>辽宁省丹东市</t>
  </si>
  <si>
    <t>辽宁省丹东市市辖区</t>
  </si>
  <si>
    <t>辽宁省丹东市元宝区</t>
  </si>
  <si>
    <t>辽宁省丹东市振兴区</t>
  </si>
  <si>
    <t>辽宁省丹东市振安区</t>
  </si>
  <si>
    <t>辽宁省丹东市宽甸满族自治县</t>
  </si>
  <si>
    <t>辽宁省丹东市东港市</t>
  </si>
  <si>
    <t>辽宁省丹东市凤城市</t>
  </si>
  <si>
    <t>辽宁省锦州市</t>
  </si>
  <si>
    <t>辽宁省锦州市市辖区</t>
  </si>
  <si>
    <t>辽宁省锦州市古塔区</t>
  </si>
  <si>
    <t>辽宁省锦州市凌河区</t>
  </si>
  <si>
    <t>辽宁省锦州市太和区</t>
  </si>
  <si>
    <t>辽宁省锦州市黑山县</t>
  </si>
  <si>
    <t>辽宁省锦州市义县</t>
  </si>
  <si>
    <t>辽宁省锦州市凌海市</t>
  </si>
  <si>
    <t>辽宁省锦州市北镇市</t>
  </si>
  <si>
    <t>辽宁省营口市</t>
  </si>
  <si>
    <t>辽宁省营口市市辖区</t>
  </si>
  <si>
    <t>辽宁省营口市站前区</t>
  </si>
  <si>
    <t>辽宁省营口市西市区</t>
  </si>
  <si>
    <t>辽宁省营口市鲅鱼圈区</t>
  </si>
  <si>
    <t>辽宁省营口市老边区</t>
  </si>
  <si>
    <t>辽宁省营口市盖州市</t>
  </si>
  <si>
    <t>辽宁省营口市大石桥市</t>
  </si>
  <si>
    <t>辽宁省阜新市</t>
  </si>
  <si>
    <t>辽宁省阜新市市辖区</t>
  </si>
  <si>
    <t>辽宁省阜新市海州区</t>
  </si>
  <si>
    <t>辽宁省阜新市新邱区</t>
  </si>
  <si>
    <t>辽宁省阜新市太平区</t>
  </si>
  <si>
    <t>辽宁省阜新市清河门区</t>
  </si>
  <si>
    <t>辽宁省阜新市细河区</t>
  </si>
  <si>
    <t>辽宁省阜新市阜新蒙古族自治县</t>
  </si>
  <si>
    <t>辽宁省阜新市彰武县</t>
  </si>
  <si>
    <t>辽宁省辽阳市</t>
  </si>
  <si>
    <t>辽宁省辽阳市市辖区</t>
  </si>
  <si>
    <t>辽宁省辽阳市白塔区</t>
  </si>
  <si>
    <t>辽宁省辽阳市文圣区</t>
  </si>
  <si>
    <t>辽宁省辽阳市宏伟区</t>
  </si>
  <si>
    <t>辽宁省辽阳市弓长岭区</t>
  </si>
  <si>
    <t>辽宁省辽阳市太子河区</t>
  </si>
  <si>
    <t>辽宁省辽阳市辽阳县</t>
  </si>
  <si>
    <t>辽宁省辽阳市灯塔市</t>
  </si>
  <si>
    <t>辽宁省盘锦市</t>
  </si>
  <si>
    <t>辽宁省盘锦市市辖区</t>
  </si>
  <si>
    <t>辽宁省盘锦市双台子区</t>
  </si>
  <si>
    <t>辽宁省盘锦市兴隆台区</t>
  </si>
  <si>
    <t>辽宁省盘锦市大洼县</t>
  </si>
  <si>
    <t>辽宁省盘锦市盘山县</t>
  </si>
  <si>
    <t>辽宁省铁岭市</t>
  </si>
  <si>
    <t>辽宁省铁岭市市辖区</t>
  </si>
  <si>
    <t>辽宁省铁岭市银州区</t>
  </si>
  <si>
    <t>辽宁省铁岭市清河区</t>
  </si>
  <si>
    <t>辽宁省铁岭市铁岭县</t>
  </si>
  <si>
    <t>辽宁省铁岭市西丰县</t>
  </si>
  <si>
    <t>辽宁省铁岭市昌图县</t>
  </si>
  <si>
    <t>辽宁省铁岭市调兵山市</t>
  </si>
  <si>
    <t>辽宁省铁岭市开原市</t>
  </si>
  <si>
    <t>辽宁省朝阳市</t>
  </si>
  <si>
    <t>辽宁省朝阳市市辖区</t>
  </si>
  <si>
    <t>辽宁省朝阳市双塔区</t>
  </si>
  <si>
    <t>辽宁省朝阳市龙城区</t>
  </si>
  <si>
    <t>辽宁省朝阳市朝阳县</t>
  </si>
  <si>
    <t>辽宁省朝阳市建平县</t>
  </si>
  <si>
    <t>辽宁省朝阳市喀喇沁左翼蒙古族自治县</t>
  </si>
  <si>
    <t>辽宁省朝阳市北票市</t>
  </si>
  <si>
    <t>辽宁省朝阳市凌源市</t>
  </si>
  <si>
    <t>辽宁省葫芦岛市</t>
  </si>
  <si>
    <t>辽宁省葫芦岛市市辖区</t>
  </si>
  <si>
    <t>辽宁省葫芦岛市连山区</t>
  </si>
  <si>
    <t>辽宁省葫芦岛市龙港区</t>
  </si>
  <si>
    <t>辽宁省葫芦岛市南票区</t>
  </si>
  <si>
    <t>辽宁省葫芦岛市绥中县</t>
  </si>
  <si>
    <t>辽宁省葫芦岛市建昌县</t>
  </si>
  <si>
    <t>辽宁省葫芦岛市兴城市</t>
  </si>
  <si>
    <t>吉林省</t>
  </si>
  <si>
    <t>吉林省长春市</t>
  </si>
  <si>
    <t>吉林省长春市市辖区</t>
  </si>
  <si>
    <t>吉林省长春市南关区</t>
  </si>
  <si>
    <t>吉林省长春市宽城区</t>
  </si>
  <si>
    <t>吉林省长春市朝阳区</t>
  </si>
  <si>
    <t>吉林省长春市二道区</t>
  </si>
  <si>
    <t>吉林省长春市绿园区</t>
  </si>
  <si>
    <t>吉林省长春市双阳区</t>
  </si>
  <si>
    <t>吉林省长春市九台区</t>
  </si>
  <si>
    <t>吉林省长春市农安县</t>
  </si>
  <si>
    <t>吉林省长春市榆树市</t>
  </si>
  <si>
    <t>吉林省长春市德惠市</t>
  </si>
  <si>
    <t>吉林省吉林市</t>
  </si>
  <si>
    <t>吉林省吉林市市辖区</t>
  </si>
  <si>
    <t>吉林省吉林市昌邑区</t>
  </si>
  <si>
    <t>吉林省吉林市龙潭区</t>
  </si>
  <si>
    <t>吉林省吉林市船营区</t>
  </si>
  <si>
    <t>吉林省吉林市丰满区</t>
  </si>
  <si>
    <t>吉林省吉林市永吉县</t>
  </si>
  <si>
    <t>吉林省吉林市蛟河市</t>
  </si>
  <si>
    <t>吉林省吉林市桦甸市</t>
  </si>
  <si>
    <t>吉林省吉林市舒兰市</t>
  </si>
  <si>
    <t>吉林省吉林市磐石市</t>
  </si>
  <si>
    <t>吉林省四平市</t>
  </si>
  <si>
    <t>吉林省四平市市辖区</t>
  </si>
  <si>
    <t>吉林省四平市铁西区</t>
  </si>
  <si>
    <t>吉林省四平市铁东区</t>
  </si>
  <si>
    <t>吉林省四平市梨树县</t>
  </si>
  <si>
    <t>吉林省四平市伊通满族自治县</t>
  </si>
  <si>
    <t>吉林省四平市公主岭市</t>
  </si>
  <si>
    <t>吉林省四平市双辽市</t>
  </si>
  <si>
    <t>吉林省辽源市</t>
  </si>
  <si>
    <t>吉林省辽源市市辖区</t>
  </si>
  <si>
    <t>吉林省辽源市龙山区</t>
  </si>
  <si>
    <t>吉林省辽源市西安区</t>
  </si>
  <si>
    <t>吉林省辽源市东丰县</t>
  </si>
  <si>
    <t>吉林省辽源市东辽县</t>
  </si>
  <si>
    <t>吉林省通化市</t>
  </si>
  <si>
    <t>吉林省通化市市辖区</t>
  </si>
  <si>
    <t>吉林省通化市东昌区</t>
  </si>
  <si>
    <t>吉林省通化市二道江区</t>
  </si>
  <si>
    <t>吉林省通化市通化县</t>
  </si>
  <si>
    <t>吉林省通化市辉南县</t>
  </si>
  <si>
    <t>吉林省通化市柳河县</t>
  </si>
  <si>
    <t>吉林省通化市梅河口市</t>
  </si>
  <si>
    <t>吉林省通化市集安市</t>
  </si>
  <si>
    <t>吉林省白山市</t>
  </si>
  <si>
    <t>吉林省白山市市辖区</t>
  </si>
  <si>
    <t>吉林省白山市浑江区</t>
  </si>
  <si>
    <t>吉林省白山市江源区</t>
  </si>
  <si>
    <t>吉林省白山市抚松县</t>
  </si>
  <si>
    <t>吉林省白山市靖宇县</t>
  </si>
  <si>
    <t>吉林省白山市长白朝鲜族自治县</t>
  </si>
  <si>
    <t>吉林省白山市临江市</t>
  </si>
  <si>
    <t>吉林省松原市</t>
  </si>
  <si>
    <t>吉林省松原市市辖区</t>
  </si>
  <si>
    <t>吉林省松原市宁江区</t>
  </si>
  <si>
    <t>吉林省松原市前郭尔罗斯蒙古族自治县</t>
  </si>
  <si>
    <t>吉林省松原市长岭县</t>
  </si>
  <si>
    <t>吉林省松原市乾安县</t>
  </si>
  <si>
    <t>吉林省松原市扶余县</t>
  </si>
  <si>
    <t>吉林省白城市</t>
  </si>
  <si>
    <t>吉林省白城市市辖区</t>
  </si>
  <si>
    <t>吉林省白城市洮北区</t>
  </si>
  <si>
    <t>吉林省白城市镇赉县</t>
  </si>
  <si>
    <t>吉林省白城市通榆县</t>
  </si>
  <si>
    <t>吉林省白城市洮南市</t>
  </si>
  <si>
    <t>吉林省白城市大安市</t>
  </si>
  <si>
    <t>吉林省延边朝鲜族自治州</t>
  </si>
  <si>
    <t>吉林省延边朝鲜族自治州延吉市</t>
  </si>
  <si>
    <t>吉林省延边朝鲜族自治州图们市</t>
  </si>
  <si>
    <t>吉林省延边朝鲜族自治州敦化市</t>
  </si>
  <si>
    <t>吉林省延边朝鲜族自治州珲春市</t>
  </si>
  <si>
    <t>吉林省延边朝鲜族自治州龙井市</t>
  </si>
  <si>
    <t>吉林省延边朝鲜族自治州和龙市</t>
  </si>
  <si>
    <t>吉林省延边朝鲜族自治州汪清县</t>
  </si>
  <si>
    <t>吉林省延边朝鲜族自治州安图县</t>
  </si>
  <si>
    <t>黑龙江省</t>
  </si>
  <si>
    <t>黑龙江省哈尔滨市</t>
  </si>
  <si>
    <t>黑龙江省哈尔滨市市辖区</t>
  </si>
  <si>
    <t>黑龙江省哈尔滨市道里区</t>
  </si>
  <si>
    <t>黑龙江省哈尔滨市南岗区</t>
  </si>
  <si>
    <t>黑龙江省哈尔滨市道外区</t>
  </si>
  <si>
    <t>黑龙江省哈尔滨市平房区</t>
  </si>
  <si>
    <t>黑龙江省哈尔滨市松北区</t>
  </si>
  <si>
    <t>黑龙江省哈尔滨市香坊区</t>
  </si>
  <si>
    <t>黑龙江省哈尔滨市呼兰区</t>
  </si>
  <si>
    <t>黑龙江省哈尔滨市阿城区</t>
  </si>
  <si>
    <t>黑龙江省哈尔滨市依兰县</t>
  </si>
  <si>
    <t>黑龙江省哈尔滨市方正县</t>
  </si>
  <si>
    <t>黑龙江省哈尔滨市宾县</t>
  </si>
  <si>
    <t>黑龙江省哈尔滨市巴彦县</t>
  </si>
  <si>
    <t>黑龙江省哈尔滨市木兰县</t>
  </si>
  <si>
    <t>黑龙江省哈尔滨市通河县</t>
  </si>
  <si>
    <t>黑龙江省哈尔滨市延寿县</t>
  </si>
  <si>
    <t>黑龙江省哈尔滨市双城市</t>
  </si>
  <si>
    <t>黑龙江省哈尔滨市尚志市</t>
  </si>
  <si>
    <t>黑龙江省哈尔滨市五常市</t>
  </si>
  <si>
    <t>黑龙江省齐齐哈尔市</t>
  </si>
  <si>
    <t>黑龙江省齐齐哈尔市市辖区</t>
  </si>
  <si>
    <t>黑龙江省齐齐哈尔市龙沙区</t>
  </si>
  <si>
    <t>黑龙江省齐齐哈尔市建华区</t>
  </si>
  <si>
    <t>黑龙江省齐齐哈尔市铁锋区</t>
  </si>
  <si>
    <t>黑龙江省齐齐哈尔市昂昂溪区</t>
  </si>
  <si>
    <t>黑龙江省齐齐哈尔市富拉尔基区</t>
  </si>
  <si>
    <t>黑龙江省齐齐哈尔市碾子山区</t>
  </si>
  <si>
    <t>黑龙江省齐齐哈尔市梅里斯达斡尔族区</t>
  </si>
  <si>
    <t>黑龙江省齐齐哈尔市龙江县</t>
  </si>
  <si>
    <t>黑龙江省齐齐哈尔市依安县</t>
  </si>
  <si>
    <t>黑龙江省齐齐哈尔市泰来县</t>
  </si>
  <si>
    <t>黑龙江省齐齐哈尔市甘南县</t>
  </si>
  <si>
    <t>黑龙江省齐齐哈尔市富裕县</t>
  </si>
  <si>
    <t>黑龙江省齐齐哈尔市克山县</t>
  </si>
  <si>
    <t>黑龙江省齐齐哈尔市克东县</t>
  </si>
  <si>
    <t>黑龙江省齐齐哈尔市拜泉县</t>
  </si>
  <si>
    <t>黑龙江省齐齐哈尔市讷河市</t>
  </si>
  <si>
    <t>黑龙江省鸡西市</t>
  </si>
  <si>
    <t>黑龙江省鸡西市市辖区</t>
  </si>
  <si>
    <t>黑龙江省鸡西市鸡冠区</t>
  </si>
  <si>
    <t>黑龙江省鸡西市恒山区</t>
  </si>
  <si>
    <t>黑龙江省鸡西市滴道区</t>
  </si>
  <si>
    <t>黑龙江省鸡西市梨树区</t>
  </si>
  <si>
    <t>黑龙江省鸡西市城子河区</t>
  </si>
  <si>
    <t>黑龙江省鸡西市麻山区</t>
  </si>
  <si>
    <t>黑龙江省鸡西市鸡东县</t>
  </si>
  <si>
    <t>黑龙江省鸡西市虎林市</t>
  </si>
  <si>
    <t>黑龙江省鸡西市密山市</t>
  </si>
  <si>
    <t>黑龙江省鹤岗市</t>
  </si>
  <si>
    <t>黑龙江省鹤岗市市辖区</t>
  </si>
  <si>
    <t>黑龙江省鹤岗市向阳区</t>
  </si>
  <si>
    <t>黑龙江省鹤岗市工农区</t>
  </si>
  <si>
    <t>黑龙江省鹤岗市南山区</t>
  </si>
  <si>
    <t>黑龙江省鹤岗市兴安区</t>
  </si>
  <si>
    <t>黑龙江省鹤岗市东山区</t>
  </si>
  <si>
    <t>黑龙江省鹤岗市兴山区</t>
  </si>
  <si>
    <t>黑龙江省鹤岗市萝北县</t>
  </si>
  <si>
    <t>黑龙江省鹤岗市绥滨县</t>
  </si>
  <si>
    <t>黑龙江省双鸭山市</t>
  </si>
  <si>
    <t>黑龙江省双鸭山市市辖区</t>
  </si>
  <si>
    <t>黑龙江省双鸭山市尖山区</t>
  </si>
  <si>
    <t>黑龙江省双鸭山市岭东区</t>
  </si>
  <si>
    <t>黑龙江省双鸭山市四方台区</t>
  </si>
  <si>
    <t>黑龙江省双鸭山市宝山区</t>
  </si>
  <si>
    <t>黑龙江省双鸭山市集贤县</t>
  </si>
  <si>
    <t>黑龙江省双鸭山市友谊县</t>
  </si>
  <si>
    <t>黑龙江省双鸭山市宝清县</t>
  </si>
  <si>
    <t>黑龙江省双鸭山市饶河县</t>
  </si>
  <si>
    <t>黑龙江省大庆市</t>
  </si>
  <si>
    <t>黑龙江省大庆市市辖区</t>
  </si>
  <si>
    <t>黑龙江省大庆市萨尔图区</t>
  </si>
  <si>
    <t>黑龙江省大庆市龙凤区</t>
  </si>
  <si>
    <t>黑龙江省大庆市让胡路区</t>
  </si>
  <si>
    <t>黑龙江省大庆市红岗区</t>
  </si>
  <si>
    <t>黑龙江省大庆市大同区</t>
  </si>
  <si>
    <t>黑龙江省大庆市肇州县</t>
  </si>
  <si>
    <t>黑龙江省大庆市肇源县</t>
  </si>
  <si>
    <t>黑龙江省大庆市林甸县</t>
  </si>
  <si>
    <t>黑龙江省大庆市杜尔伯特蒙古族自治县</t>
  </si>
  <si>
    <t>黑龙江省伊春市</t>
  </si>
  <si>
    <t>黑龙江省伊春市市辖区</t>
  </si>
  <si>
    <t>黑龙江省伊春市伊春区</t>
  </si>
  <si>
    <t>黑龙江省伊春市南岔区</t>
  </si>
  <si>
    <t>黑龙江省伊春市友好区</t>
  </si>
  <si>
    <t>黑龙江省伊春市西林区</t>
  </si>
  <si>
    <t>黑龙江省伊春市翠峦区</t>
  </si>
  <si>
    <t>黑龙江省伊春市新青区</t>
  </si>
  <si>
    <t>黑龙江省伊春市美溪区</t>
  </si>
  <si>
    <t>黑龙江省伊春市金山屯区</t>
  </si>
  <si>
    <t>黑龙江省伊春市五营区</t>
  </si>
  <si>
    <t>黑龙江省伊春市乌马河区</t>
  </si>
  <si>
    <t>黑龙江省伊春市汤旺河区</t>
  </si>
  <si>
    <t>黑龙江省伊春市带岭区</t>
  </si>
  <si>
    <t>黑龙江省伊春市乌伊岭区</t>
  </si>
  <si>
    <t>黑龙江省伊春市红星区</t>
  </si>
  <si>
    <t>黑龙江省伊春市上甘岭区</t>
  </si>
  <si>
    <t>黑龙江省伊春市嘉荫县</t>
  </si>
  <si>
    <t>黑龙江省伊春市铁力市</t>
  </si>
  <si>
    <t>黑龙江省佳木斯市</t>
  </si>
  <si>
    <t>黑龙江省佳木斯市市辖区</t>
  </si>
  <si>
    <t>黑龙江省佳木斯市向阳区</t>
  </si>
  <si>
    <t>黑龙江省佳木斯市前进区</t>
  </si>
  <si>
    <t>黑龙江省佳木斯市东风区</t>
  </si>
  <si>
    <t>黑龙江省佳木斯市郊区</t>
  </si>
  <si>
    <t>黑龙江省佳木斯市桦南县</t>
  </si>
  <si>
    <t>黑龙江省佳木斯市桦川县</t>
  </si>
  <si>
    <t>黑龙江省佳木斯市汤原县</t>
  </si>
  <si>
    <t>黑龙江省佳木斯市抚远县</t>
  </si>
  <si>
    <t>黑龙江省佳木斯市同江市</t>
  </si>
  <si>
    <t>黑龙江省佳木斯市富锦市</t>
  </si>
  <si>
    <t>黑龙江省七台河市</t>
  </si>
  <si>
    <t>黑龙江省七台河市市辖区</t>
  </si>
  <si>
    <t>黑龙江省七台河市新兴区</t>
  </si>
  <si>
    <t>黑龙江省七台河市桃山区</t>
  </si>
  <si>
    <t>黑龙江省七台河市茄子河区</t>
  </si>
  <si>
    <t>黑龙江省七台河市勃利县</t>
  </si>
  <si>
    <t>黑龙江省牡丹江市</t>
  </si>
  <si>
    <t>黑龙江省牡丹江市市辖区</t>
  </si>
  <si>
    <t>黑龙江省牡丹江市东安区</t>
  </si>
  <si>
    <t>黑龙江省牡丹江市阳明区</t>
  </si>
  <si>
    <t>黑龙江省牡丹江市爱民区</t>
  </si>
  <si>
    <t>黑龙江省牡丹江市西安区</t>
  </si>
  <si>
    <t>黑龙江省牡丹江市东宁县</t>
  </si>
  <si>
    <t>黑龙江省牡丹江市林口县</t>
  </si>
  <si>
    <t>黑龙江省牡丹江市绥芬河市</t>
  </si>
  <si>
    <t>黑龙江省牡丹江市海林市</t>
  </si>
  <si>
    <t>黑龙江省牡丹江市宁安市</t>
  </si>
  <si>
    <t>黑龙江省牡丹江市穆棱市</t>
  </si>
  <si>
    <t>黑龙江省黑河市</t>
  </si>
  <si>
    <t>黑龙江省黑河市市辖区</t>
  </si>
  <si>
    <t>黑龙江省黑河市爱辉区</t>
  </si>
  <si>
    <t>黑龙江省黑河市嫩江县</t>
  </si>
  <si>
    <t>黑龙江省黑河市逊克县</t>
  </si>
  <si>
    <t>黑龙江省黑河市孙吴县</t>
  </si>
  <si>
    <t>黑龙江省黑河市北安市</t>
  </si>
  <si>
    <t>黑龙江省黑河市五大连池市</t>
  </si>
  <si>
    <t>黑龙江省绥化市</t>
  </si>
  <si>
    <t>黑龙江省绥化市市辖区</t>
  </si>
  <si>
    <t>黑龙江省绥化市北林区</t>
  </si>
  <si>
    <t>黑龙江省绥化市望奎县</t>
  </si>
  <si>
    <t>黑龙江省绥化市兰西县</t>
  </si>
  <si>
    <t>黑龙江省绥化市青冈县</t>
  </si>
  <si>
    <t>黑龙江省绥化市庆安县</t>
  </si>
  <si>
    <t>黑龙江省绥化市明水县</t>
  </si>
  <si>
    <t>黑龙江省绥化市绥棱县</t>
  </si>
  <si>
    <t>黑龙江省绥化市安达市</t>
  </si>
  <si>
    <t>黑龙江省绥化市肇东市</t>
  </si>
  <si>
    <t>黑龙江省绥化市海伦市</t>
  </si>
  <si>
    <t>黑龙江省大兴安岭地区</t>
  </si>
  <si>
    <t>黑龙江省大兴安岭地区呼玛县</t>
  </si>
  <si>
    <t>黑龙江省大兴安岭地区塔河县</t>
  </si>
  <si>
    <t>黑龙江省大兴安岭地区漠河县</t>
  </si>
  <si>
    <t>上海市</t>
  </si>
  <si>
    <t>上海市市辖区</t>
  </si>
  <si>
    <t>上海市黄浦区</t>
  </si>
  <si>
    <t>上海市徐汇区</t>
  </si>
  <si>
    <t>上海市长宁区</t>
  </si>
  <si>
    <t>上海市静安区</t>
  </si>
  <si>
    <t>上海市普陀区</t>
  </si>
  <si>
    <t>上海市闸北区</t>
  </si>
  <si>
    <t>上海市虹口区</t>
  </si>
  <si>
    <t>上海市杨浦区</t>
  </si>
  <si>
    <t>上海市闵行区</t>
  </si>
  <si>
    <t>上海市宝山区</t>
  </si>
  <si>
    <t>上海市嘉定区</t>
  </si>
  <si>
    <t>上海市浦东新区</t>
  </si>
  <si>
    <t>上海市金山区</t>
  </si>
  <si>
    <t>上海市松江区</t>
  </si>
  <si>
    <t>上海市青浦区</t>
  </si>
  <si>
    <t>上海市奉贤区</t>
  </si>
  <si>
    <t>上海市县</t>
  </si>
  <si>
    <t>上海市崇明县</t>
  </si>
  <si>
    <t>江苏省</t>
  </si>
  <si>
    <t>江苏省南京市</t>
  </si>
  <si>
    <t>江苏省南京市市辖区</t>
  </si>
  <si>
    <t>江苏省南京市玄武区</t>
  </si>
  <si>
    <t>江苏省南京市秦淮区</t>
  </si>
  <si>
    <t>江苏省南京市建邺区</t>
  </si>
  <si>
    <t>江苏省南京市鼓楼区</t>
  </si>
  <si>
    <t>江苏省南京市浦口区</t>
  </si>
  <si>
    <t>江苏省南京市栖霞区</t>
  </si>
  <si>
    <t>江苏省南京市雨花台区</t>
  </si>
  <si>
    <t>江苏省南京市江宁区</t>
  </si>
  <si>
    <t>江苏省南京市六合区</t>
  </si>
  <si>
    <t>江苏省南京市溧水区</t>
  </si>
  <si>
    <t>江苏省南京市高淳区</t>
  </si>
  <si>
    <t>江苏省无锡市</t>
  </si>
  <si>
    <t>江苏省无锡市市辖区</t>
  </si>
  <si>
    <t>江苏省无锡市崇安区</t>
  </si>
  <si>
    <t>江苏省无锡市南长区</t>
  </si>
  <si>
    <t>江苏省无锡市北塘区</t>
  </si>
  <si>
    <t>江苏省无锡市锡山区</t>
  </si>
  <si>
    <t>江苏省无锡市惠山区</t>
  </si>
  <si>
    <t>江苏省无锡市滨湖区</t>
  </si>
  <si>
    <t>江苏省无锡市江阴市</t>
  </si>
  <si>
    <t>江苏省无锡市宜兴市</t>
  </si>
  <si>
    <t>江苏省徐州市</t>
  </si>
  <si>
    <t>江苏省徐州市市辖区</t>
  </si>
  <si>
    <t>江苏省徐州市鼓楼区</t>
  </si>
  <si>
    <t>江苏省徐州市云龙区</t>
  </si>
  <si>
    <t>江苏省徐州市贾汪区</t>
  </si>
  <si>
    <t>江苏省徐州市泉山区</t>
  </si>
  <si>
    <t>江苏省徐州市铜山区</t>
  </si>
  <si>
    <t>江苏省徐州市丰县</t>
  </si>
  <si>
    <t>江苏省徐州市沛县</t>
  </si>
  <si>
    <t>江苏省徐州市睢宁县</t>
  </si>
  <si>
    <t>江苏省徐州市新沂市</t>
  </si>
  <si>
    <t>江苏省徐州市邳州市</t>
  </si>
  <si>
    <t>江苏省常州市</t>
  </si>
  <si>
    <t>江苏省常州市市辖区</t>
  </si>
  <si>
    <t>江苏省常州市天宁区</t>
  </si>
  <si>
    <t>江苏省常州市钟楼区</t>
  </si>
  <si>
    <t>江苏省常州市戚墅堰区</t>
  </si>
  <si>
    <t>江苏省常州市新北区</t>
  </si>
  <si>
    <t>江苏省常州市武进区</t>
  </si>
  <si>
    <t>江苏省常州市溧阳市</t>
  </si>
  <si>
    <t>江苏省常州市金坛市</t>
  </si>
  <si>
    <t>江苏省苏州市</t>
  </si>
  <si>
    <t>江苏省苏州市市辖区</t>
  </si>
  <si>
    <t>江苏省苏州市虎丘区</t>
  </si>
  <si>
    <t>江苏省苏州市吴中区</t>
  </si>
  <si>
    <t>江苏省苏州市相城区</t>
  </si>
  <si>
    <t>江苏省苏州市姑苏区</t>
  </si>
  <si>
    <t>江苏省苏州市吴江区</t>
  </si>
  <si>
    <t>江苏省苏州市常熟市</t>
  </si>
  <si>
    <t>江苏省苏州市张家港市</t>
  </si>
  <si>
    <t>江苏省苏州市昆山市</t>
  </si>
  <si>
    <t>江苏省苏州市太仓市</t>
  </si>
  <si>
    <t>江苏省南通市</t>
  </si>
  <si>
    <t>江苏省南通市市辖区</t>
  </si>
  <si>
    <t>江苏省南通市崇川区</t>
  </si>
  <si>
    <t>江苏省南通市港闸区</t>
  </si>
  <si>
    <t>江苏省南通市通州区</t>
  </si>
  <si>
    <t>江苏省南通市海安县</t>
  </si>
  <si>
    <t>江苏省南通市如东县</t>
  </si>
  <si>
    <t>江苏省南通市启东市</t>
  </si>
  <si>
    <t>江苏省南通市如皋市</t>
  </si>
  <si>
    <t>江苏省南通市海门市</t>
  </si>
  <si>
    <t>江苏省连云港市</t>
  </si>
  <si>
    <t>江苏省连云港市市辖区</t>
  </si>
  <si>
    <t>江苏省连云港市连云区</t>
  </si>
  <si>
    <t>江苏省连云港市海州区</t>
  </si>
  <si>
    <t>江苏省连云港市赣榆县</t>
  </si>
  <si>
    <t>江苏省连云港市东海县</t>
  </si>
  <si>
    <t>江苏省连云港市灌云县</t>
  </si>
  <si>
    <t>江苏省连云港市灌南县</t>
  </si>
  <si>
    <t>江苏省淮安市</t>
  </si>
  <si>
    <t>江苏省淮安市市辖区</t>
  </si>
  <si>
    <t>江苏省淮安市清河区</t>
  </si>
  <si>
    <t>江苏省淮安市淮安区</t>
  </si>
  <si>
    <t>江苏省淮安市淮阴区</t>
  </si>
  <si>
    <t>江苏省淮安市清浦区</t>
  </si>
  <si>
    <t>江苏省淮安市涟水县</t>
  </si>
  <si>
    <t>江苏省淮安市洪泽县</t>
  </si>
  <si>
    <t>江苏省淮安市盱眙县</t>
  </si>
  <si>
    <t>江苏省淮安市金湖县</t>
  </si>
  <si>
    <t>江苏省盐城市</t>
  </si>
  <si>
    <t>江苏省盐城市市辖区</t>
  </si>
  <si>
    <t>江苏省盐城市亭湖区</t>
  </si>
  <si>
    <t>江苏省盐城市盐都区</t>
  </si>
  <si>
    <t>江苏省盐城市响水县</t>
  </si>
  <si>
    <t>江苏省盐城市滨海县</t>
  </si>
  <si>
    <t>江苏省盐城市阜宁县</t>
  </si>
  <si>
    <t>江苏省盐城市射阳县</t>
  </si>
  <si>
    <t>江苏省盐城市建湖县</t>
  </si>
  <si>
    <t>江苏省盐城市东台市</t>
  </si>
  <si>
    <t>江苏省盐城市大丰市</t>
  </si>
  <si>
    <t>江苏省扬州市</t>
  </si>
  <si>
    <t>江苏省扬州市市辖区</t>
  </si>
  <si>
    <t>江苏省扬州市广陵区</t>
  </si>
  <si>
    <t>江苏省扬州市邗江区</t>
  </si>
  <si>
    <t>江苏省扬州市江都区</t>
  </si>
  <si>
    <t>江苏省扬州市宝应县</t>
  </si>
  <si>
    <t>江苏省扬州市仪征市</t>
  </si>
  <si>
    <t>江苏省扬州市高邮市</t>
  </si>
  <si>
    <t>江苏省镇江市</t>
  </si>
  <si>
    <t>江苏省镇江市市辖区</t>
  </si>
  <si>
    <t>江苏省镇江市京口区</t>
  </si>
  <si>
    <t>江苏省镇江市润州区</t>
  </si>
  <si>
    <t>江苏省镇江市丹徒区</t>
  </si>
  <si>
    <t>江苏省镇江市丹阳市</t>
  </si>
  <si>
    <t>江苏省镇江市扬中市</t>
  </si>
  <si>
    <t>江苏省镇江市句容市</t>
  </si>
  <si>
    <t>江苏省泰州市</t>
  </si>
  <si>
    <t>江苏省泰州市市辖区</t>
  </si>
  <si>
    <t>江苏省泰州市海陵区</t>
  </si>
  <si>
    <t>江苏省泰州市高港区</t>
  </si>
  <si>
    <t>江苏省泰州市姜堰市</t>
  </si>
  <si>
    <t>江苏省泰州市兴化市</t>
  </si>
  <si>
    <t>江苏省泰州市靖江市</t>
  </si>
  <si>
    <t>江苏省泰州市泰兴市</t>
  </si>
  <si>
    <t>江苏省宿迁市</t>
  </si>
  <si>
    <t>江苏省宿迁市市辖区</t>
  </si>
  <si>
    <t>江苏省宿迁市宿城区</t>
  </si>
  <si>
    <t>江苏省宿迁市宿豫区</t>
  </si>
  <si>
    <t>江苏省宿迁市沭阳县</t>
  </si>
  <si>
    <t>江苏省宿迁市泗阳县</t>
  </si>
  <si>
    <t>江苏省宿迁市泗洪县</t>
  </si>
  <si>
    <t>浙江省</t>
  </si>
  <si>
    <t>浙江省杭州市</t>
  </si>
  <si>
    <t>浙江省杭州市市辖区</t>
  </si>
  <si>
    <t>浙江省杭州市上城区</t>
  </si>
  <si>
    <t>浙江省杭州市下城区</t>
  </si>
  <si>
    <t>浙江省杭州市江干区</t>
  </si>
  <si>
    <t>浙江省杭州市拱墅区</t>
  </si>
  <si>
    <t>浙江省杭州市西湖区</t>
  </si>
  <si>
    <t>浙江省杭州市滨江区</t>
  </si>
  <si>
    <t>浙江省杭州市萧山区</t>
  </si>
  <si>
    <t>浙江省杭州市余杭区</t>
  </si>
  <si>
    <t>浙江省杭州市桐庐县</t>
  </si>
  <si>
    <t>浙江省杭州市淳安县</t>
  </si>
  <si>
    <t>浙江省杭州市建德市</t>
  </si>
  <si>
    <t>浙江省杭州市富阳市</t>
  </si>
  <si>
    <t>浙江省杭州市临安市</t>
  </si>
  <si>
    <t>浙江省宁波市</t>
  </si>
  <si>
    <t>浙江省宁波市市辖区</t>
  </si>
  <si>
    <t>浙江省宁波市海曙区</t>
  </si>
  <si>
    <t>浙江省宁波市江东区</t>
  </si>
  <si>
    <t>浙江省宁波市江北区</t>
  </si>
  <si>
    <t>浙江省宁波市北仑区</t>
  </si>
  <si>
    <t>浙江省宁波市镇海区</t>
  </si>
  <si>
    <t>浙江省宁波市鄞州区</t>
  </si>
  <si>
    <t>浙江省宁波市象山县</t>
  </si>
  <si>
    <t>浙江省宁波市宁海县</t>
  </si>
  <si>
    <t>浙江省宁波市余姚市</t>
  </si>
  <si>
    <t>浙江省宁波市慈溪市</t>
  </si>
  <si>
    <t>浙江省宁波市奉化市</t>
  </si>
  <si>
    <t>浙江省温州市</t>
  </si>
  <si>
    <t>浙江省温州市市辖区</t>
  </si>
  <si>
    <t>浙江省温州市鹿城区</t>
  </si>
  <si>
    <t>浙江省温州市龙湾区</t>
  </si>
  <si>
    <t>浙江省温州市瓯海区</t>
  </si>
  <si>
    <t>浙江省温州市洞头县</t>
  </si>
  <si>
    <t>浙江省温州市永嘉县</t>
  </si>
  <si>
    <t>浙江省温州市平阳县</t>
  </si>
  <si>
    <t>浙江省温州市苍南县</t>
  </si>
  <si>
    <t>浙江省温州市文成县</t>
  </si>
  <si>
    <t>浙江省温州市泰顺县</t>
  </si>
  <si>
    <t>浙江省温州市瑞安市</t>
  </si>
  <si>
    <t>浙江省温州市乐清市</t>
  </si>
  <si>
    <t>浙江省嘉兴市</t>
  </si>
  <si>
    <t>浙江省嘉兴市市辖区</t>
  </si>
  <si>
    <t>浙江省嘉兴市南湖区</t>
  </si>
  <si>
    <t>浙江省嘉兴市秀洲区</t>
  </si>
  <si>
    <t>浙江省嘉兴市嘉善县</t>
  </si>
  <si>
    <t>浙江省嘉兴市海盐县</t>
  </si>
  <si>
    <t>浙江省嘉兴市海宁市</t>
  </si>
  <si>
    <t>浙江省嘉兴市平湖市</t>
  </si>
  <si>
    <t>浙江省嘉兴市桐乡市</t>
  </si>
  <si>
    <t>浙江省湖州市</t>
  </si>
  <si>
    <t>浙江省湖州市市辖区</t>
  </si>
  <si>
    <t>浙江省湖州市吴兴区</t>
  </si>
  <si>
    <t>浙江省湖州市南浔区</t>
  </si>
  <si>
    <t>浙江省湖州市德清县</t>
  </si>
  <si>
    <t>浙江省湖州市长兴县</t>
  </si>
  <si>
    <t>浙江省湖州市安吉县</t>
  </si>
  <si>
    <t>浙江省绍兴市</t>
  </si>
  <si>
    <t>浙江省绍兴市市辖区</t>
  </si>
  <si>
    <t>浙江省绍兴市越城区</t>
  </si>
  <si>
    <t>浙江省绍兴市柯桥区</t>
  </si>
  <si>
    <t>浙江省绍兴市上虞区</t>
  </si>
  <si>
    <t>浙江省绍兴市新昌县</t>
  </si>
  <si>
    <t>浙江省绍兴市诸暨市</t>
  </si>
  <si>
    <t>浙江省绍兴市嵊州市</t>
  </si>
  <si>
    <t>浙江省金华市</t>
  </si>
  <si>
    <t>浙江省金华市市辖区</t>
  </si>
  <si>
    <t>浙江省金华市婺城区</t>
  </si>
  <si>
    <t>浙江省金华市金东区</t>
  </si>
  <si>
    <t>浙江省金华市武义县</t>
  </si>
  <si>
    <t>浙江省金华市浦江县</t>
  </si>
  <si>
    <t>浙江省金华市磐安县</t>
  </si>
  <si>
    <t>浙江省金华市兰溪市</t>
  </si>
  <si>
    <t>浙江省金华市义乌市</t>
  </si>
  <si>
    <t>浙江省金华市东阳市</t>
  </si>
  <si>
    <t>浙江省金华市永康市</t>
  </si>
  <si>
    <t>浙江省衢州市</t>
  </si>
  <si>
    <t>浙江省衢州市市辖区</t>
  </si>
  <si>
    <t>浙江省衢州市柯城区</t>
  </si>
  <si>
    <t>浙江省衢州市衢江区</t>
  </si>
  <si>
    <t>浙江省衢州市常山县</t>
  </si>
  <si>
    <t>浙江省衢州市开化县</t>
  </si>
  <si>
    <t>浙江省衢州市龙游县</t>
  </si>
  <si>
    <t>浙江省衢州市江山市</t>
  </si>
  <si>
    <t>浙江省舟山市</t>
  </si>
  <si>
    <t>浙江省舟山市市辖区</t>
  </si>
  <si>
    <t>浙江省舟山市定海区</t>
  </si>
  <si>
    <t>浙江省舟山市普陀区</t>
  </si>
  <si>
    <t>浙江省舟山市岱山县</t>
  </si>
  <si>
    <t>浙江省舟山市嵊泗县</t>
  </si>
  <si>
    <t>浙江省台州市</t>
  </si>
  <si>
    <t>浙江省台州市市辖区</t>
  </si>
  <si>
    <t>浙江省台州市椒江区</t>
  </si>
  <si>
    <t>浙江省台州市黄岩区</t>
  </si>
  <si>
    <t>浙江省台州市路桥区</t>
  </si>
  <si>
    <t>浙江省台州市玉环县</t>
  </si>
  <si>
    <t>浙江省台州市三门县</t>
  </si>
  <si>
    <t>浙江省台州市天台县</t>
  </si>
  <si>
    <t>浙江省台州市仙居县</t>
  </si>
  <si>
    <t>浙江省台州市温岭市</t>
  </si>
  <si>
    <t>浙江省台州市临海市</t>
  </si>
  <si>
    <t>浙江省丽水市</t>
  </si>
  <si>
    <t>浙江省丽水市市辖区</t>
  </si>
  <si>
    <t>浙江省丽水市莲都区</t>
  </si>
  <si>
    <t>浙江省丽水市青田县</t>
  </si>
  <si>
    <t>浙江省丽水市缙云县</t>
  </si>
  <si>
    <t>浙江省丽水市遂昌县</t>
  </si>
  <si>
    <t>浙江省丽水市松阳县</t>
  </si>
  <si>
    <t>浙江省丽水市云和县</t>
  </si>
  <si>
    <t>浙江省丽水市庆元县</t>
  </si>
  <si>
    <t>浙江省丽水市景宁畲族自治县</t>
  </si>
  <si>
    <t>浙江省丽水市龙泉市</t>
  </si>
  <si>
    <t>安徽省</t>
  </si>
  <si>
    <t>安徽省合肥市</t>
  </si>
  <si>
    <t>安徽省合肥市市辖区</t>
  </si>
  <si>
    <t>安徽省合肥市瑶海区</t>
  </si>
  <si>
    <t>安徽省合肥市庐阳区</t>
  </si>
  <si>
    <t>安徽省合肥市蜀山区</t>
  </si>
  <si>
    <t>安徽省合肥市包河区</t>
  </si>
  <si>
    <t>安徽省合肥市长丰县</t>
  </si>
  <si>
    <t>安徽省合肥市肥东县</t>
  </si>
  <si>
    <t>安徽省合肥市肥西县</t>
  </si>
  <si>
    <t>安徽省合肥市庐江县</t>
  </si>
  <si>
    <t>安徽省合肥市巢湖市</t>
  </si>
  <si>
    <t>安徽省芜湖市</t>
  </si>
  <si>
    <t>安徽省芜湖市市辖区</t>
  </si>
  <si>
    <t>安徽省芜湖市镜湖区</t>
  </si>
  <si>
    <t>安徽省芜湖市弋江区</t>
  </si>
  <si>
    <t>安徽省芜湖市鸠江区</t>
  </si>
  <si>
    <t>安徽省芜湖市三山区</t>
  </si>
  <si>
    <t>安徽省芜湖市芜湖县</t>
  </si>
  <si>
    <t>安徽省芜湖市繁昌县</t>
  </si>
  <si>
    <t>安徽省芜湖市南陵县</t>
  </si>
  <si>
    <t>安徽省芜湖市无为县</t>
  </si>
  <si>
    <t>安徽省蚌埠市</t>
  </si>
  <si>
    <t>安徽省蚌埠市市辖区</t>
  </si>
  <si>
    <t>安徽省蚌埠市龙子湖区</t>
  </si>
  <si>
    <t>安徽省蚌埠市蚌山区</t>
  </si>
  <si>
    <t>安徽省蚌埠市禹会区</t>
  </si>
  <si>
    <t>安徽省蚌埠市淮上区</t>
  </si>
  <si>
    <t>安徽省蚌埠市怀远县</t>
  </si>
  <si>
    <t>安徽省蚌埠市五河县</t>
  </si>
  <si>
    <t>安徽省蚌埠市固镇县</t>
  </si>
  <si>
    <t>安徽省淮南市</t>
  </si>
  <si>
    <t>安徽省淮南市市辖区</t>
  </si>
  <si>
    <t>安徽省淮南市大通区</t>
  </si>
  <si>
    <t>安徽省淮南市田家庵区</t>
  </si>
  <si>
    <t>安徽省淮南市谢家集区</t>
  </si>
  <si>
    <t>安徽省淮南市八公山区</t>
  </si>
  <si>
    <t>安徽省淮南市潘集区</t>
  </si>
  <si>
    <t>安徽省淮南市凤台县</t>
  </si>
  <si>
    <t>安徽省马鞍山市</t>
  </si>
  <si>
    <t>安徽省马鞍山市市辖区</t>
  </si>
  <si>
    <t>安徽省马鞍山市花山区</t>
  </si>
  <si>
    <t>安徽省马鞍山市雨山区</t>
  </si>
  <si>
    <t>安徽省马鞍山市博望区</t>
  </si>
  <si>
    <t>安徽省马鞍山市当涂县</t>
  </si>
  <si>
    <t>安徽省马鞍山市含山县</t>
  </si>
  <si>
    <t>安徽省马鞍山市和县</t>
  </si>
  <si>
    <t>安徽省淮北市</t>
  </si>
  <si>
    <t>安徽省淮北市市辖区</t>
  </si>
  <si>
    <t>安徽省淮北市杜集区</t>
  </si>
  <si>
    <t>安徽省淮北市相山区</t>
  </si>
  <si>
    <t>安徽省淮北市烈山区</t>
  </si>
  <si>
    <t>安徽省淮北市濉溪县</t>
  </si>
  <si>
    <t>安徽省铜陵市</t>
  </si>
  <si>
    <t>安徽省铜陵市市辖区</t>
  </si>
  <si>
    <t>安徽省铜陵市铜官山区</t>
  </si>
  <si>
    <t>安徽省铜陵市狮子山区</t>
  </si>
  <si>
    <t>安徽省铜陵市郊区</t>
  </si>
  <si>
    <t>安徽省铜陵市铜陵县</t>
  </si>
  <si>
    <t>安徽省安庆市</t>
  </si>
  <si>
    <t>安徽省安庆市市辖区</t>
  </si>
  <si>
    <t>安徽省安庆市迎江区</t>
  </si>
  <si>
    <t>安徽省安庆市大观区</t>
  </si>
  <si>
    <t>安徽省安庆市宜秀区</t>
  </si>
  <si>
    <t>安徽省安庆市怀宁县</t>
  </si>
  <si>
    <t>安徽省安庆市枞阳县</t>
  </si>
  <si>
    <t>安徽省安庆市潜山县</t>
  </si>
  <si>
    <t>安徽省安庆市太湖县</t>
  </si>
  <si>
    <t>安徽省安庆市宿松县</t>
  </si>
  <si>
    <t>安徽省安庆市望江县</t>
  </si>
  <si>
    <t>安徽省安庆市岳西县</t>
  </si>
  <si>
    <t>安徽省安庆市桐城市</t>
  </si>
  <si>
    <t>安徽省黄山市</t>
  </si>
  <si>
    <t>安徽省黄山市市辖区</t>
  </si>
  <si>
    <t>安徽省黄山市屯溪区</t>
  </si>
  <si>
    <t>安徽省黄山市黄山区</t>
  </si>
  <si>
    <t>安徽省黄山市徽州区</t>
  </si>
  <si>
    <t>安徽省黄山市歙县</t>
  </si>
  <si>
    <t>安徽省黄山市休宁县</t>
  </si>
  <si>
    <t>安徽省黄山市黟县</t>
  </si>
  <si>
    <t>安徽省黄山市祁门县</t>
  </si>
  <si>
    <t>安徽省滁州市</t>
  </si>
  <si>
    <t>安徽省滁州市市辖区</t>
  </si>
  <si>
    <t>安徽省滁州市琅琊区</t>
  </si>
  <si>
    <t>安徽省滁州市南谯区</t>
  </si>
  <si>
    <t>安徽省滁州市来安县</t>
  </si>
  <si>
    <t>安徽省滁州市全椒县</t>
  </si>
  <si>
    <t>安徽省滁州市定远县</t>
  </si>
  <si>
    <t>安徽省滁州市凤阳县</t>
  </si>
  <si>
    <t>安徽省滁州市天长市</t>
  </si>
  <si>
    <t>安徽省滁州市明光市</t>
  </si>
  <si>
    <t>安徽省阜阳市</t>
  </si>
  <si>
    <t>安徽省阜阳市市辖区</t>
  </si>
  <si>
    <t>安徽省阜阳市颍州区</t>
  </si>
  <si>
    <t>安徽省阜阳市颍东区</t>
  </si>
  <si>
    <t>安徽省阜阳市颍泉区</t>
  </si>
  <si>
    <t>安徽省阜阳市临泉县</t>
  </si>
  <si>
    <t>安徽省阜阳市太和县</t>
  </si>
  <si>
    <t>安徽省阜阳市阜南县</t>
  </si>
  <si>
    <t>安徽省阜阳市颍上县</t>
  </si>
  <si>
    <t>安徽省阜阳市界首市</t>
  </si>
  <si>
    <t>安徽省宿州市</t>
  </si>
  <si>
    <t>安徽省宿州市市辖区</t>
  </si>
  <si>
    <t>安徽省宿州市埇桥区</t>
  </si>
  <si>
    <t>安徽省宿州市砀山县</t>
  </si>
  <si>
    <t>安徽省宿州市萧县</t>
  </si>
  <si>
    <t>安徽省宿州市灵璧县</t>
  </si>
  <si>
    <t>安徽省宿州市泗县</t>
  </si>
  <si>
    <t>安徽省六安市</t>
  </si>
  <si>
    <t>安徽省六安市市辖区</t>
  </si>
  <si>
    <t>安徽省六安市金安区</t>
  </si>
  <si>
    <t>安徽省六安市裕安区</t>
  </si>
  <si>
    <t>安徽省六安市寿县</t>
  </si>
  <si>
    <t>安徽省六安市霍邱县</t>
  </si>
  <si>
    <t>安徽省六安市舒城县</t>
  </si>
  <si>
    <t>安徽省六安市金寨县</t>
  </si>
  <si>
    <t>安徽省六安市霍山县</t>
  </si>
  <si>
    <t>安徽省亳州市</t>
  </si>
  <si>
    <t>安徽省亳州市市辖区</t>
  </si>
  <si>
    <t>安徽省亳州市谯城区</t>
  </si>
  <si>
    <t>安徽省亳州市涡阳县</t>
  </si>
  <si>
    <t>安徽省亳州市蒙城县</t>
  </si>
  <si>
    <t>安徽省亳州市利辛县</t>
  </si>
  <si>
    <t>安徽省池州市</t>
  </si>
  <si>
    <t>安徽省池州市市辖区</t>
  </si>
  <si>
    <t>安徽省池州市贵池区</t>
  </si>
  <si>
    <t>安徽省池州市东至县</t>
  </si>
  <si>
    <t>安徽省池州市石台县</t>
  </si>
  <si>
    <t>安徽省池州市青阳县</t>
  </si>
  <si>
    <t>安徽省宣城市</t>
  </si>
  <si>
    <t>安徽省宣城市市辖区</t>
  </si>
  <si>
    <t>安徽省宣城市宣州区</t>
  </si>
  <si>
    <t>安徽省宣城市郎溪县</t>
  </si>
  <si>
    <t>安徽省宣城市广德县</t>
  </si>
  <si>
    <t>安徽省宣城市泾县</t>
  </si>
  <si>
    <t>安徽省宣城市绩溪县</t>
  </si>
  <si>
    <t>安徽省宣城市旌德县</t>
  </si>
  <si>
    <t>安徽省宣城市宁国市</t>
  </si>
  <si>
    <t>福建省</t>
  </si>
  <si>
    <t>福建省福州市</t>
  </si>
  <si>
    <t>福建省福州市市辖区</t>
  </si>
  <si>
    <t>福建省福州市鼓楼区</t>
  </si>
  <si>
    <t>福建省福州市台江区</t>
  </si>
  <si>
    <t>福建省福州市仓山区</t>
  </si>
  <si>
    <t>福建省福州市马尾区</t>
  </si>
  <si>
    <t>福建省福州市晋安区</t>
  </si>
  <si>
    <t>福建省福州市闽侯县</t>
  </si>
  <si>
    <t>福建省福州市连江县</t>
  </si>
  <si>
    <t>福建省福州市罗源县</t>
  </si>
  <si>
    <t>福建省福州市闽清县</t>
  </si>
  <si>
    <t>福建省福州市永泰县</t>
  </si>
  <si>
    <t>福建省福州市平潭县</t>
  </si>
  <si>
    <t>福建省福州市福清市</t>
  </si>
  <si>
    <t>福建省福州市长乐市</t>
  </si>
  <si>
    <t>福建省厦门市</t>
  </si>
  <si>
    <t>福建省厦门市市辖区</t>
  </si>
  <si>
    <t>福建省厦门市思明区</t>
  </si>
  <si>
    <t>福建省厦门市海沧区</t>
  </si>
  <si>
    <t>福建省厦门市湖里区</t>
  </si>
  <si>
    <t>福建省厦门市集美区</t>
  </si>
  <si>
    <t>福建省厦门市同安区</t>
  </si>
  <si>
    <t>福建省厦门市翔安区</t>
  </si>
  <si>
    <t>福建省莆田市</t>
  </si>
  <si>
    <t>福建省莆田市市辖区</t>
  </si>
  <si>
    <t>福建省莆田市城厢区</t>
  </si>
  <si>
    <t>福建省莆田市涵江区</t>
  </si>
  <si>
    <t>福建省莆田市荔城区</t>
  </si>
  <si>
    <t>福建省莆田市秀屿区</t>
  </si>
  <si>
    <t>福建省莆田市仙游县</t>
  </si>
  <si>
    <t>福建省三明市</t>
  </si>
  <si>
    <t>福建省三明市市辖区</t>
  </si>
  <si>
    <t>福建省三明市梅列区</t>
  </si>
  <si>
    <t>福建省三明市三元区</t>
  </si>
  <si>
    <t>福建省三明市明溪县</t>
  </si>
  <si>
    <t>福建省三明市清流县</t>
  </si>
  <si>
    <t>福建省三明市宁化县</t>
  </si>
  <si>
    <t>福建省三明市大田县</t>
  </si>
  <si>
    <t>福建省三明市尤溪县</t>
  </si>
  <si>
    <t>福建省三明市沙县</t>
  </si>
  <si>
    <t>福建省三明市将乐县</t>
  </si>
  <si>
    <t>福建省三明市泰宁县</t>
  </si>
  <si>
    <t>福建省三明市建宁县</t>
  </si>
  <si>
    <t>福建省三明市永安市</t>
  </si>
  <si>
    <t>福建省泉州市</t>
  </si>
  <si>
    <t>福建省泉州市市辖区</t>
  </si>
  <si>
    <t>福建省泉州市鲤城区</t>
  </si>
  <si>
    <t>福建省泉州市丰泽区</t>
  </si>
  <si>
    <t>福建省泉州市洛江区</t>
  </si>
  <si>
    <t>福建省泉州市泉港区</t>
  </si>
  <si>
    <t>福建省泉州市惠安县</t>
  </si>
  <si>
    <t>福建省泉州市安溪县</t>
  </si>
  <si>
    <t>福建省泉州市永春县</t>
  </si>
  <si>
    <t>福建省泉州市德化县</t>
  </si>
  <si>
    <t>福建省泉州市金门县</t>
  </si>
  <si>
    <t>福建省泉州市石狮市</t>
  </si>
  <si>
    <t>福建省泉州市晋江市</t>
  </si>
  <si>
    <t>福建省泉州市南安市</t>
  </si>
  <si>
    <t>福建省漳州市</t>
  </si>
  <si>
    <t>福建省漳州市市辖区</t>
  </si>
  <si>
    <t>福建省漳州市芗城区</t>
  </si>
  <si>
    <t>福建省漳州市龙文区</t>
  </si>
  <si>
    <t>福建省漳州市云霄县</t>
  </si>
  <si>
    <t>福建省漳州市漳浦县</t>
  </si>
  <si>
    <t>福建省漳州市诏安县</t>
  </si>
  <si>
    <t>福建省漳州市长泰县</t>
  </si>
  <si>
    <t>福建省漳州市东山县</t>
  </si>
  <si>
    <t>福建省漳州市南靖县</t>
  </si>
  <si>
    <t>福建省漳州市平和县</t>
  </si>
  <si>
    <t>福建省漳州市华安县</t>
  </si>
  <si>
    <t>福建省漳州市龙海市</t>
  </si>
  <si>
    <t>福建省南平市</t>
  </si>
  <si>
    <t>福建省南平市市辖区</t>
  </si>
  <si>
    <t>福建省南平市延平区</t>
  </si>
  <si>
    <t>福建省南平市顺昌县</t>
  </si>
  <si>
    <t>福建省南平市浦城县</t>
  </si>
  <si>
    <t>福建省南平市光泽县</t>
  </si>
  <si>
    <t>福建省南平市松溪县</t>
  </si>
  <si>
    <t>福建省南平市政和县</t>
  </si>
  <si>
    <t>福建省南平市邵武市</t>
  </si>
  <si>
    <t>福建省南平市武夷山市</t>
  </si>
  <si>
    <t>福建省南平市建瓯市</t>
  </si>
  <si>
    <t>福建省南平市建阳市</t>
  </si>
  <si>
    <t>福建省龙岩市</t>
  </si>
  <si>
    <t>福建省龙岩市市辖区</t>
  </si>
  <si>
    <t>福建省龙岩市新罗区</t>
  </si>
  <si>
    <t>福建省龙岩市长汀县</t>
  </si>
  <si>
    <t>福建省龙岩市永定县</t>
  </si>
  <si>
    <t>福建省龙岩市上杭县</t>
  </si>
  <si>
    <t>福建省龙岩市武平县</t>
  </si>
  <si>
    <t>福建省龙岩市连城县</t>
  </si>
  <si>
    <t>福建省龙岩市漳平市</t>
  </si>
  <si>
    <t>福建省宁德市</t>
  </si>
  <si>
    <t>福建省宁德市市辖区</t>
  </si>
  <si>
    <t>福建省宁德市蕉城区</t>
  </si>
  <si>
    <t>福建省宁德市霞浦县</t>
  </si>
  <si>
    <t>福建省宁德市古田县</t>
  </si>
  <si>
    <t>福建省宁德市屏南县</t>
  </si>
  <si>
    <t>福建省宁德市寿宁县</t>
  </si>
  <si>
    <t>福建省宁德市周宁县</t>
  </si>
  <si>
    <t>福建省宁德市柘荣县</t>
  </si>
  <si>
    <t>福建省宁德市福安市</t>
  </si>
  <si>
    <t>福建省宁德市福鼎市</t>
  </si>
  <si>
    <t>江西省</t>
  </si>
  <si>
    <t>江西省南昌市</t>
  </si>
  <si>
    <t>江西省南昌市市辖区</t>
  </si>
  <si>
    <t>江西省南昌市东湖区</t>
  </si>
  <si>
    <t>江西省南昌市西湖区</t>
  </si>
  <si>
    <t>江西省南昌市青云谱区</t>
  </si>
  <si>
    <t>江西省南昌市湾里区</t>
  </si>
  <si>
    <t>江西省南昌市青山湖区</t>
  </si>
  <si>
    <t>江西省南昌市南昌县</t>
  </si>
  <si>
    <t>江西省南昌市新建县</t>
  </si>
  <si>
    <t>江西省南昌市安义县</t>
  </si>
  <si>
    <t>江西省南昌市进贤县</t>
  </si>
  <si>
    <t>江西省景德镇市</t>
  </si>
  <si>
    <t>江西省景德镇市市辖区</t>
  </si>
  <si>
    <t>江西省景德镇市昌江区</t>
  </si>
  <si>
    <t>江西省景德镇市珠山区</t>
  </si>
  <si>
    <t>江西省景德镇市浮梁县</t>
  </si>
  <si>
    <t>江西省景德镇市乐平市</t>
  </si>
  <si>
    <t>江西省萍乡市</t>
  </si>
  <si>
    <t>江西省萍乡市市辖区</t>
  </si>
  <si>
    <t>江西省萍乡市安源区</t>
  </si>
  <si>
    <t>江西省萍乡市湘东区</t>
  </si>
  <si>
    <t>江西省萍乡市莲花县</t>
  </si>
  <si>
    <t>江西省萍乡市上栗县</t>
  </si>
  <si>
    <t>江西省萍乡市芦溪县</t>
  </si>
  <si>
    <t>江西省九江市</t>
  </si>
  <si>
    <t>江西省九江市市辖区</t>
  </si>
  <si>
    <t>江西省九江市庐山区</t>
  </si>
  <si>
    <t>江西省九江市浔阳区</t>
  </si>
  <si>
    <t>江西省九江市九江县</t>
  </si>
  <si>
    <t>江西省九江市武宁县</t>
  </si>
  <si>
    <t>江西省九江市修水县</t>
  </si>
  <si>
    <t>江西省九江市永修县</t>
  </si>
  <si>
    <t>江西省九江市德安县</t>
  </si>
  <si>
    <t>江西省九江市星子县</t>
  </si>
  <si>
    <t>江西省九江市都昌县</t>
  </si>
  <si>
    <t>江西省九江市湖口县</t>
  </si>
  <si>
    <t>江西省九江市彭泽县</t>
  </si>
  <si>
    <t>江西省九江市瑞昌市</t>
  </si>
  <si>
    <t>江西省九江市共青城市</t>
  </si>
  <si>
    <t>江西省新余市</t>
  </si>
  <si>
    <t>江西省新余市市辖区</t>
  </si>
  <si>
    <t>江西省新余市渝水区</t>
  </si>
  <si>
    <t>江西省新余市分宜县</t>
  </si>
  <si>
    <t>江西省鹰潭市</t>
  </si>
  <si>
    <t>江西省鹰潭市市辖区</t>
  </si>
  <si>
    <t>江西省鹰潭市月湖区</t>
  </si>
  <si>
    <t>江西省鹰潭市余江县</t>
  </si>
  <si>
    <t>江西省鹰潭市贵溪市</t>
  </si>
  <si>
    <t>江西省赣州市</t>
  </si>
  <si>
    <t>江西省赣州市市辖区</t>
  </si>
  <si>
    <t>江西省赣州市章贡区</t>
  </si>
  <si>
    <t>江西省赣州市赣县</t>
  </si>
  <si>
    <t>江西省赣州市信丰县</t>
  </si>
  <si>
    <t>江西省赣州市大余县</t>
  </si>
  <si>
    <t>江西省赣州市上犹县</t>
  </si>
  <si>
    <t>江西省赣州市崇义县</t>
  </si>
  <si>
    <t>江西省赣州市安远县</t>
  </si>
  <si>
    <t>江西省赣州市龙南县</t>
  </si>
  <si>
    <t>江西省赣州市定南县</t>
  </si>
  <si>
    <t>江西省赣州市全南县</t>
  </si>
  <si>
    <t>江西省赣州市宁都县</t>
  </si>
  <si>
    <t>江西省赣州市于都县</t>
  </si>
  <si>
    <t>江西省赣州市兴国县</t>
  </si>
  <si>
    <t>江西省赣州市会昌县</t>
  </si>
  <si>
    <t>江西省赣州市寻乌县</t>
  </si>
  <si>
    <t>江西省赣州市石城县</t>
  </si>
  <si>
    <t>江西省赣州市瑞金市</t>
  </si>
  <si>
    <t>江西省吉安市</t>
  </si>
  <si>
    <t>江西省吉安市市辖区</t>
  </si>
  <si>
    <t>江西省吉安市吉州区</t>
  </si>
  <si>
    <t>江西省吉安市青原区</t>
  </si>
  <si>
    <t>江西省吉安市吉安县</t>
  </si>
  <si>
    <t>江西省吉安市吉水县</t>
  </si>
  <si>
    <t>江西省吉安市峡江县</t>
  </si>
  <si>
    <t>江西省吉安市新干县</t>
  </si>
  <si>
    <t>江西省吉安市永丰县</t>
  </si>
  <si>
    <t>江西省吉安市泰和县</t>
  </si>
  <si>
    <t>江西省吉安市遂川县</t>
  </si>
  <si>
    <t>江西省吉安市万安县</t>
  </si>
  <si>
    <t>江西省吉安市安福县</t>
  </si>
  <si>
    <t>江西省吉安市永新县</t>
  </si>
  <si>
    <t>江西省吉安市井冈山市</t>
  </si>
  <si>
    <t>江西省宜春市</t>
  </si>
  <si>
    <t>江西省宜春市市辖区</t>
  </si>
  <si>
    <t>江西省宜春市袁州区</t>
  </si>
  <si>
    <t>江西省宜春市奉新县</t>
  </si>
  <si>
    <t>江西省宜春市万载县</t>
  </si>
  <si>
    <t>江西省宜春市上高县</t>
  </si>
  <si>
    <t>江西省宜春市宜丰县</t>
  </si>
  <si>
    <t>江西省宜春市靖安县</t>
  </si>
  <si>
    <t>江西省宜春市铜鼓县</t>
  </si>
  <si>
    <t>江西省宜春市丰城市</t>
  </si>
  <si>
    <t>江西省宜春市樟树市</t>
  </si>
  <si>
    <t>江西省宜春市高安市</t>
  </si>
  <si>
    <t>江西省抚州市</t>
  </si>
  <si>
    <t>江西省抚州市市辖区</t>
  </si>
  <si>
    <t>江西省抚州市临川区</t>
  </si>
  <si>
    <t>江西省抚州市南城县</t>
  </si>
  <si>
    <t>江西省抚州市黎川县</t>
  </si>
  <si>
    <t>江西省抚州市南丰县</t>
  </si>
  <si>
    <t>江西省抚州市崇仁县</t>
  </si>
  <si>
    <t>江西省抚州市乐安县</t>
  </si>
  <si>
    <t>江西省抚州市宜黄县</t>
  </si>
  <si>
    <t>江西省抚州市金溪县</t>
  </si>
  <si>
    <t>江西省抚州市资溪县</t>
  </si>
  <si>
    <t>江西省抚州市东乡县</t>
  </si>
  <si>
    <t>江西省抚州市广昌县</t>
  </si>
  <si>
    <t>江西省上饶市</t>
  </si>
  <si>
    <t>江西省上饶市市辖区</t>
  </si>
  <si>
    <t>江西省上饶市信州区</t>
  </si>
  <si>
    <t>江西省上饶市上饶县</t>
  </si>
  <si>
    <t>江西省上饶市广丰县</t>
  </si>
  <si>
    <t>江西省上饶市玉山县</t>
  </si>
  <si>
    <t>江西省上饶市铅山县</t>
  </si>
  <si>
    <t>江西省上饶市横峰县</t>
  </si>
  <si>
    <t>江西省上饶市弋阳县</t>
  </si>
  <si>
    <t>江西省上饶市余干县</t>
  </si>
  <si>
    <t>江西省上饶市鄱阳县</t>
  </si>
  <si>
    <t>江西省上饶市万年县</t>
  </si>
  <si>
    <t>江西省上饶市婺源县</t>
  </si>
  <si>
    <t>江西省上饶市德兴市</t>
  </si>
  <si>
    <t>山东省</t>
  </si>
  <si>
    <t>山东省济南市</t>
  </si>
  <si>
    <t>山东省济南市市辖区</t>
  </si>
  <si>
    <t>山东省济南市历下区</t>
  </si>
  <si>
    <t>山东省济南市市中区</t>
  </si>
  <si>
    <t>山东省济南市槐荫区</t>
  </si>
  <si>
    <t>山东省济南市天桥区</t>
  </si>
  <si>
    <t>山东省济南市历城区</t>
  </si>
  <si>
    <t>山东省济南市长清区</t>
  </si>
  <si>
    <t>山东省济南市平阴县</t>
  </si>
  <si>
    <t>山东省济南市济阳县</t>
  </si>
  <si>
    <t>山东省济南市商河县</t>
  </si>
  <si>
    <t>山东省济南市章丘市</t>
  </si>
  <si>
    <t>山东省青岛市</t>
  </si>
  <si>
    <t>山东省青岛市市辖区</t>
  </si>
  <si>
    <t>山东省青岛市市南区</t>
  </si>
  <si>
    <t>山东省青岛市市北区</t>
  </si>
  <si>
    <t>山东省青岛市黄岛区</t>
  </si>
  <si>
    <t>山东省青岛市崂山区</t>
  </si>
  <si>
    <t>山东省青岛市李沧区</t>
  </si>
  <si>
    <t>山东省青岛市城阳区</t>
  </si>
  <si>
    <t>山东省青岛市胶州市</t>
  </si>
  <si>
    <t>山东省青岛市即墨市</t>
  </si>
  <si>
    <t>山东省青岛市平度市</t>
  </si>
  <si>
    <t>山东省青岛市莱西市</t>
  </si>
  <si>
    <t>山东省淄博市</t>
  </si>
  <si>
    <t>山东省淄博市市辖区</t>
  </si>
  <si>
    <t>山东省淄博市淄川区</t>
  </si>
  <si>
    <t>山东省淄博市张店区</t>
  </si>
  <si>
    <t>山东省淄博市博山区</t>
  </si>
  <si>
    <t>山东省淄博市临淄区</t>
  </si>
  <si>
    <t>山东省淄博市周村区</t>
  </si>
  <si>
    <t>山东省淄博市桓台县</t>
  </si>
  <si>
    <t>山东省淄博市高青县</t>
  </si>
  <si>
    <t>山东省淄博市沂源县</t>
  </si>
  <si>
    <t>山东省枣庄市</t>
  </si>
  <si>
    <t>山东省枣庄市市辖区</t>
  </si>
  <si>
    <t>山东省枣庄市市中区</t>
  </si>
  <si>
    <t>山东省枣庄市薛城区</t>
  </si>
  <si>
    <t>山东省枣庄市峄城区</t>
  </si>
  <si>
    <t>山东省枣庄市台儿庄区</t>
  </si>
  <si>
    <t>山东省枣庄市山亭区</t>
  </si>
  <si>
    <t>山东省枣庄市滕州市</t>
  </si>
  <si>
    <t>山东省东营市</t>
  </si>
  <si>
    <t>山东省东营市市辖区</t>
  </si>
  <si>
    <t>山东省东营市东营区</t>
  </si>
  <si>
    <t>山东省东营市河口区</t>
  </si>
  <si>
    <t>山东省东营市垦利县</t>
  </si>
  <si>
    <t>山东省东营市利津县</t>
  </si>
  <si>
    <t>山东省东营市广饶县</t>
  </si>
  <si>
    <t>山东省烟台市</t>
  </si>
  <si>
    <t>山东省烟台市市辖区</t>
  </si>
  <si>
    <t>山东省烟台市芝罘区</t>
  </si>
  <si>
    <t>山东省烟台市福山区</t>
  </si>
  <si>
    <t>山东省烟台市牟平区</t>
  </si>
  <si>
    <t>山东省烟台市莱山区</t>
  </si>
  <si>
    <t>山东省烟台市长岛县</t>
  </si>
  <si>
    <t>山东省烟台市龙口市</t>
  </si>
  <si>
    <t>山东省烟台市莱阳市</t>
  </si>
  <si>
    <t>山东省烟台市莱州市</t>
  </si>
  <si>
    <t>山东省烟台市蓬莱市</t>
  </si>
  <si>
    <t>山东省烟台市招远市</t>
  </si>
  <si>
    <t>山东省烟台市栖霞市</t>
  </si>
  <si>
    <t>山东省烟台市海阳市</t>
  </si>
  <si>
    <t>山东省潍坊市</t>
  </si>
  <si>
    <t>山东省潍坊市市辖区</t>
  </si>
  <si>
    <t>山东省潍坊市潍城区</t>
  </si>
  <si>
    <t>山东省潍坊市寒亭区</t>
  </si>
  <si>
    <t>山东省潍坊市坊子区</t>
  </si>
  <si>
    <t>山东省潍坊市奎文区</t>
  </si>
  <si>
    <t>山东省潍坊市临朐县</t>
  </si>
  <si>
    <t>山东省潍坊市昌乐县</t>
  </si>
  <si>
    <t>山东省潍坊市青州市</t>
  </si>
  <si>
    <t>山东省潍坊市诸城市</t>
  </si>
  <si>
    <t>山东省潍坊市寿光市</t>
  </si>
  <si>
    <t>山东省潍坊市安丘市</t>
  </si>
  <si>
    <t>山东省潍坊市高密市</t>
  </si>
  <si>
    <t>山东省潍坊市昌邑市</t>
  </si>
  <si>
    <t>山东省济宁市</t>
  </si>
  <si>
    <t>山东省济宁市市辖区</t>
  </si>
  <si>
    <t>山东省济宁市任城区</t>
  </si>
  <si>
    <t>山东省济宁市兖州区</t>
  </si>
  <si>
    <t>山东省济宁市微山县</t>
  </si>
  <si>
    <t>山东省济宁市鱼台县</t>
  </si>
  <si>
    <t>山东省济宁市金乡县</t>
  </si>
  <si>
    <t>山东省济宁市嘉祥县</t>
  </si>
  <si>
    <t>山东省济宁市汶上县</t>
  </si>
  <si>
    <t>山东省济宁市泗水县</t>
  </si>
  <si>
    <t>山东省济宁市梁山县</t>
  </si>
  <si>
    <t>山东省济宁市曲阜市</t>
  </si>
  <si>
    <t>山东省济宁市邹城市</t>
  </si>
  <si>
    <t>山东省泰安市</t>
  </si>
  <si>
    <t>山东省泰安市市辖区</t>
  </si>
  <si>
    <t>山东省泰安市泰山区</t>
  </si>
  <si>
    <t>山东省泰安市岱岳区</t>
  </si>
  <si>
    <t>山东省泰安市宁阳县</t>
  </si>
  <si>
    <t>山东省泰安市东平县</t>
  </si>
  <si>
    <t>山东省泰安市新泰市</t>
  </si>
  <si>
    <t>山东省泰安市肥城市</t>
  </si>
  <si>
    <t>山东省威海市</t>
  </si>
  <si>
    <t>山东省威海市市辖区</t>
  </si>
  <si>
    <t>山东省威海市环翠区</t>
  </si>
  <si>
    <t>山东省威海市文登区</t>
  </si>
  <si>
    <t>山东省威海市荣成市</t>
  </si>
  <si>
    <t>山东省威海市乳山市</t>
  </si>
  <si>
    <t>山东省日照市</t>
  </si>
  <si>
    <t>山东省日照市市辖区</t>
  </si>
  <si>
    <t>山东省日照市东港区</t>
  </si>
  <si>
    <t>山东省日照市岚山区</t>
  </si>
  <si>
    <t>山东省日照市五莲县</t>
  </si>
  <si>
    <t>山东省日照市莒县</t>
  </si>
  <si>
    <t>山东省莱芜市</t>
  </si>
  <si>
    <t>山东省莱芜市市辖区</t>
  </si>
  <si>
    <t>山东省莱芜市莱城区</t>
  </si>
  <si>
    <t>山东省莱芜市钢城区</t>
  </si>
  <si>
    <t>山东省临沂市</t>
  </si>
  <si>
    <t>山东省临沂市市辖区</t>
  </si>
  <si>
    <t>山东省临沂市兰山区</t>
  </si>
  <si>
    <t>山东省临沂市罗庄区</t>
  </si>
  <si>
    <t>山东省临沂市河东区</t>
  </si>
  <si>
    <t>山东省临沂市沂南县</t>
  </si>
  <si>
    <t>山东省临沂市郯城县</t>
  </si>
  <si>
    <t>山东省临沂市沂水县</t>
  </si>
  <si>
    <t>山东省临沂市兰陵县</t>
  </si>
  <si>
    <t>山东省临沂市费县</t>
  </si>
  <si>
    <t>山东省临沂市平邑县</t>
  </si>
  <si>
    <t>山东省临沂市莒南县</t>
  </si>
  <si>
    <t>山东省临沂市蒙阴县</t>
  </si>
  <si>
    <t>山东省临沂市临沭县</t>
  </si>
  <si>
    <t>山东省德州市</t>
  </si>
  <si>
    <t>山东省德州市市辖区</t>
  </si>
  <si>
    <t>山东省德州市德城区</t>
  </si>
  <si>
    <t>山东省德州市陵城区</t>
  </si>
  <si>
    <t>山东省德州市宁津县</t>
  </si>
  <si>
    <t>山东省德州市庆云县</t>
  </si>
  <si>
    <t>山东省德州市临邑县</t>
  </si>
  <si>
    <t>山东省德州市齐河县</t>
  </si>
  <si>
    <t>山东省德州市平原县</t>
  </si>
  <si>
    <t>山东省德州市夏津县</t>
  </si>
  <si>
    <t>山东省德州市武城县</t>
  </si>
  <si>
    <t>山东省德州市乐陵市</t>
  </si>
  <si>
    <t>山东省德州市禹城市</t>
  </si>
  <si>
    <t>山东省聊城市</t>
  </si>
  <si>
    <t>山东省聊城市市辖区</t>
  </si>
  <si>
    <t>山东省聊城市东昌府区</t>
  </si>
  <si>
    <t>山东省聊城市阳谷县</t>
  </si>
  <si>
    <t>山东省聊城市莘县</t>
  </si>
  <si>
    <t>山东省聊城市茌平县</t>
  </si>
  <si>
    <t>山东省聊城市东阿县</t>
  </si>
  <si>
    <t>山东省聊城市冠县</t>
  </si>
  <si>
    <t>山东省聊城市高唐县</t>
  </si>
  <si>
    <t>山东省聊城市临清市</t>
  </si>
  <si>
    <t>山东省滨州市</t>
  </si>
  <si>
    <t>山东省滨州市市辖区</t>
  </si>
  <si>
    <t>山东省滨州市滨城区</t>
  </si>
  <si>
    <t>山东省滨州市沾化区</t>
  </si>
  <si>
    <t>山东省滨州市惠民县</t>
  </si>
  <si>
    <t>山东省滨州市阳信县</t>
  </si>
  <si>
    <t>山东省滨州市无棣县</t>
  </si>
  <si>
    <t>山东省滨州市博兴县</t>
  </si>
  <si>
    <t>山东省滨州市邹平县</t>
  </si>
  <si>
    <t>山东省荷泽市</t>
  </si>
  <si>
    <t>山东省荷泽市市辖区</t>
  </si>
  <si>
    <t>山东省荷泽市牡丹区</t>
  </si>
  <si>
    <t>山东省荷泽市曹县</t>
  </si>
  <si>
    <t>山东省荷泽市单县</t>
  </si>
  <si>
    <t>山东省荷泽市成武县</t>
  </si>
  <si>
    <t>山东省荷泽市巨野县</t>
  </si>
  <si>
    <t>山东省荷泽市郓城县</t>
  </si>
  <si>
    <t>山东省荷泽市鄄城县</t>
  </si>
  <si>
    <t>山东省荷泽市定陶县</t>
  </si>
  <si>
    <t>山东省荷泽市东明县</t>
  </si>
  <si>
    <t>河南省</t>
  </si>
  <si>
    <t>河南省郑州市</t>
  </si>
  <si>
    <t>河南省郑州市市辖区</t>
  </si>
  <si>
    <t>河南省郑州市中原区</t>
  </si>
  <si>
    <t>河南省郑州市二七区</t>
  </si>
  <si>
    <t>河南省郑州市管城回族区</t>
  </si>
  <si>
    <t>河南省郑州市金水区</t>
  </si>
  <si>
    <t>河南省郑州市上街区</t>
  </si>
  <si>
    <t>河南省郑州市惠济区</t>
  </si>
  <si>
    <t>河南省郑州市中牟县</t>
  </si>
  <si>
    <t>河南省郑州市巩义市</t>
  </si>
  <si>
    <t>河南省郑州市荥阳市</t>
  </si>
  <si>
    <t>河南省郑州市新密市</t>
  </si>
  <si>
    <t>河南省郑州市新郑市</t>
  </si>
  <si>
    <t>河南省郑州市登封市</t>
  </si>
  <si>
    <t>河南省开封市</t>
  </si>
  <si>
    <t>河南省开封市市辖区</t>
  </si>
  <si>
    <t>河南省开封市龙亭区</t>
  </si>
  <si>
    <t>河南省开封市顺河回族区</t>
  </si>
  <si>
    <t>河南省开封市鼓楼区</t>
  </si>
  <si>
    <t>河南省开封市禹王台区</t>
  </si>
  <si>
    <t>河南省开封市金明区</t>
  </si>
  <si>
    <t>河南省开封市杞县</t>
  </si>
  <si>
    <t>河南省开封市通许县</t>
  </si>
  <si>
    <t>河南省开封市尉氏县</t>
  </si>
  <si>
    <t>河南省开封市开封县</t>
  </si>
  <si>
    <t>河南省开封市兰考县</t>
  </si>
  <si>
    <t>河南省洛阳市</t>
  </si>
  <si>
    <t>河南省洛阳市市辖区</t>
  </si>
  <si>
    <t>河南省洛阳市老城区</t>
  </si>
  <si>
    <t>河南省洛阳市西工区</t>
  </si>
  <si>
    <t>河南省洛阳市廛河回族区</t>
  </si>
  <si>
    <t>河南省洛阳市涧西区</t>
  </si>
  <si>
    <t>河南省洛阳市吉利区</t>
  </si>
  <si>
    <t>河南省洛阳市洛龙区</t>
  </si>
  <si>
    <t>河南省洛阳市孟津县</t>
  </si>
  <si>
    <t>河南省洛阳市新安县</t>
  </si>
  <si>
    <t>河南省洛阳市栾川县</t>
  </si>
  <si>
    <t>河南省洛阳市嵩县</t>
  </si>
  <si>
    <t>河南省洛阳市汝阳县</t>
  </si>
  <si>
    <t>河南省洛阳市宜阳县</t>
  </si>
  <si>
    <t>河南省洛阳市洛宁县</t>
  </si>
  <si>
    <t>河南省洛阳市伊川县</t>
  </si>
  <si>
    <t>河南省洛阳市偃师市</t>
  </si>
  <si>
    <t>河南省平顶山市</t>
  </si>
  <si>
    <t>河南省平顶山市市辖区</t>
  </si>
  <si>
    <t>河南省平顶山市新华区</t>
  </si>
  <si>
    <t>河南省平顶山市卫东区</t>
  </si>
  <si>
    <t>河南省平顶山市石龙区</t>
  </si>
  <si>
    <t>河南省平顶山市湛河区</t>
  </si>
  <si>
    <t>河南省平顶山市宝丰县</t>
  </si>
  <si>
    <t>河南省平顶山市叶县</t>
  </si>
  <si>
    <t>河南省平顶山市鲁山县</t>
  </si>
  <si>
    <t>河南省平顶山市郏县</t>
  </si>
  <si>
    <t>河南省平顶山市舞钢市</t>
  </si>
  <si>
    <t>河南省平顶山市汝州市</t>
  </si>
  <si>
    <t>河南省安阳市</t>
  </si>
  <si>
    <t>河南省安阳市市辖区</t>
  </si>
  <si>
    <t>河南省安阳市文峰区</t>
  </si>
  <si>
    <t>河南省安阳市北关区</t>
  </si>
  <si>
    <t>河南省安阳市殷都区</t>
  </si>
  <si>
    <t>河南省安阳市龙安区</t>
  </si>
  <si>
    <t>河南省安阳市安阳县</t>
  </si>
  <si>
    <t>河南省安阳市汤阴县</t>
  </si>
  <si>
    <t>河南省安阳市滑县</t>
  </si>
  <si>
    <t>河南省安阳市内黄县</t>
  </si>
  <si>
    <t>河南省安阳市林州市</t>
  </si>
  <si>
    <t>河南省鹤壁市</t>
  </si>
  <si>
    <t>河南省鹤壁市市辖区</t>
  </si>
  <si>
    <t>河南省鹤壁市鹤山区</t>
  </si>
  <si>
    <t>河南省鹤壁市山城区</t>
  </si>
  <si>
    <t>河南省鹤壁市淇滨区</t>
  </si>
  <si>
    <t>河南省鹤壁市浚县</t>
  </si>
  <si>
    <t>河南省鹤壁市淇县</t>
  </si>
  <si>
    <t>河南省新乡市</t>
  </si>
  <si>
    <t>河南省新乡市市辖区</t>
  </si>
  <si>
    <t>河南省新乡市红旗区</t>
  </si>
  <si>
    <t>河南省新乡市卫滨区</t>
  </si>
  <si>
    <t>河南省新乡市凤泉区</t>
  </si>
  <si>
    <t>河南省新乡市牧野区</t>
  </si>
  <si>
    <t>河南省新乡市新乡县</t>
  </si>
  <si>
    <t>河南省新乡市获嘉县</t>
  </si>
  <si>
    <t>河南省新乡市原阳县</t>
  </si>
  <si>
    <t>河南省新乡市延津县</t>
  </si>
  <si>
    <t>河南省新乡市封丘县</t>
  </si>
  <si>
    <t>河南省新乡市长垣县</t>
  </si>
  <si>
    <t>河南省新乡市卫辉市</t>
  </si>
  <si>
    <t>河南省新乡市辉县市</t>
  </si>
  <si>
    <t>河南省焦作市</t>
  </si>
  <si>
    <t>河南省焦作市市辖区</t>
  </si>
  <si>
    <t>河南省焦作市解放区</t>
  </si>
  <si>
    <t>河南省焦作市中站区</t>
  </si>
  <si>
    <t>河南省焦作市马村区</t>
  </si>
  <si>
    <t>河南省焦作市山阳区</t>
  </si>
  <si>
    <t>河南省焦作市修武县</t>
  </si>
  <si>
    <t>河南省焦作市博爱县</t>
  </si>
  <si>
    <t>河南省焦作市武陟县</t>
  </si>
  <si>
    <t>河南省焦作市温县</t>
  </si>
  <si>
    <t>河南省焦作市沁阳市</t>
  </si>
  <si>
    <t>河南省焦作市孟州市</t>
  </si>
  <si>
    <t>河南省濮阳市</t>
  </si>
  <si>
    <t>河南省濮阳市市辖区</t>
  </si>
  <si>
    <t>河南省濮阳市华龙区</t>
  </si>
  <si>
    <t>河南省濮阳市清丰县</t>
  </si>
  <si>
    <t>河南省濮阳市南乐县</t>
  </si>
  <si>
    <t>河南省濮阳市范县</t>
  </si>
  <si>
    <t>河南省濮阳市台前县</t>
  </si>
  <si>
    <t>河南省濮阳市濮阳县</t>
  </si>
  <si>
    <t>河南省许昌市</t>
  </si>
  <si>
    <t>河南省许昌市市辖区</t>
  </si>
  <si>
    <t>河南省许昌市魏都区</t>
  </si>
  <si>
    <t>河南省许昌市许昌县</t>
  </si>
  <si>
    <t>河南省许昌市鄢陵县</t>
  </si>
  <si>
    <t>河南省许昌市襄城县</t>
  </si>
  <si>
    <t>河南省许昌市禹州市</t>
  </si>
  <si>
    <t>河南省许昌市长葛市</t>
  </si>
  <si>
    <t>河南省漯河市</t>
  </si>
  <si>
    <t>河南省漯河市市辖区</t>
  </si>
  <si>
    <t>河南省漯河市源汇区</t>
  </si>
  <si>
    <t>河南省漯河市郾城区</t>
  </si>
  <si>
    <t>河南省漯河市召陵区</t>
  </si>
  <si>
    <t>河南省漯河市舞阳县</t>
  </si>
  <si>
    <t>河南省漯河市临颍县</t>
  </si>
  <si>
    <t>河南省三门峡市</t>
  </si>
  <si>
    <t>河南省三门峡市市辖区</t>
  </si>
  <si>
    <t>河南省三门峡市湖滨区</t>
  </si>
  <si>
    <t>河南省三门峡市渑池县</t>
  </si>
  <si>
    <t>河南省三门峡市陕县</t>
  </si>
  <si>
    <t>河南省三门峡市卢氏县</t>
  </si>
  <si>
    <t>河南省三门峡市义马市</t>
  </si>
  <si>
    <t>河南省三门峡市灵宝市</t>
  </si>
  <si>
    <t>河南省南阳市</t>
  </si>
  <si>
    <t>河南省南阳市市辖区</t>
  </si>
  <si>
    <t>河南省南阳市宛城区</t>
  </si>
  <si>
    <t>河南省南阳市卧龙区</t>
  </si>
  <si>
    <t>河南省南阳市南召县</t>
  </si>
  <si>
    <t>河南省南阳市方城县</t>
  </si>
  <si>
    <t>河南省南阳市西峡县</t>
  </si>
  <si>
    <t>河南省南阳市镇平县</t>
  </si>
  <si>
    <t>河南省南阳市内乡县</t>
  </si>
  <si>
    <t>河南省南阳市淅川县</t>
  </si>
  <si>
    <t>河南省南阳市社旗县</t>
  </si>
  <si>
    <t>河南省南阳市唐河县</t>
  </si>
  <si>
    <t>河南省南阳市新野县</t>
  </si>
  <si>
    <t>河南省南阳市桐柏县</t>
  </si>
  <si>
    <t>河南省南阳市邓州市</t>
  </si>
  <si>
    <t>河南省商丘市</t>
  </si>
  <si>
    <t>河南省商丘市市辖区</t>
  </si>
  <si>
    <t>河南省商丘市梁园区</t>
  </si>
  <si>
    <t>河南省商丘市睢阳区</t>
  </si>
  <si>
    <t>河南省商丘市民权县</t>
  </si>
  <si>
    <t>河南省商丘市睢县</t>
  </si>
  <si>
    <t>河南省商丘市宁陵县</t>
  </si>
  <si>
    <t>河南省商丘市柘城县</t>
  </si>
  <si>
    <t>河南省商丘市虞城县</t>
  </si>
  <si>
    <t>河南省商丘市夏邑县</t>
  </si>
  <si>
    <t>河南省商丘市永城市</t>
  </si>
  <si>
    <t>河南省信阳市</t>
  </si>
  <si>
    <t>河南省信阳市市辖区</t>
  </si>
  <si>
    <t>河南省信阳市浉河区</t>
  </si>
  <si>
    <t>河南省信阳市平桥区</t>
  </si>
  <si>
    <t>河南省信阳市罗山县</t>
  </si>
  <si>
    <t>河南省信阳市光山县</t>
  </si>
  <si>
    <t>河南省信阳市新县</t>
  </si>
  <si>
    <t>河南省信阳市商城县</t>
  </si>
  <si>
    <t>河南省信阳市固始县</t>
  </si>
  <si>
    <t>河南省信阳市潢川县</t>
  </si>
  <si>
    <t>河南省信阳市淮滨县</t>
  </si>
  <si>
    <t>河南省信阳市息县</t>
  </si>
  <si>
    <t>河南省周口市</t>
  </si>
  <si>
    <t>河南省周口市市辖区</t>
  </si>
  <si>
    <t>河南省周口市川汇区</t>
  </si>
  <si>
    <t>河南省周口市扶沟县</t>
  </si>
  <si>
    <t>河南省周口市西华县</t>
  </si>
  <si>
    <t>河南省周口市商水县</t>
  </si>
  <si>
    <t>河南省周口市沈丘县</t>
  </si>
  <si>
    <t>河南省周口市郸城县</t>
  </si>
  <si>
    <t>河南省周口市淮阳县</t>
  </si>
  <si>
    <t>河南省周口市太康县</t>
  </si>
  <si>
    <t>河南省周口市鹿邑县</t>
  </si>
  <si>
    <t>河南省周口市项城市</t>
  </si>
  <si>
    <t>河南省驻马店市</t>
  </si>
  <si>
    <t>河南省驻马店市市辖区</t>
  </si>
  <si>
    <t>河南省驻马店市驿城区</t>
  </si>
  <si>
    <t>河南省驻马店市西平县</t>
  </si>
  <si>
    <t>河南省驻马店市上蔡县</t>
  </si>
  <si>
    <t>河南省驻马店市平舆县</t>
  </si>
  <si>
    <t>河南省驻马店市正阳县</t>
  </si>
  <si>
    <t>河南省驻马店市确山县</t>
  </si>
  <si>
    <t>河南省驻马店市泌阳县</t>
  </si>
  <si>
    <t>河南省驻马店市汝南县</t>
  </si>
  <si>
    <t>河南省驻马店市遂平县</t>
  </si>
  <si>
    <t>河南省驻马店市新蔡县</t>
  </si>
  <si>
    <t>河南省省直辖县级行政区划</t>
  </si>
  <si>
    <t>河南省省直辖县级行政区划济源市</t>
  </si>
  <si>
    <t>湖北省</t>
  </si>
  <si>
    <t>湖北省武汉市</t>
  </si>
  <si>
    <t>湖北省武汉市市辖区</t>
  </si>
  <si>
    <t>湖北省武汉市江岸区</t>
  </si>
  <si>
    <t>湖北省武汉市江汉区</t>
  </si>
  <si>
    <t>湖北省武汉市硚口区</t>
  </si>
  <si>
    <t>湖北省武汉市汉阳区</t>
  </si>
  <si>
    <t>湖北省武汉市武昌区</t>
  </si>
  <si>
    <t>湖北省武汉市青山区</t>
  </si>
  <si>
    <t>湖北省武汉市洪山区</t>
  </si>
  <si>
    <t>湖北省武汉市东西湖区</t>
  </si>
  <si>
    <t>湖北省武汉市汉南区</t>
  </si>
  <si>
    <t>湖北省武汉市蔡甸区</t>
  </si>
  <si>
    <t>湖北省武汉市江夏区</t>
  </si>
  <si>
    <t>湖北省武汉市黄陂区</t>
  </si>
  <si>
    <t>湖北省武汉市新洲区</t>
  </si>
  <si>
    <t>湖北省黄石市</t>
  </si>
  <si>
    <t>湖北省黄石市市辖区</t>
  </si>
  <si>
    <t>湖北省黄石市黄石港区</t>
  </si>
  <si>
    <t>湖北省黄石市西塞山区</t>
  </si>
  <si>
    <t>湖北省黄石市下陆区</t>
  </si>
  <si>
    <t>湖北省黄石市铁山区</t>
  </si>
  <si>
    <t>湖北省黄石市阳新县</t>
  </si>
  <si>
    <t>湖北省黄石市大冶市</t>
  </si>
  <si>
    <t>湖北省十堰市</t>
  </si>
  <si>
    <t>湖北省十堰市市辖区</t>
  </si>
  <si>
    <t>湖北省十堰市茅箭区</t>
  </si>
  <si>
    <t>湖北省十堰市张湾区</t>
  </si>
  <si>
    <t>湖北省十堰市郧阳区</t>
  </si>
  <si>
    <t>湖北省十堰市郧西县</t>
  </si>
  <si>
    <t>湖北省十堰市竹山县</t>
  </si>
  <si>
    <t>湖北省十堰市竹溪县</t>
  </si>
  <si>
    <t>湖北省十堰市房县</t>
  </si>
  <si>
    <t>湖北省十堰市丹江口市</t>
  </si>
  <si>
    <t>湖北省宜昌市</t>
  </si>
  <si>
    <t>湖北省宜昌市市辖区</t>
  </si>
  <si>
    <t>湖北省宜昌市西陵区</t>
  </si>
  <si>
    <t>湖北省宜昌市伍家岗区</t>
  </si>
  <si>
    <t>湖北省宜昌市点军区</t>
  </si>
  <si>
    <t>湖北省宜昌市猇亭区</t>
  </si>
  <si>
    <t>湖北省宜昌市夷陵区</t>
  </si>
  <si>
    <t>湖北省宜昌市远安县</t>
  </si>
  <si>
    <t>湖北省宜昌市兴山县</t>
  </si>
  <si>
    <t>湖北省宜昌市秭归县</t>
  </si>
  <si>
    <t>湖北省宜昌市长阳土家族自治县</t>
  </si>
  <si>
    <t>湖北省宜昌市五峰土家族自治县</t>
  </si>
  <si>
    <t>湖北省宜昌市宜都市</t>
  </si>
  <si>
    <t>湖北省宜昌市当阳市</t>
  </si>
  <si>
    <t>湖北省宜昌市枝江市</t>
  </si>
  <si>
    <t>湖北省襄阳市</t>
  </si>
  <si>
    <t>湖北省襄阳市市辖区</t>
  </si>
  <si>
    <t>湖北省襄阳市襄城区</t>
  </si>
  <si>
    <t>湖北省襄阳市樊城区</t>
  </si>
  <si>
    <t>湖北省襄阳市襄州区</t>
  </si>
  <si>
    <t>湖北省襄阳市南漳县</t>
  </si>
  <si>
    <t>湖北省襄阳市谷城县</t>
  </si>
  <si>
    <t>湖北省襄阳市保康县</t>
  </si>
  <si>
    <t>湖北省襄阳市老河口市</t>
  </si>
  <si>
    <t>湖北省襄阳市枣阳市</t>
  </si>
  <si>
    <t>湖北省襄阳市宜城市</t>
  </si>
  <si>
    <t>湖北省鄂州市</t>
  </si>
  <si>
    <t>湖北省鄂州市市辖区</t>
  </si>
  <si>
    <t>湖北省鄂州市梁子湖区</t>
  </si>
  <si>
    <t>湖北省鄂州市华容区</t>
  </si>
  <si>
    <t>湖北省鄂州市鄂城区</t>
  </si>
  <si>
    <t>湖北省荆门市</t>
  </si>
  <si>
    <t>湖北省荆门市市辖区</t>
  </si>
  <si>
    <t>湖北省荆门市东宝区</t>
  </si>
  <si>
    <t>湖北省荆门市掇刀区</t>
  </si>
  <si>
    <t>湖北省荆门市京山县</t>
  </si>
  <si>
    <t>湖北省荆门市沙洋县</t>
  </si>
  <si>
    <t>湖北省荆门市钟祥市</t>
  </si>
  <si>
    <t>湖北省孝感市</t>
  </si>
  <si>
    <t>湖北省孝感市市辖区</t>
  </si>
  <si>
    <t>湖北省孝感市孝南区</t>
  </si>
  <si>
    <t>湖北省孝感市孝昌县</t>
  </si>
  <si>
    <t>湖北省孝感市大悟县</t>
  </si>
  <si>
    <t>湖北省孝感市云梦县</t>
  </si>
  <si>
    <t>湖北省孝感市应城市</t>
  </si>
  <si>
    <t>湖北省孝感市安陆市</t>
  </si>
  <si>
    <t>湖北省孝感市汉川市</t>
  </si>
  <si>
    <t>湖北省荆州市</t>
  </si>
  <si>
    <t>湖北省荆州市市辖区</t>
  </si>
  <si>
    <t>湖北省荆州市沙市区</t>
  </si>
  <si>
    <t>湖北省荆州市荆州区</t>
  </si>
  <si>
    <t>湖北省荆州市公安县</t>
  </si>
  <si>
    <t>湖北省荆州市监利县</t>
  </si>
  <si>
    <t>湖北省荆州市江陵县</t>
  </si>
  <si>
    <t>湖北省荆州市石首市</t>
  </si>
  <si>
    <t>湖北省荆州市洪湖市</t>
  </si>
  <si>
    <t>湖北省荆州市松滋市</t>
  </si>
  <si>
    <t>湖北省黄冈市</t>
  </si>
  <si>
    <t>湖北省黄冈市市辖区</t>
  </si>
  <si>
    <t>湖北省黄冈市黄州区</t>
  </si>
  <si>
    <t>湖北省黄冈市团风县</t>
  </si>
  <si>
    <t>湖北省黄冈市红安县</t>
  </si>
  <si>
    <t>湖北省黄冈市罗田县</t>
  </si>
  <si>
    <t>湖北省黄冈市英山县</t>
  </si>
  <si>
    <t>湖北省黄冈市浠水县</t>
  </si>
  <si>
    <t>湖北省黄冈市蕲春县</t>
  </si>
  <si>
    <t>湖北省黄冈市黄梅县</t>
  </si>
  <si>
    <t>湖北省黄冈市麻城市</t>
  </si>
  <si>
    <t>湖北省黄冈市武穴市</t>
  </si>
  <si>
    <t>湖北省咸宁市</t>
  </si>
  <si>
    <t>湖北省咸宁市市辖区</t>
  </si>
  <si>
    <t>湖北省咸宁市咸安区</t>
  </si>
  <si>
    <t>湖北省咸宁市嘉鱼县</t>
  </si>
  <si>
    <t>湖北省咸宁市通城县</t>
  </si>
  <si>
    <t>湖北省咸宁市崇阳县</t>
  </si>
  <si>
    <t>湖北省咸宁市通山县</t>
  </si>
  <si>
    <t>湖北省咸宁市赤壁市</t>
  </si>
  <si>
    <t>湖北省随州市</t>
  </si>
  <si>
    <t>湖北省随州市市辖区</t>
  </si>
  <si>
    <t>湖北省随州市曾都区</t>
  </si>
  <si>
    <t>湖北省随州市随县</t>
  </si>
  <si>
    <t>湖北省随州市广水市</t>
  </si>
  <si>
    <t>湖北省恩施土家族苗族自治州</t>
  </si>
  <si>
    <t>湖北省恩施土家族苗族自治州恩施市</t>
  </si>
  <si>
    <t>湖北省恩施土家族苗族自治州利川市</t>
  </si>
  <si>
    <t>湖北省恩施土家族苗族自治州建始县</t>
  </si>
  <si>
    <t>湖北省恩施土家族苗族自治州巴东县</t>
  </si>
  <si>
    <t>湖北省恩施土家族苗族自治州宣恩县</t>
  </si>
  <si>
    <t>湖北省恩施土家族苗族自治州咸丰县</t>
  </si>
  <si>
    <t>湖北省恩施土家族苗族自治州来凤县</t>
  </si>
  <si>
    <t>湖北省恩施土家族苗族自治州鹤峰县</t>
  </si>
  <si>
    <t>湖北省省直辖县级行政区划</t>
  </si>
  <si>
    <t>湖北省省直辖县级行政区划仙桃市</t>
  </si>
  <si>
    <t>湖北省省直辖县级行政区划潜江市</t>
  </si>
  <si>
    <t>湖北省省直辖县级行政区划天门市</t>
  </si>
  <si>
    <t>湖北省省直辖县级行政区划神农架林区</t>
  </si>
  <si>
    <t>湖南省</t>
  </si>
  <si>
    <t>湖南省长沙市</t>
  </si>
  <si>
    <t>湖南省长沙市市辖区</t>
  </si>
  <si>
    <t>湖南省长沙市芙蓉区</t>
  </si>
  <si>
    <t>湖南省长沙市天心区</t>
  </si>
  <si>
    <t>湖南省长沙市岳麓区</t>
  </si>
  <si>
    <t>湖南省长沙市开福区</t>
  </si>
  <si>
    <t>湖南省长沙市雨花区</t>
  </si>
  <si>
    <t>湖南省长沙市望城区</t>
  </si>
  <si>
    <t>湖南省长沙市长沙县</t>
  </si>
  <si>
    <t>湖南省长沙市宁乡县</t>
  </si>
  <si>
    <t>湖南省长沙市浏阳市</t>
  </si>
  <si>
    <t>湖南省株洲市</t>
  </si>
  <si>
    <t>湖南省株洲市市辖区</t>
  </si>
  <si>
    <t>湖南省株洲市荷塘区</t>
  </si>
  <si>
    <t>湖南省株洲市芦淞区</t>
  </si>
  <si>
    <t>湖南省株洲市石峰区</t>
  </si>
  <si>
    <t>湖南省株洲市天元区</t>
  </si>
  <si>
    <t>湖南省株洲市株洲县</t>
  </si>
  <si>
    <t>湖南省株洲市攸县</t>
  </si>
  <si>
    <t>湖南省株洲市茶陵县</t>
  </si>
  <si>
    <t>湖南省株洲市炎陵县</t>
  </si>
  <si>
    <t>湖南省株洲市醴陵市</t>
  </si>
  <si>
    <t>湖南省湘潭市</t>
  </si>
  <si>
    <t>湖南省湘潭市市辖区</t>
  </si>
  <si>
    <t>湖南省湘潭市雨湖区</t>
  </si>
  <si>
    <t>湖南省湘潭市岳塘区</t>
  </si>
  <si>
    <t>湖南省湘潭市湘潭县</t>
  </si>
  <si>
    <t>湖南省湘潭市湘乡市</t>
  </si>
  <si>
    <t>湖南省湘潭市韶山市</t>
  </si>
  <si>
    <t>湖南省衡阳市</t>
  </si>
  <si>
    <t>湖南省衡阳市市辖区</t>
  </si>
  <si>
    <t>湖南省衡阳市珠晖区</t>
  </si>
  <si>
    <t>湖南省衡阳市雁峰区</t>
  </si>
  <si>
    <t>湖南省衡阳市石鼓区</t>
  </si>
  <si>
    <t>湖南省衡阳市蒸湘区</t>
  </si>
  <si>
    <t>湖南省衡阳市南岳区</t>
  </si>
  <si>
    <t>湖南省衡阳市衡阳县</t>
  </si>
  <si>
    <t>湖南省衡阳市衡南县</t>
  </si>
  <si>
    <t>湖南省衡阳市衡山县</t>
  </si>
  <si>
    <t>湖南省衡阳市衡东县</t>
  </si>
  <si>
    <t>湖南省衡阳市祁东县</t>
  </si>
  <si>
    <t>湖南省衡阳市耒阳市</t>
  </si>
  <si>
    <t>湖南省衡阳市常宁市</t>
  </si>
  <si>
    <t>湖南省邵阳市</t>
  </si>
  <si>
    <t>湖南省邵阳市市辖区</t>
  </si>
  <si>
    <t>湖南省邵阳市双清区</t>
  </si>
  <si>
    <t>湖南省邵阳市大祥区</t>
  </si>
  <si>
    <t>湖南省邵阳市北塔区</t>
  </si>
  <si>
    <t>湖南省邵阳市邵东县</t>
  </si>
  <si>
    <t>湖南省邵阳市新邵县</t>
  </si>
  <si>
    <t>湖南省邵阳市邵阳县</t>
  </si>
  <si>
    <t>湖南省邵阳市隆回县</t>
  </si>
  <si>
    <t>湖南省邵阳市洞口县</t>
  </si>
  <si>
    <t>湖南省邵阳市绥宁县</t>
  </si>
  <si>
    <t>湖南省邵阳市新宁县</t>
  </si>
  <si>
    <t>湖南省邵阳市城步苗族自治县</t>
  </si>
  <si>
    <t>湖南省邵阳市武冈市</t>
  </si>
  <si>
    <t>湖南省岳阳市</t>
  </si>
  <si>
    <t>湖南省岳阳市市辖区</t>
  </si>
  <si>
    <t>湖南省岳阳市岳阳楼区</t>
  </si>
  <si>
    <t>湖南省岳阳市云溪区</t>
  </si>
  <si>
    <t>湖南省岳阳市君山区</t>
  </si>
  <si>
    <t>湖南省岳阳市岳阳县</t>
  </si>
  <si>
    <t>湖南省岳阳市华容县</t>
  </si>
  <si>
    <t>湖南省岳阳市湘阴县</t>
  </si>
  <si>
    <t>湖南省岳阳市平江县</t>
  </si>
  <si>
    <t>湖南省岳阳市汨罗市</t>
  </si>
  <si>
    <t>湖南省岳阳市临湘市</t>
  </si>
  <si>
    <t>湖南省常德市</t>
  </si>
  <si>
    <t>湖南省常德市市辖区</t>
  </si>
  <si>
    <t>湖南省常德市武陵区</t>
  </si>
  <si>
    <t>湖南省常德市鼎城区</t>
  </si>
  <si>
    <t>湖南省常德市安乡县</t>
  </si>
  <si>
    <t>湖南省常德市汉寿县</t>
  </si>
  <si>
    <t>湖南省常德市澧县</t>
  </si>
  <si>
    <t>湖南省常德市临澧县</t>
  </si>
  <si>
    <t>湖南省常德市桃源县</t>
  </si>
  <si>
    <t>湖南省常德市石门县</t>
  </si>
  <si>
    <t>湖南省常德市津市市</t>
  </si>
  <si>
    <t>湖南省张家界市</t>
  </si>
  <si>
    <t>湖南省张家界市市辖区</t>
  </si>
  <si>
    <t>湖南省张家界市永定区</t>
  </si>
  <si>
    <t>湖南省张家界市武陵源区</t>
  </si>
  <si>
    <t>湖南省张家界市慈利县</t>
  </si>
  <si>
    <t>湖南省张家界市桑植县</t>
  </si>
  <si>
    <t>湖南省益阳市</t>
  </si>
  <si>
    <t>湖南省益阳市市辖区</t>
  </si>
  <si>
    <t>湖南省益阳市资阳区</t>
  </si>
  <si>
    <t>湖南省益阳市赫山区</t>
  </si>
  <si>
    <t>湖南省益阳市南县</t>
  </si>
  <si>
    <t>湖南省益阳市桃江县</t>
  </si>
  <si>
    <t>湖南省益阳市安化县</t>
  </si>
  <si>
    <t>湖南省益阳市沅江市</t>
  </si>
  <si>
    <t>湖南省郴州市</t>
  </si>
  <si>
    <t>湖南省郴州市市辖区</t>
  </si>
  <si>
    <t>湖南省郴州市北湖区</t>
  </si>
  <si>
    <t>湖南省郴州市苏仙区</t>
  </si>
  <si>
    <t>湖南省郴州市桂阳县</t>
  </si>
  <si>
    <t>湖南省郴州市宜章县</t>
  </si>
  <si>
    <t>湖南省郴州市永兴县</t>
  </si>
  <si>
    <t>湖南省郴州市嘉禾县</t>
  </si>
  <si>
    <t>湖南省郴州市临武县</t>
  </si>
  <si>
    <t>湖南省郴州市汝城县</t>
  </si>
  <si>
    <t>湖南省郴州市桂东县</t>
  </si>
  <si>
    <t>湖南省郴州市安仁县</t>
  </si>
  <si>
    <t>湖南省郴州市资兴市</t>
  </si>
  <si>
    <t>湖南省永州市</t>
  </si>
  <si>
    <t>湖南省永州市市辖区</t>
  </si>
  <si>
    <t>湖南省永州市零陵区</t>
  </si>
  <si>
    <t>湖南省永州市冷水滩区</t>
  </si>
  <si>
    <t>湖南省永州市祁阳县</t>
  </si>
  <si>
    <t>湖南省永州市东安县</t>
  </si>
  <si>
    <t>湖南省永州市双牌县</t>
  </si>
  <si>
    <t>湖南省永州市道县</t>
  </si>
  <si>
    <t>湖南省永州市江永县</t>
  </si>
  <si>
    <t>湖南省永州市宁远县</t>
  </si>
  <si>
    <t>湖南省永州市蓝山县</t>
  </si>
  <si>
    <t>湖南省永州市新田县</t>
  </si>
  <si>
    <t>湖南省永州市江华瑶族自治县</t>
  </si>
  <si>
    <t>湖南省怀化市</t>
  </si>
  <si>
    <t>湖南省怀化市市辖区</t>
  </si>
  <si>
    <t>湖南省怀化市鹤城区</t>
  </si>
  <si>
    <t>湖南省怀化市中方县</t>
  </si>
  <si>
    <t>湖南省怀化市沅陵县</t>
  </si>
  <si>
    <t>湖南省怀化市辰溪县</t>
  </si>
  <si>
    <t>湖南省怀化市溆浦县</t>
  </si>
  <si>
    <t>湖南省怀化市会同县</t>
  </si>
  <si>
    <t>湖南省怀化市麻阳苗族自治县</t>
  </si>
  <si>
    <t>湖南省怀化市新晃侗族自治县</t>
  </si>
  <si>
    <t>湖南省怀化市芷江侗族自治县</t>
  </si>
  <si>
    <t>湖南省怀化市靖州苗族侗族自治县</t>
  </si>
  <si>
    <t>湖南省怀化市通道侗族自治县</t>
  </si>
  <si>
    <t>湖南省怀化市洪江市</t>
  </si>
  <si>
    <t>湖南省娄底市</t>
  </si>
  <si>
    <t>湖南省娄底市市辖区</t>
  </si>
  <si>
    <t>湖南省娄底市娄星区</t>
  </si>
  <si>
    <t>湖南省娄底市双峰县</t>
  </si>
  <si>
    <t>湖南省娄底市新化县</t>
  </si>
  <si>
    <t>湖南省娄底市冷水江市</t>
  </si>
  <si>
    <t>湖南省娄底市涟源市</t>
  </si>
  <si>
    <t>湖南省湘西土家族苗族自治州</t>
  </si>
  <si>
    <t>湖南省湘西土家族苗族自治州吉首市</t>
  </si>
  <si>
    <t>湖南省湘西土家族苗族自治州泸溪县</t>
  </si>
  <si>
    <t>湖南省湘西土家族苗族自治州凤凰县</t>
  </si>
  <si>
    <t>湖南省湘西土家族苗族自治州花垣县</t>
  </si>
  <si>
    <t>湖南省湘西土家族苗族自治州保靖县</t>
  </si>
  <si>
    <t>湖南省湘西土家族苗族自治州古丈县</t>
  </si>
  <si>
    <t>湖南省湘西土家族苗族自治州永顺县</t>
  </si>
  <si>
    <t>湖南省湘西土家族苗族自治州龙山县</t>
  </si>
  <si>
    <t>广东省</t>
  </si>
  <si>
    <t>广东省广州市</t>
  </si>
  <si>
    <t>广东省广州市市辖区</t>
  </si>
  <si>
    <t>广东省广州市荔湾区</t>
  </si>
  <si>
    <t>广东省广州市越秀区</t>
  </si>
  <si>
    <t>广东省广州市海珠区</t>
  </si>
  <si>
    <t>广东省广州市天河区</t>
  </si>
  <si>
    <t>广东省广州市白云区</t>
  </si>
  <si>
    <t>广东省广州市黄埔区</t>
  </si>
  <si>
    <t>广东省广州市番禺区</t>
  </si>
  <si>
    <t>广东省广州市花都区</t>
  </si>
  <si>
    <t>广东省广州市南沙区</t>
  </si>
  <si>
    <t>广东省广州市萝岗区</t>
  </si>
  <si>
    <t>广东省广州市从化区</t>
  </si>
  <si>
    <t>广东省广州市增城区</t>
  </si>
  <si>
    <t>广东省韶关市</t>
  </si>
  <si>
    <t>广东省韶关市市辖区</t>
  </si>
  <si>
    <t>广东省韶关市武江区</t>
  </si>
  <si>
    <t>广东省韶关市浈江区</t>
  </si>
  <si>
    <t>广东省韶关市曲江区</t>
  </si>
  <si>
    <t>广东省韶关市始兴县</t>
  </si>
  <si>
    <t>广东省韶关市仁化县</t>
  </si>
  <si>
    <t>广东省韶关市翁源县</t>
  </si>
  <si>
    <t>广东省韶关市乳源瑶族自治县</t>
  </si>
  <si>
    <t>广东省韶关市新丰县</t>
  </si>
  <si>
    <t>广东省韶关市乐昌市</t>
  </si>
  <si>
    <t>广东省韶关市南雄市</t>
  </si>
  <si>
    <t>广东省深圳市</t>
  </si>
  <si>
    <t>广东省深圳市市辖区</t>
  </si>
  <si>
    <t>广东省深圳市罗湖区</t>
  </si>
  <si>
    <t>广东省深圳市福田区</t>
  </si>
  <si>
    <t>广东省深圳市南山区</t>
  </si>
  <si>
    <t>广东省深圳市宝安区</t>
  </si>
  <si>
    <t>广东省深圳市龙岗区</t>
  </si>
  <si>
    <t>广东省深圳市盐田区</t>
  </si>
  <si>
    <t>广东省珠海市</t>
  </si>
  <si>
    <t>广东省珠海市市辖区</t>
  </si>
  <si>
    <t>广东省珠海市香洲区</t>
  </si>
  <si>
    <t>广东省珠海市斗门区</t>
  </si>
  <si>
    <t>广东省珠海市金湾区</t>
  </si>
  <si>
    <t>广东省汕头市</t>
  </si>
  <si>
    <t>广东省汕头市市辖区</t>
  </si>
  <si>
    <t>广东省汕头市龙湖区</t>
  </si>
  <si>
    <t>广东省汕头市金平区</t>
  </si>
  <si>
    <t>广东省汕头市濠江区</t>
  </si>
  <si>
    <t>广东省汕头市潮阳区</t>
  </si>
  <si>
    <t>广东省汕头市潮南区</t>
  </si>
  <si>
    <t>广东省汕头市澄海区</t>
  </si>
  <si>
    <t>广东省汕头市南澳县</t>
  </si>
  <si>
    <t>广东省佛山市</t>
  </si>
  <si>
    <t>广东省佛山市市辖区</t>
  </si>
  <si>
    <t>广东省佛山市禅城区</t>
  </si>
  <si>
    <t>广东省佛山市南海区</t>
  </si>
  <si>
    <t>广东省佛山市顺德区</t>
  </si>
  <si>
    <t>广东省佛山市三水区</t>
  </si>
  <si>
    <t>广东省佛山市高明区</t>
  </si>
  <si>
    <t>广东省江门市</t>
  </si>
  <si>
    <t>广东省江门市市辖区</t>
  </si>
  <si>
    <t>广东省江门市蓬江区</t>
  </si>
  <si>
    <t>广东省江门市江海区</t>
  </si>
  <si>
    <t>广东省江门市新会区</t>
  </si>
  <si>
    <t>广东省江门市台山市</t>
  </si>
  <si>
    <t>广东省江门市开平市</t>
  </si>
  <si>
    <t>广东省江门市鹤山市</t>
  </si>
  <si>
    <t>广东省江门市恩平市</t>
  </si>
  <si>
    <t>广东省湛江市</t>
  </si>
  <si>
    <t>广东省湛江市市辖区</t>
  </si>
  <si>
    <t>广东省湛江市赤坎区</t>
  </si>
  <si>
    <t>广东省湛江市霞山区</t>
  </si>
  <si>
    <t>广东省湛江市坡头区</t>
  </si>
  <si>
    <t>广东省湛江市麻章区</t>
  </si>
  <si>
    <t>广东省湛江市遂溪县</t>
  </si>
  <si>
    <t>广东省湛江市徐闻县</t>
  </si>
  <si>
    <t>广东省湛江市廉江市</t>
  </si>
  <si>
    <t>广东省湛江市雷州市</t>
  </si>
  <si>
    <t>广东省湛江市吴川市</t>
  </si>
  <si>
    <t>广东省茂名市</t>
  </si>
  <si>
    <t>广东省茂名市市辖区</t>
  </si>
  <si>
    <t>广东省茂名市茂南区</t>
  </si>
  <si>
    <t>广东省茂名市茂港区</t>
  </si>
  <si>
    <t>广东省茂名市电白区</t>
  </si>
  <si>
    <t>广东省茂名市高州市</t>
  </si>
  <si>
    <t>广东省茂名市化州市</t>
  </si>
  <si>
    <t>广东省茂名市信宜市</t>
  </si>
  <si>
    <t>广东省肇庆市</t>
  </si>
  <si>
    <t>广东省肇庆市市辖区</t>
  </si>
  <si>
    <t>广东省肇庆市端州区</t>
  </si>
  <si>
    <t>广东省肇庆市鼎湖区</t>
  </si>
  <si>
    <t>广东省肇庆市广宁县</t>
  </si>
  <si>
    <t>广东省肇庆市怀集县</t>
  </si>
  <si>
    <t>广东省肇庆市封开县</t>
  </si>
  <si>
    <t>广东省肇庆市德庆县</t>
  </si>
  <si>
    <t>广东省肇庆市高要市</t>
  </si>
  <si>
    <t>广东省肇庆市四会市</t>
  </si>
  <si>
    <t>广东省惠州市</t>
  </si>
  <si>
    <t>广东省惠州市市辖区</t>
  </si>
  <si>
    <t>广东省惠州市惠城区</t>
  </si>
  <si>
    <t>广东省惠州市惠阳区</t>
  </si>
  <si>
    <t>广东省惠州市博罗县</t>
  </si>
  <si>
    <t>广东省惠州市惠东县</t>
  </si>
  <si>
    <t>广东省惠州市龙门县</t>
  </si>
  <si>
    <t>广东省梅州市</t>
  </si>
  <si>
    <t>广东省梅州市市辖区</t>
  </si>
  <si>
    <t>广东省梅州市梅江区</t>
  </si>
  <si>
    <t>广东省梅州市梅县区</t>
  </si>
  <si>
    <t>广东省梅州市大埔县</t>
  </si>
  <si>
    <t>广东省梅州市丰顺县</t>
  </si>
  <si>
    <t>广东省梅州市五华县</t>
  </si>
  <si>
    <t>广东省梅州市平远县</t>
  </si>
  <si>
    <t>广东省梅州市蕉岭县</t>
  </si>
  <si>
    <t>广东省梅州市兴宁市</t>
  </si>
  <si>
    <t>广东省汕尾市</t>
  </si>
  <si>
    <t>广东省汕尾市市辖区</t>
  </si>
  <si>
    <t>广东省汕尾市城区</t>
  </si>
  <si>
    <t>广东省汕尾市海丰县</t>
  </si>
  <si>
    <t>广东省汕尾市陆河县</t>
  </si>
  <si>
    <t>广东省汕尾市陆丰市</t>
  </si>
  <si>
    <t>广东省河源市</t>
  </si>
  <si>
    <t>广东省河源市市辖区</t>
  </si>
  <si>
    <t>广东省河源市源城区</t>
  </si>
  <si>
    <t>广东省河源市紫金县</t>
  </si>
  <si>
    <t>广东省河源市龙川县</t>
  </si>
  <si>
    <t>广东省河源市连平县</t>
  </si>
  <si>
    <t>广东省河源市和平县</t>
  </si>
  <si>
    <t>广东省河源市东源县</t>
  </si>
  <si>
    <t>广东省阳江市</t>
  </si>
  <si>
    <t>广东省阳江市市辖区</t>
  </si>
  <si>
    <t>广东省阳江市江城区</t>
  </si>
  <si>
    <t>广东省阳江市阳西县</t>
  </si>
  <si>
    <t>广东省阳江市阳东县</t>
  </si>
  <si>
    <t>广东省阳江市阳春市</t>
  </si>
  <si>
    <t>广东省清远市</t>
  </si>
  <si>
    <t>广东省清远市市辖区</t>
  </si>
  <si>
    <t>广东省清远市清城区</t>
  </si>
  <si>
    <t>广东省清远市清新区</t>
  </si>
  <si>
    <t>广东省清远市佛冈县</t>
  </si>
  <si>
    <t>广东省清远市阳山县</t>
  </si>
  <si>
    <t>广东省清远市连山壮族瑶族自治县</t>
  </si>
  <si>
    <t>广东省清远市连南瑶族自治县</t>
  </si>
  <si>
    <t>广东省清远市英德市</t>
  </si>
  <si>
    <t>广东省清远市连州市</t>
  </si>
  <si>
    <t>广东省东莞市</t>
  </si>
  <si>
    <t>广东省东莞市全辖</t>
  </si>
  <si>
    <t>广东省中山市</t>
  </si>
  <si>
    <t>广东省中山市市辖区</t>
  </si>
  <si>
    <t>广东省潮州市</t>
  </si>
  <si>
    <t>广东省潮州市市辖区</t>
  </si>
  <si>
    <t>广东省潮州市湘桥区</t>
  </si>
  <si>
    <t>广东省潮州市潮安县</t>
  </si>
  <si>
    <t>广东省潮州市饶平县</t>
  </si>
  <si>
    <t>广东省揭阳市</t>
  </si>
  <si>
    <t>广东省揭阳市市辖区</t>
  </si>
  <si>
    <t>广东省揭阳市榕城区</t>
  </si>
  <si>
    <t>广东省揭阳市揭东区</t>
  </si>
  <si>
    <t>广东省揭阳市揭西县</t>
  </si>
  <si>
    <t>广东省揭阳市惠来县</t>
  </si>
  <si>
    <t>广东省揭阳市普宁市</t>
  </si>
  <si>
    <t>广东省云浮市</t>
  </si>
  <si>
    <t>广东省云浮市市辖区</t>
  </si>
  <si>
    <t>广东省云浮市云城区</t>
  </si>
  <si>
    <t>广东省云浮市云安区</t>
  </si>
  <si>
    <t>广东省云浮市新兴县</t>
  </si>
  <si>
    <t>广东省云浮市郁南县</t>
  </si>
  <si>
    <t>广东省云浮市罗定市</t>
  </si>
  <si>
    <t>广西壮族自治区</t>
  </si>
  <si>
    <t>广西壮族自治区南宁市</t>
  </si>
  <si>
    <t>广西壮族自治区南宁市市辖区</t>
  </si>
  <si>
    <t>广西壮族自治区南宁市兴宁区</t>
  </si>
  <si>
    <t>广西壮族自治区南宁市青秀区</t>
  </si>
  <si>
    <t>广西壮族自治区南宁市江南区</t>
  </si>
  <si>
    <t>广西壮族自治区南宁市西乡塘区</t>
  </si>
  <si>
    <t>广西壮族自治区南宁市良庆区</t>
  </si>
  <si>
    <t>广西壮族自治区南宁市邕宁区</t>
  </si>
  <si>
    <t>广西壮族自治区南宁市武鸣县</t>
  </si>
  <si>
    <t>广西壮族自治区南宁市隆安县</t>
  </si>
  <si>
    <t>广西壮族自治区南宁市马山县</t>
  </si>
  <si>
    <t>广西壮族自治区南宁市上林县</t>
  </si>
  <si>
    <t>广西壮族自治区南宁市宾阳县</t>
  </si>
  <si>
    <t>广西壮族自治区南宁市横县</t>
  </si>
  <si>
    <t>广西壮族自治区柳州市</t>
  </si>
  <si>
    <t>广西壮族自治区柳州市市辖区</t>
  </si>
  <si>
    <t>广西壮族自治区柳州市城中区</t>
  </si>
  <si>
    <t>广西壮族自治区柳州市鱼峰区</t>
  </si>
  <si>
    <t>广西壮族自治区柳州市柳南区</t>
  </si>
  <si>
    <t>广西壮族自治区柳州市柳北区</t>
  </si>
  <si>
    <t>广西壮族自治区柳州市柳江县</t>
  </si>
  <si>
    <t>广西壮族自治区柳州市柳城县</t>
  </si>
  <si>
    <t>广西壮族自治区柳州市鹿寨县</t>
  </si>
  <si>
    <t>广西壮族自治区柳州市融安县</t>
  </si>
  <si>
    <t>广西壮族自治区柳州市融水苗族自治县</t>
  </si>
  <si>
    <t>广西壮族自治区柳州市三江侗族自治县</t>
  </si>
  <si>
    <t>广西壮族自治区桂林市</t>
  </si>
  <si>
    <t>广西壮族自治区桂林市市辖区</t>
  </si>
  <si>
    <t>广西壮族自治区桂林市秀峰区</t>
  </si>
  <si>
    <t>广西壮族自治区桂林市叠彩区</t>
  </si>
  <si>
    <t>广西壮族自治区桂林市象山区</t>
  </si>
  <si>
    <t>广西壮族自治区桂林市七星区</t>
  </si>
  <si>
    <t>广西壮族自治区桂林市雁山区</t>
  </si>
  <si>
    <t>广西壮族自治区桂林市阳朔县</t>
  </si>
  <si>
    <t>广西壮族自治区桂林市临桂县</t>
  </si>
  <si>
    <t>广西壮族自治区桂林市灵川县</t>
  </si>
  <si>
    <t>广西壮族自治区桂林市全州县</t>
  </si>
  <si>
    <t>广西壮族自治区桂林市兴安县</t>
  </si>
  <si>
    <t>广西壮族自治区桂林市永福县</t>
  </si>
  <si>
    <t>广西壮族自治区桂林市灌阳县</t>
  </si>
  <si>
    <t>广西壮族自治区桂林市龙胜各族自治县</t>
  </si>
  <si>
    <t>广西壮族自治区桂林市资源县</t>
  </si>
  <si>
    <t>广西壮族自治区桂林市平乐县</t>
  </si>
  <si>
    <t>广西壮族自治区桂林市荔浦县</t>
  </si>
  <si>
    <t>广西壮族自治区桂林市恭城瑶族自治县</t>
  </si>
  <si>
    <t>广西壮族自治区梧州市</t>
  </si>
  <si>
    <t>广西壮族自治区梧州市市辖区</t>
  </si>
  <si>
    <t>广西壮族自治区梧州市万秀区</t>
  </si>
  <si>
    <t>广西壮族自治区梧州市长洲区</t>
  </si>
  <si>
    <t>广西壮族自治区梧州市龙圩区</t>
  </si>
  <si>
    <t>广西壮族自治区梧州市苍梧县</t>
  </si>
  <si>
    <t>广西壮族自治区梧州市藤县</t>
  </si>
  <si>
    <t>广西壮族自治区梧州市蒙山县</t>
  </si>
  <si>
    <t>广西壮族自治区梧州市岑溪市</t>
  </si>
  <si>
    <t>广西壮族自治区北海市</t>
  </si>
  <si>
    <t>广西壮族自治区北海市市辖区</t>
  </si>
  <si>
    <t>广西壮族自治区北海市海城区</t>
  </si>
  <si>
    <t>广西壮族自治区北海市银海区</t>
  </si>
  <si>
    <t>广西壮族自治区北海市铁山港区</t>
  </si>
  <si>
    <t>广西壮族自治区北海市合浦县</t>
  </si>
  <si>
    <t>广西壮族自治区防城港市</t>
  </si>
  <si>
    <t>广西壮族自治区防城港市市辖区</t>
  </si>
  <si>
    <t>广西壮族自治区防城港市港口区</t>
  </si>
  <si>
    <t>广西壮族自治区防城港市防城区</t>
  </si>
  <si>
    <t>广西壮族自治区防城港市上思县</t>
  </si>
  <si>
    <t>广西壮族自治区防城港市东兴市</t>
  </si>
  <si>
    <t>广西壮族自治区钦州市</t>
  </si>
  <si>
    <t>广西壮族自治区钦州市市辖区</t>
  </si>
  <si>
    <t>广西壮族自治区钦州市钦南区</t>
  </si>
  <si>
    <t>广西壮族自治区钦州市钦北区</t>
  </si>
  <si>
    <t>广西壮族自治区钦州市灵山县</t>
  </si>
  <si>
    <t>广西壮族自治区钦州市浦北县</t>
  </si>
  <si>
    <t>广西壮族自治区贵港市</t>
  </si>
  <si>
    <t>广西壮族自治区贵港市市辖区</t>
  </si>
  <si>
    <t>广西壮族自治区贵港市港北区</t>
  </si>
  <si>
    <t>广西壮族自治区贵港市港南区</t>
  </si>
  <si>
    <t>广西壮族自治区贵港市覃塘区</t>
  </si>
  <si>
    <t>广西壮族自治区贵港市平南县</t>
  </si>
  <si>
    <t>广西壮族自治区贵港市桂平市</t>
  </si>
  <si>
    <t>广西壮族自治区玉林市</t>
  </si>
  <si>
    <t>广西壮族自治区玉林市市辖区</t>
  </si>
  <si>
    <t>广西壮族自治区玉林市玉州区</t>
  </si>
  <si>
    <t>广西壮族自治区玉林市福绵区</t>
  </si>
  <si>
    <t>广西壮族自治区玉林市容县</t>
  </si>
  <si>
    <t>广西壮族自治区玉林市陆川县</t>
  </si>
  <si>
    <t>广西壮族自治区玉林市博白县</t>
  </si>
  <si>
    <t>广西壮族自治区玉林市兴业县</t>
  </si>
  <si>
    <t>广西壮族自治区玉林市北流市</t>
  </si>
  <si>
    <t>广西壮族自治区百色市</t>
  </si>
  <si>
    <t>广西壮族自治区百色市市辖区</t>
  </si>
  <si>
    <t>广西壮族自治区百色市右江区</t>
  </si>
  <si>
    <t>广西壮族自治区百色市田阳县</t>
  </si>
  <si>
    <t>广西壮族自治区百色市田东县</t>
  </si>
  <si>
    <t>广西壮族自治区百色市平果县</t>
  </si>
  <si>
    <t>广西壮族自治区百色市德保县</t>
  </si>
  <si>
    <t>广西壮族自治区百色市靖西县</t>
  </si>
  <si>
    <t>广西壮族自治区百色市那坡县</t>
  </si>
  <si>
    <t>广西壮族自治区百色市凌云县</t>
  </si>
  <si>
    <t>广西壮族自治区百色市乐业县</t>
  </si>
  <si>
    <t>广西壮族自治区百色市田林县</t>
  </si>
  <si>
    <t>广西壮族自治区百色市西林县</t>
  </si>
  <si>
    <t>广西壮族自治区百色市隆林各族自治县</t>
  </si>
  <si>
    <t>广西壮族自治区贺州市</t>
  </si>
  <si>
    <t>广西壮族自治区贺州市市辖区</t>
  </si>
  <si>
    <t>广西壮族自治区贺州市八步区</t>
  </si>
  <si>
    <t>广西壮族自治区贺州市昭平县</t>
  </si>
  <si>
    <t>广西壮族自治区贺州市钟山县</t>
  </si>
  <si>
    <t>广西壮族自治区贺州市富川瑶族自治县</t>
  </si>
  <si>
    <t>广西壮族自治区河池市</t>
  </si>
  <si>
    <t>广西壮族自治区河池市市辖区</t>
  </si>
  <si>
    <t>广西壮族自治区河池市金城江区</t>
  </si>
  <si>
    <t>广西壮族自治区河池市南丹县</t>
  </si>
  <si>
    <t>广西壮族自治区河池市天峨县</t>
  </si>
  <si>
    <t>广西壮族自治区河池市凤山县</t>
  </si>
  <si>
    <t>广西壮族自治区河池市东兰县</t>
  </si>
  <si>
    <t>广西壮族自治区河池市罗城仫佬族自治县</t>
  </si>
  <si>
    <t>广西壮族自治区河池市环江毛南族自治县</t>
  </si>
  <si>
    <t>广西壮族自治区河池市巴马瑶族自治县</t>
  </si>
  <si>
    <t>广西壮族自治区河池市都安瑶族自治县</t>
  </si>
  <si>
    <t>广西壮族自治区河池市大化瑶族自治县</t>
  </si>
  <si>
    <t>广西壮族自治区河池市宜州市</t>
  </si>
  <si>
    <t>广西壮族自治区来宾市</t>
  </si>
  <si>
    <t>广西壮族自治区来宾市市辖区</t>
  </si>
  <si>
    <t>广西壮族自治区来宾市兴宾区</t>
  </si>
  <si>
    <t>广西壮族自治区来宾市忻城县</t>
  </si>
  <si>
    <t>广西壮族自治区来宾市象州县</t>
  </si>
  <si>
    <t>广西壮族自治区来宾市武宣县</t>
  </si>
  <si>
    <t>广西壮族自治区来宾市金秀瑶族自治县</t>
  </si>
  <si>
    <t>广西壮族自治区来宾市合山市</t>
  </si>
  <si>
    <t>广西壮族自治区崇左市</t>
  </si>
  <si>
    <t>广西壮族自治区崇左市市辖区</t>
  </si>
  <si>
    <t>广西壮族自治区崇左市江洲区</t>
  </si>
  <si>
    <t>广西壮族自治区崇左市扶绥县</t>
  </si>
  <si>
    <t>广西壮族自治区崇左市宁明县</t>
  </si>
  <si>
    <t>广西壮族自治区崇左市龙州县</t>
  </si>
  <si>
    <t>广西壮族自治区崇左市大新县</t>
  </si>
  <si>
    <t>广西壮族自治区崇左市天等县</t>
  </si>
  <si>
    <t>广西壮族自治区崇左市凭祥市</t>
  </si>
  <si>
    <t>海南省</t>
  </si>
  <si>
    <t>海南省海口市</t>
  </si>
  <si>
    <t>海南省海口市市辖区</t>
  </si>
  <si>
    <t>海南省海口市秀英区</t>
  </si>
  <si>
    <t>海南省海口市龙华区</t>
  </si>
  <si>
    <t>海南省海口市琼山区</t>
  </si>
  <si>
    <t>海南省海口市美兰区</t>
  </si>
  <si>
    <t>海南省三亚市</t>
  </si>
  <si>
    <t>海南省三亚市市辖区</t>
  </si>
  <si>
    <t>海南省三亚市海棠区</t>
  </si>
  <si>
    <t>海南省三亚市吉阳区</t>
  </si>
  <si>
    <t>海南省三亚市天涯区</t>
  </si>
  <si>
    <t>海南省三亚市崖州区</t>
  </si>
  <si>
    <t>海南省三沙市</t>
  </si>
  <si>
    <t>海南省省直辖县级行政单位</t>
  </si>
  <si>
    <t>海南省五指山市</t>
  </si>
  <si>
    <t>海南省琼海市</t>
  </si>
  <si>
    <t>海南省儋州市</t>
  </si>
  <si>
    <t>海南省文昌市</t>
  </si>
  <si>
    <t>海南省万宁市</t>
  </si>
  <si>
    <t>海南省东方市</t>
  </si>
  <si>
    <t>海南省定安县</t>
  </si>
  <si>
    <t>海南省屯昌县</t>
  </si>
  <si>
    <t>海南省澄迈县</t>
  </si>
  <si>
    <t>海海南省临高县</t>
  </si>
  <si>
    <t>海南省白沙黎族自治县</t>
  </si>
  <si>
    <t>海南省昌江黎族自治县</t>
  </si>
  <si>
    <t>海南省乐东黎族自治县</t>
  </si>
  <si>
    <t>海南省陵水黎族自治县</t>
  </si>
  <si>
    <t>海南省保亭黎族苗族自治县</t>
  </si>
  <si>
    <t>海南省琼中黎族苗族自治县</t>
  </si>
  <si>
    <t>重庆市</t>
  </si>
  <si>
    <t>重庆市市辖区</t>
  </si>
  <si>
    <t>重庆市万州区</t>
  </si>
  <si>
    <t>重庆市涪陵区</t>
  </si>
  <si>
    <t>重庆市渝中区</t>
  </si>
  <si>
    <t>重庆市大渡口区</t>
  </si>
  <si>
    <t>重庆市江北区</t>
  </si>
  <si>
    <t>重庆市沙坪坝区</t>
  </si>
  <si>
    <t>重庆市九龙坡区</t>
  </si>
  <si>
    <t>重庆市南岸区</t>
  </si>
  <si>
    <t>重庆市北碚区</t>
  </si>
  <si>
    <t>重庆市綦江区</t>
  </si>
  <si>
    <t>重庆市大足区</t>
  </si>
  <si>
    <t>重庆市渝北区</t>
  </si>
  <si>
    <t>重庆市巴南区</t>
  </si>
  <si>
    <t>重庆市黔江区</t>
  </si>
  <si>
    <t>重庆市长寿区</t>
  </si>
  <si>
    <t>重庆市江津区</t>
  </si>
  <si>
    <t>重庆市合川区</t>
  </si>
  <si>
    <t>重庆市永川区</t>
  </si>
  <si>
    <t>重庆市南川区</t>
  </si>
  <si>
    <t>重庆市璧山区</t>
  </si>
  <si>
    <t>重庆市铜梁区</t>
  </si>
  <si>
    <t>重庆市县</t>
  </si>
  <si>
    <t>重庆市潼南县</t>
  </si>
  <si>
    <t>重庆市荣昌县</t>
  </si>
  <si>
    <t>重庆市梁平县</t>
  </si>
  <si>
    <t>重庆市城口县</t>
  </si>
  <si>
    <t>重庆市丰都县</t>
  </si>
  <si>
    <t>重庆市垫江县</t>
  </si>
  <si>
    <t>重庆市武隆县</t>
  </si>
  <si>
    <t>重庆市忠县</t>
  </si>
  <si>
    <t>重庆市开县</t>
  </si>
  <si>
    <t>重庆市云阳县</t>
  </si>
  <si>
    <t>重庆市奉节县</t>
  </si>
  <si>
    <t>重庆市巫山县</t>
  </si>
  <si>
    <t>重庆市巫溪县</t>
  </si>
  <si>
    <t>重庆市石柱土家族自治县</t>
  </si>
  <si>
    <t>重庆市秀山土家族苗族自治县</t>
  </si>
  <si>
    <t>重庆市酉阳土家族苗族自治县</t>
  </si>
  <si>
    <t>重庆市彭水苗族土家族自治县</t>
  </si>
  <si>
    <t>四川省</t>
  </si>
  <si>
    <t>四川省成都市</t>
  </si>
  <si>
    <t>四川省成都市市辖区</t>
  </si>
  <si>
    <t>四川省成都市锦江区</t>
  </si>
  <si>
    <t>四川省成都市青羊区</t>
  </si>
  <si>
    <t>四川省成都市金牛区</t>
  </si>
  <si>
    <t>四川省成都市武侯区</t>
  </si>
  <si>
    <t>四川省成都市成华区</t>
  </si>
  <si>
    <t>四川省成都市龙泉驿区</t>
  </si>
  <si>
    <t>四川省成都市青白江区</t>
  </si>
  <si>
    <t>四川省成都市新都区</t>
  </si>
  <si>
    <t>四川省成都市温江区</t>
  </si>
  <si>
    <t>四川省成都市金堂县</t>
  </si>
  <si>
    <t>四川省成都市双流县</t>
  </si>
  <si>
    <t>四川省成都市郫县</t>
  </si>
  <si>
    <t>四川省成都市大邑县</t>
  </si>
  <si>
    <t>四川省成都市蒲江县</t>
  </si>
  <si>
    <t>四川省成都市新津县</t>
  </si>
  <si>
    <t>四川省成都市都江堰市</t>
  </si>
  <si>
    <t>四川省成都市彭州市</t>
  </si>
  <si>
    <t>四川省成都市邛崃市</t>
  </si>
  <si>
    <t>四川省成都市崇州市</t>
  </si>
  <si>
    <t>四川省自贡市</t>
  </si>
  <si>
    <t>四川省自贡市市辖区</t>
  </si>
  <si>
    <t>四川省自贡市自流井区</t>
  </si>
  <si>
    <t>四川省自贡市贡井区</t>
  </si>
  <si>
    <t>四川省自贡市大安区</t>
  </si>
  <si>
    <t>四川省自贡市沿滩区</t>
  </si>
  <si>
    <t>四川省自贡市荣县</t>
  </si>
  <si>
    <t>四川省自贡市富顺县</t>
  </si>
  <si>
    <t>四川省攀枝花市</t>
  </si>
  <si>
    <t>四川省攀枝花市市辖区</t>
  </si>
  <si>
    <t>四川省攀枝花市东区</t>
  </si>
  <si>
    <t>四川省攀枝花市西区</t>
  </si>
  <si>
    <t>四川省攀枝花市仁和区</t>
  </si>
  <si>
    <t>四川省攀枝花市米易县</t>
  </si>
  <si>
    <t>四川省攀枝花市盐边县</t>
  </si>
  <si>
    <t>四川省泸州市</t>
  </si>
  <si>
    <t>四川省泸州市市辖区</t>
  </si>
  <si>
    <t>四川省泸州市江阳区</t>
  </si>
  <si>
    <t>四川省泸州市纳溪区</t>
  </si>
  <si>
    <t>四川省泸州市龙马潭区</t>
  </si>
  <si>
    <t>四川省泸州市泸县</t>
  </si>
  <si>
    <t>四川省泸州市合江县</t>
  </si>
  <si>
    <t>四川省泸州市叙永县</t>
  </si>
  <si>
    <t>四川省泸州市古蔺县</t>
  </si>
  <si>
    <t>四川省德阳市</t>
  </si>
  <si>
    <t>四川省德阳市市辖区</t>
  </si>
  <si>
    <t>四川省德阳市旌阳区</t>
  </si>
  <si>
    <t>四川省德阳市中江县</t>
  </si>
  <si>
    <t>四川省德阳市罗江县</t>
  </si>
  <si>
    <t>四川省德阳市广汉市</t>
  </si>
  <si>
    <t>四川省德阳市什邡市</t>
  </si>
  <si>
    <t>四川省德阳市绵竹市</t>
  </si>
  <si>
    <t>四川省绵阳市</t>
  </si>
  <si>
    <t>四川省绵阳市市辖区</t>
  </si>
  <si>
    <t>四川省绵阳市涪城区</t>
  </si>
  <si>
    <t>四川省绵阳市游仙区</t>
  </si>
  <si>
    <t>四川省绵阳市三台县</t>
  </si>
  <si>
    <t>四川省绵阳市盐亭县</t>
  </si>
  <si>
    <t>四川省绵阳市安县</t>
  </si>
  <si>
    <t>四川省绵阳市梓潼县</t>
  </si>
  <si>
    <t>四川省绵阳市北川羌族自治县</t>
  </si>
  <si>
    <t>四川省绵阳市平武县</t>
  </si>
  <si>
    <t>四川省绵阳市江油市</t>
  </si>
  <si>
    <t>四川省广元市</t>
  </si>
  <si>
    <t>四川省广元市市辖区</t>
  </si>
  <si>
    <t>四川省广元市利州区</t>
  </si>
  <si>
    <t>四川省广元市昭化区</t>
  </si>
  <si>
    <t>四川省广元市朝天区</t>
  </si>
  <si>
    <t>四川省广元市旺苍县</t>
  </si>
  <si>
    <t>四川省广元市青川县</t>
  </si>
  <si>
    <t>四川省广元市剑阁县</t>
  </si>
  <si>
    <t>四川省广元市苍溪县</t>
  </si>
  <si>
    <t>四川省遂宁市</t>
  </si>
  <si>
    <t>四川省遂宁市市辖区</t>
  </si>
  <si>
    <t>四川省遂宁市船山区</t>
  </si>
  <si>
    <t>四川省遂宁市安居区</t>
  </si>
  <si>
    <t>四川省遂宁市蓬溪县</t>
  </si>
  <si>
    <t>四川省遂宁市射洪县</t>
  </si>
  <si>
    <t>四川省遂宁市大英县</t>
  </si>
  <si>
    <t>四川省内江市</t>
  </si>
  <si>
    <t>四川省内江市市辖区</t>
  </si>
  <si>
    <t>四川省内江市市中区</t>
  </si>
  <si>
    <t>四川省内江市东兴区</t>
  </si>
  <si>
    <t>四川省内江市威远县</t>
  </si>
  <si>
    <t>四川省内江市资中县</t>
  </si>
  <si>
    <t>四川省内江市隆昌县</t>
  </si>
  <si>
    <t>四川省乐山市</t>
  </si>
  <si>
    <t>四川省乐山市市辖区</t>
  </si>
  <si>
    <t>四川省乐山市市中区</t>
  </si>
  <si>
    <t>四川省乐山市沙湾区</t>
  </si>
  <si>
    <t>四川省乐山市五通桥区</t>
  </si>
  <si>
    <t>四川省乐山市金口河区</t>
  </si>
  <si>
    <t>四川省乐山市犍为县</t>
  </si>
  <si>
    <t>四川省乐山市井研县</t>
  </si>
  <si>
    <t>四川省乐山市夹江县</t>
  </si>
  <si>
    <t>四川省乐山市沐川县</t>
  </si>
  <si>
    <t>四川省乐山市峨边彝族自治县</t>
  </si>
  <si>
    <t>四川省乐山市马边彝族自治县</t>
  </si>
  <si>
    <t>四川省乐山市峨眉山市</t>
  </si>
  <si>
    <t>四川省南充市</t>
  </si>
  <si>
    <t>四川省南充市市辖区</t>
  </si>
  <si>
    <t>四川省南充市顺庆区</t>
  </si>
  <si>
    <t>四川省南充市高坪区</t>
  </si>
  <si>
    <t>四川省南充市嘉陵区</t>
  </si>
  <si>
    <t>四川省南充市南部县</t>
  </si>
  <si>
    <t>四川省南充市营山县</t>
  </si>
  <si>
    <t>四川省南充市蓬安县</t>
  </si>
  <si>
    <t>四川省南充市仪陇县</t>
  </si>
  <si>
    <t>四川省南充市西充县</t>
  </si>
  <si>
    <t>四川省南充市阆中市</t>
  </si>
  <si>
    <t>四川省眉山市</t>
  </si>
  <si>
    <t>四川省眉山市市辖区</t>
  </si>
  <si>
    <t>四川省眉山市东坡区</t>
  </si>
  <si>
    <t>四川省眉山市仁寿县</t>
  </si>
  <si>
    <t>四川省眉山市彭山县</t>
  </si>
  <si>
    <t>四川省眉山市洪雅县</t>
  </si>
  <si>
    <t>四川省眉山市丹棱县</t>
  </si>
  <si>
    <t>四川省眉山市青神县</t>
  </si>
  <si>
    <t>四川省宜宾市</t>
  </si>
  <si>
    <t>四川省宜宾市市辖区</t>
  </si>
  <si>
    <t>四川省宜宾市翠屏区</t>
  </si>
  <si>
    <t>四川省宜宾市南溪区</t>
  </si>
  <si>
    <t>四川省宜宾市宜宾县</t>
  </si>
  <si>
    <t>四川省宜宾市江安县</t>
  </si>
  <si>
    <t>四川省宜宾市长宁县</t>
  </si>
  <si>
    <t>四川省宜宾市高县</t>
  </si>
  <si>
    <t>四川省宜宾市珙县</t>
  </si>
  <si>
    <t>四川省宜宾市筠连县</t>
  </si>
  <si>
    <t>四川省宜宾市兴文县</t>
  </si>
  <si>
    <t>四川省宜宾市屏山县</t>
  </si>
  <si>
    <t>四川省广安市</t>
  </si>
  <si>
    <t>四川省广安市市辖区</t>
  </si>
  <si>
    <t>四川省广安市广安区</t>
  </si>
  <si>
    <t>四川省广安市前锋区</t>
  </si>
  <si>
    <t>四川省广安市岳池县</t>
  </si>
  <si>
    <t>四川省广安市武胜县</t>
  </si>
  <si>
    <t>四川省广安市邻水县</t>
  </si>
  <si>
    <t>四川省广安市华蓥市</t>
  </si>
  <si>
    <t>四川省达州市</t>
  </si>
  <si>
    <t>四川省达州市市辖区</t>
  </si>
  <si>
    <t>四川省达州市通川区</t>
  </si>
  <si>
    <t>四川省达州市达川区</t>
  </si>
  <si>
    <t>四川省达州市宣汉县</t>
  </si>
  <si>
    <t>四川省达州市开江县</t>
  </si>
  <si>
    <t>四川省达州市大竹县</t>
  </si>
  <si>
    <t>四川省达州市渠县</t>
  </si>
  <si>
    <t>四川省达州市万源市</t>
  </si>
  <si>
    <t>四川省雅安市</t>
  </si>
  <si>
    <t>四川省雅安市市辖区</t>
  </si>
  <si>
    <t>四川省雅安市雨城区</t>
  </si>
  <si>
    <t>四川省雅安市名山区</t>
  </si>
  <si>
    <t>四川省雅安市荥经县</t>
  </si>
  <si>
    <t>四川省雅安市汉源县</t>
  </si>
  <si>
    <t>四川省雅安市石棉县</t>
  </si>
  <si>
    <t>四川省雅安市天全县</t>
  </si>
  <si>
    <t>四川省雅安市芦山县</t>
  </si>
  <si>
    <t>四川省雅安市宝兴县</t>
  </si>
  <si>
    <t>四川省巴中市</t>
  </si>
  <si>
    <t>四川省巴中市市辖区</t>
  </si>
  <si>
    <t>四川省巴中市巴州区</t>
  </si>
  <si>
    <t>四川省巴中市恩阳区</t>
  </si>
  <si>
    <t>四川省巴中市通江县</t>
  </si>
  <si>
    <t>四川省巴中市南江县</t>
  </si>
  <si>
    <t>四川省巴中市平昌县</t>
  </si>
  <si>
    <t>四川省资阳市</t>
  </si>
  <si>
    <t>四川省资阳市市辖区</t>
  </si>
  <si>
    <t>四川省资阳市雁江区</t>
  </si>
  <si>
    <t>四川省资阳市安岳县</t>
  </si>
  <si>
    <t>四川省资阳市乐至县</t>
  </si>
  <si>
    <t>四川省资阳市简阳市</t>
  </si>
  <si>
    <t>四川省阿坝藏族羌族自治州</t>
  </si>
  <si>
    <t>四川省阿坝藏族羌族自治州汶川县</t>
  </si>
  <si>
    <t>四川省阿坝藏族羌族自治州理县</t>
  </si>
  <si>
    <t>四川省阿坝藏族羌族自治州茂县</t>
  </si>
  <si>
    <t>四川省阿坝藏族羌族自治州松潘县</t>
  </si>
  <si>
    <t>四川省阿坝藏族羌族自治州九寨沟县</t>
  </si>
  <si>
    <t>四川省阿坝藏族羌族自治州金川县</t>
  </si>
  <si>
    <t>四川省阿坝藏族羌族自治州小金县</t>
  </si>
  <si>
    <t>四川省阿坝藏族羌族自治州黑水县</t>
  </si>
  <si>
    <t>四川省阿坝藏族羌族自治州马尔康县</t>
  </si>
  <si>
    <t>四川省阿坝藏族羌族自治州壤塘县</t>
  </si>
  <si>
    <t>四川省阿坝藏族羌族自治州阿坝县</t>
  </si>
  <si>
    <t>四川省阿坝藏族羌族自治州若尔盖县</t>
  </si>
  <si>
    <t>四川省阿坝藏族羌族自治州红原县</t>
  </si>
  <si>
    <t>四川省甘孜藏族自治州</t>
  </si>
  <si>
    <t>四川省甘孜藏族自治州康定县</t>
  </si>
  <si>
    <t>四川省甘孜藏族自治州泸定县</t>
  </si>
  <si>
    <t>四川省甘孜藏族自治州丹巴县</t>
  </si>
  <si>
    <t>四川省甘孜藏族自治州九龙县</t>
  </si>
  <si>
    <t>四川省甘孜藏族自治州雅江县</t>
  </si>
  <si>
    <t>四川省甘孜藏族自治州道孚县</t>
  </si>
  <si>
    <t>四川省甘孜藏族自治州炉霍县</t>
  </si>
  <si>
    <t>四川省甘孜藏族自治州甘孜县</t>
  </si>
  <si>
    <t>四川省甘孜藏族自治州新龙县</t>
  </si>
  <si>
    <t>四川省甘孜藏族自治州德格县</t>
  </si>
  <si>
    <t>四川省甘孜藏族自治州白玉县</t>
  </si>
  <si>
    <t>四川省甘孜藏族自治州石渠县</t>
  </si>
  <si>
    <t>四川省甘孜藏族自治州色达县</t>
  </si>
  <si>
    <t>四川省甘孜藏族自治州理塘县</t>
  </si>
  <si>
    <t>四川省甘孜藏族自治州巴塘县</t>
  </si>
  <si>
    <t>四川省甘孜藏族自治州乡城县</t>
  </si>
  <si>
    <t>四川省甘孜藏族自治州稻城县</t>
  </si>
  <si>
    <t>四川省甘孜藏族自治州得荣县</t>
  </si>
  <si>
    <t>四川省凉山彝族自治州</t>
  </si>
  <si>
    <t>四川省凉山彝族自治州西昌市</t>
  </si>
  <si>
    <t>四川省凉山彝族自治州木里藏族自治县</t>
  </si>
  <si>
    <t>四川省凉山彝族自治州盐源县</t>
  </si>
  <si>
    <t>四川省凉山彝族自治州德昌县</t>
  </si>
  <si>
    <t>四川省凉山彝族自治州会理县</t>
  </si>
  <si>
    <t>四川省凉山彝族自治州会东县</t>
  </si>
  <si>
    <t>四川省凉山彝族自治州宁南县</t>
  </si>
  <si>
    <t>四川省凉山彝族自治州普格县</t>
  </si>
  <si>
    <t>四川省凉山彝族自治州布拖县</t>
  </si>
  <si>
    <t>四川省凉山彝族自治州金阳县</t>
  </si>
  <si>
    <t>四川省凉山彝族自治州昭觉县</t>
  </si>
  <si>
    <t>四川省凉山彝族自治州喜德县</t>
  </si>
  <si>
    <t>四川省凉山彝族自治州冕宁县</t>
  </si>
  <si>
    <t>四川省凉山彝族自治州越西县</t>
  </si>
  <si>
    <t>四川省凉山彝族自治州甘洛县</t>
  </si>
  <si>
    <t>四川省凉山彝族自治州美姑县</t>
  </si>
  <si>
    <t>四川省凉山彝族自治州雷波县</t>
  </si>
  <si>
    <t>贵州省</t>
  </si>
  <si>
    <t>贵州省贵阳市</t>
  </si>
  <si>
    <t>贵州省贵阳市市辖区</t>
  </si>
  <si>
    <t>贵州省贵阳市南明区</t>
  </si>
  <si>
    <t>贵州省贵阳市云岩区</t>
  </si>
  <si>
    <t>贵州省贵阳市花溪区</t>
  </si>
  <si>
    <t>贵州省贵阳市乌当区</t>
  </si>
  <si>
    <t>贵州省贵阳市白云区</t>
  </si>
  <si>
    <t>贵州省贵阳市观山湖区</t>
  </si>
  <si>
    <t>贵州省贵阳市开阳县</t>
  </si>
  <si>
    <t>贵州省贵阳市息烽县</t>
  </si>
  <si>
    <t>贵州省贵阳市修文县</t>
  </si>
  <si>
    <t>贵州省贵阳市清镇市</t>
  </si>
  <si>
    <t>贵州省六盘水市</t>
  </si>
  <si>
    <t>贵州省六盘水市钟山区</t>
  </si>
  <si>
    <t>贵州省六盘水市六枝特区</t>
  </si>
  <si>
    <t>贵州省六盘水市水城县</t>
  </si>
  <si>
    <t>贵州省六盘水市盘县</t>
  </si>
  <si>
    <t>贵州省遵义市</t>
  </si>
  <si>
    <t>贵州省遵义市市辖区</t>
  </si>
  <si>
    <t>贵州省遵义市红花岗区</t>
  </si>
  <si>
    <t>贵州省遵义市汇川区</t>
  </si>
  <si>
    <t>贵州省遵义市遵义县</t>
  </si>
  <si>
    <t>贵州省遵义市桐梓县</t>
  </si>
  <si>
    <t>贵州省遵义市绥阳县</t>
  </si>
  <si>
    <t>贵州省遵义市正安县</t>
  </si>
  <si>
    <t>贵州省遵义市道真仡佬族苗族自治县</t>
  </si>
  <si>
    <t>贵州省遵义市务川仡佬族苗族自治县</t>
  </si>
  <si>
    <t>贵州省遵义市凤冈县</t>
  </si>
  <si>
    <t>贵州省遵义市湄潭县</t>
  </si>
  <si>
    <t>贵州省遵义市余庆县</t>
  </si>
  <si>
    <t>贵州省遵义市习水县</t>
  </si>
  <si>
    <t>贵州省遵义市赤水市</t>
  </si>
  <si>
    <t>贵州省遵义市仁怀市</t>
  </si>
  <si>
    <t>贵州省安顺市</t>
  </si>
  <si>
    <t>贵州省安顺市市辖区</t>
  </si>
  <si>
    <t>贵州省安顺市西秀区</t>
  </si>
  <si>
    <t>贵州省安顺市平坝县</t>
  </si>
  <si>
    <t>贵州省安顺市普定县</t>
  </si>
  <si>
    <t>贵州省安顺市镇宁布依族苗族自治县</t>
  </si>
  <si>
    <t>贵州省安顺市关岭布依族苗族自治县</t>
  </si>
  <si>
    <t>贵州省安顺市紫云苗族布依族自治县</t>
  </si>
  <si>
    <t>贵州省毕节市</t>
  </si>
  <si>
    <t>贵州省毕节市市辖区</t>
  </si>
  <si>
    <t>贵州省毕节市七星关区</t>
  </si>
  <si>
    <t>贵州省毕节市大方县</t>
  </si>
  <si>
    <t>贵州省毕节市黔西县</t>
  </si>
  <si>
    <t>贵州省毕节市金沙县</t>
  </si>
  <si>
    <t>贵州省毕节市织金县</t>
  </si>
  <si>
    <t>贵州省毕节市纳雍县</t>
  </si>
  <si>
    <t>贵州省毕节市威宁彝族回族苗族自治县</t>
  </si>
  <si>
    <t>贵州省毕节市赫章县</t>
  </si>
  <si>
    <t>贵州省铜仁市</t>
  </si>
  <si>
    <t>贵州省铜仁市市辖区</t>
  </si>
  <si>
    <t>贵州省铜仁市碧江区</t>
  </si>
  <si>
    <t>贵州省铜仁市万山区</t>
  </si>
  <si>
    <t>贵州省铜仁市江口县</t>
  </si>
  <si>
    <t>贵州省铜仁市玉屏侗族自治县</t>
  </si>
  <si>
    <t>贵州省铜仁市石阡县</t>
  </si>
  <si>
    <t>贵州省铜仁市思南县</t>
  </si>
  <si>
    <t>贵州省铜仁市印江土家族苗族自治县</t>
  </si>
  <si>
    <t>贵州省铜仁市德江县</t>
  </si>
  <si>
    <t>贵州省铜仁市沿河土家族自治县</t>
  </si>
  <si>
    <t>贵州省铜仁市松桃苗族自治县</t>
  </si>
  <si>
    <t>贵州省黔西南布依族苗族自治州</t>
  </si>
  <si>
    <t>贵州省黔西南布依族苗族自治州兴义市</t>
  </si>
  <si>
    <t>贵州省黔西南布依族苗族自治州兴仁县</t>
  </si>
  <si>
    <t>贵州省黔西南布依族苗族自治州普安县</t>
  </si>
  <si>
    <t>贵州省黔西南布依族苗族自治州晴隆县</t>
  </si>
  <si>
    <t>贵州省黔西南布依族苗族自治州贞丰县</t>
  </si>
  <si>
    <t>贵州省黔西南布依族苗族自治州望谟县</t>
  </si>
  <si>
    <t>贵州省黔西南布依族苗族自治州册亨县</t>
  </si>
  <si>
    <t>贵州省黔西南布依族苗族自治州安龙县</t>
  </si>
  <si>
    <t>贵州省黔东南苗族侗族自治州</t>
  </si>
  <si>
    <t>贵州省黔东南苗族侗族自治州凯里市</t>
  </si>
  <si>
    <t>贵州省黔东南苗族侗族自治州黄平县</t>
  </si>
  <si>
    <t>贵州省黔东南苗族侗族自治州施秉县</t>
  </si>
  <si>
    <t>贵州省黔东南苗族侗族自治州三穗县</t>
  </si>
  <si>
    <t>贵州省黔东南苗族侗族自治州镇远县</t>
  </si>
  <si>
    <t>贵州省黔东南苗族侗族自治州岑巩县</t>
  </si>
  <si>
    <t>贵州省黔东南苗族侗族自治州天柱县</t>
  </si>
  <si>
    <t>贵州省黔东南苗族侗族自治州锦屏县</t>
  </si>
  <si>
    <t>贵州省黔东南苗族侗族自治州剑河县</t>
  </si>
  <si>
    <t>贵州省黔东南苗族侗族自治州台江县</t>
  </si>
  <si>
    <t>贵州省黔东南苗族侗族自治州黎平县</t>
  </si>
  <si>
    <t>贵州省黔东南苗族侗族自治州榕江县</t>
  </si>
  <si>
    <t>贵州省黔东南苗族侗族自治州从江县</t>
  </si>
  <si>
    <t>贵州省黔东南苗族侗族自治州雷山县</t>
  </si>
  <si>
    <t>贵州省黔东南苗族侗族自治州麻江县</t>
  </si>
  <si>
    <t>贵州省黔东南苗族侗族自治州丹寨县</t>
  </si>
  <si>
    <t>贵州省黔南布依族苗族自治州</t>
  </si>
  <si>
    <t>贵州省黔南布依族苗族自治州都匀市</t>
  </si>
  <si>
    <t>贵州省黔南布依族苗族自治州福泉市</t>
  </si>
  <si>
    <t>贵州省黔南布依族苗族自治州荔波县</t>
  </si>
  <si>
    <t>贵州省黔南布依族苗族自治州贵定县</t>
  </si>
  <si>
    <t>贵州省黔南布依族苗族自治州瓮安县</t>
  </si>
  <si>
    <t>贵州省黔南布依族苗族自治州独山县</t>
  </si>
  <si>
    <t>贵州省黔南布依族苗族自治州平塘县</t>
  </si>
  <si>
    <t>贵州省黔南布依族苗族自治州罗甸县</t>
  </si>
  <si>
    <t>贵州省黔南布依族苗族自治州长顺县</t>
  </si>
  <si>
    <t>贵州省黔南布依族苗族自治州龙里县</t>
  </si>
  <si>
    <t>贵州省黔南布依族苗族自治州惠水县</t>
  </si>
  <si>
    <t>贵州省黔南布依族苗族自治州三都水族自治县</t>
  </si>
  <si>
    <t>云南省</t>
  </si>
  <si>
    <t>云南省昆明市</t>
  </si>
  <si>
    <t>云南省昆明市市辖区</t>
  </si>
  <si>
    <t>云南省昆明市五华区</t>
  </si>
  <si>
    <t>云南省昆明市盘龙区</t>
  </si>
  <si>
    <t>云南省昆明市官渡区</t>
  </si>
  <si>
    <t>云南省昆明市西山区</t>
  </si>
  <si>
    <t>云南省昆明市东川区</t>
  </si>
  <si>
    <t>云南省昆明市呈贡县</t>
  </si>
  <si>
    <t>云南省昆明市晋宁县</t>
  </si>
  <si>
    <t>云南省昆明市富民县</t>
  </si>
  <si>
    <t>云南省昆明市宜良县</t>
  </si>
  <si>
    <t>云南省昆明市石林彝族自治县</t>
  </si>
  <si>
    <t>云南省昆明市嵩明县</t>
  </si>
  <si>
    <t>云南省昆明市禄劝彝族苗族自治县</t>
  </si>
  <si>
    <t>云南省昆明市寻甸回族彝族自治县</t>
  </si>
  <si>
    <t>云南省昆明市安宁市</t>
  </si>
  <si>
    <t>云南省曲靖市</t>
  </si>
  <si>
    <t>云南省曲靖市市辖区</t>
  </si>
  <si>
    <t>云南省曲靖市麒麟区</t>
  </si>
  <si>
    <t>云南省曲靖市马龙县</t>
  </si>
  <si>
    <t>云南省曲靖市陆良县</t>
  </si>
  <si>
    <t>云南省曲靖市师宗县</t>
  </si>
  <si>
    <t>云南省曲靖市罗平县</t>
  </si>
  <si>
    <t>云南省曲靖市富源县</t>
  </si>
  <si>
    <t>云南省曲靖市会泽县</t>
  </si>
  <si>
    <t>云南省曲靖市沾益县</t>
  </si>
  <si>
    <t>云南省曲靖市宣威市</t>
  </si>
  <si>
    <t>云南省玉溪市</t>
  </si>
  <si>
    <t>云南省玉溪市市辖区</t>
  </si>
  <si>
    <t>云南省玉溪市红塔区</t>
  </si>
  <si>
    <t>云南省玉溪市江川县</t>
  </si>
  <si>
    <t>云南省玉溪市澄江县</t>
  </si>
  <si>
    <t>云南省玉溪市通海县</t>
  </si>
  <si>
    <t>云南省玉溪市华宁县</t>
  </si>
  <si>
    <t>云南省玉溪市易门县</t>
  </si>
  <si>
    <t>云南省玉溪市峨山彝族自治县</t>
  </si>
  <si>
    <t>云南省玉溪市新平彝族傣族自治县</t>
  </si>
  <si>
    <t>云南省玉溪市元江哈尼族彝族傣族自治县</t>
  </si>
  <si>
    <t>云南省保山市</t>
  </si>
  <si>
    <t>云南省保山市市辖区</t>
  </si>
  <si>
    <t>云南省保山市隆阳区</t>
  </si>
  <si>
    <t>云南省保山市施甸县</t>
  </si>
  <si>
    <t>云南省保山市腾冲县</t>
  </si>
  <si>
    <t>云南省保山市龙陵县</t>
  </si>
  <si>
    <t>云南省保山市昌宁县</t>
  </si>
  <si>
    <t>云南省昭通市</t>
  </si>
  <si>
    <t>云南省昭通市市辖区</t>
  </si>
  <si>
    <t>云南省昭通市昭阳区</t>
  </si>
  <si>
    <t>云南省昭通市鲁甸县</t>
  </si>
  <si>
    <t>云南省昭通市巧家县</t>
  </si>
  <si>
    <t>云南省昭通市盐津县</t>
  </si>
  <si>
    <t>云南省昭通市大关县</t>
  </si>
  <si>
    <t>云南省昭通市永善县</t>
  </si>
  <si>
    <t>云南省昭通市绥江县</t>
  </si>
  <si>
    <t>云南省昭通市镇雄县</t>
  </si>
  <si>
    <t>云南省昭通市彝良县</t>
  </si>
  <si>
    <t>云南省昭通市威信县</t>
  </si>
  <si>
    <t>云南省昭通市水富县</t>
  </si>
  <si>
    <t>云南省丽江市</t>
  </si>
  <si>
    <t>云南省丽江市市辖区</t>
  </si>
  <si>
    <t>云南省丽江市古城区</t>
  </si>
  <si>
    <t>云南省丽江市玉龙纳西族自治县</t>
  </si>
  <si>
    <t>云南省丽江市永胜县</t>
  </si>
  <si>
    <t>云南省丽江市华坪县</t>
  </si>
  <si>
    <t>云南省丽江市宁蒗彝族自治县</t>
  </si>
  <si>
    <t>云南省普洱市</t>
  </si>
  <si>
    <t>云南省普洱市市辖区</t>
  </si>
  <si>
    <t>云南省普洱市思茅区</t>
  </si>
  <si>
    <t>云南省普洱市宁洱哈尼族彝族自治县</t>
  </si>
  <si>
    <t>云南省普洱市墨江哈尼族自治县</t>
  </si>
  <si>
    <t>云南省普洱市景东彝族自治县</t>
  </si>
  <si>
    <t>云南省普洱市景谷傣族彝族自治县</t>
  </si>
  <si>
    <t>云南省普洱市镇沅彝族哈尼族拉祜族自治县</t>
  </si>
  <si>
    <t>云南省普洱市江城哈尼族彝族自治县</t>
  </si>
  <si>
    <t>云南省普洱市孟连傣族拉祜族佤族自治县</t>
  </si>
  <si>
    <t>云南省普洱市澜沧拉祜族自治县</t>
  </si>
  <si>
    <t>云南省普洱市西盟佤族自治县</t>
  </si>
  <si>
    <t>云南省临沧市</t>
  </si>
  <si>
    <t>云南省临沧市市辖区</t>
  </si>
  <si>
    <t>云南省临沧市临翔区</t>
  </si>
  <si>
    <t>云南省临沧市凤庆县</t>
  </si>
  <si>
    <t>云南省临沧市云县</t>
  </si>
  <si>
    <t>云南省临沧市永德县</t>
  </si>
  <si>
    <t>云南省临沧市镇康县</t>
  </si>
  <si>
    <t>云南省临沧市双江拉祜族佤族布朗族傣族自治县</t>
  </si>
  <si>
    <t>云南省临沧市耿马傣族佤族自治县</t>
  </si>
  <si>
    <t>云南省临沧市沧源佤族自治县</t>
  </si>
  <si>
    <t>云南省楚雄彝族自治州</t>
  </si>
  <si>
    <t>云南省楚雄彝族自治州楚雄市</t>
  </si>
  <si>
    <t>云南省楚雄彝族自治州双柏县</t>
  </si>
  <si>
    <t>云南省楚雄彝族自治州牟定县</t>
  </si>
  <si>
    <t>云南省楚雄彝族自治州南华县</t>
  </si>
  <si>
    <t>云南省楚雄彝族自治州姚安县</t>
  </si>
  <si>
    <t>云南省楚雄彝族自治州大姚县</t>
  </si>
  <si>
    <t>云南省楚雄彝族自治州永仁县</t>
  </si>
  <si>
    <t>云南省楚雄彝族自治州元谋县</t>
  </si>
  <si>
    <t>云南省楚雄彝族自治州武定县</t>
  </si>
  <si>
    <t>云南省楚雄彝族自治州禄丰县</t>
  </si>
  <si>
    <t>云南省红河哈尼族彝族自治州</t>
  </si>
  <si>
    <t>云南省红河哈尼族彝族自治州个旧市</t>
  </si>
  <si>
    <t>云南省红河哈尼族彝族自治州开远市</t>
  </si>
  <si>
    <t>云南省红河哈尼族彝族自治州蒙自市</t>
  </si>
  <si>
    <t>云南省红河哈尼族彝族自治州弥勒市</t>
  </si>
  <si>
    <t>云南省红河哈尼族彝族自治州屏边苗族自治县</t>
  </si>
  <si>
    <t>云南省红河哈尼族彝族自治州建水县</t>
  </si>
  <si>
    <t>云南省红河哈尼族彝族自治州石屏县</t>
  </si>
  <si>
    <t>云南省红河哈尼族彝族自治州泸西县</t>
  </si>
  <si>
    <t>云南省红河哈尼族彝族自治州元阳县</t>
  </si>
  <si>
    <t>云南省红河哈尼族彝族自治州红河县</t>
  </si>
  <si>
    <t>云南省红河哈尼族彝族自治州金平苗族瑶族傣族自治县</t>
  </si>
  <si>
    <t>云南省红河哈尼族彝族自治州绿春县</t>
  </si>
  <si>
    <t>云南省红河哈尼族彝族自治州河口瑶族自治县</t>
  </si>
  <si>
    <t>云南省文山壮族苗族自治州</t>
  </si>
  <si>
    <t>云南省文山壮族苗族自治州文山市</t>
  </si>
  <si>
    <t>云南省文山壮族苗族自治州砚山县</t>
  </si>
  <si>
    <t>云南省文山壮族苗族自治州西畴县</t>
  </si>
  <si>
    <t>云南省文山壮族苗族自治州麻栗坡县</t>
  </si>
  <si>
    <t>云南省文山壮族苗族自治州马关县</t>
  </si>
  <si>
    <t>云南省文山壮族苗族自治州丘北县</t>
  </si>
  <si>
    <t>云南省文山壮族苗族自治州广南县</t>
  </si>
  <si>
    <t>云南省文山壮族苗族自治州富宁县</t>
  </si>
  <si>
    <t>云南省西双版纳傣族自治州</t>
  </si>
  <si>
    <t>云南省西双版纳傣族自治州景洪市</t>
  </si>
  <si>
    <t>云南省西双版纳傣族自治州勐海县</t>
  </si>
  <si>
    <t>云南省西双版纳傣族自治州勐腊县</t>
  </si>
  <si>
    <t>云南省大理白族自治州</t>
  </si>
  <si>
    <t>云南省大理白族自治州大理市</t>
  </si>
  <si>
    <t>云南省大理白族自治州漾濞彝族自治县</t>
  </si>
  <si>
    <t>云南省大理白族自治州祥云县</t>
  </si>
  <si>
    <t>云南省大理白族自治州宾川县</t>
  </si>
  <si>
    <t>云南省大理白族自治州弥渡县</t>
  </si>
  <si>
    <t>云南省大理白族自治州南涧彝族自治县</t>
  </si>
  <si>
    <t>云南省大理白族自治州巍山彝族回族自治县</t>
  </si>
  <si>
    <t>云南省大理白族自治州永平县</t>
  </si>
  <si>
    <t>云南省大理白族自治州云龙县</t>
  </si>
  <si>
    <t>云南省大理白族自治州洱源县</t>
  </si>
  <si>
    <t>云南省大理白族自治州剑川县</t>
  </si>
  <si>
    <t>云南省大理白族自治州鹤庆县</t>
  </si>
  <si>
    <t>云南省德宏傣族景颇族自治州</t>
  </si>
  <si>
    <t>云南省德宏傣族景颇族自治州瑞丽市</t>
  </si>
  <si>
    <t>云南省德宏傣族景颇族自治州芒市</t>
  </si>
  <si>
    <t>云南省德宏傣族景颇族自治州梁河县</t>
  </si>
  <si>
    <t>云南省德宏傣族景颇族自治州盈江县</t>
  </si>
  <si>
    <t>云南省德宏傣族景颇族自治州陇川县</t>
  </si>
  <si>
    <t>云南省怒江傈僳族自治州</t>
  </si>
  <si>
    <t>云南省怒江傈僳族自治州泸水县</t>
  </si>
  <si>
    <t>云南省怒江傈僳族自治州福贡县</t>
  </si>
  <si>
    <t>云南省怒江傈僳族自治州贡山独龙族怒族自治县</t>
  </si>
  <si>
    <t>云南省怒江傈僳族自治州兰坪白族普米族自治县</t>
  </si>
  <si>
    <t>云南省迪庆藏族自治州</t>
  </si>
  <si>
    <t>云南省迪庆藏族自治州香格里拉县</t>
  </si>
  <si>
    <t>云南省迪庆藏族自治州德钦县</t>
  </si>
  <si>
    <t>云南省迪庆藏族自治州维西傈僳族自治县</t>
  </si>
  <si>
    <t>西藏自治区</t>
  </si>
  <si>
    <t>西藏自治区拉萨市</t>
  </si>
  <si>
    <t>西藏自治区拉萨市市辖区</t>
  </si>
  <si>
    <t>西藏自治区拉萨市城关区</t>
  </si>
  <si>
    <t>西藏自治区拉萨市林周县</t>
  </si>
  <si>
    <t>西藏自治区拉萨市当雄县</t>
  </si>
  <si>
    <t>西藏自治区拉萨市尼木县</t>
  </si>
  <si>
    <t>西藏自治区拉萨市曲水县</t>
  </si>
  <si>
    <t>西藏自治区拉萨市堆龙德庆县</t>
  </si>
  <si>
    <t>西藏自治区拉萨市达孜县</t>
  </si>
  <si>
    <t>西藏自治区拉萨市墨竹工卡县</t>
  </si>
  <si>
    <t>西藏自治区日喀则市</t>
  </si>
  <si>
    <t>西藏自治区日喀则市桑珠孜区</t>
  </si>
  <si>
    <t>西藏自治区日喀则市南木林县</t>
  </si>
  <si>
    <t>西藏自治区日喀则市江孜县</t>
  </si>
  <si>
    <t>西藏自治区日喀则市定日县</t>
  </si>
  <si>
    <t>西藏自治区日喀则市萨迦县</t>
  </si>
  <si>
    <t>西藏自治区日喀则市拉孜县</t>
  </si>
  <si>
    <t>西藏自治区日喀则市昂仁县</t>
  </si>
  <si>
    <t>西藏自治区日喀则市谢通门县</t>
  </si>
  <si>
    <t>西藏自治区日喀则市白朗县</t>
  </si>
  <si>
    <t>西藏自治区日喀则市仁布县</t>
  </si>
  <si>
    <t>西藏自治区日喀则市康马县</t>
  </si>
  <si>
    <t>西藏自治区日喀则市定结县</t>
  </si>
  <si>
    <t>西藏自治区日喀则市仲巴县</t>
  </si>
  <si>
    <t>西藏自治区日喀则市亚东县</t>
  </si>
  <si>
    <t>西藏自治区日喀则市吉隆县</t>
  </si>
  <si>
    <t>西藏自治区日喀则市聂拉木县</t>
  </si>
  <si>
    <t>西藏自治区日喀则市萨嘎县</t>
  </si>
  <si>
    <t>西藏自治区日喀则市岗巴县</t>
  </si>
  <si>
    <t>西藏自治区昌都地区</t>
  </si>
  <si>
    <t>西藏自治区昌都地区昌都县</t>
  </si>
  <si>
    <t>西藏自治区昌都地区江达县</t>
  </si>
  <si>
    <t>西藏自治区昌都地区贡觉县</t>
  </si>
  <si>
    <t>西藏自治区昌都地区类乌齐县</t>
  </si>
  <si>
    <t>西藏自治区昌都地区丁青县</t>
  </si>
  <si>
    <t>西藏自治区昌都地区察雅县</t>
  </si>
  <si>
    <t>西藏自治区昌都地区八宿县</t>
  </si>
  <si>
    <t>西藏自治区昌都地区左贡县</t>
  </si>
  <si>
    <t>西藏自治区昌都地区芒康县</t>
  </si>
  <si>
    <t>西藏自治区昌都地区洛隆县</t>
  </si>
  <si>
    <t>西藏自治区昌都地区边坝县</t>
  </si>
  <si>
    <t>西藏自治区山南地区</t>
  </si>
  <si>
    <t>西藏自治区山南地区乃东县</t>
  </si>
  <si>
    <t>西藏自治区山南地区扎囊县</t>
  </si>
  <si>
    <t>西藏自治区山南地区贡嘎县</t>
  </si>
  <si>
    <t>西藏自治区山南地区桑日县</t>
  </si>
  <si>
    <t>西藏自治区山南地区琼结县</t>
  </si>
  <si>
    <t>西藏自治区山南地区曲松县</t>
  </si>
  <si>
    <t>西藏自治区山南地区措美县</t>
  </si>
  <si>
    <t>西藏自治区山南地区洛扎县</t>
  </si>
  <si>
    <t>西藏自治区山南地区加查县</t>
  </si>
  <si>
    <t>西藏自治区山南地区隆子县</t>
  </si>
  <si>
    <t>西藏自治区山南地区错那县</t>
  </si>
  <si>
    <t>西藏自治区山南地区浪卡子县</t>
  </si>
  <si>
    <t>西藏自治区那曲地区</t>
  </si>
  <si>
    <t>西藏自治区那曲地区那曲县</t>
  </si>
  <si>
    <t>西藏自治区那曲地区嘉黎县</t>
  </si>
  <si>
    <t>西藏自治区那曲地区比如县</t>
  </si>
  <si>
    <t>西藏自治区那曲地区聂荣县</t>
  </si>
  <si>
    <t>西藏自治区那曲地区安多县</t>
  </si>
  <si>
    <t>西藏自治区那曲地区申扎县</t>
  </si>
  <si>
    <t>西藏自治区那曲地区索县</t>
  </si>
  <si>
    <t>西藏自治区那曲地区班戈县</t>
  </si>
  <si>
    <t>西藏自治区那曲地区巴青县</t>
  </si>
  <si>
    <t>西藏自治区那曲地区尼玛县</t>
  </si>
  <si>
    <t>西藏自治区那曲地区双湖县</t>
  </si>
  <si>
    <t>西藏自治区阿里地区</t>
  </si>
  <si>
    <t>西藏自治区阿里地区普兰县</t>
  </si>
  <si>
    <t>西藏自治区阿里地区札达县</t>
  </si>
  <si>
    <t>西藏自治区阿里地区噶尔县</t>
  </si>
  <si>
    <t>西藏自治区阿里地区日土县</t>
  </si>
  <si>
    <t>西藏自治区阿里地区革吉县</t>
  </si>
  <si>
    <t>西藏自治区阿里地区改则县</t>
  </si>
  <si>
    <t>西藏自治区阿里地区措勤县</t>
  </si>
  <si>
    <t>西藏自治区林芝地区</t>
  </si>
  <si>
    <t>西藏自治区林芝地区林芝县</t>
  </si>
  <si>
    <t>西藏自治区林芝地区工布江达县</t>
  </si>
  <si>
    <t>西藏自治区林芝地区米林县</t>
  </si>
  <si>
    <t>西藏自治区林芝地区墨脱县</t>
  </si>
  <si>
    <t>西藏自治区林芝地区波密县</t>
  </si>
  <si>
    <t>西藏自治区林芝地区察隅县</t>
  </si>
  <si>
    <t>西藏自治区林芝地区朗县</t>
  </si>
  <si>
    <t>陕西省</t>
  </si>
  <si>
    <t>陕西省西安市</t>
  </si>
  <si>
    <t>陕西省西安市市辖区</t>
  </si>
  <si>
    <t>陕西省西安市新城区</t>
  </si>
  <si>
    <t>陕西省西安市碑林区</t>
  </si>
  <si>
    <t>陕西省西安市莲湖区</t>
  </si>
  <si>
    <t>陕西省西安市灞桥区</t>
  </si>
  <si>
    <t>陕西省西安市未央区</t>
  </si>
  <si>
    <t>陕西省西安市雁塔区</t>
  </si>
  <si>
    <t>陕西省西安市阎良区</t>
  </si>
  <si>
    <t>陕西省西安市临潼区</t>
  </si>
  <si>
    <t>陕西省西安市长安区</t>
  </si>
  <si>
    <t>陕西省西安市蓝田县</t>
  </si>
  <si>
    <t>陕西省西安市周至县</t>
  </si>
  <si>
    <t>陕西省西安市户县</t>
  </si>
  <si>
    <t>陕西省西安市高陵县</t>
  </si>
  <si>
    <t>陕西省铜川市</t>
  </si>
  <si>
    <t>陕西省铜川市市辖区</t>
  </si>
  <si>
    <t>陕西省铜川市王益区</t>
  </si>
  <si>
    <t>陕西省铜川市印台区</t>
  </si>
  <si>
    <t>陕西省铜川市耀州区</t>
  </si>
  <si>
    <t>陕西省铜川市宜君县</t>
  </si>
  <si>
    <t>陕西省宝鸡市</t>
  </si>
  <si>
    <t>陕西省宝鸡市市辖区</t>
  </si>
  <si>
    <t>陕西省宝鸡市渭滨区</t>
  </si>
  <si>
    <t>陕西省宝鸡市金台区</t>
  </si>
  <si>
    <t>陕西省宝鸡市陈仓区</t>
  </si>
  <si>
    <t>陕西省宝鸡市凤翔县</t>
  </si>
  <si>
    <t>陕西省宝鸡市岐山县</t>
  </si>
  <si>
    <t>陕西省宝鸡市扶风县</t>
  </si>
  <si>
    <t>陕西省宝鸡市眉县</t>
  </si>
  <si>
    <t>陕西省宝鸡市陇县</t>
  </si>
  <si>
    <t>陕西省宝鸡市千阳县</t>
  </si>
  <si>
    <t>陕西省宝鸡市麟游县</t>
  </si>
  <si>
    <t>陕西省宝鸡市凤县</t>
  </si>
  <si>
    <t>陕西省宝鸡市太白县</t>
  </si>
  <si>
    <t>陕西省咸阳市</t>
  </si>
  <si>
    <t>陕西省咸阳市市辖区</t>
  </si>
  <si>
    <t>陕西省咸阳市秦都区</t>
  </si>
  <si>
    <t>陕西省咸阳市杨凌区</t>
  </si>
  <si>
    <t>陕西省咸阳市渭城区</t>
  </si>
  <si>
    <t>陕西省咸阳市三原县</t>
  </si>
  <si>
    <t>陕西省咸阳市泾阳县</t>
  </si>
  <si>
    <t>陕西省咸阳市乾县</t>
  </si>
  <si>
    <t>陕西省咸阳市礼泉县</t>
  </si>
  <si>
    <t>陕西省咸阳市永寿县</t>
  </si>
  <si>
    <t>陕西省咸阳市彬县</t>
  </si>
  <si>
    <t>陕西省咸阳市长武县</t>
  </si>
  <si>
    <t>陕西省咸阳市旬邑县</t>
  </si>
  <si>
    <t>陕西省咸阳市淳化县</t>
  </si>
  <si>
    <t>陕西省咸阳市武功县</t>
  </si>
  <si>
    <t>陕西省咸阳市兴平市</t>
  </si>
  <si>
    <t>陕西省渭南市</t>
  </si>
  <si>
    <t>陕西省渭南市市辖区</t>
  </si>
  <si>
    <t>陕西省渭南市临渭区</t>
  </si>
  <si>
    <t>陕西省渭南市华县</t>
  </si>
  <si>
    <t>陕西省渭南市潼关县</t>
  </si>
  <si>
    <t>陕西省渭南市大荔县</t>
  </si>
  <si>
    <t>陕西省渭南市合阳县</t>
  </si>
  <si>
    <t>陕西省渭南市澄城县</t>
  </si>
  <si>
    <t>陕西省渭南市蒲城县</t>
  </si>
  <si>
    <t>陕西省渭南市白水县</t>
  </si>
  <si>
    <t>陕西省渭南市富平县</t>
  </si>
  <si>
    <t>陕西省渭南市韩城市</t>
  </si>
  <si>
    <t>陕西省渭南市华阴市</t>
  </si>
  <si>
    <t>陕西省延安市</t>
  </si>
  <si>
    <t>陕西省延安市市辖区</t>
  </si>
  <si>
    <t>陕西省延安市宝塔区</t>
  </si>
  <si>
    <t>陕西省延安市延长县</t>
  </si>
  <si>
    <t>陕西省延安市延川县</t>
  </si>
  <si>
    <t>陕西省延安市子长县</t>
  </si>
  <si>
    <t>陕西省延安市安塞县</t>
  </si>
  <si>
    <t>陕西省延安市志丹县</t>
  </si>
  <si>
    <t>陕西省延安市吴起县</t>
  </si>
  <si>
    <t>陕西省延安市甘泉县</t>
  </si>
  <si>
    <t>陕西省延安市富县</t>
  </si>
  <si>
    <t>陕西省延安市洛川县</t>
  </si>
  <si>
    <t>陕西省延安市宜川县</t>
  </si>
  <si>
    <t>陕西省延安市黄龙县</t>
  </si>
  <si>
    <t>陕西省延安市黄陵县</t>
  </si>
  <si>
    <t>陕西省汉中市</t>
  </si>
  <si>
    <t>陕西省汉中市市辖区</t>
  </si>
  <si>
    <t>陕西省汉中市汉台区</t>
  </si>
  <si>
    <t>陕西省汉中市南郑县</t>
  </si>
  <si>
    <t>陕西省汉中市城固县</t>
  </si>
  <si>
    <t>陕西省汉中市洋县</t>
  </si>
  <si>
    <t>陕西省汉中市西乡县</t>
  </si>
  <si>
    <t>陕西省汉中市勉县</t>
  </si>
  <si>
    <t>陕西省汉中市宁强县</t>
  </si>
  <si>
    <t>陕西省汉中市略阳县</t>
  </si>
  <si>
    <t>陕西省汉中市镇巴县</t>
  </si>
  <si>
    <t>陕西省汉中市留坝县</t>
  </si>
  <si>
    <t>陕西省汉中市佛坪县</t>
  </si>
  <si>
    <t>陕西省榆林市</t>
  </si>
  <si>
    <t>陕西省榆林市市辖区</t>
  </si>
  <si>
    <t>陕西省榆林市榆阳区</t>
  </si>
  <si>
    <t>陕西省榆林市神木县</t>
  </si>
  <si>
    <t>陕西省榆林市府谷县</t>
  </si>
  <si>
    <t>陕西省榆林市横山县</t>
  </si>
  <si>
    <t>陕西省榆林市靖边县</t>
  </si>
  <si>
    <t>陕西省榆林市定边县</t>
  </si>
  <si>
    <t>陕西省榆林市绥德县</t>
  </si>
  <si>
    <t>陕西省榆林市米脂县</t>
  </si>
  <si>
    <t>陕西省榆林市佳县</t>
  </si>
  <si>
    <t>陕西省榆林市吴堡县</t>
  </si>
  <si>
    <t>陕西省榆林市清涧县</t>
  </si>
  <si>
    <t>陕西省榆林市子洲县</t>
  </si>
  <si>
    <t>陕西省安康市</t>
  </si>
  <si>
    <t>陕西省安康市市辖区</t>
  </si>
  <si>
    <t>陕西省安康市汉滨区</t>
  </si>
  <si>
    <t>陕西省安康市汉阴县</t>
  </si>
  <si>
    <t>陕西省安康市石泉县</t>
  </si>
  <si>
    <t>陕西省安康市宁陕县</t>
  </si>
  <si>
    <t>陕西省安康市紫阳县</t>
  </si>
  <si>
    <t>陕西省安康市岚皋县</t>
  </si>
  <si>
    <t>陕西省安康市平利县</t>
  </si>
  <si>
    <t>陕西省安康市镇坪县</t>
  </si>
  <si>
    <t>陕西省安康市旬阳县</t>
  </si>
  <si>
    <t>陕西省安康市白河县</t>
  </si>
  <si>
    <t>陕西省商洛市</t>
  </si>
  <si>
    <t>陕西省商洛市市辖区</t>
  </si>
  <si>
    <t>陕西省商洛市商州区</t>
  </si>
  <si>
    <t>陕西省商洛市洛南县</t>
  </si>
  <si>
    <t>陕西省商洛市丹凤县</t>
  </si>
  <si>
    <t>陕西省商洛市商南县</t>
  </si>
  <si>
    <t>陕西省商洛市山阳县</t>
  </si>
  <si>
    <t>陕西省商洛市镇安县</t>
  </si>
  <si>
    <t>陕西省商洛市柞水县</t>
  </si>
  <si>
    <t>甘肃省</t>
  </si>
  <si>
    <t>甘肃省兰州市</t>
  </si>
  <si>
    <t>甘肃省兰州市市辖区</t>
  </si>
  <si>
    <t>甘肃省兰州市城关区</t>
  </si>
  <si>
    <t>甘肃省兰州市七里河区</t>
  </si>
  <si>
    <t>甘肃省兰州市西固区</t>
  </si>
  <si>
    <t>甘肃省兰州市安宁区</t>
  </si>
  <si>
    <t>甘肃省兰州市红古区</t>
  </si>
  <si>
    <t>甘肃省兰州市永登县</t>
  </si>
  <si>
    <t>甘肃省兰州市皋兰县</t>
  </si>
  <si>
    <t>甘肃省兰州市榆中县</t>
  </si>
  <si>
    <t>甘肃省嘉峪关市</t>
  </si>
  <si>
    <t>甘肃省嘉峪关市市辖区</t>
  </si>
  <si>
    <t>甘肃省金昌市</t>
  </si>
  <si>
    <t>甘肃省金昌市市辖区</t>
  </si>
  <si>
    <t>甘肃省金昌市金川区</t>
  </si>
  <si>
    <t>甘肃省金昌市永昌县</t>
  </si>
  <si>
    <t>甘肃省白银市</t>
  </si>
  <si>
    <t>甘肃省白银市市辖区</t>
  </si>
  <si>
    <t>甘肃省白银市白银区</t>
  </si>
  <si>
    <t>甘肃省白银市平川区</t>
  </si>
  <si>
    <t>甘肃省白银市靖远县</t>
  </si>
  <si>
    <t>甘肃省白银市会宁县</t>
  </si>
  <si>
    <t>甘肃省白银市景泰县</t>
  </si>
  <si>
    <t>甘肃省天水市</t>
  </si>
  <si>
    <t>甘肃省天水市市辖区</t>
  </si>
  <si>
    <t>甘肃省天水市秦城区</t>
  </si>
  <si>
    <t>甘肃省天水市麦积区</t>
  </si>
  <si>
    <t>甘肃省天水市清水县</t>
  </si>
  <si>
    <t>甘肃省天水市秦安县</t>
  </si>
  <si>
    <t>甘肃省天水市甘谷县</t>
  </si>
  <si>
    <t>甘肃省天水市武山县</t>
  </si>
  <si>
    <t>甘肃省天水市张家川回族自治县</t>
  </si>
  <si>
    <t>甘肃省武威市</t>
  </si>
  <si>
    <t>甘肃省武威市市辖区</t>
  </si>
  <si>
    <t>甘肃省武威市凉州区</t>
  </si>
  <si>
    <t>甘肃省武威市民勤县</t>
  </si>
  <si>
    <t>甘肃省武威市古浪县</t>
  </si>
  <si>
    <t>甘肃省武威市天祝藏族自治县</t>
  </si>
  <si>
    <t>甘肃省张掖市</t>
  </si>
  <si>
    <t>甘肃省张掖市市辖区</t>
  </si>
  <si>
    <t>甘肃省张掖市甘州区</t>
  </si>
  <si>
    <t>甘肃省张掖市肃南裕固族自治县</t>
  </si>
  <si>
    <t>甘肃省张掖市民乐县</t>
  </si>
  <si>
    <t>甘肃省张掖市临泽县</t>
  </si>
  <si>
    <t>甘肃省张掖市高台县</t>
  </si>
  <si>
    <t>甘肃省张掖市山丹县</t>
  </si>
  <si>
    <t>甘肃省平凉市</t>
  </si>
  <si>
    <t>甘肃省平凉市市辖区</t>
  </si>
  <si>
    <t>甘肃省平凉市崆峒区</t>
  </si>
  <si>
    <t>甘肃省平凉市泾川县</t>
  </si>
  <si>
    <t>甘肃省平凉市灵台县</t>
  </si>
  <si>
    <t>甘肃省平凉市崇信县</t>
  </si>
  <si>
    <t>甘肃省平凉市华亭县</t>
  </si>
  <si>
    <t>甘肃省平凉市庄浪县</t>
  </si>
  <si>
    <t>甘肃省平凉市静宁县</t>
  </si>
  <si>
    <t>甘肃省酒泉市</t>
  </si>
  <si>
    <t>甘肃省酒泉市市辖区</t>
  </si>
  <si>
    <t>甘肃省酒泉市肃州区</t>
  </si>
  <si>
    <t>甘肃省酒泉市金塔县</t>
  </si>
  <si>
    <t>甘肃省酒泉市瓜州县</t>
  </si>
  <si>
    <t>甘肃省酒泉市肃北蒙古族自治县</t>
  </si>
  <si>
    <t>甘肃省酒泉市阿克塞哈萨克族自治县</t>
  </si>
  <si>
    <t>甘肃省酒泉市玉门市</t>
  </si>
  <si>
    <t>甘肃省酒泉市敦煌市</t>
  </si>
  <si>
    <t>甘肃省庆阳市</t>
  </si>
  <si>
    <t>甘肃省庆阳市市辖区</t>
  </si>
  <si>
    <t>甘肃省庆阳市西峰区</t>
  </si>
  <si>
    <t>甘肃省庆阳市庆城县</t>
  </si>
  <si>
    <t>甘肃省庆阳市环县</t>
  </si>
  <si>
    <t>甘肃省庆阳市华池县</t>
  </si>
  <si>
    <t>甘肃省庆阳市合水县</t>
  </si>
  <si>
    <t>甘肃省庆阳市正宁县</t>
  </si>
  <si>
    <t>甘肃省庆阳市宁县</t>
  </si>
  <si>
    <t>甘肃省庆阳市镇原县</t>
  </si>
  <si>
    <t>甘肃省定西市</t>
  </si>
  <si>
    <t>甘肃省定西市市辖区</t>
  </si>
  <si>
    <t>甘肃省定西市安定区</t>
  </si>
  <si>
    <t>甘肃省定西市通渭县</t>
  </si>
  <si>
    <t>甘肃省定西市陇西县</t>
  </si>
  <si>
    <t>甘肃省定西市渭源县</t>
  </si>
  <si>
    <t>甘肃省定西市临洮县</t>
  </si>
  <si>
    <t>甘肃省定西市漳县</t>
  </si>
  <si>
    <t>甘肃省定西市岷县</t>
  </si>
  <si>
    <t>甘肃省陇南市</t>
  </si>
  <si>
    <t>甘肃省陇南市市辖区</t>
  </si>
  <si>
    <t>甘肃省陇南市武都区</t>
  </si>
  <si>
    <t>甘肃省陇南市成县</t>
  </si>
  <si>
    <t>甘肃省陇南市文县</t>
  </si>
  <si>
    <t>甘肃省陇南市宕昌县</t>
  </si>
  <si>
    <t>甘肃省陇南市康县</t>
  </si>
  <si>
    <t>甘肃省陇南市西和县</t>
  </si>
  <si>
    <t>甘肃省陇南市礼县</t>
  </si>
  <si>
    <t>甘肃省陇南市徽县</t>
  </si>
  <si>
    <t>甘肃省陇南市两当县</t>
  </si>
  <si>
    <t>甘肃省临夏回族自治州</t>
  </si>
  <si>
    <t>甘肃省临夏回族自治州临夏市</t>
  </si>
  <si>
    <t>甘肃省临夏回族自治州临夏县</t>
  </si>
  <si>
    <t>甘肃省临夏回族自治州康乐县</t>
  </si>
  <si>
    <t>甘肃省临夏回族自治州永靖县</t>
  </si>
  <si>
    <t>甘肃省临夏回族自治州广河县</t>
  </si>
  <si>
    <t>甘肃省临夏回族自治州和政县</t>
  </si>
  <si>
    <t>甘肃省临夏回族自治州东乡族自治县</t>
  </si>
  <si>
    <t>甘肃省临夏回族自治州积石山保安族东乡族撒拉族自治县</t>
  </si>
  <si>
    <t>甘肃省甘南藏族自治州</t>
  </si>
  <si>
    <t>甘肃省甘南藏族自治州合作市</t>
  </si>
  <si>
    <t>甘肃省甘南藏族自治州临潭县</t>
  </si>
  <si>
    <t>甘肃省甘南藏族自治州卓尼县</t>
  </si>
  <si>
    <t>甘肃省甘南藏族自治州舟曲县</t>
  </si>
  <si>
    <t>甘肃省甘南藏族自治州迭部县</t>
  </si>
  <si>
    <t>甘肃省甘南藏族自治州玛曲县</t>
  </si>
  <si>
    <t>甘肃省甘南藏族自治州碌曲县</t>
  </si>
  <si>
    <t>甘肃省甘南藏族自治州夏河县</t>
  </si>
  <si>
    <t>青海省</t>
  </si>
  <si>
    <t>青海省西宁市</t>
  </si>
  <si>
    <t>青海省西宁市市辖区</t>
  </si>
  <si>
    <t>青海省西宁市城东区</t>
  </si>
  <si>
    <t>青海省西宁市城中区</t>
  </si>
  <si>
    <t>青海省西宁市城西区</t>
  </si>
  <si>
    <t>青海省西宁市城北区</t>
  </si>
  <si>
    <t>青海省西宁市大通回族土族自治县</t>
  </si>
  <si>
    <t>青海省西宁市湟中县</t>
  </si>
  <si>
    <t>青海省西宁市湟源县</t>
  </si>
  <si>
    <t>青海省海东市</t>
  </si>
  <si>
    <t>青海省海东市乐都区</t>
  </si>
  <si>
    <t>青海省海东市平安县</t>
  </si>
  <si>
    <t>青海省海东市民和回族土族自治县</t>
  </si>
  <si>
    <t>青海省海东市互助土族自治县</t>
  </si>
  <si>
    <t>青海省海东市化隆回族自治县</t>
  </si>
  <si>
    <t>青海省海东市循化撒拉族自治县</t>
  </si>
  <si>
    <t>青海省海北藏族自治州</t>
  </si>
  <si>
    <t>青海省海北藏族自治州门源回族自治县</t>
  </si>
  <si>
    <t>青海省海北藏族自治州祁连县</t>
  </si>
  <si>
    <t>青海省海北藏族自治州海晏县</t>
  </si>
  <si>
    <t>青海省海北藏族自治州刚察县</t>
  </si>
  <si>
    <t>青海省黄南藏族自治州</t>
  </si>
  <si>
    <t>青海省黄南藏族自治州同仁县</t>
  </si>
  <si>
    <t>青海省黄南藏族自治州尖扎县</t>
  </si>
  <si>
    <t>青海省黄南藏族自治州泽库县</t>
  </si>
  <si>
    <t>青海省黄南藏族自治州河南蒙古族自治县</t>
  </si>
  <si>
    <t>青海省海南藏族自治州</t>
  </si>
  <si>
    <t>青海省海南藏族自治州共和县</t>
  </si>
  <si>
    <t>青海省海南藏族自治州同德县</t>
  </si>
  <si>
    <t>青海省海南藏族自治州贵德县</t>
  </si>
  <si>
    <t>青海省海南藏族自治州兴海县</t>
  </si>
  <si>
    <t>青海省海南藏族自治州贵南县</t>
  </si>
  <si>
    <t>青海省果洛藏族自治州</t>
  </si>
  <si>
    <t>青海省果洛藏族自治州玛沁县</t>
  </si>
  <si>
    <t>青海省果洛藏族自治州班玛县</t>
  </si>
  <si>
    <t>青海省果洛藏族自治州甘德县</t>
  </si>
  <si>
    <t>青海省果洛藏族自治州达日县</t>
  </si>
  <si>
    <t>青海省果洛藏族自治州久治县</t>
  </si>
  <si>
    <t>青海省果洛藏族自治州玛多县</t>
  </si>
  <si>
    <t>青海省玉树藏族自治州</t>
  </si>
  <si>
    <t>青海省玉树藏族自治州玉树市</t>
  </si>
  <si>
    <t>青海省玉树藏族自治州杂多县</t>
  </si>
  <si>
    <t>青海省玉树藏族自治州称多县</t>
  </si>
  <si>
    <t>青海省玉树藏族自治州治多县</t>
  </si>
  <si>
    <t>青海省玉树藏族自治州囊谦县</t>
  </si>
  <si>
    <t>青海省玉树藏族自治州曲麻莱县</t>
  </si>
  <si>
    <t>青海省海西蒙古族藏族自治州</t>
  </si>
  <si>
    <t>青海省海西蒙古族藏族自治州格尔木市</t>
  </si>
  <si>
    <t>青海省海西蒙古族藏族自治州德令哈市</t>
  </si>
  <si>
    <t>青海省海西蒙古族藏族自治州乌兰县</t>
  </si>
  <si>
    <t>青海省海西蒙古族藏族自治州都兰县</t>
  </si>
  <si>
    <t>青海省海西蒙古族藏族自治州天峻县</t>
  </si>
  <si>
    <t>宁夏回族自治区</t>
  </si>
  <si>
    <t>宁夏回族自治区银川市</t>
  </si>
  <si>
    <t>宁夏回族自治区银川市市辖区</t>
  </si>
  <si>
    <t>宁夏回族自治区银川市兴庆区</t>
  </si>
  <si>
    <t>宁夏回族自治区银川市西夏区</t>
  </si>
  <si>
    <t>宁夏回族自治区银川市金凤区</t>
  </si>
  <si>
    <t>宁夏回族自治区银川市永宁县</t>
  </si>
  <si>
    <t>宁夏回族自治区银川市贺兰县</t>
  </si>
  <si>
    <t>宁夏回族自治区银川市灵武市</t>
  </si>
  <si>
    <t>宁夏回族自治区石嘴山市</t>
  </si>
  <si>
    <t>宁夏回族自治区石嘴山市市辖区</t>
  </si>
  <si>
    <t>宁夏回族自治区石嘴山市大武口区</t>
  </si>
  <si>
    <t>宁夏回族自治区石嘴山市惠农区</t>
  </si>
  <si>
    <t>宁夏回族自治区石嘴山市平罗县</t>
  </si>
  <si>
    <t>宁夏回族自治区吴忠市</t>
  </si>
  <si>
    <t>宁夏回族自治区吴忠市市辖区</t>
  </si>
  <si>
    <t>宁夏回族自治区吴忠市利通区</t>
  </si>
  <si>
    <t>宁夏回族自治区吴忠市红寺堡区</t>
  </si>
  <si>
    <t>宁夏回族自治区吴忠市盐池县</t>
  </si>
  <si>
    <t>宁夏回族自治区吴忠市同心县</t>
  </si>
  <si>
    <t>宁夏回族自治区吴忠市青铜峡市</t>
  </si>
  <si>
    <t>宁夏回族自治区固原市</t>
  </si>
  <si>
    <t>宁夏回族自治区固原市市辖区</t>
  </si>
  <si>
    <t>宁夏回族自治区固原市原州区</t>
  </si>
  <si>
    <t>宁夏回族自治区固原市西吉县</t>
  </si>
  <si>
    <t>宁夏回族自治区固原市隆德县</t>
  </si>
  <si>
    <t>宁夏回族自治区固原市泾源县</t>
  </si>
  <si>
    <t>宁夏回族自治区固原市彭阳县</t>
  </si>
  <si>
    <t>宁夏回族自治区中卫市</t>
  </si>
  <si>
    <t>宁夏回族自治区中卫市市辖区</t>
  </si>
  <si>
    <t>宁夏回族自治区中卫市沙坡头区</t>
  </si>
  <si>
    <t>宁夏回族自治区中卫市中宁县</t>
  </si>
  <si>
    <t>宁夏回族自治区中卫市海原县</t>
  </si>
  <si>
    <t>新疆维吾尔自治区</t>
  </si>
  <si>
    <t>新疆维吾尔自治区乌鲁木齐市</t>
  </si>
  <si>
    <t>新疆维吾尔自治区乌鲁木齐市市辖区</t>
  </si>
  <si>
    <t>新疆维吾尔自治区乌鲁木齐市天山区</t>
  </si>
  <si>
    <t>新疆维吾尔自治区乌鲁木齐市沙依巴克区</t>
  </si>
  <si>
    <t>新疆维吾尔自治区乌鲁木齐市新市区</t>
  </si>
  <si>
    <t>新疆维吾尔自治区乌鲁木齐市水磨沟区</t>
  </si>
  <si>
    <t>新疆维吾尔自治区乌鲁木齐市头屯河区</t>
  </si>
  <si>
    <t>新疆维吾尔自治区乌鲁木齐市达坂城区</t>
  </si>
  <si>
    <t>新疆维吾尔自治区乌鲁木齐市米东区</t>
  </si>
  <si>
    <t>新疆维吾尔自治区乌鲁木齐市乌鲁木齐县</t>
  </si>
  <si>
    <t>新疆维吾尔自治区克拉玛依市</t>
  </si>
  <si>
    <t>新疆维吾尔自治区克拉玛依市市辖区</t>
  </si>
  <si>
    <t>新疆维吾尔自治区克拉玛依市独山子区</t>
  </si>
  <si>
    <t>新疆维吾尔自治区克拉玛依市克拉玛依区</t>
  </si>
  <si>
    <t>新疆维吾尔自治区克拉玛依市白碱滩区</t>
  </si>
  <si>
    <t>新疆维吾尔自治区克拉玛依市乌尔禾区</t>
  </si>
  <si>
    <t>新疆维吾尔自治区吐鲁番地区</t>
  </si>
  <si>
    <t>新疆维吾尔自治区吐鲁番地区吐鲁番市</t>
  </si>
  <si>
    <t>新疆维吾尔自治区吐鲁番地区鄯善县</t>
  </si>
  <si>
    <t>新疆维吾尔自治区吐鲁番地区托克逊县</t>
  </si>
  <si>
    <t>新疆维吾尔自治区哈密地区</t>
  </si>
  <si>
    <t>新疆维吾尔自治区哈密地区哈密市</t>
  </si>
  <si>
    <t>新疆维吾尔自治区哈密地区巴里坤哈萨克自治县</t>
  </si>
  <si>
    <t>新疆维吾尔自治区哈密地区伊吾县</t>
  </si>
  <si>
    <t>新疆维吾尔自治区昌吉回族自治州</t>
  </si>
  <si>
    <t>新疆维吾尔自治区昌吉回族自治州昌吉市</t>
  </si>
  <si>
    <t>新疆维吾尔自治区昌吉回族自治州阜康市</t>
  </si>
  <si>
    <t>新疆维吾尔自治区昌吉回族自治州呼图壁县</t>
  </si>
  <si>
    <t>新疆维吾尔自治区昌吉回族自治州玛纳斯县</t>
  </si>
  <si>
    <t>新疆维吾尔自治区昌吉回族自治州奇台县</t>
  </si>
  <si>
    <t>新疆维吾尔自治区昌吉回族自治州吉木萨尔县</t>
  </si>
  <si>
    <t>新疆维吾尔自治区昌吉回族自治州木垒哈萨克自治县</t>
  </si>
  <si>
    <t>新疆维吾尔自治区博尔塔拉蒙古自治州</t>
  </si>
  <si>
    <t>新疆维吾尔自治区博尔塔拉蒙古自治州博乐市</t>
  </si>
  <si>
    <t>新疆维吾尔自治区博尔塔拉蒙古自治州阿拉山口市</t>
  </si>
  <si>
    <t>新疆维吾尔自治区博尔塔拉蒙古自治州精河县</t>
  </si>
  <si>
    <t>新疆维吾尔自治区博尔塔拉蒙古自治州温泉县</t>
  </si>
  <si>
    <t>新疆维吾尔自治区巴音郭楞蒙古自治州</t>
  </si>
  <si>
    <t>新疆维吾尔自治区巴音郭楞蒙古自治州库尔勒市</t>
  </si>
  <si>
    <t>新疆维吾尔自治区巴音郭楞蒙古自治州轮台县</t>
  </si>
  <si>
    <t>新疆维吾尔自治区巴音郭楞蒙古自治州尉犁县</t>
  </si>
  <si>
    <t>新疆维吾尔自治区巴音郭楞蒙古自治州若羌县</t>
  </si>
  <si>
    <t>新疆维吾尔自治区巴音郭楞蒙古自治州且末县</t>
  </si>
  <si>
    <t>新疆维吾尔自治区巴音郭楞蒙古自治州焉耆回族自治县</t>
  </si>
  <si>
    <t>新疆维吾尔自治区巴音郭楞蒙古自治州和静县</t>
  </si>
  <si>
    <t>新疆维吾尔自治区巴音郭楞蒙古自治州和硕县</t>
  </si>
  <si>
    <t>新疆维吾尔自治区巴音郭楞蒙古自治州博湖县</t>
  </si>
  <si>
    <t>新疆维吾尔自治区阿克苏地区</t>
  </si>
  <si>
    <t>新疆维吾尔自治区阿克苏地区阿克苏市</t>
  </si>
  <si>
    <t>新疆维吾尔自治区阿克苏地区温宿县</t>
  </si>
  <si>
    <t>新疆维吾尔自治区阿克苏地区库车县</t>
  </si>
  <si>
    <t>新疆维吾尔自治区阿克苏地区沙雅县</t>
  </si>
  <si>
    <t>新疆维吾尔自治区阿克苏地区新和县</t>
  </si>
  <si>
    <t>新疆维吾尔自治区阿克苏地区拜城县</t>
  </si>
  <si>
    <t>新疆维吾尔自治区阿克苏地区乌什县</t>
  </si>
  <si>
    <t>新疆维吾尔自治区阿克苏地区阿瓦提县</t>
  </si>
  <si>
    <t>新疆维吾尔自治区阿克苏地区柯坪县</t>
  </si>
  <si>
    <t>新疆维吾尔自治区克孜勒苏柯尔克孜自治州</t>
  </si>
  <si>
    <t>新疆维吾尔自治区克孜勒苏柯尔克孜自治州阿图什市</t>
  </si>
  <si>
    <t>新疆维吾尔自治区克孜勒苏柯尔克孜自治州阿克陶县</t>
  </si>
  <si>
    <t>新疆维吾尔自治区克孜勒苏柯尔克孜自治州阿合奇县</t>
  </si>
  <si>
    <t>新疆维吾尔自治区克孜勒苏柯尔克孜自治州乌恰县</t>
  </si>
  <si>
    <t>新疆维吾尔自治区喀什地区</t>
  </si>
  <si>
    <t>新疆维吾尔自治区喀什地区喀什市</t>
  </si>
  <si>
    <t>新疆维吾尔自治区喀什地区疏附县</t>
  </si>
  <si>
    <t>新疆维吾尔自治区喀什地区疏勒县</t>
  </si>
  <si>
    <t>新疆维吾尔自治区喀什地区英吉沙县</t>
  </si>
  <si>
    <t>新疆维吾尔自治区喀什地区泽普县</t>
  </si>
  <si>
    <t>新疆维吾尔自治区喀什地区莎车县</t>
  </si>
  <si>
    <t>新疆维吾尔自治区喀什地区叶城县</t>
  </si>
  <si>
    <t>新疆维吾尔自治区喀什地区麦盖提县</t>
  </si>
  <si>
    <t>新疆维吾尔自治区喀什地区岳普湖县</t>
  </si>
  <si>
    <t>新疆维吾尔自治区喀什地区伽师县</t>
  </si>
  <si>
    <t>新疆维吾尔自治区喀什地区巴楚县</t>
  </si>
  <si>
    <t>新疆维吾尔自治区喀什地区塔什库尔干塔吉克自治县</t>
  </si>
  <si>
    <t>新疆维吾尔自治区和田地区</t>
  </si>
  <si>
    <t>新疆维吾尔自治区和田地区和田市</t>
  </si>
  <si>
    <t>新疆维吾尔自治区和田地区和田县</t>
  </si>
  <si>
    <t>新疆维吾尔自治区和田地区墨玉县</t>
  </si>
  <si>
    <t>新疆维吾尔自治区和田地区皮山县</t>
  </si>
  <si>
    <t>新疆维吾尔自治区和田地区洛浦县</t>
  </si>
  <si>
    <t>新疆维吾尔自治区和田地区策勒县</t>
  </si>
  <si>
    <t>新疆维吾尔自治区和田地区于田县</t>
  </si>
  <si>
    <t>新疆维吾尔自治区和田地区民丰县</t>
  </si>
  <si>
    <t>新疆维吾尔自治区伊犁哈萨克自治州</t>
  </si>
  <si>
    <t>新疆维吾尔自治区伊犁哈萨克自治州伊宁市</t>
  </si>
  <si>
    <t>新疆维吾尔自治区伊犁哈萨克自治州奎屯市</t>
  </si>
  <si>
    <t>新疆维吾尔自治区伊犁哈萨克自治州伊宁县</t>
  </si>
  <si>
    <t>新疆维吾尔自治区伊犁哈萨克自治州察布查尔锡伯自治县</t>
  </si>
  <si>
    <t>新疆维吾尔自治区伊犁哈萨克自治州霍城县</t>
  </si>
  <si>
    <t>新疆维吾尔自治区伊犁哈萨克自治州巩留县</t>
  </si>
  <si>
    <t>新疆维吾尔自治区伊犁哈萨克自治州新源县</t>
  </si>
  <si>
    <t>新疆维吾尔自治区伊犁哈萨克自治州昭苏县</t>
  </si>
  <si>
    <t>新疆维吾尔自治区伊犁哈萨克自治州特克斯县</t>
  </si>
  <si>
    <t>新疆维吾尔自治区伊犁哈萨克自治州尼勒克县</t>
  </si>
  <si>
    <t>新疆维吾尔自治区塔城地区</t>
  </si>
  <si>
    <t>新疆维吾尔自治区塔城地区塔城市</t>
  </si>
  <si>
    <t>新疆维吾尔自治区塔城地区乌苏市</t>
  </si>
  <si>
    <t>新疆维吾尔自治区塔城地区额敏县</t>
  </si>
  <si>
    <t>新疆维吾尔自治区塔城地区沙湾县</t>
  </si>
  <si>
    <t>新疆维吾尔自治区塔城地区托里县</t>
  </si>
  <si>
    <t>新疆维吾尔自治区塔城地区裕民县</t>
  </si>
  <si>
    <t>新疆维吾尔自治区塔城地区和布克赛尔蒙古自治县</t>
  </si>
  <si>
    <t>新疆维吾尔自治区阿勒泰地区</t>
  </si>
  <si>
    <t>新疆维吾尔自治区阿勒泰地区阿勒泰市</t>
  </si>
  <si>
    <t>新疆维吾尔自治区阿勒泰地区布尔津县</t>
  </si>
  <si>
    <t>新疆维吾尔自治区阿勒泰地区富蕴县</t>
  </si>
  <si>
    <t>新疆维吾尔自治区阿勒泰地区福海县</t>
  </si>
  <si>
    <t>新疆维吾尔自治区阿勒泰地区哈巴河县</t>
  </si>
  <si>
    <t>新疆维吾尔自治区阿勒泰地区青河县</t>
  </si>
  <si>
    <t>新疆维吾尔自治区阿勒泰地区吉木乃县</t>
  </si>
  <si>
    <t>新疆维吾尔自治区自治区直辖县行政区划</t>
  </si>
  <si>
    <t>新疆维吾尔自治区石河子市</t>
  </si>
  <si>
    <t>新疆维吾尔自治区阿拉尔市</t>
  </si>
  <si>
    <t>新疆维吾尔自治区图木舒克市</t>
  </si>
  <si>
    <t>新疆维吾尔自治区五家渠市</t>
  </si>
  <si>
    <t>台湾省</t>
  </si>
  <si>
    <t>香港特别行政区</t>
  </si>
  <si>
    <t>澳门特别行政区</t>
  </si>
  <si>
    <r>
      <rPr>
        <sz val="10"/>
        <rFont val="黑体"/>
        <charset val="134"/>
      </rPr>
      <t>码值：</t>
    </r>
    <r>
      <rPr>
        <sz val="10"/>
        <rFont val="Nimbus Roman No9 L"/>
        <charset val="134"/>
      </rPr>
      <t>pressureIndex</t>
    </r>
  </si>
  <si>
    <t>pressureIndex</t>
  </si>
  <si>
    <t>压力测试种类</t>
  </si>
  <si>
    <t>足值率</t>
  </si>
  <si>
    <t>抵质押率</t>
  </si>
  <si>
    <t>最新认定价值</t>
  </si>
  <si>
    <r>
      <rPr>
        <sz val="10"/>
        <rFont val="黑体"/>
        <charset val="134"/>
      </rPr>
      <t>码值：</t>
    </r>
    <r>
      <rPr>
        <sz val="10"/>
        <rFont val="Nimbus Roman No9 L"/>
        <charset val="134"/>
      </rPr>
      <t>dimensionType</t>
    </r>
  </si>
  <si>
    <t>dimensionType</t>
  </si>
  <si>
    <t>压力测试参数</t>
  </si>
  <si>
    <t>贷款投向</t>
  </si>
  <si>
    <t>押品所在地</t>
  </si>
  <si>
    <r>
      <rPr>
        <sz val="10"/>
        <rFont val="黑体"/>
        <charset val="134"/>
      </rPr>
      <t>码值：</t>
    </r>
    <r>
      <rPr>
        <sz val="10"/>
        <rFont val="Nimbus Roman No9 L"/>
        <charset val="134"/>
      </rPr>
      <t>Trademarket</t>
    </r>
  </si>
  <si>
    <t>Trademarket</t>
  </si>
  <si>
    <t>股票交易场所</t>
  </si>
  <si>
    <t>美国证券交易所</t>
  </si>
  <si>
    <t>AS</t>
  </si>
  <si>
    <t>阿姆斯特丹证券交易所</t>
  </si>
  <si>
    <t>AT</t>
  </si>
  <si>
    <t>雅典证券交易所</t>
  </si>
  <si>
    <t>AX</t>
  </si>
  <si>
    <t>澳大利亚证券交易所</t>
  </si>
  <si>
    <t>BK</t>
  </si>
  <si>
    <t>泰国证券交易所</t>
  </si>
  <si>
    <t>BO</t>
  </si>
  <si>
    <t>孟买证券交易所</t>
  </si>
  <si>
    <t>BR</t>
  </si>
  <si>
    <t>布鲁塞尔证券交易所</t>
  </si>
  <si>
    <t>CM</t>
  </si>
  <si>
    <t>科伦坡证券交易所</t>
  </si>
  <si>
    <t>CO</t>
  </si>
  <si>
    <t>哥本哈根证券交易所</t>
  </si>
  <si>
    <t>CR</t>
  </si>
  <si>
    <t>加拉加斯证券交易所</t>
  </si>
  <si>
    <t>DE</t>
  </si>
  <si>
    <t>德国证券交易所</t>
  </si>
  <si>
    <t>法兰克福证券交易所</t>
  </si>
  <si>
    <t>HE</t>
  </si>
  <si>
    <t>赫尔辛基证券交易所</t>
  </si>
  <si>
    <t>HK</t>
  </si>
  <si>
    <t>香港证券交易所</t>
  </si>
  <si>
    <t>冰岛证券交易所</t>
  </si>
  <si>
    <t>IS</t>
  </si>
  <si>
    <t>河内证券交易所</t>
  </si>
  <si>
    <t>JK</t>
  </si>
  <si>
    <t>印尼证券交易所</t>
  </si>
  <si>
    <t>JO</t>
  </si>
  <si>
    <t>南非约翰内斯堡证券交易所</t>
  </si>
  <si>
    <t>KL</t>
  </si>
  <si>
    <t>吉隆坡交易所</t>
  </si>
  <si>
    <t>KS</t>
  </si>
  <si>
    <t>韩国证券交易所</t>
  </si>
  <si>
    <t>L</t>
  </si>
  <si>
    <t>伦敦证券交易所</t>
  </si>
  <si>
    <t>LS</t>
  </si>
  <si>
    <t>里斯本证券交易所</t>
  </si>
  <si>
    <t>MC</t>
  </si>
  <si>
    <t>马德里证券交易所</t>
  </si>
  <si>
    <t>ME</t>
  </si>
  <si>
    <t>莫斯科证券交易所</t>
  </si>
  <si>
    <t>MI</t>
  </si>
  <si>
    <t>意大利证券交易所</t>
  </si>
  <si>
    <t>MX</t>
  </si>
  <si>
    <t>墨西哥证券交易所</t>
  </si>
  <si>
    <t>纽约证券交易所</t>
  </si>
  <si>
    <t>NQ</t>
  </si>
  <si>
    <t>股份转让市场</t>
  </si>
  <si>
    <t>NS</t>
  </si>
  <si>
    <t>印度国家证券交易所</t>
  </si>
  <si>
    <t>NZ</t>
  </si>
  <si>
    <t>新西兰证券交易所</t>
  </si>
  <si>
    <t>O</t>
  </si>
  <si>
    <t>纳斯达克</t>
  </si>
  <si>
    <t>OL</t>
  </si>
  <si>
    <t>奥斯陆证券交易所</t>
  </si>
  <si>
    <t>OS</t>
  </si>
  <si>
    <t>大阪证券交易所</t>
  </si>
  <si>
    <t>PA</t>
  </si>
  <si>
    <t>巴黎证券交易所</t>
  </si>
  <si>
    <t>PR</t>
  </si>
  <si>
    <t>布拉格证券交易所</t>
  </si>
  <si>
    <t>菲律宾证券交易所</t>
  </si>
  <si>
    <t>RS</t>
  </si>
  <si>
    <t>俄罗斯证券交易所</t>
  </si>
  <si>
    <t>SA</t>
  </si>
  <si>
    <t>圣保罗证券交易所</t>
  </si>
  <si>
    <t>SG</t>
  </si>
  <si>
    <t>斯图加特证券交易所</t>
  </si>
  <si>
    <t>SH</t>
  </si>
  <si>
    <t>上海证券交易所</t>
  </si>
  <si>
    <t>SI</t>
  </si>
  <si>
    <t>新加坡交易所</t>
  </si>
  <si>
    <t>ST</t>
  </si>
  <si>
    <t>斯德哥尔摩证券交易所</t>
  </si>
  <si>
    <t>SW</t>
  </si>
  <si>
    <t>瑞士证券交易所</t>
  </si>
  <si>
    <t>SZ</t>
  </si>
  <si>
    <t>深圳证券交易所</t>
  </si>
  <si>
    <t>东京证券交易所</t>
  </si>
  <si>
    <t>TA</t>
  </si>
  <si>
    <t>特拉维夫证券交易所</t>
  </si>
  <si>
    <t>TO</t>
  </si>
  <si>
    <t>多伦多证券交易所</t>
  </si>
  <si>
    <t>TW</t>
  </si>
  <si>
    <t>台湾证券交易所</t>
  </si>
  <si>
    <t>V</t>
  </si>
  <si>
    <t>加拿大风险资本交易所</t>
  </si>
  <si>
    <t>VI</t>
  </si>
  <si>
    <t>维也纳证券交易所</t>
  </si>
  <si>
    <r>
      <rPr>
        <sz val="10"/>
        <rFont val="黑体"/>
        <charset val="134"/>
      </rPr>
      <t>码值：</t>
    </r>
    <r>
      <rPr>
        <sz val="10"/>
        <rFont val="Nimbus Roman No9 L"/>
        <charset val="134"/>
      </rPr>
      <t>AssistStatus</t>
    </r>
  </si>
  <si>
    <t>AssistStatus</t>
  </si>
  <si>
    <r>
      <rPr>
        <sz val="10"/>
        <rFont val="黑体"/>
        <charset val="134"/>
      </rPr>
      <t>码值：</t>
    </r>
    <r>
      <rPr>
        <sz val="10"/>
        <rFont val="Nimbus Roman No9 L"/>
        <charset val="134"/>
      </rPr>
      <t>WorkBench</t>
    </r>
  </si>
  <si>
    <t>WorkBench</t>
  </si>
  <si>
    <t>普通工作台</t>
  </si>
  <si>
    <t>领导工作台</t>
  </si>
  <si>
    <t>码值：ClrRightStatus</t>
  </si>
  <si>
    <t>StoreType</t>
  </si>
  <si>
    <t>权证介质</t>
  </si>
  <si>
    <t>电子权证</t>
  </si>
  <si>
    <t>纸质权证</t>
  </si>
  <si>
    <t>PackageStatus</t>
  </si>
  <si>
    <t>表名</t>
  </si>
  <si>
    <t>是否为空</t>
  </si>
  <si>
    <t>字段注释</t>
  </si>
  <si>
    <t>修订人</t>
  </si>
  <si>
    <t>修订日期</t>
  </si>
  <si>
    <t>audit_info</t>
  </si>
  <si>
    <t>SERIALNO</t>
  </si>
  <si>
    <t>NO</t>
  </si>
  <si>
    <t>流水号</t>
  </si>
  <si>
    <t>2023/01/12</t>
  </si>
  <si>
    <t>OPERATOR</t>
  </si>
  <si>
    <t>操作人</t>
  </si>
  <si>
    <t>SERVERADDRESS</t>
  </si>
  <si>
    <t>服务器地址</t>
  </si>
  <si>
    <t>CLIENTADDRESS</t>
  </si>
  <si>
    <t>客户端地址</t>
  </si>
  <si>
    <t>APPLICATION</t>
  </si>
  <si>
    <t>应用</t>
  </si>
  <si>
    <t>ADDITIONALINFO</t>
  </si>
  <si>
    <t>附加信息</t>
  </si>
  <si>
    <t>RECORDTYPE</t>
  </si>
  <si>
    <t>RECORDACTION</t>
  </si>
  <si>
    <t>记录动作</t>
  </si>
  <si>
    <t>RECORDTARGET</t>
  </si>
  <si>
    <t>记录目标</t>
  </si>
  <si>
    <t>AUDITTIME</t>
  </si>
  <si>
    <t>修改时间</t>
  </si>
  <si>
    <t>INPUTORGID</t>
  </si>
  <si>
    <t>登记机构</t>
  </si>
  <si>
    <t>INPUTUSERID</t>
  </si>
  <si>
    <t>登记人</t>
  </si>
  <si>
    <t>INPUTDATE</t>
  </si>
  <si>
    <t>登记日期</t>
  </si>
  <si>
    <t>UPDATEORGID</t>
  </si>
  <si>
    <t>更新机构</t>
  </si>
  <si>
    <t>UPDATEUSERID</t>
  </si>
  <si>
    <t>更新人</t>
  </si>
  <si>
    <t>UPDATEDATE</t>
  </si>
  <si>
    <t>更新日期</t>
  </si>
  <si>
    <t>AUDITDATA</t>
  </si>
  <si>
    <t>varchar(2000)</t>
  </si>
  <si>
    <t>审计数据</t>
  </si>
  <si>
    <t>appraisal_agency</t>
  </si>
  <si>
    <t>APPRAISALORGID</t>
  </si>
  <si>
    <t>评估机构编号</t>
  </si>
  <si>
    <t>APPRAISALORGNAME</t>
  </si>
  <si>
    <t>评估机构名称</t>
  </si>
  <si>
    <t>APPRAISALORGTYPE</t>
  </si>
  <si>
    <t>评估公司类型
02  特殊资产准入
03  特别准入;一次性)</t>
  </si>
  <si>
    <t>APPRAISALORGADDRESS</t>
  </si>
  <si>
    <t>机构地址</t>
  </si>
  <si>
    <t>APPRAISALORGSTATUS</t>
  </si>
  <si>
    <t>评估机构状态</t>
  </si>
  <si>
    <r>
      <rPr>
        <sz val="9"/>
        <rFont val="Arial"/>
        <charset val="0"/>
      </rPr>
      <t>1-</t>
    </r>
    <r>
      <rPr>
        <sz val="9"/>
        <rFont val="宋体-简"/>
        <charset val="134"/>
      </rPr>
      <t>生效、</t>
    </r>
    <r>
      <rPr>
        <sz val="9"/>
        <rFont val="Arial"/>
        <charset val="0"/>
      </rPr>
      <t>2-</t>
    </r>
    <r>
      <rPr>
        <sz val="9"/>
        <rFont val="宋体-简"/>
        <charset val="134"/>
      </rPr>
      <t>失效</t>
    </r>
  </si>
  <si>
    <t>REGISTERDATE</t>
  </si>
  <si>
    <t>机构成立日期</t>
  </si>
  <si>
    <t>ASSETSTYPE</t>
  </si>
  <si>
    <t>可评估资产类型</t>
  </si>
  <si>
    <t>QUALIFYLEVEL</t>
  </si>
  <si>
    <t>执业资质等级</t>
  </si>
  <si>
    <t>ASSESSAREA</t>
  </si>
  <si>
    <t>CERTNAME</t>
  </si>
  <si>
    <t>资质证书名称</t>
  </si>
  <si>
    <t>CERTID</t>
  </si>
  <si>
    <t>资质证书标号</t>
  </si>
  <si>
    <t>APPROVEDATE</t>
  </si>
  <si>
    <t>资质核准日期</t>
  </si>
  <si>
    <t>APPROVEENDDATE</t>
  </si>
  <si>
    <t>资质到期日期</t>
  </si>
  <si>
    <t>DEPARTMENTCARE</t>
  </si>
  <si>
    <t>行业主管部门是否年审</t>
  </si>
  <si>
    <t>INPUTUSER</t>
  </si>
  <si>
    <t>基本信息录入岗</t>
  </si>
  <si>
    <t>CONTINUETIME</t>
  </si>
  <si>
    <t>int</t>
  </si>
  <si>
    <t>连续执业时间</t>
  </si>
  <si>
    <t>BUSINESSSCOPE</t>
  </si>
  <si>
    <t>经营范围</t>
  </si>
  <si>
    <t>REGISTERCAPITAL</t>
  </si>
  <si>
    <t>注册资金</t>
  </si>
  <si>
    <t>LEGALREP</t>
  </si>
  <si>
    <t>ORGTELEPHONE</t>
  </si>
  <si>
    <t>评估机构电话</t>
  </si>
  <si>
    <t>ORGFAX</t>
  </si>
  <si>
    <t>评估机构传真电话</t>
  </si>
  <si>
    <t>ORGEMAIL</t>
  </si>
  <si>
    <t>评估机构电子邮箱</t>
  </si>
  <si>
    <t>APPRAISERNUM</t>
  </si>
  <si>
    <t>评估师数量</t>
  </si>
  <si>
    <t>ISINBLACKLIST</t>
  </si>
  <si>
    <t>char(1)</t>
  </si>
  <si>
    <t>是否黑名单</t>
  </si>
  <si>
    <t>PARENTORGID</t>
  </si>
  <si>
    <t>所属分行</t>
  </si>
  <si>
    <t>APPRAISALCERTID</t>
  </si>
  <si>
    <t>评估机构证件号码</t>
  </si>
  <si>
    <t>APPRAISALCERTTYPE</t>
  </si>
  <si>
    <t>评估机构证件类型</t>
  </si>
  <si>
    <t>RELACERTID</t>
  </si>
  <si>
    <t>关联机构</t>
  </si>
  <si>
    <t>TEMPSAVEFLAG</t>
  </si>
  <si>
    <t>暂存标志</t>
  </si>
  <si>
    <t>ISINALERTLIST</t>
  </si>
  <si>
    <t>警示标识</t>
  </si>
  <si>
    <t>REMARK</t>
  </si>
  <si>
    <t>varchar(1000)</t>
  </si>
  <si>
    <t>CORPORGID</t>
  </si>
  <si>
    <t>法人机构编号</t>
  </si>
  <si>
    <t>ISONLINE</t>
  </si>
  <si>
    <t>线上评估是否启用</t>
  </si>
  <si>
    <t>appraisal_agency_apply</t>
  </si>
  <si>
    <t>EVENTSERIALNO</t>
  </si>
  <si>
    <t>评估机构事件编号</t>
  </si>
  <si>
    <t>APPLYTYPE</t>
  </si>
  <si>
    <t>APPROVESTATUS</t>
  </si>
  <si>
    <t>申请状态</t>
  </si>
  <si>
    <t>FLOWTYPE</t>
  </si>
  <si>
    <t>流程类型</t>
  </si>
  <si>
    <t>appraisal_agency_appraise</t>
  </si>
  <si>
    <t>EVENTTYPE</t>
  </si>
  <si>
    <t>事件类型</t>
  </si>
  <si>
    <t>CLRID</t>
  </si>
  <si>
    <t>抵质押品编号</t>
  </si>
  <si>
    <t>BUSINESSTYPE</t>
  </si>
  <si>
    <t>委托业务类型</t>
  </si>
  <si>
    <t>PERSONFEEDBACK</t>
  </si>
  <si>
    <t>OTHERFEEDBACK</t>
  </si>
  <si>
    <t>其他反馈事项</t>
  </si>
  <si>
    <t>FEEDMATTERADD</t>
  </si>
  <si>
    <t>人员反馈事项补充</t>
  </si>
  <si>
    <t>APPRAISALDATE</t>
  </si>
  <si>
    <t>评价日期</t>
  </si>
  <si>
    <t>OPINION</t>
  </si>
  <si>
    <t>varchar(4000)</t>
  </si>
  <si>
    <t>人员总体意见</t>
  </si>
  <si>
    <t>appraisal_agency_cooperation</t>
  </si>
  <si>
    <t>AGRMID</t>
  </si>
  <si>
    <t>合作协议编号</t>
  </si>
  <si>
    <t>APPRAISALAPPLYNO</t>
  </si>
  <si>
    <t>评估机构流程申请编号</t>
  </si>
  <si>
    <t>EFFECTIVEDATE</t>
  </si>
  <si>
    <t>生效日期</t>
  </si>
  <si>
    <t>EXPIRYDATE</t>
  </si>
  <si>
    <t>失效日期</t>
  </si>
  <si>
    <t>STATUS</t>
  </si>
  <si>
    <t>开展业务种类</t>
  </si>
  <si>
    <t>RISKDEPOSIT</t>
  </si>
  <si>
    <t>风险保证金金额</t>
  </si>
  <si>
    <t>PAYDEPOSITDATE</t>
  </si>
  <si>
    <t>风险保证金交存日期</t>
  </si>
  <si>
    <t>RELIEVEDEPOSITDATES</t>
  </si>
  <si>
    <t>合作协议解除日期</t>
  </si>
  <si>
    <t>AGGREEMENTSIGNDATE</t>
  </si>
  <si>
    <t>合作协议书签署日期</t>
  </si>
  <si>
    <t>AGRMTXT</t>
  </si>
  <si>
    <t>合作协议文本</t>
  </si>
  <si>
    <t>appraisal_agency_event</t>
  </si>
  <si>
    <t>RELATIVESERIALNO</t>
  </si>
  <si>
    <t>关联解除事件编号</t>
  </si>
  <si>
    <t>EVENTSTATUS</t>
  </si>
  <si>
    <t>事件状态</t>
  </si>
  <si>
    <t>EVENTRULES</t>
  </si>
  <si>
    <t>事件规则</t>
  </si>
  <si>
    <t>EVENTREASON</t>
  </si>
  <si>
    <t>事件说明</t>
  </si>
  <si>
    <t>AFFIRMUSERID</t>
  </si>
  <si>
    <t>认定人</t>
  </si>
  <si>
    <t>AFFIRMORGID</t>
  </si>
  <si>
    <t>认定机构</t>
  </si>
  <si>
    <t>AFFIRMDATE</t>
  </si>
  <si>
    <t>认定时间</t>
  </si>
  <si>
    <t>RELEASEUSERID</t>
  </si>
  <si>
    <t>解除人</t>
  </si>
  <si>
    <t>RELEASEORGID</t>
  </si>
  <si>
    <t>解除机构</t>
  </si>
  <si>
    <t>RELEASEDATE</t>
  </si>
  <si>
    <t>解除时间</t>
  </si>
  <si>
    <t>RELEASEREASON</t>
  </si>
  <si>
    <t>解除原因</t>
  </si>
  <si>
    <t>appraisal_agency_expenses</t>
  </si>
  <si>
    <t>评估公司组织机构代码证</t>
  </si>
  <si>
    <t>EVALRECORDID</t>
  </si>
  <si>
    <t>评估记录流水号</t>
  </si>
  <si>
    <t>FEENAME</t>
  </si>
  <si>
    <t>费用名称</t>
  </si>
  <si>
    <t>FEEACCOUNT</t>
  </si>
  <si>
    <t>费用金额</t>
  </si>
  <si>
    <t>OCCURDATE</t>
  </si>
  <si>
    <t>费用发生日期</t>
  </si>
  <si>
    <t>appraisal_agency_file</t>
  </si>
  <si>
    <t>FILENO</t>
  </si>
  <si>
    <t>文档编号</t>
  </si>
  <si>
    <t>FILENAME</t>
  </si>
  <si>
    <t>文档名称</t>
  </si>
  <si>
    <t>appraisal_agency_information</t>
  </si>
  <si>
    <t>INFORMATIONTYPE</t>
  </si>
  <si>
    <t>信息类型</t>
  </si>
  <si>
    <t>ATTRIBUTE1</t>
  </si>
  <si>
    <t>联系人列表_姓名;资质情况_资质证书名称，专家信息_姓名，大事信息_标题</t>
  </si>
  <si>
    <t>ATTRIBUTE2</t>
  </si>
  <si>
    <t>联系人列表_电话;资质情况_资质证书标号，专家信息_电话，大事信息_无</t>
  </si>
  <si>
    <t>ATTRIBUTE3</t>
  </si>
  <si>
    <t>联系人列表_所属部门;资质情况_无，专家信息_所属部门，大事信息_无</t>
  </si>
  <si>
    <t>ATTRIBUTE4</t>
  </si>
  <si>
    <t>联系人列表_是否有效;资质情况_执业资质等级，专家信息_无，大事信息_是否有效</t>
  </si>
  <si>
    <t>ATTRIBUTE6</t>
  </si>
  <si>
    <t>联系人列表_无;资质情况_资质核准日期，专家信息_无，大事信息_发生日期</t>
  </si>
  <si>
    <t>ATTRIBUTE7</t>
  </si>
  <si>
    <t>联系人列表_无;资质情况_资质到期日期，专家信息_无，大事信息_无</t>
  </si>
  <si>
    <t>WORKYEARS</t>
  </si>
  <si>
    <t>ATTRIBUTE5</t>
  </si>
  <si>
    <t>联系人列表_无;资质情况_无，专家信息_专业领域，大事信息_事件描述及原因</t>
  </si>
  <si>
    <t>appraisal_agency_qualification</t>
  </si>
  <si>
    <t>ADMITTANCETYPE</t>
  </si>
  <si>
    <t>准入评估类型</t>
  </si>
  <si>
    <t>ISONCEACCESS</t>
  </si>
  <si>
    <t>是否曾经准入</t>
  </si>
  <si>
    <t>ISSPECIALACCESS</t>
  </si>
  <si>
    <t>是否为特殊准入</t>
  </si>
  <si>
    <t>COMPOSITESCOPE</t>
  </si>
  <si>
    <t>评估机构综合得分</t>
  </si>
  <si>
    <t>OCCURYEAR</t>
  </si>
  <si>
    <t>发生年度</t>
  </si>
  <si>
    <t>OCCURREASON</t>
  </si>
  <si>
    <t>发生原因</t>
  </si>
  <si>
    <t>appraisal_apply_relative</t>
  </si>
  <si>
    <t>awe_bizfile_info</t>
  </si>
  <si>
    <t>文件编号;</t>
  </si>
  <si>
    <t>FILEPATH</t>
  </si>
  <si>
    <t>文件路径;</t>
  </si>
  <si>
    <t>FILEDESC</t>
  </si>
  <si>
    <t>文件描述;</t>
  </si>
  <si>
    <t>CATALOGINFO</t>
  </si>
  <si>
    <t>目录详情;</t>
  </si>
  <si>
    <t>ISTEMPORARY</t>
  </si>
  <si>
    <t>是否临时;</t>
  </si>
  <si>
    <t>LATESTDOUSERID</t>
  </si>
  <si>
    <t>最新下载用户;</t>
  </si>
  <si>
    <t>DOWNLOADCOUNT</t>
  </si>
  <si>
    <t>下载次数;</t>
  </si>
  <si>
    <t>CREATEUSER</t>
  </si>
  <si>
    <t>创建人;</t>
  </si>
  <si>
    <t>CREATETIME</t>
  </si>
  <si>
    <t>创建时间</t>
  </si>
  <si>
    <t>信息提示</t>
  </si>
  <si>
    <t>awe_dict_errmsg</t>
  </si>
  <si>
    <t>MSGNO</t>
  </si>
  <si>
    <t>错误编号</t>
  </si>
  <si>
    <t>MSGTYPE</t>
  </si>
  <si>
    <t>错误主题</t>
  </si>
  <si>
    <t>MSGTEXT</t>
  </si>
  <si>
    <t>报告内容</t>
  </si>
  <si>
    <t>ENTEXT</t>
  </si>
  <si>
    <t>图片地址</t>
  </si>
  <si>
    <t>更新时间</t>
  </si>
  <si>
    <t>INPUTTIME</t>
  </si>
  <si>
    <t>录入时间</t>
  </si>
  <si>
    <t>UPDATETIME</t>
  </si>
  <si>
    <t>录入人</t>
  </si>
  <si>
    <t>INPUTORG</t>
  </si>
  <si>
    <t>录入机构</t>
  </si>
  <si>
    <t>UPDATEUSER</t>
  </si>
  <si>
    <t>OW显示模板场景</t>
  </si>
  <si>
    <t>awe_do_catalog</t>
  </si>
  <si>
    <t>DONO</t>
  </si>
  <si>
    <t>显示模板编号</t>
  </si>
  <si>
    <t>DONAME</t>
  </si>
  <si>
    <t>DODESCRIBE</t>
  </si>
  <si>
    <t>描述</t>
  </si>
  <si>
    <t>DOTYPE</t>
  </si>
  <si>
    <t>用途</t>
  </si>
  <si>
    <t>DOCLASS</t>
  </si>
  <si>
    <t>分类</t>
  </si>
  <si>
    <t>ISINUSE</t>
  </si>
  <si>
    <t>COLCOUNT</t>
  </si>
  <si>
    <t>分栏数</t>
  </si>
  <si>
    <t>MODEID</t>
  </si>
  <si>
    <t>风格编号</t>
  </si>
  <si>
    <t>JBOCLASS</t>
  </si>
  <si>
    <t>JBO定义名</t>
  </si>
  <si>
    <t>JBOFROM</t>
  </si>
  <si>
    <t>from子句</t>
  </si>
  <si>
    <t>JBOWHERE</t>
  </si>
  <si>
    <t>查询条件</t>
  </si>
  <si>
    <t>JBOGROUP</t>
  </si>
  <si>
    <t>分组</t>
  </si>
  <si>
    <t>JBOORDER</t>
  </si>
  <si>
    <t>排序</t>
  </si>
  <si>
    <t>BUSINESSPROCESS</t>
  </si>
  <si>
    <t>业务模型</t>
  </si>
  <si>
    <t>EXPORTFLAG</t>
  </si>
  <si>
    <t>导出标志</t>
  </si>
  <si>
    <t>登记时间</t>
  </si>
  <si>
    <t>ISVALIDATE</t>
  </si>
  <si>
    <t>是否启用校验</t>
  </si>
  <si>
    <t>PARENT</t>
  </si>
  <si>
    <t>父模板</t>
  </si>
  <si>
    <t>ISOSFSERVICE</t>
  </si>
  <si>
    <t>是否是OSF服务</t>
  </si>
  <si>
    <t>DW字段验证规则</t>
  </si>
  <si>
    <t>awe_do_col_validate</t>
  </si>
  <si>
    <t>COLNAME</t>
  </si>
  <si>
    <t>jbo属性名</t>
  </si>
  <si>
    <t>VALIDATORNAME</t>
  </si>
  <si>
    <t>对应验证规则</t>
  </si>
  <si>
    <t>PARAM1</t>
  </si>
  <si>
    <t>参数</t>
  </si>
  <si>
    <t>PARAM2</t>
  </si>
  <si>
    <t>PARAM3</t>
  </si>
  <si>
    <t>PARAM4</t>
  </si>
  <si>
    <t>PARAM5</t>
  </si>
  <si>
    <t>PARAM6</t>
  </si>
  <si>
    <t>PARAM7</t>
  </si>
  <si>
    <t>PARAM8</t>
  </si>
  <si>
    <t>PARAM9</t>
  </si>
  <si>
    <t>PARAM10</t>
  </si>
  <si>
    <t>编辑状态</t>
  </si>
  <si>
    <t>是否使用</t>
  </si>
  <si>
    <t>OW字段事件</t>
  </si>
  <si>
    <t>awe_do_event</t>
  </si>
  <si>
    <t>EVENT</t>
  </si>
  <si>
    <t>事件名</t>
  </si>
  <si>
    <t>EVENTPARAMS</t>
  </si>
  <si>
    <t>方法执行参数</t>
  </si>
  <si>
    <t>SCRIPT</t>
  </si>
  <si>
    <t>事件执行方法</t>
  </si>
  <si>
    <t>OW脚本方法</t>
  </si>
  <si>
    <t>awe_do_function</t>
  </si>
  <si>
    <t>FUNCTIONNAME</t>
  </si>
  <si>
    <t>方法名</t>
  </si>
  <si>
    <t>OW显示模板编号</t>
  </si>
  <si>
    <t>FUNCTIONPARAMS</t>
  </si>
  <si>
    <t>方法参数</t>
  </si>
  <si>
    <t>FUNCTIONDESC</t>
  </si>
  <si>
    <t>方法描述</t>
  </si>
  <si>
    <t>FUNCTIONBODY</t>
  </si>
  <si>
    <t>方法体</t>
  </si>
  <si>
    <t>OW分组信息</t>
  </si>
  <si>
    <t>awe_do_group</t>
  </si>
  <si>
    <t>DOCKID</t>
  </si>
  <si>
    <t>分组编号</t>
  </si>
  <si>
    <t>DOCKNAME</t>
  </si>
  <si>
    <t>分组名称</t>
  </si>
  <si>
    <t>SORTNO</t>
  </si>
  <si>
    <t>排序号</t>
  </si>
  <si>
    <t>每行列数</t>
  </si>
  <si>
    <t>STYLEID</t>
  </si>
  <si>
    <t>使用样式编号</t>
  </si>
  <si>
    <t>ISEXPAND</t>
  </si>
  <si>
    <t>分组是否展开</t>
  </si>
  <si>
    <t>GROUPBODY2</t>
  </si>
  <si>
    <t>分组体2</t>
  </si>
  <si>
    <t>GROUPBODY1</t>
  </si>
  <si>
    <t>分组体1</t>
  </si>
  <si>
    <t>GROUPBODY</t>
  </si>
  <si>
    <t>分组体</t>
  </si>
  <si>
    <t>GROUPFOOT</t>
  </si>
  <si>
    <t>分组尾</t>
  </si>
  <si>
    <t>GROUPHEAD</t>
  </si>
  <si>
    <t>分组头</t>
  </si>
  <si>
    <t>OW通用js方法</t>
  </si>
  <si>
    <t>awe_do_js_function</t>
  </si>
  <si>
    <t>函数名</t>
  </si>
  <si>
    <t>函数参数</t>
  </si>
  <si>
    <t>INVOKEEXAMPLE</t>
  </si>
  <si>
    <t>函数示例</t>
  </si>
  <si>
    <t>FUNCTIONTYPE</t>
  </si>
  <si>
    <t>函数分类</t>
  </si>
  <si>
    <t>函数描述</t>
  </si>
  <si>
    <t>输入人</t>
  </si>
  <si>
    <t>输入时间</t>
  </si>
  <si>
    <t>OW关键字查询</t>
  </si>
  <si>
    <t>awe_do_keyfilter</t>
  </si>
  <si>
    <t>自动编号</t>
  </si>
  <si>
    <t>验证类型</t>
  </si>
  <si>
    <t>字段名</t>
  </si>
  <si>
    <t>TRADEKEY</t>
  </si>
  <si>
    <t>关键字</t>
  </si>
  <si>
    <t>值</t>
  </si>
  <si>
    <t>TITLE</t>
  </si>
  <si>
    <t>标题</t>
  </si>
  <si>
    <t>HIT</t>
  </si>
  <si>
    <t>点击次数</t>
  </si>
  <si>
    <t>OW显示模板字段信息</t>
  </si>
  <si>
    <t>awe_do_library</t>
  </si>
  <si>
    <t>COLINDEX</t>
  </si>
  <si>
    <t>序号</t>
  </si>
  <si>
    <t>COLTABLENAME</t>
  </si>
  <si>
    <t>JBO类名</t>
  </si>
  <si>
    <t>COLACTUALNAME</t>
  </si>
  <si>
    <t>使用名</t>
  </si>
  <si>
    <t>COLTYPE</t>
  </si>
  <si>
    <t>值类型</t>
  </si>
  <si>
    <t>COLDEFAULTVALUE</t>
  </si>
  <si>
    <t>COLHEADER</t>
  </si>
  <si>
    <t>中文显示</t>
  </si>
  <si>
    <t>COLUNIT</t>
  </si>
  <si>
    <t>显示后缀</t>
  </si>
  <si>
    <t>COLCOLUMNTYPE</t>
  </si>
  <si>
    <t>是否Sum</t>
  </si>
  <si>
    <t>COLEDITSTYLE</t>
  </si>
  <si>
    <t>COLCHECKFORMAT</t>
  </si>
  <si>
    <t>特殊输入格式</t>
  </si>
  <si>
    <t>COLALIGN</t>
  </si>
  <si>
    <t>对齐</t>
  </si>
  <si>
    <t>COLEDITSOURCETYPE</t>
  </si>
  <si>
    <t>COLEDITSOURCE</t>
  </si>
  <si>
    <t>来源描述</t>
  </si>
  <si>
    <t>COLHTMLSTYLE</t>
  </si>
  <si>
    <t>HTML格式</t>
  </si>
  <si>
    <t>COLLIMIT</t>
  </si>
  <si>
    <t>COLVISIBLE</t>
  </si>
  <si>
    <t>是否可见</t>
  </si>
  <si>
    <t>COLREADONLY</t>
  </si>
  <si>
    <t>是否只读</t>
  </si>
  <si>
    <t>COLREQUIRED</t>
  </si>
  <si>
    <t>是否必需</t>
  </si>
  <si>
    <t>COLSORTABLE</t>
  </si>
  <si>
    <t>是否可排序</t>
  </si>
  <si>
    <t>ISFILTER</t>
  </si>
  <si>
    <t>是否查询</t>
  </si>
  <si>
    <t>COLSPAN</t>
  </si>
  <si>
    <t>跨几栏</t>
  </si>
  <si>
    <t>ISAUTOCOMPLETE</t>
  </si>
  <si>
    <t>是否自动完成</t>
  </si>
  <si>
    <t>GROUPID</t>
  </si>
  <si>
    <t>所属组</t>
  </si>
  <si>
    <t>COLFILTERREFID</t>
  </si>
  <si>
    <t>关联的实际字段</t>
  </si>
  <si>
    <t>ISAUDIT</t>
  </si>
  <si>
    <t>是否审计</t>
  </si>
  <si>
    <t>COLFILTERATTRS</t>
  </si>
  <si>
    <t>过滤属性</t>
  </si>
  <si>
    <t>ISUPDATE</t>
  </si>
  <si>
    <t>是否已更新</t>
  </si>
  <si>
    <t>PARENTCOLINDEX</t>
  </si>
  <si>
    <t>父序号</t>
  </si>
  <si>
    <t>TIPS</t>
  </si>
  <si>
    <t>COLINNERBTEVENT</t>
  </si>
  <si>
    <t>内置按钮事件</t>
  </si>
  <si>
    <t>COLFILTEROPTIONS</t>
  </si>
  <si>
    <t>查询操作符定义</t>
  </si>
  <si>
    <t>AUTOCOMPLETEFUN</t>
  </si>
  <si>
    <t>自动完成触发的js函数;</t>
  </si>
  <si>
    <t>OW显示模板样式表</t>
  </si>
  <si>
    <t>awe_do_modes</t>
  </si>
  <si>
    <t>编号</t>
  </si>
  <si>
    <t>MODENAME</t>
  </si>
  <si>
    <t>样式名</t>
  </si>
  <si>
    <t>MODEDESC</t>
  </si>
  <si>
    <t>样式描述</t>
  </si>
  <si>
    <t>CONTROLHEAD</t>
  </si>
  <si>
    <t>控制头文件地址</t>
  </si>
  <si>
    <t>CONTROLFOOT</t>
  </si>
  <si>
    <t>控制尾文件地址</t>
  </si>
  <si>
    <t>GROUPBODYPARSER</t>
  </si>
  <si>
    <t>类型体解析</t>
  </si>
  <si>
    <t>HTMLFOOT</t>
  </si>
  <si>
    <t>text</t>
  </si>
  <si>
    <t>HTML尾</t>
  </si>
  <si>
    <t>HTMLHEAD</t>
  </si>
  <si>
    <t>HTML头</t>
  </si>
  <si>
    <t>分组尾信息</t>
  </si>
  <si>
    <t>分组头信息</t>
  </si>
  <si>
    <t>awe_do_validate</t>
  </si>
  <si>
    <t>验证名</t>
  </si>
  <si>
    <t>VALIDATORTYPE</t>
  </si>
  <si>
    <t>ERRMSG</t>
  </si>
  <si>
    <t>出错信息</t>
  </si>
  <si>
    <t>CONTROLTO</t>
  </si>
  <si>
    <t>对应控件名</t>
  </si>
  <si>
    <t>REGULAR</t>
  </si>
  <si>
    <t>规则</t>
  </si>
  <si>
    <t>CUSFUNCTION</t>
  </si>
  <si>
    <t>COMPARETO</t>
  </si>
  <si>
    <t>比较控件</t>
  </si>
  <si>
    <t>MINVALUE</t>
  </si>
  <si>
    <t>MAXVALUE</t>
  </si>
  <si>
    <t>ISSYSTEM</t>
  </si>
  <si>
    <t>系统保留</t>
  </si>
  <si>
    <t>COMPAREOBJ</t>
  </si>
  <si>
    <t>有条件比较对象</t>
  </si>
  <si>
    <t>VALIDATORTITLE</t>
  </si>
  <si>
    <t>验证类标题</t>
  </si>
  <si>
    <t>业务类型</t>
  </si>
  <si>
    <t>awe_do_validate_catalog</t>
  </si>
  <si>
    <t>CATALOGNO</t>
  </si>
  <si>
    <t>分类编号</t>
  </si>
  <si>
    <t>CATALOGTITLE</t>
  </si>
  <si>
    <t>分类标题</t>
  </si>
  <si>
    <t>参数1</t>
  </si>
  <si>
    <t>参数2</t>
  </si>
  <si>
    <t>参数3</t>
  </si>
  <si>
    <t>参数4</t>
  </si>
  <si>
    <t>参数5</t>
  </si>
  <si>
    <t>参数6</t>
  </si>
  <si>
    <t>参数7</t>
  </si>
  <si>
    <t>ATTRIBUTE8</t>
  </si>
  <si>
    <t>参数8</t>
  </si>
  <si>
    <t>显示模板环境</t>
  </si>
  <si>
    <t>awe_dw_context</t>
  </si>
  <si>
    <t>OBJECTTYPE</t>
  </si>
  <si>
    <t>OBJECTNO</t>
  </si>
  <si>
    <t>对象名</t>
  </si>
  <si>
    <t>CONTENT</t>
  </si>
  <si>
    <t>内容</t>
  </si>
  <si>
    <t>awe_function_info</t>
  </si>
  <si>
    <t>FUNCTIONID</t>
  </si>
  <si>
    <t>功能点id</t>
  </si>
  <si>
    <t>功能点名</t>
  </si>
  <si>
    <t>是否可用</t>
  </si>
  <si>
    <t>APPID</t>
  </si>
  <si>
    <t>菜单ID</t>
  </si>
  <si>
    <t>MODULEID</t>
  </si>
  <si>
    <t>模块ID</t>
  </si>
  <si>
    <t>MODULENAME</t>
  </si>
  <si>
    <t>模块名</t>
  </si>
  <si>
    <t>ENTRYURL</t>
  </si>
  <si>
    <t>允许的URL</t>
  </si>
  <si>
    <t>功能点URL</t>
  </si>
  <si>
    <t>awe_function_url</t>
  </si>
  <si>
    <t>功能点ID</t>
  </si>
  <si>
    <t>RIGHTPOINTTYPE</t>
  </si>
  <si>
    <t>权限类型</t>
  </si>
  <si>
    <t>RIGHTPOINTNAME</t>
  </si>
  <si>
    <t>权限名</t>
  </si>
  <si>
    <t>URL</t>
  </si>
  <si>
    <t>登记用户</t>
  </si>
  <si>
    <t>更新用户</t>
  </si>
  <si>
    <t>awe_group_catalog</t>
  </si>
  <si>
    <t>组合编号</t>
  </si>
  <si>
    <t>GROUPNAME</t>
  </si>
  <si>
    <t>组合名称</t>
  </si>
  <si>
    <t>GROUPDESCRIBE</t>
  </si>
  <si>
    <t>CLASSIFYID</t>
  </si>
  <si>
    <t>DISPLAYTYPE</t>
  </si>
  <si>
    <t>展现类型</t>
  </si>
  <si>
    <t>DEFAULTPAGE</t>
  </si>
  <si>
    <t>默认页面</t>
  </si>
  <si>
    <t>属性1</t>
  </si>
  <si>
    <t>属性2</t>
  </si>
  <si>
    <t>属性3</t>
  </si>
  <si>
    <t>属性4</t>
  </si>
  <si>
    <t>属性5</t>
  </si>
  <si>
    <t>创建机构</t>
  </si>
  <si>
    <t>创建人员</t>
  </si>
  <si>
    <t>创建日期</t>
  </si>
  <si>
    <t>awe_group_classify</t>
  </si>
  <si>
    <t>CLASSIFYNAME</t>
  </si>
  <si>
    <t>分类名称</t>
  </si>
  <si>
    <t>UPDATEORG</t>
  </si>
  <si>
    <t>awe_group_item</t>
  </si>
  <si>
    <t>项目编号</t>
  </si>
  <si>
    <t>项目名称</t>
  </si>
  <si>
    <t>ITEMDESCRIBE</t>
  </si>
  <si>
    <t>页面路径</t>
  </si>
  <si>
    <t>PARAMS</t>
  </si>
  <si>
    <t>CHECKMETHOD</t>
  </si>
  <si>
    <t>检验方法</t>
  </si>
  <si>
    <t>awe_href_info</t>
  </si>
  <si>
    <t>HREF</t>
  </si>
  <si>
    <t>HREFTYPE</t>
  </si>
  <si>
    <t>链接类型</t>
  </si>
  <si>
    <t>HREFDESCRIBE</t>
  </si>
  <si>
    <t>jsp页面访问统计表</t>
  </si>
  <si>
    <t>awe_jsp_runtime</t>
  </si>
  <si>
    <t>JRTYPE</t>
  </si>
  <si>
    <t>统计类型</t>
  </si>
  <si>
    <t>JRTERM</t>
  </si>
  <si>
    <t>统计周期</t>
  </si>
  <si>
    <t>SERVERID</t>
  </si>
  <si>
    <t>服务标识</t>
  </si>
  <si>
    <t>JRCOUNT</t>
  </si>
  <si>
    <t>运行次数</t>
  </si>
  <si>
    <t>JRTIME</t>
  </si>
  <si>
    <t>decimal(18,2)</t>
  </si>
  <si>
    <t>耗时</t>
  </si>
  <si>
    <t>系统菜单表</t>
  </si>
  <si>
    <t>awe_menu_info</t>
  </si>
  <si>
    <t>MENUID</t>
  </si>
  <si>
    <t>菜单编号</t>
  </si>
  <si>
    <t>MENUNAME</t>
  </si>
  <si>
    <t>菜单名称</t>
  </si>
  <si>
    <t>DISPLAYNAME</t>
  </si>
  <si>
    <t>展示名称</t>
  </si>
  <si>
    <t>URL路径</t>
  </si>
  <si>
    <t>URLPARAM</t>
  </si>
  <si>
    <t>TARGET</t>
  </si>
  <si>
    <t>目标窗口</t>
  </si>
  <si>
    <t>STYLE</t>
  </si>
  <si>
    <t>样式</t>
  </si>
  <si>
    <t>ACCESSTYPE</t>
  </si>
  <si>
    <t>打开方式</t>
  </si>
  <si>
    <t>ICON</t>
  </si>
  <si>
    <t>图标</t>
  </si>
  <si>
    <t>APPICON</t>
  </si>
  <si>
    <t>子系统图标</t>
  </si>
  <si>
    <t>USERID</t>
  </si>
  <si>
    <t>用户Id</t>
  </si>
  <si>
    <t>QUICKMENUID</t>
  </si>
  <si>
    <t>快捷菜单ID</t>
  </si>
  <si>
    <t>录入日期</t>
  </si>
  <si>
    <t>awe_message_info</t>
  </si>
  <si>
    <t>MESSAGEID</t>
  </si>
  <si>
    <t>消息编号</t>
  </si>
  <si>
    <t>RELATIVEID</t>
  </si>
  <si>
    <t>回复消息编号</t>
  </si>
  <si>
    <t>MESSAGETITLE</t>
  </si>
  <si>
    <t>消息标题</t>
  </si>
  <si>
    <t>SENDTIME</t>
  </si>
  <si>
    <t>发送时间</t>
  </si>
  <si>
    <t>发送人</t>
  </si>
  <si>
    <t>MESSAGEDESC</t>
  </si>
  <si>
    <t>消息主体</t>
  </si>
  <si>
    <t>站内信发送/关联用户</t>
  </si>
  <si>
    <t>awe_message_user</t>
  </si>
  <si>
    <t>发送用户</t>
  </si>
  <si>
    <t>FIRSTSHOWTIME</t>
  </si>
  <si>
    <t>收到时间</t>
  </si>
  <si>
    <t>READTIME</t>
  </si>
  <si>
    <t>读取时间</t>
  </si>
  <si>
    <t>DELETETIME</t>
  </si>
  <si>
    <t>删除时间</t>
  </si>
  <si>
    <t>awe_query_info</t>
  </si>
  <si>
    <t>QUERYSCHEMENO</t>
  </si>
  <si>
    <t>查询方案编号</t>
  </si>
  <si>
    <t>QUERYSCHEMENAME</t>
  </si>
  <si>
    <t>查询方案名称</t>
  </si>
  <si>
    <t>BIZOBJCLASS</t>
  </si>
  <si>
    <t>主对象</t>
  </si>
  <si>
    <t>RELATEDCLASS</t>
  </si>
  <si>
    <t>关联对象串;JSON格式）</t>
  </si>
  <si>
    <t>GROUPITEMS</t>
  </si>
  <si>
    <t>汇总信息项</t>
  </si>
  <si>
    <t>SUMMARYITEMS</t>
  </si>
  <si>
    <t>合计信息项</t>
  </si>
  <si>
    <t>ISPRIVATE</t>
  </si>
  <si>
    <t>是否私有</t>
  </si>
  <si>
    <t>FREQUENCY</t>
  </si>
  <si>
    <t>查询频率</t>
  </si>
  <si>
    <t>ORGID</t>
  </si>
  <si>
    <t>QUERYSQL</t>
  </si>
  <si>
    <t>查询脚本</t>
  </si>
  <si>
    <t>QUERYPARAMS</t>
  </si>
  <si>
    <t>参数变量串</t>
  </si>
  <si>
    <t>ORDERITEMS</t>
  </si>
  <si>
    <t>排序信息项</t>
  </si>
  <si>
    <t>FILTERCOLS</t>
  </si>
  <si>
    <t>查询条件列</t>
  </si>
  <si>
    <t>DISPLAYITEMS</t>
  </si>
  <si>
    <t>输出信息项</t>
  </si>
  <si>
    <t>QUERYCLAUSE</t>
  </si>
  <si>
    <t>RELATION</t>
  </si>
  <si>
    <t>对象间关系</t>
  </si>
  <si>
    <t>快速查询统计表</t>
  </si>
  <si>
    <t>awe_query_user</t>
  </si>
  <si>
    <t>用户编号</t>
  </si>
  <si>
    <t>QUERYID</t>
  </si>
  <si>
    <t>查询id</t>
  </si>
  <si>
    <t>PATH</t>
  </si>
  <si>
    <t>路径</t>
  </si>
  <si>
    <t>文件名</t>
  </si>
  <si>
    <t>BAK1</t>
  </si>
  <si>
    <t>预留1</t>
  </si>
  <si>
    <t>BAK2</t>
  </si>
  <si>
    <t>预留2</t>
  </si>
  <si>
    <t>awe_quick_href</t>
  </si>
  <si>
    <t>QUICKID</t>
  </si>
  <si>
    <t>QUICKNAME</t>
  </si>
  <si>
    <t>QUICKTYPE</t>
  </si>
  <si>
    <t>类型</t>
  </si>
  <si>
    <t>QUICKPARAMS</t>
  </si>
  <si>
    <t>FORUSER</t>
  </si>
  <si>
    <t>服务用户</t>
  </si>
  <si>
    <r>
      <rPr>
        <sz val="9"/>
        <rFont val="Droid Sans Fallback"/>
        <charset val="134"/>
      </rPr>
      <t>有效标记，代码</t>
    </r>
    <r>
      <rPr>
        <sz val="9"/>
        <rFont val="Arial"/>
        <charset val="0"/>
      </rPr>
      <t>CODE_LIBRARY.CodeNo=IsInUse</t>
    </r>
  </si>
  <si>
    <t>录入用户</t>
  </si>
  <si>
    <t>awe_record_info</t>
  </si>
  <si>
    <t>RECORDUSER</t>
  </si>
  <si>
    <t>记录员</t>
  </si>
  <si>
    <t>RECORDTIME</t>
  </si>
  <si>
    <t>记录时间</t>
  </si>
  <si>
    <t>RECORDREASON</t>
  </si>
  <si>
    <t>记录原因</t>
  </si>
  <si>
    <t>RECORDCONTENT</t>
  </si>
  <si>
    <t>记录内容</t>
  </si>
  <si>
    <t>awe_right_menu</t>
  </si>
  <si>
    <t>RIGHTID</t>
  </si>
  <si>
    <t>权限编号</t>
  </si>
  <si>
    <t>awe_role_function</t>
  </si>
  <si>
    <t>ROLEID</t>
  </si>
  <si>
    <t>角色编号</t>
  </si>
  <si>
    <t>功能点编号</t>
  </si>
  <si>
    <t>角色、菜单关联</t>
  </si>
  <si>
    <t>awe_role_menu</t>
  </si>
  <si>
    <t>awe_role_right</t>
  </si>
  <si>
    <t>角色权限URL</t>
  </si>
  <si>
    <t>awe_role_url</t>
  </si>
  <si>
    <t>awe_shortcut</t>
  </si>
  <si>
    <t>SHORTCUTID</t>
  </si>
  <si>
    <t>快捷编号</t>
  </si>
  <si>
    <t>SHORTCUTNAME</t>
  </si>
  <si>
    <t>快捷名称</t>
  </si>
  <si>
    <t>ISSYSDEFAULT</t>
  </si>
  <si>
    <t>是否系统默认</t>
  </si>
  <si>
    <t>BELONGAPPID</t>
  </si>
  <si>
    <t>所属子系统编号</t>
  </si>
  <si>
    <t>BELONGROLEID</t>
  </si>
  <si>
    <t>所属角色编号</t>
  </si>
  <si>
    <t>DESCRIBE</t>
  </si>
  <si>
    <t>awe_shortcutitem</t>
  </si>
  <si>
    <t>ITEMTIP</t>
  </si>
  <si>
    <t>项目提示</t>
  </si>
  <si>
    <t>JSACTION</t>
  </si>
  <si>
    <t>脚本事件</t>
  </si>
  <si>
    <t>ITEMSHORTCUTKEY</t>
  </si>
  <si>
    <t>项目快捷键</t>
  </si>
  <si>
    <t>CSS</t>
  </si>
  <si>
    <t>项目样式</t>
  </si>
  <si>
    <t>BELONGSHORTCUTID</t>
  </si>
  <si>
    <t>所属快捷编号</t>
  </si>
  <si>
    <t>任务信息</t>
  </si>
  <si>
    <t>awe_task_info</t>
  </si>
  <si>
    <t>任务编号</t>
  </si>
  <si>
    <t>TASKTITLE</t>
  </si>
  <si>
    <t>任务名</t>
  </si>
  <si>
    <t>TASKDESC</t>
  </si>
  <si>
    <t>任务描述</t>
  </si>
  <si>
    <t>STARTUSERID</t>
  </si>
  <si>
    <t>发起人</t>
  </si>
  <si>
    <t>DOUSERID</t>
  </si>
  <si>
    <t>执行人</t>
  </si>
  <si>
    <t>STARTTIME</t>
  </si>
  <si>
    <t>发起时间</t>
  </si>
  <si>
    <t>PREENDTIME</t>
  </si>
  <si>
    <t>预计完成时间</t>
  </si>
  <si>
    <t>TRUEENDTIME</t>
  </si>
  <si>
    <t>实际完成时间</t>
  </si>
  <si>
    <t>FINISHFLAG</t>
  </si>
  <si>
    <t>完成状态</t>
  </si>
  <si>
    <t>ACTIONTYPE</t>
  </si>
  <si>
    <t>操作分类</t>
  </si>
  <si>
    <t>ACTIONPARAM</t>
  </si>
  <si>
    <t>操作参数</t>
  </si>
  <si>
    <t>CATALOGID</t>
  </si>
  <si>
    <t>任务分类编号</t>
  </si>
  <si>
    <t>任务分类名</t>
  </si>
  <si>
    <t>EXPORTEDCOUNT</t>
  </si>
  <si>
    <t>导出数量</t>
  </si>
  <si>
    <t>PRIORITY</t>
  </si>
  <si>
    <t>优先级</t>
  </si>
  <si>
    <t>FILEPATHNAME</t>
  </si>
  <si>
    <t>文件名称</t>
  </si>
  <si>
    <t>QUERYINFO</t>
  </si>
  <si>
    <t>文件描述</t>
  </si>
  <si>
    <t>awe_task_process</t>
  </si>
  <si>
    <t>TASKID</t>
  </si>
  <si>
    <t>用户名称</t>
  </si>
  <si>
    <t>TOTALCOUNT</t>
  </si>
  <si>
    <t>总数量</t>
  </si>
  <si>
    <t>任务数量</t>
  </si>
  <si>
    <t>THREADID</t>
  </si>
  <si>
    <t>线程号</t>
  </si>
  <si>
    <t>CANRUN</t>
  </si>
  <si>
    <t>运行状态</t>
  </si>
  <si>
    <t>awe_wizard_catalog</t>
  </si>
  <si>
    <t>WIZARDID</t>
  </si>
  <si>
    <t>向导编号</t>
  </si>
  <si>
    <t>WIZARDNAME</t>
  </si>
  <si>
    <t>向导名称</t>
  </si>
  <si>
    <t>向导定义</t>
  </si>
  <si>
    <t>awe_wizard_library</t>
  </si>
  <si>
    <t>访问路径</t>
  </si>
  <si>
    <t>PARAM</t>
  </si>
  <si>
    <t>awe_wizard_runner</t>
  </si>
  <si>
    <t>向导运行对象</t>
  </si>
  <si>
    <t>WIZARDINFO</t>
  </si>
  <si>
    <t>向导运行记录</t>
  </si>
  <si>
    <t>bat_task_error</t>
  </si>
  <si>
    <t>TASKNAME</t>
  </si>
  <si>
    <t>任务名称</t>
  </si>
  <si>
    <t>对象编号</t>
  </si>
  <si>
    <t>ERRORDESC</t>
  </si>
  <si>
    <t>错误描述</t>
  </si>
  <si>
    <t>ATTRIBUTE9</t>
  </si>
  <si>
    <t>参数9</t>
  </si>
  <si>
    <t>ATTRIBUTE10</t>
  </si>
  <si>
    <t>参数10</t>
  </si>
  <si>
    <t>bat_task_log</t>
  </si>
  <si>
    <t>BATCHDATE</t>
  </si>
  <si>
    <t>批量日期</t>
  </si>
  <si>
    <t>BUSINESSDATE</t>
  </si>
  <si>
    <t>业务日期</t>
  </si>
  <si>
    <t>一级任务名称</t>
  </si>
  <si>
    <t>TASKDESCRIBE</t>
  </si>
  <si>
    <t>二级任务描述</t>
  </si>
  <si>
    <t>TARGETNAME</t>
  </si>
  <si>
    <t>二级任务名称</t>
  </si>
  <si>
    <t>TARGETDESCRIBE</t>
  </si>
  <si>
    <t>一级任务描述</t>
  </si>
  <si>
    <t>BEGINTIME</t>
  </si>
  <si>
    <t>ENDTIME</t>
  </si>
  <si>
    <t>结束时间</t>
  </si>
  <si>
    <t>状态;Code:BatchTaskStatus）</t>
  </si>
  <si>
    <t>bat_upload</t>
  </si>
  <si>
    <t>批次编号</t>
  </si>
  <si>
    <t>TRANSDATE</t>
  </si>
  <si>
    <t>交易日期</t>
  </si>
  <si>
    <t>RCNT</t>
  </si>
  <si>
    <t>总记录</t>
  </si>
  <si>
    <t>RAMT</t>
  </si>
  <si>
    <t>总金额</t>
  </si>
  <si>
    <t>NRCNT</t>
  </si>
  <si>
    <t>正常记录</t>
  </si>
  <si>
    <t>NRAMT</t>
  </si>
  <si>
    <t>正常金额;用于支付的金额）</t>
  </si>
  <si>
    <t>ABNRCNT1</t>
  </si>
  <si>
    <t>异常记录;信息不匹配</t>
  </si>
  <si>
    <t>ABNRAMT1</t>
  </si>
  <si>
    <t>异常金额;信息不匹配</t>
  </si>
  <si>
    <t>ABNRCNT2</t>
  </si>
  <si>
    <t>异常记录;运营商缺失</t>
  </si>
  <si>
    <t>ABNRAMT2</t>
  </si>
  <si>
    <t>异常金额;运营商缺失</t>
  </si>
  <si>
    <t>ABNRCNT3</t>
  </si>
  <si>
    <t>异常记录;主系统缺失</t>
  </si>
  <si>
    <t>ABNRAMT3</t>
  </si>
  <si>
    <t>异常金额;主系统缺失</t>
  </si>
  <si>
    <t>ABNRCNT4</t>
  </si>
  <si>
    <t>异常记录;其他</t>
  </si>
  <si>
    <t>ABNRAMT4</t>
  </si>
  <si>
    <t>异常金额;其他</t>
  </si>
  <si>
    <t>当前状态</t>
  </si>
  <si>
    <t>登记人人</t>
  </si>
  <si>
    <t>BATCHTYPE</t>
  </si>
  <si>
    <t>导入类型</t>
  </si>
  <si>
    <t>ERRORCODE</t>
  </si>
  <si>
    <t>错误代码</t>
  </si>
  <si>
    <t>文件路径</t>
  </si>
  <si>
    <t>bill_info</t>
  </si>
  <si>
    <t>BILLNO</t>
  </si>
  <si>
    <t>票据编号</t>
  </si>
  <si>
    <t>BILLFORM</t>
  </si>
  <si>
    <t>票据形式;电票/纸票)</t>
  </si>
  <si>
    <t>BILLRESOURCE</t>
  </si>
  <si>
    <t>票据来源;0 同城;1 异地;)</t>
  </si>
  <si>
    <t>PARVALUE</t>
  </si>
  <si>
    <t>票面金额</t>
  </si>
  <si>
    <t>INTERESTSUM</t>
  </si>
  <si>
    <t>利息金额</t>
  </si>
  <si>
    <t>ISREALDEALCONDITION</t>
  </si>
  <si>
    <t>是否具有真实的交易背景</t>
  </si>
  <si>
    <t>ISHONORBYSELF</t>
  </si>
  <si>
    <t>是否我行承兑</t>
  </si>
  <si>
    <t>HONORCODE</t>
  </si>
  <si>
    <t>承兑人编号</t>
  </si>
  <si>
    <t>HONORNAME</t>
  </si>
  <si>
    <t>承兑人名称</t>
  </si>
  <si>
    <t>HONORBANKNO</t>
  </si>
  <si>
    <t>承兑行编号/承兑人开户行行号</t>
  </si>
  <si>
    <t>HONORBANKNAME</t>
  </si>
  <si>
    <t>承兑行名称/承兑人开户行名称</t>
  </si>
  <si>
    <t>SPECIFICHONORBANK</t>
  </si>
  <si>
    <t>承兑行具体分支行</t>
  </si>
  <si>
    <t>HONORBANKISACCEPTED</t>
  </si>
  <si>
    <t>承兑行是否我行认可</t>
  </si>
  <si>
    <t>HONORBANKISAUTHORIZED</t>
  </si>
  <si>
    <t>承兑行是否在授权范围内</t>
  </si>
  <si>
    <t>BILLPUBLISHDATE</t>
  </si>
  <si>
    <t>票据签发日期</t>
  </si>
  <si>
    <t>BILLMATURITY</t>
  </si>
  <si>
    <t>票据到期日</t>
  </si>
  <si>
    <t>DISCOUNTDATE</t>
  </si>
  <si>
    <t>贴现日期</t>
  </si>
  <si>
    <t>ADJUSTDAYS</t>
  </si>
  <si>
    <t>调整天数</t>
  </si>
  <si>
    <t>DISCOUNTYEARRATE</t>
  </si>
  <si>
    <t>贴现年利率</t>
  </si>
  <si>
    <t>DISCOUNTRATE</t>
  </si>
  <si>
    <t>转贴现利率</t>
  </si>
  <si>
    <t>INTERESTPAYTYPE</t>
  </si>
  <si>
    <t>PAYINTERESTACCOUNT</t>
  </si>
  <si>
    <t>买方付息帐号</t>
  </si>
  <si>
    <t>BILLISSUEDATE</t>
  </si>
  <si>
    <t>出票日期</t>
  </si>
  <si>
    <t>BILLISSUERNAME</t>
  </si>
  <si>
    <t>出票人名称</t>
  </si>
  <si>
    <t>ENDORSETIMES</t>
  </si>
  <si>
    <t>背书次数</t>
  </si>
  <si>
    <t>ACTUALPAYSUM</t>
  </si>
  <si>
    <t>实付金额</t>
  </si>
  <si>
    <t>REDISCOUNTTYPE</t>
  </si>
  <si>
    <t>PAYMENTBANK</t>
  </si>
  <si>
    <t>付款行</t>
  </si>
  <si>
    <t>PAYMENTBANKNAME</t>
  </si>
  <si>
    <t>付款行全称</t>
  </si>
  <si>
    <t>TRANSACTIONBANK</t>
  </si>
  <si>
    <t>交易行</t>
  </si>
  <si>
    <t>TRANSACTIONBANKNO</t>
  </si>
  <si>
    <t>交易行号</t>
  </si>
  <si>
    <t>BUSINESSCHARACTER</t>
  </si>
  <si>
    <t>业务性质;正回购/逆回购/到期返售/到期回购/买断/卖断/行内转贴现)</t>
  </si>
  <si>
    <t>TRANSACTIONDATE</t>
  </si>
  <si>
    <t>BUYBACKMATURITY</t>
  </si>
  <si>
    <t>回购到期日</t>
  </si>
  <si>
    <t>BUYINORG</t>
  </si>
  <si>
    <t>行内买入机构</t>
  </si>
  <si>
    <t>ORIGAGREEMENTNO</t>
  </si>
  <si>
    <t>原协议编号</t>
  </si>
  <si>
    <t>LIMITOCCUPYBANK</t>
  </si>
  <si>
    <t>额度占用对象;承兑行/交易行)</t>
  </si>
  <si>
    <t>ONLINESETTLEMENT</t>
  </si>
  <si>
    <t>线上清算</t>
  </si>
  <si>
    <t>CUSTOMERID</t>
  </si>
  <si>
    <t>客户编号</t>
  </si>
  <si>
    <t>通告栏</t>
  </si>
  <si>
    <t>board_list</t>
  </si>
  <si>
    <t>BOARDNO</t>
  </si>
  <si>
    <t>公告编号</t>
  </si>
  <si>
    <t>BOARDNAME</t>
  </si>
  <si>
    <t>公告名称</t>
  </si>
  <si>
    <t>BOARDTITLE</t>
  </si>
  <si>
    <t>公告标题</t>
  </si>
  <si>
    <t>BOARDDESC</t>
  </si>
  <si>
    <t>公告描述</t>
  </si>
  <si>
    <t>ISPUBLISH</t>
  </si>
  <si>
    <t>是否发布</t>
  </si>
  <si>
    <t>ISNEW</t>
  </si>
  <si>
    <t>是否新</t>
  </si>
  <si>
    <t>ISEJECT</t>
  </si>
  <si>
    <t>是否弹出</t>
  </si>
  <si>
    <t>公告文件名</t>
  </si>
  <si>
    <t>CONTENTTYPE</t>
  </si>
  <si>
    <t>内容类型</t>
  </si>
  <si>
    <t>CONTENTLENGTH</t>
  </si>
  <si>
    <t>内容长度</t>
  </si>
  <si>
    <t>UPLOADTIME</t>
  </si>
  <si>
    <t>上传时间</t>
  </si>
  <si>
    <t>SHOWTOROLES</t>
  </si>
  <si>
    <t>可查看角色列表</t>
  </si>
  <si>
    <t>SHOWTOORG</t>
  </si>
  <si>
    <t>可查看机构;含下属)</t>
  </si>
  <si>
    <t>SHOWTOORGS</t>
  </si>
  <si>
    <t>可查看机构清单;不含下属)</t>
  </si>
  <si>
    <t>FULLPATH</t>
  </si>
  <si>
    <t>全路径</t>
  </si>
  <si>
    <t>FILESAVEMODE</t>
  </si>
  <si>
    <t>文件保存模型</t>
  </si>
  <si>
    <t>DOCNO</t>
  </si>
  <si>
    <t>附件编号</t>
  </si>
  <si>
    <t>DOCCONTENT</t>
  </si>
  <si>
    <t>文档内容</t>
  </si>
  <si>
    <t>board_user</t>
  </si>
  <si>
    <t>流水号;</t>
  </si>
  <si>
    <t>登记人;</t>
  </si>
  <si>
    <t>ISALREADYREAD</t>
  </si>
  <si>
    <t>是否查看;</t>
  </si>
  <si>
    <t>登记时间;</t>
  </si>
  <si>
    <t>business_contract</t>
  </si>
  <si>
    <t>合同编号</t>
  </si>
  <si>
    <t>CUSTOMERNAME</t>
  </si>
  <si>
    <t>额度/业务币种</t>
  </si>
  <si>
    <t>BUSINESSSUM</t>
  </si>
  <si>
    <t>合同金额</t>
  </si>
  <si>
    <t>PRODUCTID</t>
  </si>
  <si>
    <t>产品编号</t>
  </si>
  <si>
    <t>STARTDATE</t>
  </si>
  <si>
    <t>合同起始日</t>
  </si>
  <si>
    <t>MATURITY</t>
  </si>
  <si>
    <t>合同到期日</t>
  </si>
  <si>
    <t>PRODUCTNAME</t>
  </si>
  <si>
    <t>产品名称</t>
  </si>
  <si>
    <t>SOURCESYSTEM</t>
  </si>
  <si>
    <t>来源系统</t>
  </si>
  <si>
    <t>BUSINESSFLAG</t>
  </si>
  <si>
    <t>额度/业务标志</t>
  </si>
  <si>
    <t>CONTRACTTYPE</t>
  </si>
  <si>
    <t>nationalindustrytype</t>
  </si>
  <si>
    <t>国标行业投向</t>
  </si>
  <si>
    <t>operateOrgId</t>
  </si>
  <si>
    <t>经办机构</t>
  </si>
  <si>
    <t>balance</t>
  </si>
  <si>
    <t>合同余额</t>
  </si>
  <si>
    <t>方法库目录</t>
  </si>
  <si>
    <t>class_catalog</t>
  </si>
  <si>
    <t>CLASSNAME</t>
  </si>
  <si>
    <t>类名称</t>
  </si>
  <si>
    <t>CLASSTYPE</t>
  </si>
  <si>
    <t>类分类</t>
  </si>
  <si>
    <t>CLASSDESCRIBE</t>
  </si>
  <si>
    <t>类描述</t>
  </si>
  <si>
    <t>PARENTCLASS</t>
  </si>
  <si>
    <t>父类名称</t>
  </si>
  <si>
    <t>方法库明细</t>
  </si>
  <si>
    <t>class_method</t>
  </si>
  <si>
    <t>METHODNAME</t>
  </si>
  <si>
    <t>方法名称</t>
  </si>
  <si>
    <t>METHODTYPE</t>
  </si>
  <si>
    <t>METHODDESCRIBE</t>
  </si>
  <si>
    <t>RETURNTYPE</t>
  </si>
  <si>
    <t>返回值类型</t>
  </si>
  <si>
    <t>METHODARGS</t>
  </si>
  <si>
    <t>METHODCODE</t>
  </si>
  <si>
    <t>方法实现代码</t>
  </si>
  <si>
    <t>clr_asset_finance</t>
  </si>
  <si>
    <t>押品编号</t>
  </si>
  <si>
    <t>DEPOSITNO</t>
  </si>
  <si>
    <t>存单号码</t>
  </si>
  <si>
    <t>SAVINGMODE</t>
  </si>
  <si>
    <t>储蓄方式</t>
  </si>
  <si>
    <t>SAVEDATE</t>
  </si>
  <si>
    <t>存入日期</t>
  </si>
  <si>
    <t>DRAWMODE</t>
  </si>
  <si>
    <t>BANKBOOKCARDNO</t>
  </si>
  <si>
    <t>存折卡号</t>
  </si>
  <si>
    <t>OPENDATE</t>
  </si>
  <si>
    <t>开户日期</t>
  </si>
  <si>
    <t>BAILCOMESOURCE</t>
  </si>
  <si>
    <t>保证金来源</t>
  </si>
  <si>
    <t>ACCOUNTTYPE</t>
  </si>
  <si>
    <r>
      <rPr>
        <sz val="9"/>
        <rFont val="宋体-简"/>
        <charset val="134"/>
      </rPr>
      <t>账户类型</t>
    </r>
    <r>
      <rPr>
        <sz val="9"/>
        <rFont val="Arial"/>
        <charset val="0"/>
      </rPr>
      <t>/</t>
    </r>
    <r>
      <rPr>
        <sz val="9"/>
        <rFont val="宋体-简"/>
        <charset val="134"/>
      </rPr>
      <t>上市类型</t>
    </r>
  </si>
  <si>
    <t>ACCOUNTNO</t>
  </si>
  <si>
    <r>
      <rPr>
        <sz val="9"/>
        <rFont val="宋体-简"/>
        <charset val="134"/>
      </rPr>
      <t>账号</t>
    </r>
    <r>
      <rPr>
        <sz val="9"/>
        <rFont val="Arial"/>
        <charset val="0"/>
      </rPr>
      <t>/</t>
    </r>
    <r>
      <rPr>
        <sz val="9"/>
        <rFont val="宋体-简"/>
        <charset val="134"/>
      </rPr>
      <t>资金帐号</t>
    </r>
    <r>
      <rPr>
        <sz val="9"/>
        <rFont val="Arial"/>
        <charset val="0"/>
      </rPr>
      <t>/</t>
    </r>
    <r>
      <rPr>
        <sz val="9"/>
        <rFont val="宋体-简"/>
        <charset val="134"/>
      </rPr>
      <t>收款人账号</t>
    </r>
    <r>
      <rPr>
        <sz val="9"/>
        <rFont val="Arial"/>
        <charset val="0"/>
      </rPr>
      <t>/</t>
    </r>
    <r>
      <rPr>
        <sz val="9"/>
        <rFont val="宋体-简"/>
        <charset val="134"/>
      </rPr>
      <t>股票账户</t>
    </r>
    <r>
      <rPr>
        <sz val="9"/>
        <rFont val="Arial"/>
        <charset val="0"/>
      </rPr>
      <t>/</t>
    </r>
    <r>
      <rPr>
        <sz val="9"/>
        <rFont val="宋体-简"/>
        <charset val="134"/>
      </rPr>
      <t>基金持有人的资金账号</t>
    </r>
    <r>
      <rPr>
        <sz val="9"/>
        <rFont val="Arial"/>
        <charset val="0"/>
      </rPr>
      <t>/</t>
    </r>
    <r>
      <rPr>
        <sz val="9"/>
        <rFont val="宋体-简"/>
        <charset val="134"/>
      </rPr>
      <t>保险缴纳账号</t>
    </r>
    <r>
      <rPr>
        <sz val="9"/>
        <rFont val="Arial"/>
        <charset val="0"/>
      </rPr>
      <t>/</t>
    </r>
    <r>
      <rPr>
        <sz val="9"/>
        <rFont val="宋体-简"/>
        <charset val="134"/>
      </rPr>
      <t>持有人自己账户</t>
    </r>
  </si>
  <si>
    <t>户名</t>
  </si>
  <si>
    <t>OPENBANKNO</t>
  </si>
  <si>
    <r>
      <rPr>
        <sz val="9"/>
        <rFont val="宋体-简"/>
        <charset val="134"/>
      </rPr>
      <t>开户银行行号</t>
    </r>
    <r>
      <rPr>
        <sz val="9"/>
        <rFont val="Arial"/>
        <charset val="0"/>
      </rPr>
      <t>/</t>
    </r>
    <r>
      <rPr>
        <sz val="9"/>
        <rFont val="宋体-简"/>
        <charset val="134"/>
      </rPr>
      <t>存单所属行行号/保险费用缴纳开户行号</t>
    </r>
  </si>
  <si>
    <t>OPENBANKNAME</t>
  </si>
  <si>
    <r>
      <rPr>
        <sz val="9"/>
        <rFont val="宋体-简"/>
        <charset val="134"/>
      </rPr>
      <t>开户行名称</t>
    </r>
    <r>
      <rPr>
        <sz val="9"/>
        <rFont val="Arial"/>
        <charset val="0"/>
      </rPr>
      <t>/</t>
    </r>
    <r>
      <rPr>
        <sz val="9"/>
        <rFont val="宋体-简"/>
        <charset val="134"/>
      </rPr>
      <t>债券发行人</t>
    </r>
    <r>
      <rPr>
        <sz val="9"/>
        <rFont val="Arial"/>
        <charset val="0"/>
      </rPr>
      <t>/</t>
    </r>
    <r>
      <rPr>
        <sz val="9"/>
        <rFont val="宋体-简"/>
        <charset val="134"/>
      </rPr>
      <t>收款人开户银行</t>
    </r>
    <r>
      <rPr>
        <sz val="9"/>
        <rFont val="Arial"/>
        <charset val="0"/>
      </rPr>
      <t>/</t>
    </r>
    <r>
      <rPr>
        <sz val="9"/>
        <rFont val="宋体-简"/>
        <charset val="134"/>
      </rPr>
      <t>存单所属行名称/保险费用缴纳开户行</t>
    </r>
  </si>
  <si>
    <t>DATEOFVALUE</t>
  </si>
  <si>
    <t>起息日期/债券开户日/发行日/出票日期/保单生效日</t>
  </si>
  <si>
    <t>MATURITYDATE</t>
  </si>
  <si>
    <r>
      <rPr>
        <sz val="9"/>
        <rFont val="宋体-简"/>
        <charset val="134"/>
      </rPr>
      <t>到期日期</t>
    </r>
    <r>
      <rPr>
        <sz val="9"/>
        <rFont val="Arial"/>
        <charset val="0"/>
      </rPr>
      <t>/</t>
    </r>
    <r>
      <rPr>
        <sz val="9"/>
        <rFont val="宋体-简"/>
        <charset val="134"/>
      </rPr>
      <t>债券到期日</t>
    </r>
    <r>
      <rPr>
        <sz val="9"/>
        <rFont val="Arial"/>
        <charset val="0"/>
      </rPr>
      <t>/</t>
    </r>
    <r>
      <rPr>
        <sz val="9"/>
        <rFont val="宋体-简"/>
        <charset val="134"/>
      </rPr>
      <t>到期日期</t>
    </r>
    <r>
      <rPr>
        <sz val="9"/>
        <rFont val="Arial"/>
        <charset val="0"/>
      </rPr>
      <t>/</t>
    </r>
    <r>
      <rPr>
        <sz val="9"/>
        <rFont val="宋体-简"/>
        <charset val="134"/>
      </rPr>
      <t>保单到期日期</t>
    </r>
  </si>
  <si>
    <t>CASHDEVTYPE</t>
  </si>
  <si>
    <t>DESPOSITTYPE</t>
  </si>
  <si>
    <r>
      <rPr>
        <sz val="9"/>
        <rFont val="宋体-简"/>
        <charset val="134"/>
      </rPr>
      <t>存单类型</t>
    </r>
    <r>
      <rPr>
        <sz val="9"/>
        <rFont val="Arial"/>
        <charset val="0"/>
      </rPr>
      <t>/</t>
    </r>
    <r>
      <rPr>
        <sz val="9"/>
        <rFont val="宋体-简"/>
        <charset val="134"/>
      </rPr>
      <t>债券市场类型</t>
    </r>
    <r>
      <rPr>
        <sz val="9"/>
        <rFont val="Arial"/>
        <charset val="0"/>
      </rPr>
      <t>/</t>
    </r>
    <r>
      <rPr>
        <sz val="9"/>
        <rFont val="宋体-简"/>
        <charset val="134"/>
      </rPr>
      <t>票据类型</t>
    </r>
    <r>
      <rPr>
        <sz val="9"/>
        <rFont val="Arial"/>
        <charset val="0"/>
      </rPr>
      <t>/</t>
    </r>
    <r>
      <rPr>
        <sz val="9"/>
        <rFont val="宋体-简"/>
        <charset val="134"/>
      </rPr>
      <t>基金投资类型</t>
    </r>
    <r>
      <rPr>
        <sz val="9"/>
        <rFont val="Arial"/>
        <charset val="0"/>
      </rPr>
      <t>/</t>
    </r>
    <r>
      <rPr>
        <sz val="9"/>
        <rFont val="宋体-简"/>
        <charset val="134"/>
      </rPr>
      <t>保险种类</t>
    </r>
    <r>
      <rPr>
        <sz val="9"/>
        <rFont val="Arial"/>
        <charset val="0"/>
      </rPr>
      <t>/</t>
    </r>
    <r>
      <rPr>
        <sz val="9"/>
        <rFont val="宋体-简"/>
        <charset val="134"/>
      </rPr>
      <t>保证金账户类型/我行理财产品类型</t>
    </r>
  </si>
  <si>
    <t>BALANCE</t>
  </si>
  <si>
    <t>余额/最近一个交易日市价;净值）/保险承保金额</t>
  </si>
  <si>
    <t>TRADECONTRACTNO</t>
  </si>
  <si>
    <r>
      <rPr>
        <sz val="9"/>
        <rFont val="宋体-简"/>
        <charset val="134"/>
      </rPr>
      <t>贵金属交易合约号</t>
    </r>
    <r>
      <rPr>
        <sz val="9"/>
        <rFont val="Arial"/>
        <charset val="0"/>
      </rPr>
      <t>/</t>
    </r>
    <r>
      <rPr>
        <sz val="9"/>
        <rFont val="宋体-简"/>
        <charset val="134"/>
      </rPr>
      <t>汇票交易合同号码</t>
    </r>
    <r>
      <rPr>
        <sz val="9"/>
        <rFont val="Arial"/>
        <charset val="0"/>
      </rPr>
      <t>/</t>
    </r>
    <r>
      <rPr>
        <sz val="9"/>
        <rFont val="宋体-简"/>
        <charset val="134"/>
      </rPr>
      <t>保险合同号</t>
    </r>
    <r>
      <rPr>
        <sz val="9"/>
        <rFont val="Arial"/>
        <charset val="0"/>
      </rPr>
      <t>/</t>
    </r>
    <r>
      <rPr>
        <sz val="9"/>
        <rFont val="宋体-简"/>
        <charset val="134"/>
      </rPr>
      <t>理财协议编号</t>
    </r>
  </si>
  <si>
    <t>GOLDACCOUNTNUMBER</t>
  </si>
  <si>
    <t>黄金交易账户编码/股东代码/贵金属交易账号</t>
  </si>
  <si>
    <t>TRADENO</t>
  </si>
  <si>
    <t>交易号</t>
  </si>
  <si>
    <t>NOBLEMETALTYPE</t>
  </si>
  <si>
    <t>NOBLEMETALNORMS</t>
  </si>
  <si>
    <t>贵金属规格</t>
  </si>
  <si>
    <t>NOBLEMETALQUANTITY</t>
  </si>
  <si>
    <t>贵金属数量/持有股票数量/持有基金份数</t>
  </si>
  <si>
    <t>PURCHASEDATE</t>
  </si>
  <si>
    <t>贵金属购入日期/债券购入日期/签发日期/最近一个交易日日期</t>
  </si>
  <si>
    <t>PURCHASEVALUE</t>
  </si>
  <si>
    <t>贵金属购入价值/最近一年;净值）均价</t>
  </si>
  <si>
    <t>CURRPRICE</t>
  </si>
  <si>
    <r>
      <rPr>
        <sz val="9"/>
        <rFont val="宋体-简"/>
        <charset val="134"/>
      </rPr>
      <t>贵金属当前市场价格</t>
    </r>
    <r>
      <rPr>
        <sz val="9"/>
        <rFont val="Arial"/>
        <charset val="0"/>
      </rPr>
      <t>/</t>
    </r>
    <r>
      <rPr>
        <sz val="9"/>
        <rFont val="宋体-简"/>
        <charset val="134"/>
      </rPr>
      <t>保险价值</t>
    </r>
    <r>
      <rPr>
        <sz val="9"/>
        <rFont val="Arial"/>
        <charset val="0"/>
      </rPr>
      <t>/</t>
    </r>
    <r>
      <rPr>
        <sz val="9"/>
        <rFont val="宋体-简"/>
        <charset val="134"/>
      </rPr>
      <t>折合人民币</t>
    </r>
  </si>
  <si>
    <t>CURRPRICEEVALDATE</t>
  </si>
  <si>
    <t>date</t>
  </si>
  <si>
    <t>贵金属市场价格评估日期</t>
  </si>
  <si>
    <t>债券券号/票据号/股票代码/基金代码</t>
  </si>
  <si>
    <t>BILLNAME</t>
  </si>
  <si>
    <r>
      <rPr>
        <sz val="9"/>
        <rFont val="宋体-简"/>
        <charset val="134"/>
      </rPr>
      <t>债券名称</t>
    </r>
    <r>
      <rPr>
        <sz val="9"/>
        <rFont val="Arial"/>
        <charset val="0"/>
      </rPr>
      <t>/</t>
    </r>
    <r>
      <rPr>
        <sz val="9"/>
        <rFont val="宋体-简"/>
        <charset val="134"/>
      </rPr>
      <t>股票名称</t>
    </r>
    <r>
      <rPr>
        <sz val="9"/>
        <rFont val="Arial"/>
        <charset val="0"/>
      </rPr>
      <t>/</t>
    </r>
    <r>
      <rPr>
        <sz val="9"/>
        <rFont val="宋体-简"/>
        <charset val="134"/>
      </rPr>
      <t>基金名称</t>
    </r>
    <r>
      <rPr>
        <sz val="9"/>
        <rFont val="Arial"/>
        <charset val="0"/>
      </rPr>
      <t>/</t>
    </r>
    <r>
      <rPr>
        <sz val="9"/>
        <rFont val="宋体-简"/>
        <charset val="134"/>
      </rPr>
      <t>保险机构名称</t>
    </r>
    <r>
      <rPr>
        <sz val="9"/>
        <rFont val="Arial"/>
        <charset val="0"/>
      </rPr>
      <t>/</t>
    </r>
    <r>
      <rPr>
        <sz val="9"/>
        <rFont val="宋体-简"/>
        <charset val="134"/>
      </rPr>
      <t>理财产品名称</t>
    </r>
  </si>
  <si>
    <t>OWNER</t>
  </si>
  <si>
    <t>债券持有人/持票人/未上市股票的托管单位/被保险人/基金持有人</t>
  </si>
  <si>
    <t>INCOMERATE</t>
  </si>
  <si>
    <t>债券到期收益率</t>
  </si>
  <si>
    <t>INTERESTPERIOD</t>
  </si>
  <si>
    <t>BILLVALUE</t>
  </si>
  <si>
    <r>
      <rPr>
        <sz val="9"/>
        <rFont val="宋体-简"/>
        <charset val="134"/>
      </rPr>
      <t>债券票面价值</t>
    </r>
    <r>
      <rPr>
        <sz val="9"/>
        <rFont val="Arial"/>
        <charset val="0"/>
      </rPr>
      <t>/</t>
    </r>
    <r>
      <rPr>
        <sz val="9"/>
        <rFont val="宋体-简"/>
        <charset val="134"/>
      </rPr>
      <t>票面金额</t>
    </r>
    <r>
      <rPr>
        <sz val="9"/>
        <rFont val="Arial"/>
        <charset val="0"/>
      </rPr>
      <t>/</t>
    </r>
    <r>
      <rPr>
        <sz val="9"/>
        <rFont val="宋体-简"/>
        <charset val="134"/>
      </rPr>
      <t>保险费用</t>
    </r>
    <r>
      <rPr>
        <sz val="9"/>
        <rFont val="Arial"/>
        <charset val="0"/>
      </rPr>
      <t>/</t>
    </r>
    <r>
      <rPr>
        <sz val="9"/>
        <rFont val="宋体-简"/>
        <charset val="134"/>
      </rPr>
      <t>存单金额</t>
    </r>
  </si>
  <si>
    <t>BONDAGENCYPUBLISHER</t>
  </si>
  <si>
    <r>
      <rPr>
        <sz val="9"/>
        <rFont val="宋体-简"/>
        <charset val="134"/>
      </rPr>
      <t>债券代理发行机构</t>
    </r>
    <r>
      <rPr>
        <sz val="9"/>
        <rFont val="Arial"/>
        <charset val="0"/>
      </rPr>
      <t>/</t>
    </r>
    <r>
      <rPr>
        <sz val="9"/>
        <rFont val="宋体-简"/>
        <charset val="134"/>
      </rPr>
      <t>出票人</t>
    </r>
    <r>
      <rPr>
        <sz val="9"/>
        <rFont val="Arial"/>
        <charset val="0"/>
      </rPr>
      <t>/</t>
    </r>
    <r>
      <rPr>
        <sz val="9"/>
        <rFont val="宋体-简"/>
        <charset val="134"/>
      </rPr>
      <t>公司名称</t>
    </r>
    <r>
      <rPr>
        <sz val="9"/>
        <rFont val="Arial"/>
        <charset val="0"/>
      </rPr>
      <t>/</t>
    </r>
    <r>
      <rPr>
        <sz val="9"/>
        <rFont val="宋体-简"/>
        <charset val="134"/>
      </rPr>
      <t>基金发行公司名称</t>
    </r>
    <r>
      <rPr>
        <sz val="9"/>
        <rFont val="Arial"/>
        <charset val="0"/>
      </rPr>
      <t>/</t>
    </r>
    <r>
      <rPr>
        <sz val="9"/>
        <rFont val="宋体-简"/>
        <charset val="134"/>
      </rPr>
      <t>投保人</t>
    </r>
    <r>
      <rPr>
        <sz val="9"/>
        <rFont val="Arial"/>
        <charset val="0"/>
      </rPr>
      <t>/</t>
    </r>
    <r>
      <rPr>
        <sz val="9"/>
        <rFont val="宋体-简"/>
        <charset val="134"/>
      </rPr>
      <t>标的公司名称</t>
    </r>
  </si>
  <si>
    <t>BONDCREDITLEVEL</t>
  </si>
  <si>
    <t>债券信用等级</t>
  </si>
  <si>
    <t>BILLPAYEE</t>
  </si>
  <si>
    <t>收款人/受益人</t>
  </si>
  <si>
    <t>DRAWERACCOUNTNO</t>
  </si>
  <si>
    <t>出票人账号</t>
  </si>
  <si>
    <t>ACCEPTORNAME</t>
  </si>
  <si>
    <t>ACCEPTORBANKNAME</t>
  </si>
  <si>
    <t>承兑行名称</t>
  </si>
  <si>
    <t>ACCEPTORBANKNO</t>
  </si>
  <si>
    <t>承兑行行号</t>
  </si>
  <si>
    <t>DRAWEEBANKNO</t>
  </si>
  <si>
    <t>付款行行号</t>
  </si>
  <si>
    <t>DRAWEEBANK</t>
  </si>
  <si>
    <t>汇票付款行</t>
  </si>
  <si>
    <t>BILLUSAGE</t>
  </si>
  <si>
    <t>CIRCULATIONQUANTITY</t>
  </si>
  <si>
    <t>流通数量</t>
  </si>
  <si>
    <t>PERATIO</t>
  </si>
  <si>
    <t>市盈率(P/E)</t>
  </si>
  <si>
    <t>STOCKHOLDERTYPE</t>
  </si>
  <si>
    <r>
      <rPr>
        <sz val="9"/>
        <rFont val="宋体-简"/>
        <charset val="134"/>
      </rPr>
      <t>股权</t>
    </r>
    <r>
      <rPr>
        <sz val="9"/>
        <rFont val="Arial"/>
        <charset val="0"/>
      </rPr>
      <t>/</t>
    </r>
    <r>
      <rPr>
        <sz val="9"/>
        <rFont val="宋体-简"/>
        <charset val="134"/>
      </rPr>
      <t>股票持有类型</t>
    </r>
    <r>
      <rPr>
        <sz val="9"/>
        <rFont val="Arial"/>
        <charset val="0"/>
      </rPr>
      <t>/</t>
    </r>
    <r>
      <rPr>
        <sz val="9"/>
        <rFont val="宋体-简"/>
        <charset val="134"/>
      </rPr>
      <t>基金契约类型</t>
    </r>
    <r>
      <rPr>
        <sz val="9"/>
        <rFont val="Arial"/>
        <charset val="0"/>
      </rPr>
      <t>/</t>
    </r>
    <r>
      <rPr>
        <sz val="9"/>
        <rFont val="宋体-简"/>
        <charset val="134"/>
      </rPr>
      <t>缴费方式/理财来源</t>
    </r>
  </si>
  <si>
    <t>NAVPS</t>
  </si>
  <si>
    <t>每股净资产</t>
  </si>
  <si>
    <t>PAYMENTSTARTDATE</t>
  </si>
  <si>
    <t>缴费起始日期</t>
  </si>
  <si>
    <t>PAYMENTENDDATE</t>
  </si>
  <si>
    <t>缴费终止日期</t>
  </si>
  <si>
    <t>ABOUTBONUS</t>
  </si>
  <si>
    <t>分红情况</t>
  </si>
  <si>
    <t>INTERESTRATE</t>
  </si>
  <si>
    <r>
      <rPr>
        <sz val="9"/>
        <rFont val="宋体-简"/>
        <charset val="134"/>
      </rPr>
      <t>利率</t>
    </r>
    <r>
      <rPr>
        <sz val="9"/>
        <rFont val="Arial"/>
        <charset val="0"/>
      </rPr>
      <t>/</t>
    </r>
    <r>
      <rPr>
        <sz val="9"/>
        <rFont val="宋体-简"/>
        <charset val="134"/>
      </rPr>
      <t>债券利率</t>
    </r>
  </si>
  <si>
    <t>TRADETYPE</t>
  </si>
  <si>
    <t>交易类型</t>
  </si>
  <si>
    <t>HOLDPERIOD</t>
  </si>
  <si>
    <t>持有期</t>
  </si>
  <si>
    <t>MTMDAYS</t>
  </si>
  <si>
    <t>盯市天数</t>
  </si>
  <si>
    <t>BONDFLAG01</t>
  </si>
  <si>
    <t>是否为通过总行认定的政策性金融债</t>
  </si>
  <si>
    <t>BONDFLAG02</t>
  </si>
  <si>
    <t>是否经中国人民银行批准可在全国银行间债券市场上市</t>
  </si>
  <si>
    <t>BONDFLAG03</t>
  </si>
  <si>
    <t>是否是记名债券</t>
  </si>
  <si>
    <t>BONDFLAG04</t>
  </si>
  <si>
    <t>BONDFLAG05</t>
  </si>
  <si>
    <t>是否已提交其他相关股权凭证</t>
  </si>
  <si>
    <t>BONDFLAG06</t>
  </si>
  <si>
    <t>是否为集中公开交易的债券</t>
  </si>
  <si>
    <t>BONDFLAG07</t>
  </si>
  <si>
    <t>是否已提交债券凭证</t>
  </si>
  <si>
    <t>BONDFLAG08</t>
  </si>
  <si>
    <t>是否已提交相关债券评级证书</t>
  </si>
  <si>
    <t>BONDFLAG09</t>
  </si>
  <si>
    <t>是否已提交债券募集说明书</t>
  </si>
  <si>
    <t>NOBLEMETALFLAG1</t>
  </si>
  <si>
    <t>是否已提交贵金属购买合约</t>
  </si>
  <si>
    <t>NOBLEMETALFLAG2</t>
  </si>
  <si>
    <t>是否已提交黄金交易账户卡</t>
  </si>
  <si>
    <t>NOBLEMETALFLAG3</t>
  </si>
  <si>
    <t>是否已提交金交所托管合约</t>
  </si>
  <si>
    <t>NOBLEMETALFLAG4</t>
  </si>
  <si>
    <t>是否已提交贵金属交易账户凭证</t>
  </si>
  <si>
    <t>DEPCTFFLAG01</t>
  </si>
  <si>
    <t>是否为借款人公开向不特定的自然人、法人和其他组织募集的个人存单</t>
  </si>
  <si>
    <t>DEPCTFFLAG02</t>
  </si>
  <si>
    <t>是否已取得存款行出具的个人定期存单真实性确认书，并且存款行已落实登记止付手续</t>
  </si>
  <si>
    <t>DEPCTFFLAG03</t>
  </si>
  <si>
    <t>是否已提交存单所有人名下所有东方卡号</t>
  </si>
  <si>
    <t>DEPCTFFLAG04</t>
  </si>
  <si>
    <t>是否已提交“存单凭证”</t>
  </si>
  <si>
    <t>DEPCTFFLAG05</t>
  </si>
  <si>
    <t>是否已提交“个人定期存单真实性确认书”</t>
  </si>
  <si>
    <t>DEPCTFFLAG06</t>
  </si>
  <si>
    <t>是否已提交“单位定期存单确认书”</t>
  </si>
  <si>
    <t>BAILFLAG01</t>
  </si>
  <si>
    <t>是否子账户</t>
  </si>
  <si>
    <t>BAILFLAG02</t>
  </si>
  <si>
    <t>是否已提交保证金相关存单凭证</t>
  </si>
  <si>
    <t>NDEPCTFFLAG01</t>
  </si>
  <si>
    <t>是否已提交存款所有人名下所有东方卡号</t>
  </si>
  <si>
    <t>NDEPCTFFLAG02</t>
  </si>
  <si>
    <t>是否已提交相关存款证明</t>
  </si>
  <si>
    <t>MARGINLEVEL</t>
  </si>
  <si>
    <t>保证金层级</t>
  </si>
  <si>
    <t>RELATEDBUSINESSNO</t>
  </si>
  <si>
    <t>对应业务编号</t>
  </si>
  <si>
    <t>BONDTYPE</t>
  </si>
  <si>
    <t>BONDVALUE</t>
  </si>
  <si>
    <t>债券发行价值</t>
  </si>
  <si>
    <t>BONDLISTTYPE</t>
  </si>
  <si>
    <t>BONDRATING</t>
  </si>
  <si>
    <t>RATINGAGENCY</t>
  </si>
  <si>
    <t>DRAWEROPENBANKNAME</t>
  </si>
  <si>
    <t>出票人开户行</t>
  </si>
  <si>
    <t>SECURITYTYPE</t>
  </si>
  <si>
    <t>STOCKHOLDERNAME</t>
  </si>
  <si>
    <t>股票持有人名称/持有人名称/基金持有人名称</t>
  </si>
  <si>
    <t>BAILACCOUNTNO</t>
  </si>
  <si>
    <t>保证金账户号码</t>
  </si>
  <si>
    <t>DRAWBILLPLACE</t>
  </si>
  <si>
    <t>出票地</t>
  </si>
  <si>
    <t>PAYPLACE</t>
  </si>
  <si>
    <t>付款地</t>
  </si>
  <si>
    <t>STOCKHOLDERCODE</t>
  </si>
  <si>
    <t>基金持有人代码/股票持有人代码</t>
  </si>
  <si>
    <t>CURRTRANSDATE</t>
  </si>
  <si>
    <t>当前交易日日期</t>
  </si>
  <si>
    <t>CURRTRANSPRICE</t>
  </si>
  <si>
    <t>当前交易日市价;净值)</t>
  </si>
  <si>
    <t>AVGPRICE</t>
  </si>
  <si>
    <t>最近一年均价;净值）</t>
  </si>
  <si>
    <t>BONDDENOMINATION</t>
  </si>
  <si>
    <t>债券面额;或数量</t>
  </si>
  <si>
    <t>HOLDERNAME</t>
  </si>
  <si>
    <r>
      <rPr>
        <sz val="9"/>
        <rFont val="宋体-简"/>
        <charset val="134"/>
      </rPr>
      <t>持有人名称</t>
    </r>
    <r>
      <rPr>
        <sz val="9"/>
        <rFont val="Arial"/>
        <charset val="0"/>
      </rPr>
      <t>/</t>
    </r>
    <r>
      <rPr>
        <sz val="9"/>
        <rFont val="宋体-简"/>
        <charset val="134"/>
      </rPr>
      <t>贵金属持有人</t>
    </r>
  </si>
  <si>
    <t>HOLDERFUNDCODE</t>
  </si>
  <si>
    <t>持有人资金代码</t>
  </si>
  <si>
    <t>TYPENAME</t>
  </si>
  <si>
    <t>类型名称</t>
  </si>
  <si>
    <t>CREDITORGSHORT</t>
  </si>
  <si>
    <t>评级机构;短期）</t>
  </si>
  <si>
    <t>CREDITLEVELSHORT</t>
  </si>
  <si>
    <t>评级等级;短期）</t>
  </si>
  <si>
    <t>CREDITORGLONG</t>
  </si>
  <si>
    <t>评级机构;长期)</t>
  </si>
  <si>
    <t>CREDITLEVELLONG</t>
  </si>
  <si>
    <t>评级等级;长期)</t>
  </si>
  <si>
    <t>PUBLISHERCODE</t>
  </si>
  <si>
    <t>发行人代码</t>
  </si>
  <si>
    <t>PUBLISHER</t>
  </si>
  <si>
    <t>发行人名称</t>
  </si>
  <si>
    <t>PUBTRADETYPE</t>
  </si>
  <si>
    <t>发行人交易对手类别</t>
  </si>
  <si>
    <t>PUBLONGCREDITORG</t>
  </si>
  <si>
    <t>发行人长期评级机构</t>
  </si>
  <si>
    <t>PUBLONGCREDITLEVEL</t>
  </si>
  <si>
    <t>发行人长期评级等级</t>
  </si>
  <si>
    <t>PUBCOUNTRY</t>
  </si>
  <si>
    <t>发行人所在国家</t>
  </si>
  <si>
    <t>ISPROFIT</t>
  </si>
  <si>
    <r>
      <rPr>
        <sz val="9"/>
        <rFont val="宋体-简"/>
        <charset val="134"/>
      </rPr>
      <t>上市公司是否盈利</t>
    </r>
    <r>
      <rPr>
        <sz val="9"/>
        <rFont val="Arial"/>
        <charset val="0"/>
      </rPr>
      <t>/</t>
    </r>
    <r>
      <rPr>
        <sz val="9"/>
        <rFont val="宋体-简"/>
        <charset val="134"/>
      </rPr>
      <t>公司是否盈利</t>
    </r>
  </si>
  <si>
    <t>FINANCEFLAG01</t>
  </si>
  <si>
    <t>是否具有现金价值</t>
  </si>
  <si>
    <t>FINANCEFLAG02</t>
  </si>
  <si>
    <t>是否于认可的交易所上交易</t>
  </si>
  <si>
    <t>FINANCEFLAG03</t>
  </si>
  <si>
    <t>是否主要交易指数成分</t>
  </si>
  <si>
    <t>STOCKMANANGER</t>
  </si>
  <si>
    <t>股票托管券商</t>
  </si>
  <si>
    <t>ACCOUNTSUM</t>
  </si>
  <si>
    <t>保证金账户金额</t>
  </si>
  <si>
    <t>BAILACCOUNTSOURCE</t>
  </si>
  <si>
    <t>01-在岸;02-离岸;02-离岸</t>
  </si>
  <si>
    <t>ACCOUNTCTRLSUM</t>
  </si>
  <si>
    <t>保证金账户已控制金额</t>
  </si>
  <si>
    <t>ACCOUNTSTATUS</t>
  </si>
  <si>
    <t>01;正常；02 销户；;正常；02 销户；</t>
  </si>
  <si>
    <t>ACCOUNTUPDATEDATE</t>
  </si>
  <si>
    <t>保证金账户数据更新日期</t>
  </si>
  <si>
    <t>TRADEMARKET</t>
  </si>
  <si>
    <t>clr_asset_others_equipment</t>
  </si>
  <si>
    <t>TRANPORTNAME</t>
  </si>
  <si>
    <t>车辆/船舶/航空器名称</t>
  </si>
  <si>
    <t>车辆类型</t>
  </si>
  <si>
    <t>EQUIPMENTNAME</t>
  </si>
  <si>
    <r>
      <rPr>
        <sz val="9"/>
        <rFont val="宋体-简"/>
        <charset val="134"/>
      </rPr>
      <t>设备名称</t>
    </r>
    <r>
      <rPr>
        <sz val="9"/>
        <rFont val="Arial"/>
        <charset val="0"/>
      </rPr>
      <t>/</t>
    </r>
    <r>
      <rPr>
        <sz val="9"/>
        <rFont val="宋体-简"/>
        <charset val="134"/>
      </rPr>
      <t>押品具体名称</t>
    </r>
  </si>
  <si>
    <t>ENGINENO</t>
  </si>
  <si>
    <t>发动机号</t>
  </si>
  <si>
    <t>ENGINETYPE</t>
  </si>
  <si>
    <t>航空器、在建航空器的发动机型号</t>
  </si>
  <si>
    <t>ENGINEPRODUCTIONDATE</t>
  </si>
  <si>
    <t>发动机出厂日期</t>
  </si>
  <si>
    <t>SHIPTYPE</t>
  </si>
  <si>
    <t>MODELNO</t>
  </si>
  <si>
    <t>设备型号</t>
  </si>
  <si>
    <t>BRAND</t>
  </si>
  <si>
    <r>
      <rPr>
        <sz val="9"/>
        <rFont val="宋体-简"/>
        <charset val="134"/>
      </rPr>
      <t>品牌型号</t>
    </r>
    <r>
      <rPr>
        <sz val="9"/>
        <rFont val="Arial"/>
        <charset val="0"/>
      </rPr>
      <t>/</t>
    </r>
    <r>
      <rPr>
        <sz val="9"/>
        <rFont val="宋体-简"/>
        <charset val="134"/>
      </rPr>
      <t>品牌</t>
    </r>
    <r>
      <rPr>
        <sz val="9"/>
        <rFont val="Arial"/>
        <charset val="0"/>
      </rPr>
      <t>/</t>
    </r>
    <r>
      <rPr>
        <sz val="9"/>
        <rFont val="宋体-简"/>
        <charset val="134"/>
      </rPr>
      <t>型号</t>
    </r>
  </si>
  <si>
    <t>MANUFACTURER</t>
  </si>
  <si>
    <t>生产厂家</t>
  </si>
  <si>
    <t>ORIGIN</t>
  </si>
  <si>
    <t>生产地</t>
  </si>
  <si>
    <t>ORIGINCOUNTRY</t>
  </si>
  <si>
    <t>生产国别</t>
  </si>
  <si>
    <t>SPECIFICATION</t>
  </si>
  <si>
    <t>主要规格/设备规格</t>
  </si>
  <si>
    <t>COLOR</t>
  </si>
  <si>
    <t>颜色</t>
  </si>
  <si>
    <t>VIN</t>
  </si>
  <si>
    <t>车架号</t>
  </si>
  <si>
    <t>LPN</t>
  </si>
  <si>
    <t>车牌号</t>
  </si>
  <si>
    <t>MAINTAINENCE</t>
  </si>
  <si>
    <t>技术故障及维修状况</t>
  </si>
  <si>
    <t>SHIPRGISTNO</t>
  </si>
  <si>
    <t>船舶登记号/航空器编号</t>
  </si>
  <si>
    <t>AIRCRAFTTYPE</t>
  </si>
  <si>
    <t>航空器类型</t>
  </si>
  <si>
    <t>HOMEPORT</t>
  </si>
  <si>
    <t>船籍港</t>
  </si>
  <si>
    <t>SHIPCLASS</t>
  </si>
  <si>
    <t>船级</t>
  </si>
  <si>
    <t>NAVIGATINGZONE</t>
  </si>
  <si>
    <t>航区</t>
  </si>
  <si>
    <t>LENGTH</t>
  </si>
  <si>
    <t>总长</t>
  </si>
  <si>
    <t>MOLDEDBREADTH</t>
  </si>
  <si>
    <t>型宽</t>
  </si>
  <si>
    <t>MOLDEDDEPTH</t>
  </si>
  <si>
    <t>型深</t>
  </si>
  <si>
    <t>LOADCAPCITY</t>
  </si>
  <si>
    <t>总载重量/载重量/汽车载重量</t>
  </si>
  <si>
    <t>LOADDISPLACEMENT</t>
  </si>
  <si>
    <t>满载排水量/载客量</t>
  </si>
  <si>
    <t>MAINENGINEMODELNO</t>
  </si>
  <si>
    <t>主机型号</t>
  </si>
  <si>
    <t>MAINENGINEPOWER</t>
  </si>
  <si>
    <t>主机功率</t>
  </si>
  <si>
    <t>MAINENGINETYPE</t>
  </si>
  <si>
    <t>主机类型</t>
  </si>
  <si>
    <t>COMPLETIONDATE</t>
  </si>
  <si>
    <r>
      <rPr>
        <sz val="9"/>
        <rFont val="宋体-简"/>
        <charset val="134"/>
      </rPr>
      <t>完工日期</t>
    </r>
    <r>
      <rPr>
        <sz val="9"/>
        <rFont val="Arial"/>
        <charset val="0"/>
      </rPr>
      <t>/</t>
    </r>
    <r>
      <rPr>
        <sz val="9"/>
        <rFont val="宋体-简"/>
        <charset val="134"/>
      </rPr>
      <t>到期日期</t>
    </r>
  </si>
  <si>
    <t>ISDELIVERED</t>
  </si>
  <si>
    <t>是否已交付</t>
  </si>
  <si>
    <t>DEIVERYDATE</t>
  </si>
  <si>
    <t>交付使用日期/航空器、在建航空器的交付使用日期</t>
  </si>
  <si>
    <t>MARKETDATE</t>
  </si>
  <si>
    <t>市场价格评估日期</t>
  </si>
  <si>
    <t>HOMEAGRMPRICE</t>
  </si>
  <si>
    <t>国内合同售价/最新参考购置价</t>
  </si>
  <si>
    <t>EXECUTEDTIME</t>
  </si>
  <si>
    <t>已投入运营时间/已行驶公里数</t>
  </si>
  <si>
    <t>SERVICEYEARSTATED</t>
  </si>
  <si>
    <r>
      <rPr>
        <sz val="9"/>
        <rFont val="宋体-简"/>
        <charset val="134"/>
      </rPr>
      <t>规定使用年限</t>
    </r>
    <r>
      <rPr>
        <sz val="9"/>
        <rFont val="Arial"/>
        <charset val="0"/>
      </rPr>
      <t>/</t>
    </r>
    <r>
      <rPr>
        <sz val="9"/>
        <rFont val="宋体-简"/>
        <charset val="134"/>
      </rPr>
      <t>使用年限说明</t>
    </r>
  </si>
  <si>
    <t>SURPLUSSERVICELIFE</t>
  </si>
  <si>
    <t>船舶、在建船舶的剩余使用年限</t>
  </si>
  <si>
    <t>SERVICEHOURSTATED</t>
  </si>
  <si>
    <t>规定总寿命小时/起落</t>
  </si>
  <si>
    <t>REBUILDHOURSTATED</t>
  </si>
  <si>
    <t>翻修;含D检）时限小时/飞行起落</t>
  </si>
  <si>
    <t>REBUILDHOURPASSED</t>
  </si>
  <si>
    <t>翻修;含D检）后已用小时/飞行起落</t>
  </si>
  <si>
    <t>REBUILDTIMES</t>
  </si>
  <si>
    <t>翻修;含D检）次数</t>
  </si>
  <si>
    <t>FOB</t>
  </si>
  <si>
    <t>离岸合同价;美元）</t>
  </si>
  <si>
    <t>CIF</t>
  </si>
  <si>
    <t>到岸合同价;美元）/到手价格</t>
  </si>
  <si>
    <t>TARIFFRATE</t>
  </si>
  <si>
    <t>关税税率</t>
  </si>
  <si>
    <t>CURRMARKETVALUE</t>
  </si>
  <si>
    <t>当前市场价格</t>
  </si>
  <si>
    <t>VALUEEXPECTED</t>
  </si>
  <si>
    <t>预计完工后价值</t>
  </si>
  <si>
    <t>RUNNEDHOURS</t>
  </si>
  <si>
    <t>船舶、在建船舶的已运转小时数/自开始已用小时/飞行起落</t>
  </si>
  <si>
    <t>CONTAINERCOUNT</t>
  </si>
  <si>
    <t>集装箱数</t>
  </si>
  <si>
    <t>REASONABLEDUILDPERIOD</t>
  </si>
  <si>
    <t>合理建造期</t>
  </si>
  <si>
    <t>PROGRESSSCHEDULE</t>
  </si>
  <si>
    <t>工程进度估计/航空器、在建航空器的工程进度估计</t>
  </si>
  <si>
    <t>UNFINISHPOSSIBILITY</t>
  </si>
  <si>
    <t>工程烂尾可能性估计/航空器、在建航空器的工程烂尾可能性估计</t>
  </si>
  <si>
    <t>RENTING</t>
  </si>
  <si>
    <t>租赁业务情况</t>
  </si>
  <si>
    <t>TRANSPORTAGRM</t>
  </si>
  <si>
    <t>已有运输业务合同情况</t>
  </si>
  <si>
    <t>QUANTITY</t>
  </si>
  <si>
    <t>设备数量</t>
  </si>
  <si>
    <t>DEPOSITPLACE</t>
  </si>
  <si>
    <t>存放地</t>
  </si>
  <si>
    <t>AGENCY</t>
  </si>
  <si>
    <t>经销商</t>
  </si>
  <si>
    <t>USEDETAIL</t>
  </si>
  <si>
    <t>设备用途</t>
  </si>
  <si>
    <t>PRODUCTIONDATE</t>
  </si>
  <si>
    <r>
      <rPr>
        <sz val="9"/>
        <rFont val="宋体-简"/>
        <charset val="134"/>
      </rPr>
      <t>出厂日期</t>
    </r>
    <r>
      <rPr>
        <sz val="9"/>
        <rFont val="Arial"/>
        <charset val="0"/>
      </rPr>
      <t>/</t>
    </r>
    <r>
      <rPr>
        <sz val="9"/>
        <rFont val="宋体-简"/>
        <charset val="134"/>
      </rPr>
      <t>航空器出厂日期</t>
    </r>
  </si>
  <si>
    <r>
      <rPr>
        <sz val="9"/>
        <rFont val="宋体-简"/>
        <charset val="134"/>
      </rPr>
      <t>购置日期</t>
    </r>
    <r>
      <rPr>
        <sz val="9"/>
        <rFont val="Arial"/>
        <charset val="0"/>
      </rPr>
      <t>/</t>
    </r>
    <r>
      <rPr>
        <sz val="9"/>
        <rFont val="宋体-简"/>
        <charset val="134"/>
      </rPr>
      <t>购入日期</t>
    </r>
  </si>
  <si>
    <t>EQUIPMENTTYPE</t>
  </si>
  <si>
    <t>EFFICIENCY</t>
  </si>
  <si>
    <t>生产能力</t>
  </si>
  <si>
    <t>OVERHAULTIMES</t>
  </si>
  <si>
    <t>大修次数</t>
  </si>
  <si>
    <t>BILLPRICE</t>
  </si>
  <si>
    <r>
      <rPr>
        <sz val="9"/>
        <rFont val="宋体-简"/>
        <charset val="134"/>
      </rPr>
      <t>发票价格</t>
    </r>
    <r>
      <rPr>
        <sz val="9"/>
        <rFont val="Arial"/>
        <charset val="0"/>
      </rPr>
      <t>/</t>
    </r>
    <r>
      <rPr>
        <sz val="9"/>
        <rFont val="宋体-简"/>
        <charset val="134"/>
      </rPr>
      <t>合同价格</t>
    </r>
    <r>
      <rPr>
        <sz val="9"/>
        <rFont val="Arial"/>
        <charset val="0"/>
      </rPr>
      <t>/</t>
    </r>
    <r>
      <rPr>
        <sz val="9"/>
        <rFont val="宋体-简"/>
        <charset val="134"/>
      </rPr>
      <t>合同建造价格</t>
    </r>
  </si>
  <si>
    <t>CONTRACTCURRENCY</t>
  </si>
  <si>
    <t>合同建造价格币种</t>
  </si>
  <si>
    <t>ASSEMBLEFEE</t>
  </si>
  <si>
    <t>设备安装费</t>
  </si>
  <si>
    <t>REASONABLEBUILDPERIOD</t>
  </si>
  <si>
    <t>合理工期;年）</t>
  </si>
  <si>
    <t>SEVICELIFE</t>
  </si>
  <si>
    <t>使用年限</t>
  </si>
  <si>
    <t>SURPLUSSERVICELIFEOTHER</t>
  </si>
  <si>
    <t>剩余使用年限</t>
  </si>
  <si>
    <t>RUNNEDHOURSOTHER</t>
  </si>
  <si>
    <t>已运转小时数</t>
  </si>
  <si>
    <t>ANNUALSURVEY</t>
  </si>
  <si>
    <t>年检情况</t>
  </si>
  <si>
    <t>TRANSPORTFLAG01</t>
  </si>
  <si>
    <t>是否已提交购置合同与发票</t>
  </si>
  <si>
    <t>TRANSPORTFLAG02</t>
  </si>
  <si>
    <t>是否已提交相关的行驶证</t>
  </si>
  <si>
    <t>TRANSPORTFLAG03</t>
  </si>
  <si>
    <t>是否已提交相关的年检记录</t>
  </si>
  <si>
    <t>TRANSPORTFLAG04</t>
  </si>
  <si>
    <t>是否有行驶证</t>
  </si>
  <si>
    <t>SHIPFLAG01</t>
  </si>
  <si>
    <t>是否满足其他认定条件</t>
  </si>
  <si>
    <t>SHIPFLAG02</t>
  </si>
  <si>
    <t>是否已提交船舶所有权登记证书/是否已提交航空器所有权证明文件</t>
  </si>
  <si>
    <t>SHIPFLAG03</t>
  </si>
  <si>
    <t>是否已提交船舶检验证书簿</t>
  </si>
  <si>
    <t>SHIPFLAG04</t>
  </si>
  <si>
    <t>是否已提交船舶船级证书</t>
  </si>
  <si>
    <t>SHIPFLAG05</t>
  </si>
  <si>
    <t>是否已提交航行日志/是否已提交飞行记录本</t>
  </si>
  <si>
    <t>SHIPFLAG06</t>
  </si>
  <si>
    <t>是否已提交相关租赁合同</t>
  </si>
  <si>
    <t>SHIPFLAG07</t>
  </si>
  <si>
    <t>是否已提交船舶适航证书/是否已提交适航证</t>
  </si>
  <si>
    <t>SHIPFLAG09</t>
  </si>
  <si>
    <t>是否已提交船舶保险单正本（原件）</t>
  </si>
  <si>
    <t>SHIPFLAG10</t>
  </si>
  <si>
    <t>是否已提交船舶吨位证书</t>
  </si>
  <si>
    <t>SHIPFLAG11</t>
  </si>
  <si>
    <t>是否已提交船舶建造企业是否书面签署无条件放弃对该船舶留置权的声明合同</t>
  </si>
  <si>
    <t>SHIPFLAG12</t>
  </si>
  <si>
    <t>是否已提交与船舶、在建船舶相关的当年车船使用税证/是否有当年车船使用税证</t>
  </si>
  <si>
    <t>SHIPFLAG13</t>
  </si>
  <si>
    <t>是否已提交船舶国籍证书/是否已提交民用航空器国籍登记证书</t>
  </si>
  <si>
    <t>AIRCRAFTFLAG03</t>
  </si>
  <si>
    <t>是否已提交交付证书</t>
  </si>
  <si>
    <t>AIRCRAFTFLAG07</t>
  </si>
  <si>
    <t>是否已提交航空器使用手册</t>
  </si>
  <si>
    <t>VEHICLEFLAG01</t>
  </si>
  <si>
    <t>是否已提交车辆铭牌</t>
  </si>
  <si>
    <t>VEHICLEFLAG03</t>
  </si>
  <si>
    <t>是否已提交机动车登记证书</t>
  </si>
  <si>
    <t>VEHICLEFLAG04</t>
  </si>
  <si>
    <t>是否已提交机动车牌证</t>
  </si>
  <si>
    <t>VEHICLEFLAG05</t>
  </si>
  <si>
    <t>EQUIPMENTFLAG01</t>
  </si>
  <si>
    <t>同类资产在最近3个月内是否有成交记录</t>
  </si>
  <si>
    <t>EQUIPMENTFLAG02</t>
  </si>
  <si>
    <t>该机器设备是否为某成套设备中的一部分</t>
  </si>
  <si>
    <t>EQUIPMENTFLAG03</t>
  </si>
  <si>
    <t>是否已提交同类资产最近3个月内成交记录证明</t>
  </si>
  <si>
    <t>EQUIPMENTFLAG04</t>
  </si>
  <si>
    <t>是否已提交设备购置合同与发票、产品保修卡</t>
  </si>
  <si>
    <t>EQUIPMENTFLAG05</t>
  </si>
  <si>
    <t>该设备是否市场普遍流通</t>
  </si>
  <si>
    <t>LINE</t>
  </si>
  <si>
    <t>clr_asset_others_inventory</t>
  </si>
  <si>
    <t>INVENTORYID</t>
  </si>
  <si>
    <r>
      <rPr>
        <sz val="9"/>
        <rFont val="宋体-简"/>
        <charset val="134"/>
      </rPr>
      <t>存货编号</t>
    </r>
    <r>
      <rPr>
        <sz val="9"/>
        <rFont val="Arial"/>
        <charset val="0"/>
      </rPr>
      <t>/</t>
    </r>
    <r>
      <rPr>
        <sz val="9"/>
        <rFont val="宋体-简"/>
        <charset val="134"/>
      </rPr>
      <t>存货号</t>
    </r>
  </si>
  <si>
    <t>WAREHOUSERECENO</t>
  </si>
  <si>
    <t>仓单号/提单号</t>
  </si>
  <si>
    <t>REGNUMBER</t>
  </si>
  <si>
    <t>出口退税登记号码</t>
  </si>
  <si>
    <t>出口退税账户户名</t>
  </si>
  <si>
    <t>ACCOUNTBANKNO</t>
  </si>
  <si>
    <t>出口退税账户开户行</t>
  </si>
  <si>
    <t>TRANSPORTCONTRACTNO</t>
  </si>
  <si>
    <t>运输合同号码</t>
  </si>
  <si>
    <t>TRANSPORTCONTRACTNAME</t>
  </si>
  <si>
    <t>运输合同名称</t>
  </si>
  <si>
    <t>CARRIER</t>
  </si>
  <si>
    <t>承运人</t>
  </si>
  <si>
    <t>CONSIGNOR</t>
  </si>
  <si>
    <t>托运人</t>
  </si>
  <si>
    <t>CONSIGNEE</t>
  </si>
  <si>
    <t>收货人</t>
  </si>
  <si>
    <t>RECIVEPLACE</t>
  </si>
  <si>
    <t>接货地</t>
  </si>
  <si>
    <t>GETPLACE</t>
  </si>
  <si>
    <t>卸货地</t>
  </si>
  <si>
    <t>LOADOFPLACE</t>
  </si>
  <si>
    <t>装货地</t>
  </si>
  <si>
    <t>NOTIFY</t>
  </si>
  <si>
    <t>通知方</t>
  </si>
  <si>
    <t>ROUGHWEIGHT</t>
  </si>
  <si>
    <t>毛重</t>
  </si>
  <si>
    <t>INVENTORYSIZE</t>
  </si>
  <si>
    <t>尺码</t>
  </si>
  <si>
    <t>SUBPLACE</t>
  </si>
  <si>
    <t>交货地</t>
  </si>
  <si>
    <t>CARGOTYPE</t>
  </si>
  <si>
    <t>CARGONAME</t>
  </si>
  <si>
    <t>货物名称</t>
  </si>
  <si>
    <t>CARGOQUANTITY</t>
  </si>
  <si>
    <r>
      <rPr>
        <sz val="9"/>
        <rFont val="宋体-简"/>
        <charset val="134"/>
      </rPr>
      <t>货物数量</t>
    </r>
    <r>
      <rPr>
        <sz val="9"/>
        <rFont val="Arial"/>
        <charset val="0"/>
      </rPr>
      <t>;</t>
    </r>
    <r>
      <rPr>
        <sz val="9"/>
        <rFont val="宋体-简"/>
        <charset val="134"/>
      </rPr>
      <t>或重量）</t>
    </r>
    <r>
      <rPr>
        <sz val="9"/>
        <rFont val="Arial"/>
        <charset val="0"/>
      </rPr>
      <t>/</t>
    </r>
    <r>
      <rPr>
        <sz val="9"/>
        <rFont val="宋体-简"/>
        <charset val="134"/>
      </rPr>
      <t>毛重</t>
    </r>
    <r>
      <rPr>
        <sz val="9"/>
        <rFont val="Arial"/>
        <charset val="0"/>
      </rPr>
      <t>/</t>
    </r>
    <r>
      <rPr>
        <sz val="9"/>
        <rFont val="宋体-简"/>
        <charset val="134"/>
      </rPr>
      <t>数量</t>
    </r>
  </si>
  <si>
    <t>MEASUREUNIT</t>
  </si>
  <si>
    <t>货物计量单位</t>
  </si>
  <si>
    <t>规格</t>
  </si>
  <si>
    <t>产地</t>
  </si>
  <si>
    <t>UNITPRICE</t>
  </si>
  <si>
    <t>单价</t>
  </si>
  <si>
    <t>STORAGECOMPANYNAME</t>
  </si>
  <si>
    <t>仓储公司名称</t>
  </si>
  <si>
    <t>STORAGESTARTDATE</t>
  </si>
  <si>
    <t>存放起始日期/存储起始日</t>
  </si>
  <si>
    <t>STORAGEDUEDATE</t>
  </si>
  <si>
    <r>
      <rPr>
        <sz val="9"/>
        <rFont val="宋体-简"/>
        <charset val="134"/>
      </rPr>
      <t>存储到期日</t>
    </r>
    <r>
      <rPr>
        <sz val="9"/>
        <rFont val="Arial"/>
        <charset val="0"/>
      </rPr>
      <t>/</t>
    </r>
    <r>
      <rPr>
        <sz val="9"/>
        <rFont val="宋体-简"/>
        <charset val="134"/>
      </rPr>
      <t>提单到期日期</t>
    </r>
  </si>
  <si>
    <t>INSURANCE</t>
  </si>
  <si>
    <t>保险情况</t>
  </si>
  <si>
    <t>CURRMARKETPRICE</t>
  </si>
  <si>
    <t>STORINGADDRESS</t>
  </si>
  <si>
    <t>货物存放地</t>
  </si>
  <si>
    <t>PURCHASEPRICE</t>
  </si>
  <si>
    <t>购入单价</t>
  </si>
  <si>
    <t>LEGALITY</t>
  </si>
  <si>
    <t>未来货权合法性情况</t>
  </si>
  <si>
    <t>WRDUEDATE</t>
  </si>
  <si>
    <t>仓单到期日</t>
  </si>
  <si>
    <t>MARKETPRICETIME</t>
  </si>
  <si>
    <t>市场价格采用时间</t>
  </si>
  <si>
    <t>PRICEINFOSOURCE</t>
  </si>
  <si>
    <t>采用价格信息来源</t>
  </si>
  <si>
    <t>TITLETYPE</t>
  </si>
  <si>
    <t>埃森哲数据标准中的“押品类型”:01;标准仓单
02 非标准仓单
03 提单
04 其他
在浦发管理办法中通过押品类型区分</t>
  </si>
  <si>
    <t>TITLENO</t>
  </si>
  <si>
    <t>入库验收报告单号/提单号</t>
  </si>
  <si>
    <t>MEMBERID</t>
  </si>
  <si>
    <t>会员号</t>
  </si>
  <si>
    <t>ISSUER</t>
  </si>
  <si>
    <t>填发人/签发人</t>
  </si>
  <si>
    <t>ISSUEPLACE</t>
  </si>
  <si>
    <t>填发地/签发地点</t>
  </si>
  <si>
    <t>ISSUEDATE</t>
  </si>
  <si>
    <t>填发日期/签发日期</t>
  </si>
  <si>
    <t>WREFFECTIVEDATE</t>
  </si>
  <si>
    <t>仓单生效日</t>
  </si>
  <si>
    <t>COMMODITYFUTURE</t>
  </si>
  <si>
    <t>HOLDINGLOT</t>
  </si>
  <si>
    <t>持有手数</t>
  </si>
  <si>
    <t>HOLDINGLOTCOUNT</t>
  </si>
  <si>
    <t>持有手数数量/签发份数</t>
  </si>
  <si>
    <t>WRAPTYPE</t>
  </si>
  <si>
    <t>货物包装种类</t>
  </si>
  <si>
    <t>FREIGHTPAYTYPE</t>
  </si>
  <si>
    <t>FREIGHTSUM</t>
  </si>
  <si>
    <t>运费金额</t>
  </si>
  <si>
    <t>EXPORTREBATESCERTID</t>
  </si>
  <si>
    <t>出口退税账户相关营业执照编号</t>
  </si>
  <si>
    <t>EXPORTREBATESACCOUNT</t>
  </si>
  <si>
    <t>出口退税账户账号</t>
  </si>
  <si>
    <t>ENTREBATESLEVEL</t>
  </si>
  <si>
    <t>企业退税等级</t>
  </si>
  <si>
    <t>EXPORTREBATESRATE</t>
  </si>
  <si>
    <t>出口退税率</t>
  </si>
  <si>
    <t>ARRIVALTIME</t>
  </si>
  <si>
    <t>预计到账时间</t>
  </si>
  <si>
    <t>REBATEMETHOD</t>
  </si>
  <si>
    <t>退付办法</t>
  </si>
  <si>
    <t>COMMODITYNAME</t>
  </si>
  <si>
    <t>商品名称</t>
  </si>
  <si>
    <t>COMMODITYPRICE</t>
  </si>
  <si>
    <t>商品单价</t>
  </si>
  <si>
    <t>EXPORTVOLUME</t>
  </si>
  <si>
    <t>出口量</t>
  </si>
  <si>
    <t>PRODUCTSALEPLACE</t>
  </si>
  <si>
    <t>产品销往地</t>
  </si>
  <si>
    <t>ISCOMMITCONTRACT</t>
  </si>
  <si>
    <t>是否已提交商品买卖合同</t>
  </si>
  <si>
    <t>INVENTORYFLAG06</t>
  </si>
  <si>
    <t>是否已提交商品交易发票</t>
  </si>
  <si>
    <t>INVENTORYFLAG09</t>
  </si>
  <si>
    <t>是否已提交相关保险证明</t>
  </si>
  <si>
    <t>INVENTORYFLAG01</t>
  </si>
  <si>
    <t>是否为法律和行规法规禁止流通的货物</t>
  </si>
  <si>
    <t>INVENTORYFLAG02</t>
  </si>
  <si>
    <t>是否已提交质检单</t>
  </si>
  <si>
    <t>INVENTORYFLAG03</t>
  </si>
  <si>
    <t>是否已提交合格证</t>
  </si>
  <si>
    <t>INVENTORYFLAG04</t>
  </si>
  <si>
    <t>是否已提交商检证明</t>
  </si>
  <si>
    <t>INVENTORYFLAG07</t>
  </si>
  <si>
    <t>是否已提交货物存放证明</t>
  </si>
  <si>
    <t>INVENTORYFLAG08</t>
  </si>
  <si>
    <t>是否已提交货运合同</t>
  </si>
  <si>
    <t>INVENTORYFLAG10</t>
  </si>
  <si>
    <t>是否已提交由托管机构指定仓库提供的出质人名下的贵金属的证明文件</t>
  </si>
  <si>
    <t>INVENTORYFLAG11</t>
  </si>
  <si>
    <t>是否已提交信用证项下的货物、权利凭证</t>
  </si>
  <si>
    <t>ISCOMMITWR</t>
  </si>
  <si>
    <t>是否已提交仓单凭证</t>
  </si>
  <si>
    <t>ISCOMMITSOURCECERT</t>
  </si>
  <si>
    <t>是否已提交原产地证</t>
  </si>
  <si>
    <t>ISCOMMITPAYMENTVOUCHER</t>
  </si>
  <si>
    <t>是否已提交付款凭证</t>
  </si>
  <si>
    <t>ISCOMMITTRANSBILLS</t>
  </si>
  <si>
    <t>是否已提交运输单据</t>
  </si>
  <si>
    <t>ISCOMMITQUALITYINSPECTION</t>
  </si>
  <si>
    <t>是否已提交质量和重量检验证明</t>
  </si>
  <si>
    <t>ETRA01</t>
  </si>
  <si>
    <t>是否已提交出口货物报关单（出口退税联）</t>
  </si>
  <si>
    <t>ETRA02</t>
  </si>
  <si>
    <t>是否已提交与出口退税账户相关的企业法人营业执照</t>
  </si>
  <si>
    <t>ETRA03</t>
  </si>
  <si>
    <t>是否已提交外汇核销单</t>
  </si>
  <si>
    <t>ETRA04</t>
  </si>
  <si>
    <t>是否已提交出口收汇税单</t>
  </si>
  <si>
    <t>ETRA05</t>
  </si>
  <si>
    <t>是否已提交增值税专用发票</t>
  </si>
  <si>
    <t>ETRA06</t>
  </si>
  <si>
    <t>是否已提交税收（出口货物专用）缴款书</t>
  </si>
  <si>
    <t>ETRA07</t>
  </si>
  <si>
    <t>是否已提交商品出口协议</t>
  </si>
  <si>
    <t>ETRA08</t>
  </si>
  <si>
    <t>是否已提交国税局签发的未退税金额情况证明</t>
  </si>
  <si>
    <t>ETRA09</t>
  </si>
  <si>
    <t>是否已提交外经贸委签发的未退税额证明</t>
  </si>
  <si>
    <t>ETRA10</t>
  </si>
  <si>
    <t>是否已提交借款人应退未退税款数额的相应稽核证明</t>
  </si>
  <si>
    <t>ETRA11</t>
  </si>
  <si>
    <t>是否已提交出口退税账号相关存折或凭证</t>
  </si>
  <si>
    <t>ETRA12</t>
  </si>
  <si>
    <t>市价是否由独立的价值评估者所估计</t>
  </si>
  <si>
    <t>clr_asset_others_resource</t>
  </si>
  <si>
    <t>LEGALREPRESENTATIVE</t>
  </si>
  <si>
    <r>
      <rPr>
        <sz val="9"/>
        <rFont val="宋体-简"/>
        <charset val="134"/>
      </rPr>
      <t>法定代表人</t>
    </r>
    <r>
      <rPr>
        <sz val="9"/>
        <rFont val="Arial"/>
        <charset val="0"/>
      </rPr>
      <t>/</t>
    </r>
    <r>
      <rPr>
        <sz val="9"/>
        <rFont val="宋体-简"/>
        <charset val="134"/>
      </rPr>
      <t>森林或林木所有权权利人/资产权利人</t>
    </r>
  </si>
  <si>
    <t>FORESTLANDUSETYPE</t>
  </si>
  <si>
    <t>RESOURCERIGHTTYPE</t>
  </si>
  <si>
    <t>FOURBOUNDARY</t>
  </si>
  <si>
    <t>四至/荒地四至</t>
  </si>
  <si>
    <t>FORESTCATEGORY</t>
  </si>
  <si>
    <t>林地林种</t>
  </si>
  <si>
    <t>TREESPECY</t>
  </si>
  <si>
    <t>林地树种</t>
  </si>
  <si>
    <t>TREEAGE</t>
  </si>
  <si>
    <t>林地树龄</t>
  </si>
  <si>
    <t>FORESTAGE</t>
  </si>
  <si>
    <t>林地林龄</t>
  </si>
  <si>
    <t>TREEAMOUNT</t>
  </si>
  <si>
    <t>林地株数</t>
  </si>
  <si>
    <t>SAVEUP</t>
  </si>
  <si>
    <t>林地蓄积</t>
  </si>
  <si>
    <t>DOMINANTSHAREHOLDER</t>
  </si>
  <si>
    <t>控股股东</t>
  </si>
  <si>
    <t>MINENAME</t>
  </si>
  <si>
    <t>矿山名称/项目名称</t>
  </si>
  <si>
    <t>MINERALTYPE</t>
  </si>
  <si>
    <t>矿产种类</t>
  </si>
  <si>
    <t>MRSTARTDATE</t>
  </si>
  <si>
    <r>
      <rPr>
        <sz val="9"/>
        <rFont val="宋体-简"/>
        <charset val="134"/>
      </rPr>
      <t>采矿权起始日</t>
    </r>
    <r>
      <rPr>
        <sz val="9"/>
        <rFont val="Arial"/>
        <charset val="0"/>
      </rPr>
      <t>/</t>
    </r>
    <r>
      <rPr>
        <sz val="9"/>
        <rFont val="宋体-简"/>
        <charset val="134"/>
      </rPr>
      <t>探矿权起始日/许可证起始日/发证起始日</t>
    </r>
  </si>
  <si>
    <t>MRDUEDATE</t>
  </si>
  <si>
    <r>
      <rPr>
        <sz val="9"/>
        <rFont val="宋体-简"/>
        <charset val="134"/>
      </rPr>
      <t>采矿权到期日</t>
    </r>
    <r>
      <rPr>
        <sz val="9"/>
        <rFont val="Arial"/>
        <charset val="0"/>
      </rPr>
      <t>/</t>
    </r>
    <r>
      <rPr>
        <sz val="9"/>
        <rFont val="宋体-简"/>
        <charset val="134"/>
      </rPr>
      <t>探矿权到期日/许可证到期日/发证到期日</t>
    </r>
  </si>
  <si>
    <t>MININGMETHOD</t>
  </si>
  <si>
    <t>开采方式</t>
  </si>
  <si>
    <t>RETAINEDRESERVES</t>
  </si>
  <si>
    <t>保有资源储量</t>
  </si>
  <si>
    <t>MINERALGRADE</t>
  </si>
  <si>
    <t>矿产品位</t>
  </si>
  <si>
    <t>VERIFIEDRESERVES</t>
  </si>
  <si>
    <t>探明的经济基础储量</t>
  </si>
  <si>
    <t>EXPLIOTEDRESERVES</t>
  </si>
  <si>
    <t>其中已开采消耗储量</t>
  </si>
  <si>
    <t>CONTROLLEDRESERVES</t>
  </si>
  <si>
    <t>控制的经济基础储量</t>
  </si>
  <si>
    <t>INFERREDRESERVES</t>
  </si>
  <si>
    <t>推断内蕴经济资源量</t>
  </si>
  <si>
    <t>RECOVERYRATE</t>
  </si>
  <si>
    <t>回采率</t>
  </si>
  <si>
    <t>PRODUCTIONSCALE</t>
  </si>
  <si>
    <t>生产规模能力</t>
  </si>
  <si>
    <t>PRODUCTONTIMEPASSED</t>
  </si>
  <si>
    <t>已投入采矿生产时间</t>
  </si>
  <si>
    <t>PRODUCTIONTIMEREMAINED</t>
  </si>
  <si>
    <t>预计剩余可生产时间</t>
  </si>
  <si>
    <t>ANNUALOUTPUT</t>
  </si>
  <si>
    <t>年产量</t>
  </si>
  <si>
    <t>PRODUCTIONPRICE</t>
  </si>
  <si>
    <t>产品价格</t>
  </si>
  <si>
    <t>DSHEXPERIENCE</t>
  </si>
  <si>
    <t>控股股东从事矿业开采从业时间</t>
  </si>
  <si>
    <t>MININGATT01</t>
  </si>
  <si>
    <t>采矿权使用费及采矿权价款缴纳情况</t>
  </si>
  <si>
    <t>MININGATT02</t>
  </si>
  <si>
    <t>矿产资源补偿费缴纳情况</t>
  </si>
  <si>
    <t>MININGATT03</t>
  </si>
  <si>
    <t>资源税缴纳情况</t>
  </si>
  <si>
    <t>MININGATT04</t>
  </si>
  <si>
    <t>安全评估情况</t>
  </si>
  <si>
    <t>MININGATT05</t>
  </si>
  <si>
    <t>年度审查情况</t>
  </si>
  <si>
    <t>MININGFLAG01</t>
  </si>
  <si>
    <t>是否需要申请项目融资</t>
  </si>
  <si>
    <t>WOODLANDOBLIGEE</t>
  </si>
  <si>
    <t>林地所有权权利人</t>
  </si>
  <si>
    <t>FORESTOBLIGEE</t>
  </si>
  <si>
    <t>森林或林木所有权权利人</t>
  </si>
  <si>
    <t>WOODLANDSECONDLEVELTYPE</t>
  </si>
  <si>
    <t>NATURALCALAMITY</t>
  </si>
  <si>
    <t>自然灾害发生情况</t>
  </si>
  <si>
    <t>ROWSPACING</t>
  </si>
  <si>
    <t>株行距情况</t>
  </si>
  <si>
    <t>RCP</t>
  </si>
  <si>
    <t>轮伐期</t>
  </si>
  <si>
    <t>OTHERVEGETATION</t>
  </si>
  <si>
    <t>其他植被情况</t>
  </si>
  <si>
    <t>WOODANNUALOUTPUT</t>
  </si>
  <si>
    <t>林木年产量情况</t>
  </si>
  <si>
    <t>WOODPRICEMEMO</t>
  </si>
  <si>
    <t>木材价格描述</t>
  </si>
  <si>
    <t>MECHANIZATIONLEVEL</t>
  </si>
  <si>
    <t>机械化水平/农业技术水平</t>
  </si>
  <si>
    <t>USAGEPERIOD</t>
  </si>
  <si>
    <t>林地使用期</t>
  </si>
  <si>
    <t>TIMEPASSED</t>
  </si>
  <si>
    <t>林地已使用时间</t>
  </si>
  <si>
    <t>WOODLANDRIGHTDUEDATE</t>
  </si>
  <si>
    <t>林地使用权终止日期</t>
  </si>
  <si>
    <t>TRAFFICCONDITON</t>
  </si>
  <si>
    <t>NATIONPOLICY</t>
  </si>
  <si>
    <t>LANDRENTINCOME</t>
  </si>
  <si>
    <t>土地租金年收入</t>
  </si>
  <si>
    <t>MININGFLAG02</t>
  </si>
  <si>
    <t>采矿权是否符合转让条件</t>
  </si>
  <si>
    <t>MININGFLAG03</t>
  </si>
  <si>
    <t>采矿权是否已出租</t>
  </si>
  <si>
    <t>RESOURCERIGHTNO</t>
  </si>
  <si>
    <r>
      <rPr>
        <sz val="9"/>
        <rFont val="宋体-简"/>
        <charset val="134"/>
      </rPr>
      <t>采矿权权证号</t>
    </r>
    <r>
      <rPr>
        <sz val="9"/>
        <rFont val="Arial"/>
        <charset val="0"/>
      </rPr>
      <t>/</t>
    </r>
    <r>
      <rPr>
        <sz val="9"/>
        <rFont val="宋体-简"/>
        <charset val="134"/>
      </rPr>
      <t>海域使用权登记号/探矿权权证号/林权证编号/资产权证号/证书编号</t>
    </r>
  </si>
  <si>
    <t>BOUNDARY</t>
  </si>
  <si>
    <t>海域界址</t>
  </si>
  <si>
    <t>GNTWATERSAREA</t>
  </si>
  <si>
    <t>宗海面积</t>
  </si>
  <si>
    <t>海域使用权的年度审查情况</t>
  </si>
  <si>
    <t>WATERSGRADE</t>
  </si>
  <si>
    <t>海域等级</t>
  </si>
  <si>
    <t>USAGETYPE</t>
  </si>
  <si>
    <t>ASSIGNMENTFEE</t>
  </si>
  <si>
    <t>海域出让金/海域转让金</t>
  </si>
  <si>
    <t>USAGESTARTDATE</t>
  </si>
  <si>
    <t>海域使用权批准使用起始日期</t>
  </si>
  <si>
    <t>USAGEDUEDATE</t>
  </si>
  <si>
    <t>海域使用权批准使用终止日期</t>
  </si>
  <si>
    <t>WASTELANDCONTRACTNO</t>
  </si>
  <si>
    <t>荒地承包合同编号</t>
  </si>
  <si>
    <t>WASTELANDCERTTID</t>
  </si>
  <si>
    <t>荒地所属土地使用权证号</t>
  </si>
  <si>
    <t>WASTELANDDUEDATE</t>
  </si>
  <si>
    <t>荒地所属土地使用权到期日</t>
  </si>
  <si>
    <t>WASTELANDUSAGE</t>
  </si>
  <si>
    <t>CONTRACTPERIOD</t>
  </si>
  <si>
    <t>荒地承包期限</t>
  </si>
  <si>
    <t>CONTRACTSUM</t>
  </si>
  <si>
    <r>
      <rPr>
        <sz val="9"/>
        <rFont val="宋体-简"/>
        <charset val="134"/>
      </rPr>
      <t>荒地承包金额</t>
    </r>
    <r>
      <rPr>
        <sz val="9"/>
        <rFont val="Arial"/>
        <charset val="0"/>
      </rPr>
      <t>/</t>
    </r>
    <r>
      <rPr>
        <sz val="9"/>
        <rFont val="宋体-简"/>
        <charset val="134"/>
      </rPr>
      <t>资产金额</t>
    </r>
  </si>
  <si>
    <t>LUR03ATT01</t>
  </si>
  <si>
    <t>合同终止时地上附着物处置方式</t>
  </si>
  <si>
    <t>LUR03ATT02</t>
  </si>
  <si>
    <t>荒地地貌</t>
  </si>
  <si>
    <t>LUR03ATT03</t>
  </si>
  <si>
    <t>荒地所属土地流转情况</t>
  </si>
  <si>
    <t>OWNERNAME</t>
  </si>
  <si>
    <r>
      <rPr>
        <sz val="9"/>
        <rFont val="宋体-简"/>
        <charset val="134"/>
      </rPr>
      <t>权利人名称</t>
    </r>
    <r>
      <rPr>
        <sz val="9"/>
        <rFont val="Arial"/>
        <charset val="0"/>
      </rPr>
      <t>/</t>
    </r>
    <r>
      <rPr>
        <sz val="9"/>
        <rFont val="宋体-简"/>
        <charset val="134"/>
      </rPr>
      <t>探矿权人名称</t>
    </r>
  </si>
  <si>
    <t>APPROVEORG</t>
  </si>
  <si>
    <t>权利批准机关</t>
  </si>
  <si>
    <t>LUR03FLAG01</t>
  </si>
  <si>
    <t>荒地可否续期</t>
  </si>
  <si>
    <t>LUR03FLAG02</t>
  </si>
  <si>
    <t>是否已提交荒地所属土地使用权证</t>
  </si>
  <si>
    <t>LUR03FLAG03</t>
  </si>
  <si>
    <t>是否已提交四荒地承包合同</t>
  </si>
  <si>
    <t>LUR03FLAG04</t>
  </si>
  <si>
    <t>是否已提交农村土地承包经营权证书</t>
  </si>
  <si>
    <t>MININGFLAG04</t>
  </si>
  <si>
    <t>矿山是否已经按要求关闭或被列入关闭计划</t>
  </si>
  <si>
    <t>MININGFLAG05</t>
  </si>
  <si>
    <t>是否已提交采矿权许可证</t>
  </si>
  <si>
    <t>MININGFLAG06</t>
  </si>
  <si>
    <t>是否已提交与采矿权相关的企业法人营业执照</t>
  </si>
  <si>
    <t>MININGFLAG07</t>
  </si>
  <si>
    <t>是否已提交企业财务会计报表</t>
  </si>
  <si>
    <t>MININGFLAG08</t>
  </si>
  <si>
    <t>是否已提交资源储量核实报告</t>
  </si>
  <si>
    <t>MININGFLAG09</t>
  </si>
  <si>
    <t>是否已提交地质勘查报告</t>
  </si>
  <si>
    <t>MININGFLAG10</t>
  </si>
  <si>
    <t>是否已提交（预）可行性研究报告</t>
  </si>
  <si>
    <t>MININGFLAG11</t>
  </si>
  <si>
    <t>是否已提交矿产资源开发利用方案</t>
  </si>
  <si>
    <t>MININGFLAG12</t>
  </si>
  <si>
    <t>是否已提交矿山设计（初步设计、生产设计等）</t>
  </si>
  <si>
    <t>MININGFLAG13</t>
  </si>
  <si>
    <t>是否已提交采矿权评估报告确认书</t>
  </si>
  <si>
    <t>MININGFLAG14</t>
  </si>
  <si>
    <t>是否已提交矿山环境影响评价报告书</t>
  </si>
  <si>
    <t>MININGFLAG15</t>
  </si>
  <si>
    <t>是否已提交地震安全评价或地质环境影响评价报告及保护方案</t>
  </si>
  <si>
    <t>MININGFLAG16</t>
  </si>
  <si>
    <t>是否已提交矿山企业主管部门的许可或得到国有资产管理部门的批准文件</t>
  </si>
  <si>
    <t>MININGFLAG17</t>
  </si>
  <si>
    <t>是否已提交矿山建设安全设施设计审查批准意见书</t>
  </si>
  <si>
    <t>MININGFLAG18</t>
  </si>
  <si>
    <t>是否已提交国土资源厅关于资源储量报告的审查意见函</t>
  </si>
  <si>
    <t>MININGFLAG19</t>
  </si>
  <si>
    <t>是否已提交储量动用报告</t>
  </si>
  <si>
    <t>MININGFLAG20</t>
  </si>
  <si>
    <t>是否已提交增值税发票</t>
  </si>
  <si>
    <t>MININGFLAG21</t>
  </si>
  <si>
    <t>是否已提交采矿权评估报告（如有）</t>
  </si>
  <si>
    <t>MININGFLAG22</t>
  </si>
  <si>
    <t>是否已提交由矿产资源补偿费征收管理机关出具的有关矿产资源补偿费缴纳情况的证明材料</t>
  </si>
  <si>
    <t>MININGFLAG23</t>
  </si>
  <si>
    <t>是否已提交由资源税征收管理机关出具的有关资源税缴纳情况的证明材料</t>
  </si>
  <si>
    <t>FORESTFLAG01</t>
  </si>
  <si>
    <t>是否已提交林地相关的林权证</t>
  </si>
  <si>
    <t>LUR02FLAG02</t>
  </si>
  <si>
    <t>是否已提交相关租让合同</t>
  </si>
  <si>
    <t>WATERSFLAG01</t>
  </si>
  <si>
    <t>是否已提交海域使用权证书</t>
  </si>
  <si>
    <t>WATERSFLAG02</t>
  </si>
  <si>
    <t>是否已提交海域出让合同/海域转让合同</t>
  </si>
  <si>
    <t>FOREST01FLAG02</t>
  </si>
  <si>
    <t>是否已提交森林和林木所属的土地使用权证</t>
  </si>
  <si>
    <t>WOODLANDDESCRIPTION</t>
  </si>
  <si>
    <t>林地描述</t>
  </si>
  <si>
    <t>ACREAGE</t>
  </si>
  <si>
    <r>
      <rPr>
        <sz val="9"/>
        <rFont val="宋体-简"/>
        <charset val="134"/>
      </rPr>
      <t>面积</t>
    </r>
    <r>
      <rPr>
        <sz val="9"/>
        <rFont val="Arial"/>
        <charset val="0"/>
      </rPr>
      <t>/</t>
    </r>
    <r>
      <rPr>
        <sz val="9"/>
        <rFont val="宋体-简"/>
        <charset val="134"/>
      </rPr>
      <t>勘察面积</t>
    </r>
  </si>
  <si>
    <t>clr_asset_others_sbc</t>
  </si>
  <si>
    <t>REFTOLLRIGHTOWNER</t>
  </si>
  <si>
    <t>相关收费权所有人</t>
  </si>
  <si>
    <t>STRUCTURENAME</t>
  </si>
  <si>
    <t>构造物名称</t>
  </si>
  <si>
    <t>STRUCTUREHOLDER</t>
  </si>
  <si>
    <t>构造物持有人</t>
  </si>
  <si>
    <t>STRUCTURELOCATION</t>
  </si>
  <si>
    <r>
      <rPr>
        <sz val="9"/>
        <rFont val="宋体-简"/>
        <charset val="134"/>
      </rPr>
      <t>构造物的坐落位置</t>
    </r>
    <r>
      <rPr>
        <sz val="9"/>
        <rFont val="Arial"/>
        <charset val="0"/>
      </rPr>
      <t>/</t>
    </r>
    <r>
      <rPr>
        <sz val="9"/>
        <rFont val="宋体-简"/>
        <charset val="134"/>
      </rPr>
      <t>详细地址</t>
    </r>
  </si>
  <si>
    <t>STRUCTUREDEVELOPER</t>
  </si>
  <si>
    <t>构造物开发商名称</t>
  </si>
  <si>
    <t>ZIPCODE</t>
  </si>
  <si>
    <t>邮政编码</t>
  </si>
  <si>
    <t>构造物所属土地地号</t>
  </si>
  <si>
    <t>LANDUSER</t>
  </si>
  <si>
    <t>构造物所属土地使用权人</t>
  </si>
  <si>
    <t>LANDCERTID</t>
  </si>
  <si>
    <t>构造物所属土地使用权证号</t>
  </si>
  <si>
    <t>STRUCTURETYPE</t>
  </si>
  <si>
    <t>STRUCTURESOURCE</t>
  </si>
  <si>
    <r>
      <rPr>
        <sz val="9"/>
        <rFont val="宋体-简"/>
        <charset val="134"/>
      </rPr>
      <t>构造物来源</t>
    </r>
    <r>
      <rPr>
        <sz val="9"/>
        <rFont val="Arial"/>
        <charset val="0"/>
      </rPr>
      <t>/</t>
    </r>
    <r>
      <rPr>
        <sz val="9"/>
        <rFont val="宋体-简"/>
        <charset val="134"/>
      </rPr>
      <t>权属来源</t>
    </r>
  </si>
  <si>
    <t>STRUCTURELEVEL</t>
  </si>
  <si>
    <t>构造物等级</t>
  </si>
  <si>
    <t>STRUCTUREUSEAREA</t>
  </si>
  <si>
    <t>构造物所属土地使用权面积</t>
  </si>
  <si>
    <t>STRUCTUREUSETYPE</t>
  </si>
  <si>
    <t>构造物所属土地使用权类型</t>
  </si>
  <si>
    <t>STRUCTURELANDLEVEL</t>
  </si>
  <si>
    <t>构造物所属土地分级</t>
  </si>
  <si>
    <t>STRUCTUREACHIEVECOST</t>
  </si>
  <si>
    <r>
      <rPr>
        <sz val="9"/>
        <rFont val="宋体-简"/>
        <charset val="134"/>
      </rPr>
      <t>构造物所属土地使用权取得价格</t>
    </r>
    <r>
      <rPr>
        <sz val="9"/>
        <rFont val="Arial"/>
        <charset val="0"/>
      </rPr>
      <t>/</t>
    </r>
    <r>
      <rPr>
        <sz val="9"/>
        <rFont val="宋体-简"/>
        <charset val="134"/>
      </rPr>
      <t>使用权购入价值</t>
    </r>
  </si>
  <si>
    <t>构造物竣工日期</t>
  </si>
  <si>
    <t>RUNNEDPERIOD</t>
  </si>
  <si>
    <t>构造物已运营时间</t>
  </si>
  <si>
    <t>RUNNINGSCALE</t>
  </si>
  <si>
    <t>构造物运营规模</t>
  </si>
  <si>
    <t>ANNUALINCOME</t>
  </si>
  <si>
    <t>构造物年平均运营收入</t>
  </si>
  <si>
    <t>STRUCTUREEQUIPMENT</t>
  </si>
  <si>
    <t>构造物配套设施设备</t>
  </si>
  <si>
    <t>MATCHBUILDING</t>
  </si>
  <si>
    <t>构造物配套建筑</t>
  </si>
  <si>
    <t>STRUCTUREDESCRIBE</t>
  </si>
  <si>
    <t>构造物基础设施情况描述</t>
  </si>
  <si>
    <t>VACANCYPERIOD</t>
  </si>
  <si>
    <t>构造物空置时间</t>
  </si>
  <si>
    <t>REMAINUSEYEARS</t>
  </si>
  <si>
    <t>构造物所属土地剩余使用年限</t>
  </si>
  <si>
    <t>RENTTYPE</t>
  </si>
  <si>
    <t>构造物租赁形式</t>
  </si>
  <si>
    <t>LEASEMENTSTARTDATE</t>
  </si>
  <si>
    <t>构造物租赁合同生效日</t>
  </si>
  <si>
    <t>LEASEMENTENDDATE</t>
  </si>
  <si>
    <t>构造物租赁合同到期日</t>
  </si>
  <si>
    <t>LANDUSEYEARS</t>
  </si>
  <si>
    <t>所属土地使用权年限</t>
  </si>
  <si>
    <t>LANDUSEENDDATE</t>
  </si>
  <si>
    <t>所属土地使用权到期日</t>
  </si>
  <si>
    <t>BUILDINGSTAUTS</t>
  </si>
  <si>
    <t>ISINDEPENDENTCERT</t>
  </si>
  <si>
    <t>构造物是否已办妥独立产权证或能办理独立产权证</t>
  </si>
  <si>
    <t>ISSTATEPROPERTY</t>
  </si>
  <si>
    <t>构造物是否为国家财产</t>
  </si>
  <si>
    <t>ISMEANINGFULBUIDING</t>
  </si>
  <si>
    <t>构造物是否包含被列为文物保护的古建筑或是有重要纪念意义的建筑物</t>
  </si>
  <si>
    <t>ISDEMOLITIONBUILDING</t>
  </si>
  <si>
    <t>构造物是否包含已依法公告在国家建设征用拆迁范围内的房地产</t>
  </si>
  <si>
    <t>ISQUESTIONABLEBUILDING</t>
  </si>
  <si>
    <t>构造物是否为违法、违章建筑物或依法被查封、扣押、监管或采用其他强制性措施的财产</t>
  </si>
  <si>
    <t>ISQUALIFIED</t>
  </si>
  <si>
    <t>构造物是否已竣工验收并通过最近一次年检</t>
  </si>
  <si>
    <t>OWNERCERTIFICATION</t>
  </si>
  <si>
    <t>是否已提交构造物相关权属证明</t>
  </si>
  <si>
    <t>RELATIVECERTIFY</t>
  </si>
  <si>
    <t>是否已提交构造物相关的出租合同与相关登记证明</t>
  </si>
  <si>
    <t>FINANCEREPORTFLAG</t>
  </si>
  <si>
    <t>是否已提交构造物相关的企业财务报表</t>
  </si>
  <si>
    <t>LANDUSEFLAG</t>
  </si>
  <si>
    <t>是否已提交构造物相关的土地使用权证</t>
  </si>
  <si>
    <t>LANDUSESELLFLAG</t>
  </si>
  <si>
    <t>是否已提交构造物相关的土地使用权出让合同</t>
  </si>
  <si>
    <t>ANNUALSURVEYDATA</t>
  </si>
  <si>
    <t>是否已提交构造物相关的年检材料</t>
  </si>
  <si>
    <t>URBANPLANNING</t>
  </si>
  <si>
    <t>当前或未来设计押品所在区域的城市规划计划或特殊政策</t>
  </si>
  <si>
    <t>clr_asset_others_tlpr</t>
  </si>
  <si>
    <t>PATENTNAME</t>
  </si>
  <si>
    <r>
      <rPr>
        <sz val="9"/>
        <rFont val="宋体-简"/>
        <charset val="134"/>
      </rPr>
      <t>专利名称</t>
    </r>
    <r>
      <rPr>
        <sz val="9"/>
        <rFont val="Arial"/>
        <charset val="0"/>
      </rPr>
      <t>/</t>
    </r>
    <r>
      <rPr>
        <sz val="9"/>
        <rFont val="宋体-简"/>
        <charset val="134"/>
      </rPr>
      <t>权利名称</t>
    </r>
  </si>
  <si>
    <t>COPYRIGHTRGSTNO</t>
  </si>
  <si>
    <r>
      <rPr>
        <sz val="9"/>
        <rFont val="宋体-简"/>
        <charset val="134"/>
      </rPr>
      <t>著作权登记号</t>
    </r>
    <r>
      <rPr>
        <sz val="9"/>
        <rFont val="Arial"/>
        <charset val="0"/>
      </rPr>
      <t>/</t>
    </r>
    <r>
      <rPr>
        <sz val="9"/>
        <rFont val="宋体-简"/>
        <charset val="134"/>
      </rPr>
      <t>专利号</t>
    </r>
    <r>
      <rPr>
        <sz val="9"/>
        <rFont val="Arial"/>
        <charset val="0"/>
      </rPr>
      <t>/</t>
    </r>
    <r>
      <rPr>
        <sz val="9"/>
        <rFont val="宋体-简"/>
        <charset val="134"/>
      </rPr>
      <t>商标注册证号码</t>
    </r>
  </si>
  <si>
    <t>AUTHOR</t>
  </si>
  <si>
    <t>作者/专利设计人</t>
  </si>
  <si>
    <t>RIGHTOWNER</t>
  </si>
  <si>
    <r>
      <rPr>
        <sz val="9"/>
        <rFont val="宋体-简"/>
        <charset val="134"/>
      </rPr>
      <t>专利权人</t>
    </r>
    <r>
      <rPr>
        <sz val="9"/>
        <rFont val="Arial"/>
        <charset val="0"/>
      </rPr>
      <t>/</t>
    </r>
    <r>
      <rPr>
        <sz val="9"/>
        <rFont val="宋体-简"/>
        <charset val="134"/>
      </rPr>
      <t>著作权人</t>
    </r>
    <r>
      <rPr>
        <sz val="9"/>
        <rFont val="Arial"/>
        <charset val="0"/>
      </rPr>
      <t>/</t>
    </r>
    <r>
      <rPr>
        <sz val="9"/>
        <rFont val="宋体-简"/>
        <charset val="134"/>
      </rPr>
      <t>有权人</t>
    </r>
  </si>
  <si>
    <t>PUBLICAITONSERAILNO</t>
  </si>
  <si>
    <t>出版物序列号</t>
  </si>
  <si>
    <t>作品创作完成时间</t>
  </si>
  <si>
    <t>FIRSTRELEASEDATE</t>
  </si>
  <si>
    <t>首次发表时间</t>
  </si>
  <si>
    <t>OWNERSHIP</t>
  </si>
  <si>
    <r>
      <rPr>
        <sz val="9"/>
        <rFont val="宋体-简"/>
        <charset val="134"/>
      </rPr>
      <t>著作权所有关系</t>
    </r>
    <r>
      <rPr>
        <sz val="9"/>
        <rFont val="Arial"/>
        <charset val="0"/>
      </rPr>
      <t>/</t>
    </r>
    <r>
      <rPr>
        <sz val="9"/>
        <rFont val="宋体-简"/>
        <charset val="134"/>
      </rPr>
      <t>著作权享有关系</t>
    </r>
  </si>
  <si>
    <t>COPYRIGHTSOURCE</t>
  </si>
  <si>
    <r>
      <rPr>
        <sz val="9"/>
        <rFont val="宋体-简"/>
        <charset val="134"/>
      </rPr>
      <t>著作权取得方式</t>
    </r>
    <r>
      <rPr>
        <sz val="9"/>
        <rFont val="Arial"/>
        <charset val="0"/>
      </rPr>
      <t>/</t>
    </r>
    <r>
      <rPr>
        <sz val="9"/>
        <rFont val="宋体-简"/>
        <charset val="134"/>
      </rPr>
      <t>取得方式</t>
    </r>
  </si>
  <si>
    <t>COPYRIGHTRATIO</t>
  </si>
  <si>
    <t>著作权享有比例</t>
  </si>
  <si>
    <t>WORKSTITLE</t>
  </si>
  <si>
    <t>作品名称</t>
  </si>
  <si>
    <t>使用情况</t>
  </si>
  <si>
    <t>COPYRIGHTTYPE</t>
  </si>
  <si>
    <t>著作权类型/专利权客体类型</t>
  </si>
  <si>
    <t>WORKSTYPE</t>
  </si>
  <si>
    <t>WORKSCREATIONMODE</t>
  </si>
  <si>
    <t>HISTORIALTRANSACTIONS</t>
  </si>
  <si>
    <t>以往评估交易情况</t>
  </si>
  <si>
    <r>
      <rPr>
        <sz val="9"/>
        <rFont val="宋体-简"/>
        <charset val="134"/>
      </rPr>
      <t>生效日</t>
    </r>
    <r>
      <rPr>
        <sz val="9"/>
        <rFont val="Arial"/>
        <charset val="0"/>
      </rPr>
      <t>/</t>
    </r>
    <r>
      <rPr>
        <sz val="9"/>
        <rFont val="宋体-简"/>
        <charset val="134"/>
      </rPr>
      <t>注册生效日/专利申请日期/著作权生效日期</t>
    </r>
  </si>
  <si>
    <r>
      <rPr>
        <sz val="9"/>
        <rFont val="宋体-简"/>
        <charset val="134"/>
      </rPr>
      <t>到期日</t>
    </r>
    <r>
      <rPr>
        <sz val="9"/>
        <rFont val="Arial"/>
        <charset val="0"/>
      </rPr>
      <t>/</t>
    </r>
    <r>
      <rPr>
        <sz val="9"/>
        <rFont val="宋体-简"/>
        <charset val="134"/>
      </rPr>
      <t>注册失效日/专利到期日期</t>
    </r>
  </si>
  <si>
    <t>PROTECTIONTERMREMAINED</t>
  </si>
  <si>
    <t>专利距离保护期届满的期间</t>
  </si>
  <si>
    <t>LEGALLIFE</t>
  </si>
  <si>
    <t>专利法定寿命</t>
  </si>
  <si>
    <t>INCOMEPV</t>
  </si>
  <si>
    <t>专利收入现值</t>
  </si>
  <si>
    <t>APPLICATIONFEE</t>
  </si>
  <si>
    <t>专利申请费/每年维权打假费用</t>
  </si>
  <si>
    <t>ANNUALFEE</t>
  </si>
  <si>
    <t>年费/每年广告宣传费用</t>
  </si>
  <si>
    <t>PATENTOBJECT</t>
  </si>
  <si>
    <t>专利权客体</t>
  </si>
  <si>
    <t>PATENTAPPLYSTATUS</t>
  </si>
  <si>
    <t>AWARDINGCOUNTRY</t>
  </si>
  <si>
    <t>专利授予国</t>
  </si>
  <si>
    <t>SUBORDINATIONINFO</t>
  </si>
  <si>
    <t>专利从属信息</t>
  </si>
  <si>
    <t>ASSIGNMENTINFO</t>
  </si>
  <si>
    <t>使用权转让情况</t>
  </si>
  <si>
    <t>COVERINGGOODS</t>
  </si>
  <si>
    <t>核定使用商品</t>
  </si>
  <si>
    <t>REGISTRANT</t>
  </si>
  <si>
    <t>注册人</t>
  </si>
  <si>
    <t>ENTERPRISETYPE</t>
  </si>
  <si>
    <r>
      <rPr>
        <sz val="9"/>
        <rFont val="宋体-简"/>
        <charset val="134"/>
      </rPr>
      <t>企业类型</t>
    </r>
    <r>
      <rPr>
        <sz val="9"/>
        <rFont val="Arial"/>
        <charset val="0"/>
      </rPr>
      <t>/</t>
    </r>
    <r>
      <rPr>
        <sz val="9"/>
        <rFont val="宋体-简"/>
        <charset val="134"/>
      </rPr>
      <t>注册企业类型</t>
    </r>
  </si>
  <si>
    <t>公司经营范围</t>
  </si>
  <si>
    <t>TRADEMARKTYPE</t>
  </si>
  <si>
    <t>TRADEMARKREPUTAITON</t>
  </si>
  <si>
    <t>GOODSQUALITY</t>
  </si>
  <si>
    <t>商品质量情况</t>
  </si>
  <si>
    <t>AFERSERVICE</t>
  </si>
  <si>
    <t>商品售后服务情况</t>
  </si>
  <si>
    <t>SELLINGNETWORK</t>
  </si>
  <si>
    <t>商品销售网络情况</t>
  </si>
  <si>
    <t>GOODSORIENTATION</t>
  </si>
  <si>
    <t>商品定位情况</t>
  </si>
  <si>
    <t>GOODSFUNCTION</t>
  </si>
  <si>
    <t>产品功能情况</t>
  </si>
  <si>
    <t>MARKETSHARE</t>
  </si>
  <si>
    <t>市场占有率</t>
  </si>
  <si>
    <t>ANNUALSALE</t>
  </si>
  <si>
    <t>年销售额</t>
  </si>
  <si>
    <t>CIRCULATEDPERIOD</t>
  </si>
  <si>
    <t>产品实际流通时间</t>
  </si>
  <si>
    <t>INVENTIONTYPE</t>
  </si>
  <si>
    <t>AUTHORIZATIONDATE</t>
  </si>
  <si>
    <t>专利授权公告日</t>
  </si>
  <si>
    <t>APPROVINGAGENCY</t>
  </si>
  <si>
    <t>商标注册机构/专利批准机构/著作权登记机构</t>
  </si>
  <si>
    <t>TRADEMARKFLAG01</t>
  </si>
  <si>
    <t>是否已提交专利证书/是否已提交商标注册证</t>
  </si>
  <si>
    <t>TRADEMARKFLAG02</t>
  </si>
  <si>
    <t>是否已提交与注册商标专用权相关的企业法人营业执照</t>
  </si>
  <si>
    <t>TRADEMARKFLAG03</t>
  </si>
  <si>
    <t>是否已提交与注册商标专用权相关的企业财务报表</t>
  </si>
  <si>
    <t>TRADEMARKFLAG04</t>
  </si>
  <si>
    <t>是否已提交表明商标等级的相关证书</t>
  </si>
  <si>
    <t>TRADEMARKFLAG05</t>
  </si>
  <si>
    <t>商标标识05</t>
  </si>
  <si>
    <t>COPYRIGHTFLAG01</t>
  </si>
  <si>
    <t>是否已提交著作权相关转让协议</t>
  </si>
  <si>
    <t>COPYRIGHTFLAG02</t>
  </si>
  <si>
    <t>是否已提交著作权登记证书</t>
  </si>
  <si>
    <t>COPYRIGHTFLAG03</t>
  </si>
  <si>
    <t>是否已提交著作权客体作品</t>
  </si>
  <si>
    <t>COPYRIGHTFLAG04</t>
  </si>
  <si>
    <t>是否已提交著作权相关交易证明</t>
  </si>
  <si>
    <t>PATENTFLAG01</t>
  </si>
  <si>
    <t>专利标识01</t>
  </si>
  <si>
    <t>PATENTFLAG02</t>
  </si>
  <si>
    <t>是否已提交专利说明书</t>
  </si>
  <si>
    <t>PATENTFLAG03</t>
  </si>
  <si>
    <t>是否已提交专利技术检测报告</t>
  </si>
  <si>
    <t>PATENTFLAG04</t>
  </si>
  <si>
    <t>是否已提交科学技术成果鉴定证书</t>
  </si>
  <si>
    <t>PATENTFLAG05</t>
  </si>
  <si>
    <t>是否已提交年费缴纳记录</t>
  </si>
  <si>
    <t>PATENTFLAG06</t>
  </si>
  <si>
    <t>是否已提交与专利权相关的企业财务报表</t>
  </si>
  <si>
    <t>ANNUALFEEPAYDESCRIPTION</t>
  </si>
  <si>
    <t>专利年费缴纳情况</t>
  </si>
  <si>
    <t>ACQUISITIONCOST</t>
  </si>
  <si>
    <t>专利取得成本</t>
  </si>
  <si>
    <t>clr_asset_realty</t>
  </si>
  <si>
    <t>REALESTATEID</t>
  </si>
  <si>
    <t>楼盘编号</t>
  </si>
  <si>
    <t>LANDLEVEL</t>
  </si>
  <si>
    <t>LANDNAME</t>
  </si>
  <si>
    <t>土地名称</t>
  </si>
  <si>
    <t>LANDPURPOSE</t>
  </si>
  <si>
    <t>REALTYPRESELLCONTRACTNO</t>
  </si>
  <si>
    <r>
      <rPr>
        <sz val="9"/>
        <rFont val="宋体-简"/>
        <charset val="134"/>
      </rPr>
      <t>房屋预售合同号</t>
    </r>
    <r>
      <rPr>
        <sz val="9"/>
        <rFont val="Arial"/>
        <charset val="0"/>
      </rPr>
      <t>/</t>
    </r>
    <r>
      <rPr>
        <sz val="9"/>
        <rFont val="宋体-简"/>
        <charset val="134"/>
      </rPr>
      <t>房屋购买合同号</t>
    </r>
  </si>
  <si>
    <t>REALTYCERTID</t>
  </si>
  <si>
    <r>
      <rPr>
        <sz val="9"/>
        <rFont val="宋体-简"/>
        <charset val="134"/>
      </rPr>
      <t>房产证编号</t>
    </r>
    <r>
      <rPr>
        <sz val="9"/>
        <rFont val="Arial"/>
        <charset val="0"/>
      </rPr>
      <t>/</t>
    </r>
    <r>
      <rPr>
        <sz val="9"/>
        <rFont val="宋体-简"/>
        <charset val="134"/>
      </rPr>
      <t>在建类房产证编号</t>
    </r>
    <r>
      <rPr>
        <sz val="9"/>
        <rFont val="Arial"/>
        <charset val="0"/>
      </rPr>
      <t>/</t>
    </r>
    <r>
      <rPr>
        <sz val="9"/>
        <rFont val="宋体-简"/>
        <charset val="134"/>
      </rPr>
      <t>房屋所有权证号/农村房屋产权证编号</t>
    </r>
  </si>
  <si>
    <t>REALTYDEVELOPERNAME</t>
  </si>
  <si>
    <t>房产开发商名称/地上附着物名称/在建类房产开发商名称</t>
  </si>
  <si>
    <t>REALTYZIPCODE</t>
  </si>
  <si>
    <t>房产邮政编码/在建类房产的邮政编码</t>
  </si>
  <si>
    <t>REALTYLANDNO</t>
  </si>
  <si>
    <t>房产地号/宗地编号/在建类房产的地号</t>
  </si>
  <si>
    <t>PROJECTNAME</t>
  </si>
  <si>
    <t>房产开发项目名称</t>
  </si>
  <si>
    <r>
      <rPr>
        <sz val="9"/>
        <rFont val="宋体-简"/>
        <charset val="134"/>
      </rPr>
      <t>土地使用权人</t>
    </r>
    <r>
      <rPr>
        <sz val="9"/>
        <rFont val="Arial"/>
        <charset val="0"/>
      </rPr>
      <t>/</t>
    </r>
    <r>
      <rPr>
        <sz val="9"/>
        <rFont val="宋体-简"/>
        <charset val="134"/>
      </rPr>
      <t>使用权所有人</t>
    </r>
    <r>
      <rPr>
        <sz val="9"/>
        <rFont val="Arial"/>
        <charset val="0"/>
      </rPr>
      <t>/</t>
    </r>
    <r>
      <rPr>
        <sz val="9"/>
        <rFont val="宋体-简"/>
        <charset val="134"/>
      </rPr>
      <t>房产持有者</t>
    </r>
    <r>
      <rPr>
        <sz val="9"/>
        <rFont val="Arial"/>
        <charset val="0"/>
      </rPr>
      <t>/</t>
    </r>
    <r>
      <rPr>
        <sz val="9"/>
        <rFont val="宋体-简"/>
        <charset val="134"/>
      </rPr>
      <t>使用权所有人</t>
    </r>
    <r>
      <rPr>
        <sz val="9"/>
        <rFont val="Arial"/>
        <charset val="0"/>
      </rPr>
      <t>/</t>
    </r>
    <r>
      <rPr>
        <sz val="9"/>
        <rFont val="宋体-简"/>
        <charset val="134"/>
      </rPr>
      <t>宅基地所有权权利人名称</t>
    </r>
  </si>
  <si>
    <t>土地使用权证号/在建类房产土地使用权证编号</t>
  </si>
  <si>
    <t>BUILDINGLANDUSER</t>
  </si>
  <si>
    <t>在建类房产所属土地使用权人</t>
  </si>
  <si>
    <t>RIGHTSOURCE</t>
  </si>
  <si>
    <r>
      <rPr>
        <sz val="9"/>
        <rFont val="宋体-简"/>
        <charset val="134"/>
      </rPr>
      <t>房屋所有权来源</t>
    </r>
    <r>
      <rPr>
        <sz val="9"/>
        <rFont val="Arial"/>
        <charset val="0"/>
      </rPr>
      <t>/</t>
    </r>
    <r>
      <rPr>
        <sz val="9"/>
        <rFont val="宋体-简"/>
        <charset val="134"/>
      </rPr>
      <t>土地取得方式/获取方式</t>
    </r>
  </si>
  <si>
    <t>HOUSESHARE</t>
  </si>
  <si>
    <t>占用房屋份额</t>
  </si>
  <si>
    <t>FLOORAREA</t>
  </si>
  <si>
    <t>建筑面积/土地面积</t>
  </si>
  <si>
    <t>USEAREA</t>
  </si>
  <si>
    <t>使用面积/土地/在建工程使用权面积</t>
  </si>
  <si>
    <t>LANDATTAREA</t>
  </si>
  <si>
    <t>地上附着物面积</t>
  </si>
  <si>
    <t>ABOVEGROUNDAREA</t>
  </si>
  <si>
    <t>地上建筑总面积;m2）</t>
  </si>
  <si>
    <t>UNDERGROUNDAREA</t>
  </si>
  <si>
    <r>
      <rPr>
        <sz val="9"/>
        <rFont val="宋体-简"/>
        <charset val="134"/>
      </rPr>
      <t>地下建筑总面积</t>
    </r>
    <r>
      <rPr>
        <sz val="9"/>
        <rFont val="Arial"/>
        <charset val="0"/>
      </rPr>
      <t>;m2</t>
    </r>
    <r>
      <rPr>
        <sz val="9"/>
        <rFont val="宋体-简"/>
        <charset val="134"/>
      </rPr>
      <t>）</t>
    </r>
  </si>
  <si>
    <t>LANDUSETYPE</t>
  </si>
  <si>
    <r>
      <rPr>
        <sz val="9"/>
        <rFont val="宋体-简"/>
        <charset val="134"/>
      </rPr>
      <t>所属土地使用权类型</t>
    </r>
    <r>
      <rPr>
        <sz val="9"/>
        <rFont val="Arial"/>
        <charset val="0"/>
      </rPr>
      <t>/</t>
    </r>
    <r>
      <rPr>
        <sz val="9"/>
        <rFont val="宋体-简"/>
        <charset val="134"/>
      </rPr>
      <t>土地性质</t>
    </r>
  </si>
  <si>
    <t>REALTYTYPE</t>
  </si>
  <si>
    <t>房产类型/工业房地产类别</t>
  </si>
  <si>
    <t>REMAININGUSEYEARS</t>
  </si>
  <si>
    <t>所在土地的剩余使用年限;计算)/土地剩余使用年限/在建类房产所属土地的剩余使用年限</t>
  </si>
  <si>
    <t>BUILDINGYEARS</t>
  </si>
  <si>
    <t>建筑物年限</t>
  </si>
  <si>
    <t>LANDUSEDUEDATE</t>
  </si>
  <si>
    <t>土地使用权到期日</t>
  </si>
  <si>
    <t>STANDARDUSEYEARS</t>
  </si>
  <si>
    <t>标准使用权年限/土地法定使用年限/房产合理工期;年)</t>
  </si>
  <si>
    <r>
      <rPr>
        <sz val="9"/>
        <rFont val="宋体-简"/>
        <charset val="134"/>
      </rPr>
      <t>竣工日期</t>
    </r>
    <r>
      <rPr>
        <sz val="9"/>
        <rFont val="Arial"/>
        <charset val="0"/>
      </rPr>
      <t>/</t>
    </r>
    <r>
      <rPr>
        <sz val="9"/>
        <rFont val="宋体-简"/>
        <charset val="134"/>
      </rPr>
      <t>土地使用起始日</t>
    </r>
    <r>
      <rPr>
        <sz val="9"/>
        <rFont val="Arial"/>
        <charset val="0"/>
      </rPr>
      <t>/购入日期/土地购入日期/竣工验收日期</t>
    </r>
  </si>
  <si>
    <t>DELIVERYDATE</t>
  </si>
  <si>
    <r>
      <rPr>
        <sz val="9"/>
        <rFont val="宋体-简"/>
        <charset val="134"/>
      </rPr>
      <t>交房日期</t>
    </r>
    <r>
      <rPr>
        <sz val="9"/>
        <rFont val="Arial"/>
        <charset val="0"/>
      </rPr>
      <t>/</t>
    </r>
    <r>
      <rPr>
        <sz val="9"/>
        <rFont val="宋体-简"/>
        <charset val="134"/>
      </rPr>
      <t>房屋建成时间</t>
    </r>
  </si>
  <si>
    <t>BUILDINGDENSITY</t>
  </si>
  <si>
    <t>建筑密度</t>
  </si>
  <si>
    <t>PLOTRATIO</t>
  </si>
  <si>
    <t>容积率</t>
  </si>
  <si>
    <t>INFRASTRUCTURE</t>
  </si>
  <si>
    <t>基础设施情况描述</t>
  </si>
  <si>
    <t>VACANCYTIME</t>
  </si>
  <si>
    <t>房产空置时间/土地闲置时间</t>
  </si>
  <si>
    <t>所在区域当前或未来的城市规划计划或特殊政策/;土地)当前或未来押品所在区域的城市规划计划或特殊政策</t>
  </si>
  <si>
    <t>LURAREA</t>
  </si>
  <si>
    <r>
      <rPr>
        <sz val="9"/>
        <rFont val="宋体-简"/>
        <charset val="134"/>
      </rPr>
      <t>房产的土地使用权面积</t>
    </r>
    <r>
      <rPr>
        <sz val="9"/>
        <rFont val="Arial"/>
        <charset val="0"/>
      </rPr>
      <t>;</t>
    </r>
    <r>
      <rPr>
        <sz val="9"/>
        <rFont val="宋体-简"/>
        <charset val="134"/>
      </rPr>
      <t>商办</t>
    </r>
    <r>
      <rPr>
        <sz val="9"/>
        <rFont val="Arial"/>
        <charset val="0"/>
      </rPr>
      <t>/</t>
    </r>
    <r>
      <rPr>
        <sz val="9"/>
        <rFont val="宋体-简"/>
        <charset val="134"/>
      </rPr>
      <t>工业</t>
    </r>
    <r>
      <rPr>
        <sz val="9"/>
        <rFont val="Arial"/>
        <charset val="0"/>
      </rPr>
      <t>)/</t>
    </r>
    <r>
      <rPr>
        <sz val="9"/>
        <rFont val="宋体-简"/>
        <charset val="134"/>
      </rPr>
      <t>所属土地使用权面积</t>
    </r>
  </si>
  <si>
    <t>LURPRICE</t>
  </si>
  <si>
    <t>房产所在土地使用权取得价格;商办/工业)/土地出让价值</t>
  </si>
  <si>
    <t>LANDPRICE</t>
  </si>
  <si>
    <t>所属土地使用权购入价值</t>
  </si>
  <si>
    <t>FLOORLOADBEARING</t>
  </si>
  <si>
    <t>房产楼层承重</t>
  </si>
  <si>
    <t>ELECVOLUME</t>
  </si>
  <si>
    <t>房产的电容量</t>
  </si>
  <si>
    <t>ANCILLARYBUILDING</t>
  </si>
  <si>
    <t>房产的配套建筑;商办/工业)</t>
  </si>
  <si>
    <t>房产租赁形式;商办/工业)</t>
  </si>
  <si>
    <t>RENTAGRMEFFDATE</t>
  </si>
  <si>
    <t>房产的租赁合同生效日;商办/工业)</t>
  </si>
  <si>
    <t>RENTAGRMEXPIRYDATE</t>
  </si>
  <si>
    <t>房产的租赁合同到期日;商办/工业)</t>
  </si>
  <si>
    <t>INDUSTRIALPARKLEVEL</t>
  </si>
  <si>
    <t>工业园区等级</t>
  </si>
  <si>
    <t>INDUSTRYPOSITION</t>
  </si>
  <si>
    <t>产业定位</t>
  </si>
  <si>
    <t>DEVMODEL</t>
  </si>
  <si>
    <t>工业房地产开发模式</t>
  </si>
  <si>
    <t>PROFITMODEL</t>
  </si>
  <si>
    <t>INDEPENDENCE</t>
  </si>
  <si>
    <t>工业用房产独立性</t>
  </si>
  <si>
    <t>ISSTANDARD</t>
  </si>
  <si>
    <t>是否满足所处行业厂房设计标准</t>
  </si>
  <si>
    <t>FOOTFALL</t>
  </si>
  <si>
    <t>客流量;商办)</t>
  </si>
  <si>
    <t>YEARTAKING</t>
  </si>
  <si>
    <t>年营业收入;商办)/预计完工后房产价值</t>
  </si>
  <si>
    <t>FLOORHEIGHT</t>
  </si>
  <si>
    <t>层高;商办)</t>
  </si>
  <si>
    <t>AVAILABLECARPORT</t>
  </si>
  <si>
    <t>可用停车场车位数</t>
  </si>
  <si>
    <t>RENTAL</t>
  </si>
  <si>
    <r>
      <rPr>
        <sz val="9"/>
        <rFont val="宋体-简"/>
        <charset val="134"/>
      </rPr>
      <t>月租金收入</t>
    </r>
    <r>
      <rPr>
        <sz val="9"/>
        <rFont val="Arial"/>
        <charset val="0"/>
      </rPr>
      <t>/</t>
    </r>
    <r>
      <rPr>
        <sz val="9"/>
        <rFont val="宋体-简"/>
        <charset val="134"/>
      </rPr>
      <t>工程预算值/在建工程预算值</t>
    </r>
  </si>
  <si>
    <t>CURRENTVACANYRATE</t>
  </si>
  <si>
    <t>当前空置率</t>
  </si>
  <si>
    <t>REALTYHOLDER</t>
  </si>
  <si>
    <r>
      <rPr>
        <sz val="9"/>
        <rFont val="宋体-简"/>
        <charset val="134"/>
      </rPr>
      <t>房产持有者</t>
    </r>
    <r>
      <rPr>
        <sz val="9"/>
        <rFont val="Arial"/>
        <charset val="0"/>
      </rPr>
      <t>/</t>
    </r>
    <r>
      <rPr>
        <sz val="9"/>
        <rFont val="宋体-简"/>
        <charset val="134"/>
      </rPr>
      <t>使用权所有人</t>
    </r>
    <r>
      <rPr>
        <sz val="9"/>
        <rFont val="Arial"/>
        <charset val="0"/>
      </rPr>
      <t>/</t>
    </r>
    <r>
      <rPr>
        <sz val="9"/>
        <rFont val="宋体-简"/>
        <charset val="134"/>
      </rPr>
      <t>房屋所有权人/宅基地使用权权利人名称</t>
    </r>
  </si>
  <si>
    <t>CURRENTSTATUS</t>
  </si>
  <si>
    <t>房屋状态/土地现状</t>
  </si>
  <si>
    <t>REALTYUNITPRICE</t>
  </si>
  <si>
    <t>房屋单价;元）</t>
  </si>
  <si>
    <t>FITMENTLEVEL</t>
  </si>
  <si>
    <t>FITMENTDETAIL</t>
  </si>
  <si>
    <t>REFPRICE</t>
  </si>
  <si>
    <t>同类房产参考价格/已投入工程款</t>
  </si>
  <si>
    <t>REFPRICECASETIME</t>
  </si>
  <si>
    <t>房产参考价格基准时间</t>
  </si>
  <si>
    <t>REFPRICEINFOSOURCE</t>
  </si>
  <si>
    <t>房产参考价格信息来源</t>
  </si>
  <si>
    <t>建筑形式/建设用地使用权类型</t>
  </si>
  <si>
    <t>PLANELAYOUT</t>
  </si>
  <si>
    <t>平面布置</t>
  </si>
  <si>
    <t>TOTALFLOOR</t>
  </si>
  <si>
    <t>总层数</t>
  </si>
  <si>
    <t>REASONABLEDURATION</t>
  </si>
  <si>
    <t>USERDETAIL</t>
  </si>
  <si>
    <t>PARKCONDITION</t>
  </si>
  <si>
    <t>FRONTAGE</t>
  </si>
  <si>
    <t>居住/商办用房产临街情况</t>
  </si>
  <si>
    <t>NEARBYCONDITION</t>
  </si>
  <si>
    <t>居住/商办用房产附近的大型厂房或潜在环境污染源</t>
  </si>
  <si>
    <t>TAXPAY</t>
  </si>
  <si>
    <t>租赁情况综述</t>
  </si>
  <si>
    <t>PARCELTERRAIN</t>
  </si>
  <si>
    <t>宗地地形</t>
  </si>
  <si>
    <t>LANDATT</t>
  </si>
  <si>
    <t>地上附着物情况</t>
  </si>
  <si>
    <t>TERRAINGRADIENT</t>
  </si>
  <si>
    <t>地形坡度</t>
  </si>
  <si>
    <t>GEOLOGICALCONDITION</t>
  </si>
  <si>
    <t>地质条件</t>
  </si>
  <si>
    <t>RECEIVINGBANK</t>
  </si>
  <si>
    <t>销售回款账户所在银行</t>
  </si>
  <si>
    <t>PROJECTPLAN</t>
  </si>
  <si>
    <t>房产工程进度估计</t>
  </si>
  <si>
    <t>UNFINISHEDPOSSIBILITY</t>
  </si>
  <si>
    <t>房产工程烂尾可能性估计</t>
  </si>
  <si>
    <t>PLANDEVLEVEL</t>
  </si>
  <si>
    <t>预计开发程度</t>
  </si>
  <si>
    <t>LANDTRANSFEES</t>
  </si>
  <si>
    <t>土地出让金已缴纳金额</t>
  </si>
  <si>
    <t>PROJECTTYPE</t>
  </si>
  <si>
    <t>LANDTRANSFEESSTATUS</t>
  </si>
  <si>
    <t>在建类房产所属土地出让金缴纳状态</t>
  </si>
  <si>
    <t>BUILDINGPLANNINGNUMBER</t>
  </si>
  <si>
    <t>建设工程施工许可证编号</t>
  </si>
  <si>
    <t>LANDPLANNINGNUMBER</t>
  </si>
  <si>
    <t>建设用地规划许可证编号</t>
  </si>
  <si>
    <t>CONSTRUCTIONPLANNINGNUMBER</t>
  </si>
  <si>
    <t>建筑工程规划许可证编号</t>
  </si>
  <si>
    <t>REALTYDETAIL</t>
  </si>
  <si>
    <t>LOANPURPOSE</t>
  </si>
  <si>
    <t>工业用房产申请贷款用途/在建类房产贷款用途</t>
  </si>
  <si>
    <t>RRSFLAG13</t>
  </si>
  <si>
    <t>是否已提交国有资产管理部门或上级主管部门同意办理抵押的批准文件</t>
  </si>
  <si>
    <t>RRSFLAG14</t>
  </si>
  <si>
    <t>是否已提交地价评估及确认报告</t>
  </si>
  <si>
    <t>RRSFLAG15</t>
  </si>
  <si>
    <t>是否已提交同意抵押的职代会决议文件</t>
  </si>
  <si>
    <t>RRSFLAG16</t>
  </si>
  <si>
    <t>是否已提交在建类房产相关的土地使用权出让合同</t>
  </si>
  <si>
    <t>RRSFLAG17</t>
  </si>
  <si>
    <t>是否已提交建设工程规划许可证</t>
  </si>
  <si>
    <t>RRSFLAG18</t>
  </si>
  <si>
    <t>是否已提交建筑工程施工许可证</t>
  </si>
  <si>
    <t>RRSFLAG19</t>
  </si>
  <si>
    <t>是否已提交建设用地批准书</t>
  </si>
  <si>
    <t>RRSFLAG20</t>
  </si>
  <si>
    <t>是否已提交商品房预售许可证</t>
  </si>
  <si>
    <t>RRSFLAG21</t>
  </si>
  <si>
    <t>是否已提交建筑工程开工报告</t>
  </si>
  <si>
    <t>RRSFLAG22</t>
  </si>
  <si>
    <t>是否已提交建筑工程规划图纸</t>
  </si>
  <si>
    <t>RRSFLAG23</t>
  </si>
  <si>
    <t>是否已提交建设工程承包合同</t>
  </si>
  <si>
    <t>RRSFLAG24</t>
  </si>
  <si>
    <t>完工程度是否达90%以上</t>
  </si>
  <si>
    <t>RSFLAG01</t>
  </si>
  <si>
    <t>是否为国家机关财产</t>
  </si>
  <si>
    <t>RSFLAG02</t>
  </si>
  <si>
    <t>是否为列为文物保护的古建筑或是有重要纪念意义的建筑物/是否交清地价</t>
  </si>
  <si>
    <t>RSFLAG03</t>
  </si>
  <si>
    <t>是否为已依法公告在国家建设征用拆迁范围内的房地产</t>
  </si>
  <si>
    <t>RSFLAG04</t>
  </si>
  <si>
    <t>是否已提交房地产权证书</t>
  </si>
  <si>
    <t>RSFLAG05</t>
  </si>
  <si>
    <t>是否已提交房产的土地使用权证</t>
  </si>
  <si>
    <t>RSFLAG06</t>
  </si>
  <si>
    <t>是否已提交房产的出租合同与相关登记证明</t>
  </si>
  <si>
    <t>RSFLAG07</t>
  </si>
  <si>
    <t>是否已提交房产的土地使用权出让合同</t>
  </si>
  <si>
    <t>RRSFLAG01</t>
  </si>
  <si>
    <t>是否已存在售出的预告登记</t>
  </si>
  <si>
    <t>RRSFLAG02</t>
  </si>
  <si>
    <t>是否为政策性住房</t>
  </si>
  <si>
    <t>RRSFLAG03</t>
  </si>
  <si>
    <t>是否已提交商品房预购（售）合同</t>
  </si>
  <si>
    <t>RRSFLAG04</t>
  </si>
  <si>
    <t>是否已提交房型图复印件</t>
  </si>
  <si>
    <t>RRSFLAG05</t>
  </si>
  <si>
    <t>是否已提交抵押物共有人出具的同意抵押的书面授权文件</t>
  </si>
  <si>
    <t>RRSFLAG06</t>
  </si>
  <si>
    <t>是否已提交房屋租赁合同</t>
  </si>
  <si>
    <t>RRSFLAG07</t>
  </si>
  <si>
    <t>是否已投入商业运营</t>
  </si>
  <si>
    <t>RRSFLAG08</t>
  </si>
  <si>
    <t>是否已提交独立产权证明</t>
  </si>
  <si>
    <t>RRSFLAG09</t>
  </si>
  <si>
    <t>商办/工业用房产是否为违法、违章建筑物或依法被查封、扣押、监管或采用其他强制性措施的财产</t>
  </si>
  <si>
    <t>RRSFLAG10</t>
  </si>
  <si>
    <t>商办用房产是否已办妥独立产权证或能办理独立产权证</t>
  </si>
  <si>
    <t>RRSFLAG11</t>
  </si>
  <si>
    <t>工业用房产内是否可进行商品化交易</t>
  </si>
  <si>
    <t>RRSFLAG12</t>
  </si>
  <si>
    <t>工业用房产是否已竣工验收</t>
  </si>
  <si>
    <t>RRSFLAG25</t>
  </si>
  <si>
    <t>四证是否齐全</t>
  </si>
  <si>
    <t>WORKPERMITNMUBER</t>
  </si>
  <si>
    <t>REALTYHEIGHT</t>
  </si>
  <si>
    <t>房屋所在楼层</t>
  </si>
  <si>
    <t>WORKPERMITNUMBER</t>
  </si>
  <si>
    <t>ANCILLARYFACILITY</t>
  </si>
  <si>
    <r>
      <rPr>
        <sz val="9"/>
        <rFont val="宋体-简"/>
        <charset val="134"/>
      </rPr>
      <t>配套设施情况</t>
    </r>
    <r>
      <rPr>
        <sz val="9"/>
        <rFont val="Arial"/>
        <charset val="0"/>
      </rPr>
      <t>/</t>
    </r>
    <r>
      <rPr>
        <sz val="9"/>
        <rFont val="宋体-简"/>
        <charset val="134"/>
      </rPr>
      <t>在建类房产项目用途</t>
    </r>
  </si>
  <si>
    <t>PLANLIMITCONDITION</t>
  </si>
  <si>
    <t>规划限制条件</t>
  </si>
  <si>
    <t>clr_asset_receivable</t>
  </si>
  <si>
    <t>BUSINESSLICENCENO</t>
  </si>
  <si>
    <r>
      <rPr>
        <sz val="9"/>
        <rFont val="宋体-简"/>
        <charset val="134"/>
      </rPr>
      <t>营业执照编号</t>
    </r>
    <r>
      <rPr>
        <sz val="9"/>
        <rFont val="Arial"/>
        <charset val="0"/>
      </rPr>
      <t>/</t>
    </r>
    <r>
      <rPr>
        <sz val="9"/>
        <rFont val="宋体-简"/>
        <charset val="134"/>
      </rPr>
      <t>收款人营业执照号</t>
    </r>
  </si>
  <si>
    <t>INVOICENO</t>
  </si>
  <si>
    <t>发票号</t>
  </si>
  <si>
    <t>ORDERNO</t>
  </si>
  <si>
    <t>合同或订单编号</t>
  </si>
  <si>
    <t>ORDERNAME</t>
  </si>
  <si>
    <t>合同或订单名称</t>
  </si>
  <si>
    <t>PAYEE</t>
  </si>
  <si>
    <t>应收账款收款人</t>
  </si>
  <si>
    <t>DRAWEE</t>
  </si>
  <si>
    <t>应收账款付款人</t>
  </si>
  <si>
    <t>ACCOUNTINFO</t>
  </si>
  <si>
    <t>应收账款登记信息</t>
  </si>
  <si>
    <t>ACCOUNTCONTENT</t>
  </si>
  <si>
    <t>应收账款内容</t>
  </si>
  <si>
    <t>CHARGETYPE</t>
  </si>
  <si>
    <t>SPECIALACCOUNTNAME</t>
  </si>
  <si>
    <t>收费权专用账户户名/专用账户户名/收费权专用账户户名</t>
  </si>
  <si>
    <t>SPECIALACCOUNTNO</t>
  </si>
  <si>
    <r>
      <rPr>
        <sz val="9"/>
        <rFont val="宋体-简"/>
        <charset val="134"/>
      </rPr>
      <t>收费权专用账户账号</t>
    </r>
    <r>
      <rPr>
        <sz val="9"/>
        <rFont val="Arial"/>
        <charset val="0"/>
      </rPr>
      <t>/</t>
    </r>
    <r>
      <rPr>
        <sz val="9"/>
        <rFont val="宋体-简"/>
        <charset val="134"/>
      </rPr>
      <t>专用账户账号</t>
    </r>
    <r>
      <rPr>
        <sz val="9"/>
        <rFont val="Arial"/>
        <charset val="0"/>
      </rPr>
      <t>/</t>
    </r>
    <r>
      <rPr>
        <sz val="9"/>
        <rFont val="宋体-简"/>
        <charset val="134"/>
      </rPr>
      <t>收费权专用账户账号</t>
    </r>
    <r>
      <rPr>
        <sz val="9"/>
        <rFont val="Arial"/>
        <charset val="0"/>
      </rPr>
      <t>/</t>
    </r>
    <r>
      <rPr>
        <sz val="9"/>
        <rFont val="宋体-简"/>
        <charset val="134"/>
      </rPr>
      <t>应收账款收款人专用账户账号</t>
    </r>
  </si>
  <si>
    <t>SPECIALACCOUNTBANK</t>
  </si>
  <si>
    <r>
      <rPr>
        <sz val="9"/>
        <rFont val="宋体-简"/>
        <charset val="134"/>
      </rPr>
      <t>收费权专用账户开户行</t>
    </r>
    <r>
      <rPr>
        <sz val="9"/>
        <rFont val="Arial"/>
        <charset val="0"/>
      </rPr>
      <t>/</t>
    </r>
    <r>
      <rPr>
        <sz val="9"/>
        <rFont val="宋体-简"/>
        <charset val="134"/>
      </rPr>
      <t>专用账户开户行</t>
    </r>
    <r>
      <rPr>
        <sz val="9"/>
        <rFont val="Arial"/>
        <charset val="0"/>
      </rPr>
      <t>/</t>
    </r>
    <r>
      <rPr>
        <sz val="9"/>
        <rFont val="宋体-简"/>
        <charset val="134"/>
      </rPr>
      <t>收费权专用账户开户行/应收账款收款人专用账户开户行</t>
    </r>
  </si>
  <si>
    <t>DEALACCOUNTAMOUNT</t>
  </si>
  <si>
    <r>
      <rPr>
        <sz val="9"/>
        <rFont val="宋体-简"/>
        <charset val="134"/>
      </rPr>
      <t>交易类应收账款金额</t>
    </r>
    <r>
      <rPr>
        <sz val="9"/>
        <rFont val="Arial"/>
        <charset val="0"/>
      </rPr>
      <t>/</t>
    </r>
    <r>
      <rPr>
        <sz val="9"/>
        <rFont val="宋体-简"/>
        <charset val="134"/>
      </rPr>
      <t>应收账款总金额</t>
    </r>
  </si>
  <si>
    <t>DEALACCOUNTAGE</t>
  </si>
  <si>
    <t>交易类应收账款账龄</t>
  </si>
  <si>
    <t>ACCOUNTHONOURINFO</t>
  </si>
  <si>
    <t>应收帐款承兑情况</t>
  </si>
  <si>
    <t>BUSINESSUNREST</t>
  </si>
  <si>
    <t>商业纠纷记录</t>
  </si>
  <si>
    <t>ROADNAME</t>
  </si>
  <si>
    <r>
      <rPr>
        <sz val="9"/>
        <rFont val="宋体-简"/>
        <charset val="134"/>
      </rPr>
      <t>公路名称</t>
    </r>
    <r>
      <rPr>
        <sz val="9"/>
        <rFont val="Arial"/>
        <charset val="0"/>
      </rPr>
      <t>/</t>
    </r>
    <r>
      <rPr>
        <sz val="9"/>
        <rFont val="宋体-简"/>
        <charset val="134"/>
      </rPr>
      <t>收费公路名称</t>
    </r>
  </si>
  <si>
    <t>TOLLSTATION</t>
  </si>
  <si>
    <r>
      <rPr>
        <sz val="9"/>
        <rFont val="宋体-简"/>
        <charset val="134"/>
      </rPr>
      <t>公路段所属收费站</t>
    </r>
    <r>
      <rPr>
        <sz val="9"/>
        <rFont val="Arial"/>
        <charset val="0"/>
      </rPr>
      <t>/</t>
    </r>
    <r>
      <rPr>
        <sz val="9"/>
        <rFont val="宋体-简"/>
        <charset val="134"/>
      </rPr>
      <t>所在收费站说明</t>
    </r>
  </si>
  <si>
    <t>TOLLSTARTTIME</t>
  </si>
  <si>
    <t>收费起始时间</t>
  </si>
  <si>
    <t>暂时不用</t>
  </si>
  <si>
    <t>TOLLRIGHTATTR</t>
  </si>
  <si>
    <t>公路收费权属性</t>
  </si>
  <si>
    <t>ROADTYPE</t>
  </si>
  <si>
    <t>公路类别</t>
  </si>
  <si>
    <r>
      <rPr>
        <sz val="9"/>
        <rFont val="宋体-简"/>
        <charset val="134"/>
      </rPr>
      <t>公路收费权经营范围</t>
    </r>
    <r>
      <rPr>
        <sz val="9"/>
        <rFont val="Arial"/>
        <charset val="0"/>
      </rPr>
      <t>/</t>
    </r>
    <r>
      <rPr>
        <sz val="9"/>
        <rFont val="宋体-简"/>
        <charset val="134"/>
      </rPr>
      <t>收费权经营范围</t>
    </r>
  </si>
  <si>
    <t>BRLENGTH</t>
  </si>
  <si>
    <t>路桥长度</t>
  </si>
  <si>
    <t>ROADOPENEDTIME</t>
  </si>
  <si>
    <t>公路已通车时间</t>
  </si>
  <si>
    <t>ROADLEVEL</t>
  </si>
  <si>
    <t>公路等级</t>
  </si>
  <si>
    <t>TRAFFICAMOUNT</t>
  </si>
  <si>
    <t>交通量说明</t>
  </si>
  <si>
    <t>TOLLINCOME</t>
  </si>
  <si>
    <t>收费收入情况总体说明</t>
  </si>
  <si>
    <t>PLANNING</t>
  </si>
  <si>
    <t>近期或未来涉及所在公路的规划或特殊政策</t>
  </si>
  <si>
    <t>LOANUSE</t>
  </si>
  <si>
    <t>TOLLORG</t>
  </si>
  <si>
    <r>
      <rPr>
        <sz val="9"/>
        <rFont val="宋体-简"/>
        <charset val="134"/>
      </rPr>
      <t>收费单位</t>
    </r>
    <r>
      <rPr>
        <sz val="9"/>
        <rFont val="Arial"/>
        <charset val="0"/>
      </rPr>
      <t>/</t>
    </r>
    <r>
      <rPr>
        <sz val="9"/>
        <rFont val="宋体-简"/>
        <charset val="134"/>
      </rPr>
      <t>收费单位名称</t>
    </r>
  </si>
  <si>
    <t>LICENSEAPPROVEORG</t>
  </si>
  <si>
    <r>
      <rPr>
        <sz val="9"/>
        <rFont val="宋体-简"/>
        <charset val="134"/>
      </rPr>
      <t>收费权许可证批文单位</t>
    </r>
    <r>
      <rPr>
        <sz val="9"/>
        <rFont val="Arial"/>
        <charset val="0"/>
      </rPr>
      <t>/</t>
    </r>
    <r>
      <rPr>
        <sz val="9"/>
        <rFont val="宋体-简"/>
        <charset val="134"/>
      </rPr>
      <t>收费权权利证书批准单位/权利批准机构</t>
    </r>
  </si>
  <si>
    <t>TOLLLICENSENO</t>
  </si>
  <si>
    <r>
      <rPr>
        <sz val="9"/>
        <rFont val="宋体-简"/>
        <charset val="134"/>
      </rPr>
      <t>收费权许可证号</t>
    </r>
    <r>
      <rPr>
        <sz val="9"/>
        <rFont val="Arial"/>
        <charset val="0"/>
      </rPr>
      <t>/</t>
    </r>
    <r>
      <rPr>
        <sz val="9"/>
        <rFont val="宋体-简"/>
        <charset val="134"/>
      </rPr>
      <t>收费权权利证书号码/应收账款和收费权许可证号</t>
    </r>
  </si>
  <si>
    <t>TOLLPROJECTNAME</t>
  </si>
  <si>
    <r>
      <rPr>
        <sz val="9"/>
        <rFont val="宋体-简"/>
        <charset val="134"/>
      </rPr>
      <t>收费项目名称</t>
    </r>
    <r>
      <rPr>
        <sz val="9"/>
        <rFont val="Arial"/>
        <charset val="0"/>
      </rPr>
      <t>/</t>
    </r>
    <r>
      <rPr>
        <sz val="9"/>
        <rFont val="宋体-简"/>
        <charset val="134"/>
      </rPr>
      <t>收费权收费项目名称</t>
    </r>
  </si>
  <si>
    <t>TOLLSCOPE</t>
  </si>
  <si>
    <t>收费权适用范围</t>
  </si>
  <si>
    <t>FEESCALE</t>
  </si>
  <si>
    <t>收费标准说明</t>
  </si>
  <si>
    <t>SALEDELECVOLUME</t>
  </si>
  <si>
    <t>已销售电量</t>
  </si>
  <si>
    <t>CURELECPRICE</t>
  </si>
  <si>
    <t>当前销售电价</t>
  </si>
  <si>
    <t>CURELECPIRCEBASICTIME</t>
  </si>
  <si>
    <t>当前电价基准时间</t>
  </si>
  <si>
    <t>TOLLTRANSFERINFO</t>
  </si>
  <si>
    <t>收费权转让情况</t>
  </si>
  <si>
    <t>应收账款和收费权起始时间/应收账款起始时间</t>
  </si>
  <si>
    <t>ENDDATE</t>
  </si>
  <si>
    <r>
      <rPr>
        <sz val="9"/>
        <rFont val="宋体-简"/>
        <charset val="134"/>
      </rPr>
      <t>应收账款和收费权终止时间</t>
    </r>
    <r>
      <rPr>
        <sz val="9"/>
        <rFont val="Arial"/>
        <charset val="0"/>
      </rPr>
      <t>/</t>
    </r>
    <r>
      <rPr>
        <sz val="9"/>
        <rFont val="宋体-简"/>
        <charset val="134"/>
      </rPr>
      <t>应收账款终止时间/收费权终止时间</t>
    </r>
  </si>
  <si>
    <t>ACCOUNTINITCODE</t>
  </si>
  <si>
    <t>应收账款初始登记号</t>
  </si>
  <si>
    <t>PLEDGESTARTDATE</t>
  </si>
  <si>
    <t>质押期起始时间;交易类应收账款不适用)</t>
  </si>
  <si>
    <t>PLEDGEENDDATE</t>
  </si>
  <si>
    <t>质押期终止时间;交易类应收账款不适用)</t>
  </si>
  <si>
    <t>TOLLCHARGEINFO</t>
  </si>
  <si>
    <t>通信、网络、有限电视收费权收费收入情况</t>
  </si>
  <si>
    <t>TR01FLAG01</t>
  </si>
  <si>
    <t>是否已提交公路建设经营项目立项、评估和批准开工的批文（已建成的除外）</t>
  </si>
  <si>
    <t>TR01FLAG02</t>
  </si>
  <si>
    <t>是否已提交省级人民政府及其职能部门批准的公路收费文件（包括省级人民政府或国务院交通主管部门依法出具的关于公路收费站数量、站点的批文，省级人民政府交通主管部门会同同级物价行政主管部门出具的公路收费标准批文）</t>
  </si>
  <si>
    <t>TR01FLAG03</t>
  </si>
  <si>
    <t>是否已提交省级人民政府对征用土地、按比例承担出资和备用资金的书面承诺（已建成的除外）</t>
  </si>
  <si>
    <t>TR01FLAG04</t>
  </si>
  <si>
    <t>是否已提交公路建设经营项目各投资人同意公路收费权质押的书面决议</t>
  </si>
  <si>
    <t>TR01FLAG05</t>
  </si>
  <si>
    <t>是否已提交公路建设经营项目成立项目公司的，应提供公司董事会或股东会、股东大会依公司章程作出的同意提供公司收费权质押的书面决议</t>
  </si>
  <si>
    <t>TR01FLAG06</t>
  </si>
  <si>
    <t>是否已提交企业法人营业执照</t>
  </si>
  <si>
    <t>TR01FLAG07</t>
  </si>
  <si>
    <t>是否已提交企业财务报表</t>
  </si>
  <si>
    <t>TR01FLAG08</t>
  </si>
  <si>
    <t>是否已提交账户开户相关证明材料</t>
  </si>
  <si>
    <t>RCVTRADEFLAG01</t>
  </si>
  <si>
    <t>是否有转让、质押、冻结、查封情况或被采取其他限制性措施</t>
  </si>
  <si>
    <t>RCVTRADEFLAG02</t>
  </si>
  <si>
    <t>是否提交对应本笔应收账款的销售合同</t>
  </si>
  <si>
    <t>RCVTRADEFLAG03</t>
  </si>
  <si>
    <t>是否提交企业法人营业执照</t>
  </si>
  <si>
    <t>RCVTRADEFLAG04</t>
  </si>
  <si>
    <t>是否提交企业财务报表</t>
  </si>
  <si>
    <t>RCVTRADEFLAG05</t>
  </si>
  <si>
    <t>是否提交应收账款开户相关证明</t>
  </si>
  <si>
    <t>RCVTRADEFLAG06</t>
  </si>
  <si>
    <t>是否提交历史收费单据或发票</t>
  </si>
  <si>
    <t>RCVTRADEFLAG07</t>
  </si>
  <si>
    <t>是否提交福费廷业务相关证明</t>
  </si>
  <si>
    <t>RCVTRADEFLAG08</t>
  </si>
  <si>
    <t>未来业务量和价格信息是否明确或可合理预测</t>
  </si>
  <si>
    <t>TR03FLAG01</t>
  </si>
  <si>
    <t>是否已提交收费许可证或批准文件</t>
  </si>
  <si>
    <t>TR03FLAG02</t>
  </si>
  <si>
    <t>是否已提交和通信、网络、有限电视收费权相关的相关账户开户证明</t>
  </si>
  <si>
    <t>TR03FLAG03</t>
  </si>
  <si>
    <t>是否已提交和通信、网络、有限电视收费权相关的企业财务报表</t>
  </si>
  <si>
    <t>TR03FLAG04</t>
  </si>
  <si>
    <t>是否已提交企业营业执照</t>
  </si>
  <si>
    <t>TR02FLAG01</t>
  </si>
  <si>
    <t>是否已提交销售合同</t>
  </si>
  <si>
    <t>TR02FLAG02</t>
  </si>
  <si>
    <t>是否已提交营业执照</t>
  </si>
  <si>
    <t>TR02FLAG03</t>
  </si>
  <si>
    <t>是否已提交电网经营许可证及有关电费收费权的批准文件</t>
  </si>
  <si>
    <t>TR02FLAG04</t>
  </si>
  <si>
    <t>是否已提交和农村电网建设与改造工程电费收费权相关的省级人民政府对征用土地、按比例承担出资和备用资金的书面承诺（已建成的除外）</t>
  </si>
  <si>
    <t>TR02FLAG05</t>
  </si>
  <si>
    <t>是否已提交和农村电网建设与改造工程电费收费权相关的企业财务报表</t>
  </si>
  <si>
    <t>TR02FLAG06</t>
  </si>
  <si>
    <t>是否已提交相关账户开户证明</t>
  </si>
  <si>
    <t>TR02FLAG07</t>
  </si>
  <si>
    <t>损害保险</t>
  </si>
  <si>
    <t>RIGHTBOOKNO</t>
  </si>
  <si>
    <t>收费权权利证书号码</t>
  </si>
  <si>
    <t>LOCATIONEXPLAIN</t>
  </si>
  <si>
    <t>所在省、市说明</t>
  </si>
  <si>
    <t>RECEIVABLETYPE</t>
  </si>
  <si>
    <t>应收账款类型</t>
  </si>
  <si>
    <r>
      <rPr>
        <sz val="10"/>
        <rFont val="宋体-简"/>
        <charset val="0"/>
      </rPr>
      <t>1-订单、</t>
    </r>
    <r>
      <rPr>
        <sz val="10"/>
        <rFont val="Arial"/>
        <charset val="0"/>
      </rPr>
      <t>2-</t>
    </r>
    <r>
      <rPr>
        <sz val="10"/>
        <rFont val="宋体-简"/>
        <charset val="0"/>
      </rPr>
      <t>合同、</t>
    </r>
    <r>
      <rPr>
        <sz val="10"/>
        <rFont val="Arial"/>
        <charset val="0"/>
      </rPr>
      <t>3-</t>
    </r>
    <r>
      <rPr>
        <sz val="10"/>
        <rFont val="宋体-简"/>
        <charset val="0"/>
      </rPr>
      <t>发票</t>
    </r>
  </si>
  <si>
    <t>BACKGROUND</t>
  </si>
  <si>
    <t>背景描述</t>
  </si>
  <si>
    <t>冻结类型</t>
  </si>
  <si>
    <t>帐户标识</t>
  </si>
  <si>
    <t>ISPBOCRECEIVABLEREGIST</t>
  </si>
  <si>
    <t>ISREPAYNEED</t>
  </si>
  <si>
    <t>ACCOUNTAGE</t>
  </si>
  <si>
    <t>integer(6)</t>
  </si>
  <si>
    <t>ACCOUNTRECEIVABLETYPE</t>
  </si>
  <si>
    <t>BUYERCUSTNO</t>
  </si>
  <si>
    <t>COREENTCODE</t>
  </si>
  <si>
    <t>SELLERCUSTNO</t>
  </si>
  <si>
    <t>SETTLEDAMOUNT</t>
  </si>
  <si>
    <t>RECEIVABLETRANSFERNO</t>
  </si>
  <si>
    <t>RECEIVABLETRANSFERTIME</t>
  </si>
  <si>
    <t>SELLERQUOTANO</t>
  </si>
  <si>
    <t>SINGLEPOOL</t>
  </si>
  <si>
    <t>POOLNO</t>
  </si>
  <si>
    <t>TERM</t>
  </si>
  <si>
    <t>UNITNAME</t>
  </si>
  <si>
    <t>INVOICEINTEGRITY</t>
  </si>
  <si>
    <t>PLEDGECONTRACTNO</t>
  </si>
  <si>
    <t>CONTRACTNAME</t>
  </si>
  <si>
    <t>LEGALPERSONNAME</t>
  </si>
  <si>
    <t>CONTRACTPERSONNAME</t>
  </si>
  <si>
    <t>CONTRACTDATE</t>
  </si>
  <si>
    <t>CUSTNAME</t>
  </si>
  <si>
    <t>CUSTNO</t>
  </si>
  <si>
    <t>PROJECTNO</t>
  </si>
  <si>
    <t>CHARGENO</t>
  </si>
  <si>
    <t>PLEDGENO</t>
  </si>
  <si>
    <t>RIGHTVALUE</t>
  </si>
  <si>
    <t>clr_cargo_info</t>
  </si>
  <si>
    <t>CARGOCODE</t>
  </si>
  <si>
    <t>商品代码</t>
  </si>
  <si>
    <t>CARGOHEADTYPE</t>
  </si>
  <si>
    <t>商品大类</t>
  </si>
  <si>
    <t>CARGOHEADNAME</t>
  </si>
  <si>
    <t>商品大类名称</t>
  </si>
  <si>
    <t>CARGODETAILTYPE</t>
  </si>
  <si>
    <t>商品细类</t>
  </si>
  <si>
    <t>CARGODETAILNAME</t>
  </si>
  <si>
    <t>商品细类名称</t>
  </si>
  <si>
    <t>VARIETIES</t>
  </si>
  <si>
    <t>品种/规格</t>
  </si>
  <si>
    <t>MEAUNIT</t>
  </si>
  <si>
    <t>计量单位</t>
  </si>
  <si>
    <t>MEAUNITNAME</t>
  </si>
  <si>
    <t>计量单位名称</t>
  </si>
  <si>
    <t>TOTALAMOUNT</t>
  </si>
  <si>
    <t>总量</t>
  </si>
  <si>
    <t>GUIDINGPRICE</t>
  </si>
  <si>
    <t>指导价</t>
  </si>
  <si>
    <t>CURMARKETPRICE</t>
  </si>
  <si>
    <t>当前市价</t>
  </si>
  <si>
    <t>AUTHORIZEDPRICE</t>
  </si>
  <si>
    <t>核定单价</t>
  </si>
  <si>
    <t>AUTHORIZEDVALUE</t>
  </si>
  <si>
    <t>核定价值</t>
  </si>
  <si>
    <t>MORTGATERATE</t>
  </si>
  <si>
    <t>质押率上限</t>
  </si>
  <si>
    <t>REGULATOR</t>
  </si>
  <si>
    <t>监管方</t>
  </si>
  <si>
    <t>REGULATORID</t>
  </si>
  <si>
    <t>监管方编码</t>
  </si>
  <si>
    <t>STORAGEWAREHOUSE</t>
  </si>
  <si>
    <t>保管仓库</t>
  </si>
  <si>
    <t>STORAGEWAREHOUSEID</t>
  </si>
  <si>
    <t>保管仓库编码</t>
  </si>
  <si>
    <t>AMOUNT1</t>
  </si>
  <si>
    <t>数量1</t>
  </si>
  <si>
    <t>AMOUNT2</t>
  </si>
  <si>
    <t>数量2</t>
  </si>
  <si>
    <t>DATE1</t>
  </si>
  <si>
    <t>日期1</t>
  </si>
  <si>
    <t>DATE2</t>
  </si>
  <si>
    <t>日期2</t>
  </si>
  <si>
    <t>DATE3</t>
  </si>
  <si>
    <t>日期3</t>
  </si>
  <si>
    <t>DESCRIBE1</t>
  </si>
  <si>
    <t>DESCRIBE2</t>
  </si>
  <si>
    <t>DESCRIBE3</t>
  </si>
  <si>
    <t>DESCRIBE4</t>
  </si>
  <si>
    <t>DESCRIBE5</t>
  </si>
  <si>
    <t>DESCRIBE6</t>
  </si>
  <si>
    <t>属性6</t>
  </si>
  <si>
    <t>DESCRIBE7</t>
  </si>
  <si>
    <t>属性7</t>
  </si>
  <si>
    <t>DESCRIBE8</t>
  </si>
  <si>
    <t>属性8</t>
  </si>
  <si>
    <t>DESCRIBE9</t>
  </si>
  <si>
    <t>属性9</t>
  </si>
  <si>
    <t>DESCRIBE10</t>
  </si>
  <si>
    <t>属性10</t>
  </si>
  <si>
    <t>DESCRIBE11</t>
  </si>
  <si>
    <t>属性11</t>
  </si>
  <si>
    <t>DESCRIBE12</t>
  </si>
  <si>
    <t>属性12</t>
  </si>
  <si>
    <t>DESCRIBE13</t>
  </si>
  <si>
    <t>属性13</t>
  </si>
  <si>
    <t>clr_catalog</t>
  </si>
  <si>
    <t>CLRTYPEID</t>
  </si>
  <si>
    <t>押品类型编号</t>
  </si>
  <si>
    <t>CLRTYPENAME</t>
  </si>
  <si>
    <t>押品类型名称</t>
  </si>
  <si>
    <t>PARENTNODEID</t>
  </si>
  <si>
    <t>父节点编号</t>
  </si>
  <si>
    <t>ISLEAFNODE</t>
  </si>
  <si>
    <t>是否叶节点</t>
  </si>
  <si>
    <t>CLRTABLENAME</t>
  </si>
  <si>
    <t>TEMPLETNO</t>
  </si>
  <si>
    <t>模板编号</t>
  </si>
  <si>
    <t>COREFIELDS</t>
  </si>
  <si>
    <t>核心要素</t>
  </si>
  <si>
    <t>SUBFIELDS</t>
  </si>
  <si>
    <t>辅助要素</t>
  </si>
  <si>
    <t>CLRONLYSCOPE</t>
  </si>
  <si>
    <t>押品唯一性校验范围</t>
  </si>
  <si>
    <t>DETAILURL</t>
  </si>
  <si>
    <t>详情页面url</t>
  </si>
  <si>
    <t>EDITURL</t>
  </si>
  <si>
    <t>编辑页面url</t>
  </si>
  <si>
    <t>clr_commodity_market</t>
  </si>
  <si>
    <t>MATERIALCODE</t>
  </si>
  <si>
    <t>MATERIALTYPE</t>
  </si>
  <si>
    <t>商品类型</t>
  </si>
  <si>
    <t>MATERIALNAME</t>
  </si>
  <si>
    <t>SPECIFICATIONS</t>
  </si>
  <si>
    <t>TRADEDATE</t>
  </si>
  <si>
    <t>DAILYPRICE</t>
  </si>
  <si>
    <t>当日价格</t>
  </si>
  <si>
    <t>UNIT</t>
  </si>
  <si>
    <t>WEEKGAINRATE</t>
  </si>
  <si>
    <t>七日涨跌幅</t>
  </si>
  <si>
    <t>BEGINMONTHPRICE</t>
  </si>
  <si>
    <t>月初价格</t>
  </si>
  <si>
    <t>ENDMONTHPRICE</t>
  </si>
  <si>
    <t>月末价格</t>
  </si>
  <si>
    <t>MONTHGAINRAGE</t>
  </si>
  <si>
    <t>当月涨跌幅</t>
  </si>
  <si>
    <t>法人机构号</t>
  </si>
  <si>
    <t>DELETEFLAG</t>
  </si>
  <si>
    <t>删除标记;YesNo</t>
  </si>
  <si>
    <t>clr_evaluation_appl</t>
  </si>
  <si>
    <t>EVALAPPLID</t>
  </si>
  <si>
    <t>评级申请流水号</t>
  </si>
  <si>
    <t>调用来源</t>
  </si>
  <si>
    <t>EVALCURRENCY</t>
  </si>
  <si>
    <t>评估币种</t>
  </si>
  <si>
    <t>EVALOCCURTYPE</t>
  </si>
  <si>
    <t>EVALSTYLE</t>
  </si>
  <si>
    <t>内部评估、外部评估、内外部评估</t>
  </si>
  <si>
    <t>评估开始日期</t>
  </si>
  <si>
    <t>评估结束日期</t>
  </si>
  <si>
    <t>EVALMODEL</t>
  </si>
  <si>
    <t>评估模型编号</t>
  </si>
  <si>
    <t>OUTTEREVALRESULT</t>
  </si>
  <si>
    <t>外部估值结果</t>
  </si>
  <si>
    <t>OUTTEREVALORGID</t>
  </si>
  <si>
    <t>外部评估机构编号</t>
  </si>
  <si>
    <t>OUTTEREVALDATE</t>
  </si>
  <si>
    <t>外部评估基准日</t>
  </si>
  <si>
    <t>OUTTEREVALTYPE</t>
  </si>
  <si>
    <t>OUTTEREVALEXPIRYDATE</t>
  </si>
  <si>
    <t>外部评估报告有效期</t>
  </si>
  <si>
    <t>OUTTEREVALMETHOD</t>
  </si>
  <si>
    <t>INITIALINNERRESULT</t>
  </si>
  <si>
    <t>初评岗内部估值结果</t>
  </si>
  <si>
    <t>INITIALADJUSTRESULT</t>
  </si>
  <si>
    <t>初评岗调整估值结果</t>
  </si>
  <si>
    <t>INITIALEVALWEIGHT</t>
  </si>
  <si>
    <t>初评岗调整估值外部权重</t>
  </si>
  <si>
    <t>INITIALMULTIRESULT</t>
  </si>
  <si>
    <t>初评岗综合估值结果</t>
  </si>
  <si>
    <t>INITIALVALIDATETIME</t>
  </si>
  <si>
    <t>初评岗评估有效期</t>
  </si>
  <si>
    <t>INITIALFINALRESULT</t>
  </si>
  <si>
    <t>初评岗最终评估结果</t>
  </si>
  <si>
    <t>REVIEWERUSERID</t>
  </si>
  <si>
    <t>初评人</t>
  </si>
  <si>
    <t>REVIEWORGID</t>
  </si>
  <si>
    <t>初评机构</t>
  </si>
  <si>
    <t>REVIEWDATE</t>
  </si>
  <si>
    <t>初评日期</t>
  </si>
  <si>
    <t>APPROVEINNERRESULT</t>
  </si>
  <si>
    <t>核定岗内部估值结果</t>
  </si>
  <si>
    <t>APPROVEADJUSTRESULT</t>
  </si>
  <si>
    <t>核定岗调整估值结果确认</t>
  </si>
  <si>
    <t>APPROVEEVALWEIGHT</t>
  </si>
  <si>
    <t>核定岗内部模型估值权重</t>
  </si>
  <si>
    <t>APPROVEMUTILRESULT</t>
  </si>
  <si>
    <t>核定岗综合估值结果</t>
  </si>
  <si>
    <t>APPROVEVALIDATETIME</t>
  </si>
  <si>
    <t>核定岗评估有效期</t>
  </si>
  <si>
    <t>APPROVEFINALRESULT</t>
  </si>
  <si>
    <t>核定岗最终评估结果</t>
  </si>
  <si>
    <t>APPROVEUSERID</t>
  </si>
  <si>
    <t>核定人</t>
  </si>
  <si>
    <t>APPROVEORGID</t>
  </si>
  <si>
    <t>核定机构</t>
  </si>
  <si>
    <t>核定日期</t>
  </si>
  <si>
    <t>SAMPLEPRICE1</t>
  </si>
  <si>
    <t>参考案例一单价</t>
  </si>
  <si>
    <t>SAMPLEPRICE2</t>
  </si>
  <si>
    <t>参考案例二单价</t>
  </si>
  <si>
    <t>SAMPLEPRICE3</t>
  </si>
  <si>
    <t>参考案例三单价</t>
  </si>
  <si>
    <t>INTERNALPRICE</t>
  </si>
  <si>
    <t>模型计算单价</t>
  </si>
  <si>
    <t>INTERNALTOTALPRICE</t>
  </si>
  <si>
    <t>模型计算最新总价</t>
  </si>
  <si>
    <t>BENCHDATE</t>
  </si>
  <si>
    <t>评估基准日</t>
  </si>
  <si>
    <t>DEBTOR</t>
  </si>
  <si>
    <t>主债务人</t>
  </si>
  <si>
    <t>OWNERSTATUS</t>
  </si>
  <si>
    <t>抵质押品权属状况</t>
  </si>
  <si>
    <t>PRIORITYCLAIM</t>
  </si>
  <si>
    <t>顺位情况</t>
  </si>
  <si>
    <t>ABNORMALREASON</t>
  </si>
  <si>
    <t>异常原因</t>
  </si>
  <si>
    <t>OLDCLRID</t>
  </si>
  <si>
    <t>合并前押品编号</t>
  </si>
  <si>
    <t>EVALDATE</t>
  </si>
  <si>
    <t>APPLBATCHNO</t>
  </si>
  <si>
    <t>评估组编号</t>
  </si>
  <si>
    <t>ISLEGAL</t>
  </si>
  <si>
    <r>
      <rPr>
        <sz val="9"/>
        <rFont val="Arial"/>
        <charset val="0"/>
      </rPr>
      <t>VARCHAR</t>
    </r>
    <r>
      <rPr>
        <sz val="9"/>
        <rFont val="宋体-简"/>
        <charset val="134"/>
      </rPr>
      <t>（</t>
    </r>
    <r>
      <rPr>
        <sz val="9"/>
        <rFont val="Arial"/>
        <charset val="0"/>
      </rPr>
      <t>8</t>
    </r>
    <r>
      <rPr>
        <sz val="9"/>
        <rFont val="宋体-简"/>
        <charset val="134"/>
      </rPr>
      <t>）</t>
    </r>
  </si>
  <si>
    <t>抵质押人是否具有合法的主体资格</t>
  </si>
  <si>
    <t>供贷后检查用</t>
  </si>
  <si>
    <t>HASOWNERSHIP</t>
  </si>
  <si>
    <t>抵押人是否对抵押物享有所有权或处分权</t>
  </si>
  <si>
    <t>ISCLRREPEAT</t>
  </si>
  <si>
    <t>抵质押物是否存在出租、重复抵押等情况</t>
  </si>
  <si>
    <t>ISREALIZABILITYCHG</t>
  </si>
  <si>
    <t>抵质押物变现能力是否存在重大变化</t>
  </si>
  <si>
    <t>ISCLRSEIZURE</t>
  </si>
  <si>
    <t>抵押财产是否被查封、扣押等财产保全或者执行措施的</t>
  </si>
  <si>
    <t>ISCLRSUFFICIENT</t>
  </si>
  <si>
    <t>抵押物为在建工程的，抵押价值是否充足。</t>
  </si>
  <si>
    <t>ISCLRSUPPLIED</t>
  </si>
  <si>
    <t>不足的是否形成新增资产，是否进行抵押登记办理补足抵押物价值。</t>
  </si>
  <si>
    <t>ISREGISTED</t>
  </si>
  <si>
    <t>如完工的，是否已重新办理全部资产的抵押登记。</t>
  </si>
  <si>
    <t>ISBROKEN</t>
  </si>
  <si>
    <t>抵押财产是否存在损毁、灭失等</t>
  </si>
  <si>
    <t>ISINSURANCEFEECTIVE</t>
  </si>
  <si>
    <t>抵押财产购买保险的，保险是否在有效期内；如超期是否完成续保</t>
  </si>
  <si>
    <t>ISBILLEFFECTIVE</t>
  </si>
  <si>
    <t>质押财产为银票、商票的，票据是否到期，是否已转入保证金户继续为我行业务提供担保</t>
  </si>
  <si>
    <t>MEMO</t>
  </si>
  <si>
    <r>
      <rPr>
        <sz val="9"/>
        <rFont val="Arial"/>
        <charset val="0"/>
      </rPr>
      <t>VARCHAR</t>
    </r>
    <r>
      <rPr>
        <sz val="9"/>
        <rFont val="宋体-简"/>
        <charset val="134"/>
      </rPr>
      <t>（</t>
    </r>
    <r>
      <rPr>
        <sz val="9"/>
        <rFont val="Arial"/>
        <charset val="0"/>
      </rPr>
      <t>500</t>
    </r>
    <r>
      <rPr>
        <sz val="9"/>
        <rFont val="宋体-简"/>
        <charset val="134"/>
      </rPr>
      <t>）</t>
    </r>
  </si>
  <si>
    <t>其他需核查的问题</t>
  </si>
  <si>
    <t>clr_evaluation_data</t>
  </si>
  <si>
    <t>EVALDATEID</t>
  </si>
  <si>
    <t>模型评级记录流水号</t>
  </si>
  <si>
    <t>评级币种</t>
  </si>
  <si>
    <t>评级类型;内部/外部）</t>
  </si>
  <si>
    <t>内部估值模型编号</t>
  </si>
  <si>
    <t>EVALMODELVERSION</t>
  </si>
  <si>
    <t>内部估值模型版本号</t>
  </si>
  <si>
    <t>EVALTEXT</t>
  </si>
  <si>
    <t>内部估值评估结果文本</t>
  </si>
  <si>
    <t>EVALASSUEXPLAIN</t>
  </si>
  <si>
    <t>评估假设说明</t>
  </si>
  <si>
    <t>EVALMETHODEXPLAIN</t>
  </si>
  <si>
    <t>评估方法说明</t>
  </si>
  <si>
    <t>EVALPRIORITYCOMP</t>
  </si>
  <si>
    <t>优先受偿权分析</t>
  </si>
  <si>
    <t>EVALDISPOSALDISC</t>
  </si>
  <si>
    <t>处置折扣分析</t>
  </si>
  <si>
    <t>EVALINTERNALRESULT</t>
  </si>
  <si>
    <t>内部模型估值结果</t>
  </si>
  <si>
    <t>ADJUSTRESULT</t>
  </si>
  <si>
    <t>内部估值结果确认</t>
  </si>
  <si>
    <t>EVALWEIGHT</t>
  </si>
  <si>
    <t>外部模型权重</t>
  </si>
  <si>
    <t>EVALWEIGHTEXPLAIN</t>
  </si>
  <si>
    <t>权重比列配置说明</t>
  </si>
  <si>
    <t>EVALINTEGRATEDRESULT</t>
  </si>
  <si>
    <t>综合估值结果</t>
  </si>
  <si>
    <t>VALIDATETIME</t>
  </si>
  <si>
    <t>评估有效期</t>
  </si>
  <si>
    <t>SAVEFLAG</t>
  </si>
  <si>
    <t>保存完成标志</t>
  </si>
  <si>
    <t>CALCFLAG</t>
  </si>
  <si>
    <t>计算完成标志</t>
  </si>
  <si>
    <t>FLOWSTEP</t>
  </si>
  <si>
    <t>流程阶段</t>
  </si>
  <si>
    <t>LOCALEVALTEXT</t>
  </si>
  <si>
    <t>本地评估基础信息文本</t>
  </si>
  <si>
    <t>押品分类</t>
  </si>
  <si>
    <t>clr_evaluation_record</t>
  </si>
  <si>
    <t>评估记录编号</t>
  </si>
  <si>
    <t>评估申请流水号</t>
  </si>
  <si>
    <t>评估形式</t>
  </si>
  <si>
    <t>发生日期</t>
  </si>
  <si>
    <t>结束日期</t>
  </si>
  <si>
    <t>EVALDUEDATE</t>
  </si>
  <si>
    <t>评估期日</t>
  </si>
  <si>
    <t>EXCHANGERATE</t>
  </si>
  <si>
    <t>汇率</t>
  </si>
  <si>
    <t>ORIGINALCURRENCY</t>
  </si>
  <si>
    <t>本币币种</t>
  </si>
  <si>
    <t>ORIGINALCURRENCYVALUE</t>
  </si>
  <si>
    <t>本币价值</t>
  </si>
  <si>
    <t>clr_fund_market</t>
  </si>
  <si>
    <t>FUNDNO</t>
  </si>
  <si>
    <t>基金代码</t>
  </si>
  <si>
    <t>FUNDNAME</t>
  </si>
  <si>
    <t>基金名称</t>
  </si>
  <si>
    <t>NETASSETVALUE</t>
  </si>
  <si>
    <t>单位净值</t>
  </si>
  <si>
    <t>NETVALUE</t>
  </si>
  <si>
    <t>累计净值</t>
  </si>
  <si>
    <t>DAILYINCREASES</t>
  </si>
  <si>
    <t>日涨幅</t>
  </si>
  <si>
    <t>删除标记</t>
  </si>
  <si>
    <t>clr_fund_market_detail</t>
  </si>
  <si>
    <t>clr_guascheme_relative</t>
  </si>
  <si>
    <t>GUARANTYNO</t>
  </si>
  <si>
    <t>担保合同编号</t>
  </si>
  <si>
    <t>源系统</t>
  </si>
  <si>
    <t>RIGHTCERTID</t>
  </si>
  <si>
    <t>代表权证编号</t>
  </si>
  <si>
    <t>CLRDISCOUNTRATIO</t>
  </si>
  <si>
    <t>押品折现系数</t>
  </si>
  <si>
    <t>CLRVALUERATIO</t>
  </si>
  <si>
    <t>押品价值占比</t>
  </si>
  <si>
    <t>债权优先顺位</t>
  </si>
  <si>
    <t>PRIORCLAIMVALUE</t>
  </si>
  <si>
    <t>优先受偿价值</t>
  </si>
  <si>
    <t>LEGALRIGHTVALUE</t>
  </si>
  <si>
    <t>法定权利价值</t>
  </si>
  <si>
    <t>RIGHTCERTTYPE</t>
  </si>
  <si>
    <t>代表权证类型</t>
  </si>
  <si>
    <t>代表权证号</t>
  </si>
  <si>
    <t>ISNEEDINSURANCE</t>
  </si>
  <si>
    <t>是否需要投保</t>
  </si>
  <si>
    <t>INSURANCESTATUS</t>
  </si>
  <si>
    <t>投保状态</t>
  </si>
  <si>
    <t>ISNEEDNOTARIZAITON</t>
  </si>
  <si>
    <t>是否需要公证</t>
  </si>
  <si>
    <t>ISVERIFICATION</t>
  </si>
  <si>
    <t>是否已核押</t>
  </si>
  <si>
    <t>NOTARIZESTATUS</t>
  </si>
  <si>
    <t>公证状态</t>
  </si>
  <si>
    <t>ISNEEDREGISTER</t>
  </si>
  <si>
    <t>是否需要抵质押登记手续</t>
  </si>
  <si>
    <t>REGISTERPROCESS</t>
  </si>
  <si>
    <t>抵质押登记进度</t>
  </si>
  <si>
    <t>GNTRIGHTEFFDATE</t>
  </si>
  <si>
    <t>押权生效日期</t>
  </si>
  <si>
    <t>GNTRIGHTEXPRDATE</t>
  </si>
  <si>
    <t>押权失效日期</t>
  </si>
  <si>
    <t>GNTRIGHTEXPRREASON</t>
  </si>
  <si>
    <t>押权失效原因;01  到期解除02  置换解除03  以物抵债04  押品灭失)</t>
  </si>
  <si>
    <t>clr_handle_info</t>
  </si>
  <si>
    <t>CLRHANDLEID</t>
  </si>
  <si>
    <t>抵债资产编号</t>
  </si>
  <si>
    <t>抵债资产类型编号</t>
  </si>
  <si>
    <t>CASHINBACKWAY</t>
  </si>
  <si>
    <t>回收来源</t>
  </si>
  <si>
    <t>FORMERCURRENCY</t>
  </si>
  <si>
    <t>原币种</t>
  </si>
  <si>
    <t>RECLAIMCURRENCY</t>
  </si>
  <si>
    <t>收现币种</t>
  </si>
  <si>
    <t>RECLAIMDATE</t>
  </si>
  <si>
    <t>收现日期</t>
  </si>
  <si>
    <t>RECLAIMSUM</t>
  </si>
  <si>
    <t>收现总额</t>
  </si>
  <si>
    <t>RMBRECLAIMSUM</t>
  </si>
  <si>
    <t>收现人民币总额</t>
  </si>
  <si>
    <t>HANDLEFEE</t>
  </si>
  <si>
    <t>处置过程产生费用</t>
  </si>
  <si>
    <t>HANDLEDATE</t>
  </si>
  <si>
    <t>购/结汇日期</t>
  </si>
  <si>
    <t>ENTERACCOUNTDATE</t>
  </si>
  <si>
    <t>收现入账日期</t>
  </si>
  <si>
    <t>clr_info</t>
  </si>
  <si>
    <t>CLRNAME</t>
  </si>
  <si>
    <t>押品名称</t>
  </si>
  <si>
    <t>CLRCERTTYPE</t>
  </si>
  <si>
    <t>押品所有权证类型</t>
  </si>
  <si>
    <t>CLRCERTID</t>
  </si>
  <si>
    <t>所有权证编号</t>
  </si>
  <si>
    <t>押品资产类型编号</t>
  </si>
  <si>
    <t>CLRCOUNT</t>
  </si>
  <si>
    <t>押品资产数量</t>
  </si>
  <si>
    <t>PROVINCE</t>
  </si>
  <si>
    <t>所在省/直辖市</t>
  </si>
  <si>
    <t>CITY</t>
  </si>
  <si>
    <t>所在城市</t>
  </si>
  <si>
    <t>AREA</t>
  </si>
  <si>
    <t>所在区域</t>
  </si>
  <si>
    <t>ADDRESS</t>
  </si>
  <si>
    <t>详细地址</t>
  </si>
  <si>
    <t>AVLGNTVALUE</t>
  </si>
  <si>
    <t>当前可担保价值</t>
  </si>
  <si>
    <t>USEDGNTVALUE</t>
  </si>
  <si>
    <t>本行已担保债权金额</t>
  </si>
  <si>
    <t>OTHERGNTVALUE</t>
  </si>
  <si>
    <t>其他优先受偿权利金额</t>
  </si>
  <si>
    <t>CURRLTV</t>
  </si>
  <si>
    <t>当前抵质押率</t>
  </si>
  <si>
    <t>CLRSTATUS</t>
  </si>
  <si>
    <r>
      <rPr>
        <sz val="9"/>
        <rFont val="Arial"/>
        <charset val="0"/>
      </rPr>
      <t xml:space="preserve">  01</t>
    </r>
    <r>
      <rPr>
        <sz val="9"/>
        <rFont val="宋体-简"/>
        <charset val="134"/>
      </rPr>
      <t>正常、</t>
    </r>
    <r>
      <rPr>
        <sz val="9"/>
        <rFont val="Arial"/>
        <charset val="0"/>
      </rPr>
      <t>03</t>
    </r>
    <r>
      <rPr>
        <sz val="9"/>
        <rFont val="宋体-简"/>
        <charset val="134"/>
      </rPr>
      <t>已处置</t>
    </r>
  </si>
  <si>
    <t>CLRGANTSTATUS</t>
  </si>
  <si>
    <r>
      <rPr>
        <sz val="9"/>
        <color rgb="FFFF0000"/>
        <rFont val="宋体-简"/>
        <charset val="134"/>
      </rPr>
      <t>押品准入状态</t>
    </r>
    <r>
      <rPr>
        <sz val="9"/>
        <color rgb="FFFF0000"/>
        <rFont val="Arial"/>
        <charset val="0"/>
      </rPr>
      <t xml:space="preserve">
02;</t>
    </r>
    <r>
      <rPr>
        <sz val="9"/>
        <color rgb="FFFF0000"/>
        <rFont val="宋体-简"/>
        <charset val="134"/>
      </rPr>
      <t>已准入未确立押权</t>
    </r>
    <r>
      <rPr>
        <sz val="9"/>
        <color rgb="FFFF0000"/>
        <rFont val="Arial"/>
        <charset val="0"/>
      </rPr>
      <t xml:space="preserve">
03 </t>
    </r>
    <r>
      <rPr>
        <sz val="9"/>
        <color rgb="FFFF0000"/>
        <rFont val="宋体-简"/>
        <charset val="134"/>
      </rPr>
      <t>已确立押权</t>
    </r>
    <r>
      <rPr>
        <sz val="9"/>
        <color rgb="FFFF0000"/>
        <rFont val="Arial"/>
        <charset val="0"/>
      </rPr>
      <t xml:space="preserve">
04 </t>
    </r>
    <r>
      <rPr>
        <sz val="9"/>
        <color rgb="FFFF0000"/>
        <rFont val="宋体-简"/>
        <charset val="134"/>
      </rPr>
      <t>已注销押权</t>
    </r>
  </si>
  <si>
    <t>ISCOMPLETE</t>
  </si>
  <si>
    <t>必输信息是否完整</t>
  </si>
  <si>
    <t>ISONLYONE</t>
  </si>
  <si>
    <t>是否重复</t>
  </si>
  <si>
    <t>ISRIGHTCERT</t>
  </si>
  <si>
    <t>权证信息是否完整</t>
  </si>
  <si>
    <t>ISINSURANCE</t>
  </si>
  <si>
    <t>保险信息是否完整</t>
  </si>
  <si>
    <t>ISNOTARIZATION</t>
  </si>
  <si>
    <t>公正信息是否完整</t>
  </si>
  <si>
    <t>ISCLROWNER</t>
  </si>
  <si>
    <t>权属人信息是否完整</t>
  </si>
  <si>
    <t>ADDSTATUS</t>
  </si>
  <si>
    <t>补登状态</t>
  </si>
  <si>
    <t>CURREVALRECORDID</t>
  </si>
  <si>
    <t>最新价值评估记录编号</t>
  </si>
  <si>
    <t>CURREVALCCY</t>
  </si>
  <si>
    <t>最新评估价值币种</t>
  </si>
  <si>
    <t>CURREVALDATE</t>
  </si>
  <si>
    <t>最新价值评估日期</t>
  </si>
  <si>
    <t>CURREVALMODE</t>
  </si>
  <si>
    <t>最新价值评估方式</t>
  </si>
  <si>
    <t>CURREVALVALUE</t>
  </si>
  <si>
    <t>最新评估价值</t>
  </si>
  <si>
    <t>EVALFRQ</t>
  </si>
  <si>
    <t>价值重估频率</t>
  </si>
  <si>
    <t>当前市场参考价</t>
  </si>
  <si>
    <t>CURRMPEVALTIME</t>
  </si>
  <si>
    <t>当前市场参考价值日期</t>
  </si>
  <si>
    <t>CURRMPINFOSOURCE</t>
  </si>
  <si>
    <t>当前市场参考价信息来源</t>
  </si>
  <si>
    <t>CURRMPREFINDEXID</t>
  </si>
  <si>
    <t>当前市场价格关联指数编号</t>
  </si>
  <si>
    <t>MYCURRENCY</t>
  </si>
  <si>
    <t>我行拥有的抵押品市价币种</t>
  </si>
  <si>
    <t>MYBANKCLRPRICE</t>
  </si>
  <si>
    <t>我行拥有的抵押品市价</t>
  </si>
  <si>
    <t>INDEPENDENTEVAL</t>
  </si>
  <si>
    <t>ISREPTPLEDGE</t>
  </si>
  <si>
    <t>是否重复抵质押</t>
  </si>
  <si>
    <t>ISINNERREPTPLEDGE</t>
  </si>
  <si>
    <t>是否行内重复抵质押</t>
  </si>
  <si>
    <t>ISCLRVERIFICATION</t>
  </si>
  <si>
    <t>是否已核押登记</t>
  </si>
  <si>
    <t>ISCLRREGISTER</t>
  </si>
  <si>
    <t>是否已抵质押登记</t>
  </si>
  <si>
    <t>MANAGEUSERID</t>
  </si>
  <si>
    <t>管理人</t>
  </si>
  <si>
    <t>MANAGEORGID</t>
  </si>
  <si>
    <t>管理机构</t>
  </si>
  <si>
    <t>WRITEUSERID</t>
  </si>
  <si>
    <t>补录人</t>
  </si>
  <si>
    <t>WRITEORGID</t>
  </si>
  <si>
    <t>补录机构</t>
  </si>
  <si>
    <t>INEVALCURRENCY</t>
  </si>
  <si>
    <t>内部评估价值币种</t>
  </si>
  <si>
    <t>INEVALVAULE</t>
  </si>
  <si>
    <t>内部评估价值</t>
  </si>
  <si>
    <t>EXEVALCURRENCY</t>
  </si>
  <si>
    <t>外部评估价值币种</t>
  </si>
  <si>
    <t>EXEVALVALUE</t>
  </si>
  <si>
    <t>外部评估价值</t>
  </si>
  <si>
    <t>INEVALDATE</t>
  </si>
  <si>
    <t>内部评估日期</t>
  </si>
  <si>
    <t>EXEVALDATE</t>
  </si>
  <si>
    <t>外部评估日期</t>
  </si>
  <si>
    <t>FIRSTEVALMODE</t>
  </si>
  <si>
    <t>首次评估方式</t>
  </si>
  <si>
    <t>CURRMARKETCURRENCY</t>
  </si>
  <si>
    <t>当前市场参考价值币种</t>
  </si>
  <si>
    <t>ISDATACONV</t>
  </si>
  <si>
    <t>是否移植数据</t>
  </si>
  <si>
    <t>CLROWNER</t>
  </si>
  <si>
    <t>抵质押物持有人</t>
  </si>
  <si>
    <t>OTHERSUSEDGNTVALUE</t>
  </si>
  <si>
    <t>他行已担保债权金额</t>
  </si>
  <si>
    <t>EVALVALUEDUEDATE</t>
  </si>
  <si>
    <t>估值到期日</t>
  </si>
  <si>
    <t>ISDISPOSITION</t>
  </si>
  <si>
    <t>是否已处置</t>
  </si>
  <si>
    <t>DISPOSALMETHOD</t>
  </si>
  <si>
    <t>处置方式</t>
  </si>
  <si>
    <t>LASTEVALVALUE</t>
  </si>
  <si>
    <t>上次评估价值</t>
  </si>
  <si>
    <t>LASTEVALDATE</t>
  </si>
  <si>
    <t>上次价值评估日期</t>
  </si>
  <si>
    <t>ISADDRESSUNIQUE</t>
  </si>
  <si>
    <t>地址是否唯一</t>
  </si>
  <si>
    <t>POOLSTATUS</t>
  </si>
  <si>
    <t>出入池状态</t>
  </si>
  <si>
    <t>POOLID</t>
  </si>
  <si>
    <t>押品池编号</t>
  </si>
  <si>
    <t>POOLOUTHISTORY</t>
  </si>
  <si>
    <t>出池历史</t>
  </si>
  <si>
    <t>MORTGAGESTATUS</t>
  </si>
  <si>
    <t>varchar(8)</t>
  </si>
  <si>
    <t>抵质押状态</t>
  </si>
  <si>
    <t>营销、在途、待登记、已登记、在押、解押</t>
  </si>
  <si>
    <t>ACCOUNTINGSTATUS</t>
  </si>
  <si>
    <t>记账状态</t>
  </si>
  <si>
    <t>AccountingStatus</t>
  </si>
  <si>
    <t>未记账、已记账、已销账</t>
  </si>
  <si>
    <t>账务机构</t>
  </si>
  <si>
    <t>交易流水号</t>
  </si>
  <si>
    <t>OWNERECIF</t>
  </si>
  <si>
    <t>权属人ECIF</t>
  </si>
  <si>
    <t>SOURCE</t>
  </si>
  <si>
    <t>数据来源渠道</t>
  </si>
  <si>
    <t>PLEDGEORDER</t>
  </si>
  <si>
    <t>ACCOUNTORG</t>
  </si>
  <si>
    <t>押品入账机构</t>
  </si>
  <si>
    <r>
      <rPr>
        <sz val="10"/>
        <rFont val="宋体-简"/>
        <charset val="134"/>
      </rPr>
      <t>详细地址</t>
    </r>
    <r>
      <rPr>
        <sz val="10"/>
        <rFont val="Arial"/>
        <charset val="0"/>
      </rPr>
      <t>/</t>
    </r>
    <r>
      <rPr>
        <sz val="10"/>
        <rFont val="宋体-简"/>
        <charset val="134"/>
      </rPr>
      <t>所在位置说明</t>
    </r>
  </si>
  <si>
    <t>clr_insurance_record</t>
  </si>
  <si>
    <t>INSURANCERECORDID</t>
  </si>
  <si>
    <t>保险记录编号</t>
  </si>
  <si>
    <t>GUARANTYPLANNO</t>
  </si>
  <si>
    <t>担保方案编号</t>
  </si>
  <si>
    <t>INSURANCECOMPANY</t>
  </si>
  <si>
    <t>INSURANCETYPE</t>
  </si>
  <si>
    <t>BENIFICIARY</t>
  </si>
  <si>
    <t>保险受益人</t>
  </si>
  <si>
    <t>INSURANCEPOLICYID</t>
  </si>
  <si>
    <t>保单号码</t>
  </si>
  <si>
    <t>INSURANCEAMOUNT</t>
  </si>
  <si>
    <t>投保金额</t>
  </si>
  <si>
    <t>INSURANCEFEE</t>
  </si>
  <si>
    <t>保险费</t>
  </si>
  <si>
    <t>INSURANCEFEERATE</t>
  </si>
  <si>
    <t>保险费率</t>
  </si>
  <si>
    <t>PAYMENTMETHOD</t>
  </si>
  <si>
    <t>保险起始日</t>
  </si>
  <si>
    <t>保险到期日</t>
  </si>
  <si>
    <t>保险失效日</t>
  </si>
  <si>
    <t>EXPIRYREASON</t>
  </si>
  <si>
    <t>保险失效原因</t>
  </si>
  <si>
    <t>出单日期</t>
  </si>
  <si>
    <t>ISRENEWINSURANCE</t>
  </si>
  <si>
    <t>ISNEEDWAREHOUSING</t>
  </si>
  <si>
    <t>是否需要入库</t>
  </si>
  <si>
    <t>REGISTERRECORDID</t>
  </si>
  <si>
    <t>抵质押登记编号</t>
  </si>
  <si>
    <t>clr_material_catalog</t>
  </si>
  <si>
    <t>clr_notarization_record</t>
  </si>
  <si>
    <t>NOTARIZATIONRECORDID</t>
  </si>
  <si>
    <t>公证记录编号</t>
  </si>
  <si>
    <t>NOTARYOFFICENAME</t>
  </si>
  <si>
    <t>公证处名称</t>
  </si>
  <si>
    <t>NOTARYOFFICEADDRESS</t>
  </si>
  <si>
    <t>公证处地址</t>
  </si>
  <si>
    <t>NOTARYOFFICEZIPCODE</t>
  </si>
  <si>
    <t>公证处邮编</t>
  </si>
  <si>
    <t>NOTARYOFFICETEL</t>
  </si>
  <si>
    <t>公证处联系电话</t>
  </si>
  <si>
    <t>NOTARIALFEE</t>
  </si>
  <si>
    <t>公证费用</t>
  </si>
  <si>
    <t>NOTARIALDOCNO</t>
  </si>
  <si>
    <t>公证号</t>
  </si>
  <si>
    <t>NOTARIZATIONEFFDATE</t>
  </si>
  <si>
    <t>公证生效日</t>
  </si>
  <si>
    <t>NOTARIZATIONDUEDATE</t>
  </si>
  <si>
    <t>公证到期日</t>
  </si>
  <si>
    <t>NOTARIZATIONPERSON</t>
  </si>
  <si>
    <t>公证人</t>
  </si>
  <si>
    <t>NOTARIZATIONOFFICIALPERSON</t>
  </si>
  <si>
    <t>公证处法人代表</t>
  </si>
  <si>
    <t>NOTARYSTATUS</t>
  </si>
  <si>
    <t>公正状态</t>
  </si>
  <si>
    <t>clr_owner</t>
  </si>
  <si>
    <t>CLROWNERID</t>
  </si>
  <si>
    <t>权属人编号</t>
  </si>
  <si>
    <t>CLROWNERNAME</t>
  </si>
  <si>
    <t>权属人名称</t>
  </si>
  <si>
    <t>CLROWNERTYPE</t>
  </si>
  <si>
    <t>权属人类别</t>
  </si>
  <si>
    <t>CLROWNERCERTTYPE</t>
  </si>
  <si>
    <t>权属人证件类型</t>
  </si>
  <si>
    <t>CLROWNERCERTID</t>
  </si>
  <si>
    <t>权属人证件号码</t>
  </si>
  <si>
    <t>PERCENTAGE</t>
  </si>
  <si>
    <t>分摊比例</t>
  </si>
  <si>
    <t>RELATIONSHIP</t>
  </si>
  <si>
    <t>权属人与借款人关系</t>
  </si>
  <si>
    <t>ECIFCUSTOMERID</t>
  </si>
  <si>
    <t>ECIF客户号</t>
  </si>
  <si>
    <t>clr_param</t>
  </si>
  <si>
    <t>CRMTYPE</t>
  </si>
  <si>
    <t>风险缓释工具类型</t>
  </si>
  <si>
    <t>MAXLTV</t>
  </si>
  <si>
    <t>最大抵质押率</t>
  </si>
  <si>
    <t>MAXLTVSCENARIO</t>
  </si>
  <si>
    <t>最大抵质押率适用业务场景</t>
  </si>
  <si>
    <t>ISALLOWEDMORT</t>
  </si>
  <si>
    <t>是否允许抵押</t>
  </si>
  <si>
    <t>ISALLOWEDPLEDGE</t>
  </si>
  <si>
    <t>是否允许质押</t>
  </si>
  <si>
    <t>ISALLOWEDREMORT</t>
  </si>
  <si>
    <t>是否允许重复抵押</t>
  </si>
  <si>
    <t>ISALLOWEDREMORTINLINE</t>
  </si>
  <si>
    <t>是否允许行内重复抵押</t>
  </si>
  <si>
    <t>ISACCEPTNFSTREPAY</t>
  </si>
  <si>
    <t>是否接受非第一顺位受偿</t>
  </si>
  <si>
    <t>REGISTAGENCYTYPE</t>
  </si>
  <si>
    <t>权利登记机关类型</t>
  </si>
  <si>
    <t>GNTCERTTYPE</t>
  </si>
  <si>
    <t>抵质押代表权证类型</t>
  </si>
  <si>
    <t>ATTTEMPLATE</t>
  </si>
  <si>
    <t>押品要素模板</t>
  </si>
  <si>
    <t>INFOTAB</t>
  </si>
  <si>
    <t>押品详细组合信息页面</t>
  </si>
  <si>
    <t>ISCURRMISMATCH</t>
  </si>
  <si>
    <t>是否允许币种错配</t>
  </si>
  <si>
    <t>RENEWALTERM</t>
  </si>
  <si>
    <t>续保期限(年)</t>
  </si>
  <si>
    <t>ISNEEDRGST</t>
  </si>
  <si>
    <t>ISNEEDMONITORING</t>
  </si>
  <si>
    <t>是否需要贷后现场检查</t>
  </si>
  <si>
    <t>MONITORINGFRQ</t>
  </si>
  <si>
    <t>贷后现场检查频率</t>
  </si>
  <si>
    <t>MAXGUATERM</t>
  </si>
  <si>
    <t>最大担保期限</t>
  </si>
  <si>
    <t>MAXGUASCENARIO</t>
  </si>
  <si>
    <t>最大担保期限适用业务场景</t>
  </si>
  <si>
    <t>EVALPERIOD</t>
  </si>
  <si>
    <t>价值评估周期;月)</t>
  </si>
  <si>
    <t>ISSUITINEVAL</t>
  </si>
  <si>
    <t>是否适用内部评估</t>
  </si>
  <si>
    <t>ISSUITOUTEVAL</t>
  </si>
  <si>
    <t>是否适用外部评估</t>
  </si>
  <si>
    <t>MAINEVALMETHOD</t>
  </si>
  <si>
    <t>主要的估值方法</t>
  </si>
  <si>
    <t>DETAILEVALMODEL</t>
  </si>
  <si>
    <t>适用的详细评估模型</t>
  </si>
  <si>
    <t>FASTEVALMODEL</t>
  </si>
  <si>
    <t>适用的快速评估模型</t>
  </si>
  <si>
    <t>EVALFLOW</t>
  </si>
  <si>
    <t>价值评估流程</t>
  </si>
  <si>
    <t>APPRAISEATT</t>
  </si>
  <si>
    <t>外部评估公司资质要求</t>
  </si>
  <si>
    <t>REEVALFRQUNIT</t>
  </si>
  <si>
    <t>重估频率单位</t>
  </si>
  <si>
    <t>REEVALFRQ</t>
  </si>
  <si>
    <t>重估频率</t>
  </si>
  <si>
    <t>ISAUTOREEVAL</t>
  </si>
  <si>
    <t>是否直接评估</t>
  </si>
  <si>
    <t>AUTOREEVALMODE</t>
  </si>
  <si>
    <t>固定日期滚动周期</t>
  </si>
  <si>
    <t>REEVALDATEDEF</t>
  </si>
  <si>
    <t>重估日定义</t>
  </si>
  <si>
    <t>EXTWEIGHT</t>
  </si>
  <si>
    <t>外评权重</t>
  </si>
  <si>
    <t>INWEIGHT</t>
  </si>
  <si>
    <t>内评权重</t>
  </si>
  <si>
    <t>ISNEEDRIGHTCERT</t>
  </si>
  <si>
    <t>是否需要提交权证</t>
  </si>
  <si>
    <t>ISSUITCOMBINEEVAL</t>
  </si>
  <si>
    <t>是否适用内外结合评估</t>
  </si>
  <si>
    <t>ISMANUALBATCHREVAL</t>
  </si>
  <si>
    <t>是否人工批量重估</t>
  </si>
  <si>
    <t>ISSYSBATCHREVAL</t>
  </si>
  <si>
    <t>是否系统批量重估</t>
  </si>
  <si>
    <t>EVALMODELMARKET</t>
  </si>
  <si>
    <t>EVALMODELPROFIT</t>
  </si>
  <si>
    <t>EVALMODELCOST</t>
  </si>
  <si>
    <t>EVALMODELQUICK</t>
  </si>
  <si>
    <t>ISHAVEWARRANT</t>
  </si>
  <si>
    <t>是否有他项权证</t>
  </si>
  <si>
    <t>ISNEEDIN</t>
  </si>
  <si>
    <t>是否合格缓释工具</t>
  </si>
  <si>
    <t>VALIDCERTTYPE</t>
  </si>
  <si>
    <t>有效权证名称</t>
  </si>
  <si>
    <t>有效的权证类型，码值变更为RightCertType</t>
  </si>
  <si>
    <t>ENTRYCRITERIA</t>
  </si>
  <si>
    <t>准入条件文本</t>
  </si>
  <si>
    <t>PRODUCTLIST</t>
  </si>
  <si>
    <t>适用的产品</t>
  </si>
  <si>
    <t>ISAUTO</t>
  </si>
  <si>
    <t>是否自动入库</t>
  </si>
  <si>
    <t>不展示，后台维护</t>
  </si>
  <si>
    <t>ISLOWRISK</t>
  </si>
  <si>
    <t>是否低风险</t>
  </si>
  <si>
    <t>押品市场价格指数表;指数类型-二级分类 INDLEVEL2：房产指数-二手房：100100;房产指数-商铺：100200;房产指数-写字楼：100400;房产指数-新建住宅：100500;房产指数-土地: 200100;市场价格指数类型 IndexType：010-同比 020-环比 030-定基 数据来源 IndexSource：010-手工录入 020-统计局 030-安硕</t>
  </si>
  <si>
    <t>clr_priceindex</t>
  </si>
  <si>
    <t>INDEXTYPE</t>
  </si>
  <si>
    <t>市场价格指数类型</t>
  </si>
  <si>
    <t>INDEXID</t>
  </si>
  <si>
    <t>市场价格指数编号</t>
  </si>
  <si>
    <t>PRICEINDEX</t>
  </si>
  <si>
    <t>市场价格指数</t>
  </si>
  <si>
    <t>INDEXDATE</t>
  </si>
  <si>
    <t>市场指数日期</t>
  </si>
  <si>
    <t>UPANDDOWN</t>
  </si>
  <si>
    <t>涨跌幅度</t>
  </si>
  <si>
    <t>省份</t>
  </si>
  <si>
    <t>城市</t>
  </si>
  <si>
    <t>区域</t>
  </si>
  <si>
    <t>REALTYAREA</t>
  </si>
  <si>
    <t>房地产面积</t>
  </si>
  <si>
    <t>INDEXSOURCE</t>
  </si>
  <si>
    <t>数据来源</t>
  </si>
  <si>
    <t>指数匹配机构</t>
  </si>
  <si>
    <t>INDLEVEL1</t>
  </si>
  <si>
    <t>指数类型;一级分类</t>
  </si>
  <si>
    <t>INDLEVEL2</t>
  </si>
  <si>
    <t>指数类型;二级分类</t>
  </si>
  <si>
    <t>clr_qualification_info</t>
  </si>
  <si>
    <t>QUALIFICATIONNO</t>
  </si>
  <si>
    <t>认定信息编号</t>
  </si>
  <si>
    <t>CURRENTQUALIFYFLAG</t>
  </si>
  <si>
    <t>现行法合格标志</t>
  </si>
  <si>
    <t>STANDARDQUALIFYFLAG</t>
  </si>
  <si>
    <t>标准法合格标志</t>
  </si>
  <si>
    <t>INNERQUALIFYFLAG</t>
  </si>
  <si>
    <t>内评法合格标志</t>
  </si>
  <si>
    <t>SUPERVISIONQUALIFYFLAG</t>
  </si>
  <si>
    <t>是否符合监管要求的合格性认定标准</t>
  </si>
  <si>
    <t>QUALIFYDATE</t>
  </si>
  <si>
    <t>合格认定日期</t>
  </si>
  <si>
    <t>FACTICITY</t>
  </si>
  <si>
    <t>押品真实性</t>
  </si>
  <si>
    <t>PORPERTYINSURANCE</t>
  </si>
  <si>
    <t>财产损害险</t>
  </si>
  <si>
    <t>VIRTUALCORRELATION</t>
  </si>
  <si>
    <t>实质相关性</t>
  </si>
  <si>
    <t>DEALCONVENIENCE</t>
  </si>
  <si>
    <t>处置便利性</t>
  </si>
  <si>
    <t>LIQUIDITY</t>
  </si>
  <si>
    <t>ASSESSFREQUENCY</t>
  </si>
  <si>
    <t>LEGALCERTAINTY</t>
  </si>
  <si>
    <t>法律确定性</t>
  </si>
  <si>
    <t>PROJECTCOMPLETEDEGREE</t>
  </si>
  <si>
    <t>工程完工程度</t>
  </si>
  <si>
    <t>PROJECTPROPERTY</t>
  </si>
  <si>
    <t>在建工程性质</t>
  </si>
  <si>
    <t>clr_register_record</t>
  </si>
  <si>
    <t>抵质押登记记录编号</t>
  </si>
  <si>
    <t>REGISTERTYPE</t>
  </si>
  <si>
    <t>抵质押登记类型</t>
  </si>
  <si>
    <t>GUARANTYSTYLE</t>
  </si>
  <si>
    <t>押品类别</t>
  </si>
  <si>
    <t>CLRINPUTORGID</t>
  </si>
  <si>
    <t>押品登记机构</t>
  </si>
  <si>
    <t>AGENTORG</t>
  </si>
  <si>
    <t>委托机构</t>
  </si>
  <si>
    <t>TRANSFERMATERIALLIST</t>
  </si>
  <si>
    <t>移交材料清单</t>
  </si>
  <si>
    <t>REFERMATERIAL</t>
  </si>
  <si>
    <t>相关合同/审批材料</t>
  </si>
  <si>
    <t>CLRRIGHTSTATUTS</t>
  </si>
  <si>
    <t>押权状态</t>
  </si>
  <si>
    <r>
      <rPr>
        <sz val="10"/>
        <rFont val="Arial"/>
        <charset val="0"/>
      </rPr>
      <t>1-</t>
    </r>
    <r>
      <rPr>
        <sz val="10"/>
        <rFont val="宋体-简"/>
        <charset val="134"/>
      </rPr>
      <t>已确立押权、</t>
    </r>
    <r>
      <rPr>
        <sz val="10"/>
        <rFont val="Arial"/>
        <charset val="0"/>
      </rPr>
      <t>2-</t>
    </r>
    <r>
      <rPr>
        <sz val="10"/>
        <rFont val="宋体-简"/>
        <charset val="134"/>
      </rPr>
      <t>未确立押权</t>
    </r>
  </si>
  <si>
    <t>是否线上抵押</t>
  </si>
  <si>
    <t>clr_rightcert_info</t>
  </si>
  <si>
    <t>权证编号</t>
  </si>
  <si>
    <t>RIGHTCERTNAME</t>
  </si>
  <si>
    <t>权证名称</t>
  </si>
  <si>
    <t>RIGHTREGISTRATIONORG</t>
  </si>
  <si>
    <t>权证登记机关</t>
  </si>
  <si>
    <t>RIGHTREGISTRATIONDATE</t>
  </si>
  <si>
    <t>权证登记时间</t>
  </si>
  <si>
    <t>PACKAGEID</t>
  </si>
  <si>
    <t>权证所属封包</t>
  </si>
  <si>
    <t>BARCODE</t>
  </si>
  <si>
    <t>条形码</t>
  </si>
  <si>
    <t>TRANSFERDATE</t>
  </si>
  <si>
    <t>移交日期</t>
  </si>
  <si>
    <t>RIGHTCERTSTATUS</t>
  </si>
  <si>
    <t>权证状态</t>
  </si>
  <si>
    <t>1-未入库、2-已入库、3-临时出库、4-已出库</t>
  </si>
  <si>
    <t>RIGHTAMOUNT</t>
  </si>
  <si>
    <t>权利金额</t>
  </si>
  <si>
    <t>POSSESSORTYPE</t>
  </si>
  <si>
    <t>INWAREHOUSINGDATE</t>
  </si>
  <si>
    <t>正式入库日期</t>
  </si>
  <si>
    <t>OUTWAREHOUSINGDATE</t>
  </si>
  <si>
    <t>正式出库日期</t>
  </si>
  <si>
    <t>TEMPOUTWHREASON</t>
  </si>
  <si>
    <t>临时出库日期</t>
  </si>
  <si>
    <t>LASTOUTWHDATE</t>
  </si>
  <si>
    <t>最近一次出库日期</t>
  </si>
  <si>
    <t>LASTINWHDATE</t>
  </si>
  <si>
    <t>最近一次入库日期</t>
  </si>
  <si>
    <t>EXPCRETURNDATE</t>
  </si>
  <si>
    <t>临时出库预计归还日期</t>
  </si>
  <si>
    <t>ISOVERDUE</t>
  </si>
  <si>
    <t>临时出库是否逾期</t>
  </si>
  <si>
    <t>OVERDUEDAYS</t>
  </si>
  <si>
    <t>临时出库逾期天数</t>
  </si>
  <si>
    <t>是否为移植</t>
  </si>
  <si>
    <t>REGISTRATIONUSERID</t>
  </si>
  <si>
    <t>抵质押办证人</t>
  </si>
  <si>
    <t>RIGHTDUEDATE</t>
  </si>
  <si>
    <t>权证到期日</t>
  </si>
  <si>
    <t>SAVEORGID</t>
  </si>
  <si>
    <t>保存机构编号</t>
  </si>
  <si>
    <t>CATALOGFLAG</t>
  </si>
  <si>
    <t>区分权证和代保品;2：权证1：代保品</t>
  </si>
  <si>
    <t>CLROWNERSTARTDATE</t>
  </si>
  <si>
    <t>抵押登记起始日</t>
  </si>
  <si>
    <t>CLROWNERENDDATE</t>
  </si>
  <si>
    <t>抵押登记到期日</t>
  </si>
  <si>
    <t>GUARANTYREGNO</t>
  </si>
  <si>
    <t>抵押登记编号</t>
  </si>
  <si>
    <t>MONEYIN</t>
  </si>
  <si>
    <t>入账金额</t>
  </si>
  <si>
    <t>MONEYINTYPE</t>
  </si>
  <si>
    <t>BOOKSTATUS</t>
  </si>
  <si>
    <t>RIGHTREGORGTYPE</t>
  </si>
  <si>
    <t>TWOBARCODES</t>
  </si>
  <si>
    <t>二维码</t>
  </si>
  <si>
    <t>STORETYPE</t>
  </si>
  <si>
    <r>
      <rPr>
        <sz val="10"/>
        <rFont val="宋体-简"/>
        <charset val="134"/>
      </rPr>
      <t>1-电子权证、</t>
    </r>
    <r>
      <rPr>
        <sz val="10"/>
        <rFont val="Arial"/>
        <charset val="0"/>
      </rPr>
      <t>2-</t>
    </r>
    <r>
      <rPr>
        <sz val="10"/>
        <rFont val="宋体-简"/>
        <charset val="134"/>
      </rPr>
      <t>纸质权证</t>
    </r>
  </si>
  <si>
    <r>
      <rPr>
        <sz val="10"/>
        <rFont val="宋体-简"/>
        <charset val="134"/>
      </rPr>
      <t>抵押登记</t>
    </r>
    <r>
      <rPr>
        <sz val="10"/>
        <rFont val="Arial"/>
        <charset val="0"/>
      </rPr>
      <t>ID</t>
    </r>
  </si>
  <si>
    <t>clr_rightcert_package_info</t>
  </si>
  <si>
    <t>封包编号</t>
  </si>
  <si>
    <t>REFSERIALNO</t>
  </si>
  <si>
    <t>申请组流水号;本系统)</t>
  </si>
  <si>
    <t>REFSERIALNOOTHER</t>
  </si>
  <si>
    <t>申请组流水号;外围系统)</t>
  </si>
  <si>
    <t>INOUTWHTYPE</t>
  </si>
  <si>
    <t>权证出入库类型</t>
  </si>
  <si>
    <t>OPERATEUSERID</t>
  </si>
  <si>
    <t>封包操作人</t>
  </si>
  <si>
    <t>OPERATEORGID</t>
  </si>
  <si>
    <t>封包所属机构</t>
  </si>
  <si>
    <t>OPERATEDATE</t>
  </si>
  <si>
    <t>封包日期</t>
  </si>
  <si>
    <t>PACKAGESTATUS</t>
  </si>
  <si>
    <t>封包状态</t>
  </si>
  <si>
    <t>1-未入库，2-已入库，3-已出库</t>
  </si>
  <si>
    <t>CSTDPACKAGEID</t>
  </si>
  <si>
    <t>代保管品编号;核心）</t>
  </si>
  <si>
    <t>WHADDRESS</t>
  </si>
  <si>
    <t>封包存放位置</t>
  </si>
  <si>
    <t>TWODIMCODE</t>
  </si>
  <si>
    <t>介质类型</t>
  </si>
  <si>
    <t>记账机构</t>
  </si>
  <si>
    <t>CONTRACTNO</t>
  </si>
  <si>
    <t>varchar(33)</t>
  </si>
  <si>
    <t>APPLYNO</t>
  </si>
  <si>
    <t>出入库申请编号</t>
  </si>
  <si>
    <t>clr_rightcert_tranrecord</t>
  </si>
  <si>
    <t>出入库流水号</t>
  </si>
  <si>
    <t>针对临时出库的凭证;其再回库记录的关联流水号为其临时出库流水号</t>
  </si>
  <si>
    <t>出入库类型</t>
  </si>
  <si>
    <t>INOUTWHREASON</t>
  </si>
  <si>
    <t>出入库原因</t>
  </si>
  <si>
    <t>APPLYORGID</t>
  </si>
  <si>
    <t>发起机构</t>
  </si>
  <si>
    <t>APPLYUSERID</t>
  </si>
  <si>
    <t>APPLYDATE</t>
  </si>
  <si>
    <t>发起日期</t>
  </si>
  <si>
    <t>clr_rightcert_trappl</t>
  </si>
  <si>
    <t>关联申请组流水号;本系统）</t>
  </si>
  <si>
    <t>申请类型：1-入库、2-出库</t>
  </si>
  <si>
    <t>OLDPACKAGEID</t>
  </si>
  <si>
    <t>原封包编号</t>
  </si>
  <si>
    <t>ISNEEDREINWH</t>
  </si>
  <si>
    <t>是否需要再回库</t>
  </si>
  <si>
    <t>EXPECTRETURNDATE</t>
  </si>
  <si>
    <t>预计归还日期</t>
  </si>
  <si>
    <t>合同流水号</t>
  </si>
  <si>
    <t>CUSTOMERNO</t>
  </si>
  <si>
    <t>REASON</t>
  </si>
  <si>
    <t>申请原因</t>
  </si>
  <si>
    <t>clr_rightcert_trappl_group</t>
  </si>
  <si>
    <t>申请组流水号</t>
  </si>
  <si>
    <t>关联外围系统流水号</t>
  </si>
  <si>
    <t>出入库申请原因</t>
  </si>
  <si>
    <t>APPROVETXT</t>
  </si>
  <si>
    <t>有权部门批准文号</t>
  </si>
  <si>
    <t>clr_sample_houseing</t>
  </si>
  <si>
    <t>对应申请编号</t>
  </si>
  <si>
    <t>RESIDENCEID</t>
  </si>
  <si>
    <t>小区ID</t>
  </si>
  <si>
    <t>REGION</t>
  </si>
  <si>
    <t>NAME</t>
  </si>
  <si>
    <t>小区名称</t>
  </si>
  <si>
    <t>BUILDTYPE</t>
  </si>
  <si>
    <t>TOTALPRICE</t>
  </si>
  <si>
    <t>房屋挂牌价格</t>
  </si>
  <si>
    <t>PUBLISHDATE</t>
  </si>
  <si>
    <t>信息发布时间</t>
  </si>
  <si>
    <t>样本房屋面积</t>
  </si>
  <si>
    <t>ROOM</t>
  </si>
  <si>
    <t>室</t>
  </si>
  <si>
    <t>HALL</t>
  </si>
  <si>
    <t>厅</t>
  </si>
  <si>
    <t>TOILET</t>
  </si>
  <si>
    <t>卫</t>
  </si>
  <si>
    <t>DIRECTION</t>
  </si>
  <si>
    <t>FITMENT</t>
  </si>
  <si>
    <t>FLOOR</t>
  </si>
  <si>
    <t>HEIGHT</t>
  </si>
  <si>
    <t>房屋所在楼高</t>
  </si>
  <si>
    <t>来源</t>
  </si>
  <si>
    <t>房屋单价</t>
  </si>
  <si>
    <t>BLOCK</t>
  </si>
  <si>
    <t>所属板块</t>
  </si>
  <si>
    <t>HOUSETYPE</t>
  </si>
  <si>
    <t>房屋户型</t>
  </si>
  <si>
    <t>AVERAGEPRICE</t>
  </si>
  <si>
    <t>房源均价</t>
  </si>
  <si>
    <t>USEYEAR</t>
  </si>
  <si>
    <t>MATCHMODEL</t>
  </si>
  <si>
    <t>匹配类型</t>
  </si>
  <si>
    <t>ESTATETYPE</t>
  </si>
  <si>
    <t>BUILDSTRUCTURE</t>
  </si>
  <si>
    <t>开盘时间</t>
  </si>
  <si>
    <t>SCHOOLAMOUNT</t>
  </si>
  <si>
    <t>学校数量</t>
  </si>
  <si>
    <t>METROSTATIONAMOUNT</t>
  </si>
  <si>
    <t>地铁站数量</t>
  </si>
  <si>
    <t>BUSSTATIONAMOUNT</t>
  </si>
  <si>
    <t>公交站数量</t>
  </si>
  <si>
    <t>COMMUNITYPRICE</t>
  </si>
  <si>
    <t>小区均价</t>
  </si>
  <si>
    <t>BUILDDATE</t>
  </si>
  <si>
    <t>建造年代</t>
  </si>
  <si>
    <t>GREENINGRATE</t>
  </si>
  <si>
    <t>绿化率（百分比）</t>
  </si>
  <si>
    <t>容积率(百分比)</t>
  </si>
  <si>
    <t>PROPERTYFEE</t>
  </si>
  <si>
    <t>物业费</t>
  </si>
  <si>
    <t>clr_sample_selected</t>
  </si>
  <si>
    <t>clr_stock_market</t>
  </si>
  <si>
    <t>STOCKNO</t>
  </si>
  <si>
    <t>股票代码</t>
  </si>
  <si>
    <t>CLOSEPRICE</t>
  </si>
  <si>
    <t>收盘价</t>
  </si>
  <si>
    <t>近7日涨跌幅</t>
  </si>
  <si>
    <t>THREEMONTHGAINRATE</t>
  </si>
  <si>
    <t>近3月涨跌幅</t>
  </si>
  <si>
    <t>clr_stock_market_detail</t>
  </si>
  <si>
    <t>OPENPRICE</t>
  </si>
  <si>
    <t>开盘价</t>
  </si>
  <si>
    <t>HIGHPRICE</t>
  </si>
  <si>
    <t>最高价</t>
  </si>
  <si>
    <t>LOWPRICE</t>
  </si>
  <si>
    <t>最低价</t>
  </si>
  <si>
    <t>平均价</t>
  </si>
  <si>
    <t>clr_stress_bu_detail</t>
  </si>
  <si>
    <t>RECORDSERIALNO</t>
  </si>
  <si>
    <t>压力测试记录流水号</t>
  </si>
  <si>
    <t>业务客户编号</t>
  </si>
  <si>
    <t>业务客户名称</t>
  </si>
  <si>
    <t>BUSINESSNO</t>
  </si>
  <si>
    <t>业务编号</t>
  </si>
  <si>
    <t>业务品种</t>
  </si>
  <si>
    <t>业务名称</t>
  </si>
  <si>
    <t>NATIONALINDUSTRYTARGET</t>
  </si>
  <si>
    <t>业务余额</t>
  </si>
  <si>
    <t>SUFFIVALUERATIO</t>
  </si>
  <si>
    <t>MILDAFTERSUFFIVALUERATIO</t>
  </si>
  <si>
    <t>轻度压后足值率</t>
  </si>
  <si>
    <t>MODERATEAFTERSUFFIVALUERATIO</t>
  </si>
  <si>
    <t>中度压后足值率</t>
  </si>
  <si>
    <t>SEVEREAFTERSUFFIVALUERATIO</t>
  </si>
  <si>
    <t>重度压后足值率</t>
  </si>
  <si>
    <t>ISENOUGH</t>
  </si>
  <si>
    <t>是否足值</t>
  </si>
  <si>
    <t>MILDISENOUGH</t>
  </si>
  <si>
    <t>轻度压后是否足值</t>
  </si>
  <si>
    <t>MODERATEISENOUGH</t>
  </si>
  <si>
    <t>中度压后是否足值</t>
  </si>
  <si>
    <t>SEVEREISENOUGH</t>
  </si>
  <si>
    <t>重度压后是否足值</t>
  </si>
  <si>
    <t>clr_stress_clr_detail</t>
  </si>
  <si>
    <t>押品管护客户经理</t>
  </si>
  <si>
    <t>押品管护机构</t>
  </si>
  <si>
    <t>CLRBELONGAREA</t>
  </si>
  <si>
    <t>押品所属地区</t>
  </si>
  <si>
    <t>MORTGAGERATIO</t>
  </si>
  <si>
    <t>RECOGNIZEDVALUE</t>
  </si>
  <si>
    <t>我行认定价值</t>
  </si>
  <si>
    <t>MILDAFTERMORTGAGERATIO</t>
  </si>
  <si>
    <t>轻度压后抵质押率</t>
  </si>
  <si>
    <t>MILDAFTERRECOGNIZEDVALUE</t>
  </si>
  <si>
    <t>轻度压后我行认定价值</t>
  </si>
  <si>
    <t>MODERATEAFTERMORTGAGERATIO</t>
  </si>
  <si>
    <t>中度压后抵质押率</t>
  </si>
  <si>
    <t>MODERATEAFTERRECOGNIZEDVALUE</t>
  </si>
  <si>
    <t>中度压后我行认定价值</t>
  </si>
  <si>
    <t>SEVEREAFTERMORTGAGERATIO</t>
  </si>
  <si>
    <t>重度压后抵质押率</t>
  </si>
  <si>
    <t>SEVEREAFTERRECOGNIZEDVALUE</t>
  </si>
  <si>
    <t>重度压后我行认定价值</t>
  </si>
  <si>
    <t>clr_stress_link</t>
  </si>
  <si>
    <t>BUSSINESSNO</t>
  </si>
  <si>
    <t>CREDITSUM</t>
  </si>
  <si>
    <t>业务金额</t>
  </si>
  <si>
    <t>TOTALEVALSUM</t>
  </si>
  <si>
    <t>业务对应押品总认定价值/总担保价值</t>
  </si>
  <si>
    <t>TOTALEVALSUM1</t>
  </si>
  <si>
    <t>轻度下降后业务对应押品总认定价值</t>
  </si>
  <si>
    <t>TOTALEVALSUM2</t>
  </si>
  <si>
    <t>中度下降后业务对应押品总认定价值</t>
  </si>
  <si>
    <t>TOTALEVALSUM3</t>
  </si>
  <si>
    <t>重度下降后业务对应押品总认定价值</t>
  </si>
  <si>
    <t>押品认定价值</t>
  </si>
  <si>
    <t>CURREVALVALUE1</t>
  </si>
  <si>
    <t>轻度下降后押品认定价值</t>
  </si>
  <si>
    <t>CURREVALVALUE2</t>
  </si>
  <si>
    <t>中度下降后押品认定价值</t>
  </si>
  <si>
    <t>CURREVALVALUE3</t>
  </si>
  <si>
    <t>重度下降后押品认定价值</t>
  </si>
  <si>
    <t>TOTALCREDITSUM</t>
  </si>
  <si>
    <t>押品对应授信业务总金额</t>
  </si>
  <si>
    <t>TOTALGUARANTYSUM</t>
  </si>
  <si>
    <t>押品对应总担保金额</t>
  </si>
  <si>
    <t>GUARANTYSUM</t>
  </si>
  <si>
    <t>担保债权金额</t>
  </si>
  <si>
    <t>ACTUALGUARANTYSUM</t>
  </si>
  <si>
    <t>实际债项金额</t>
  </si>
  <si>
    <t>clr_stress_record</t>
  </si>
  <si>
    <t>PRESSUREINDEX</t>
  </si>
  <si>
    <t>承压指标</t>
  </si>
  <si>
    <t>DIMENSIONTYPE</t>
  </si>
  <si>
    <t>测试范围</t>
  </si>
  <si>
    <t>DIMENSIONVALUE</t>
  </si>
  <si>
    <t>测试范围值</t>
  </si>
  <si>
    <t>MILDRATIO</t>
  </si>
  <si>
    <t>轻度情景幅度</t>
  </si>
  <si>
    <t>SEVERERATIO</t>
  </si>
  <si>
    <t>重度情景幅度</t>
  </si>
  <si>
    <t>测试结果生成状态</t>
  </si>
  <si>
    <t>CLRTYPE</t>
  </si>
  <si>
    <t>MODERATERATIO</t>
  </si>
  <si>
    <t>中度情景幅度</t>
  </si>
  <si>
    <t>clr_stress_test</t>
  </si>
  <si>
    <t>记录流水号</t>
  </si>
  <si>
    <t>押品种类</t>
  </si>
  <si>
    <t>SUFFICIENTVALUERATIO</t>
  </si>
  <si>
    <t>综合足值率</t>
  </si>
  <si>
    <t>综合抵质押率</t>
  </si>
  <si>
    <t>综合我行认定价值</t>
  </si>
  <si>
    <t>COUNTSUM</t>
  </si>
  <si>
    <t>总业务笔数</t>
  </si>
  <si>
    <t>LACKCOUNT</t>
  </si>
  <si>
    <t>不足值业务笔数</t>
  </si>
  <si>
    <t>LACKCOUNTRATIO</t>
  </si>
  <si>
    <t>不足值业务笔数占比</t>
  </si>
  <si>
    <t>SUMBALANCE</t>
  </si>
  <si>
    <t>LACKBALANCE</t>
  </si>
  <si>
    <t>不足值业务的贷款余额</t>
  </si>
  <si>
    <t>LACKBALANCERATIO</t>
  </si>
  <si>
    <t>不足值业务的贷款余额占比</t>
  </si>
  <si>
    <t>CUSTSUM</t>
  </si>
  <si>
    <t>客户数量</t>
  </si>
  <si>
    <t>LACKCUSTSUM</t>
  </si>
  <si>
    <t>不足值业务客户数量</t>
  </si>
  <si>
    <t>LACKCUSTRATIO</t>
  </si>
  <si>
    <t>不足值业务客户数量占比</t>
  </si>
  <si>
    <t>轻度压后综合足值率</t>
  </si>
  <si>
    <t>轻度压后综合抵质押率</t>
  </si>
  <si>
    <t>轻度压后综合我行认定价值</t>
  </si>
  <si>
    <t>MILDAFTERCOUNTSUM</t>
  </si>
  <si>
    <t>轻度压后总业务笔数</t>
  </si>
  <si>
    <t>MILDAFTERLACKCOUNT</t>
  </si>
  <si>
    <t>轻度压后不足值业务笔数</t>
  </si>
  <si>
    <t>中度压后综合足值率</t>
  </si>
  <si>
    <t>中度压后综合抵质押率</t>
  </si>
  <si>
    <t>中度压后综合我行认定价值</t>
  </si>
  <si>
    <t>MODERATEAFTERCOUNTSUM</t>
  </si>
  <si>
    <t>中度压后总业务笔数</t>
  </si>
  <si>
    <t>MODERATEAFTERLACKCOUNT</t>
  </si>
  <si>
    <t>中度压后不足值业务笔数</t>
  </si>
  <si>
    <t>重度压后综合足值率</t>
  </si>
  <si>
    <t>重度压后综合抵质押率</t>
  </si>
  <si>
    <t>重度压后综合我行认定价值</t>
  </si>
  <si>
    <t>SEVEREAFTERCOUNTSUM</t>
  </si>
  <si>
    <t>重度压后总业务笔数</t>
  </si>
  <si>
    <t>SEVEREAFTERLACKCOUNT</t>
  </si>
  <si>
    <t>重度压后不足值业务笔数</t>
  </si>
  <si>
    <t>MILDAFTERLACKCOUNTRATIO</t>
  </si>
  <si>
    <t>轻度不足值业务笔数占比</t>
  </si>
  <si>
    <t>MODERATEAFTERLACKCOUNTRATIO</t>
  </si>
  <si>
    <t>中度不足值业务笔数占比</t>
  </si>
  <si>
    <t>SEVEREAFTERLACKCOUNTRATIO</t>
  </si>
  <si>
    <t>重度不足值业务笔数占比</t>
  </si>
  <si>
    <t>MILDAFTERLACKBALANCERATIO</t>
  </si>
  <si>
    <t>轻度不足值业务的贷款余额占比</t>
  </si>
  <si>
    <t>MODERATEAFTERLACKBALANCERATIO</t>
  </si>
  <si>
    <t>中度不足值业务的贷款余额占比</t>
  </si>
  <si>
    <t>SEVEREAFTERLACKBALANCERATIO</t>
  </si>
  <si>
    <t>重度不足值业务的贷款余额占比</t>
  </si>
  <si>
    <t>MILDAFTERLACKCUSTRATIO</t>
  </si>
  <si>
    <t>轻度不足值业务客户数量占比</t>
  </si>
  <si>
    <t>MODERATEAFTERLACKCUSTRATIO</t>
  </si>
  <si>
    <t>中度不足值业务客户数量占比</t>
  </si>
  <si>
    <t>SEVEREAFTERLACKCUSTRATIO</t>
  </si>
  <si>
    <t>重度不足值业务客户数量占比</t>
  </si>
  <si>
    <t>MILDAFTERLACKBALANCE</t>
  </si>
  <si>
    <t>轻度不足值业务的贷款余额</t>
  </si>
  <si>
    <t>MODERATEAFTERLACKBALANCE</t>
  </si>
  <si>
    <t>中度不足值业务的贷款余额</t>
  </si>
  <si>
    <t>SEVEREAFTERLACKBALANCE</t>
  </si>
  <si>
    <t>重度不足值业务的贷款余额</t>
  </si>
  <si>
    <t>MILDAFTERLACKCUSTSUM</t>
  </si>
  <si>
    <t>轻度压后不足值业务客户数量</t>
  </si>
  <si>
    <t>MODERATEAFTERLACKCUSTSUM</t>
  </si>
  <si>
    <t>中度压后不足值业务客户数量</t>
  </si>
  <si>
    <t>SEVEREAFTERLACKCUSTSUM</t>
  </si>
  <si>
    <t>重度压后不足值业务客户数量</t>
  </si>
  <si>
    <t>clr_verification_info</t>
  </si>
  <si>
    <t>BUSINESSCONTRACTNO</t>
  </si>
  <si>
    <t>合同号</t>
  </si>
  <si>
    <t>CHECKFLAG1</t>
  </si>
  <si>
    <t>抵质押人是否具备主体资格</t>
  </si>
  <si>
    <t>CHECKFLAG2</t>
  </si>
  <si>
    <t>押品实际情况是否与权属文件相符</t>
  </si>
  <si>
    <t>CHECKFLAG3</t>
  </si>
  <si>
    <t>是否对押品享有所有权和处分权</t>
  </si>
  <si>
    <t>CHECKFLAG4</t>
  </si>
  <si>
    <t>抵质押人是否拖欠在建工程建设工程款</t>
  </si>
  <si>
    <t>CHECKFLAG5</t>
  </si>
  <si>
    <t>设置抵质押担保是否自愿、真实</t>
  </si>
  <si>
    <t>CHECKFLAG6</t>
  </si>
  <si>
    <t>押品是否存在出租、在先抵押、查封、扣押、监管等限制情况</t>
  </si>
  <si>
    <t>CHECKFLAG7</t>
  </si>
  <si>
    <t>必要的政府部门、董事会、股东大会等批准文件是否真实</t>
  </si>
  <si>
    <t>CHECKFLAG8</t>
  </si>
  <si>
    <t>押品权属是否明确，权属文件、抵押登记证明是否完整、真实、有效</t>
  </si>
  <si>
    <t>CHECKFLAG9</t>
  </si>
  <si>
    <t>印章及签字是否真实</t>
  </si>
  <si>
    <t>CHECKFLAG10</t>
  </si>
  <si>
    <t>监管协议是否由监管人确认</t>
  </si>
  <si>
    <t>ISSAVED</t>
  </si>
  <si>
    <t>押品核实信息是否保存完整</t>
  </si>
  <si>
    <t>DATATYPE</t>
  </si>
  <si>
    <t>CONCLUSION</t>
  </si>
  <si>
    <t>核保结论</t>
  </si>
  <si>
    <t>OTHERINFO</t>
  </si>
  <si>
    <t>其他事项;具体说明）</t>
  </si>
  <si>
    <t>clr_verification_record</t>
  </si>
  <si>
    <t>MAINVERIFIERID</t>
  </si>
  <si>
    <t>主核押人用户编号</t>
  </si>
  <si>
    <t>MAINVERIFIER</t>
  </si>
  <si>
    <t>主核押人</t>
  </si>
  <si>
    <t>VICEVERIFIERID</t>
  </si>
  <si>
    <t>协助核押人用户编号</t>
  </si>
  <si>
    <t>VICEVERIFIER</t>
  </si>
  <si>
    <t>协助核押人</t>
  </si>
  <si>
    <t>VERIFICATIONPLACE</t>
  </si>
  <si>
    <t>核保地点</t>
  </si>
  <si>
    <t>VERIFICATIONDATE</t>
  </si>
  <si>
    <t>核保日期</t>
  </si>
  <si>
    <t>code_catalog</t>
  </si>
  <si>
    <t>代码编号</t>
  </si>
  <si>
    <t>CODETYPEONE</t>
  </si>
  <si>
    <t>大类</t>
  </si>
  <si>
    <t>CODETYPETWO</t>
  </si>
  <si>
    <t>小类</t>
  </si>
  <si>
    <t>代码名称</t>
  </si>
  <si>
    <t>CODEDESCRIBE</t>
  </si>
  <si>
    <t>代码描述</t>
  </si>
  <si>
    <t>CODEATTRIBUTE</t>
  </si>
  <si>
    <t>代码属性</t>
  </si>
  <si>
    <t>code_library</t>
  </si>
  <si>
    <t>代码项编号</t>
  </si>
  <si>
    <t>代码项名称</t>
  </si>
  <si>
    <t>BANKNO</t>
  </si>
  <si>
    <t>征信代码</t>
  </si>
  <si>
    <t>代码项描述</t>
  </si>
  <si>
    <t>ITEMATTRIBUTE</t>
  </si>
  <si>
    <t>代码项属性</t>
  </si>
  <si>
    <t>RELATIVECODE</t>
  </si>
  <si>
    <t>相关代码</t>
  </si>
  <si>
    <t>HELPTEXT</t>
  </si>
  <si>
    <t>帮助描述</t>
  </si>
  <si>
    <t>conf_erate_info</t>
  </si>
  <si>
    <t>EXCHANGEVALUE</t>
  </si>
  <si>
    <t>交换值;</t>
  </si>
  <si>
    <t>备注;</t>
  </si>
  <si>
    <t>货币;</t>
  </si>
  <si>
    <t>EFFICIENTDATE</t>
  </si>
  <si>
    <t>单位;</t>
  </si>
  <si>
    <t>PRICE</t>
  </si>
  <si>
    <t>价格;</t>
  </si>
  <si>
    <t>登记机构;</t>
  </si>
  <si>
    <t>更新人;</t>
  </si>
  <si>
    <t>更新机构;</t>
  </si>
  <si>
    <t>conf_quick_menu_url</t>
  </si>
  <si>
    <t>QUICKMENUNAME</t>
  </si>
  <si>
    <t>子系统号</t>
  </si>
  <si>
    <t>用户ID;</t>
  </si>
  <si>
    <t>菜单ID;</t>
  </si>
  <si>
    <t>ROLESTRING</t>
  </si>
  <si>
    <t>角色号</t>
  </si>
  <si>
    <t>corporation_info</t>
  </si>
  <si>
    <t>CORPORATIONID</t>
  </si>
  <si>
    <t>法人编号</t>
  </si>
  <si>
    <t>CORPORATIONNAME</t>
  </si>
  <si>
    <t>法人名称</t>
  </si>
  <si>
    <t>parentCorpId</t>
  </si>
  <si>
    <t>上级法人编号</t>
  </si>
  <si>
    <t>文档附件库</t>
  </si>
  <si>
    <t>doc_attachment</t>
  </si>
  <si>
    <t>ATTACHMENTNO</t>
  </si>
  <si>
    <t>CONTENTSTATUS</t>
  </si>
  <si>
    <t>内容状态</t>
  </si>
  <si>
    <t>文件全路径</t>
  </si>
  <si>
    <t>文件保存类型</t>
  </si>
  <si>
    <t>发送开始时间</t>
  </si>
  <si>
    <t>发送完成时间</t>
  </si>
  <si>
    <t>文档资料库</t>
  </si>
  <si>
    <t>doc_library</t>
  </si>
  <si>
    <t>DOCTITLE</t>
  </si>
  <si>
    <t>DOCTYPE</t>
  </si>
  <si>
    <t>文档类型</t>
  </si>
  <si>
    <t>DOCLENGTH</t>
  </si>
  <si>
    <t>文档长度</t>
  </si>
  <si>
    <t>DOCIMPORTANCE</t>
  </si>
  <si>
    <t>DOCSECRET</t>
  </si>
  <si>
    <t>文档密级</t>
  </si>
  <si>
    <t>DOCSTAGE</t>
  </si>
  <si>
    <t>所属阶段</t>
  </si>
  <si>
    <t>DOCSOURCE</t>
  </si>
  <si>
    <t>文档来源</t>
  </si>
  <si>
    <t>DOCUNIT</t>
  </si>
  <si>
    <t>编制单位</t>
  </si>
  <si>
    <t>DOCDATE</t>
  </si>
  <si>
    <t>编制日期</t>
  </si>
  <si>
    <t>DOCORGANIZER</t>
  </si>
  <si>
    <t>编制人</t>
  </si>
  <si>
    <t>DOCKEYWORD</t>
  </si>
  <si>
    <t>文档主题词</t>
  </si>
  <si>
    <t>DOCABSTRACT</t>
  </si>
  <si>
    <t>文档摘要</t>
  </si>
  <si>
    <t>DOCLOCATION</t>
  </si>
  <si>
    <t>文档保存位置</t>
  </si>
  <si>
    <t>DOCATTRIBUTE</t>
  </si>
  <si>
    <t>doc_relative</t>
  </si>
  <si>
    <t>文档关联对象类型</t>
  </si>
  <si>
    <t>文档关联对象编号</t>
  </si>
  <si>
    <t>OBJECTNAME</t>
  </si>
  <si>
    <t>文档关联对象名称</t>
  </si>
  <si>
    <t>erate_info</t>
  </si>
  <si>
    <t>相对值</t>
  </si>
  <si>
    <t>中间价</t>
  </si>
  <si>
    <t>evaluate_catalog</t>
  </si>
  <si>
    <t>评估表编号</t>
  </si>
  <si>
    <t>MODELNAME</t>
  </si>
  <si>
    <t>评估表名称</t>
  </si>
  <si>
    <t>MODELTYPE</t>
  </si>
  <si>
    <t>评估表类型</t>
  </si>
  <si>
    <t>MODELDESCRIBE</t>
  </si>
  <si>
    <t>评估表描述</t>
  </si>
  <si>
    <t>MAXLEVELS</t>
  </si>
  <si>
    <t>最大层级</t>
  </si>
  <si>
    <t>EVALUATECONTEXT</t>
  </si>
  <si>
    <t>评估表配置</t>
  </si>
  <si>
    <t>TRANSFORMMETHOD</t>
  </si>
  <si>
    <t>转换方法</t>
  </si>
  <si>
    <t>evaluate_data</t>
  </si>
  <si>
    <t>评级项</t>
  </si>
  <si>
    <t>ITEMVALUE</t>
  </si>
  <si>
    <t>项目值</t>
  </si>
  <si>
    <t>EVALUATESCORE</t>
  </si>
  <si>
    <t>项目得分</t>
  </si>
  <si>
    <t>evaluate_model</t>
  </si>
  <si>
    <t>VALUECODE</t>
  </si>
  <si>
    <t>取值代码</t>
  </si>
  <si>
    <t>VALUETYPE</t>
  </si>
  <si>
    <t>EVALUATEINPUT</t>
  </si>
  <si>
    <t>评估输入名称</t>
  </si>
  <si>
    <t>EVALUATEOUTPUT</t>
  </si>
  <si>
    <t>评估输出名称</t>
  </si>
  <si>
    <t>VALUESUBJECTNO</t>
  </si>
  <si>
    <t>财务指标</t>
  </si>
  <si>
    <t>ISTITLE</t>
  </si>
  <si>
    <t>是否是指标;标题）</t>
  </si>
  <si>
    <t>PARENTNO</t>
  </si>
  <si>
    <t>父节点值</t>
  </si>
  <si>
    <t>DISPLAYNO</t>
  </si>
  <si>
    <t>显示序号</t>
  </si>
  <si>
    <t>项目属性</t>
  </si>
  <si>
    <t>COEFFICIENT</t>
  </si>
  <si>
    <t>系数</t>
  </si>
  <si>
    <t>EVALUATEMETHOD</t>
  </si>
  <si>
    <t>VALUEMETHOD</t>
  </si>
  <si>
    <t>evaluate_record</t>
  </si>
  <si>
    <t>EVALUATEDATE</t>
  </si>
  <si>
    <t>系统评估日期</t>
  </si>
  <si>
    <t>系统评估得分</t>
  </si>
  <si>
    <t>EVALUATERESULT</t>
  </si>
  <si>
    <t>系统评估结果</t>
  </si>
  <si>
    <t>评估客户经理</t>
  </si>
  <si>
    <t>COGNDATE</t>
  </si>
  <si>
    <t>认定日期</t>
  </si>
  <si>
    <t>COGNSCORE</t>
  </si>
  <si>
    <t>人工认定的分</t>
  </si>
  <si>
    <t>COGNRESULT</t>
  </si>
  <si>
    <t>人工认定结果</t>
  </si>
  <si>
    <t>COGNORGID</t>
  </si>
  <si>
    <t>认定单位</t>
  </si>
  <si>
    <t>COGNUSERID</t>
  </si>
  <si>
    <t>COGNREASON</t>
  </si>
  <si>
    <t>认定理由</t>
  </si>
  <si>
    <t>EVALUATELEVEL</t>
  </si>
  <si>
    <t>认定级别</t>
  </si>
  <si>
    <t>FINISHDATE</t>
  </si>
  <si>
    <t>REPORTNO</t>
  </si>
  <si>
    <t>报表编号</t>
  </si>
  <si>
    <t>ACCOUNTINGMONTH</t>
  </si>
  <si>
    <t>会计月份</t>
  </si>
  <si>
    <t>REPORTSCOPE</t>
  </si>
  <si>
    <t>REPORTPERIOD</t>
  </si>
  <si>
    <t>流程活动(节点)</t>
  </si>
  <si>
    <t>flow_activities</t>
  </si>
  <si>
    <t>ACTIVITYID</t>
  </si>
  <si>
    <t>流程活动节点编号</t>
  </si>
  <si>
    <t>ACTIVITYNAME</t>
  </si>
  <si>
    <t>流程活动节点名称</t>
  </si>
  <si>
    <t>ACTIVITYTYPE</t>
  </si>
  <si>
    <t>流程活动节点类型</t>
  </si>
  <si>
    <t>ACTIVITYDESC</t>
  </si>
  <si>
    <t>流程活动节点描述</t>
  </si>
  <si>
    <t>ACTIVITYICON</t>
  </si>
  <si>
    <t>流程活动节点图标</t>
  </si>
  <si>
    <t>PROPERTYIDS</t>
  </si>
  <si>
    <t>关联属性（多选）</t>
  </si>
  <si>
    <t>ISBASIC</t>
  </si>
  <si>
    <t>是否基础节点</t>
  </si>
  <si>
    <t>CREATEUSERID</t>
  </si>
  <si>
    <t>创建人(操作)</t>
  </si>
  <si>
    <t>ACTIVITYWIDTH</t>
  </si>
  <si>
    <t>流程活动节点宽度</t>
  </si>
  <si>
    <t>ACTIVITYHEIGHT</t>
  </si>
  <si>
    <t>流程活动节点高度</t>
  </si>
  <si>
    <t>ACTIVITYSTYLE</t>
  </si>
  <si>
    <t>流程活动节点样式</t>
  </si>
  <si>
    <t>ACTIVITYHTML</t>
  </si>
  <si>
    <t>活动HTML</t>
  </si>
  <si>
    <t>flow_attributegroup</t>
  </si>
  <si>
    <t>ATTRIBUTEGROUPID</t>
  </si>
  <si>
    <t>流程属性分组编号</t>
  </si>
  <si>
    <t>ATTRIBUTEGROUPNAME</t>
  </si>
  <si>
    <t>流程属性分组名称</t>
  </si>
  <si>
    <t>ATTRIBUTEGROUPDESCRIBE</t>
  </si>
  <si>
    <t>流程属性分组描述</t>
  </si>
  <si>
    <t>创建人</t>
  </si>
  <si>
    <t>flow_buttongroup</t>
  </si>
  <si>
    <t>BUTTONGROUPID</t>
  </si>
  <si>
    <t>BUTTONGROUPNAME</t>
  </si>
  <si>
    <t>BUTTONGROUPDESC</t>
  </si>
  <si>
    <t>flow_buttonitem</t>
  </si>
  <si>
    <t>BUTTONITEMID</t>
  </si>
  <si>
    <t>BUTTONITEMNAME</t>
  </si>
  <si>
    <t>BUTTONITEMDESC</t>
  </si>
  <si>
    <t>按钮组编号</t>
  </si>
  <si>
    <t>flow_catalog</t>
  </si>
  <si>
    <t>FLOWNO</t>
  </si>
  <si>
    <t>流程编号</t>
  </si>
  <si>
    <t>FLOWNAME</t>
  </si>
  <si>
    <t>流程名称</t>
  </si>
  <si>
    <t>FLOWDESCRIBE</t>
  </si>
  <si>
    <t>流程描述</t>
  </si>
  <si>
    <t>INITPHASE</t>
  </si>
  <si>
    <t>初始阶段</t>
  </si>
  <si>
    <t>AAENABLED</t>
  </si>
  <si>
    <t>是否启用授权系统</t>
  </si>
  <si>
    <t>AAPOLICY</t>
  </si>
  <si>
    <t>授权方案</t>
  </si>
  <si>
    <t>VIEWFILELENGTH</t>
  </si>
  <si>
    <t>流程图描述长度</t>
  </si>
  <si>
    <t>METAFLOWNO</t>
  </si>
  <si>
    <t>元版本号</t>
  </si>
  <si>
    <t>VERSION</t>
  </si>
  <si>
    <t>版本</t>
  </si>
  <si>
    <t>BASEFLOWNO</t>
  </si>
  <si>
    <t>流程号</t>
  </si>
  <si>
    <t>BASEFLOWNAME</t>
  </si>
  <si>
    <t>GROUPTITLES</t>
  </si>
  <si>
    <t>流程图分组标题</t>
  </si>
  <si>
    <t>VIEWFILE</t>
  </si>
  <si>
    <t>流程图文件</t>
  </si>
  <si>
    <t>FLOWBUTTONSET</t>
  </si>
  <si>
    <t>flow_def</t>
  </si>
  <si>
    <t>DEFINITIONID</t>
  </si>
  <si>
    <t>流水号（模型编号＋版本号）</t>
  </si>
  <si>
    <t>DEFINITIONNAME</t>
  </si>
  <si>
    <t>流程定义名称</t>
  </si>
  <si>
    <t>MODELID</t>
  </si>
  <si>
    <t>模型编号</t>
  </si>
  <si>
    <t>DEFINITIONVERSION</t>
  </si>
  <si>
    <t>模型分组</t>
  </si>
  <si>
    <t>DEPLOYID</t>
  </si>
  <si>
    <t>部署流水号</t>
  </si>
  <si>
    <t>MODELCONTENT</t>
  </si>
  <si>
    <t>longtext</t>
  </si>
  <si>
    <t>JSON内容</t>
  </si>
  <si>
    <t>XMLCONTENT</t>
  </si>
  <si>
    <t>XML内容</t>
  </si>
  <si>
    <t>DEFINITIONDESC</t>
  </si>
  <si>
    <t>CREATEORGID</t>
  </si>
  <si>
    <t>CORPORG</t>
  </si>
  <si>
    <t>法人机构</t>
  </si>
  <si>
    <t>flow_deploy</t>
  </si>
  <si>
    <t>DEPLOYNAME</t>
  </si>
  <si>
    <t>MODELIDS</t>
  </si>
  <si>
    <t>部署模型编号</t>
  </si>
  <si>
    <t>DEPLOYDESC</t>
  </si>
  <si>
    <t>flow_group</t>
  </si>
  <si>
    <t>PARENTID</t>
  </si>
  <si>
    <t>父节点</t>
  </si>
  <si>
    <t>GROUPDESC</t>
  </si>
  <si>
    <t>修改人</t>
  </si>
  <si>
    <t>MAINBUSINESSOBJECT</t>
  </si>
  <si>
    <t>主业务对象</t>
  </si>
  <si>
    <t>flow_hi_model</t>
  </si>
  <si>
    <t>模型英文名称</t>
  </si>
  <si>
    <t>MODELLABLE</t>
  </si>
  <si>
    <t>模型中文名称</t>
  </si>
  <si>
    <t>MODELDESC</t>
  </si>
  <si>
    <t>模型说明</t>
  </si>
  <si>
    <t>json内容</t>
  </si>
  <si>
    <t>xml内容</t>
  </si>
  <si>
    <t>流程的消息模板</t>
  </si>
  <si>
    <t>flow_message</t>
  </si>
  <si>
    <t>MESSAGENAME</t>
  </si>
  <si>
    <t>MESSAGECONTENT</t>
  </si>
  <si>
    <t>MESSAGERECEIVER</t>
  </si>
  <si>
    <t>接收人类型</t>
  </si>
  <si>
    <t>MESSAGEIMPLEMENT</t>
  </si>
  <si>
    <t>是否启用</t>
  </si>
  <si>
    <t>流程模型</t>
  </si>
  <si>
    <t>flow_model</t>
  </si>
  <si>
    <t>PHASENO</t>
  </si>
  <si>
    <t>阶段号</t>
  </si>
  <si>
    <t>PHASETYPE</t>
  </si>
  <si>
    <t>阶段类型</t>
  </si>
  <si>
    <t>PHASENAME</t>
  </si>
  <si>
    <t>PHASEDESCRIBE</t>
  </si>
  <si>
    <t>阶段描述</t>
  </si>
  <si>
    <t>PHASEATTRIBUTE</t>
  </si>
  <si>
    <t>阶段属性</t>
  </si>
  <si>
    <t>PRESCRIPT</t>
  </si>
  <si>
    <t>前沿执行SCRIPT</t>
  </si>
  <si>
    <t>INITSCRIPT</t>
  </si>
  <si>
    <t>相关承办人SCRIPT</t>
  </si>
  <si>
    <t>CHOICEDESCRIBE</t>
  </si>
  <si>
    <t>意见描述</t>
  </si>
  <si>
    <t>CHOICESCRIPT</t>
  </si>
  <si>
    <t>意见生成SCRIPT</t>
  </si>
  <si>
    <t>ACTIONDESCRIBE</t>
  </si>
  <si>
    <t>动作描述</t>
  </si>
  <si>
    <t>ACTIONSCRIPT</t>
  </si>
  <si>
    <t>动作生成SCRIPT</t>
  </si>
  <si>
    <t>POSTSCRIPT</t>
  </si>
  <si>
    <t>后续阶段SCRIPIT</t>
  </si>
  <si>
    <t>是否启用授权</t>
  </si>
  <si>
    <t>AAPOINTINITSCRIPT</t>
  </si>
  <si>
    <t>授权点初始化SCRIPT</t>
  </si>
  <si>
    <t>AAPOINTCOMP</t>
  </si>
  <si>
    <t>授权点组件</t>
  </si>
  <si>
    <t>AAPOINTCOMPURL</t>
  </si>
  <si>
    <t>授权点组件URL</t>
  </si>
  <si>
    <t>STANDARDTIME1</t>
  </si>
  <si>
    <t>(NEW)审批时间标准1(分钟)</t>
  </si>
  <si>
    <t>STANDARDTIME2</t>
  </si>
  <si>
    <t>(NEW)审批时间标准2(分钟)</t>
  </si>
  <si>
    <t>COSTLOB</t>
  </si>
  <si>
    <t>(NEW)审批成本归属</t>
  </si>
  <si>
    <t>STRIPS</t>
  </si>
  <si>
    <t>(NEW)阶段STRIP[逗号分隔]</t>
  </si>
  <si>
    <t>CHECKLIST</t>
  </si>
  <si>
    <t>(NEW)阶段CHECKLIST</t>
  </si>
  <si>
    <t>DECISIONSCRIPT</t>
  </si>
  <si>
    <t>(NEW)自动审批规则</t>
  </si>
  <si>
    <t>RISKSCANRULE</t>
  </si>
  <si>
    <t>(NEW)风险探测规则组</t>
  </si>
  <si>
    <t>BUTTONSET2</t>
  </si>
  <si>
    <t>(NEW)STRIP按钮</t>
  </si>
  <si>
    <t>DISTRIBUTERULE</t>
  </si>
  <si>
    <t>分发方式</t>
  </si>
  <si>
    <t>ID</t>
  </si>
  <si>
    <t>图形节点编号</t>
  </si>
  <si>
    <t>TYPE</t>
  </si>
  <si>
    <t>图形节点类型</t>
  </si>
  <si>
    <t>图形节点名称</t>
  </si>
  <si>
    <t>XCOORDINATE</t>
  </si>
  <si>
    <t>图形节点X坐标</t>
  </si>
  <si>
    <t>YCOORDINATE</t>
  </si>
  <si>
    <t>图形节点Y坐标</t>
  </si>
  <si>
    <t>WIDTH</t>
  </si>
  <si>
    <t>图形节点宽度</t>
  </si>
  <si>
    <t>图形节点高度</t>
  </si>
  <si>
    <t>SWIMLANE</t>
  </si>
  <si>
    <t>泳道编号</t>
  </si>
  <si>
    <t>FLOWPHASECONTEXT</t>
  </si>
  <si>
    <t>流程阶段上下文</t>
  </si>
  <si>
    <t>NODETYPE</t>
  </si>
  <si>
    <t>流程节点类型</t>
  </si>
  <si>
    <t>CONTINUECONDITION</t>
  </si>
  <si>
    <t>多批时流程继续的判断</t>
  </si>
  <si>
    <t>flow_model_relative</t>
  </si>
  <si>
    <r>
      <rPr>
        <sz val="9"/>
        <rFont val="Arial"/>
        <charset val="0"/>
      </rPr>
      <t>ID</t>
    </r>
    <r>
      <rPr>
        <sz val="9"/>
        <rFont val="Droid Sans Fallback"/>
        <charset val="134"/>
      </rPr>
      <t>编号</t>
    </r>
  </si>
  <si>
    <t>模型号</t>
  </si>
  <si>
    <t>分组号</t>
  </si>
  <si>
    <t>flow_object</t>
  </si>
  <si>
    <t>当前流程号</t>
  </si>
  <si>
    <t>当前流程名称</t>
  </si>
  <si>
    <t>当前阶段号</t>
  </si>
  <si>
    <t>当前阶段名称</t>
  </si>
  <si>
    <t>OBJDESCRIBE</t>
  </si>
  <si>
    <t>OBJATTRIBUTE1</t>
  </si>
  <si>
    <t>流程属性1</t>
  </si>
  <si>
    <t>OBJATTRIBUTE2</t>
  </si>
  <si>
    <t>流程属性2</t>
  </si>
  <si>
    <t>OBJATTRIBUTE3</t>
  </si>
  <si>
    <t>流程属性3</t>
  </si>
  <si>
    <t>OBJATTRIBUTE4</t>
  </si>
  <si>
    <t>流程属性4</t>
  </si>
  <si>
    <t>OBJATTRIBUTE5</t>
  </si>
  <si>
    <t>流程属性5</t>
  </si>
  <si>
    <t>ORGNAME</t>
  </si>
  <si>
    <t>评估单位</t>
  </si>
  <si>
    <t>USERNAME</t>
  </si>
  <si>
    <t>登记人名称</t>
  </si>
  <si>
    <t>ARCHIVETIME</t>
  </si>
  <si>
    <t>归档时刻</t>
  </si>
  <si>
    <t>申请编号</t>
  </si>
  <si>
    <t>ARCHIVE</t>
  </si>
  <si>
    <t>归档标识</t>
  </si>
  <si>
    <t>FLOWSTATE</t>
  </si>
  <si>
    <t>流程状态</t>
  </si>
  <si>
    <t>PROCESSINSTNO</t>
  </si>
  <si>
    <t>流程实例编号</t>
  </si>
  <si>
    <t>PROCESSTASKNO</t>
  </si>
  <si>
    <t>流程任务编号</t>
  </si>
  <si>
    <t>RELATIVETASKNO</t>
  </si>
  <si>
    <t>父任务流水号</t>
  </si>
  <si>
    <t>流程对象流水号</t>
  </si>
  <si>
    <t>TASKTYPE</t>
  </si>
  <si>
    <t>flow_object_summary</t>
  </si>
  <si>
    <t>业务对象编号</t>
  </si>
  <si>
    <t>FLOWSUMMARY</t>
  </si>
  <si>
    <t>流程简述</t>
  </si>
  <si>
    <t>TASKSUMMARY</t>
  </si>
  <si>
    <t>任务说明</t>
  </si>
  <si>
    <t>审批状态</t>
  </si>
  <si>
    <t>当前流程用户编号;</t>
  </si>
  <si>
    <t>CATEGORYID</t>
  </si>
  <si>
    <t>待办事项大类标识</t>
  </si>
  <si>
    <t>BUSINESSENTITY</t>
  </si>
  <si>
    <t>业务主体</t>
  </si>
  <si>
    <t>notes</t>
  </si>
  <si>
    <t>笔记</t>
  </si>
  <si>
    <t>flow_opinion</t>
  </si>
  <si>
    <t>流程节点编号</t>
  </si>
  <si>
    <t>OPINIONNO</t>
  </si>
  <si>
    <t>意见编号</t>
  </si>
  <si>
    <t>流程对象任务类型</t>
  </si>
  <si>
    <t>流程对象编号</t>
  </si>
  <si>
    <t>BUSINESSCURRENCY</t>
  </si>
  <si>
    <t>业务币种</t>
  </si>
  <si>
    <t>名义金额</t>
  </si>
  <si>
    <t>TERMYEAR</t>
  </si>
  <si>
    <t>期限</t>
  </si>
  <si>
    <t>TERMMONTH</t>
  </si>
  <si>
    <t>TERMDAY</t>
  </si>
  <si>
    <t>BASERATETYPE</t>
  </si>
  <si>
    <t>RATEFLOATTYPE</t>
  </si>
  <si>
    <t>RATEFLOAT</t>
  </si>
  <si>
    <t>利率浮动</t>
  </si>
  <si>
    <t>BAILCURRENCY</t>
  </si>
  <si>
    <t>保证金币种</t>
  </si>
  <si>
    <t>BUSINESSRATE</t>
  </si>
  <si>
    <t>执行利率</t>
  </si>
  <si>
    <t>BAILRATIO</t>
  </si>
  <si>
    <t>保证金比例</t>
  </si>
  <si>
    <t>BAILSUM</t>
  </si>
  <si>
    <t>保证金金额</t>
  </si>
  <si>
    <t>PDGRATIO</t>
  </si>
  <si>
    <t>手续费比率</t>
  </si>
  <si>
    <t>PDGSUM</t>
  </si>
  <si>
    <t>手续费金额</t>
  </si>
  <si>
    <t>BASERATE</t>
  </si>
  <si>
    <t>基准利率</t>
  </si>
  <si>
    <t>PHASEOPINION</t>
  </si>
  <si>
    <t>节点意见详情</t>
  </si>
  <si>
    <t>PHASEOPINION1</t>
  </si>
  <si>
    <t>意见详情1</t>
  </si>
  <si>
    <t>PHASEOPINION2</t>
  </si>
  <si>
    <t>意见详情2</t>
  </si>
  <si>
    <t>PHASEOPINION3</t>
  </si>
  <si>
    <t>意见详情3</t>
  </si>
  <si>
    <t>EXPOSURESUM</t>
  </si>
  <si>
    <t>敞口金额</t>
  </si>
  <si>
    <t>OPINIONTYPE</t>
  </si>
  <si>
    <t>意见类型</t>
  </si>
  <si>
    <t>PHASECHOICE</t>
  </si>
  <si>
    <t>阶段意见</t>
  </si>
  <si>
    <t>flow_phasetype</t>
  </si>
  <si>
    <t>PHASETYPEID</t>
  </si>
  <si>
    <t>PHASETYPENAME</t>
  </si>
  <si>
    <t>PHASETYPEDESC</t>
  </si>
  <si>
    <t>flow_props</t>
  </si>
  <si>
    <t>PROPERTYID</t>
  </si>
  <si>
    <t>PROPERTYNAME</t>
  </si>
  <si>
    <t>PROPERTYDESC</t>
  </si>
  <si>
    <t>是否基本配置</t>
  </si>
  <si>
    <t>VUECOMP</t>
  </si>
  <si>
    <t>Vue组件</t>
  </si>
  <si>
    <t>EXTENDATTRIBUTE</t>
  </si>
  <si>
    <t>扩展属性</t>
  </si>
  <si>
    <t>flow_ru_model</t>
  </si>
  <si>
    <t>流程模型json内容</t>
  </si>
  <si>
    <t>流程的xml内容</t>
  </si>
  <si>
    <t>flow_swimlane</t>
  </si>
  <si>
    <t>LANENO</t>
  </si>
  <si>
    <t>LANENAME</t>
  </si>
  <si>
    <t>LANECONSTRAINT</t>
  </si>
  <si>
    <t>坐标</t>
  </si>
  <si>
    <t>流程节点信息表</t>
  </si>
  <si>
    <t>flow_task</t>
  </si>
  <si>
    <t>上一流水号字段</t>
  </si>
  <si>
    <t>流程模型编号</t>
  </si>
  <si>
    <t>流程模型名称</t>
  </si>
  <si>
    <t>当前阶段编号</t>
  </si>
  <si>
    <t>当前阶段类型</t>
  </si>
  <si>
    <t>机构名称</t>
  </si>
  <si>
    <t>开始日期</t>
  </si>
  <si>
    <t>PHASEACTION</t>
  </si>
  <si>
    <t>节点操作</t>
  </si>
  <si>
    <t>节点意见1</t>
  </si>
  <si>
    <t>PHASEOPINION4</t>
  </si>
  <si>
    <t>意见详情4</t>
  </si>
  <si>
    <t>CHECKLISTRESULT</t>
  </si>
  <si>
    <t>检查清单结果</t>
  </si>
  <si>
    <t>AUTODECISION</t>
  </si>
  <si>
    <t>自动审批判断结果</t>
  </si>
  <si>
    <t>RISKSCANRESULT</t>
  </si>
  <si>
    <t>风险探测结果</t>
  </si>
  <si>
    <t>标准审批用时</t>
  </si>
  <si>
    <t>最长审批用时</t>
  </si>
  <si>
    <t>审批成本归属</t>
  </si>
  <si>
    <t>CLIENTX</t>
  </si>
  <si>
    <t>图元X坐标</t>
  </si>
  <si>
    <t>CLIENTY</t>
  </si>
  <si>
    <t>图元Y坐标</t>
  </si>
  <si>
    <t>图元宽度</t>
  </si>
  <si>
    <t>HEIGTH</t>
  </si>
  <si>
    <t>图元高度</t>
  </si>
  <si>
    <t>RELATIVEOBJECTNO</t>
  </si>
  <si>
    <t>ASSIGNEDTASKNO</t>
  </si>
  <si>
    <t>指定任务编号</t>
  </si>
  <si>
    <t>FORKSTATE</t>
  </si>
  <si>
    <t>分支状态</t>
  </si>
  <si>
    <t>TASKSTATE</t>
  </si>
  <si>
    <t>任务状态</t>
  </si>
  <si>
    <t>PARENTFLOWNO</t>
  </si>
  <si>
    <t>父流程号</t>
  </si>
  <si>
    <t>FORKNO</t>
  </si>
  <si>
    <t>并行分支编号</t>
  </si>
  <si>
    <t>ALLFORKNO</t>
  </si>
  <si>
    <t>所有的并行分支编号</t>
  </si>
  <si>
    <t>RELANOTICENO</t>
  </si>
  <si>
    <t>关联意见号</t>
  </si>
  <si>
    <t>所属人</t>
  </si>
  <si>
    <t>意见详情</t>
  </si>
  <si>
    <t>GROUPINFO</t>
  </si>
  <si>
    <t>集团信息</t>
  </si>
  <si>
    <t>flow_task_closed</t>
  </si>
  <si>
    <t>上一流水号</t>
  </si>
  <si>
    <t>阶段编号</t>
  </si>
  <si>
    <t>承办人编号</t>
  </si>
  <si>
    <t>承办人姓名</t>
  </si>
  <si>
    <t>承办机构编号</t>
  </si>
  <si>
    <t>承办机构名称</t>
  </si>
  <si>
    <t>开始执行时间</t>
  </si>
  <si>
    <t>完成执行时间</t>
  </si>
  <si>
    <t>阶段动作</t>
  </si>
  <si>
    <t>flow_user_rela</t>
  </si>
  <si>
    <t>流程任务流水号</t>
  </si>
  <si>
    <t>用户号</t>
  </si>
  <si>
    <t>RELATYPE</t>
  </si>
  <si>
    <t>关联类型</t>
  </si>
  <si>
    <t>建立时间</t>
  </si>
  <si>
    <t>flow_userconf</t>
  </si>
  <si>
    <t>USERCONFID</t>
  </si>
  <si>
    <t>USERCONFNAME</t>
  </si>
  <si>
    <t>ISNEEDORG</t>
  </si>
  <si>
    <t>是否展示机构</t>
  </si>
  <si>
    <t>ISNEEDORGLEVEL</t>
  </si>
  <si>
    <t>是否展示机构层级</t>
  </si>
  <si>
    <t>ISNEEDROLE</t>
  </si>
  <si>
    <t>是否展示角色</t>
  </si>
  <si>
    <t>ISNEEDUSER</t>
  </si>
  <si>
    <t>是否展示人员</t>
  </si>
  <si>
    <t>USERCONFIMPL</t>
  </si>
  <si>
    <t>处理人实现类</t>
  </si>
  <si>
    <t>USERCONFDESC</t>
  </si>
  <si>
    <t>ISSHOWACTIVITY</t>
  </si>
  <si>
    <t>是否展示流程活动</t>
  </si>
  <si>
    <t>担保人信息表</t>
  </si>
  <si>
    <t>guarantor_info</t>
  </si>
  <si>
    <t>GUARANTYCONTRACTNO</t>
  </si>
  <si>
    <t>担保人编号</t>
  </si>
  <si>
    <t>GUARANTORNAME</t>
  </si>
  <si>
    <t>担保人名称</t>
  </si>
  <si>
    <t>SEX</t>
  </si>
  <si>
    <t>担保人性别</t>
  </si>
  <si>
    <t>GUARANTORCERTTYPE</t>
  </si>
  <si>
    <t>担保人证件类型</t>
  </si>
  <si>
    <t>GUARANTORCERTID</t>
  </si>
  <si>
    <t>担保人证件编号</t>
  </si>
  <si>
    <t>PHONENO</t>
  </si>
  <si>
    <t>担保人联系方式</t>
  </si>
  <si>
    <t>担保人中征码</t>
  </si>
  <si>
    <t>ABSORPTIONRATE</t>
  </si>
  <si>
    <t>分摊担保金额</t>
  </si>
  <si>
    <t>GUARANTEEFORM</t>
  </si>
  <si>
    <t>GUARANTORSTATUS</t>
  </si>
  <si>
    <t>担保人有效状态</t>
  </si>
  <si>
    <t>担保合同类型 GuarantyType :一般合同/最高额担保合同
担保方式 GuarantyStyle :抵押/质押/保证/信用
担保人贷款卡编号;LoanCardNo），征信需要
保证担保形式（GuaranteeForm）、通用日期（CommonDate），征信需要</t>
  </si>
  <si>
    <t>guaranty_contract</t>
  </si>
  <si>
    <t>GUARANTYTYPE</t>
  </si>
  <si>
    <t>一般担保合同、最高额担保合同</t>
  </si>
  <si>
    <t>抵押/质押/保证/信用</t>
  </si>
  <si>
    <t>GUARANTYSTATUS</t>
  </si>
  <si>
    <t>未生效/已生效/已失效</t>
  </si>
  <si>
    <t>BEGINDATE</t>
  </si>
  <si>
    <t>合同生效日</t>
  </si>
  <si>
    <t>GUARANTORID</t>
  </si>
  <si>
    <t>GUARANTYCURRENCY</t>
  </si>
  <si>
    <t>担保币种</t>
  </si>
  <si>
    <t>担保总金额</t>
  </si>
  <si>
    <t>CERTTYPE</t>
  </si>
  <si>
    <t>担保人证件号码</t>
  </si>
  <si>
    <t>数据来源渠道Channel:New表示在申请、或最终审批意见、或合同阶段新增的抵质押物，Copy表示从前一业务对象中拷贝到当前业务对象的抵质押物;例如：从将申请的抵质押物拷贝到最终审批意见中）。
数据来源类型Type：Add表示该抵质押物是新增到当前担保信息中，Import表示该抵质押物是从已存在的抵质押物库中引入到当前担保信息中。</t>
  </si>
  <si>
    <t>guaranty_relative</t>
  </si>
  <si>
    <r>
      <rPr>
        <sz val="9"/>
        <rFont val="宋体-简"/>
        <charset val="134"/>
      </rPr>
      <t>申请</t>
    </r>
    <r>
      <rPr>
        <sz val="9"/>
        <rFont val="Arial"/>
        <charset val="0"/>
      </rPr>
      <t xml:space="preserve"> </t>
    </r>
    <r>
      <rPr>
        <sz val="9"/>
        <rFont val="宋体-简"/>
        <charset val="134"/>
      </rPr>
      <t>合同。。</t>
    </r>
  </si>
  <si>
    <t>担保物编号</t>
  </si>
  <si>
    <t>CHANNEL</t>
  </si>
  <si>
    <t>RELATIONSTATUS</t>
  </si>
  <si>
    <t>关联状态</t>
  </si>
  <si>
    <t>OTHERSSTATUS</t>
  </si>
  <si>
    <t>他项权证状态</t>
  </si>
  <si>
    <t>DESCRIPTION</t>
  </si>
  <si>
    <t>他项权证内容</t>
  </si>
  <si>
    <t>SOURCETYPE</t>
  </si>
  <si>
    <t>数据来源类型</t>
  </si>
  <si>
    <t>生效、失效</t>
  </si>
  <si>
    <t>BASERIALNO</t>
  </si>
  <si>
    <t>业务申请流水号</t>
  </si>
  <si>
    <r>
      <rPr>
        <sz val="10"/>
        <rFont val="Arial"/>
        <charset val="0"/>
      </rPr>
      <t>BA</t>
    </r>
    <r>
      <rPr>
        <sz val="10"/>
        <rFont val="宋体-简"/>
        <charset val="134"/>
      </rPr>
      <t>申请流水号</t>
    </r>
  </si>
  <si>
    <t>EVALUERECORDNO</t>
  </si>
  <si>
    <t>评估流水号</t>
  </si>
  <si>
    <t>账务机构名称</t>
  </si>
  <si>
    <t>ORGNO</t>
  </si>
  <si>
    <t>账务机构编号</t>
  </si>
  <si>
    <t>安全选项变更日志表;用户痕迹表</t>
  </si>
  <si>
    <t>log_auditinfo</t>
  </si>
  <si>
    <t>AUDITTYPE</t>
  </si>
  <si>
    <t>审计类型</t>
  </si>
  <si>
    <t>CHANGEUSERID</t>
  </si>
  <si>
    <t>替换用户编号</t>
  </si>
  <si>
    <t>CHANGEUSERNAME</t>
  </si>
  <si>
    <t>替换用户名称</t>
  </si>
  <si>
    <t>开始时间</t>
  </si>
  <si>
    <t>REMARK2</t>
  </si>
  <si>
    <t>备注2</t>
  </si>
  <si>
    <t>RUNSQL</t>
  </si>
  <si>
    <t>sql运行语句</t>
  </si>
  <si>
    <t>LOGID</t>
  </si>
  <si>
    <t>日志编号</t>
  </si>
  <si>
    <t>manage_change</t>
  </si>
  <si>
    <t>历次变更记录流水号</t>
  </si>
  <si>
    <t>CHANGETYPE</t>
  </si>
  <si>
    <t>OLDORGID</t>
  </si>
  <si>
    <t>原管理机构</t>
  </si>
  <si>
    <t>OLDORGNAME</t>
  </si>
  <si>
    <t>OLDUSERID</t>
  </si>
  <si>
    <t>原管理人</t>
  </si>
  <si>
    <t>OLDUSERNAME</t>
  </si>
  <si>
    <t>NEWORGID</t>
  </si>
  <si>
    <t>现管理机构</t>
  </si>
  <si>
    <t>NEWORGNAME</t>
  </si>
  <si>
    <t>NEWUSERID</t>
  </si>
  <si>
    <t>现管理人</t>
  </si>
  <si>
    <t>NEWUSERNAME</t>
  </si>
  <si>
    <t>CHANGEREASON</t>
  </si>
  <si>
    <t>变更原因</t>
  </si>
  <si>
    <t>CHANGEORGID</t>
  </si>
  <si>
    <t>变更机构</t>
  </si>
  <si>
    <t>变更人</t>
  </si>
  <si>
    <t>CHANGETIME</t>
  </si>
  <si>
    <t>变更日期</t>
  </si>
  <si>
    <t>object_attribute</t>
  </si>
  <si>
    <t>对象类型号</t>
  </si>
  <si>
    <t>ATTRIBUTEID</t>
  </si>
  <si>
    <t>属性ID</t>
  </si>
  <si>
    <t>ATTRIBUTENAME</t>
  </si>
  <si>
    <t>属性名称</t>
  </si>
  <si>
    <t>ATTRIBUTEDESCRIBE</t>
  </si>
  <si>
    <t>属性描述</t>
  </si>
  <si>
    <t>系统流水表;系统流水号表</t>
  </si>
  <si>
    <t>object_maxsn</t>
  </si>
  <si>
    <t>TABLENAME</t>
  </si>
  <si>
    <t>COLUMNNAME</t>
  </si>
  <si>
    <t>MAXSERIALNO</t>
  </si>
  <si>
    <t>最大数</t>
  </si>
  <si>
    <t>DATEFMT</t>
  </si>
  <si>
    <t>日期模式</t>
  </si>
  <si>
    <t>NOFMT</t>
  </si>
  <si>
    <t>流水号模式</t>
  </si>
  <si>
    <t>对象定义表</t>
  </si>
  <si>
    <t>objecttype_catalog</t>
  </si>
  <si>
    <t>对象类型名称</t>
  </si>
  <si>
    <t>TREECODE</t>
  </si>
  <si>
    <t>对象树图</t>
  </si>
  <si>
    <t>PAGEPATH</t>
  </si>
  <si>
    <t>调用页面</t>
  </si>
  <si>
    <t>OBJECTATTRIBUTE</t>
  </si>
  <si>
    <t>OBJECTTABLE</t>
  </si>
  <si>
    <t>对应数据表</t>
  </si>
  <si>
    <t>KEYCOL</t>
  </si>
  <si>
    <t>关键字段</t>
  </si>
  <si>
    <t>KEYCOLNAME</t>
  </si>
  <si>
    <t>名称字段</t>
  </si>
  <si>
    <t>VIEWTYPE</t>
  </si>
  <si>
    <t>对象视图组</t>
  </si>
  <si>
    <t>DEFAULTVIEW</t>
  </si>
  <si>
    <t>默认视图</t>
  </si>
  <si>
    <t>RIGHTTYPE</t>
  </si>
  <si>
    <t>权限方法</t>
  </si>
  <si>
    <t>USAGEDESCRIBE</t>
  </si>
  <si>
    <t>用途说明</t>
  </si>
  <si>
    <t>属性一</t>
  </si>
  <si>
    <t>属性二</t>
  </si>
  <si>
    <t>属性三</t>
  </si>
  <si>
    <t>RELATIVETABLE</t>
  </si>
  <si>
    <t>关联数据表</t>
  </si>
  <si>
    <t>OBJECTCOLATTRIBUTE</t>
  </si>
  <si>
    <t>CATALOGSQL</t>
  </si>
  <si>
    <t>目录SQL</t>
  </si>
  <si>
    <t>CATALOGWHERE1</t>
  </si>
  <si>
    <t>目录WHERE1</t>
  </si>
  <si>
    <t>CATALOGWHERE2</t>
  </si>
  <si>
    <t>目录WHERE2</t>
  </si>
  <si>
    <t>CATALOGWHERE3</t>
  </si>
  <si>
    <t>目录WHERE3</t>
  </si>
  <si>
    <t>objecttype_rela</t>
  </si>
  <si>
    <t>显示名称</t>
  </si>
  <si>
    <t>RELAOBJECTTYPE</t>
  </si>
  <si>
    <t>关联对象类型</t>
  </si>
  <si>
    <t>SHOWONTABEXPR</t>
  </si>
  <si>
    <t>模板表述</t>
  </si>
  <si>
    <t>RELAEXPR</t>
  </si>
  <si>
    <t>关系表述</t>
  </si>
  <si>
    <t>VIEWEXPR</t>
  </si>
  <si>
    <t>视图表述</t>
  </si>
  <si>
    <t>机构管辖信息</t>
  </si>
  <si>
    <t>org_belong</t>
  </si>
  <si>
    <t>机构编号</t>
  </si>
  <si>
    <t>MANAGETYPE</t>
  </si>
  <si>
    <t>管辖类型</t>
  </si>
  <si>
    <t>BELONGORGID</t>
  </si>
  <si>
    <t>管辖机构编号</t>
  </si>
  <si>
    <t>登记人员</t>
  </si>
  <si>
    <t>更新人员</t>
  </si>
  <si>
    <t>机构信息</t>
  </si>
  <si>
    <t>org_info</t>
  </si>
  <si>
    <t>ORGLEVEL</t>
  </si>
  <si>
    <t>级别</t>
  </si>
  <si>
    <t>ORGPROPERTY</t>
  </si>
  <si>
    <t>属性集</t>
  </si>
  <si>
    <t>RELATIVEORGID</t>
  </si>
  <si>
    <t>相关机构代码</t>
  </si>
  <si>
    <t>BANKID</t>
  </si>
  <si>
    <t>人行金融机构代码</t>
  </si>
  <si>
    <t>BANKLICENSE</t>
  </si>
  <si>
    <t>金融机构许可证</t>
  </si>
  <si>
    <t>BUSINESSLICENSE</t>
  </si>
  <si>
    <t>营业执照</t>
  </si>
  <si>
    <t>BELONGAREA</t>
  </si>
  <si>
    <t>机构辖区</t>
  </si>
  <si>
    <t>ORGCLASS</t>
  </si>
  <si>
    <t>机构类别</t>
  </si>
  <si>
    <t>MAINFRAMEORGID</t>
  </si>
  <si>
    <t>网点号</t>
  </si>
  <si>
    <t>MAINFRAMEEXGID</t>
  </si>
  <si>
    <t>交换号</t>
  </si>
  <si>
    <t>ORGCODE</t>
  </si>
  <si>
    <t>机构编码</t>
  </si>
  <si>
    <t>ORGOLDNAME</t>
  </si>
  <si>
    <t>机构曾用名</t>
  </si>
  <si>
    <t>SETUPDATE</t>
  </si>
  <si>
    <t>成立时间</t>
  </si>
  <si>
    <t>ORGADD</t>
  </si>
  <si>
    <t>PRINCIPAL</t>
  </si>
  <si>
    <t>负责人</t>
  </si>
  <si>
    <t>ORGTEL</t>
  </si>
  <si>
    <t>联系电话</t>
  </si>
  <si>
    <t>BRANCHNUM</t>
  </si>
  <si>
    <t>分行号</t>
  </si>
  <si>
    <t>CMNUM</t>
  </si>
  <si>
    <t>客户经理数</t>
  </si>
  <si>
    <t>BUSINESSHOURS</t>
  </si>
  <si>
    <t>营业时间</t>
  </si>
  <si>
    <t>所属机构</t>
  </si>
  <si>
    <t>HOSTNO</t>
  </si>
  <si>
    <t>主机号</t>
  </si>
  <si>
    <t>VITUALSERIALNO</t>
  </si>
  <si>
    <t>虚拟流水号</t>
  </si>
  <si>
    <t>VITUALID</t>
  </si>
  <si>
    <t>虚拟柜员号</t>
  </si>
  <si>
    <t>组织机构号</t>
  </si>
  <si>
    <t>登记单位</t>
  </si>
  <si>
    <t>登记人id;登记人</t>
  </si>
  <si>
    <t>更新机构id;更新机构</t>
  </si>
  <si>
    <t>更新人id;更新人</t>
  </si>
  <si>
    <t>更新时间;</t>
  </si>
  <si>
    <t>ORGSTATUS</t>
  </si>
  <si>
    <t>post_sublicense</t>
  </si>
  <si>
    <t>AUTHORIZERROLEID</t>
  </si>
  <si>
    <t>授权角色</t>
  </si>
  <si>
    <t>ISAUTHORIZERROLEID</t>
  </si>
  <si>
    <t>被授权角色</t>
  </si>
  <si>
    <t>SUBLICENSEEFFECTIVEDATE</t>
  </si>
  <si>
    <t>转授权生效日</t>
  </si>
  <si>
    <t>SUBLICENSEINVALIDDATE</t>
  </si>
  <si>
    <t>转授权失效日</t>
  </si>
  <si>
    <t>SUBLICENSEREASON</t>
  </si>
  <si>
    <t>转授权原因</t>
  </si>
  <si>
    <t>rate_info</t>
  </si>
  <si>
    <t>RATEID</t>
  </si>
  <si>
    <t>利率代号</t>
  </si>
  <si>
    <t>利率名称</t>
  </si>
  <si>
    <t>TERMUNIT</t>
  </si>
  <si>
    <t>利率周期单位</t>
  </si>
  <si>
    <t>利率周期</t>
  </si>
  <si>
    <t>RATE</t>
  </si>
  <si>
    <t>RATEUNIT</t>
  </si>
  <si>
    <t>利率单位</t>
  </si>
  <si>
    <t>role_info</t>
  </si>
  <si>
    <t>ROLENAME</t>
  </si>
  <si>
    <t>角色名称</t>
  </si>
  <si>
    <t>ROLEATTRIBUTE</t>
  </si>
  <si>
    <t>角色属性</t>
  </si>
  <si>
    <t>ROLEDESCRIBE</t>
  </si>
  <si>
    <t>角色描述</t>
  </si>
  <si>
    <t>ROLESTATUS</t>
  </si>
  <si>
    <t>角色状态</t>
  </si>
  <si>
    <t>登记机构编号</t>
  </si>
  <si>
    <t>登记人编号</t>
  </si>
  <si>
    <t>更新机构编号</t>
  </si>
  <si>
    <t>更新人编号</t>
  </si>
  <si>
    <t>role_right</t>
  </si>
  <si>
    <t>RightId</t>
  </si>
  <si>
    <t>RoleId</t>
  </si>
  <si>
    <t>Remark</t>
  </si>
  <si>
    <t>InputDate</t>
  </si>
  <si>
    <t>UpdateUserID</t>
  </si>
  <si>
    <t>UpdateOrgID</t>
  </si>
  <si>
    <t>UpdateDate</t>
  </si>
  <si>
    <t>scenario_args</t>
  </si>
  <si>
    <t>SCENARIOID</t>
  </si>
  <si>
    <t>场景编号</t>
  </si>
  <si>
    <t>ALARMARGID</t>
  </si>
  <si>
    <t>参数编号</t>
  </si>
  <si>
    <t>SCRIPTTYPE</t>
  </si>
  <si>
    <t>脚本类型</t>
  </si>
  <si>
    <t>EXECUTESCRIPT</t>
  </si>
  <si>
    <t>执行脚本</t>
  </si>
  <si>
    <t>ARGSSTRING</t>
  </si>
  <si>
    <t>参数串</t>
  </si>
  <si>
    <t>scenario_catalog</t>
  </si>
  <si>
    <t>SCENARIONAME</t>
  </si>
  <si>
    <t>场景名称</t>
  </si>
  <si>
    <t>INITIATECLASS</t>
  </si>
  <si>
    <t>初始类</t>
  </si>
  <si>
    <t>scenario_group</t>
  </si>
  <si>
    <t>scenario_model</t>
  </si>
  <si>
    <t>ModelId</t>
  </si>
  <si>
    <t>SortNo</t>
  </si>
  <si>
    <t>ModelName</t>
  </si>
  <si>
    <t>模型名称</t>
  </si>
  <si>
    <t>RunCondition</t>
  </si>
  <si>
    <t>运行条件</t>
  </si>
  <si>
    <t>PassMessage</t>
  </si>
  <si>
    <t>通过提示</t>
  </si>
  <si>
    <t>NoPassMessage</t>
  </si>
  <si>
    <t>否定提示</t>
  </si>
  <si>
    <t>ExecuteScript</t>
  </si>
  <si>
    <t>InputOrgId</t>
  </si>
  <si>
    <t>InputUserId</t>
  </si>
  <si>
    <t>UpdateOrgId</t>
  </si>
  <si>
    <t>UpdateUserId</t>
  </si>
  <si>
    <t>BizViewer</t>
  </si>
  <si>
    <t>操作脚本</t>
  </si>
  <si>
    <t>检查不通过的处理</t>
  </si>
  <si>
    <t>CorpOrgId</t>
  </si>
  <si>
    <t>TargetUrl</t>
  </si>
  <si>
    <t>指定操作路由</t>
  </si>
  <si>
    <t>scenario_relative</t>
  </si>
  <si>
    <t>security_audit</t>
  </si>
  <si>
    <t>CODETYPE</t>
  </si>
  <si>
    <t>规则编号</t>
  </si>
  <si>
    <t>规则名称</t>
  </si>
  <si>
    <t>规则值</t>
  </si>
  <si>
    <t>规则状态</t>
  </si>
  <si>
    <t>跟新日期</t>
  </si>
  <si>
    <t>选择框查询信息表</t>
  </si>
  <si>
    <t>select_catalog</t>
  </si>
  <si>
    <t>SELNAME</t>
  </si>
  <si>
    <t>查询名称</t>
  </si>
  <si>
    <t>SELTYPE</t>
  </si>
  <si>
    <t>查询类型</t>
  </si>
  <si>
    <t>SELDESCRIBE</t>
  </si>
  <si>
    <t>查询描述</t>
  </si>
  <si>
    <t>SELTABLENAME</t>
  </si>
  <si>
    <t>查询表名</t>
  </si>
  <si>
    <t>SELPRIMARYKEY</t>
  </si>
  <si>
    <t>查询关键字</t>
  </si>
  <si>
    <t>SELBROWSEMODE</t>
  </si>
  <si>
    <t>展现方式</t>
  </si>
  <si>
    <t>SELARGS</t>
  </si>
  <si>
    <t>参数值</t>
  </si>
  <si>
    <t>SELHIDEFIELD</t>
  </si>
  <si>
    <t>隐藏域</t>
  </si>
  <si>
    <t>SELFIELDNAME</t>
  </si>
  <si>
    <t>显示中文名称</t>
  </si>
  <si>
    <t>SELFIELDDISP</t>
  </si>
  <si>
    <t>字段显示风格</t>
  </si>
  <si>
    <t>SELRETURNVALUE</t>
  </si>
  <si>
    <t>返回值</t>
  </si>
  <si>
    <t>SELFILTERFIELD</t>
  </si>
  <si>
    <t>检索字段</t>
  </si>
  <si>
    <t>MUTILORSINGLE</t>
  </si>
  <si>
    <t>选择方式</t>
  </si>
  <si>
    <t>SELCODE</t>
  </si>
  <si>
    <t>查询SQL</t>
  </si>
  <si>
    <t>sys_calendar</t>
  </si>
  <si>
    <t>CURDATE</t>
  </si>
  <si>
    <t>当前日期</t>
  </si>
  <si>
    <t>MWORKBEGINTIME</t>
  </si>
  <si>
    <t>第一阶段工作开始时间</t>
  </si>
  <si>
    <t>MWORKENDTIME</t>
  </si>
  <si>
    <t>第一阶段工作结束时间</t>
  </si>
  <si>
    <t>AWORKBEGINTIME</t>
  </si>
  <si>
    <t>第二阶段工作开始时间</t>
  </si>
  <si>
    <t>AWORKENDTIME</t>
  </si>
  <si>
    <t>第二阶段工作结束时间</t>
  </si>
  <si>
    <t>NWORKBEGINTIME</t>
  </si>
  <si>
    <t>第三阶段工作开始时间</t>
  </si>
  <si>
    <t>NWORKENDTIME</t>
  </si>
  <si>
    <t>第三阶段工作结束时间</t>
  </si>
  <si>
    <t>WORKFLAG</t>
  </si>
  <si>
    <t>是否工作日;大陆）</t>
  </si>
  <si>
    <t>CALENDARTYPE</t>
  </si>
  <si>
    <t>日历类型</t>
  </si>
  <si>
    <t>交易日期表</t>
  </si>
  <si>
    <t>system_setup</t>
  </si>
  <si>
    <t>SYSTEMID</t>
  </si>
  <si>
    <t>系统ID</t>
  </si>
  <si>
    <t>营业日期</t>
  </si>
  <si>
    <t>LOGIN</t>
  </si>
  <si>
    <t>是否控制登录</t>
  </si>
  <si>
    <t>BATCHFLAG</t>
  </si>
  <si>
    <t>PRODUCTDATE</t>
  </si>
  <si>
    <t>系统投产日期</t>
  </si>
  <si>
    <t>日终状态</t>
  </si>
  <si>
    <t>GCI 任务跑批历史表;任务跑批历史表</t>
  </si>
  <si>
    <t>task_run_history</t>
  </si>
  <si>
    <t>主键;流水号</t>
  </si>
  <si>
    <t>STATUSTYPE</t>
  </si>
  <si>
    <t>记录类型;标记task/unit</t>
  </si>
  <si>
    <t>单元名称</t>
  </si>
  <si>
    <t>UNITDESCRIBE</t>
  </si>
  <si>
    <t>单元描述</t>
  </si>
  <si>
    <t>varchar(1)</t>
  </si>
  <si>
    <t>执行状态;0正在执行，1成功，2其他（失败、异常）</t>
  </si>
  <si>
    <t>跑批日期</t>
  </si>
  <si>
    <t>GCI 任务交互控制表;任务交互控制表</t>
  </si>
  <si>
    <t>task_run_interact</t>
  </si>
  <si>
    <t>varchar(128)</t>
  </si>
  <si>
    <t>INTERACTTYPE</t>
  </si>
  <si>
    <t>交互类型;break-停止hang-挂起</t>
  </si>
  <si>
    <t>GCI 任务运行状态表;任务运行状态表</t>
  </si>
  <si>
    <t>task_run_status</t>
  </si>
  <si>
    <t>EXECUTESTATUS</t>
  </si>
  <si>
    <t>decimal(38,0)</t>
  </si>
  <si>
    <t>单元的实际执行结果</t>
  </si>
  <si>
    <t>用户自定义信息链接</t>
  </si>
  <si>
    <t>user_defineinfo</t>
  </si>
  <si>
    <t>用户登录失败列表</t>
  </si>
  <si>
    <t>user_failedlist</t>
  </si>
  <si>
    <t>LOGONTIME</t>
  </si>
  <si>
    <t>登陆失败时间</t>
  </si>
  <si>
    <t>用户ID</t>
  </si>
  <si>
    <t>REMOTEADDR</t>
  </si>
  <si>
    <t>登陆地址</t>
  </si>
  <si>
    <t>REMOTEHOST</t>
  </si>
  <si>
    <t>登陆主机</t>
  </si>
  <si>
    <t>SERVERNAME</t>
  </si>
  <si>
    <t>服务名称</t>
  </si>
  <si>
    <t>SERVERPORT</t>
  </si>
  <si>
    <t>服务端口</t>
  </si>
  <si>
    <t>listId</t>
  </si>
  <si>
    <t>ERRORMESSAGE</t>
  </si>
  <si>
    <t>错误提示信息</t>
  </si>
  <si>
    <t>user_info</t>
  </si>
  <si>
    <t>LOGINID</t>
  </si>
  <si>
    <t>登录账号</t>
  </si>
  <si>
    <t>用户姓名</t>
  </si>
  <si>
    <t>PASSWORD</t>
  </si>
  <si>
    <t>用户密码</t>
  </si>
  <si>
    <t>BELONGORG</t>
  </si>
  <si>
    <t>属性四</t>
  </si>
  <si>
    <t>属性五</t>
  </si>
  <si>
    <t>属性六</t>
  </si>
  <si>
    <t>属性七</t>
  </si>
  <si>
    <t>属性八</t>
  </si>
  <si>
    <t>ATTRIBUTE</t>
  </si>
  <si>
    <t>描述一</t>
  </si>
  <si>
    <t>描述二</t>
  </si>
  <si>
    <t>描述三</t>
  </si>
  <si>
    <t>描述四</t>
  </si>
  <si>
    <t>用户身份证号</t>
  </si>
  <si>
    <t>COMPANYTEL</t>
  </si>
  <si>
    <t>单位电话</t>
  </si>
  <si>
    <t>MOBILETEL</t>
  </si>
  <si>
    <t>手机号码</t>
  </si>
  <si>
    <t>EMAIL</t>
  </si>
  <si>
    <t>ACCOUNTID</t>
  </si>
  <si>
    <t>个贷系统编号</t>
  </si>
  <si>
    <t>ID1</t>
  </si>
  <si>
    <t>编号1</t>
  </si>
  <si>
    <t>ID2</t>
  </si>
  <si>
    <t>编号2</t>
  </si>
  <si>
    <t>SUM1</t>
  </si>
  <si>
    <t>相关金额1</t>
  </si>
  <si>
    <t>SUM2</t>
  </si>
  <si>
    <t>相关金额2</t>
  </si>
  <si>
    <t>BIRTHDAY</t>
  </si>
  <si>
    <t>生日</t>
  </si>
  <si>
    <t>GENDER</t>
  </si>
  <si>
    <t>FAMILYADD</t>
  </si>
  <si>
    <t>家庭住址</t>
  </si>
  <si>
    <t>EDUCATIONALBG</t>
  </si>
  <si>
    <t>AMLEVEL</t>
  </si>
  <si>
    <t>客户经理级别</t>
  </si>
  <si>
    <t>行内职务</t>
  </si>
  <si>
    <t>POSITION</t>
  </si>
  <si>
    <t>QUALIFICATION</t>
  </si>
  <si>
    <t>任职资格</t>
  </si>
  <si>
    <t>NTID</t>
  </si>
  <si>
    <t>BELONGTEAM</t>
  </si>
  <si>
    <t>所属团队</t>
  </si>
  <si>
    <t>LOB</t>
  </si>
  <si>
    <t>SKINPATH</t>
  </si>
  <si>
    <t>皮肤路径</t>
  </si>
  <si>
    <t>LANGUAGE</t>
  </si>
  <si>
    <t>语言</t>
  </si>
  <si>
    <t>WORKBENCH</t>
  </si>
  <si>
    <t>工作台类型</t>
  </si>
  <si>
    <t>VOCATIONEXP</t>
  </si>
  <si>
    <t>工作经历</t>
  </si>
  <si>
    <t>EDUCATIONEXP</t>
  </si>
  <si>
    <t>教育经历</t>
  </si>
  <si>
    <t>用户登录表;用户登录列表</t>
  </si>
  <si>
    <t>user_list</t>
  </si>
  <si>
    <t>SessionId</t>
  </si>
  <si>
    <r>
      <rPr>
        <sz val="9"/>
        <rFont val="Arial"/>
        <charset val="0"/>
      </rPr>
      <t>session</t>
    </r>
    <r>
      <rPr>
        <sz val="9"/>
        <rFont val="Droid Sans Fallback"/>
        <charset val="134"/>
      </rPr>
      <t>编号</t>
    </r>
  </si>
  <si>
    <t>BeginTime</t>
  </si>
  <si>
    <t>会话开始时间</t>
  </si>
  <si>
    <t>UserId</t>
  </si>
  <si>
    <t>UserName</t>
  </si>
  <si>
    <t>OrgId</t>
  </si>
  <si>
    <t>OrgName</t>
  </si>
  <si>
    <t>RemoteAddr</t>
  </si>
  <si>
    <t>用户地址</t>
  </si>
  <si>
    <t>RemoteHost</t>
  </si>
  <si>
    <t>用户主机编号</t>
  </si>
  <si>
    <t>EndTime</t>
  </si>
  <si>
    <t>会话结束时间</t>
  </si>
  <si>
    <t>ServerName</t>
  </si>
  <si>
    <t>服务器名</t>
  </si>
  <si>
    <t>ServerPort</t>
  </si>
  <si>
    <t>服务器主机编号</t>
  </si>
  <si>
    <t>ListId</t>
  </si>
  <si>
    <t>登录列表编号</t>
  </si>
  <si>
    <t>用户登录session</t>
  </si>
  <si>
    <t>user_logon_session</t>
  </si>
  <si>
    <t>SESSIONID</t>
  </si>
  <si>
    <t>session编号</t>
  </si>
  <si>
    <t>IP</t>
  </si>
  <si>
    <t>IP地址</t>
  </si>
  <si>
    <t>用户痕迹表</t>
  </si>
  <si>
    <t>user_markinfo</t>
  </si>
  <si>
    <t>PASSWORDUPDATEDATE</t>
  </si>
  <si>
    <t>更改密码时间</t>
  </si>
  <si>
    <t>VISITTIMES</t>
  </si>
  <si>
    <t>访问次数</t>
  </si>
  <si>
    <t>LOGONERRORTIMES</t>
  </si>
  <si>
    <t>登陆次数</t>
  </si>
  <si>
    <t>LASTSIGNINTIME</t>
  </si>
  <si>
    <t>上次登陆时间</t>
  </si>
  <si>
    <t>LASTSIGNOUTTIME</t>
  </si>
  <si>
    <t>上次登出时间</t>
  </si>
  <si>
    <t>CURSIGNINTIME</t>
  </si>
  <si>
    <t>本次登陆时间</t>
  </si>
  <si>
    <t>PASSWORDSTATE</t>
  </si>
  <si>
    <t>密码状态</t>
  </si>
  <si>
    <t>PASSWORDMESSAGE</t>
  </si>
  <si>
    <t>密码提示信息</t>
  </si>
  <si>
    <t>user_menu_counter</t>
  </si>
  <si>
    <t>USECOUNTS</t>
  </si>
  <si>
    <t>使用次数</t>
  </si>
  <si>
    <t>user_right</t>
  </si>
  <si>
    <t>授权编号</t>
  </si>
  <si>
    <t>GRANTOR</t>
  </si>
  <si>
    <t>授权人</t>
  </si>
  <si>
    <t>到期日</t>
  </si>
  <si>
    <t>属性</t>
  </si>
  <si>
    <t>用户角色关系;用户角色表</t>
  </si>
  <si>
    <t>user_role</t>
  </si>
  <si>
    <t>开始日</t>
  </si>
  <si>
    <t>结束日</t>
  </si>
  <si>
    <t>GRANTORGID</t>
  </si>
  <si>
    <t>授权机构编号</t>
  </si>
  <si>
    <t>截止日期</t>
  </si>
  <si>
    <t>GRANTUSERID</t>
  </si>
  <si>
    <t>授权人编号</t>
  </si>
  <si>
    <t>user_runtime</t>
  </si>
  <si>
    <t>SESSION编号</t>
  </si>
  <si>
    <t>用户名</t>
  </si>
  <si>
    <t>JSPNAME</t>
  </si>
  <si>
    <t>JSP名称</t>
  </si>
  <si>
    <t>TIMECONSUMING</t>
  </si>
  <si>
    <t>user_worktips</t>
  </si>
  <si>
    <t>TABID</t>
  </si>
  <si>
    <t>标签号</t>
  </si>
  <si>
    <t>TABNAME</t>
  </si>
  <si>
    <t>标签名称</t>
  </si>
  <si>
    <t>脚本路径</t>
  </si>
  <si>
    <t>CACHEFLAG</t>
  </si>
  <si>
    <t>缓冲标志</t>
  </si>
  <si>
    <t>CLOSEFLAG</t>
  </si>
  <si>
    <t>完成标志</t>
  </si>
  <si>
    <t>流程的活动(节点)实例</t>
  </si>
  <si>
    <t>wf_activeinstance</t>
  </si>
  <si>
    <t>Id</t>
  </si>
  <si>
    <t>ActiveId</t>
  </si>
  <si>
    <t>流程活动编号</t>
  </si>
  <si>
    <t>FlowId</t>
  </si>
  <si>
    <t>FlowInstanceId</t>
  </si>
  <si>
    <t>FlowObjectId</t>
  </si>
  <si>
    <t>PrevId</t>
  </si>
  <si>
    <t>上一个编号</t>
  </si>
  <si>
    <t>ExpireTime</t>
  </si>
  <si>
    <t>超时时间</t>
  </si>
  <si>
    <t>ActiveData</t>
  </si>
  <si>
    <t>活动数据</t>
  </si>
  <si>
    <t>phasetype</t>
  </si>
  <si>
    <t>里程碑</t>
  </si>
  <si>
    <t>flowname</t>
  </si>
  <si>
    <t>activename</t>
  </si>
  <si>
    <t>节点名称</t>
  </si>
  <si>
    <t>flowobjecttype</t>
  </si>
  <si>
    <t>流程对象类型</t>
  </si>
  <si>
    <t>分支编号</t>
  </si>
  <si>
    <t>ActiveType</t>
  </si>
  <si>
    <t>活动类型</t>
  </si>
  <si>
    <t>wf_instance</t>
  </si>
  <si>
    <t>FlowObjectDescribe</t>
  </si>
  <si>
    <t>流程对象描述</t>
  </si>
  <si>
    <t>CurrentActive</t>
  </si>
  <si>
    <t>当前活动</t>
  </si>
  <si>
    <t>CreateUser</t>
  </si>
  <si>
    <t>CreateTime</t>
  </si>
  <si>
    <t>FinishTime</t>
  </si>
  <si>
    <t>FlowData</t>
  </si>
  <si>
    <t>流程数据</t>
  </si>
  <si>
    <t>FlowObjectType</t>
  </si>
  <si>
    <t>CreateOrg</t>
  </si>
  <si>
    <t>applytype</t>
  </si>
  <si>
    <t>活动名称</t>
  </si>
  <si>
    <t>workitemId</t>
  </si>
  <si>
    <t>流程工作项(任务)</t>
  </si>
  <si>
    <t>wf_workitem</t>
  </si>
  <si>
    <t>实例编号</t>
  </si>
  <si>
    <t>节点编号</t>
  </si>
  <si>
    <t>ActiveInstanceId</t>
  </si>
  <si>
    <t>roleId</t>
  </si>
  <si>
    <t>角色</t>
  </si>
  <si>
    <t>用户</t>
  </si>
  <si>
    <t>Directive</t>
  </si>
  <si>
    <t>指令</t>
  </si>
  <si>
    <t>workComment</t>
  </si>
  <si>
    <t>WorkData</t>
  </si>
  <si>
    <t>工作数据</t>
  </si>
  <si>
    <t>OperatorId</t>
  </si>
  <si>
    <t>实际操作用户</t>
  </si>
  <si>
    <t>机构号</t>
  </si>
  <si>
    <t>PoolRole</t>
  </si>
  <si>
    <t>任务池时设置业务角色</t>
  </si>
  <si>
    <t>DueTime</t>
  </si>
  <si>
    <t>到期时间</t>
  </si>
  <si>
    <t>forkNo</t>
  </si>
  <si>
    <t>userName</t>
  </si>
  <si>
    <t>orgName</t>
  </si>
  <si>
    <t>worktip_condition</t>
  </si>
  <si>
    <t>经办人</t>
  </si>
  <si>
    <t>Amount</t>
  </si>
  <si>
    <t>任务完成量</t>
  </si>
  <si>
    <t>Rate</t>
  </si>
  <si>
    <t>任务完成率</t>
  </si>
  <si>
    <t>机构id</t>
  </si>
  <si>
    <t>allcount</t>
  </si>
  <si>
    <t>总数</t>
  </si>
  <si>
    <t>worktip_summary</t>
  </si>
  <si>
    <t>Pass</t>
  </si>
  <si>
    <t>通过数</t>
  </si>
  <si>
    <t>否决数</t>
  </si>
  <si>
    <t>Return</t>
  </si>
  <si>
    <t>退回数</t>
  </si>
  <si>
    <t>押品管户人表</t>
  </si>
  <si>
    <t>clr_belong</t>
  </si>
  <si>
    <t>BELONGUSERID</t>
  </si>
  <si>
    <t>管户人编号</t>
  </si>
  <si>
    <t>VARCHAR(32)</t>
  </si>
  <si>
    <t>押权编号</t>
  </si>
  <si>
    <t>PROPERTYNO</t>
  </si>
  <si>
    <t>VARCHAR(400)</t>
  </si>
  <si>
    <t>不动产权证号</t>
  </si>
  <si>
    <t>VARCHAR(40)</t>
  </si>
  <si>
    <t>客户姓名</t>
  </si>
  <si>
    <t>HOUSELOCATION</t>
  </si>
  <si>
    <t>坐落</t>
  </si>
  <si>
    <t>VARCHAR(10)</t>
  </si>
  <si>
    <t>构筑物类型</t>
  </si>
  <si>
    <t>SEATYPE</t>
  </si>
  <si>
    <t>PROPERTYUNITID</t>
  </si>
  <si>
    <t>VARCHAR(50)</t>
  </si>
  <si>
    <t>不动产单元ID</t>
  </si>
  <si>
    <t>PROPERTYUNITTYPE</t>
  </si>
  <si>
    <t>不动产单元类型</t>
  </si>
  <si>
    <t>HOUSINGUSE</t>
  </si>
  <si>
    <t>VARCHAR(200)</t>
  </si>
  <si>
    <t>房屋用途</t>
  </si>
  <si>
    <t>DECIMAL(24)</t>
  </si>
  <si>
    <t>面积</t>
  </si>
  <si>
    <t>FORESTTYPE</t>
  </si>
  <si>
    <t>林种</t>
  </si>
  <si>
    <t>PROPERTYUNITNO</t>
  </si>
  <si>
    <t>不动产单元号</t>
  </si>
  <si>
    <t>NATURALBUILDINGNO</t>
  </si>
  <si>
    <t>自然幢号</t>
  </si>
  <si>
    <t>ROOMNO</t>
  </si>
  <si>
    <t>VARCHAR(20)</t>
  </si>
  <si>
    <t>房号</t>
  </si>
  <si>
    <t>HOUSESTRUCTURE</t>
  </si>
  <si>
    <t>房屋结构</t>
  </si>
  <si>
    <t>TOTALFLOORS</t>
  </si>
  <si>
    <t>LAYER</t>
  </si>
  <si>
    <t>所在层</t>
  </si>
  <si>
    <t>INTERIORAREA</t>
  </si>
  <si>
    <t>套内面积</t>
  </si>
  <si>
    <t>PLANNINGPURPOSE</t>
  </si>
  <si>
    <t>规划用途</t>
  </si>
  <si>
    <t>PROPERTYREGISTERDATE</t>
  </si>
  <si>
    <t>当前产权登记时间</t>
  </si>
  <si>
    <t>LANDUSENAME</t>
  </si>
  <si>
    <t>土地用途名称</t>
  </si>
  <si>
    <t>PROPERTYTYPE</t>
  </si>
  <si>
    <t>VARCHAR(100)</t>
  </si>
  <si>
    <t>不动产权利人信息表</t>
  </si>
  <si>
    <t>产权登记号</t>
  </si>
  <si>
    <t>PROPERTYCERTNO</t>
  </si>
  <si>
    <t>AGENTNAME</t>
  </si>
  <si>
    <t>代理人姓名</t>
  </si>
  <si>
    <t>AGENTCONTACTNO</t>
  </si>
  <si>
    <t>代理人联系电话</t>
  </si>
  <si>
    <t>AGENTCERTID</t>
  </si>
  <si>
    <t>代理人证件号码</t>
  </si>
  <si>
    <t>AGENTCERTTYPE</t>
  </si>
  <si>
    <t>代理人证件类型</t>
  </si>
  <si>
    <t>AGENTORGNAME</t>
  </si>
  <si>
    <t>代理机构名称</t>
  </si>
  <si>
    <t>COMMONSITUATION</t>
  </si>
  <si>
    <t>共有情况</t>
  </si>
  <si>
    <t>COMMONTYPE</t>
  </si>
  <si>
    <t>共有方式</t>
  </si>
  <si>
    <t>国家/地区</t>
  </si>
  <si>
    <t>VARCHAR(800)</t>
  </si>
  <si>
    <t>WORKCORP</t>
  </si>
  <si>
    <t>工作单位</t>
  </si>
  <si>
    <t>HOUSEHOLDPROVINCE</t>
  </si>
  <si>
    <t>户籍所在省市</t>
  </si>
  <si>
    <t>UNITKIND</t>
  </si>
  <si>
    <t>所属行业</t>
  </si>
  <si>
    <t>ISHOLDCERT</t>
  </si>
  <si>
    <t>VARCHAR(2)</t>
  </si>
  <si>
    <t>是否持证人</t>
  </si>
  <si>
    <t>VALIDFLAG</t>
  </si>
  <si>
    <t>有效标志</t>
  </si>
  <si>
    <t>权利ID</t>
  </si>
  <si>
    <t>RIGHTHOLDCERID</t>
  </si>
  <si>
    <t>权利人ID</t>
  </si>
  <si>
    <t>RIGHTHOLDERNAME</t>
  </si>
  <si>
    <t>权利人名称</t>
  </si>
  <si>
    <t>RIGHTHOLDERTYPE</t>
  </si>
  <si>
    <t>权利人类型</t>
  </si>
  <si>
    <t>RIGHTPROP</t>
  </si>
  <si>
    <t>DECIMAL(10)</t>
  </si>
  <si>
    <t>权利比例</t>
  </si>
  <si>
    <t>RIGHTAREA</t>
  </si>
  <si>
    <t>权利面积</t>
  </si>
  <si>
    <t>LEGALREPRESENT</t>
  </si>
  <si>
    <t>法定代表人或负责人</t>
  </si>
  <si>
    <t>LEGALREPRESENTTEL</t>
  </si>
  <si>
    <t>法定代表人电话号码</t>
  </si>
  <si>
    <t>LEGALREPRESENTCERTTYPENAME</t>
  </si>
  <si>
    <t>法定代表人证件名称</t>
  </si>
  <si>
    <t>LEGALREPRESENTCERTTYPE</t>
  </si>
  <si>
    <t>法定代表人证件类型</t>
  </si>
  <si>
    <t>APPLICANTID</t>
  </si>
  <si>
    <t>申请人ID</t>
  </si>
  <si>
    <t>VARCHAR(80)</t>
  </si>
  <si>
    <t>TELEPHONE</t>
  </si>
  <si>
    <t>电话</t>
  </si>
  <si>
    <t>记录修改时间</t>
  </si>
  <si>
    <t>记录创建时间</t>
  </si>
  <si>
    <t>证件号</t>
  </si>
  <si>
    <t>证件种类</t>
  </si>
  <si>
    <t>SURVEYITEMNO</t>
  </si>
  <si>
    <t>调查项目编号</t>
  </si>
  <si>
    <t>FAMILYZIP</t>
  </si>
  <si>
    <t>邮编</t>
  </si>
  <si>
    <t>顺序号</t>
  </si>
  <si>
    <t>RIGHTHOLDERCHARA</t>
  </si>
  <si>
    <t>权利人特征</t>
  </si>
  <si>
    <t>FILETYPE</t>
  </si>
  <si>
    <t>材料名称</t>
  </si>
  <si>
    <t>TIMES</t>
  </si>
  <si>
    <t>上传次数</t>
  </si>
  <si>
    <t>GUARANTY_REGISTER_INFO</t>
  </si>
  <si>
    <t>BORROWER</t>
  </si>
  <si>
    <t>SWH</t>
  </si>
  <si>
    <t>顺位号</t>
  </si>
  <si>
    <t>MAINID</t>
  </si>
  <si>
    <t>业务ID</t>
  </si>
  <si>
    <t>ZWLXQSSJ</t>
  </si>
  <si>
    <t>VARCHAR(30)</t>
  </si>
  <si>
    <t>债务履行起始时间</t>
  </si>
  <si>
    <t>ZWLXJSSJ</t>
  </si>
  <si>
    <t>债务履行结束时间</t>
  </si>
  <si>
    <t>CQZT</t>
  </si>
  <si>
    <t>产权状态</t>
  </si>
  <si>
    <t>QLRMC</t>
  </si>
  <si>
    <t>VARCHAR(2000)</t>
  </si>
  <si>
    <t>产权权利人名称（抵押人名称）</t>
  </si>
  <si>
    <t>QSZT</t>
  </si>
  <si>
    <t>权属状态</t>
  </si>
  <si>
    <t>BDCQZMH</t>
  </si>
  <si>
    <t>VARCHAR(300)</t>
  </si>
  <si>
    <t>不动产权证明号（他项证号、抵押证号）</t>
  </si>
  <si>
    <t>ZXSJ</t>
  </si>
  <si>
    <t>抵押的注销时间</t>
  </si>
  <si>
    <t>DJSJ</t>
  </si>
  <si>
    <t>抵押的登记时间</t>
  </si>
  <si>
    <t>CQZH</t>
  </si>
  <si>
    <t>VARCHAR(5000)</t>
  </si>
  <si>
    <t>ZL</t>
  </si>
  <si>
    <t>VARCHAR(500)</t>
  </si>
  <si>
    <t>BDCDYH</t>
  </si>
  <si>
    <t>DYQR</t>
  </si>
  <si>
    <t>抵押权人</t>
  </si>
  <si>
    <t>DYJE</t>
  </si>
  <si>
    <t>抵押金额</t>
  </si>
  <si>
    <t>FJ</t>
  </si>
  <si>
    <t>附记</t>
  </si>
  <si>
    <t>DYR</t>
  </si>
  <si>
    <t>抵押人</t>
  </si>
  <si>
    <t>客户经理</t>
  </si>
  <si>
    <t>管户支行</t>
  </si>
  <si>
    <t>YWH</t>
  </si>
  <si>
    <t>业务号</t>
  </si>
  <si>
    <t>CURPROGRESS</t>
  </si>
  <si>
    <t>当前进度</t>
  </si>
  <si>
    <t>PROGRESSSTARTTIME</t>
  </si>
  <si>
    <t>当前进度开始时间</t>
  </si>
  <si>
    <t>PROGRESSENDTIME</t>
  </si>
  <si>
    <t>当前进度结束时间</t>
  </si>
  <si>
    <t>PROGERSSUPDATETIME</t>
  </si>
  <si>
    <t>进度更新时间</t>
  </si>
  <si>
    <t>INITREVOKEFLAG</t>
  </si>
  <si>
    <t>是否发起注销审批申请</t>
  </si>
  <si>
    <t>REGISTERNO</t>
  </si>
  <si>
    <t>抵押登记业务号</t>
  </si>
  <si>
    <t>MORTGAGECERTNO</t>
  </si>
  <si>
    <t>VARCHAR(1000)</t>
  </si>
  <si>
    <t>抵押证明号</t>
  </si>
  <si>
    <t>ESTATEUNITNO</t>
  </si>
  <si>
    <t>ESTATEUNITID</t>
  </si>
  <si>
    <t>MORTGAGERIGHTID</t>
  </si>
  <si>
    <t>抵押权利ID</t>
  </si>
  <si>
    <t>OWNERSHIPSTATUS</t>
  </si>
  <si>
    <t>MORTGAGETYPE</t>
  </si>
  <si>
    <t>不动产抵押类型</t>
  </si>
  <si>
    <t>BUSINESSNAME</t>
  </si>
  <si>
    <t>MSG</t>
  </si>
  <si>
    <t>变化信息内容</t>
  </si>
  <si>
    <t>SEIZUREORG</t>
  </si>
  <si>
    <t>查封机构</t>
  </si>
  <si>
    <t>MORTGAGEE</t>
  </si>
  <si>
    <t>REGISTTIME</t>
  </si>
  <si>
    <t>CARDNO</t>
  </si>
  <si>
    <t>HANDLEFLAG</t>
  </si>
  <si>
    <t>是否处理标志</t>
  </si>
  <si>
    <t>办件人</t>
  </si>
  <si>
    <t>OPERATORORG</t>
  </si>
  <si>
    <t>办件人所属机构</t>
  </si>
  <si>
    <t>REGISTDATE</t>
  </si>
  <si>
    <t>CERTRIGHTNO</t>
  </si>
  <si>
    <t>CERTRIGHTNUM</t>
  </si>
  <si>
    <t>保内权证数量</t>
  </si>
  <si>
    <t>0-未入库、1-已入库、2-已出库</t>
  </si>
  <si>
    <t>交易流水号（核心返回）</t>
  </si>
  <si>
    <t>VARCHAR(8)</t>
  </si>
  <si>
    <t>交易科目</t>
  </si>
  <si>
    <t>入库、出库</t>
  </si>
  <si>
    <t>押品分类表</t>
  </si>
  <si>
    <t>VOUCHTYPE</t>
  </si>
  <si>
    <t>03-抵押、04-质押</t>
  </si>
  <si>
    <t>VARCHAR(9)</t>
  </si>
  <si>
    <t>02-出库、01-入库</t>
  </si>
  <si>
    <t>VARCHAR(24)</t>
  </si>
  <si>
    <t>申请日期</t>
  </si>
  <si>
    <t>AMOUNT</t>
  </si>
  <si>
    <t>记账金额</t>
  </si>
  <si>
    <t>01-未记账、02-已记账、03-已销账</t>
  </si>
  <si>
    <t>SAVETYPE</t>
  </si>
  <si>
    <t>押品介质</t>
  </si>
  <si>
    <t>01-实物权证、02-电子权证</t>
  </si>
  <si>
    <t>VARCHAR（40）</t>
  </si>
  <si>
    <t>业务合同编号</t>
  </si>
  <si>
    <t>ASSIGNEDGNTVALUE</t>
  </si>
  <si>
    <t>DECIMAL（24,6）</t>
  </si>
  <si>
    <t>分配给业务的有效担保价值（元）</t>
  </si>
  <si>
    <t>缓释分配结果</t>
  </si>
  <si>
    <r>
      <rPr>
        <sz val="9"/>
        <rFont val="Arial"/>
        <charset val="0"/>
      </rPr>
      <t>足值率（</t>
    </r>
    <r>
      <rPr>
        <sz val="11"/>
        <color indexed="8"/>
        <rFont val="Times New Roman"/>
        <charset val="1"/>
      </rPr>
      <t>%</t>
    </r>
    <r>
      <rPr>
        <sz val="11"/>
        <color indexed="8"/>
        <rFont val="宋体"/>
        <charset val="134"/>
      </rPr>
      <t>）</t>
    </r>
  </si>
  <si>
    <t>ISSUFFI</t>
  </si>
  <si>
    <t>VARCHAR（10）</t>
  </si>
  <si>
    <t>ASSIGNEDBALANCE</t>
  </si>
  <si>
    <t>分配给押品的业务金额</t>
  </si>
  <si>
    <t>COLLATERALRATIO</t>
  </si>
  <si>
    <r>
      <rPr>
        <sz val="9"/>
        <rFont val="Arial"/>
        <charset val="0"/>
      </rPr>
      <t>价值分配</t>
    </r>
    <r>
      <rPr>
        <sz val="11"/>
        <color indexed="8"/>
        <rFont val="宋体"/>
        <charset val="134"/>
      </rPr>
      <t>率（</t>
    </r>
    <r>
      <rPr>
        <sz val="11"/>
        <color indexed="8"/>
        <rFont val="Times New Roman"/>
        <charset val="1"/>
      </rPr>
      <t>%</t>
    </r>
    <r>
      <rPr>
        <sz val="11"/>
        <color indexed="8"/>
        <rFont val="宋体"/>
        <charset val="134"/>
      </rPr>
      <t>）</t>
    </r>
  </si>
  <si>
    <t>MITIGATIONMONTH</t>
  </si>
  <si>
    <t>VARCHAR(12)</t>
  </si>
  <si>
    <t>价值分配时间</t>
  </si>
  <si>
    <t>YYYY/MM</t>
  </si>
  <si>
    <t>VARCHAR（80）</t>
  </si>
  <si>
    <t>VARCHAR（20）</t>
  </si>
  <si>
    <r>
      <rPr>
        <sz val="9"/>
        <rFont val="Arial"/>
        <charset val="0"/>
      </rPr>
      <t>业务品种</t>
    </r>
    <r>
      <rPr>
        <sz val="11"/>
        <color indexed="8"/>
        <rFont val="Times New Roman"/>
        <charset val="1"/>
      </rPr>
      <t>/</t>
    </r>
    <r>
      <rPr>
        <sz val="11"/>
        <color indexed="8"/>
        <rFont val="宋体"/>
        <charset val="134"/>
      </rPr>
      <t>业务类型</t>
    </r>
  </si>
  <si>
    <t>主担保方式</t>
  </si>
  <si>
    <t>业务合同币种</t>
  </si>
  <si>
    <t>BusinessSum</t>
  </si>
  <si>
    <t>业务合同金额</t>
  </si>
  <si>
    <t>Balance</t>
  </si>
  <si>
    <t>业务合同余额</t>
  </si>
  <si>
    <t>StartDate</t>
  </si>
  <si>
    <t>TermDay</t>
  </si>
  <si>
    <r>
      <rPr>
        <sz val="9"/>
        <rFont val="Arial"/>
        <charset val="0"/>
      </rPr>
      <t>DECIMAL</t>
    </r>
    <r>
      <rPr>
        <sz val="9"/>
        <rFont val="宋体-简"/>
        <charset val="134"/>
      </rPr>
      <t>（</t>
    </r>
    <r>
      <rPr>
        <sz val="9"/>
        <rFont val="Arial"/>
        <charset val="0"/>
      </rPr>
      <t>24,6</t>
    </r>
    <r>
      <rPr>
        <sz val="9"/>
        <rFont val="宋体-简"/>
        <charset val="134"/>
      </rPr>
      <t>）</t>
    </r>
  </si>
  <si>
    <t>DECIMAL（18,8）</t>
  </si>
  <si>
    <r>
      <rPr>
        <sz val="9"/>
        <rFont val="Arial"/>
        <charset val="0"/>
      </rPr>
      <t>VARCHAR（</t>
    </r>
    <r>
      <rPr>
        <sz val="11"/>
        <color indexed="8"/>
        <rFont val="Times New Roman"/>
        <charset val="1"/>
      </rPr>
      <t>10</t>
    </r>
    <r>
      <rPr>
        <sz val="11"/>
        <color indexed="8"/>
        <rFont val="宋体"/>
        <charset val="134"/>
      </rPr>
      <t>）</t>
    </r>
  </si>
  <si>
    <t>operateUserId</t>
  </si>
  <si>
    <r>
      <rPr>
        <sz val="9"/>
        <rFont val="Arial"/>
        <charset val="0"/>
      </rPr>
      <t>合同</t>
    </r>
    <r>
      <rPr>
        <sz val="11"/>
        <color indexed="8"/>
        <rFont val="宋体"/>
        <charset val="134"/>
      </rPr>
      <t>管理人</t>
    </r>
  </si>
  <si>
    <t>管户机构</t>
  </si>
  <si>
    <t>系统来源</t>
  </si>
  <si>
    <t>抵质押人编号</t>
  </si>
  <si>
    <t>抵质押人名称</t>
  </si>
  <si>
    <t>最新认定价值币种</t>
  </si>
  <si>
    <r>
      <rPr>
        <sz val="9"/>
        <rFont val="Arial"/>
        <charset val="0"/>
      </rPr>
      <t>最新认定</t>
    </r>
    <r>
      <rPr>
        <sz val="11"/>
        <color indexed="8"/>
        <rFont val="宋体"/>
        <charset val="134"/>
      </rPr>
      <t>价值</t>
    </r>
  </si>
  <si>
    <t>参与缓释分配的价值</t>
  </si>
  <si>
    <r>
      <rPr>
        <sz val="10"/>
        <rFont val="宋体-简"/>
        <charset val="134"/>
      </rPr>
      <t>押品最新认定价值</t>
    </r>
    <r>
      <rPr>
        <sz val="10"/>
        <rFont val="Arial"/>
        <charset val="0"/>
      </rPr>
      <t>-</t>
    </r>
    <r>
      <rPr>
        <sz val="10"/>
        <rFont val="宋体-简"/>
        <charset val="134"/>
      </rPr>
      <t>他行已担保债权金额</t>
    </r>
  </si>
  <si>
    <t>最新价值认定日期</t>
  </si>
  <si>
    <r>
      <rPr>
        <sz val="9"/>
        <rFont val="Arial"/>
        <charset val="0"/>
      </rPr>
      <t>最高</t>
    </r>
    <r>
      <rPr>
        <sz val="11"/>
        <color indexed="8"/>
        <rFont val="Times New Roman"/>
        <charset val="1"/>
      </rPr>
      <t>/</t>
    </r>
    <r>
      <rPr>
        <sz val="11"/>
        <color indexed="8"/>
        <rFont val="宋体"/>
        <charset val="134"/>
      </rPr>
      <t>审批</t>
    </r>
    <r>
      <rPr>
        <sz val="11"/>
        <color indexed="8"/>
        <rFont val="宋体"/>
        <charset val="134"/>
      </rPr>
      <t>抵质押率（</t>
    </r>
    <r>
      <rPr>
        <sz val="11"/>
        <color indexed="8"/>
        <rFont val="Times New Roman"/>
        <charset val="1"/>
      </rPr>
      <t>%</t>
    </r>
    <r>
      <rPr>
        <sz val="11"/>
        <color indexed="8"/>
        <rFont val="宋体"/>
        <charset val="134"/>
      </rPr>
      <t>）</t>
    </r>
  </si>
  <si>
    <t>押品抵质押状态</t>
  </si>
  <si>
    <t>发票编号</t>
  </si>
  <si>
    <t>INVOICEAMOUNT</t>
  </si>
  <si>
    <t>发票金额</t>
  </si>
  <si>
    <t>INVOICEDATE</t>
  </si>
  <si>
    <t>开票时间</t>
  </si>
  <si>
    <t xml:space="preserve">合同名称 </t>
  </si>
  <si>
    <t xml:space="preserve">合同签订日期 </t>
  </si>
  <si>
    <t>评估申请押品关联表</t>
  </si>
  <si>
    <t>APPLID</t>
  </si>
  <si>
    <r>
      <rPr>
        <sz val="9"/>
        <rFont val="Arial"/>
        <charset val="0"/>
      </rPr>
      <t>VARCHAR</t>
    </r>
    <r>
      <rPr>
        <sz val="9"/>
        <rFont val="宋体-简"/>
        <charset val="134"/>
      </rPr>
      <t>（</t>
    </r>
    <r>
      <rPr>
        <sz val="9"/>
        <rFont val="Arial"/>
        <charset val="0"/>
      </rPr>
      <t>40</t>
    </r>
    <r>
      <rPr>
        <sz val="9"/>
        <rFont val="宋体-简"/>
        <charset val="134"/>
      </rPr>
      <t>）</t>
    </r>
  </si>
  <si>
    <r>
      <rPr>
        <sz val="9"/>
        <rFont val="宋体-简"/>
        <charset val="134"/>
      </rPr>
      <t>评估申请</t>
    </r>
    <r>
      <rPr>
        <sz val="9"/>
        <rFont val="Arial Regular"/>
        <charset val="0"/>
      </rPr>
      <t>ID</t>
    </r>
  </si>
  <si>
    <t>APPLTYPE</t>
  </si>
  <si>
    <t>发起类型</t>
  </si>
  <si>
    <r>
      <rPr>
        <sz val="10"/>
        <rFont val="Arial"/>
        <charset val="0"/>
      </rPr>
      <t>1-</t>
    </r>
    <r>
      <rPr>
        <sz val="10"/>
        <rFont val="宋体-简"/>
        <charset val="134"/>
      </rPr>
      <t>自动发起、</t>
    </r>
    <r>
      <rPr>
        <sz val="10"/>
        <rFont val="Arial"/>
        <charset val="0"/>
      </rPr>
      <t xml:space="preserve"> 2-</t>
    </r>
    <r>
      <rPr>
        <sz val="10"/>
        <rFont val="宋体-简"/>
        <charset val="134"/>
      </rPr>
      <t>手动发起</t>
    </r>
  </si>
  <si>
    <t>线上评估流水号</t>
  </si>
  <si>
    <t>评估申请编号</t>
  </si>
  <si>
    <t>评估单价</t>
  </si>
  <si>
    <t>评估总价</t>
  </si>
  <si>
    <t>价格时点</t>
  </si>
  <si>
    <t>EVALMETHOD</t>
  </si>
  <si>
    <t>PRCPTCD</t>
  </si>
  <si>
    <t>VARCHAR(14)</t>
  </si>
  <si>
    <t>参与机构行号</t>
  </si>
  <si>
    <t>PRCPTTP</t>
  </si>
  <si>
    <t>参与机构类别</t>
  </si>
  <si>
    <t>BKCTGRYCD</t>
  </si>
  <si>
    <t>VARCHAR(3)</t>
  </si>
  <si>
    <t>行别代码</t>
  </si>
  <si>
    <t>SUBDRTBKCD</t>
  </si>
  <si>
    <t>所属清算行行号</t>
  </si>
  <si>
    <t>SUBLGLPRSN</t>
  </si>
  <si>
    <t>VARCHAR(35)</t>
  </si>
  <si>
    <t>所属法人</t>
  </si>
  <si>
    <t>HGRPTCPT</t>
  </si>
  <si>
    <t>VARCHAR(70)</t>
  </si>
  <si>
    <t>本行上级参与机构</t>
  </si>
  <si>
    <t>BARBKCD</t>
  </si>
  <si>
    <t>承接行行号</t>
  </si>
  <si>
    <t>CHRGBKCD</t>
  </si>
  <si>
    <t>管辖人行行号</t>
  </si>
  <si>
    <t>SUBCCPCCD</t>
  </si>
  <si>
    <t>VARCHAR(4)</t>
  </si>
  <si>
    <t>所属CCPC</t>
  </si>
  <si>
    <t>CITYCD</t>
  </si>
  <si>
    <t>VARCHAR(6)</t>
  </si>
  <si>
    <t>所在城市代码</t>
  </si>
  <si>
    <t>PTCPTNM</t>
  </si>
  <si>
    <t>VARCHAR(120)</t>
  </si>
  <si>
    <t>参与机构全称</t>
  </si>
  <si>
    <t>PTCPTSHRTNM</t>
  </si>
  <si>
    <t>参与机构简称</t>
  </si>
  <si>
    <t>JNTXSYSSGN</t>
  </si>
  <si>
    <t>加入业务系统标识</t>
  </si>
  <si>
    <t>ADR</t>
  </si>
  <si>
    <t>VARCHAR(512)</t>
  </si>
  <si>
    <t>PSTCD</t>
  </si>
  <si>
    <t>TEL</t>
  </si>
  <si>
    <t>电话/电挂</t>
  </si>
  <si>
    <t>电子邮件地址</t>
  </si>
  <si>
    <t>EXPDATE</t>
  </si>
  <si>
    <t>注销日期</t>
  </si>
  <si>
    <t>RMKINF</t>
  </si>
  <si>
    <t>VARCHAR(210)</t>
  </si>
  <si>
    <t>UPDDT</t>
  </si>
  <si>
    <t>UPDTM</t>
  </si>
  <si>
    <t>MKINFO1</t>
  </si>
  <si>
    <t>备用字段1</t>
  </si>
  <si>
    <t>MKINFO2</t>
  </si>
  <si>
    <t>备用字段2</t>
  </si>
  <si>
    <t>CREATETS</t>
  </si>
  <si>
    <t>TIMESTAMP(10)</t>
  </si>
  <si>
    <t>UPDATETS</t>
  </si>
  <si>
    <t>更新时间2</t>
  </si>
</sst>
</file>

<file path=xl/styles.xml><?xml version="1.0" encoding="utf-8"?>
<styleSheet xmlns="http://schemas.openxmlformats.org/spreadsheetml/2006/main">
  <numFmts count="5">
    <numFmt numFmtId="176" formatCode="yyyy/mm/d"/>
    <numFmt numFmtId="177" formatCode="_(* #,##0.00_);_(* \(#,##0.00\);_(* &quot;-&quot;??_);_(@_)"/>
    <numFmt numFmtId="178" formatCode="_(&quot;$&quot;* #,##0_);_(&quot;$&quot;* \(#,##0\);_(&quot;$&quot;* &quot;-&quot;_);_(@_)"/>
    <numFmt numFmtId="179" formatCode="_(* #,##0_);_(* \(#,##0\);_(* &quot;-&quot;_);_(@_)"/>
    <numFmt numFmtId="180" formatCode="_(&quot;$&quot;* #,##0.00_);_(&quot;$&quot;* \(#,##0.00\);_(&quot;$&quot;* &quot;-&quot;??_);_(@_)"/>
  </numFmts>
  <fonts count="56">
    <font>
      <sz val="10"/>
      <name val="Arial"/>
      <charset val="0"/>
    </font>
    <font>
      <u/>
      <sz val="10"/>
      <color rgb="FF800080"/>
      <name val="宋体-简"/>
      <charset val="134"/>
    </font>
    <font>
      <sz val="10"/>
      <name val="宋体-简"/>
      <charset val="134"/>
    </font>
    <font>
      <sz val="10"/>
      <name val="黑体"/>
      <charset val="134"/>
    </font>
    <font>
      <sz val="9"/>
      <name val="Arial"/>
      <charset val="0"/>
    </font>
    <font>
      <sz val="9"/>
      <name val="宋体-简"/>
      <charset val="134"/>
    </font>
    <font>
      <u/>
      <sz val="10"/>
      <color rgb="FF800080"/>
      <name val="Arial"/>
      <charset val="134"/>
    </font>
    <font>
      <sz val="10"/>
      <name val="Arial"/>
      <charset val="134"/>
    </font>
    <font>
      <sz val="9"/>
      <name val="Arial"/>
      <charset val="134"/>
    </font>
    <font>
      <u/>
      <sz val="10"/>
      <color rgb="FF800080"/>
      <name val="Droid Sans Fallback"/>
      <charset val="134"/>
    </font>
    <font>
      <u/>
      <sz val="10"/>
      <color indexed="4"/>
      <name val="Arial"/>
      <charset val="0"/>
    </font>
    <font>
      <sz val="9"/>
      <name val="Droid Sans Fallback"/>
      <charset val="134"/>
    </font>
    <font>
      <sz val="10"/>
      <name val="Droid Sans Fallback"/>
      <charset val="134"/>
    </font>
    <font>
      <u/>
      <sz val="10"/>
      <color rgb="FF0000FF"/>
      <name val="Arial"/>
      <charset val="0"/>
    </font>
    <font>
      <u/>
      <sz val="10"/>
      <color rgb="FF800080"/>
      <name val="Arial"/>
      <charset val="0"/>
    </font>
    <font>
      <sz val="9"/>
      <color rgb="FFFF0000"/>
      <name val="Arial"/>
      <charset val="0"/>
    </font>
    <font>
      <sz val="9"/>
      <color rgb="FFFF0000"/>
      <name val="宋体-简"/>
      <charset val="134"/>
    </font>
    <font>
      <u/>
      <sz val="10"/>
      <color rgb="FFFF0000"/>
      <name val="Arial"/>
      <charset val="0"/>
    </font>
    <font>
      <u/>
      <sz val="11"/>
      <name val="宋体"/>
      <charset val="134"/>
    </font>
    <font>
      <sz val="9"/>
      <color rgb="FF000000"/>
      <name val="华文楷体"/>
      <charset val="134"/>
    </font>
    <font>
      <sz val="10"/>
      <name val="宋体-简"/>
      <charset val="0"/>
    </font>
    <font>
      <u/>
      <sz val="10"/>
      <color rgb="FF800080"/>
      <name val="宋体-简"/>
      <charset val="0"/>
    </font>
    <font>
      <sz val="9"/>
      <color rgb="FF000000"/>
      <name val="微软雅黑"/>
      <charset val="134"/>
    </font>
    <font>
      <sz val="9"/>
      <color rgb="FF000000"/>
      <name val="Arial Regular"/>
      <charset val="134"/>
    </font>
    <font>
      <sz val="12"/>
      <color rgb="FF222222"/>
      <name val="PingFang SC"/>
      <charset val="0"/>
    </font>
    <font>
      <u/>
      <sz val="11"/>
      <color rgb="FF800080"/>
      <name val="宋体"/>
      <charset val="134"/>
      <scheme val="minor"/>
    </font>
    <font>
      <sz val="10.5"/>
      <color rgb="FF1C1F23"/>
      <name val="PingFang SC"/>
      <charset val="0"/>
    </font>
    <font>
      <i/>
      <sz val="10.5"/>
      <color rgb="FF000000"/>
      <name val="宋体"/>
      <charset val="134"/>
    </font>
    <font>
      <sz val="11"/>
      <name val="宋体"/>
      <charset val="134"/>
    </font>
    <font>
      <u/>
      <sz val="11"/>
      <color rgb="FF800080"/>
      <name val="宋体"/>
      <charset val="134"/>
    </font>
    <font>
      <u/>
      <sz val="11"/>
      <color rgb="FFFF0000"/>
      <name val="宋体"/>
      <charset val="134"/>
    </font>
    <font>
      <sz val="11"/>
      <color rgb="FFFF0000"/>
      <name val="宋体"/>
      <charset val="134"/>
    </font>
    <font>
      <u/>
      <sz val="11"/>
      <color rgb="FF0000FF"/>
      <name val="宋体"/>
      <charset val="134"/>
    </font>
    <font>
      <sz val="11"/>
      <color rgb="FFFA7D00"/>
      <name val="宋体"/>
      <charset val="134"/>
      <scheme val="minor"/>
    </font>
    <font>
      <sz val="11"/>
      <color theme="1"/>
      <name val="宋体"/>
      <charset val="134"/>
      <scheme val="minor"/>
    </font>
    <font>
      <sz val="11"/>
      <color theme="0"/>
      <name val="宋体"/>
      <charset val="134"/>
      <scheme val="minor"/>
    </font>
    <font>
      <b/>
      <sz val="18"/>
      <color theme="3"/>
      <name val="宋体"/>
      <charset val="134"/>
      <scheme val="minor"/>
    </font>
    <font>
      <b/>
      <sz val="11"/>
      <color theme="3"/>
      <name val="宋体"/>
      <charset val="134"/>
      <scheme val="minor"/>
    </font>
    <font>
      <b/>
      <sz val="15"/>
      <color theme="3"/>
      <name val="宋体"/>
      <charset val="134"/>
      <scheme val="minor"/>
    </font>
    <font>
      <i/>
      <sz val="11"/>
      <color rgb="FF7F7F7F"/>
      <name val="宋体"/>
      <charset val="134"/>
      <scheme val="minor"/>
    </font>
    <font>
      <sz val="11"/>
      <color indexed="8"/>
      <name val="宋体"/>
      <charset val="134"/>
      <scheme val="minor"/>
    </font>
    <font>
      <b/>
      <sz val="11"/>
      <color rgb="FFFFFFFF"/>
      <name val="宋体"/>
      <charset val="134"/>
      <scheme val="minor"/>
    </font>
    <font>
      <b/>
      <sz val="11"/>
      <color theme="1"/>
      <name val="宋体"/>
      <charset val="134"/>
      <scheme val="minor"/>
    </font>
    <font>
      <sz val="11"/>
      <color rgb="FF9C0006"/>
      <name val="宋体"/>
      <charset val="134"/>
      <scheme val="minor"/>
    </font>
    <font>
      <sz val="11"/>
      <color rgb="FF006100"/>
      <name val="宋体"/>
      <charset val="134"/>
      <scheme val="minor"/>
    </font>
    <font>
      <sz val="11"/>
      <color rgb="FF9C6500"/>
      <name val="宋体"/>
      <charset val="134"/>
      <scheme val="minor"/>
    </font>
    <font>
      <b/>
      <sz val="11"/>
      <color rgb="FFFA7D00"/>
      <name val="宋体"/>
      <charset val="134"/>
      <scheme val="minor"/>
    </font>
    <font>
      <b/>
      <sz val="13"/>
      <color theme="3"/>
      <name val="宋体"/>
      <charset val="134"/>
      <scheme val="minor"/>
    </font>
    <font>
      <b/>
      <sz val="11"/>
      <color rgb="FF3F3F3F"/>
      <name val="宋体"/>
      <charset val="134"/>
      <scheme val="minor"/>
    </font>
    <font>
      <sz val="11"/>
      <color rgb="FF3F3F76"/>
      <name val="宋体"/>
      <charset val="134"/>
      <scheme val="minor"/>
    </font>
    <font>
      <u/>
      <sz val="11"/>
      <color rgb="FF0000FF"/>
      <name val="宋体"/>
      <charset val="134"/>
      <scheme val="minor"/>
    </font>
    <font>
      <sz val="11"/>
      <color rgb="FFFF0000"/>
      <name val="宋体"/>
      <charset val="134"/>
      <scheme val="minor"/>
    </font>
    <font>
      <sz val="9"/>
      <name val="Arial Regular"/>
      <charset val="0"/>
    </font>
    <font>
      <sz val="11"/>
      <color indexed="8"/>
      <name val="宋体"/>
      <charset val="134"/>
    </font>
    <font>
      <sz val="11"/>
      <color indexed="8"/>
      <name val="Times New Roman"/>
      <charset val="1"/>
    </font>
    <font>
      <sz val="10"/>
      <name val="Nimbus Roman No9 L"/>
      <charset val="134"/>
    </font>
  </fonts>
  <fills count="38">
    <fill>
      <patternFill patternType="none"/>
    </fill>
    <fill>
      <patternFill patternType="gray125"/>
    </fill>
    <fill>
      <patternFill patternType="solid">
        <fgColor indexed="13"/>
        <bgColor indexed="64"/>
      </patternFill>
    </fill>
    <fill>
      <patternFill patternType="solid">
        <fgColor rgb="FF92D050"/>
        <bgColor indexed="64"/>
      </patternFill>
    </fill>
    <fill>
      <patternFill patternType="solid">
        <fgColor rgb="FFFFFF00"/>
        <bgColor indexed="64"/>
      </patternFill>
    </fill>
    <fill>
      <patternFill patternType="solid">
        <fgColor indexed="23"/>
        <bgColor indexed="64"/>
      </patternFill>
    </fill>
    <fill>
      <patternFill patternType="solid">
        <fgColor theme="1" tint="0.499984740745262"/>
        <bgColor indexed="64"/>
      </patternFill>
    </fill>
    <fill>
      <patternFill patternType="solid">
        <fgColor theme="4" tint="0.599993896298105"/>
        <bgColor indexed="64"/>
      </patternFill>
    </fill>
    <fill>
      <patternFill patternType="solid">
        <fgColor theme="9" tint="0.599993896298105"/>
        <bgColor indexed="64"/>
      </patternFill>
    </fill>
    <fill>
      <patternFill patternType="solid">
        <fgColor theme="4"/>
        <bgColor indexed="64"/>
      </patternFill>
    </fill>
    <fill>
      <patternFill patternType="solid">
        <fgColor theme="4" tint="0.399975585192419"/>
        <bgColor indexed="64"/>
      </patternFill>
    </fill>
    <fill>
      <patternFill patternType="solid">
        <fgColor theme="8"/>
        <bgColor indexed="64"/>
      </patternFill>
    </fill>
    <fill>
      <patternFill patternType="solid">
        <fgColor theme="9" tint="0.799981688894314"/>
        <bgColor indexed="64"/>
      </patternFill>
    </fill>
    <fill>
      <patternFill patternType="solid">
        <fgColor theme="6" tint="0.399975585192419"/>
        <bgColor indexed="64"/>
      </patternFill>
    </fill>
    <fill>
      <patternFill patternType="solid">
        <fgColor theme="8" tint="0.599993896298105"/>
        <bgColor indexed="64"/>
      </patternFill>
    </fill>
    <fill>
      <patternFill patternType="solid">
        <fgColor theme="7" tint="0.599993896298105"/>
        <bgColor indexed="64"/>
      </patternFill>
    </fill>
    <fill>
      <patternFill patternType="solid">
        <fgColor theme="5" tint="0.799981688894314"/>
        <bgColor indexed="64"/>
      </patternFill>
    </fill>
    <fill>
      <patternFill patternType="solid">
        <fgColor rgb="FFFFFFCC"/>
        <bgColor indexed="64"/>
      </patternFill>
    </fill>
    <fill>
      <patternFill patternType="solid">
        <fgColor rgb="FFA5A5A5"/>
        <bgColor indexed="64"/>
      </patternFill>
    </fill>
    <fill>
      <patternFill patternType="solid">
        <fgColor rgb="FFFFC7CE"/>
        <bgColor indexed="64"/>
      </patternFill>
    </fill>
    <fill>
      <patternFill patternType="solid">
        <fgColor theme="6" tint="0.599993896298105"/>
        <bgColor indexed="64"/>
      </patternFill>
    </fill>
    <fill>
      <patternFill patternType="solid">
        <fgColor theme="9"/>
        <bgColor indexed="64"/>
      </patternFill>
    </fill>
    <fill>
      <patternFill patternType="solid">
        <fgColor rgb="FFC6EFCE"/>
        <bgColor indexed="64"/>
      </patternFill>
    </fill>
    <fill>
      <patternFill patternType="solid">
        <fgColor theme="4" tint="0.799981688894314"/>
        <bgColor indexed="64"/>
      </patternFill>
    </fill>
    <fill>
      <patternFill patternType="solid">
        <fgColor rgb="FFFFEB9C"/>
        <bgColor indexed="64"/>
      </patternFill>
    </fill>
    <fill>
      <patternFill patternType="solid">
        <fgColor rgb="FFF2F2F2"/>
        <bgColor indexed="64"/>
      </patternFill>
    </fill>
    <fill>
      <patternFill patternType="solid">
        <fgColor theme="8" tint="0.399975585192419"/>
        <bgColor indexed="64"/>
      </patternFill>
    </fill>
    <fill>
      <patternFill patternType="solid">
        <fgColor theme="7" tint="0.399975585192419"/>
        <bgColor indexed="64"/>
      </patternFill>
    </fill>
    <fill>
      <patternFill patternType="solid">
        <fgColor theme="6"/>
        <bgColor indexed="64"/>
      </patternFill>
    </fill>
    <fill>
      <patternFill patternType="solid">
        <fgColor theme="5"/>
        <bgColor indexed="64"/>
      </patternFill>
    </fill>
    <fill>
      <patternFill patternType="solid">
        <fgColor theme="5" tint="0.599993896298105"/>
        <bgColor indexed="64"/>
      </patternFill>
    </fill>
    <fill>
      <patternFill patternType="solid">
        <fgColor theme="7" tint="0.799981688894314"/>
        <bgColor indexed="64"/>
      </patternFill>
    </fill>
    <fill>
      <patternFill patternType="solid">
        <fgColor theme="5" tint="0.399975585192419"/>
        <bgColor indexed="64"/>
      </patternFill>
    </fill>
    <fill>
      <patternFill patternType="solid">
        <fgColor theme="8" tint="0.799981688894314"/>
        <bgColor indexed="64"/>
      </patternFill>
    </fill>
    <fill>
      <patternFill patternType="solid">
        <fgColor rgb="FFFFCC99"/>
        <bgColor indexed="64"/>
      </patternFill>
    </fill>
    <fill>
      <patternFill patternType="solid">
        <fgColor theme="6" tint="0.799981688894314"/>
        <bgColor indexed="64"/>
      </patternFill>
    </fill>
    <fill>
      <patternFill patternType="solid">
        <fgColor theme="7"/>
        <bgColor indexed="64"/>
      </patternFill>
    </fill>
    <fill>
      <patternFill patternType="solid">
        <fgColor theme="9" tint="0.399975585192419"/>
        <bgColor indexed="64"/>
      </patternFill>
    </fill>
  </fills>
  <borders count="28">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style="thin">
        <color indexed="8"/>
      </right>
      <top style="thin">
        <color indexed="8"/>
      </top>
      <bottom style="thin">
        <color indexed="8"/>
      </bottom>
      <diagonal/>
    </border>
    <border>
      <left/>
      <right style="thin">
        <color indexed="8"/>
      </right>
      <top/>
      <bottom style="thin">
        <color indexed="8"/>
      </bottom>
      <diagonal/>
    </border>
    <border>
      <left/>
      <right style="thin">
        <color indexed="8"/>
      </right>
      <top style="thin">
        <color indexed="8"/>
      </top>
      <bottom/>
      <diagonal/>
    </border>
    <border>
      <left style="thin">
        <color indexed="8"/>
      </left>
      <right/>
      <top style="thin">
        <color indexed="8"/>
      </top>
      <bottom style="thin">
        <color indexed="8"/>
      </bottom>
      <diagonal/>
    </border>
    <border>
      <left style="thin">
        <color indexed="8"/>
      </left>
      <right style="thin">
        <color indexed="8"/>
      </right>
      <top/>
      <bottom style="thin">
        <color indexed="8"/>
      </bottom>
      <diagonal/>
    </border>
    <border>
      <left style="thin">
        <color indexed="8"/>
      </left>
      <right/>
      <top style="thin">
        <color indexed="8"/>
      </top>
      <bottom/>
      <diagonal/>
    </border>
    <border>
      <left style="thin">
        <color auto="1"/>
      </left>
      <right style="thin">
        <color auto="1"/>
      </right>
      <top style="thin">
        <color auto="1"/>
      </top>
      <bottom/>
      <diagonal/>
    </border>
    <border>
      <left/>
      <right/>
      <top style="thin">
        <color indexed="8"/>
      </top>
      <bottom style="thin">
        <color indexed="8"/>
      </bottom>
      <diagonal/>
    </border>
    <border>
      <left style="thin">
        <color indexed="8"/>
      </left>
      <right/>
      <top/>
      <bottom style="thin">
        <color indexed="8"/>
      </bottom>
      <diagonal/>
    </border>
    <border>
      <left style="thin">
        <color auto="1"/>
      </left>
      <right style="thin">
        <color auto="1"/>
      </right>
      <top/>
      <bottom style="thin">
        <color auto="1"/>
      </bottom>
      <diagonal/>
    </border>
    <border>
      <left style="thin">
        <color indexed="8"/>
      </left>
      <right style="thin">
        <color indexed="8"/>
      </right>
      <top style="thin">
        <color indexed="8"/>
      </top>
      <bottom style="medium">
        <color indexed="8"/>
      </bottom>
      <diagonal/>
    </border>
    <border>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thin">
        <color auto="1"/>
      </left>
      <right style="thin">
        <color auto="1"/>
      </right>
      <top/>
      <bottom/>
      <diagonal/>
    </border>
    <border>
      <left style="thin">
        <color auto="1"/>
      </left>
      <right/>
      <top style="thin">
        <color auto="1"/>
      </top>
      <bottom style="thin">
        <color auto="1"/>
      </bottom>
      <diagonal/>
    </border>
    <border>
      <left/>
      <right/>
      <top/>
      <bottom style="double">
        <color rgb="FFFF8001"/>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medium">
        <color theme="4" tint="0.499984740745262"/>
      </bottom>
      <diagonal/>
    </border>
  </borders>
  <cellStyleXfs count="49">
    <xf numFmtId="0" fontId="0" fillId="0" borderId="0"/>
    <xf numFmtId="0" fontId="35" fillId="37" borderId="0" applyNumberFormat="0" applyBorder="0" applyAlignment="0" applyProtection="0">
      <alignment vertical="center"/>
    </xf>
    <xf numFmtId="0" fontId="34" fillId="31" borderId="0" applyNumberFormat="0" applyBorder="0" applyAlignment="0" applyProtection="0">
      <alignment vertical="center"/>
    </xf>
    <xf numFmtId="0" fontId="35" fillId="36" borderId="0" applyNumberFormat="0" applyBorder="0" applyAlignment="0" applyProtection="0">
      <alignment vertical="center"/>
    </xf>
    <xf numFmtId="0" fontId="49" fillId="34" borderId="25" applyNumberFormat="0" applyAlignment="0" applyProtection="0">
      <alignment vertical="center"/>
    </xf>
    <xf numFmtId="0" fontId="34" fillId="20" borderId="0" applyNumberFormat="0" applyBorder="0" applyAlignment="0" applyProtection="0">
      <alignment vertical="center"/>
    </xf>
    <xf numFmtId="0" fontId="34" fillId="35" borderId="0" applyNumberFormat="0" applyBorder="0" applyAlignment="0" applyProtection="0">
      <alignment vertical="center"/>
    </xf>
    <xf numFmtId="180" fontId="0" fillId="0" borderId="0" applyFont="0" applyFill="0" applyBorder="0" applyAlignment="0" applyProtection="0"/>
    <xf numFmtId="0" fontId="35" fillId="28" borderId="0" applyNumberFormat="0" applyBorder="0" applyAlignment="0" applyProtection="0">
      <alignment vertical="center"/>
    </xf>
    <xf numFmtId="9" fontId="0" fillId="0" borderId="0" applyFont="0" applyFill="0" applyBorder="0" applyAlignment="0" applyProtection="0"/>
    <xf numFmtId="0" fontId="35" fillId="32" borderId="0" applyNumberFormat="0" applyBorder="0" applyAlignment="0" applyProtection="0">
      <alignment vertical="center"/>
    </xf>
    <xf numFmtId="0" fontId="35" fillId="26" borderId="0" applyNumberFormat="0" applyBorder="0" applyAlignment="0" applyProtection="0">
      <alignment vertical="center"/>
    </xf>
    <xf numFmtId="0" fontId="35" fillId="29" borderId="0" applyNumberFormat="0" applyBorder="0" applyAlignment="0" applyProtection="0">
      <alignment vertical="center"/>
    </xf>
    <xf numFmtId="0" fontId="35" fillId="10" borderId="0" applyNumberFormat="0" applyBorder="0" applyAlignment="0" applyProtection="0">
      <alignment vertical="center"/>
    </xf>
    <xf numFmtId="0" fontId="35" fillId="27" borderId="0" applyNumberFormat="0" applyBorder="0" applyAlignment="0" applyProtection="0">
      <alignment vertical="center"/>
    </xf>
    <xf numFmtId="0" fontId="46" fillId="25" borderId="25" applyNumberFormat="0" applyAlignment="0" applyProtection="0">
      <alignment vertical="center"/>
    </xf>
    <xf numFmtId="0" fontId="35" fillId="9" borderId="0" applyNumberFormat="0" applyBorder="0" applyAlignment="0" applyProtection="0">
      <alignment vertical="center"/>
    </xf>
    <xf numFmtId="0" fontId="45" fillId="24" borderId="0" applyNumberFormat="0" applyBorder="0" applyAlignment="0" applyProtection="0">
      <alignment vertical="center"/>
    </xf>
    <xf numFmtId="0" fontId="34" fillId="33" borderId="0" applyNumberFormat="0" applyBorder="0" applyAlignment="0" applyProtection="0">
      <alignment vertical="center"/>
    </xf>
    <xf numFmtId="0" fontId="44" fillId="22" borderId="0" applyNumberFormat="0" applyBorder="0" applyAlignment="0" applyProtection="0">
      <alignment vertical="center"/>
    </xf>
    <xf numFmtId="0" fontId="34" fillId="23" borderId="0" applyNumberFormat="0" applyBorder="0" applyAlignment="0" applyProtection="0">
      <alignment vertical="center"/>
    </xf>
    <xf numFmtId="0" fontId="42" fillId="0" borderId="24" applyNumberFormat="0" applyFill="0" applyAlignment="0" applyProtection="0">
      <alignment vertical="center"/>
    </xf>
    <xf numFmtId="0" fontId="43" fillId="19" borderId="0" applyNumberFormat="0" applyBorder="0" applyAlignment="0" applyProtection="0">
      <alignment vertical="center"/>
    </xf>
    <xf numFmtId="0" fontId="41" fillId="18" borderId="23" applyNumberFormat="0" applyAlignment="0" applyProtection="0">
      <alignment vertical="center"/>
    </xf>
    <xf numFmtId="0" fontId="48" fillId="25" borderId="26" applyNumberFormat="0" applyAlignment="0" applyProtection="0">
      <alignment vertical="center"/>
    </xf>
    <xf numFmtId="0" fontId="38" fillId="0" borderId="21" applyNumberFormat="0" applyFill="0" applyAlignment="0" applyProtection="0">
      <alignment vertical="center"/>
    </xf>
    <xf numFmtId="0" fontId="39" fillId="0" borderId="0" applyNumberFormat="0" applyFill="0" applyBorder="0" applyAlignment="0" applyProtection="0">
      <alignment vertical="center"/>
    </xf>
    <xf numFmtId="0" fontId="34" fillId="16" borderId="0" applyNumberFormat="0" applyBorder="0" applyAlignment="0" applyProtection="0">
      <alignment vertical="center"/>
    </xf>
    <xf numFmtId="0" fontId="37" fillId="0" borderId="0" applyNumberFormat="0" applyFill="0" applyBorder="0" applyAlignment="0" applyProtection="0">
      <alignment vertical="center"/>
    </xf>
    <xf numFmtId="178" fontId="0" fillId="0" borderId="0" applyFont="0" applyFill="0" applyBorder="0" applyAlignment="0" applyProtection="0"/>
    <xf numFmtId="0" fontId="34" fillId="15" borderId="0" applyNumberFormat="0" applyBorder="0" applyAlignment="0" applyProtection="0">
      <alignment vertical="center"/>
    </xf>
    <xf numFmtId="177" fontId="0" fillId="0" borderId="0" applyFont="0" applyFill="0" applyBorder="0" applyAlignment="0" applyProtection="0"/>
    <xf numFmtId="0" fontId="25"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4" fillId="30" borderId="0" applyNumberFormat="0" applyBorder="0" applyAlignment="0" applyProtection="0">
      <alignment vertical="center"/>
    </xf>
    <xf numFmtId="0" fontId="51" fillId="0" borderId="0" applyNumberFormat="0" applyFill="0" applyBorder="0" applyAlignment="0" applyProtection="0">
      <alignment vertical="center"/>
    </xf>
    <xf numFmtId="0" fontId="35" fillId="13" borderId="0" applyNumberFormat="0" applyBorder="0" applyAlignment="0" applyProtection="0">
      <alignment vertical="center"/>
    </xf>
    <xf numFmtId="0" fontId="40" fillId="17" borderId="22" applyNumberFormat="0" applyFont="0" applyAlignment="0" applyProtection="0">
      <alignment vertical="center"/>
    </xf>
    <xf numFmtId="0" fontId="34" fillId="12" borderId="0" applyNumberFormat="0" applyBorder="0" applyAlignment="0" applyProtection="0">
      <alignment vertical="center"/>
    </xf>
    <xf numFmtId="0" fontId="35" fillId="11" borderId="0" applyNumberFormat="0" applyBorder="0" applyAlignment="0" applyProtection="0">
      <alignment vertical="center"/>
    </xf>
    <xf numFmtId="0" fontId="34" fillId="8" borderId="0" applyNumberFormat="0" applyBorder="0" applyAlignment="0" applyProtection="0">
      <alignment vertical="center"/>
    </xf>
    <xf numFmtId="0" fontId="50" fillId="0" borderId="0" applyNumberFormat="0" applyFill="0" applyBorder="0" applyAlignment="0" applyProtection="0">
      <alignment vertical="center"/>
    </xf>
    <xf numFmtId="179" fontId="0" fillId="0" borderId="0" applyFont="0" applyFill="0" applyBorder="0" applyAlignment="0" applyProtection="0"/>
    <xf numFmtId="0" fontId="47" fillId="0" borderId="21" applyNumberFormat="0" applyFill="0" applyAlignment="0" applyProtection="0">
      <alignment vertical="center"/>
    </xf>
    <xf numFmtId="0" fontId="34" fillId="14" borderId="0" applyNumberFormat="0" applyBorder="0" applyAlignment="0" applyProtection="0">
      <alignment vertical="center"/>
    </xf>
    <xf numFmtId="0" fontId="37" fillId="0" borderId="27" applyNumberFormat="0" applyFill="0" applyAlignment="0" applyProtection="0">
      <alignment vertical="center"/>
    </xf>
    <xf numFmtId="0" fontId="35" fillId="21" borderId="0" applyNumberFormat="0" applyBorder="0" applyAlignment="0" applyProtection="0">
      <alignment vertical="center"/>
    </xf>
    <xf numFmtId="0" fontId="34" fillId="7" borderId="0" applyNumberFormat="0" applyBorder="0" applyAlignment="0" applyProtection="0">
      <alignment vertical="center"/>
    </xf>
    <xf numFmtId="0" fontId="33" fillId="0" borderId="20" applyNumberFormat="0" applyFill="0" applyAlignment="0" applyProtection="0">
      <alignment vertical="center"/>
    </xf>
  </cellStyleXfs>
  <cellXfs count="177">
    <xf numFmtId="0" fontId="0" fillId="0" borderId="0" xfId="0"/>
    <xf numFmtId="0" fontId="1" fillId="0" borderId="1" xfId="0" applyFont="1" applyBorder="1"/>
    <xf numFmtId="0" fontId="2" fillId="0" borderId="0" xfId="0" applyFont="1"/>
    <xf numFmtId="0" fontId="3" fillId="2" borderId="2" xfId="0" applyFont="1" applyFill="1" applyBorder="1" applyAlignment="1">
      <alignment horizontal="center"/>
    </xf>
    <xf numFmtId="0" fontId="4" fillId="0" borderId="3" xfId="0" applyFont="1" applyBorder="1"/>
    <xf numFmtId="0" fontId="0" fillId="0" borderId="3" xfId="0" applyBorder="1"/>
    <xf numFmtId="0" fontId="0" fillId="0" borderId="4" xfId="0" applyBorder="1"/>
    <xf numFmtId="0" fontId="4" fillId="0" borderId="5" xfId="0" applyFont="1" applyBorder="1"/>
    <xf numFmtId="0" fontId="0" fillId="0" borderId="4" xfId="0" applyFont="1" applyBorder="1"/>
    <xf numFmtId="0" fontId="4" fillId="0" borderId="3" xfId="41" applyFont="1" applyBorder="1" applyAlignment="1"/>
    <xf numFmtId="0" fontId="4" fillId="0" borderId="6" xfId="0" applyFont="1" applyBorder="1"/>
    <xf numFmtId="0" fontId="4" fillId="0" borderId="7" xfId="0" applyFont="1" applyBorder="1"/>
    <xf numFmtId="0" fontId="4" fillId="0" borderId="4" xfId="0" applyFont="1" applyBorder="1"/>
    <xf numFmtId="0" fontId="3" fillId="2" borderId="1" xfId="0" applyFont="1" applyFill="1" applyBorder="1" applyAlignment="1">
      <alignment horizontal="center"/>
    </xf>
    <xf numFmtId="14" fontId="4" fillId="0" borderId="1" xfId="0" applyNumberFormat="1" applyFont="1" applyFill="1" applyBorder="1"/>
    <xf numFmtId="0" fontId="4" fillId="0" borderId="1" xfId="0" applyFont="1" applyBorder="1"/>
    <xf numFmtId="0" fontId="4" fillId="0" borderId="2" xfId="0" applyFont="1" applyBorder="1"/>
    <xf numFmtId="14" fontId="4" fillId="0" borderId="2" xfId="0" applyNumberFormat="1" applyFont="1" applyFill="1" applyBorder="1"/>
    <xf numFmtId="14" fontId="4" fillId="0" borderId="3" xfId="0" applyNumberFormat="1" applyFont="1" applyFill="1" applyBorder="1"/>
    <xf numFmtId="0" fontId="4" fillId="0" borderId="8" xfId="0" applyFont="1" applyBorder="1"/>
    <xf numFmtId="0" fontId="5" fillId="0" borderId="1" xfId="0" applyFont="1" applyBorder="1"/>
    <xf numFmtId="0" fontId="0" fillId="0" borderId="3" xfId="0" applyFont="1" applyBorder="1"/>
    <xf numFmtId="0" fontId="4" fillId="0" borderId="8" xfId="41" applyFont="1" applyBorder="1" applyAlignment="1"/>
    <xf numFmtId="0" fontId="4" fillId="0" borderId="9" xfId="0" applyFont="1" applyBorder="1"/>
    <xf numFmtId="0" fontId="4" fillId="0" borderId="1" xfId="0" applyFont="1" applyFill="1" applyBorder="1"/>
    <xf numFmtId="0" fontId="3" fillId="2" borderId="8" xfId="0" applyFont="1" applyFill="1" applyBorder="1" applyAlignment="1">
      <alignment horizontal="center"/>
    </xf>
    <xf numFmtId="14" fontId="4" fillId="0" borderId="8" xfId="0" applyNumberFormat="1" applyFont="1" applyFill="1" applyBorder="1"/>
    <xf numFmtId="0" fontId="6" fillId="0" borderId="1" xfId="0" applyFont="1" applyBorder="1"/>
    <xf numFmtId="0" fontId="7" fillId="0" borderId="0" xfId="0" applyFont="1"/>
    <xf numFmtId="0" fontId="7" fillId="2" borderId="1" xfId="0" applyFont="1" applyFill="1" applyBorder="1" applyAlignment="1">
      <alignment horizontal="center"/>
    </xf>
    <xf numFmtId="0" fontId="7" fillId="2" borderId="2" xfId="0" applyFont="1" applyFill="1" applyBorder="1" applyAlignment="1">
      <alignment horizontal="center"/>
    </xf>
    <xf numFmtId="0" fontId="7" fillId="2" borderId="8" xfId="0" applyFont="1" applyFill="1" applyBorder="1" applyAlignment="1">
      <alignment horizontal="center"/>
    </xf>
    <xf numFmtId="0" fontId="8" fillId="0" borderId="1" xfId="0" applyFont="1" applyBorder="1"/>
    <xf numFmtId="0" fontId="7" fillId="0" borderId="3" xfId="0" applyFont="1" applyBorder="1"/>
    <xf numFmtId="0" fontId="7" fillId="2" borderId="5" xfId="0" applyFont="1" applyFill="1" applyBorder="1" applyAlignment="1">
      <alignment horizontal="center"/>
    </xf>
    <xf numFmtId="14" fontId="4" fillId="0" borderId="1" xfId="0" applyNumberFormat="1" applyFont="1" applyBorder="1"/>
    <xf numFmtId="0" fontId="2" fillId="0" borderId="3" xfId="0" applyFont="1" applyBorder="1"/>
    <xf numFmtId="0" fontId="4" fillId="3" borderId="1" xfId="0" applyFont="1" applyFill="1" applyBorder="1"/>
    <xf numFmtId="0" fontId="5" fillId="3" borderId="1" xfId="0" applyFont="1" applyFill="1" applyBorder="1"/>
    <xf numFmtId="0" fontId="4" fillId="0" borderId="8" xfId="0" applyFont="1" applyFill="1" applyBorder="1"/>
    <xf numFmtId="0" fontId="5" fillId="0" borderId="3" xfId="0" applyFont="1" applyBorder="1"/>
    <xf numFmtId="0" fontId="4" fillId="0" borderId="3" xfId="0" applyFont="1" applyFill="1" applyBorder="1"/>
    <xf numFmtId="14" fontId="4" fillId="0" borderId="3" xfId="0" applyNumberFormat="1" applyFont="1" applyBorder="1"/>
    <xf numFmtId="0" fontId="5" fillId="0" borderId="1" xfId="0" applyFont="1" applyFill="1" applyBorder="1"/>
    <xf numFmtId="14" fontId="4" fillId="0" borderId="2" xfId="0" applyNumberFormat="1" applyFont="1" applyBorder="1"/>
    <xf numFmtId="14" fontId="4" fillId="0" borderId="5" xfId="0" applyNumberFormat="1" applyFont="1" applyBorder="1"/>
    <xf numFmtId="0" fontId="4" fillId="4" borderId="1" xfId="0" applyFont="1" applyFill="1" applyBorder="1"/>
    <xf numFmtId="0" fontId="4" fillId="0" borderId="10" xfId="0" applyFont="1" applyBorder="1"/>
    <xf numFmtId="0" fontId="0" fillId="0" borderId="11" xfId="0" applyBorder="1"/>
    <xf numFmtId="0" fontId="5" fillId="4" borderId="1" xfId="0" applyFont="1" applyFill="1" applyBorder="1"/>
    <xf numFmtId="176" fontId="4" fillId="3" borderId="3" xfId="0" applyNumberFormat="1" applyFont="1" applyFill="1" applyBorder="1" applyAlignment="1">
      <alignment horizontal="left"/>
    </xf>
    <xf numFmtId="0" fontId="9" fillId="0" borderId="1" xfId="0" applyFont="1" applyBorder="1"/>
    <xf numFmtId="0" fontId="10" fillId="0" borderId="1" xfId="0" applyFont="1" applyBorder="1"/>
    <xf numFmtId="0" fontId="11" fillId="0" borderId="1" xfId="0" applyFont="1" applyBorder="1"/>
    <xf numFmtId="0" fontId="12" fillId="0" borderId="0" xfId="0" applyFont="1"/>
    <xf numFmtId="0" fontId="13" fillId="0" borderId="1" xfId="41" applyFont="1" applyBorder="1" applyAlignment="1"/>
    <xf numFmtId="0" fontId="4" fillId="3" borderId="8" xfId="0" applyFont="1" applyFill="1" applyBorder="1"/>
    <xf numFmtId="0" fontId="0" fillId="3" borderId="3" xfId="0" applyFill="1" applyBorder="1"/>
    <xf numFmtId="0" fontId="4" fillId="3" borderId="12" xfId="0" applyFont="1" applyFill="1" applyBorder="1"/>
    <xf numFmtId="0" fontId="2" fillId="3" borderId="3" xfId="0" applyFont="1" applyFill="1" applyBorder="1"/>
    <xf numFmtId="0" fontId="0" fillId="3" borderId="3" xfId="0" applyFont="1" applyFill="1" applyBorder="1"/>
    <xf numFmtId="0" fontId="14" fillId="0" borderId="1" xfId="0" applyFont="1" applyBorder="1"/>
    <xf numFmtId="0" fontId="14" fillId="0" borderId="1" xfId="41" applyFont="1" applyBorder="1" applyAlignment="1"/>
    <xf numFmtId="0" fontId="4" fillId="0" borderId="1" xfId="41" applyFont="1" applyBorder="1" applyAlignment="1">
      <alignment wrapText="1"/>
    </xf>
    <xf numFmtId="0" fontId="4" fillId="0" borderId="1" xfId="41" applyFont="1" applyBorder="1" applyAlignment="1"/>
    <xf numFmtId="0" fontId="4" fillId="3" borderId="3" xfId="0" applyFont="1" applyFill="1" applyBorder="1"/>
    <xf numFmtId="0" fontId="2" fillId="3" borderId="3" xfId="0" applyFont="1" applyFill="1" applyBorder="1" applyAlignment="1">
      <alignment wrapText="1"/>
    </xf>
    <xf numFmtId="176" fontId="4" fillId="3" borderId="5" xfId="0" applyNumberFormat="1" applyFont="1" applyFill="1" applyBorder="1" applyAlignment="1">
      <alignment horizontal="left"/>
    </xf>
    <xf numFmtId="0" fontId="14" fillId="4" borderId="1" xfId="41" applyFont="1" applyFill="1" applyBorder="1" applyAlignment="1"/>
    <xf numFmtId="0" fontId="0" fillId="3" borderId="0" xfId="0" applyFill="1"/>
    <xf numFmtId="0" fontId="4" fillId="3" borderId="1" xfId="41" applyFont="1" applyFill="1" applyBorder="1" applyAlignment="1"/>
    <xf numFmtId="0" fontId="0" fillId="3" borderId="3" xfId="41" applyFont="1" applyFill="1" applyBorder="1" applyAlignment="1"/>
    <xf numFmtId="0" fontId="14" fillId="4" borderId="1" xfId="0" applyFont="1" applyFill="1" applyBorder="1"/>
    <xf numFmtId="0" fontId="4" fillId="3" borderId="2" xfId="0" applyFont="1" applyFill="1" applyBorder="1"/>
    <xf numFmtId="0" fontId="15" fillId="0" borderId="1" xfId="0" applyFont="1" applyBorder="1"/>
    <xf numFmtId="0" fontId="5" fillId="0" borderId="1" xfId="0" applyFont="1" applyBorder="1" applyAlignment="1">
      <alignment wrapText="1"/>
    </xf>
    <xf numFmtId="0" fontId="4" fillId="4" borderId="1" xfId="0" applyFont="1" applyFill="1" applyBorder="1" applyAlignment="1">
      <alignment wrapText="1"/>
    </xf>
    <xf numFmtId="0" fontId="16" fillId="0" borderId="1" xfId="0" applyFont="1" applyBorder="1"/>
    <xf numFmtId="0" fontId="17" fillId="0" borderId="1" xfId="0" applyFont="1" applyBorder="1"/>
    <xf numFmtId="0" fontId="18" fillId="4" borderId="3" xfId="0" applyFont="1" applyFill="1" applyBorder="1"/>
    <xf numFmtId="0" fontId="18" fillId="0" borderId="3" xfId="0" applyFont="1" applyBorder="1"/>
    <xf numFmtId="0" fontId="5" fillId="3" borderId="3" xfId="0" applyFont="1" applyFill="1" applyBorder="1"/>
    <xf numFmtId="0" fontId="19" fillId="3" borderId="3" xfId="0" applyFont="1" applyFill="1" applyBorder="1" applyAlignment="1">
      <alignment vertical="center"/>
    </xf>
    <xf numFmtId="0" fontId="20" fillId="3" borderId="3" xfId="0" applyFont="1" applyFill="1" applyBorder="1"/>
    <xf numFmtId="0" fontId="0" fillId="4" borderId="0" xfId="0" applyFill="1"/>
    <xf numFmtId="0" fontId="4" fillId="4" borderId="1" xfId="41" applyFont="1" applyFill="1" applyBorder="1" applyAlignment="1"/>
    <xf numFmtId="0" fontId="5" fillId="3" borderId="2" xfId="0" applyFont="1" applyFill="1" applyBorder="1"/>
    <xf numFmtId="0" fontId="4" fillId="3" borderId="2" xfId="41" applyFont="1" applyFill="1" applyBorder="1" applyAlignment="1"/>
    <xf numFmtId="0" fontId="5" fillId="3" borderId="9" xfId="0" applyFont="1" applyFill="1" applyBorder="1"/>
    <xf numFmtId="0" fontId="4" fillId="3" borderId="13" xfId="0" applyFont="1" applyFill="1" applyBorder="1"/>
    <xf numFmtId="0" fontId="0" fillId="3" borderId="14" xfId="0" applyFont="1" applyFill="1" applyBorder="1"/>
    <xf numFmtId="176" fontId="4" fillId="3" borderId="7" xfId="0" applyNumberFormat="1" applyFont="1" applyFill="1" applyBorder="1" applyAlignment="1">
      <alignment horizontal="left"/>
    </xf>
    <xf numFmtId="0" fontId="4" fillId="3" borderId="6" xfId="0" applyFont="1" applyFill="1" applyBorder="1"/>
    <xf numFmtId="0" fontId="2" fillId="3" borderId="3" xfId="0" applyFont="1" applyFill="1" applyBorder="1" applyAlignment="1">
      <alignment horizontal="center" vertical="center"/>
    </xf>
    <xf numFmtId="0" fontId="4" fillId="3" borderId="5" xfId="0" applyFont="1" applyFill="1" applyBorder="1"/>
    <xf numFmtId="0" fontId="0" fillId="3" borderId="3" xfId="0" applyFill="1" applyBorder="1" applyAlignment="1">
      <alignment horizontal="center" vertical="center"/>
    </xf>
    <xf numFmtId="0" fontId="21" fillId="0" borderId="1" xfId="0" applyFont="1" applyBorder="1"/>
    <xf numFmtId="0" fontId="0" fillId="3" borderId="11" xfId="0" applyFill="1" applyBorder="1"/>
    <xf numFmtId="0" fontId="20" fillId="3" borderId="3" xfId="0" applyFont="1" applyFill="1" applyBorder="1" applyAlignment="1">
      <alignment wrapText="1"/>
    </xf>
    <xf numFmtId="0" fontId="22" fillId="3" borderId="3" xfId="0" applyFont="1" applyFill="1" applyBorder="1" applyAlignment="1">
      <alignment vertical="center"/>
    </xf>
    <xf numFmtId="0" fontId="19" fillId="3" borderId="3" xfId="0" applyFont="1" applyFill="1" applyBorder="1" applyAlignment="1">
      <alignment vertical="center" wrapText="1"/>
    </xf>
    <xf numFmtId="0" fontId="19" fillId="3" borderId="11" xfId="0" applyFont="1" applyFill="1" applyBorder="1" applyAlignment="1">
      <alignment vertical="center" wrapText="1"/>
    </xf>
    <xf numFmtId="0" fontId="22" fillId="0" borderId="0" xfId="0" applyFont="1" applyFill="1" applyBorder="1" applyAlignment="1">
      <alignment vertical="center"/>
    </xf>
    <xf numFmtId="0" fontId="22" fillId="0" borderId="0" xfId="0" applyFont="1" applyFill="1" applyBorder="1" applyAlignment="1">
      <alignment vertical="center" wrapText="1"/>
    </xf>
    <xf numFmtId="0" fontId="23" fillId="3" borderId="3" xfId="0" applyFont="1" applyFill="1" applyBorder="1" applyAlignment="1">
      <alignment vertical="center"/>
    </xf>
    <xf numFmtId="0" fontId="23" fillId="3" borderId="3" xfId="0" applyFont="1" applyFill="1" applyBorder="1" applyAlignment="1">
      <alignment vertical="center" wrapText="1"/>
    </xf>
    <xf numFmtId="0" fontId="7" fillId="3" borderId="3" xfId="41" applyFont="1" applyFill="1" applyBorder="1" applyAlignment="1"/>
    <xf numFmtId="0" fontId="24" fillId="0" borderId="0" xfId="0" applyFont="1" applyAlignment="1">
      <alignment horizontal="left" wrapText="1" indent="1"/>
    </xf>
    <xf numFmtId="0" fontId="0" fillId="3" borderId="3" xfId="0" applyFont="1" applyFill="1" applyBorder="1" applyAlignment="1">
      <alignment wrapText="1"/>
    </xf>
    <xf numFmtId="0" fontId="4" fillId="0" borderId="2" xfId="0" applyFont="1" applyFill="1" applyBorder="1"/>
    <xf numFmtId="0" fontId="10" fillId="3" borderId="1" xfId="0" applyFont="1" applyFill="1" applyBorder="1"/>
    <xf numFmtId="0" fontId="0" fillId="3" borderId="3" xfId="0" applyFill="1" applyBorder="1" applyAlignment="1">
      <alignment wrapText="1"/>
    </xf>
    <xf numFmtId="0" fontId="22" fillId="0" borderId="3" xfId="0" applyFont="1" applyFill="1" applyBorder="1" applyAlignment="1">
      <alignment vertical="center"/>
    </xf>
    <xf numFmtId="0" fontId="25" fillId="0" borderId="0" xfId="41" applyFont="1" applyAlignment="1"/>
    <xf numFmtId="0" fontId="0" fillId="0" borderId="0" xfId="0" applyAlignment="1">
      <alignment wrapText="1"/>
    </xf>
    <xf numFmtId="0" fontId="26" fillId="0" borderId="0" xfId="0" applyFont="1" applyAlignment="1">
      <alignment wrapText="1"/>
    </xf>
    <xf numFmtId="0" fontId="11" fillId="0" borderId="2" xfId="0" applyFont="1" applyBorder="1"/>
    <xf numFmtId="0" fontId="13" fillId="0" borderId="2" xfId="41" applyFont="1" applyBorder="1" applyAlignment="1"/>
    <xf numFmtId="0" fontId="4" fillId="3" borderId="11" xfId="0" applyFont="1" applyFill="1" applyBorder="1"/>
    <xf numFmtId="0" fontId="2" fillId="3" borderId="11" xfId="0" applyFont="1" applyFill="1" applyBorder="1"/>
    <xf numFmtId="0" fontId="10" fillId="3" borderId="3" xfId="0" applyFont="1" applyFill="1" applyBorder="1"/>
    <xf numFmtId="176" fontId="4" fillId="0" borderId="2" xfId="0" applyNumberFormat="1" applyFont="1" applyBorder="1" applyAlignment="1">
      <alignment horizontal="left"/>
    </xf>
    <xf numFmtId="0" fontId="3" fillId="5" borderId="15" xfId="0" applyFont="1" applyFill="1" applyBorder="1"/>
    <xf numFmtId="49" fontId="4" fillId="4" borderId="1" xfId="0" applyNumberFormat="1" applyFont="1" applyFill="1" applyBorder="1"/>
    <xf numFmtId="49" fontId="4" fillId="0" borderId="1" xfId="0" applyNumberFormat="1" applyFont="1" applyBorder="1"/>
    <xf numFmtId="0" fontId="27" fillId="4" borderId="0" xfId="0" applyFont="1" applyFill="1" applyAlignment="1">
      <alignment horizontal="justify"/>
    </xf>
    <xf numFmtId="0" fontId="2" fillId="4" borderId="0" xfId="0" applyFont="1" applyFill="1"/>
    <xf numFmtId="0" fontId="3" fillId="5" borderId="2" xfId="0" applyFont="1" applyFill="1" applyBorder="1"/>
    <xf numFmtId="0" fontId="11" fillId="0" borderId="3" xfId="0" applyFont="1" applyBorder="1"/>
    <xf numFmtId="0" fontId="12" fillId="0" borderId="3" xfId="0" applyFont="1" applyBorder="1"/>
    <xf numFmtId="0" fontId="4" fillId="0" borderId="11" xfId="0" applyFont="1" applyBorder="1"/>
    <xf numFmtId="0" fontId="12" fillId="0" borderId="11" xfId="0" applyFont="1" applyBorder="1"/>
    <xf numFmtId="0" fontId="0" fillId="6" borderId="3" xfId="0" applyFill="1" applyBorder="1"/>
    <xf numFmtId="0" fontId="4" fillId="6" borderId="3" xfId="0" applyFont="1" applyFill="1" applyBorder="1"/>
    <xf numFmtId="0" fontId="0" fillId="0" borderId="0" xfId="0" applyFont="1"/>
    <xf numFmtId="0" fontId="19" fillId="0" borderId="16" xfId="0" applyFont="1" applyFill="1" applyBorder="1" applyAlignment="1">
      <alignment vertical="center" wrapText="1"/>
    </xf>
    <xf numFmtId="0" fontId="19" fillId="0" borderId="17" xfId="0" applyFont="1" applyFill="1" applyBorder="1" applyAlignment="1">
      <alignment vertical="center"/>
    </xf>
    <xf numFmtId="0" fontId="22" fillId="4" borderId="0" xfId="0" applyFont="1" applyFill="1" applyBorder="1" applyAlignment="1">
      <alignment vertical="center"/>
    </xf>
    <xf numFmtId="0" fontId="3" fillId="2" borderId="3" xfId="0" applyFont="1" applyFill="1" applyBorder="1" applyAlignment="1">
      <alignment horizontal="center"/>
    </xf>
    <xf numFmtId="0" fontId="3" fillId="2" borderId="3" xfId="0" applyFont="1" applyFill="1" applyBorder="1" applyAlignment="1">
      <alignment horizontal="center" wrapText="1"/>
    </xf>
    <xf numFmtId="0" fontId="28" fillId="0" borderId="3" xfId="0" applyFont="1" applyFill="1" applyBorder="1" applyAlignment="1">
      <alignment wrapText="1"/>
    </xf>
    <xf numFmtId="0" fontId="28" fillId="0" borderId="3" xfId="0" applyFont="1" applyFill="1" applyBorder="1" applyAlignment="1">
      <alignment horizontal="center" vertical="center"/>
    </xf>
    <xf numFmtId="0" fontId="25" fillId="4" borderId="3" xfId="41" applyFont="1" applyFill="1" applyBorder="1" applyAlignment="1"/>
    <xf numFmtId="0" fontId="28" fillId="4" borderId="3" xfId="0" applyFont="1" applyFill="1" applyBorder="1" applyAlignment="1">
      <alignment wrapText="1"/>
    </xf>
    <xf numFmtId="0" fontId="29" fillId="0" borderId="3" xfId="41" applyFont="1" applyFill="1" applyBorder="1" applyAlignment="1"/>
    <xf numFmtId="0" fontId="28" fillId="0" borderId="3" xfId="0" applyFont="1" applyBorder="1" applyAlignment="1">
      <alignment wrapText="1"/>
    </xf>
    <xf numFmtId="0" fontId="28" fillId="0" borderId="11" xfId="0" applyFont="1" applyFill="1" applyBorder="1" applyAlignment="1">
      <alignment horizontal="center" vertical="center"/>
    </xf>
    <xf numFmtId="0" fontId="28" fillId="0" borderId="18" xfId="0" applyFont="1" applyFill="1" applyBorder="1" applyAlignment="1">
      <alignment horizontal="center" vertical="center"/>
    </xf>
    <xf numFmtId="0" fontId="18" fillId="0" borderId="3" xfId="41" applyFont="1" applyBorder="1" applyAlignment="1"/>
    <xf numFmtId="0" fontId="28" fillId="0" borderId="14" xfId="0" applyFont="1" applyFill="1" applyBorder="1" applyAlignment="1">
      <alignment horizontal="center" vertical="center"/>
    </xf>
    <xf numFmtId="0" fontId="28" fillId="0" borderId="3" xfId="0" applyFont="1" applyFill="1" applyBorder="1" applyAlignment="1">
      <alignment vertical="center"/>
    </xf>
    <xf numFmtId="0" fontId="18" fillId="0" borderId="3" xfId="41" applyFont="1" applyFill="1" applyBorder="1" applyAlignment="1">
      <alignment vertical="center"/>
    </xf>
    <xf numFmtId="0" fontId="28" fillId="0" borderId="3" xfId="0" applyFont="1" applyBorder="1"/>
    <xf numFmtId="0" fontId="30" fillId="0" borderId="3" xfId="0" applyFont="1" applyBorder="1"/>
    <xf numFmtId="0" fontId="31" fillId="0" borderId="3" xfId="0" applyFont="1" applyBorder="1" applyAlignment="1">
      <alignment wrapText="1"/>
    </xf>
    <xf numFmtId="0" fontId="31" fillId="0" borderId="3" xfId="0" applyFont="1" applyFill="1" applyBorder="1" applyAlignment="1">
      <alignment horizontal="center" vertical="center"/>
    </xf>
    <xf numFmtId="0" fontId="28" fillId="0" borderId="3" xfId="0" applyFont="1" applyFill="1" applyBorder="1" applyAlignment="1"/>
    <xf numFmtId="0" fontId="29" fillId="4" borderId="3" xfId="41" applyFont="1" applyFill="1" applyBorder="1" applyAlignment="1"/>
    <xf numFmtId="0" fontId="18" fillId="0" borderId="3" xfId="41" applyFont="1" applyFill="1" applyBorder="1" applyAlignment="1">
      <alignment vertical="center" wrapText="1"/>
    </xf>
    <xf numFmtId="0" fontId="18" fillId="0" borderId="3" xfId="0" applyFont="1" applyFill="1" applyBorder="1"/>
    <xf numFmtId="0" fontId="25" fillId="3" borderId="3" xfId="41" applyFont="1" applyFill="1" applyBorder="1" applyAlignment="1">
      <alignment vertical="center"/>
    </xf>
    <xf numFmtId="0" fontId="28" fillId="3" borderId="3" xfId="0" applyFont="1" applyFill="1" applyBorder="1" applyAlignment="1">
      <alignment vertical="center"/>
    </xf>
    <xf numFmtId="0" fontId="28" fillId="3" borderId="11" xfId="0" applyFont="1" applyFill="1" applyBorder="1" applyAlignment="1">
      <alignment vertical="center"/>
    </xf>
    <xf numFmtId="0" fontId="32" fillId="0" borderId="3" xfId="41" applyFont="1" applyBorder="1" applyAlignment="1"/>
    <xf numFmtId="0" fontId="25" fillId="3" borderId="3" xfId="41" applyFont="1" applyFill="1" applyBorder="1" applyAlignment="1"/>
    <xf numFmtId="0" fontId="28" fillId="3" borderId="3" xfId="0" applyFont="1" applyFill="1" applyBorder="1" applyAlignment="1">
      <alignment wrapText="1"/>
    </xf>
    <xf numFmtId="0" fontId="29" fillId="3" borderId="3" xfId="41" applyFont="1" applyFill="1" applyBorder="1" applyAlignment="1">
      <alignment horizontal="justify" vertical="center"/>
    </xf>
    <xf numFmtId="0" fontId="29" fillId="3" borderId="3" xfId="41" applyFont="1" applyFill="1" applyBorder="1" applyAlignment="1">
      <alignment vertical="center"/>
    </xf>
    <xf numFmtId="0" fontId="25" fillId="3" borderId="3" xfId="41" applyFont="1" applyFill="1" applyBorder="1" applyAlignment="1">
      <alignment horizontal="justify" vertical="center"/>
    </xf>
    <xf numFmtId="0" fontId="28" fillId="3" borderId="3" xfId="0" applyFont="1" applyFill="1" applyBorder="1" applyAlignment="1">
      <alignment horizontal="justify" vertical="center"/>
    </xf>
    <xf numFmtId="0" fontId="0" fillId="0" borderId="0" xfId="0" applyFill="1"/>
    <xf numFmtId="0" fontId="28" fillId="0" borderId="11" xfId="0" applyFont="1" applyBorder="1" applyAlignment="1">
      <alignment horizontal="center" vertical="center"/>
    </xf>
    <xf numFmtId="0" fontId="28" fillId="0" borderId="18" xfId="0" applyFont="1" applyBorder="1" applyAlignment="1">
      <alignment horizontal="center" vertical="center"/>
    </xf>
    <xf numFmtId="0" fontId="28" fillId="0" borderId="14" xfId="0" applyFont="1" applyBorder="1" applyAlignment="1">
      <alignment horizontal="center" vertical="center"/>
    </xf>
    <xf numFmtId="0" fontId="28" fillId="3" borderId="19" xfId="0" applyFont="1" applyFill="1" applyBorder="1" applyAlignment="1">
      <alignment vertical="center"/>
    </xf>
    <xf numFmtId="0" fontId="28" fillId="0" borderId="3" xfId="0" applyFont="1" applyBorder="1" applyAlignment="1">
      <alignment horizontal="center" vertical="center"/>
    </xf>
    <xf numFmtId="0" fontId="20" fillId="0" borderId="3" xfId="0" applyFont="1" applyBorder="1" applyAlignment="1">
      <alignment horizontal="center" vertical="center"/>
    </xf>
    <xf numFmtId="0" fontId="0" fillId="0" borderId="0" xfId="0" applyFont="1" quotePrefix="1"/>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2" defaultPivotStyle="PivotStyleLight16"/>
  <colors>
    <mruColors>
      <color rgb="001C1F23"/>
      <color rgb="00222222"/>
      <color rgb="00FF0000"/>
      <color rgb="00800080"/>
      <color rgb="000000FF"/>
      <color rgb="00808080"/>
      <color rgb="00000000"/>
      <color rgb="0092D050"/>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9" Type="http://schemas.openxmlformats.org/officeDocument/2006/relationships/worksheet" Target="worksheets/sheet99.xml"/><Relationship Id="rId98" Type="http://schemas.openxmlformats.org/officeDocument/2006/relationships/worksheet" Target="worksheets/sheet98.xml"/><Relationship Id="rId97" Type="http://schemas.openxmlformats.org/officeDocument/2006/relationships/worksheet" Target="worksheets/sheet97.xml"/><Relationship Id="rId96" Type="http://schemas.openxmlformats.org/officeDocument/2006/relationships/worksheet" Target="worksheets/sheet96.xml"/><Relationship Id="rId95" Type="http://schemas.openxmlformats.org/officeDocument/2006/relationships/worksheet" Target="worksheets/sheet95.xml"/><Relationship Id="rId94" Type="http://schemas.openxmlformats.org/officeDocument/2006/relationships/worksheet" Target="worksheets/sheet94.xml"/><Relationship Id="rId93" Type="http://schemas.openxmlformats.org/officeDocument/2006/relationships/worksheet" Target="worksheets/sheet93.xml"/><Relationship Id="rId92" Type="http://schemas.openxmlformats.org/officeDocument/2006/relationships/worksheet" Target="worksheets/sheet92.xml"/><Relationship Id="rId91" Type="http://schemas.openxmlformats.org/officeDocument/2006/relationships/worksheet" Target="worksheets/sheet91.xml"/><Relationship Id="rId90" Type="http://schemas.openxmlformats.org/officeDocument/2006/relationships/worksheet" Target="worksheets/sheet90.xml"/><Relationship Id="rId9" Type="http://schemas.openxmlformats.org/officeDocument/2006/relationships/worksheet" Target="worksheets/sheet9.xml"/><Relationship Id="rId89" Type="http://schemas.openxmlformats.org/officeDocument/2006/relationships/worksheet" Target="worksheets/sheet89.xml"/><Relationship Id="rId88" Type="http://schemas.openxmlformats.org/officeDocument/2006/relationships/worksheet" Target="worksheets/sheet88.xml"/><Relationship Id="rId87" Type="http://schemas.openxmlformats.org/officeDocument/2006/relationships/worksheet" Target="worksheets/sheet87.xml"/><Relationship Id="rId86" Type="http://schemas.openxmlformats.org/officeDocument/2006/relationships/worksheet" Target="worksheets/sheet86.xml"/><Relationship Id="rId85" Type="http://schemas.openxmlformats.org/officeDocument/2006/relationships/worksheet" Target="worksheets/sheet85.xml"/><Relationship Id="rId84" Type="http://schemas.openxmlformats.org/officeDocument/2006/relationships/worksheet" Target="worksheets/sheet84.xml"/><Relationship Id="rId83" Type="http://schemas.openxmlformats.org/officeDocument/2006/relationships/worksheet" Target="worksheets/sheet83.xml"/><Relationship Id="rId82" Type="http://schemas.openxmlformats.org/officeDocument/2006/relationships/worksheet" Target="worksheets/sheet82.xml"/><Relationship Id="rId81" Type="http://schemas.openxmlformats.org/officeDocument/2006/relationships/worksheet" Target="worksheets/sheet81.xml"/><Relationship Id="rId80" Type="http://schemas.openxmlformats.org/officeDocument/2006/relationships/worksheet" Target="worksheets/sheet80.xml"/><Relationship Id="rId8" Type="http://schemas.openxmlformats.org/officeDocument/2006/relationships/worksheet" Target="worksheets/sheet8.xml"/><Relationship Id="rId79" Type="http://schemas.openxmlformats.org/officeDocument/2006/relationships/worksheet" Target="worksheets/sheet79.xml"/><Relationship Id="rId78" Type="http://schemas.openxmlformats.org/officeDocument/2006/relationships/worksheet" Target="worksheets/sheet78.xml"/><Relationship Id="rId77" Type="http://schemas.openxmlformats.org/officeDocument/2006/relationships/worksheet" Target="worksheets/sheet77.xml"/><Relationship Id="rId76" Type="http://schemas.openxmlformats.org/officeDocument/2006/relationships/worksheet" Target="worksheets/sheet76.xml"/><Relationship Id="rId75" Type="http://schemas.openxmlformats.org/officeDocument/2006/relationships/worksheet" Target="worksheets/sheet75.xml"/><Relationship Id="rId74" Type="http://schemas.openxmlformats.org/officeDocument/2006/relationships/worksheet" Target="worksheets/sheet74.xml"/><Relationship Id="rId73" Type="http://schemas.openxmlformats.org/officeDocument/2006/relationships/worksheet" Target="worksheets/sheet73.xml"/><Relationship Id="rId72" Type="http://schemas.openxmlformats.org/officeDocument/2006/relationships/worksheet" Target="worksheets/sheet72.xml"/><Relationship Id="rId71" Type="http://schemas.openxmlformats.org/officeDocument/2006/relationships/worksheet" Target="worksheets/sheet71.xml"/><Relationship Id="rId70" Type="http://schemas.openxmlformats.org/officeDocument/2006/relationships/worksheet" Target="worksheets/sheet70.xml"/><Relationship Id="rId7" Type="http://schemas.openxmlformats.org/officeDocument/2006/relationships/worksheet" Target="worksheets/sheet7.xml"/><Relationship Id="rId69" Type="http://schemas.openxmlformats.org/officeDocument/2006/relationships/worksheet" Target="worksheets/sheet69.xml"/><Relationship Id="rId68" Type="http://schemas.openxmlformats.org/officeDocument/2006/relationships/worksheet" Target="worksheets/sheet68.xml"/><Relationship Id="rId67" Type="http://schemas.openxmlformats.org/officeDocument/2006/relationships/worksheet" Target="worksheets/sheet67.xml"/><Relationship Id="rId66" Type="http://schemas.openxmlformats.org/officeDocument/2006/relationships/worksheet" Target="worksheets/sheet66.xml"/><Relationship Id="rId65" Type="http://schemas.openxmlformats.org/officeDocument/2006/relationships/worksheet" Target="worksheets/sheet65.xml"/><Relationship Id="rId64" Type="http://schemas.openxmlformats.org/officeDocument/2006/relationships/worksheet" Target="worksheets/sheet64.xml"/><Relationship Id="rId63" Type="http://schemas.openxmlformats.org/officeDocument/2006/relationships/worksheet" Target="worksheets/sheet63.xml"/><Relationship Id="rId62" Type="http://schemas.openxmlformats.org/officeDocument/2006/relationships/worksheet" Target="worksheets/sheet62.xml"/><Relationship Id="rId61" Type="http://schemas.openxmlformats.org/officeDocument/2006/relationships/worksheet" Target="worksheets/sheet61.xml"/><Relationship Id="rId60" Type="http://schemas.openxmlformats.org/officeDocument/2006/relationships/worksheet" Target="worksheets/sheet60.xml"/><Relationship Id="rId6" Type="http://schemas.openxmlformats.org/officeDocument/2006/relationships/worksheet" Target="worksheets/sheet6.xml"/><Relationship Id="rId59" Type="http://schemas.openxmlformats.org/officeDocument/2006/relationships/worksheet" Target="worksheets/sheet59.xml"/><Relationship Id="rId58" Type="http://schemas.openxmlformats.org/officeDocument/2006/relationships/worksheet" Target="worksheets/sheet58.xml"/><Relationship Id="rId57" Type="http://schemas.openxmlformats.org/officeDocument/2006/relationships/worksheet" Target="worksheets/sheet57.xml"/><Relationship Id="rId56" Type="http://schemas.openxmlformats.org/officeDocument/2006/relationships/worksheet" Target="worksheets/sheet56.xml"/><Relationship Id="rId55" Type="http://schemas.openxmlformats.org/officeDocument/2006/relationships/worksheet" Target="worksheets/sheet55.xml"/><Relationship Id="rId54" Type="http://schemas.openxmlformats.org/officeDocument/2006/relationships/worksheet" Target="worksheets/sheet54.xml"/><Relationship Id="rId53" Type="http://schemas.openxmlformats.org/officeDocument/2006/relationships/worksheet" Target="worksheets/sheet53.xml"/><Relationship Id="rId52" Type="http://schemas.openxmlformats.org/officeDocument/2006/relationships/worksheet" Target="worksheets/sheet52.xml"/><Relationship Id="rId51" Type="http://schemas.openxmlformats.org/officeDocument/2006/relationships/worksheet" Target="worksheets/sheet51.xml"/><Relationship Id="rId50" Type="http://schemas.openxmlformats.org/officeDocument/2006/relationships/worksheet" Target="worksheets/sheet50.xml"/><Relationship Id="rId5" Type="http://schemas.openxmlformats.org/officeDocument/2006/relationships/worksheet" Target="worksheets/sheet5.xml"/><Relationship Id="rId49" Type="http://schemas.openxmlformats.org/officeDocument/2006/relationships/worksheet" Target="worksheets/sheet49.xml"/><Relationship Id="rId48" Type="http://schemas.openxmlformats.org/officeDocument/2006/relationships/worksheet" Target="worksheets/sheet48.xml"/><Relationship Id="rId47" Type="http://schemas.openxmlformats.org/officeDocument/2006/relationships/worksheet" Target="worksheets/sheet47.xml"/><Relationship Id="rId46" Type="http://schemas.openxmlformats.org/officeDocument/2006/relationships/worksheet" Target="worksheets/sheet46.xml"/><Relationship Id="rId45" Type="http://schemas.openxmlformats.org/officeDocument/2006/relationships/worksheet" Target="worksheets/sheet45.xml"/><Relationship Id="rId44" Type="http://schemas.openxmlformats.org/officeDocument/2006/relationships/worksheet" Target="worksheets/sheet44.xml"/><Relationship Id="rId43" Type="http://schemas.openxmlformats.org/officeDocument/2006/relationships/worksheet" Target="worksheets/sheet43.xml"/><Relationship Id="rId42" Type="http://schemas.openxmlformats.org/officeDocument/2006/relationships/worksheet" Target="worksheets/sheet42.xml"/><Relationship Id="rId41" Type="http://schemas.openxmlformats.org/officeDocument/2006/relationships/worksheet" Target="worksheets/sheet41.xml"/><Relationship Id="rId40" Type="http://schemas.openxmlformats.org/officeDocument/2006/relationships/worksheet" Target="worksheets/sheet40.xml"/><Relationship Id="rId4" Type="http://schemas.openxmlformats.org/officeDocument/2006/relationships/worksheet" Target="worksheets/sheet4.xml"/><Relationship Id="rId39" Type="http://schemas.openxmlformats.org/officeDocument/2006/relationships/worksheet" Target="worksheets/sheet39.xml"/><Relationship Id="rId38" Type="http://schemas.openxmlformats.org/officeDocument/2006/relationships/worksheet" Target="worksheets/sheet38.xml"/><Relationship Id="rId37" Type="http://schemas.openxmlformats.org/officeDocument/2006/relationships/worksheet" Target="worksheets/sheet37.xml"/><Relationship Id="rId36" Type="http://schemas.openxmlformats.org/officeDocument/2006/relationships/worksheet" Target="worksheets/sheet36.xml"/><Relationship Id="rId35" Type="http://schemas.openxmlformats.org/officeDocument/2006/relationships/worksheet" Target="worksheets/sheet35.xml"/><Relationship Id="rId34" Type="http://schemas.openxmlformats.org/officeDocument/2006/relationships/worksheet" Target="worksheets/sheet34.xml"/><Relationship Id="rId33" Type="http://schemas.openxmlformats.org/officeDocument/2006/relationships/worksheet" Target="worksheets/sheet33.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8" Type="http://schemas.openxmlformats.org/officeDocument/2006/relationships/sharedStrings" Target="sharedStrings.xml"/><Relationship Id="rId207" Type="http://schemas.openxmlformats.org/officeDocument/2006/relationships/styles" Target="styles.xml"/><Relationship Id="rId206" Type="http://schemas.openxmlformats.org/officeDocument/2006/relationships/theme" Target="theme/theme1.xml"/><Relationship Id="rId205" Type="http://schemas.openxmlformats.org/officeDocument/2006/relationships/worksheet" Target="worksheets/sheet205.xml"/><Relationship Id="rId204" Type="http://schemas.openxmlformats.org/officeDocument/2006/relationships/worksheet" Target="worksheets/sheet204.xml"/><Relationship Id="rId203" Type="http://schemas.openxmlformats.org/officeDocument/2006/relationships/worksheet" Target="worksheets/sheet203.xml"/><Relationship Id="rId202" Type="http://schemas.openxmlformats.org/officeDocument/2006/relationships/worksheet" Target="worksheets/sheet202.xml"/><Relationship Id="rId201" Type="http://schemas.openxmlformats.org/officeDocument/2006/relationships/worksheet" Target="worksheets/sheet201.xml"/><Relationship Id="rId200" Type="http://schemas.openxmlformats.org/officeDocument/2006/relationships/worksheet" Target="worksheets/sheet200.xml"/><Relationship Id="rId20" Type="http://schemas.openxmlformats.org/officeDocument/2006/relationships/worksheet" Target="worksheets/sheet20.xml"/><Relationship Id="rId2" Type="http://schemas.openxmlformats.org/officeDocument/2006/relationships/worksheet" Target="worksheets/sheet2.xml"/><Relationship Id="rId199" Type="http://schemas.openxmlformats.org/officeDocument/2006/relationships/worksheet" Target="worksheets/sheet199.xml"/><Relationship Id="rId198" Type="http://schemas.openxmlformats.org/officeDocument/2006/relationships/worksheet" Target="worksheets/sheet198.xml"/><Relationship Id="rId197" Type="http://schemas.openxmlformats.org/officeDocument/2006/relationships/worksheet" Target="worksheets/sheet197.xml"/><Relationship Id="rId196" Type="http://schemas.openxmlformats.org/officeDocument/2006/relationships/worksheet" Target="worksheets/sheet196.xml"/><Relationship Id="rId195" Type="http://schemas.openxmlformats.org/officeDocument/2006/relationships/worksheet" Target="worksheets/sheet195.xml"/><Relationship Id="rId194" Type="http://schemas.openxmlformats.org/officeDocument/2006/relationships/worksheet" Target="worksheets/sheet194.xml"/><Relationship Id="rId193" Type="http://schemas.openxmlformats.org/officeDocument/2006/relationships/worksheet" Target="worksheets/sheet193.xml"/><Relationship Id="rId192" Type="http://schemas.openxmlformats.org/officeDocument/2006/relationships/worksheet" Target="worksheets/sheet192.xml"/><Relationship Id="rId191" Type="http://schemas.openxmlformats.org/officeDocument/2006/relationships/worksheet" Target="worksheets/sheet191.xml"/><Relationship Id="rId190" Type="http://schemas.openxmlformats.org/officeDocument/2006/relationships/worksheet" Target="worksheets/sheet190.xml"/><Relationship Id="rId19" Type="http://schemas.openxmlformats.org/officeDocument/2006/relationships/worksheet" Target="worksheets/sheet19.xml"/><Relationship Id="rId189" Type="http://schemas.openxmlformats.org/officeDocument/2006/relationships/worksheet" Target="worksheets/sheet189.xml"/><Relationship Id="rId188" Type="http://schemas.openxmlformats.org/officeDocument/2006/relationships/worksheet" Target="worksheets/sheet188.xml"/><Relationship Id="rId187" Type="http://schemas.openxmlformats.org/officeDocument/2006/relationships/worksheet" Target="worksheets/sheet187.xml"/><Relationship Id="rId186" Type="http://schemas.openxmlformats.org/officeDocument/2006/relationships/worksheet" Target="worksheets/sheet186.xml"/><Relationship Id="rId185" Type="http://schemas.openxmlformats.org/officeDocument/2006/relationships/worksheet" Target="worksheets/sheet185.xml"/><Relationship Id="rId184" Type="http://schemas.openxmlformats.org/officeDocument/2006/relationships/worksheet" Target="worksheets/sheet184.xml"/><Relationship Id="rId183" Type="http://schemas.openxmlformats.org/officeDocument/2006/relationships/worksheet" Target="worksheets/sheet183.xml"/><Relationship Id="rId182" Type="http://schemas.openxmlformats.org/officeDocument/2006/relationships/worksheet" Target="worksheets/sheet182.xml"/><Relationship Id="rId181" Type="http://schemas.openxmlformats.org/officeDocument/2006/relationships/worksheet" Target="worksheets/sheet181.xml"/><Relationship Id="rId180" Type="http://schemas.openxmlformats.org/officeDocument/2006/relationships/worksheet" Target="worksheets/sheet180.xml"/><Relationship Id="rId18" Type="http://schemas.openxmlformats.org/officeDocument/2006/relationships/worksheet" Target="worksheets/sheet18.xml"/><Relationship Id="rId179" Type="http://schemas.openxmlformats.org/officeDocument/2006/relationships/worksheet" Target="worksheets/sheet179.xml"/><Relationship Id="rId178" Type="http://schemas.openxmlformats.org/officeDocument/2006/relationships/worksheet" Target="worksheets/sheet178.xml"/><Relationship Id="rId177" Type="http://schemas.openxmlformats.org/officeDocument/2006/relationships/worksheet" Target="worksheets/sheet177.xml"/><Relationship Id="rId176" Type="http://schemas.openxmlformats.org/officeDocument/2006/relationships/worksheet" Target="worksheets/sheet176.xml"/><Relationship Id="rId175" Type="http://schemas.openxmlformats.org/officeDocument/2006/relationships/worksheet" Target="worksheets/sheet175.xml"/><Relationship Id="rId174" Type="http://schemas.openxmlformats.org/officeDocument/2006/relationships/worksheet" Target="worksheets/sheet174.xml"/><Relationship Id="rId173" Type="http://schemas.openxmlformats.org/officeDocument/2006/relationships/worksheet" Target="worksheets/sheet173.xml"/><Relationship Id="rId172" Type="http://schemas.openxmlformats.org/officeDocument/2006/relationships/worksheet" Target="worksheets/sheet172.xml"/><Relationship Id="rId171" Type="http://schemas.openxmlformats.org/officeDocument/2006/relationships/worksheet" Target="worksheets/sheet171.xml"/><Relationship Id="rId170" Type="http://schemas.openxmlformats.org/officeDocument/2006/relationships/worksheet" Target="worksheets/sheet170.xml"/><Relationship Id="rId17" Type="http://schemas.openxmlformats.org/officeDocument/2006/relationships/worksheet" Target="worksheets/sheet17.xml"/><Relationship Id="rId169" Type="http://schemas.openxmlformats.org/officeDocument/2006/relationships/worksheet" Target="worksheets/sheet169.xml"/><Relationship Id="rId168" Type="http://schemas.openxmlformats.org/officeDocument/2006/relationships/worksheet" Target="worksheets/sheet168.xml"/><Relationship Id="rId167" Type="http://schemas.openxmlformats.org/officeDocument/2006/relationships/worksheet" Target="worksheets/sheet167.xml"/><Relationship Id="rId166" Type="http://schemas.openxmlformats.org/officeDocument/2006/relationships/worksheet" Target="worksheets/sheet166.xml"/><Relationship Id="rId165" Type="http://schemas.openxmlformats.org/officeDocument/2006/relationships/worksheet" Target="worksheets/sheet165.xml"/><Relationship Id="rId164" Type="http://schemas.openxmlformats.org/officeDocument/2006/relationships/worksheet" Target="worksheets/sheet164.xml"/><Relationship Id="rId163" Type="http://schemas.openxmlformats.org/officeDocument/2006/relationships/worksheet" Target="worksheets/sheet163.xml"/><Relationship Id="rId162" Type="http://schemas.openxmlformats.org/officeDocument/2006/relationships/worksheet" Target="worksheets/sheet162.xml"/><Relationship Id="rId161" Type="http://schemas.openxmlformats.org/officeDocument/2006/relationships/worksheet" Target="worksheets/sheet161.xml"/><Relationship Id="rId160" Type="http://schemas.openxmlformats.org/officeDocument/2006/relationships/worksheet" Target="worksheets/sheet160.xml"/><Relationship Id="rId16" Type="http://schemas.openxmlformats.org/officeDocument/2006/relationships/worksheet" Target="worksheets/sheet16.xml"/><Relationship Id="rId159" Type="http://schemas.openxmlformats.org/officeDocument/2006/relationships/worksheet" Target="worksheets/sheet159.xml"/><Relationship Id="rId158" Type="http://schemas.openxmlformats.org/officeDocument/2006/relationships/worksheet" Target="worksheets/sheet158.xml"/><Relationship Id="rId157" Type="http://schemas.openxmlformats.org/officeDocument/2006/relationships/worksheet" Target="worksheets/sheet157.xml"/><Relationship Id="rId156" Type="http://schemas.openxmlformats.org/officeDocument/2006/relationships/worksheet" Target="worksheets/sheet156.xml"/><Relationship Id="rId155" Type="http://schemas.openxmlformats.org/officeDocument/2006/relationships/worksheet" Target="worksheets/sheet155.xml"/><Relationship Id="rId154" Type="http://schemas.openxmlformats.org/officeDocument/2006/relationships/worksheet" Target="worksheets/sheet154.xml"/><Relationship Id="rId153" Type="http://schemas.openxmlformats.org/officeDocument/2006/relationships/worksheet" Target="worksheets/sheet153.xml"/><Relationship Id="rId152" Type="http://schemas.openxmlformats.org/officeDocument/2006/relationships/worksheet" Target="worksheets/sheet152.xml"/><Relationship Id="rId151" Type="http://schemas.openxmlformats.org/officeDocument/2006/relationships/worksheet" Target="worksheets/sheet151.xml"/><Relationship Id="rId150" Type="http://schemas.openxmlformats.org/officeDocument/2006/relationships/worksheet" Target="worksheets/sheet150.xml"/><Relationship Id="rId15" Type="http://schemas.openxmlformats.org/officeDocument/2006/relationships/worksheet" Target="worksheets/sheet15.xml"/><Relationship Id="rId149" Type="http://schemas.openxmlformats.org/officeDocument/2006/relationships/worksheet" Target="worksheets/sheet149.xml"/><Relationship Id="rId148" Type="http://schemas.openxmlformats.org/officeDocument/2006/relationships/worksheet" Target="worksheets/sheet148.xml"/><Relationship Id="rId147" Type="http://schemas.openxmlformats.org/officeDocument/2006/relationships/worksheet" Target="worksheets/sheet147.xml"/><Relationship Id="rId146" Type="http://schemas.openxmlformats.org/officeDocument/2006/relationships/worksheet" Target="worksheets/sheet146.xml"/><Relationship Id="rId145" Type="http://schemas.openxmlformats.org/officeDocument/2006/relationships/worksheet" Target="worksheets/sheet145.xml"/><Relationship Id="rId144" Type="http://schemas.openxmlformats.org/officeDocument/2006/relationships/worksheet" Target="worksheets/sheet144.xml"/><Relationship Id="rId143" Type="http://schemas.openxmlformats.org/officeDocument/2006/relationships/worksheet" Target="worksheets/sheet143.xml"/><Relationship Id="rId142" Type="http://schemas.openxmlformats.org/officeDocument/2006/relationships/worksheet" Target="worksheets/sheet142.xml"/><Relationship Id="rId141" Type="http://schemas.openxmlformats.org/officeDocument/2006/relationships/worksheet" Target="worksheets/sheet141.xml"/><Relationship Id="rId140" Type="http://schemas.openxmlformats.org/officeDocument/2006/relationships/worksheet" Target="worksheets/sheet140.xml"/><Relationship Id="rId14" Type="http://schemas.openxmlformats.org/officeDocument/2006/relationships/worksheet" Target="worksheets/sheet14.xml"/><Relationship Id="rId139" Type="http://schemas.openxmlformats.org/officeDocument/2006/relationships/worksheet" Target="worksheets/sheet139.xml"/><Relationship Id="rId138" Type="http://schemas.openxmlformats.org/officeDocument/2006/relationships/worksheet" Target="worksheets/sheet138.xml"/><Relationship Id="rId137" Type="http://schemas.openxmlformats.org/officeDocument/2006/relationships/worksheet" Target="worksheets/sheet137.xml"/><Relationship Id="rId136" Type="http://schemas.openxmlformats.org/officeDocument/2006/relationships/worksheet" Target="worksheets/sheet136.xml"/><Relationship Id="rId135" Type="http://schemas.openxmlformats.org/officeDocument/2006/relationships/worksheet" Target="worksheets/sheet135.xml"/><Relationship Id="rId134" Type="http://schemas.openxmlformats.org/officeDocument/2006/relationships/worksheet" Target="worksheets/sheet134.xml"/><Relationship Id="rId133" Type="http://schemas.openxmlformats.org/officeDocument/2006/relationships/worksheet" Target="worksheets/sheet133.xml"/><Relationship Id="rId132" Type="http://schemas.openxmlformats.org/officeDocument/2006/relationships/worksheet" Target="worksheets/sheet132.xml"/><Relationship Id="rId131" Type="http://schemas.openxmlformats.org/officeDocument/2006/relationships/worksheet" Target="worksheets/sheet131.xml"/><Relationship Id="rId130" Type="http://schemas.openxmlformats.org/officeDocument/2006/relationships/worksheet" Target="worksheets/sheet130.xml"/><Relationship Id="rId13" Type="http://schemas.openxmlformats.org/officeDocument/2006/relationships/worksheet" Target="worksheets/sheet13.xml"/><Relationship Id="rId129" Type="http://schemas.openxmlformats.org/officeDocument/2006/relationships/worksheet" Target="worksheets/sheet129.xml"/><Relationship Id="rId128" Type="http://schemas.openxmlformats.org/officeDocument/2006/relationships/worksheet" Target="worksheets/sheet128.xml"/><Relationship Id="rId127" Type="http://schemas.openxmlformats.org/officeDocument/2006/relationships/worksheet" Target="worksheets/sheet127.xml"/><Relationship Id="rId126" Type="http://schemas.openxmlformats.org/officeDocument/2006/relationships/worksheet" Target="worksheets/sheet126.xml"/><Relationship Id="rId125" Type="http://schemas.openxmlformats.org/officeDocument/2006/relationships/worksheet" Target="worksheets/sheet125.xml"/><Relationship Id="rId124" Type="http://schemas.openxmlformats.org/officeDocument/2006/relationships/worksheet" Target="worksheets/sheet124.xml"/><Relationship Id="rId123" Type="http://schemas.openxmlformats.org/officeDocument/2006/relationships/worksheet" Target="worksheets/sheet123.xml"/><Relationship Id="rId122" Type="http://schemas.openxmlformats.org/officeDocument/2006/relationships/worksheet" Target="worksheets/sheet122.xml"/><Relationship Id="rId121" Type="http://schemas.openxmlformats.org/officeDocument/2006/relationships/worksheet" Target="worksheets/sheet121.xml"/><Relationship Id="rId120" Type="http://schemas.openxmlformats.org/officeDocument/2006/relationships/worksheet" Target="worksheets/sheet120.xml"/><Relationship Id="rId12" Type="http://schemas.openxmlformats.org/officeDocument/2006/relationships/worksheet" Target="worksheets/sheet12.xml"/><Relationship Id="rId119" Type="http://schemas.openxmlformats.org/officeDocument/2006/relationships/worksheet" Target="worksheets/sheet119.xml"/><Relationship Id="rId118" Type="http://schemas.openxmlformats.org/officeDocument/2006/relationships/worksheet" Target="worksheets/sheet118.xml"/><Relationship Id="rId117" Type="http://schemas.openxmlformats.org/officeDocument/2006/relationships/worksheet" Target="worksheets/sheet117.xml"/><Relationship Id="rId116" Type="http://schemas.openxmlformats.org/officeDocument/2006/relationships/worksheet" Target="worksheets/sheet116.xml"/><Relationship Id="rId115" Type="http://schemas.openxmlformats.org/officeDocument/2006/relationships/worksheet" Target="worksheets/sheet115.xml"/><Relationship Id="rId114" Type="http://schemas.openxmlformats.org/officeDocument/2006/relationships/worksheet" Target="worksheets/sheet114.xml"/><Relationship Id="rId113" Type="http://schemas.openxmlformats.org/officeDocument/2006/relationships/worksheet" Target="worksheets/sheet113.xml"/><Relationship Id="rId112" Type="http://schemas.openxmlformats.org/officeDocument/2006/relationships/worksheet" Target="worksheets/sheet112.xml"/><Relationship Id="rId111" Type="http://schemas.openxmlformats.org/officeDocument/2006/relationships/worksheet" Target="worksheets/sheet111.xml"/><Relationship Id="rId110" Type="http://schemas.openxmlformats.org/officeDocument/2006/relationships/worksheet" Target="worksheets/sheet110.xml"/><Relationship Id="rId11" Type="http://schemas.openxmlformats.org/officeDocument/2006/relationships/worksheet" Target="worksheets/sheet11.xml"/><Relationship Id="rId109" Type="http://schemas.openxmlformats.org/officeDocument/2006/relationships/worksheet" Target="worksheets/sheet109.xml"/><Relationship Id="rId108" Type="http://schemas.openxmlformats.org/officeDocument/2006/relationships/worksheet" Target="worksheets/sheet108.xml"/><Relationship Id="rId107" Type="http://schemas.openxmlformats.org/officeDocument/2006/relationships/worksheet" Target="worksheets/sheet107.xml"/><Relationship Id="rId106" Type="http://schemas.openxmlformats.org/officeDocument/2006/relationships/worksheet" Target="worksheets/sheet106.xml"/><Relationship Id="rId105" Type="http://schemas.openxmlformats.org/officeDocument/2006/relationships/worksheet" Target="worksheets/sheet105.xml"/><Relationship Id="rId104" Type="http://schemas.openxmlformats.org/officeDocument/2006/relationships/worksheet" Target="worksheets/sheet104.xml"/><Relationship Id="rId103" Type="http://schemas.openxmlformats.org/officeDocument/2006/relationships/worksheet" Target="worksheets/sheet103.xml"/><Relationship Id="rId102" Type="http://schemas.openxmlformats.org/officeDocument/2006/relationships/worksheet" Target="worksheets/sheet102.xml"/><Relationship Id="rId101" Type="http://schemas.openxmlformats.org/officeDocument/2006/relationships/worksheet" Target="worksheets/sheet101.xml"/><Relationship Id="rId100" Type="http://schemas.openxmlformats.org/officeDocument/2006/relationships/worksheet" Target="worksheets/sheet100.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E201"/>
  <sheetViews>
    <sheetView zoomScaleSheetLayoutView="60" topLeftCell="A165" workbookViewId="0">
      <selection activeCell="B180" sqref="B180"/>
    </sheetView>
  </sheetViews>
  <sheetFormatPr defaultColWidth="9.14285714285714" defaultRowHeight="15.2" outlineLevelCol="4"/>
  <cols>
    <col min="2" max="2" width="38" customWidth="1"/>
    <col min="3" max="3" width="35.2857142857143" customWidth="1"/>
    <col min="4" max="4" width="19.8571428571429" customWidth="1"/>
  </cols>
  <sheetData>
    <row r="2" ht="16" spans="2:4">
      <c r="B2" s="138" t="s">
        <v>0</v>
      </c>
      <c r="C2" s="139" t="s">
        <v>1</v>
      </c>
      <c r="D2" s="139" t="s">
        <v>2</v>
      </c>
    </row>
    <row r="3" ht="17" spans="2:4">
      <c r="B3" s="80" t="str">
        <f>HYPERLINK("#AUDIT_INFO!A1","AUDIT_INFO")</f>
        <v>AUDIT_INFO</v>
      </c>
      <c r="C3" s="140" t="s">
        <v>3</v>
      </c>
      <c r="D3" s="141" t="s">
        <v>4</v>
      </c>
    </row>
    <row r="4" ht="17" spans="2:4">
      <c r="B4" s="142" t="str">
        <f>HYPERLINK("#APPRAISAL_AGENCY!A1","APPRAISAL_AGENCY")</f>
        <v>APPRAISAL_AGENCY</v>
      </c>
      <c r="C4" s="143" t="s">
        <v>4</v>
      </c>
      <c r="D4" s="141"/>
    </row>
    <row r="5" ht="17" spans="2:4">
      <c r="B5" s="144" t="str">
        <f>HYPERLINK("#APPRAISAL_AGENCY_APPLY!A1","APPRAISAL_AGENCY_APPLY")</f>
        <v>APPRAISAL_AGENCY_APPLY</v>
      </c>
      <c r="C5" s="140" t="s">
        <v>5</v>
      </c>
      <c r="D5" s="141"/>
    </row>
    <row r="6" ht="17" spans="2:4">
      <c r="B6" s="80" t="str">
        <f>HYPERLINK("#APPRAISAL_AGENCY_APPRAISE!A1","APPRAISAL_AGENCY_APPRAISE")</f>
        <v>APPRAISAL_AGENCY_APPRAISE</v>
      </c>
      <c r="C6" s="145" t="s">
        <v>6</v>
      </c>
      <c r="D6" s="141"/>
    </row>
    <row r="7" ht="17" spans="2:4">
      <c r="B7" s="80" t="str">
        <f>HYPERLINK("#APPRAISAL_AGENCY_COOPERATION!A1","APPRAISAL_AGENCY_COOPERATION")</f>
        <v>APPRAISAL_AGENCY_COOPERATION</v>
      </c>
      <c r="C7" s="145" t="s">
        <v>7</v>
      </c>
      <c r="D7" s="141"/>
    </row>
    <row r="8" ht="17" spans="2:4">
      <c r="B8" s="80" t="str">
        <f>HYPERLINK("#APPRAISAL_AGENCY_EVENT!A1","APPRAISAL_AGENCY_EVENT")</f>
        <v>APPRAISAL_AGENCY_EVENT</v>
      </c>
      <c r="C8" s="145" t="s">
        <v>8</v>
      </c>
      <c r="D8" s="141"/>
    </row>
    <row r="9" ht="17" spans="2:4">
      <c r="B9" s="80" t="str">
        <f>HYPERLINK("#APPRAISAL_AGENCY_EXPENSES!A1","APPRAISAL_AGENCY_EXPENSES")</f>
        <v>APPRAISAL_AGENCY_EXPENSES</v>
      </c>
      <c r="C9" s="145" t="s">
        <v>9</v>
      </c>
      <c r="D9" s="141"/>
    </row>
    <row r="10" ht="17" spans="2:4">
      <c r="B10" s="80" t="str">
        <f>HYPERLINK("#APPRAISAL_AGENCY_FILE!A1","APPRAISAL_AGENCY_FILE")</f>
        <v>APPRAISAL_AGENCY_FILE</v>
      </c>
      <c r="C10" s="145" t="s">
        <v>10</v>
      </c>
      <c r="D10" s="141"/>
    </row>
    <row r="11" ht="17" spans="2:4">
      <c r="B11" s="80" t="str">
        <f>HYPERLINK("#APPRAISAL_AGENCY_INFORMATION!A1","APPRAISAL_AGENCY_INFORMATION")</f>
        <v>APPRAISAL_AGENCY_INFORMATION</v>
      </c>
      <c r="C11" s="145" t="s">
        <v>11</v>
      </c>
      <c r="D11" s="141"/>
    </row>
    <row r="12" ht="17" spans="2:4">
      <c r="B12" s="80" t="str">
        <f>HYPERLINK("#APPRAISAL_AGENCY_QUALIFICATION!A1","APPRAISAL_AGENCY_QUALIFICATION")</f>
        <v>APPRAISAL_AGENCY_QUALIFICATION</v>
      </c>
      <c r="C12" s="145" t="s">
        <v>12</v>
      </c>
      <c r="D12" s="141"/>
    </row>
    <row r="13" ht="17" spans="2:4">
      <c r="B13" s="80" t="str">
        <f>HYPERLINK("#APPRAISAL_APPLY_RELATIVE!A1","APPRAISAL_APPLY_RELATIVE")</f>
        <v>APPRAISAL_APPLY_RELATIVE</v>
      </c>
      <c r="C13" s="145" t="s">
        <v>13</v>
      </c>
      <c r="D13" s="141"/>
    </row>
    <row r="14" ht="17" hidden="1" spans="2:4">
      <c r="B14" s="80" t="str">
        <f>HYPERLINK("#AWE_BIZFILE_INFO!A1","AWE_BIZFILE_INFO")</f>
        <v>AWE_BIZFILE_INFO</v>
      </c>
      <c r="C14" s="145" t="s">
        <v>14</v>
      </c>
      <c r="D14" s="146" t="s">
        <v>15</v>
      </c>
    </row>
    <row r="15" ht="17" hidden="1" spans="2:4">
      <c r="B15" s="80" t="str">
        <f>HYPERLINK("#AWE_DICT_ERRMSG!A1","AWE_DICT_ERRMSG")</f>
        <v>AWE_DICT_ERRMSG</v>
      </c>
      <c r="C15" s="145" t="s">
        <v>16</v>
      </c>
      <c r="D15" s="147"/>
    </row>
    <row r="16" ht="17" hidden="1" spans="2:4">
      <c r="B16" s="80" t="str">
        <f>HYPERLINK("#AWE_DO_CATALOG!A1","AWE_DO_CATALOG")</f>
        <v>AWE_DO_CATALOG</v>
      </c>
      <c r="C16" s="145" t="s">
        <v>17</v>
      </c>
      <c r="D16" s="147"/>
    </row>
    <row r="17" ht="17" hidden="1" spans="2:4">
      <c r="B17" s="80" t="str">
        <f>HYPERLINK("#AWE_DO_COL_VALIDATE!A1","AWE_DO_COL_VALIDATE")</f>
        <v>AWE_DO_COL_VALIDATE</v>
      </c>
      <c r="C17" s="145" t="s">
        <v>18</v>
      </c>
      <c r="D17" s="147"/>
    </row>
    <row r="18" ht="17" hidden="1" spans="2:4">
      <c r="B18" s="80" t="str">
        <f>HYPERLINK("#AWE_DO_EVENT!A1","AWE_DO_EVENT")</f>
        <v>AWE_DO_EVENT</v>
      </c>
      <c r="C18" s="145" t="s">
        <v>19</v>
      </c>
      <c r="D18" s="147"/>
    </row>
    <row r="19" ht="17" hidden="1" spans="2:4">
      <c r="B19" s="80" t="str">
        <f>HYPERLINK("#AWE_DO_FUNCTION!A1","AWE_DO_FUNCTION")</f>
        <v>AWE_DO_FUNCTION</v>
      </c>
      <c r="C19" s="145" t="s">
        <v>20</v>
      </c>
      <c r="D19" s="147"/>
    </row>
    <row r="20" ht="17" hidden="1" spans="2:4">
      <c r="B20" s="80" t="str">
        <f>HYPERLINK("#AWE_DO_GROUP!A1","AWE_DO_GROUP")</f>
        <v>AWE_DO_GROUP</v>
      </c>
      <c r="C20" s="145" t="s">
        <v>21</v>
      </c>
      <c r="D20" s="147"/>
    </row>
    <row r="21" ht="17" hidden="1" spans="2:4">
      <c r="B21" s="80" t="str">
        <f>HYPERLINK("#AWE_DO_JS_FUNCTION!A1","AWE_DO_JS_FUNCTION")</f>
        <v>AWE_DO_JS_FUNCTION</v>
      </c>
      <c r="C21" s="145" t="s">
        <v>22</v>
      </c>
      <c r="D21" s="147"/>
    </row>
    <row r="22" ht="17" hidden="1" spans="2:4">
      <c r="B22" s="80" t="str">
        <f>HYPERLINK("#AWE_DO_KEYFILTER!A1","AWE_DO_KEYFILTER")</f>
        <v>AWE_DO_KEYFILTER</v>
      </c>
      <c r="C22" s="145" t="s">
        <v>23</v>
      </c>
      <c r="D22" s="147"/>
    </row>
    <row r="23" ht="17" hidden="1" spans="2:4">
      <c r="B23" s="80" t="str">
        <f>HYPERLINK("#AWE_DO_LIBRARY!A1","AWE_DO_LIBRARY")</f>
        <v>AWE_DO_LIBRARY</v>
      </c>
      <c r="C23" s="145" t="s">
        <v>24</v>
      </c>
      <c r="D23" s="147"/>
    </row>
    <row r="24" ht="17" hidden="1" spans="2:4">
      <c r="B24" s="80" t="str">
        <f>HYPERLINK("#AWE_DO_MODES!A1","AWE_DO_MODES")</f>
        <v>AWE_DO_MODES</v>
      </c>
      <c r="C24" s="145" t="s">
        <v>25</v>
      </c>
      <c r="D24" s="147"/>
    </row>
    <row r="25" ht="17" hidden="1" spans="2:4">
      <c r="B25" s="80" t="str">
        <f>HYPERLINK("#AWE_DO_VALIDATE!A1","AWE_DO_VALIDATE")</f>
        <v>AWE_DO_VALIDATE</v>
      </c>
      <c r="C25" s="145" t="s">
        <v>26</v>
      </c>
      <c r="D25" s="147"/>
    </row>
    <row r="26" ht="17" hidden="1" spans="2:4">
      <c r="B26" s="80" t="str">
        <f>HYPERLINK("#AWE_DO_VALIDATE_CATALOG!A1","AWE_DO_VALIDATE_CATALOG")</f>
        <v>AWE_DO_VALIDATE_CATALOG</v>
      </c>
      <c r="C26" s="145" t="s">
        <v>27</v>
      </c>
      <c r="D26" s="147"/>
    </row>
    <row r="27" ht="17" hidden="1" spans="2:4">
      <c r="B27" s="80" t="str">
        <f>HYPERLINK("#AWE_DW_CONTEXT!A1","AWE_DW_CONTEXT")</f>
        <v>AWE_DW_CONTEXT</v>
      </c>
      <c r="C27" s="145" t="s">
        <v>28</v>
      </c>
      <c r="D27" s="147"/>
    </row>
    <row r="28" ht="17" hidden="1" spans="2:4">
      <c r="B28" s="80" t="str">
        <f>HYPERLINK("#AWE_FUNCTION_INFO!A1","AWE_FUNCTION_INFO")</f>
        <v>AWE_FUNCTION_INFO</v>
      </c>
      <c r="C28" s="145" t="s">
        <v>29</v>
      </c>
      <c r="D28" s="147"/>
    </row>
    <row r="29" ht="17" hidden="1" spans="2:4">
      <c r="B29" s="80" t="str">
        <f>HYPERLINK("#AWE_FUNCTION_URL!A1","AWE_FUNCTION_URL")</f>
        <v>AWE_FUNCTION_URL</v>
      </c>
      <c r="C29" s="145" t="s">
        <v>30</v>
      </c>
      <c r="D29" s="147"/>
    </row>
    <row r="30" ht="17" hidden="1" spans="2:4">
      <c r="B30" s="80" t="str">
        <f>HYPERLINK("#AWE_GROUP_CATALOG!A1","AWE_GROUP_CATALOG")</f>
        <v>AWE_GROUP_CATALOG</v>
      </c>
      <c r="C30" s="145" t="s">
        <v>31</v>
      </c>
      <c r="D30" s="147"/>
    </row>
    <row r="31" ht="17" hidden="1" spans="2:4">
      <c r="B31" s="80" t="str">
        <f>HYPERLINK("#CODE_CATALOG!A1","CODE_CATALOG")</f>
        <v>CODE_CATALOG</v>
      </c>
      <c r="C31" s="145" t="s">
        <v>32</v>
      </c>
      <c r="D31" s="147"/>
    </row>
    <row r="32" ht="17" hidden="1" spans="2:4">
      <c r="B32" s="80" t="str">
        <f>HYPERLINK("#CODE_LIBRARY!A1","CODE_LIBRARY")</f>
        <v>CODE_LIBRARY</v>
      </c>
      <c r="C32" s="145" t="s">
        <v>33</v>
      </c>
      <c r="D32" s="147"/>
    </row>
    <row r="33" ht="17" hidden="1" spans="2:4">
      <c r="B33" s="148" t="str">
        <f>HYPERLINK("#OBJECTTYPE_CATALOG!A1","OBJECTTYPE_CATALOG")</f>
        <v>OBJECTTYPE_CATALOG</v>
      </c>
      <c r="C33" s="145" t="s">
        <v>34</v>
      </c>
      <c r="D33" s="147"/>
    </row>
    <row r="34" ht="17" hidden="1" spans="2:4">
      <c r="B34" s="80" t="str">
        <f>HYPERLINK("#OBJECTTYPE_RELA!A1","OBJECTTYPE_RELA")</f>
        <v>OBJECTTYPE_RELA</v>
      </c>
      <c r="C34" s="145" t="s">
        <v>35</v>
      </c>
      <c r="D34" s="147"/>
    </row>
    <row r="35" ht="17" hidden="1" spans="2:4">
      <c r="B35" s="80" t="str">
        <f>HYPERLINK("#OBJECT_ATTRIBUTE!A1","OBJECT_ATTRIBUTE")</f>
        <v>OBJECT_ATTRIBUTE</v>
      </c>
      <c r="C35" s="145" t="s">
        <v>36</v>
      </c>
      <c r="D35" s="147"/>
    </row>
    <row r="36" ht="17" hidden="1" spans="2:4">
      <c r="B36" s="80" t="str">
        <f>HYPERLINK("#OBJECT_MAXSN!A1","OBJECT_MAXSN")</f>
        <v>OBJECT_MAXSN</v>
      </c>
      <c r="C36" s="145" t="s">
        <v>37</v>
      </c>
      <c r="D36" s="147"/>
    </row>
    <row r="37" ht="17" hidden="1" spans="2:4">
      <c r="B37" s="80" t="str">
        <f>HYPERLINK("#ROLE_RIGHT!A1","ROLE_RIGHT")</f>
        <v>ROLE_RIGHT</v>
      </c>
      <c r="C37" s="145" t="s">
        <v>38</v>
      </c>
      <c r="D37" s="147"/>
    </row>
    <row r="38" ht="17" hidden="1" spans="2:4">
      <c r="B38" s="80" t="str">
        <f>HYPERLINK("#SECURITY_AUDIT!A1","SECURITY_AUDIT")</f>
        <v>SECURITY_AUDIT</v>
      </c>
      <c r="C38" s="145" t="s">
        <v>39</v>
      </c>
      <c r="D38" s="147"/>
    </row>
    <row r="39" ht="17" hidden="1" spans="2:4">
      <c r="B39" s="80" t="str">
        <f>HYPERLINK("#SELECT_CATALOG!A1","SELECT_CATALOG")</f>
        <v>SELECT_CATALOG</v>
      </c>
      <c r="C39" s="145" t="s">
        <v>40</v>
      </c>
      <c r="D39" s="147"/>
    </row>
    <row r="40" ht="17" hidden="1" spans="2:4">
      <c r="B40" s="80" t="str">
        <f>HYPERLINK("#USER_FAILEDLIST!A1","USER_FAILEDLIST")</f>
        <v>USER_FAILEDLIST</v>
      </c>
      <c r="C40" s="145" t="s">
        <v>41</v>
      </c>
      <c r="D40" s="147"/>
    </row>
    <row r="41" ht="17" hidden="1" spans="2:4">
      <c r="B41" s="80" t="str">
        <f>HYPERLINK("#USER_LIST!A1","USER_LIST")</f>
        <v>USER_LIST</v>
      </c>
      <c r="C41" s="145" t="s">
        <v>42</v>
      </c>
      <c r="D41" s="147"/>
    </row>
    <row r="42" ht="17" hidden="1" spans="2:4">
      <c r="B42" s="80" t="str">
        <f>HYPERLINK("#USER_LOGON_SESSION!A1","USER_LOGON_SESSION")</f>
        <v>USER_LOGON_SESSION</v>
      </c>
      <c r="C42" s="145" t="s">
        <v>43</v>
      </c>
      <c r="D42" s="147"/>
    </row>
    <row r="43" ht="17" hidden="1" spans="2:4">
      <c r="B43" s="80" t="str">
        <f>HYPERLINK("#USER_MARKINFO!A1","USER_MARKINFO")</f>
        <v>USER_MARKINFO</v>
      </c>
      <c r="C43" s="145" t="s">
        <v>44</v>
      </c>
      <c r="D43" s="147"/>
    </row>
    <row r="44" ht="17" hidden="1" spans="2:4">
      <c r="B44" s="80" t="str">
        <f>HYPERLINK("#USER_RIGHT!A1","USER_RIGHT")</f>
        <v>USER_RIGHT</v>
      </c>
      <c r="C44" s="145" t="s">
        <v>45</v>
      </c>
      <c r="D44" s="147"/>
    </row>
    <row r="45" ht="17" hidden="1" spans="2:4">
      <c r="B45" s="80" t="str">
        <f>HYPERLINK("#USER_RUNTIME!A1","USER_RUNTIME")</f>
        <v>USER_RUNTIME</v>
      </c>
      <c r="C45" s="145" t="s">
        <v>46</v>
      </c>
      <c r="D45" s="147"/>
    </row>
    <row r="46" ht="17" hidden="1" spans="2:4">
      <c r="B46" s="80" t="str">
        <f>HYPERLINK("#AWE_GROUP_CLASSIFY!A1","AWE_GROUP_CLASSIFY")</f>
        <v>AWE_GROUP_CLASSIFY</v>
      </c>
      <c r="C46" s="145" t="s">
        <v>47</v>
      </c>
      <c r="D46" s="147"/>
    </row>
    <row r="47" ht="17" hidden="1" spans="2:4">
      <c r="B47" s="80" t="str">
        <f>HYPERLINK("#AWE_GROUP_ITEM!A1","AWE_GROUP_ITEM")</f>
        <v>AWE_GROUP_ITEM</v>
      </c>
      <c r="C47" s="145" t="s">
        <v>48</v>
      </c>
      <c r="D47" s="147"/>
    </row>
    <row r="48" ht="17" hidden="1" spans="2:4">
      <c r="B48" s="80" t="str">
        <f>HYPERLINK("#AWE_HREF_INFO!A1","AWE_HREF_INFO")</f>
        <v>AWE_HREF_INFO</v>
      </c>
      <c r="C48" s="145" t="s">
        <v>49</v>
      </c>
      <c r="D48" s="147"/>
    </row>
    <row r="49" ht="17" hidden="1" spans="2:4">
      <c r="B49" s="80" t="str">
        <f>HYPERLINK("#AWE_JSP_RUNTIME!A1","AWE_JSP_RUNTIME")</f>
        <v>AWE_JSP_RUNTIME</v>
      </c>
      <c r="C49" s="145" t="s">
        <v>50</v>
      </c>
      <c r="D49" s="147"/>
    </row>
    <row r="50" ht="17" hidden="1" spans="2:4">
      <c r="B50" s="80" t="str">
        <f>HYPERLINK("#AWE_MENU_INFO!A1","AWE_MENU_INFO")</f>
        <v>AWE_MENU_INFO</v>
      </c>
      <c r="C50" s="145" t="s">
        <v>51</v>
      </c>
      <c r="D50" s="147"/>
    </row>
    <row r="51" ht="17" hidden="1" spans="2:4">
      <c r="B51" s="80" t="str">
        <f>HYPERLINK("#AWE_MESSAGE_INFO!A1","AWE_MESSAGE_INFO")</f>
        <v>AWE_MESSAGE_INFO</v>
      </c>
      <c r="C51" s="145" t="s">
        <v>52</v>
      </c>
      <c r="D51" s="147"/>
    </row>
    <row r="52" ht="17" hidden="1" spans="2:4">
      <c r="B52" s="80" t="str">
        <f>HYPERLINK("#AWE_MESSAGE_USER!A1","AWE_MESSAGE_USER")</f>
        <v>AWE_MESSAGE_USER</v>
      </c>
      <c r="C52" s="145" t="s">
        <v>53</v>
      </c>
      <c r="D52" s="147"/>
    </row>
    <row r="53" ht="17" hidden="1" spans="2:4">
      <c r="B53" s="80" t="str">
        <f>HYPERLINK("#AWE_QUERY_INFO!A1","AWE_QUERY_INFO")</f>
        <v>AWE_QUERY_INFO</v>
      </c>
      <c r="C53" s="145" t="s">
        <v>54</v>
      </c>
      <c r="D53" s="147"/>
    </row>
    <row r="54" ht="17" hidden="1" spans="2:4">
      <c r="B54" s="80" t="str">
        <f>HYPERLINK("#AWE_QUERY_USER!A1","AWE_QUERY_USER")</f>
        <v>AWE_QUERY_USER</v>
      </c>
      <c r="C54" s="145" t="s">
        <v>55</v>
      </c>
      <c r="D54" s="147"/>
    </row>
    <row r="55" ht="17" hidden="1" spans="2:4">
      <c r="B55" s="80" t="str">
        <f>HYPERLINK("#AWE_QUICK_HREF!A1","AWE_QUICK_HREF")</f>
        <v>AWE_QUICK_HREF</v>
      </c>
      <c r="C55" s="145" t="s">
        <v>56</v>
      </c>
      <c r="D55" s="147"/>
    </row>
    <row r="56" ht="17" hidden="1" spans="2:4">
      <c r="B56" s="80" t="str">
        <f>HYPERLINK("#AWE_RECORD_INFO!A1","AWE_RECORD_INFO")</f>
        <v>AWE_RECORD_INFO</v>
      </c>
      <c r="C56" s="145" t="s">
        <v>57</v>
      </c>
      <c r="D56" s="147"/>
    </row>
    <row r="57" ht="17" hidden="1" spans="2:4">
      <c r="B57" s="80" t="str">
        <f>HYPERLINK("#AWE_RIGHT_MENU!A1","AWE_RIGHT_MENU")</f>
        <v>AWE_RIGHT_MENU</v>
      </c>
      <c r="C57" s="145" t="s">
        <v>58</v>
      </c>
      <c r="D57" s="147"/>
    </row>
    <row r="58" ht="17" hidden="1" spans="2:4">
      <c r="B58" s="80" t="str">
        <f>HYPERLINK("#AWE_ROLE_FUNCTION!A1","AWE_ROLE_FUNCTION")</f>
        <v>AWE_ROLE_FUNCTION</v>
      </c>
      <c r="C58" s="145" t="s">
        <v>59</v>
      </c>
      <c r="D58" s="147"/>
    </row>
    <row r="59" ht="17" hidden="1" spans="2:4">
      <c r="B59" s="80" t="str">
        <f>HYPERLINK("#AWE_ROLE_MENU!A1","AWE_ROLE_MENU")</f>
        <v>AWE_ROLE_MENU</v>
      </c>
      <c r="C59" s="145" t="s">
        <v>60</v>
      </c>
      <c r="D59" s="147"/>
    </row>
    <row r="60" ht="17" hidden="1" spans="2:4">
      <c r="B60" s="80" t="str">
        <f>HYPERLINK("#AWE_ROLE_RIGHT!A1","AWE_ROLE_RIGHT")</f>
        <v>AWE_ROLE_RIGHT</v>
      </c>
      <c r="C60" s="145" t="s">
        <v>61</v>
      </c>
      <c r="D60" s="147"/>
    </row>
    <row r="61" ht="17" hidden="1" spans="2:4">
      <c r="B61" s="80" t="str">
        <f>HYPERLINK("#AWE_ROLE_URL!A1","AWE_ROLE_URL")</f>
        <v>AWE_ROLE_URL</v>
      </c>
      <c r="C61" s="145" t="s">
        <v>62</v>
      </c>
      <c r="D61" s="147"/>
    </row>
    <row r="62" ht="17" hidden="1" spans="2:4">
      <c r="B62" s="80" t="str">
        <f>HYPERLINK("#AWE_SHORTCUT!A1","AWE_SHORTCUT")</f>
        <v>AWE_SHORTCUT</v>
      </c>
      <c r="C62" s="145" t="s">
        <v>63</v>
      </c>
      <c r="D62" s="147"/>
    </row>
    <row r="63" ht="17" hidden="1" spans="2:4">
      <c r="B63" s="80" t="str">
        <f>HYPERLINK("#AWE_SHORTCUTITEM!A1","AWE_SHORTCUTITEM")</f>
        <v>AWE_SHORTCUTITEM</v>
      </c>
      <c r="C63" s="145" t="s">
        <v>64</v>
      </c>
      <c r="D63" s="147"/>
    </row>
    <row r="64" ht="17" hidden="1" spans="2:4">
      <c r="B64" s="80" t="str">
        <f>HYPERLINK("#AWE_TASK_INFO!A1","AWE_TASK_INFO")</f>
        <v>AWE_TASK_INFO</v>
      </c>
      <c r="C64" s="145" t="s">
        <v>65</v>
      </c>
      <c r="D64" s="147"/>
    </row>
    <row r="65" ht="17" hidden="1" spans="2:4">
      <c r="B65" s="80" t="str">
        <f>HYPERLINK("#AWE_TASK_PROCESS!A1","AWE_TASK_PROCESS")</f>
        <v>AWE_TASK_PROCESS</v>
      </c>
      <c r="C65" s="145" t="s">
        <v>66</v>
      </c>
      <c r="D65" s="147"/>
    </row>
    <row r="66" ht="17" hidden="1" spans="2:4">
      <c r="B66" s="80" t="str">
        <f>HYPERLINK("#AWE_WIZARD_CATALOG!A1","AWE_WIZARD_CATALOG")</f>
        <v>AWE_WIZARD_CATALOG</v>
      </c>
      <c r="C66" s="145" t="s">
        <v>67</v>
      </c>
      <c r="D66" s="147"/>
    </row>
    <row r="67" ht="17" hidden="1" spans="2:4">
      <c r="B67" s="80" t="str">
        <f>HYPERLINK("#AWE_WIZARD_LIBRARY!A1","AWE_WIZARD_LIBRARY")</f>
        <v>AWE_WIZARD_LIBRARY</v>
      </c>
      <c r="C67" s="145" t="s">
        <v>68</v>
      </c>
      <c r="D67" s="147"/>
    </row>
    <row r="68" ht="17" hidden="1" spans="2:4">
      <c r="B68" s="80" t="str">
        <f>HYPERLINK("#AWE_WIZARD_RUNNER!A1","AWE_WIZARD_RUNNER")</f>
        <v>AWE_WIZARD_RUNNER</v>
      </c>
      <c r="C68" s="145" t="s">
        <v>69</v>
      </c>
      <c r="D68" s="147"/>
    </row>
    <row r="69" ht="17" hidden="1" spans="2:4">
      <c r="B69" s="80" t="str">
        <f>HYPERLINK("#CLASS_CATALOG!A1","CLASS_CATALOG")</f>
        <v>CLASS_CATALOG</v>
      </c>
      <c r="C69" s="145" t="s">
        <v>70</v>
      </c>
      <c r="D69" s="147"/>
    </row>
    <row r="70" ht="17" hidden="1" spans="2:4">
      <c r="B70" s="80" t="str">
        <f>HYPERLINK("#CLASS_METHOD!A1","CLASS_METHOD")</f>
        <v>CLASS_METHOD</v>
      </c>
      <c r="C70" s="145" t="s">
        <v>71</v>
      </c>
      <c r="D70" s="149"/>
    </row>
    <row r="71" ht="17" spans="2:4">
      <c r="B71" s="79" t="str">
        <f>HYPERLINK("#CLR_REGISTER_RECORD!A1","CLR_REGISTER_RECORD")</f>
        <v>CLR_REGISTER_RECORD</v>
      </c>
      <c r="C71" s="143" t="s">
        <v>72</v>
      </c>
      <c r="D71" s="150" t="s">
        <v>73</v>
      </c>
    </row>
    <row r="72" ht="16.8" spans="2:4">
      <c r="B72" s="151" t="str">
        <f>HYPERLINK("#CLR_COMMODITY_MARKET!A1","CLR_COMMODITY_MARKET")</f>
        <v>CLR_COMMODITY_MARKET</v>
      </c>
      <c r="C72" s="152" t="s">
        <v>74</v>
      </c>
      <c r="D72" s="141" t="s">
        <v>75</v>
      </c>
    </row>
    <row r="73" ht="16.8" spans="2:4">
      <c r="B73" s="151" t="str">
        <f>HYPERLINK("#CLR_FUND_MARKET!A1","CLR_FUND_MARKET")</f>
        <v>CLR_FUND_MARKET</v>
      </c>
      <c r="C73" s="152" t="s">
        <v>76</v>
      </c>
      <c r="D73" s="141"/>
    </row>
    <row r="74" ht="16.8" spans="2:4">
      <c r="B74" s="151" t="str">
        <f>HYPERLINK("#CLR_FUND_MARKET_DETAIL!A1","CLR_FUND_MARKET_DETAIL")</f>
        <v>CLR_FUND_MARKET_DETAIL</v>
      </c>
      <c r="C74" s="152" t="s">
        <v>77</v>
      </c>
      <c r="D74" s="141"/>
    </row>
    <row r="75" ht="16.8" spans="2:4">
      <c r="B75" s="151" t="str">
        <f>HYPERLINK("#CLR_MATERIAL_CATALOG!A1","CLR_MATERIAL_CATALOG")</f>
        <v>CLR_MATERIAL_CATALOG</v>
      </c>
      <c r="C75" s="152" t="s">
        <v>78</v>
      </c>
      <c r="D75" s="141"/>
    </row>
    <row r="76" ht="16.8" spans="2:4">
      <c r="B76" s="151" t="str">
        <f>HYPERLINK("#CLR_STOCK_MARKET!A1","CLR_STOCK_MARKET")</f>
        <v>CLR_STOCK_MARKET</v>
      </c>
      <c r="C76" s="152" t="s">
        <v>79</v>
      </c>
      <c r="D76" s="141"/>
    </row>
    <row r="77" ht="16.8" spans="2:4">
      <c r="B77" s="151" t="str">
        <f>HYPERLINK("#CLR_STOCK_MARKET_DETAIL!A1","CLR_STOCK_MARKET_DETAIL")</f>
        <v>CLR_STOCK_MARKET_DETAIL</v>
      </c>
      <c r="C77" s="152" t="s">
        <v>80</v>
      </c>
      <c r="D77" s="141"/>
    </row>
    <row r="78" ht="17" hidden="1" spans="2:4">
      <c r="B78" s="80" t="str">
        <f>HYPERLINK("#SCENARIO_ARGS!A1","SCENARIO_ARGS")</f>
        <v>SCENARIO_ARGS</v>
      </c>
      <c r="C78" s="145" t="s">
        <v>81</v>
      </c>
      <c r="D78" s="141" t="s">
        <v>82</v>
      </c>
    </row>
    <row r="79" ht="17" hidden="1" spans="2:4">
      <c r="B79" s="80" t="str">
        <f>HYPERLINK("#SCENARIO_CATALOG!A1","SCENARIO_CATALOG")</f>
        <v>SCENARIO_CATALOG</v>
      </c>
      <c r="C79" s="145" t="s">
        <v>83</v>
      </c>
      <c r="D79" s="141"/>
    </row>
    <row r="80" ht="17" hidden="1" spans="2:4">
      <c r="B80" s="80" t="str">
        <f>HYPERLINK("#SCENARIO_GROUP!A1","SCENARIO_GROUP")</f>
        <v>SCENARIO_GROUP</v>
      </c>
      <c r="C80" s="145" t="s">
        <v>84</v>
      </c>
      <c r="D80" s="141"/>
    </row>
    <row r="81" ht="17" hidden="1" spans="2:4">
      <c r="B81" s="80" t="str">
        <f>HYPERLINK("#SCENARIO_MODEL!A1","SCENARIO_MODEL")</f>
        <v>SCENARIO_MODEL</v>
      </c>
      <c r="C81" s="145" t="s">
        <v>85</v>
      </c>
      <c r="D81" s="141"/>
    </row>
    <row r="82" ht="17" hidden="1" spans="2:4">
      <c r="B82" s="80" t="str">
        <f>HYPERLINK("#SCENARIO_RELATIVE!A1","SCENARIO_RELATIVE")</f>
        <v>SCENARIO_RELATIVE</v>
      </c>
      <c r="C82" s="145" t="s">
        <v>86</v>
      </c>
      <c r="D82" s="141"/>
    </row>
    <row r="83" ht="17" hidden="1" spans="2:4">
      <c r="B83" s="80" t="str">
        <f>HYPERLINK("#USER_WORKTIPS!A1","USER_WORKTIPS")</f>
        <v>USER_WORKTIPS</v>
      </c>
      <c r="C83" s="145" t="s">
        <v>87</v>
      </c>
      <c r="D83" s="146" t="s">
        <v>88</v>
      </c>
    </row>
    <row r="84" ht="16.8" hidden="1" spans="2:4">
      <c r="B84" s="80" t="str">
        <f>HYPERLINK("#WORKTIP_CONDITION!A1","WORKTIP_CONDITION")</f>
        <v>WORKTIP_CONDITION</v>
      </c>
      <c r="C84" s="152" t="s">
        <v>89</v>
      </c>
      <c r="D84" s="147"/>
    </row>
    <row r="85" ht="16.8" hidden="1" spans="2:4">
      <c r="B85" s="80" t="str">
        <f>HYPERLINK("#WORKTIP_SUMMARY!A1","WORKTIP_SUMMARY")</f>
        <v>WORKTIP_SUMMARY</v>
      </c>
      <c r="C85" s="152" t="s">
        <v>90</v>
      </c>
      <c r="D85" s="149"/>
    </row>
    <row r="86" ht="17" spans="2:4">
      <c r="B86" s="153" t="str">
        <f>HYPERLINK("#CLR_VERIFICATION_INFO!A1","CLR_VERIFICATION_INFO")</f>
        <v>CLR_VERIFICATION_INFO</v>
      </c>
      <c r="C86" s="154" t="s">
        <v>91</v>
      </c>
      <c r="D86" s="155" t="s">
        <v>92</v>
      </c>
    </row>
    <row r="87" ht="17" spans="2:4">
      <c r="B87" s="153" t="str">
        <f>HYPERLINK("#CLR_VERIFICATION_RECORD!A1","CLR_VERIFICATION_RECORD")</f>
        <v>CLR_VERIFICATION_RECORD</v>
      </c>
      <c r="C87" s="154" t="s">
        <v>93</v>
      </c>
      <c r="D87" s="155"/>
    </row>
    <row r="88" ht="16.8" hidden="1" spans="2:4">
      <c r="B88" s="80" t="str">
        <f>HYPERLINK("#WF_INSTANCE!A1","WF_INSTANCE")</f>
        <v>WF_INSTANCE</v>
      </c>
      <c r="C88" s="80" t="s">
        <v>94</v>
      </c>
      <c r="D88" s="146" t="s">
        <v>95</v>
      </c>
    </row>
    <row r="89" ht="16.8" hidden="1" spans="2:4">
      <c r="B89" s="80" t="s">
        <v>96</v>
      </c>
      <c r="C89" s="80" t="s">
        <v>97</v>
      </c>
      <c r="D89" s="147"/>
    </row>
    <row r="90" ht="17" hidden="1" spans="2:4">
      <c r="B90" s="80" t="str">
        <f>HYPERLINK("#WF_WORKITEM!A1","WF_WORKITEM")</f>
        <v>WF_WORKITEM</v>
      </c>
      <c r="C90" s="80" t="s">
        <v>98</v>
      </c>
      <c r="D90" s="147"/>
    </row>
    <row r="91" ht="17" hidden="1" spans="2:4">
      <c r="B91" s="80" t="str">
        <f>HYPERLINK("#WF_ACTIVEINSTANCE!A1","WF_ACTIVEINSTANCE")</f>
        <v>WF_ACTIVEINSTANCE</v>
      </c>
      <c r="C91" s="80" t="s">
        <v>99</v>
      </c>
      <c r="D91" s="147"/>
    </row>
    <row r="92" ht="17" hidden="1" spans="2:4">
      <c r="B92" s="80" t="str">
        <f>HYPERLINK("#FLOW_ACTIVITIES!A1","FLOW_ACTIVITIES")</f>
        <v>FLOW_ACTIVITIES</v>
      </c>
      <c r="C92" s="80" t="s">
        <v>100</v>
      </c>
      <c r="D92" s="147"/>
    </row>
    <row r="93" ht="16.8" hidden="1" spans="2:4">
      <c r="B93" s="80" t="str">
        <f>HYPERLINK("#FLOW_ATTRIBUTEGROUP!A1","FLOW_ATTRIBUTEGROUP")</f>
        <v>FLOW_ATTRIBUTEGROUP</v>
      </c>
      <c r="C93" s="80" t="s">
        <v>101</v>
      </c>
      <c r="D93" s="147"/>
    </row>
    <row r="94" ht="16.8" hidden="1" spans="2:4">
      <c r="B94" s="80" t="str">
        <f>HYPERLINK("#FLOW_BUTTONGROUP!A1","FLOW_BUTTONGROUP")</f>
        <v>FLOW_BUTTONGROUP</v>
      </c>
      <c r="C94" s="80" t="s">
        <v>102</v>
      </c>
      <c r="D94" s="147"/>
    </row>
    <row r="95" ht="16.8" hidden="1" spans="2:4">
      <c r="B95" s="80" t="str">
        <f>HYPERLINK("#FLOW_BUTTONITEM!A1","FLOW_BUTTONITEM")</f>
        <v>FLOW_BUTTONITEM</v>
      </c>
      <c r="C95" s="80" t="s">
        <v>103</v>
      </c>
      <c r="D95" s="147"/>
    </row>
    <row r="96" ht="16.8" hidden="1" spans="2:4">
      <c r="B96" s="80" t="str">
        <f>HYPERLINK("#FLOW_DEF!A1","FLOW_DEF")</f>
        <v>FLOW_DEF</v>
      </c>
      <c r="C96" s="80" t="s">
        <v>104</v>
      </c>
      <c r="D96" s="147"/>
    </row>
    <row r="97" ht="16.8" hidden="1" spans="2:4">
      <c r="B97" s="80" t="str">
        <f>HYPERLINK("#FLOW_DEPLOY!A1","FLOW_DEPLOY")</f>
        <v>FLOW_DEPLOY</v>
      </c>
      <c r="C97" s="80" t="s">
        <v>105</v>
      </c>
      <c r="D97" s="147"/>
    </row>
    <row r="98" ht="16.8" hidden="1" spans="2:4">
      <c r="B98" s="80" t="str">
        <f>HYPERLINK("#FLOW_GROUP!A1","FLOW_GROUP")</f>
        <v>FLOW_GROUP</v>
      </c>
      <c r="C98" s="80" t="s">
        <v>106</v>
      </c>
      <c r="D98" s="147"/>
    </row>
    <row r="99" ht="16.8" hidden="1" spans="2:4">
      <c r="B99" s="80" t="str">
        <f>HYPERLINK("#FLOW_HI_MODEL!A1","FLOW_HI_MODEL")</f>
        <v>FLOW_HI_MODEL</v>
      </c>
      <c r="C99" s="80" t="s">
        <v>107</v>
      </c>
      <c r="D99" s="147"/>
    </row>
    <row r="100" ht="16.8" hidden="1" spans="2:4">
      <c r="B100" s="80" t="str">
        <f>HYPERLINK("#FLOW_MESSAGE!A1","FLOW_MESSAGE")</f>
        <v>FLOW_MESSAGE</v>
      </c>
      <c r="C100" s="80" t="s">
        <v>108</v>
      </c>
      <c r="D100" s="147"/>
    </row>
    <row r="101" ht="16.8" hidden="1" spans="2:4">
      <c r="B101" s="80" t="str">
        <f>HYPERLINK("#FLOW_PHASETYPE!A1","FLOW_PHASETYPE")</f>
        <v>FLOW_PHASETYPE</v>
      </c>
      <c r="C101" s="80" t="s">
        <v>109</v>
      </c>
      <c r="D101" s="147"/>
    </row>
    <row r="102" ht="16.8" hidden="1" spans="2:4">
      <c r="B102" s="80" t="str">
        <f>HYPERLINK("#FLOW_RU_MODEL!A1","FLOW_RU_MODEL")</f>
        <v>FLOW_RU_MODEL</v>
      </c>
      <c r="C102" s="80" t="s">
        <v>110</v>
      </c>
      <c r="D102" s="147"/>
    </row>
    <row r="103" ht="16.8" hidden="1" spans="2:4">
      <c r="B103" s="80" t="str">
        <f>HYPERLINK("#FLOW_USERCONF!A1","FLOW_USERCONF")</f>
        <v>FLOW_USERCONF</v>
      </c>
      <c r="C103" s="80" t="s">
        <v>111</v>
      </c>
      <c r="D103" s="147"/>
    </row>
    <row r="104" ht="16.8" hidden="1" spans="2:4">
      <c r="B104" s="80" t="str">
        <f>HYPERLINK("#FLOW_CATALOG!A1","FLOW_CATALOG")</f>
        <v>FLOW_CATALOG</v>
      </c>
      <c r="C104" s="80" t="s">
        <v>95</v>
      </c>
      <c r="D104" s="147"/>
    </row>
    <row r="105" ht="17" hidden="1" spans="2:4">
      <c r="B105" s="80" t="str">
        <f>HYPERLINK("#FLOW_MODEL!A1","FLOW_MODEL")</f>
        <v>FLOW_MODEL</v>
      </c>
      <c r="C105" s="80" t="s">
        <v>112</v>
      </c>
      <c r="D105" s="147"/>
    </row>
    <row r="106" ht="16.8" hidden="1" spans="2:4">
      <c r="B106" s="80" t="s">
        <v>113</v>
      </c>
      <c r="C106" s="80" t="s">
        <v>114</v>
      </c>
      <c r="D106" s="147"/>
    </row>
    <row r="107" ht="17" hidden="1" spans="2:4">
      <c r="B107" s="80" t="str">
        <f>HYPERLINK("#FLOW_OBJECT!A1","FLOW_OBJECT")</f>
        <v>FLOW_OBJECT</v>
      </c>
      <c r="C107" s="145" t="s">
        <v>115</v>
      </c>
      <c r="D107" s="147"/>
    </row>
    <row r="108" ht="17" hidden="1" spans="2:4">
      <c r="B108" s="80" t="str">
        <f>HYPERLINK("#FLOW_OBJECT_SUMMARY!A1","FLOW_OBJECT_SUMMARY")</f>
        <v>FLOW_OBJECT_SUMMARY</v>
      </c>
      <c r="C108" s="145" t="s">
        <v>116</v>
      </c>
      <c r="D108" s="147"/>
    </row>
    <row r="109" ht="17" hidden="1" spans="2:4">
      <c r="B109" s="80" t="str">
        <f>HYPERLINK("#FLOW_OPINION!A1","FLOW_OPINION")</f>
        <v>FLOW_OPINION</v>
      </c>
      <c r="C109" s="145" t="s">
        <v>97</v>
      </c>
      <c r="D109" s="147"/>
    </row>
    <row r="110" ht="17" hidden="1" spans="2:4">
      <c r="B110" s="80" t="str">
        <f>HYPERLINK("#FLOW_SWIMLANE!A1","FLOW_SWIMLANE")</f>
        <v>FLOW_SWIMLANE</v>
      </c>
      <c r="C110" s="145" t="s">
        <v>117</v>
      </c>
      <c r="D110" s="147"/>
    </row>
    <row r="111" ht="17" hidden="1" spans="2:4">
      <c r="B111" s="80" t="str">
        <f>HYPERLINK("#FLOW_TASK!A1","FLOW_TASK")</f>
        <v>FLOW_TASK</v>
      </c>
      <c r="C111" s="145" t="s">
        <v>118</v>
      </c>
      <c r="D111" s="147"/>
    </row>
    <row r="112" ht="17" hidden="1" spans="2:4">
      <c r="B112" s="80" t="str">
        <f>HYPERLINK("#FLOW_TASK_CLOSED!A1","FLOW_TASK_CLOSED")</f>
        <v>FLOW_TASK_CLOSED</v>
      </c>
      <c r="C112" s="145" t="s">
        <v>119</v>
      </c>
      <c r="D112" s="147"/>
    </row>
    <row r="113" ht="17" hidden="1" spans="2:4">
      <c r="B113" s="80" t="str">
        <f>HYPERLINK("#FLOW_USER_RELA!A1","FLOW_USER_RELA")</f>
        <v>FLOW_USER_RELA</v>
      </c>
      <c r="C113" s="145" t="s">
        <v>120</v>
      </c>
      <c r="D113" s="147"/>
    </row>
    <row r="114" ht="16.8" hidden="1" spans="2:4">
      <c r="B114" s="80" t="str">
        <f>HYPERLINK("#FLOW_PROPS!A1","FLOW_PROPS")</f>
        <v>FLOW_PROPS</v>
      </c>
      <c r="C114" s="156" t="s">
        <v>121</v>
      </c>
      <c r="D114" s="149"/>
    </row>
    <row r="115" ht="17" hidden="1" spans="2:4">
      <c r="B115" s="151" t="str">
        <f>HYPERLINK("#TASK_RUN_HISTORY!A1","TASK_RUN_HISTORY")</f>
        <v>TASK_RUN_HISTORY</v>
      </c>
      <c r="C115" s="152" t="s">
        <v>122</v>
      </c>
      <c r="D115" s="141" t="s">
        <v>123</v>
      </c>
    </row>
    <row r="116" ht="17" hidden="1" spans="2:4">
      <c r="B116" s="151" t="str">
        <f>HYPERLINK("#TASK_RUN_INTERACT!A1","TASK_RUN_INTERACT")</f>
        <v>TASK_RUN_INTERACT</v>
      </c>
      <c r="C116" s="152" t="s">
        <v>124</v>
      </c>
      <c r="D116" s="141"/>
    </row>
    <row r="117" ht="17" hidden="1" spans="2:4">
      <c r="B117" s="151" t="str">
        <f>HYPERLINK("#TASK_RUN_STATUS!A1","TASK_RUN_STATUS")</f>
        <v>TASK_RUN_STATUS</v>
      </c>
      <c r="C117" s="152" t="s">
        <v>125</v>
      </c>
      <c r="D117" s="141"/>
    </row>
    <row r="118" ht="17" spans="2:4">
      <c r="B118" s="157" t="str">
        <f>HYPERLINK("#CLR_RIGHTCERT_INFO!A1","CLR_RIGHTCERT_INFO")</f>
        <v>CLR_RIGHTCERT_INFO</v>
      </c>
      <c r="C118" s="143" t="s">
        <v>126</v>
      </c>
      <c r="D118" s="141" t="s">
        <v>127</v>
      </c>
    </row>
    <row r="119" ht="17" spans="2:4">
      <c r="B119" s="157" t="str">
        <f>HYPERLINK("#CLR_RIGHTCERT_PACKAGE_INFO!A1","CLR_RIGHTCERT_PACKAGE_INFO")</f>
        <v>CLR_RIGHTCERT_PACKAGE_INFO</v>
      </c>
      <c r="C119" s="143" t="s">
        <v>128</v>
      </c>
      <c r="D119" s="141"/>
    </row>
    <row r="120" ht="17" spans="2:4">
      <c r="B120" s="79" t="str">
        <f>HYPERLINK("#CLR_RIGHTCERT_TRANRECORD!A1","CLR_RIGHTCERT_TRANRECORD")</f>
        <v>CLR_RIGHTCERT_TRANRECORD</v>
      </c>
      <c r="C120" s="143" t="s">
        <v>129</v>
      </c>
      <c r="D120" s="141"/>
    </row>
    <row r="121" ht="17" spans="2:4">
      <c r="B121" s="79" t="str">
        <f>HYPERLINK("#CLR_RIGHTCERT_TRAPPL!A1","CLR_RIGHTCERT_TRAPPL")</f>
        <v>CLR_RIGHTCERT_TRAPPL</v>
      </c>
      <c r="C121" s="143" t="s">
        <v>130</v>
      </c>
      <c r="D121" s="141"/>
    </row>
    <row r="122" ht="17" spans="2:4">
      <c r="B122" s="153" t="str">
        <f>HYPERLINK("#CLR_RIGHTCERT_TRAPPL_GROUP!A1","CLR_RIGHTCERT_TRAPPL_GROUP")</f>
        <v>CLR_RIGHTCERT_TRAPPL_GROUP</v>
      </c>
      <c r="C122" s="154" t="s">
        <v>131</v>
      </c>
      <c r="D122" s="141"/>
    </row>
    <row r="123" ht="17" hidden="1" spans="2:4">
      <c r="B123" s="80" t="str">
        <f>HYPERLINK("#DOC_ATTACHMENT!A1","DOC_ATTACHMENT")</f>
        <v>DOC_ATTACHMENT</v>
      </c>
      <c r="C123" s="145" t="s">
        <v>132</v>
      </c>
      <c r="D123" s="141" t="s">
        <v>133</v>
      </c>
    </row>
    <row r="124" ht="17" hidden="1" spans="2:4">
      <c r="B124" s="80" t="str">
        <f>HYPERLINK("#DOC_LIBRARY!A1","DOC_LIBRARY")</f>
        <v>DOC_LIBRARY</v>
      </c>
      <c r="C124" s="145" t="s">
        <v>134</v>
      </c>
      <c r="D124" s="141"/>
    </row>
    <row r="125" ht="17" hidden="1" spans="2:4">
      <c r="B125" s="80" t="str">
        <f>HYPERLINK("#DOC_RELATIVE!A1","DOC_RELATIVE")</f>
        <v>DOC_RELATIVE</v>
      </c>
      <c r="C125" s="145" t="s">
        <v>135</v>
      </c>
      <c r="D125" s="141"/>
    </row>
    <row r="126" ht="17" hidden="1" spans="2:4">
      <c r="B126" s="80" t="str">
        <f>HYPERLINK("#EVALUATE_CATALOG!A1","EVALUATE_CATALOG")</f>
        <v>EVALUATE_CATALOG</v>
      </c>
      <c r="C126" s="145" t="s">
        <v>136</v>
      </c>
      <c r="D126" s="141"/>
    </row>
    <row r="127" ht="17" hidden="1" spans="2:4">
      <c r="B127" s="80" t="str">
        <f>HYPERLINK("#EVALUATE_DATA!A1","EVALUATE_DATA")</f>
        <v>EVALUATE_DATA</v>
      </c>
      <c r="C127" s="145" t="s">
        <v>137</v>
      </c>
      <c r="D127" s="141"/>
    </row>
    <row r="128" ht="17" hidden="1" spans="2:4">
      <c r="B128" s="80" t="str">
        <f>HYPERLINK("#EVALUATE_MODEL!A1","EVALUATE_MODEL")</f>
        <v>EVALUATE_MODEL</v>
      </c>
      <c r="C128" s="145" t="s">
        <v>138</v>
      </c>
      <c r="D128" s="141"/>
    </row>
    <row r="129" ht="17" hidden="1" spans="2:4">
      <c r="B129" s="148" t="str">
        <f>HYPERLINK("#EVALUATE_RECORD!A1","EVALUATE_RECORD")</f>
        <v>EVALUATE_RECORD</v>
      </c>
      <c r="C129" s="145" t="s">
        <v>139</v>
      </c>
      <c r="D129" s="141"/>
    </row>
    <row r="130" ht="17" hidden="1" spans="2:4">
      <c r="B130" s="148" t="str">
        <f>HYPERLINK("#SYSTEM_SETUP!A1","SYSTEM_SETUP")</f>
        <v>SYSTEM_SETUP</v>
      </c>
      <c r="C130" s="145" t="s">
        <v>140</v>
      </c>
      <c r="D130" s="141"/>
    </row>
    <row r="131" ht="17" hidden="1" spans="2:4">
      <c r="B131" s="80" t="str">
        <f>HYPERLINK("#USER_MENU_COUNTER!A1","USER_MENU_COUNTER")</f>
        <v>USER_MENU_COUNTER</v>
      </c>
      <c r="C131" s="145" t="s">
        <v>141</v>
      </c>
      <c r="D131" s="141"/>
    </row>
    <row r="132" ht="17" hidden="1" spans="2:4">
      <c r="B132" s="80" t="str">
        <f>HYPERLINK("#LOG_AUDITINFO!A1","LOG_AUDITINFO")</f>
        <v>LOG_AUDITINFO</v>
      </c>
      <c r="C132" s="145" t="s">
        <v>142</v>
      </c>
      <c r="D132" s="141" t="s">
        <v>143</v>
      </c>
    </row>
    <row r="133" ht="17" hidden="1" spans="2:4">
      <c r="B133" s="148" t="str">
        <f>HYPERLINK("#BOARD_LIST!A1","BOARD_LIST")</f>
        <v>BOARD_LIST</v>
      </c>
      <c r="C133" s="145" t="s">
        <v>144</v>
      </c>
      <c r="D133" s="141"/>
    </row>
    <row r="134" ht="17" hidden="1" spans="2:4">
      <c r="B134" s="80" t="str">
        <f>HYPERLINK("#BOARD_USER!A1","BOARD_USER")</f>
        <v>BOARD_USER</v>
      </c>
      <c r="C134" s="145" t="s">
        <v>145</v>
      </c>
      <c r="D134" s="141"/>
    </row>
    <row r="135" ht="17" hidden="1" spans="2:4">
      <c r="B135" s="80" t="str">
        <f>HYPERLINK("#CONF_ERATE_INFO!A1","CONF_ERATE_INFO")</f>
        <v>CONF_ERATE_INFO</v>
      </c>
      <c r="C135" s="145" t="s">
        <v>146</v>
      </c>
      <c r="D135" s="141"/>
    </row>
    <row r="136" ht="17" hidden="1" spans="2:4">
      <c r="B136" s="80" t="str">
        <f>HYPERLINK("#CONF_QUICK_MENU_URL!A1","CONF_QUICK_MENU_URL")</f>
        <v>CONF_QUICK_MENU_URL</v>
      </c>
      <c r="C136" s="145" t="s">
        <v>147</v>
      </c>
      <c r="D136" s="141"/>
    </row>
    <row r="137" ht="17" hidden="1" spans="2:4">
      <c r="B137" s="80" t="str">
        <f>HYPERLINK("#ERATE_INFO!A1","ERATE_INFO")</f>
        <v>ERATE_INFO</v>
      </c>
      <c r="C137" s="145" t="s">
        <v>148</v>
      </c>
      <c r="D137" s="141"/>
    </row>
    <row r="138" ht="17" hidden="1" spans="2:4">
      <c r="B138" s="80" t="str">
        <f>HYPERLINK("#MANAGE_CHANGE!A1","MANAGE_CHANGE")</f>
        <v>MANAGE_CHANGE</v>
      </c>
      <c r="C138" s="145" t="s">
        <v>149</v>
      </c>
      <c r="D138" s="141"/>
    </row>
    <row r="139" ht="17" hidden="1" spans="2:4">
      <c r="B139" s="80" t="str">
        <f>HYPERLINK("#ORG_BELONG!A1","ORG_BELONG")</f>
        <v>ORG_BELONG</v>
      </c>
      <c r="C139" s="145" t="s">
        <v>150</v>
      </c>
      <c r="D139" s="141"/>
    </row>
    <row r="140" ht="17" hidden="1" spans="2:4">
      <c r="B140" s="80" t="str">
        <f>HYPERLINK("#ORG_INFO!A1","ORG_INFO")</f>
        <v>ORG_INFO</v>
      </c>
      <c r="C140" s="145" t="s">
        <v>151</v>
      </c>
      <c r="D140" s="141"/>
    </row>
    <row r="141" ht="17" hidden="1" spans="2:4">
      <c r="B141" s="80" t="str">
        <f>HYPERLINK("#POST_SUBLICENSE!A1","POST_SUBLICENSE")</f>
        <v>POST_SUBLICENSE</v>
      </c>
      <c r="C141" s="145" t="s">
        <v>152</v>
      </c>
      <c r="D141" s="141"/>
    </row>
    <row r="142" ht="16.8" hidden="1" spans="2:4">
      <c r="B142" s="151" t="str">
        <f>HYPERLINK("#RATE_INFO!A1","RATE_INFO")</f>
        <v>RATE_INFO</v>
      </c>
      <c r="C142" s="152" t="s">
        <v>153</v>
      </c>
      <c r="D142" s="141"/>
    </row>
    <row r="143" ht="17" hidden="1" spans="2:4">
      <c r="B143" s="80" t="str">
        <f>HYPERLINK("#ROLE_INFO!A1","ROLE_INFO")</f>
        <v>ROLE_INFO</v>
      </c>
      <c r="C143" s="145" t="s">
        <v>154</v>
      </c>
      <c r="D143" s="141"/>
    </row>
    <row r="144" ht="17" hidden="1" spans="2:4">
      <c r="B144" s="80" t="str">
        <f>HYPERLINK("#SYS_CALENDAR!A1","SYS_CALENDAR")</f>
        <v>SYS_CALENDAR</v>
      </c>
      <c r="C144" s="145" t="s">
        <v>155</v>
      </c>
      <c r="D144" s="141"/>
    </row>
    <row r="145" ht="17" hidden="1" spans="2:4">
      <c r="B145" s="148" t="str">
        <f>HYPERLINK("#CORPORATION_INFO!A1","CORPORATION_INFO")</f>
        <v>CORPORATION_INFO</v>
      </c>
      <c r="C145" s="145" t="s">
        <v>156</v>
      </c>
      <c r="D145" s="141"/>
    </row>
    <row r="146" ht="17" hidden="1" spans="2:4">
      <c r="B146" s="80" t="str">
        <f>HYPERLINK("#USER_INFO!A1","USER_INFO")</f>
        <v>USER_INFO</v>
      </c>
      <c r="C146" s="145" t="s">
        <v>157</v>
      </c>
      <c r="D146" s="141"/>
    </row>
    <row r="147" ht="17" hidden="1" spans="2:4">
      <c r="B147" s="80" t="str">
        <f>HYPERLINK("#USER_ROLE!A1","USER_ROLE")</f>
        <v>USER_ROLE</v>
      </c>
      <c r="C147" s="145" t="s">
        <v>158</v>
      </c>
      <c r="D147" s="141"/>
    </row>
    <row r="148" ht="16.8" spans="2:4">
      <c r="B148" s="151" t="str">
        <f>HYPERLINK("#CLR_STRESS_BU_DETAIL!A1","CLR_STRESS_BU_DETAIL")</f>
        <v>CLR_STRESS_BU_DETAIL</v>
      </c>
      <c r="C148" s="152" t="s">
        <v>159</v>
      </c>
      <c r="D148" s="141" t="s">
        <v>160</v>
      </c>
    </row>
    <row r="149" ht="17" spans="2:4">
      <c r="B149" s="158" t="str">
        <f>HYPERLINK("#CLR_STRESS_CLR_DETAIL!A1","CLR_STRESS_CLR_DETAIL")</f>
        <v>CLR_STRESS_CLR_DETAIL</v>
      </c>
      <c r="C149" s="152" t="s">
        <v>161</v>
      </c>
      <c r="D149" s="141"/>
    </row>
    <row r="150" ht="17" spans="2:4">
      <c r="B150" s="158" t="str">
        <f>HYPERLINK("#CLR_STRESS_LINK!A1","CLR_STRESS_LINK")</f>
        <v>CLR_STRESS_LINK</v>
      </c>
      <c r="C150" s="152" t="s">
        <v>162</v>
      </c>
      <c r="D150" s="141"/>
    </row>
    <row r="151" ht="16.8" spans="2:4">
      <c r="B151" s="151" t="str">
        <f>HYPERLINK("#CLR_STRESS_RECORD!A1","CLR_STRESS_RECORD")</f>
        <v>CLR_STRESS_RECORD</v>
      </c>
      <c r="C151" s="152" t="s">
        <v>163</v>
      </c>
      <c r="D151" s="141"/>
    </row>
    <row r="152" ht="16.8" spans="2:4">
      <c r="B152" s="151" t="str">
        <f>HYPERLINK("#CLR_STRESS_TEST!A1","CLR_STRESS_TEST")</f>
        <v>CLR_STRESS_TEST</v>
      </c>
      <c r="C152" s="152" t="s">
        <v>164</v>
      </c>
      <c r="D152" s="141"/>
    </row>
    <row r="153" ht="17" spans="2:4">
      <c r="B153" s="80" t="str">
        <f>HYPERLINK("#CLR_CATALOG!A1","CLR_CATALOG")</f>
        <v>CLR_CATALOG</v>
      </c>
      <c r="C153" s="145" t="s">
        <v>165</v>
      </c>
      <c r="D153" s="141" t="s">
        <v>166</v>
      </c>
    </row>
    <row r="154" ht="17" spans="2:4">
      <c r="B154" s="80" t="str">
        <f>HYPERLINK("#CLR_HANDLE_INFO!A1","CLR_HANDLE_INFO")</f>
        <v>CLR_HANDLE_INFO</v>
      </c>
      <c r="C154" s="145" t="s">
        <v>167</v>
      </c>
      <c r="D154" s="141"/>
    </row>
    <row r="155" ht="17" spans="2:4">
      <c r="B155" s="79" t="str">
        <f>HYPERLINK("#CLR_PARAM!A1","CLR_PARAM")</f>
        <v>CLR_PARAM</v>
      </c>
      <c r="C155" s="143" t="s">
        <v>168</v>
      </c>
      <c r="D155" s="141"/>
    </row>
    <row r="156" ht="17" spans="2:4">
      <c r="B156" s="79" t="str">
        <f>HYPERLINK("#CLR_EVALUATION_APPL!A1","CLR_EVALUATION_APPL")</f>
        <v>CLR_EVALUATION_APPL</v>
      </c>
      <c r="C156" s="143" t="s">
        <v>169</v>
      </c>
      <c r="D156" s="146" t="s">
        <v>170</v>
      </c>
    </row>
    <row r="157" ht="17" spans="1:5">
      <c r="A157" s="2"/>
      <c r="B157" s="159" t="str">
        <f>HYPERLINK("#CLR_EVALUATION_DATA!A1","CLR_EVALUATION_DATA")</f>
        <v>CLR_EVALUATION_DATA</v>
      </c>
      <c r="C157" s="140" t="s">
        <v>171</v>
      </c>
      <c r="D157" s="147"/>
      <c r="E157" s="170"/>
    </row>
    <row r="158" ht="17" spans="2:5">
      <c r="B158" s="80" t="str">
        <f>HYPERLINK("#CLR_EVALUATION_RECORD!A1","CLR_EVALUATION_RECORD")</f>
        <v>CLR_EVALUATION_RECORD</v>
      </c>
      <c r="C158" s="145" t="s">
        <v>172</v>
      </c>
      <c r="D158" s="147"/>
      <c r="E158" s="170"/>
    </row>
    <row r="159" ht="17" spans="2:4">
      <c r="B159" s="80" t="str">
        <f>HYPERLINK("#CLR_PRICEINDEX!A1","CLR_PRICEINDEX")</f>
        <v>CLR_PRICEINDEX</v>
      </c>
      <c r="C159" s="145" t="s">
        <v>173</v>
      </c>
      <c r="D159" s="147"/>
    </row>
    <row r="160" ht="17" spans="2:4">
      <c r="B160" s="80" t="str">
        <f>HYPERLINK("#CLR_SAMPLE_HOUSEING!A1","CLR_SAMPLE_HOUSEING")</f>
        <v>CLR_SAMPLE_HOUSEING</v>
      </c>
      <c r="C160" s="145" t="s">
        <v>174</v>
      </c>
      <c r="D160" s="147"/>
    </row>
    <row r="161" ht="17" spans="2:4">
      <c r="B161" s="80" t="str">
        <f>HYPERLINK("#CLR_SAMPLE_SELECTED!A1","CLR_SAMPLE_SELECTED")</f>
        <v>CLR_SAMPLE_SELECTED</v>
      </c>
      <c r="C161" s="145" t="s">
        <v>175</v>
      </c>
      <c r="D161" s="147"/>
    </row>
    <row r="162" ht="16.8" spans="2:4">
      <c r="B162" s="160" t="s">
        <v>176</v>
      </c>
      <c r="C162" s="161" t="s">
        <v>177</v>
      </c>
      <c r="D162" s="147"/>
    </row>
    <row r="163" ht="16.8" spans="2:4">
      <c r="B163" s="160" t="s">
        <v>178</v>
      </c>
      <c r="C163" s="162" t="s">
        <v>179</v>
      </c>
      <c r="D163" s="147"/>
    </row>
    <row r="164" ht="17" spans="2:4">
      <c r="B164" s="80" t="str">
        <f>HYPERLINK("#BILL_INFO!A1","BILL_INFO")</f>
        <v>BILL_INFO</v>
      </c>
      <c r="C164" s="145" t="s">
        <v>180</v>
      </c>
      <c r="D164" s="146" t="s">
        <v>181</v>
      </c>
    </row>
    <row r="165" ht="17" spans="2:4">
      <c r="B165" s="163" t="str">
        <f>HYPERLINK("#BUSINESS_CONTRACT!A1","BUSINESS_CONTRACT")</f>
        <v>BUSINESS_CONTRACT</v>
      </c>
      <c r="C165" s="145" t="s">
        <v>182</v>
      </c>
      <c r="D165" s="147"/>
    </row>
    <row r="166" ht="17" spans="2:4">
      <c r="B166" s="79" t="str">
        <f>HYPERLINK("#CLR_ASSET_FINANCE!A1","CLR_ASSET_FINANCE")</f>
        <v>CLR_ASSET_FINANCE</v>
      </c>
      <c r="C166" s="143" t="s">
        <v>183</v>
      </c>
      <c r="D166" s="147"/>
    </row>
    <row r="167" ht="17" spans="2:4">
      <c r="B167" s="79" t="str">
        <f>HYPERLINK("#CLR_ASSET_OTHERS_EQUIPMENT!A1","CLR_ASSET_OTHERS_EQUIPMENT")</f>
        <v>CLR_ASSET_OTHERS_EQUIPMENT</v>
      </c>
      <c r="C167" s="143" t="s">
        <v>184</v>
      </c>
      <c r="D167" s="147"/>
    </row>
    <row r="168" ht="17" spans="2:4">
      <c r="B168" s="79" t="str">
        <f>HYPERLINK("#CLR_ASSET_OTHERS_INVENTORY!A1","CLR_ASSET_OTHERS_INVENTORY")</f>
        <v>CLR_ASSET_OTHERS_INVENTORY</v>
      </c>
      <c r="C168" s="143" t="s">
        <v>185</v>
      </c>
      <c r="D168" s="147"/>
    </row>
    <row r="169" ht="17" spans="2:4">
      <c r="B169" s="79" t="str">
        <f>HYPERLINK("#CLR_ASSET_OTHERS_RESOURCE!A1","CLR_ASSET_OTHERS_RESOURCE")</f>
        <v>CLR_ASSET_OTHERS_RESOURCE</v>
      </c>
      <c r="C169" s="143" t="s">
        <v>186</v>
      </c>
      <c r="D169" s="147"/>
    </row>
    <row r="170" ht="17" spans="2:4">
      <c r="B170" s="79" t="str">
        <f>HYPERLINK("#CLR_ASSET_OTHERS_SBC!A1","CLR_ASSET_OTHERS_SBC")</f>
        <v>CLR_ASSET_OTHERS_SBC</v>
      </c>
      <c r="C170" s="143" t="s">
        <v>187</v>
      </c>
      <c r="D170" s="147"/>
    </row>
    <row r="171" ht="17" spans="2:4">
      <c r="B171" s="79" t="str">
        <f>HYPERLINK("#CLR_ASSET_OTHERS_TLPR!A1","CLR_ASSET_OTHERS_TLPR")</f>
        <v>CLR_ASSET_OTHERS_TLPR</v>
      </c>
      <c r="C171" s="143" t="s">
        <v>188</v>
      </c>
      <c r="D171" s="147"/>
    </row>
    <row r="172" ht="17" spans="2:4">
      <c r="B172" s="79" t="str">
        <f>HYPERLINK("#CLR_ASSET_REALTY!A1","CLR_ASSET_REALTY")</f>
        <v>CLR_ASSET_REALTY</v>
      </c>
      <c r="C172" s="143" t="s">
        <v>189</v>
      </c>
      <c r="D172" s="147"/>
    </row>
    <row r="173" ht="17" spans="2:4">
      <c r="B173" s="79" t="str">
        <f>HYPERLINK("#CLR_ASSET_RECEIVABLE!A1","CLR_ASSET_RECEIVABLE")</f>
        <v>CLR_ASSET_RECEIVABLE</v>
      </c>
      <c r="C173" s="143" t="s">
        <v>190</v>
      </c>
      <c r="D173" s="147"/>
    </row>
    <row r="174" ht="17" spans="2:4">
      <c r="B174" s="80" t="str">
        <f>HYPERLINK("#CLR_CARGO_INFO!A1","CLR_CARGO_INFO")</f>
        <v>CLR_CARGO_INFO</v>
      </c>
      <c r="C174" s="145" t="s">
        <v>191</v>
      </c>
      <c r="D174" s="147"/>
    </row>
    <row r="175" ht="17" spans="2:4">
      <c r="B175" s="80" t="str">
        <f>HYPERLINK("#CLR_GUASCHEME_RELATIVE!A1","CLR_GUASCHEME_RELATIVE")</f>
        <v>CLR_GUASCHEME_RELATIVE</v>
      </c>
      <c r="C175" s="145" t="s">
        <v>192</v>
      </c>
      <c r="D175" s="147"/>
    </row>
    <row r="176" ht="17" spans="2:4">
      <c r="B176" s="79" t="str">
        <f>HYPERLINK("#CLR_INFO!A1","CLR_INFO")</f>
        <v>CLR_INFO</v>
      </c>
      <c r="C176" s="143" t="s">
        <v>193</v>
      </c>
      <c r="D176" s="147"/>
    </row>
    <row r="177" ht="17" spans="2:4">
      <c r="B177" s="79" t="str">
        <f>HYPERLINK("#CLR_INSURANCE_RECORD!A1","CLR_INSURANCE_RECORD")</f>
        <v>CLR_INSURANCE_RECORD</v>
      </c>
      <c r="C177" s="143" t="s">
        <v>194</v>
      </c>
      <c r="D177" s="147"/>
    </row>
    <row r="178" ht="17" spans="2:4">
      <c r="B178" s="164" t="s">
        <v>195</v>
      </c>
      <c r="C178" s="165" t="s">
        <v>196</v>
      </c>
      <c r="D178" s="147"/>
    </row>
    <row r="179" ht="17" spans="2:4">
      <c r="B179" s="79" t="str">
        <f>HYPERLINK("#CLR_NOTARIZATION_RECORD!A1","CLR_NOTARIZATION_RECORD")</f>
        <v>CLR_NOTARIZATION_RECORD</v>
      </c>
      <c r="C179" s="143" t="s">
        <v>197</v>
      </c>
      <c r="D179" s="147"/>
    </row>
    <row r="180" ht="17" spans="2:4">
      <c r="B180" s="79" t="str">
        <f>HYPERLINK("#CLR_OWNER!A1","CLR_OWNER")</f>
        <v>CLR_OWNER</v>
      </c>
      <c r="C180" s="143" t="s">
        <v>198</v>
      </c>
      <c r="D180" s="147"/>
    </row>
    <row r="181" ht="17" spans="2:4">
      <c r="B181" s="79" t="str">
        <f>HYPERLINK("#CLR_QUALIFICATION_INFO!A1","CLR_QUALIFICATION_INFO")</f>
        <v>CLR_QUALIFICATION_INFO</v>
      </c>
      <c r="C181" s="143" t="s">
        <v>199</v>
      </c>
      <c r="D181" s="147"/>
    </row>
    <row r="182" ht="17" spans="2:4">
      <c r="B182" s="80" t="str">
        <f>HYPERLINK("#GUARANTOR_INFO!A1","GUARANTOR_INFO")</f>
        <v>GUARANTOR_INFO</v>
      </c>
      <c r="C182" s="145" t="s">
        <v>200</v>
      </c>
      <c r="D182" s="147"/>
    </row>
    <row r="183" ht="17" spans="2:4">
      <c r="B183" s="80" t="str">
        <f>HYPERLINK("#GUARANTY_CONTRACT!A1","GUARANTY_CONTRACT")</f>
        <v>GUARANTY_CONTRACT</v>
      </c>
      <c r="C183" s="145" t="s">
        <v>201</v>
      </c>
      <c r="D183" s="147"/>
    </row>
    <row r="184" ht="17" spans="2:4">
      <c r="B184" s="157" t="str">
        <f>HYPERLINK("#GUARANTY_RELATIVE!A1","GUARANTY_RELATIVE")</f>
        <v>GUARANTY_RELATIVE</v>
      </c>
      <c r="C184" s="143" t="s">
        <v>202</v>
      </c>
      <c r="D184" s="147"/>
    </row>
    <row r="185" ht="17" spans="2:4">
      <c r="B185" s="166" t="s">
        <v>203</v>
      </c>
      <c r="C185" s="161" t="s">
        <v>204</v>
      </c>
      <c r="D185" s="147"/>
    </row>
    <row r="186" ht="17" spans="2:4">
      <c r="B186" s="166" t="s">
        <v>205</v>
      </c>
      <c r="C186" s="161" t="s">
        <v>206</v>
      </c>
      <c r="D186" s="147"/>
    </row>
    <row r="187" ht="16.8" spans="2:4">
      <c r="B187" s="167" t="s">
        <v>207</v>
      </c>
      <c r="C187" s="161" t="s">
        <v>208</v>
      </c>
      <c r="D187" s="147"/>
    </row>
    <row r="188" ht="16.8" spans="2:4">
      <c r="B188" s="167" t="s">
        <v>209</v>
      </c>
      <c r="C188" s="161" t="s">
        <v>210</v>
      </c>
      <c r="D188" s="147"/>
    </row>
    <row r="189" ht="16.8" hidden="1" spans="2:4">
      <c r="B189" s="167" t="s">
        <v>211</v>
      </c>
      <c r="C189" s="161" t="s">
        <v>212</v>
      </c>
      <c r="D189" s="147"/>
    </row>
    <row r="190" ht="16.8" spans="2:4">
      <c r="B190" s="160" t="s">
        <v>213</v>
      </c>
      <c r="C190" s="161" t="s">
        <v>214</v>
      </c>
      <c r="D190" s="147"/>
    </row>
    <row r="191" ht="17" hidden="1" spans="2:4">
      <c r="B191" s="168" t="s">
        <v>215</v>
      </c>
      <c r="C191" s="161" t="s">
        <v>216</v>
      </c>
      <c r="D191" s="147"/>
    </row>
    <row r="192" ht="17" spans="2:4">
      <c r="B192" s="164" t="s">
        <v>217</v>
      </c>
      <c r="C192" s="169" t="s">
        <v>218</v>
      </c>
      <c r="D192" s="147"/>
    </row>
    <row r="193" ht="17" spans="2:4">
      <c r="B193" s="164" t="s">
        <v>219</v>
      </c>
      <c r="C193" s="169" t="s">
        <v>220</v>
      </c>
      <c r="D193" s="149"/>
    </row>
    <row r="194" ht="17" spans="2:4">
      <c r="B194" s="148" t="str">
        <f>HYPERLINK("#BAT_TASK_ERROR!A1","BAT_TASK_ERROR")</f>
        <v>BAT_TASK_ERROR</v>
      </c>
      <c r="C194" s="145" t="s">
        <v>221</v>
      </c>
      <c r="D194" s="171" t="s">
        <v>222</v>
      </c>
    </row>
    <row r="195" ht="17" spans="2:4">
      <c r="B195" s="80" t="str">
        <f>HYPERLINK("#BAT_TASK_LOG!A1","BAT_TASK_LOG")</f>
        <v>BAT_TASK_LOG</v>
      </c>
      <c r="C195" s="145" t="s">
        <v>223</v>
      </c>
      <c r="D195" s="172"/>
    </row>
    <row r="196" ht="17" spans="2:4">
      <c r="B196" s="80" t="str">
        <f>HYPERLINK("#BAT_UPLOAD!A1","BAT_UPLOAD")</f>
        <v>BAT_UPLOAD</v>
      </c>
      <c r="C196" s="145" t="s">
        <v>224</v>
      </c>
      <c r="D196" s="172"/>
    </row>
    <row r="197" ht="17" spans="2:4">
      <c r="B197" s="80" t="str">
        <f>HYPERLINK("#USER_DEFINEINFO!A1","USER_DEFINEINFO")</f>
        <v>USER_DEFINEINFO</v>
      </c>
      <c r="C197" s="145" t="s">
        <v>225</v>
      </c>
      <c r="D197" s="173"/>
    </row>
    <row r="198" ht="17" spans="2:4">
      <c r="B198" s="168" t="s">
        <v>226</v>
      </c>
      <c r="C198" s="174" t="s">
        <v>227</v>
      </c>
      <c r="D198" s="175" t="s">
        <v>228</v>
      </c>
    </row>
    <row r="199" ht="17" spans="2:4">
      <c r="B199" s="168" t="s">
        <v>229</v>
      </c>
      <c r="C199" s="174" t="s">
        <v>230</v>
      </c>
      <c r="D199" s="175"/>
    </row>
    <row r="200" ht="16.8" spans="2:4">
      <c r="B200" s="160" t="s">
        <v>231</v>
      </c>
      <c r="C200" s="174" t="s">
        <v>232</v>
      </c>
      <c r="D200" s="175"/>
    </row>
    <row r="201" ht="16" spans="2:4">
      <c r="B201" s="57" t="s">
        <v>233</v>
      </c>
      <c r="C201" s="83" t="s">
        <v>234</v>
      </c>
      <c r="D201" s="176" t="s">
        <v>235</v>
      </c>
    </row>
  </sheetData>
  <mergeCells count="17">
    <mergeCell ref="D3:D13"/>
    <mergeCell ref="D14:D70"/>
    <mergeCell ref="D72:D77"/>
    <mergeCell ref="D78:D82"/>
    <mergeCell ref="D83:D85"/>
    <mergeCell ref="D86:D87"/>
    <mergeCell ref="D88:D114"/>
    <mergeCell ref="D115:D117"/>
    <mergeCell ref="D118:D122"/>
    <mergeCell ref="D123:D131"/>
    <mergeCell ref="D132:D147"/>
    <mergeCell ref="D148:D152"/>
    <mergeCell ref="D153:D155"/>
    <mergeCell ref="D156:D163"/>
    <mergeCell ref="D164:D193"/>
    <mergeCell ref="D194:D197"/>
    <mergeCell ref="D198:D200"/>
  </mergeCells>
  <hyperlinks>
    <hyperlink ref="B106" location="flow_model_relative!A1" display="FLOW_MODEL_RELATIVE"/>
    <hyperlink ref="B89" location="wf_opinion!A1" display="wf_opinion"/>
    <hyperlink ref="B3" location="audit_info!A1" display="=HYPERLINK(&quot;#AUDIT_INFO!A1&quot;,&quot;AUDIT_INFO&quot;)"/>
    <hyperlink ref="B185" location="CLR_BELONG!A1" display="CLR_BELONG"/>
    <hyperlink ref="B186" location="CLR_PROPERTY_HOUSE_INFO!A1" display="CLR_PROPERTY_HOUSE_INFO"/>
    <hyperlink ref="B187" location="CLR_PROPERTY_RIGHT_HOLDER_INFO!A1" display="CLR_PROPERTY_RIGHT_HOLDER_INFO"/>
    <hyperlink ref="B188" location="CLR_GUARANTY_FILE_UP_RECORD!A1" display="CLR_GUARANTY_FILE_UP_RECORD"/>
    <hyperlink ref="B189" location="CLR_REGISTER_RECORD_APPL!A1" display="CLR_REGISTER_RECORD_APPL"/>
    <hyperlink ref="B190" location="CLR_OWNERSHIP_CHANGE_INFO!A1" display="CLR_OWNERSHIP_CHANGE_INFO"/>
    <hyperlink ref="B191" location="CLR_RIGHTCERT_TRAPPL_RELA!A1" display="CLR_RIGHTCERT_TRAPPL_RELA"/>
    <hyperlink ref="B193" location="CLR_CORE_REGISTER_PACKAGE!A1" display="CLR_CORE_REGISTER_PACKAGE"/>
    <hyperlink ref="B192" location="CLR_CORE_REGISTER_INFO!A1" display="CLR_CORE_REGISTER_INFO"/>
    <hyperlink ref="B199" location="RISK_MITIGATION_BIZ!A1" display="RISK_MITIGATION_BIZ"/>
    <hyperlink ref="B198" location="CLR_RISK_MITIGATION_DETAIL!A1" display="RISK_MITIGATION_DETAIL"/>
    <hyperlink ref="B200" location="RISK_MITIGATION_CLR!A1" display="RISK_MITIGATION_CLR"/>
    <hyperlink ref="B178" location="CLR_INVOICE_RECORD!A1" display="CLR_INVOICE_RECORD"/>
    <hyperlink ref="B163" location="CLR_EVALUATION_APPL_RELA!A1" display="CLR_EVALUATION_APPL_GROUP"/>
    <hyperlink ref="B162" location="CLR_ONLINE_RESULT!A1" display="CLR_ONLINE_RESULT"/>
  </hyperlinks>
  <pageMargins left="0.75" right="0.75" top="1" bottom="1" header="0.5" footer="0.5"/>
  <pageSetup paperSize="1" orientation="portrait" horizontalDpi="300" verticalDpi="300"/>
  <headerFooter alignWithMargins="0" scaleWithDoc="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E201"/>
  <sheetViews>
    <sheetView zoomScaleSheetLayoutView="60" topLeftCell="A8" workbookViewId="0">
      <selection activeCell="B159" sqref="B159"/>
    </sheetView>
  </sheetViews>
  <sheetFormatPr defaultColWidth="9.14285714285714" defaultRowHeight="15.2" outlineLevelCol="4"/>
  <cols>
    <col min="2" max="2" width="38" customWidth="1"/>
    <col min="3" max="3" width="35.2857142857143" customWidth="1"/>
    <col min="4" max="4" width="19.8571428571429" customWidth="1"/>
  </cols>
  <sheetData>
    <row r="2" ht="16" spans="2:4">
      <c r="B2" s="138" t="s">
        <v>0</v>
      </c>
      <c r="C2" s="139" t="s">
        <v>1</v>
      </c>
      <c r="D2" s="139" t="s">
        <v>2</v>
      </c>
    </row>
    <row r="3" ht="17" spans="2:4">
      <c r="B3" s="80" t="str">
        <f>HYPERLINK("#AUDIT_INFO!A1","AUDIT_INFO")</f>
        <v>AUDIT_INFO</v>
      </c>
      <c r="C3" s="140" t="s">
        <v>3</v>
      </c>
      <c r="D3" s="141" t="s">
        <v>4</v>
      </c>
    </row>
    <row r="4" ht="17" spans="2:4">
      <c r="B4" s="142" t="str">
        <f>HYPERLINK("#APPRAISAL_AGENCY!A1","APPRAISAL_AGENCY")</f>
        <v>APPRAISAL_AGENCY</v>
      </c>
      <c r="C4" s="143" t="s">
        <v>4</v>
      </c>
      <c r="D4" s="141"/>
    </row>
    <row r="5" ht="17" spans="2:4">
      <c r="B5" s="144" t="str">
        <f>HYPERLINK("#APPRAISAL_AGENCY_APPLY!A1","APPRAISAL_AGENCY_APPLY")</f>
        <v>APPRAISAL_AGENCY_APPLY</v>
      </c>
      <c r="C5" s="140" t="s">
        <v>5</v>
      </c>
      <c r="D5" s="141"/>
    </row>
    <row r="6" ht="17" spans="2:4">
      <c r="B6" s="80" t="str">
        <f>HYPERLINK("#APPRAISAL_AGENCY_APPRAISE!A1","APPRAISAL_AGENCY_APPRAISE")</f>
        <v>APPRAISAL_AGENCY_APPRAISE</v>
      </c>
      <c r="C6" s="145" t="s">
        <v>6</v>
      </c>
      <c r="D6" s="141"/>
    </row>
    <row r="7" ht="17" spans="2:4">
      <c r="B7" s="80" t="str">
        <f>HYPERLINK("#APPRAISAL_AGENCY_COOPERATION!A1","APPRAISAL_AGENCY_COOPERATION")</f>
        <v>APPRAISAL_AGENCY_COOPERATION</v>
      </c>
      <c r="C7" s="145" t="s">
        <v>7</v>
      </c>
      <c r="D7" s="141"/>
    </row>
    <row r="8" ht="17" spans="2:4">
      <c r="B8" s="80" t="str">
        <f>HYPERLINK("#APPRAISAL_AGENCY_EVENT!A1","APPRAISAL_AGENCY_EVENT")</f>
        <v>APPRAISAL_AGENCY_EVENT</v>
      </c>
      <c r="C8" s="145" t="s">
        <v>8</v>
      </c>
      <c r="D8" s="141"/>
    </row>
    <row r="9" ht="17" spans="2:4">
      <c r="B9" s="80" t="str">
        <f>HYPERLINK("#APPRAISAL_AGENCY_EXPENSES!A1","APPRAISAL_AGENCY_EXPENSES")</f>
        <v>APPRAISAL_AGENCY_EXPENSES</v>
      </c>
      <c r="C9" s="145" t="s">
        <v>9</v>
      </c>
      <c r="D9" s="141"/>
    </row>
    <row r="10" ht="17" spans="2:4">
      <c r="B10" s="80" t="str">
        <f>HYPERLINK("#APPRAISAL_AGENCY_FILE!A1","APPRAISAL_AGENCY_FILE")</f>
        <v>APPRAISAL_AGENCY_FILE</v>
      </c>
      <c r="C10" s="145" t="s">
        <v>10</v>
      </c>
      <c r="D10" s="141"/>
    </row>
    <row r="11" ht="17" spans="2:4">
      <c r="B11" s="80" t="str">
        <f>HYPERLINK("#APPRAISAL_AGENCY_INFORMATION!A1","APPRAISAL_AGENCY_INFORMATION")</f>
        <v>APPRAISAL_AGENCY_INFORMATION</v>
      </c>
      <c r="C11" s="145" t="s">
        <v>11</v>
      </c>
      <c r="D11" s="141"/>
    </row>
    <row r="12" ht="17" spans="2:4">
      <c r="B12" s="80" t="str">
        <f>HYPERLINK("#APPRAISAL_AGENCY_QUALIFICATION!A1","APPRAISAL_AGENCY_QUALIFICATION")</f>
        <v>APPRAISAL_AGENCY_QUALIFICATION</v>
      </c>
      <c r="C12" s="145" t="s">
        <v>12</v>
      </c>
      <c r="D12" s="141"/>
    </row>
    <row r="13" ht="17" spans="2:4">
      <c r="B13" s="80" t="str">
        <f>HYPERLINK("#APPRAISAL_APPLY_RELATIVE!A1","APPRAISAL_APPLY_RELATIVE")</f>
        <v>APPRAISAL_APPLY_RELATIVE</v>
      </c>
      <c r="C13" s="145" t="s">
        <v>13</v>
      </c>
      <c r="D13" s="141"/>
    </row>
    <row r="14" ht="17" hidden="1" spans="2:4">
      <c r="B14" s="80" t="str">
        <f>HYPERLINK("#AWE_BIZFILE_INFO!A1","AWE_BIZFILE_INFO")</f>
        <v>AWE_BIZFILE_INFO</v>
      </c>
      <c r="C14" s="145" t="s">
        <v>14</v>
      </c>
      <c r="D14" s="146" t="s">
        <v>15</v>
      </c>
    </row>
    <row r="15" ht="17" hidden="1" spans="2:4">
      <c r="B15" s="80" t="str">
        <f>HYPERLINK("#AWE_DICT_ERRMSG!A1","AWE_DICT_ERRMSG")</f>
        <v>AWE_DICT_ERRMSG</v>
      </c>
      <c r="C15" s="145" t="s">
        <v>16</v>
      </c>
      <c r="D15" s="147"/>
    </row>
    <row r="16" ht="17" hidden="1" spans="2:4">
      <c r="B16" s="80" t="str">
        <f>HYPERLINK("#AWE_DO_CATALOG!A1","AWE_DO_CATALOG")</f>
        <v>AWE_DO_CATALOG</v>
      </c>
      <c r="C16" s="145" t="s">
        <v>17</v>
      </c>
      <c r="D16" s="147"/>
    </row>
    <row r="17" ht="17" hidden="1" spans="2:4">
      <c r="B17" s="80" t="str">
        <f>HYPERLINK("#AWE_DO_COL_VALIDATE!A1","AWE_DO_COL_VALIDATE")</f>
        <v>AWE_DO_COL_VALIDATE</v>
      </c>
      <c r="C17" s="145" t="s">
        <v>18</v>
      </c>
      <c r="D17" s="147"/>
    </row>
    <row r="18" ht="17" hidden="1" spans="2:4">
      <c r="B18" s="80" t="str">
        <f>HYPERLINK("#AWE_DO_EVENT!A1","AWE_DO_EVENT")</f>
        <v>AWE_DO_EVENT</v>
      </c>
      <c r="C18" s="145" t="s">
        <v>19</v>
      </c>
      <c r="D18" s="147"/>
    </row>
    <row r="19" ht="17" hidden="1" spans="2:4">
      <c r="B19" s="80" t="str">
        <f>HYPERLINK("#AWE_DO_FUNCTION!A1","AWE_DO_FUNCTION")</f>
        <v>AWE_DO_FUNCTION</v>
      </c>
      <c r="C19" s="145" t="s">
        <v>20</v>
      </c>
      <c r="D19" s="147"/>
    </row>
    <row r="20" ht="17" hidden="1" spans="2:4">
      <c r="B20" s="80" t="str">
        <f>HYPERLINK("#AWE_DO_GROUP!A1","AWE_DO_GROUP")</f>
        <v>AWE_DO_GROUP</v>
      </c>
      <c r="C20" s="145" t="s">
        <v>21</v>
      </c>
      <c r="D20" s="147"/>
    </row>
    <row r="21" ht="17" hidden="1" spans="2:4">
      <c r="B21" s="80" t="str">
        <f>HYPERLINK("#AWE_DO_JS_FUNCTION!A1","AWE_DO_JS_FUNCTION")</f>
        <v>AWE_DO_JS_FUNCTION</v>
      </c>
      <c r="C21" s="145" t="s">
        <v>22</v>
      </c>
      <c r="D21" s="147"/>
    </row>
    <row r="22" ht="17" hidden="1" spans="2:4">
      <c r="B22" s="80" t="str">
        <f>HYPERLINK("#AWE_DO_KEYFILTER!A1","AWE_DO_KEYFILTER")</f>
        <v>AWE_DO_KEYFILTER</v>
      </c>
      <c r="C22" s="145" t="s">
        <v>23</v>
      </c>
      <c r="D22" s="147"/>
    </row>
    <row r="23" ht="17" hidden="1" spans="2:4">
      <c r="B23" s="80" t="str">
        <f>HYPERLINK("#AWE_DO_LIBRARY!A1","AWE_DO_LIBRARY")</f>
        <v>AWE_DO_LIBRARY</v>
      </c>
      <c r="C23" s="145" t="s">
        <v>24</v>
      </c>
      <c r="D23" s="147"/>
    </row>
    <row r="24" ht="17" hidden="1" spans="2:4">
      <c r="B24" s="80" t="str">
        <f>HYPERLINK("#AWE_DO_MODES!A1","AWE_DO_MODES")</f>
        <v>AWE_DO_MODES</v>
      </c>
      <c r="C24" s="145" t="s">
        <v>25</v>
      </c>
      <c r="D24" s="147"/>
    </row>
    <row r="25" ht="17" hidden="1" spans="2:4">
      <c r="B25" s="80" t="str">
        <f>HYPERLINK("#AWE_DO_VALIDATE!A1","AWE_DO_VALIDATE")</f>
        <v>AWE_DO_VALIDATE</v>
      </c>
      <c r="C25" s="145" t="s">
        <v>26</v>
      </c>
      <c r="D25" s="147"/>
    </row>
    <row r="26" ht="17" hidden="1" spans="2:4">
      <c r="B26" s="80" t="str">
        <f>HYPERLINK("#AWE_DO_VALIDATE_CATALOG!A1","AWE_DO_VALIDATE_CATALOG")</f>
        <v>AWE_DO_VALIDATE_CATALOG</v>
      </c>
      <c r="C26" s="145" t="s">
        <v>27</v>
      </c>
      <c r="D26" s="147"/>
    </row>
    <row r="27" ht="17" hidden="1" spans="2:4">
      <c r="B27" s="80" t="str">
        <f>HYPERLINK("#AWE_DW_CONTEXT!A1","AWE_DW_CONTEXT")</f>
        <v>AWE_DW_CONTEXT</v>
      </c>
      <c r="C27" s="145" t="s">
        <v>28</v>
      </c>
      <c r="D27" s="147"/>
    </row>
    <row r="28" ht="17" hidden="1" spans="2:4">
      <c r="B28" s="80" t="str">
        <f>HYPERLINK("#AWE_FUNCTION_INFO!A1","AWE_FUNCTION_INFO")</f>
        <v>AWE_FUNCTION_INFO</v>
      </c>
      <c r="C28" s="145" t="s">
        <v>29</v>
      </c>
      <c r="D28" s="147"/>
    </row>
    <row r="29" ht="17" hidden="1" spans="2:4">
      <c r="B29" s="80" t="str">
        <f>HYPERLINK("#AWE_FUNCTION_URL!A1","AWE_FUNCTION_URL")</f>
        <v>AWE_FUNCTION_URL</v>
      </c>
      <c r="C29" s="145" t="s">
        <v>30</v>
      </c>
      <c r="D29" s="147"/>
    </row>
    <row r="30" ht="17" hidden="1" spans="2:4">
      <c r="B30" s="80" t="str">
        <f>HYPERLINK("#AWE_GROUP_CATALOG!A1","AWE_GROUP_CATALOG")</f>
        <v>AWE_GROUP_CATALOG</v>
      </c>
      <c r="C30" s="145" t="s">
        <v>31</v>
      </c>
      <c r="D30" s="147"/>
    </row>
    <row r="31" ht="17" hidden="1" spans="2:4">
      <c r="B31" s="80" t="str">
        <f>HYPERLINK("#CODE_CATALOG!A1","CODE_CATALOG")</f>
        <v>CODE_CATALOG</v>
      </c>
      <c r="C31" s="145" t="s">
        <v>32</v>
      </c>
      <c r="D31" s="147"/>
    </row>
    <row r="32" ht="17" hidden="1" spans="2:4">
      <c r="B32" s="80" t="str">
        <f>HYPERLINK("#CODE_LIBRARY!A1","CODE_LIBRARY")</f>
        <v>CODE_LIBRARY</v>
      </c>
      <c r="C32" s="145" t="s">
        <v>33</v>
      </c>
      <c r="D32" s="147"/>
    </row>
    <row r="33" ht="17" hidden="1" spans="2:4">
      <c r="B33" s="148" t="str">
        <f>HYPERLINK("#OBJECTTYPE_CATALOG!A1","OBJECTTYPE_CATALOG")</f>
        <v>OBJECTTYPE_CATALOG</v>
      </c>
      <c r="C33" s="145" t="s">
        <v>34</v>
      </c>
      <c r="D33" s="147"/>
    </row>
    <row r="34" ht="17" hidden="1" spans="2:4">
      <c r="B34" s="80" t="str">
        <f>HYPERLINK("#OBJECTTYPE_RELA!A1","OBJECTTYPE_RELA")</f>
        <v>OBJECTTYPE_RELA</v>
      </c>
      <c r="C34" s="145" t="s">
        <v>35</v>
      </c>
      <c r="D34" s="147"/>
    </row>
    <row r="35" ht="17" hidden="1" spans="2:4">
      <c r="B35" s="80" t="str">
        <f>HYPERLINK("#OBJECT_ATTRIBUTE!A1","OBJECT_ATTRIBUTE")</f>
        <v>OBJECT_ATTRIBUTE</v>
      </c>
      <c r="C35" s="145" t="s">
        <v>36</v>
      </c>
      <c r="D35" s="147"/>
    </row>
    <row r="36" ht="17" hidden="1" spans="2:4">
      <c r="B36" s="80" t="str">
        <f>HYPERLINK("#OBJECT_MAXSN!A1","OBJECT_MAXSN")</f>
        <v>OBJECT_MAXSN</v>
      </c>
      <c r="C36" s="145" t="s">
        <v>37</v>
      </c>
      <c r="D36" s="147"/>
    </row>
    <row r="37" ht="17" hidden="1" spans="2:4">
      <c r="B37" s="80" t="str">
        <f>HYPERLINK("#ROLE_RIGHT!A1","ROLE_RIGHT")</f>
        <v>ROLE_RIGHT</v>
      </c>
      <c r="C37" s="145" t="s">
        <v>38</v>
      </c>
      <c r="D37" s="147"/>
    </row>
    <row r="38" ht="17" hidden="1" spans="2:4">
      <c r="B38" s="80" t="str">
        <f>HYPERLINK("#SECURITY_AUDIT!A1","SECURITY_AUDIT")</f>
        <v>SECURITY_AUDIT</v>
      </c>
      <c r="C38" s="145" t="s">
        <v>39</v>
      </c>
      <c r="D38" s="147"/>
    </row>
    <row r="39" ht="17" hidden="1" spans="2:4">
      <c r="B39" s="80" t="str">
        <f>HYPERLINK("#SELECT_CATALOG!A1","SELECT_CATALOG")</f>
        <v>SELECT_CATALOG</v>
      </c>
      <c r="C39" s="145" t="s">
        <v>40</v>
      </c>
      <c r="D39" s="147"/>
    </row>
    <row r="40" ht="17" hidden="1" spans="2:4">
      <c r="B40" s="80" t="str">
        <f>HYPERLINK("#USER_FAILEDLIST!A1","USER_FAILEDLIST")</f>
        <v>USER_FAILEDLIST</v>
      </c>
      <c r="C40" s="145" t="s">
        <v>41</v>
      </c>
      <c r="D40" s="147"/>
    </row>
    <row r="41" ht="17" hidden="1" spans="2:4">
      <c r="B41" s="80" t="str">
        <f>HYPERLINK("#USER_LIST!A1","USER_LIST")</f>
        <v>USER_LIST</v>
      </c>
      <c r="C41" s="145" t="s">
        <v>42</v>
      </c>
      <c r="D41" s="147"/>
    </row>
    <row r="42" ht="17" hidden="1" spans="2:4">
      <c r="B42" s="80" t="str">
        <f>HYPERLINK("#USER_LOGON_SESSION!A1","USER_LOGON_SESSION")</f>
        <v>USER_LOGON_SESSION</v>
      </c>
      <c r="C42" s="145" t="s">
        <v>43</v>
      </c>
      <c r="D42" s="147"/>
    </row>
    <row r="43" ht="17" hidden="1" spans="2:4">
      <c r="B43" s="80" t="str">
        <f>HYPERLINK("#USER_MARKINFO!A1","USER_MARKINFO")</f>
        <v>USER_MARKINFO</v>
      </c>
      <c r="C43" s="145" t="s">
        <v>44</v>
      </c>
      <c r="D43" s="147"/>
    </row>
    <row r="44" ht="17" hidden="1" spans="2:4">
      <c r="B44" s="80" t="str">
        <f>HYPERLINK("#USER_RIGHT!A1","USER_RIGHT")</f>
        <v>USER_RIGHT</v>
      </c>
      <c r="C44" s="145" t="s">
        <v>45</v>
      </c>
      <c r="D44" s="147"/>
    </row>
    <row r="45" ht="17" hidden="1" spans="2:4">
      <c r="B45" s="80" t="str">
        <f>HYPERLINK("#USER_RUNTIME!A1","USER_RUNTIME")</f>
        <v>USER_RUNTIME</v>
      </c>
      <c r="C45" s="145" t="s">
        <v>46</v>
      </c>
      <c r="D45" s="147"/>
    </row>
    <row r="46" ht="17" hidden="1" spans="2:4">
      <c r="B46" s="80" t="str">
        <f>HYPERLINK("#AWE_GROUP_CLASSIFY!A1","AWE_GROUP_CLASSIFY")</f>
        <v>AWE_GROUP_CLASSIFY</v>
      </c>
      <c r="C46" s="145" t="s">
        <v>47</v>
      </c>
      <c r="D46" s="147"/>
    </row>
    <row r="47" ht="17" hidden="1" spans="2:4">
      <c r="B47" s="80" t="str">
        <f>HYPERLINK("#AWE_GROUP_ITEM!A1","AWE_GROUP_ITEM")</f>
        <v>AWE_GROUP_ITEM</v>
      </c>
      <c r="C47" s="145" t="s">
        <v>48</v>
      </c>
      <c r="D47" s="147"/>
    </row>
    <row r="48" ht="17" hidden="1" spans="2:4">
      <c r="B48" s="80" t="str">
        <f>HYPERLINK("#AWE_HREF_INFO!A1","AWE_HREF_INFO")</f>
        <v>AWE_HREF_INFO</v>
      </c>
      <c r="C48" s="145" t="s">
        <v>49</v>
      </c>
      <c r="D48" s="147"/>
    </row>
    <row r="49" ht="17" hidden="1" spans="2:4">
      <c r="B49" s="80" t="str">
        <f>HYPERLINK("#AWE_JSP_RUNTIME!A1","AWE_JSP_RUNTIME")</f>
        <v>AWE_JSP_RUNTIME</v>
      </c>
      <c r="C49" s="145" t="s">
        <v>50</v>
      </c>
      <c r="D49" s="147"/>
    </row>
    <row r="50" ht="17" hidden="1" spans="2:4">
      <c r="B50" s="80" t="str">
        <f>HYPERLINK("#AWE_MENU_INFO!A1","AWE_MENU_INFO")</f>
        <v>AWE_MENU_INFO</v>
      </c>
      <c r="C50" s="145" t="s">
        <v>51</v>
      </c>
      <c r="D50" s="147"/>
    </row>
    <row r="51" ht="17" hidden="1" spans="2:4">
      <c r="B51" s="80" t="str">
        <f>HYPERLINK("#AWE_MESSAGE_INFO!A1","AWE_MESSAGE_INFO")</f>
        <v>AWE_MESSAGE_INFO</v>
      </c>
      <c r="C51" s="145" t="s">
        <v>52</v>
      </c>
      <c r="D51" s="147"/>
    </row>
    <row r="52" ht="17" hidden="1" spans="2:4">
      <c r="B52" s="80" t="str">
        <f>HYPERLINK("#AWE_MESSAGE_USER!A1","AWE_MESSAGE_USER")</f>
        <v>AWE_MESSAGE_USER</v>
      </c>
      <c r="C52" s="145" t="s">
        <v>53</v>
      </c>
      <c r="D52" s="147"/>
    </row>
    <row r="53" ht="17" hidden="1" spans="2:4">
      <c r="B53" s="80" t="str">
        <f>HYPERLINK("#AWE_QUERY_INFO!A1","AWE_QUERY_INFO")</f>
        <v>AWE_QUERY_INFO</v>
      </c>
      <c r="C53" s="145" t="s">
        <v>54</v>
      </c>
      <c r="D53" s="147"/>
    </row>
    <row r="54" ht="17" hidden="1" spans="2:4">
      <c r="B54" s="80" t="str">
        <f>HYPERLINK("#AWE_QUERY_USER!A1","AWE_QUERY_USER")</f>
        <v>AWE_QUERY_USER</v>
      </c>
      <c r="C54" s="145" t="s">
        <v>55</v>
      </c>
      <c r="D54" s="147"/>
    </row>
    <row r="55" ht="17" hidden="1" spans="2:4">
      <c r="B55" s="80" t="str">
        <f>HYPERLINK("#AWE_QUICK_HREF!A1","AWE_QUICK_HREF")</f>
        <v>AWE_QUICK_HREF</v>
      </c>
      <c r="C55" s="145" t="s">
        <v>56</v>
      </c>
      <c r="D55" s="147"/>
    </row>
    <row r="56" ht="17" hidden="1" spans="2:4">
      <c r="B56" s="80" t="str">
        <f>HYPERLINK("#AWE_RECORD_INFO!A1","AWE_RECORD_INFO")</f>
        <v>AWE_RECORD_INFO</v>
      </c>
      <c r="C56" s="145" t="s">
        <v>57</v>
      </c>
      <c r="D56" s="147"/>
    </row>
    <row r="57" ht="17" hidden="1" spans="2:4">
      <c r="B57" s="80" t="str">
        <f>HYPERLINK("#AWE_RIGHT_MENU!A1","AWE_RIGHT_MENU")</f>
        <v>AWE_RIGHT_MENU</v>
      </c>
      <c r="C57" s="145" t="s">
        <v>58</v>
      </c>
      <c r="D57" s="147"/>
    </row>
    <row r="58" ht="17" hidden="1" spans="2:4">
      <c r="B58" s="80" t="str">
        <f>HYPERLINK("#AWE_ROLE_FUNCTION!A1","AWE_ROLE_FUNCTION")</f>
        <v>AWE_ROLE_FUNCTION</v>
      </c>
      <c r="C58" s="145" t="s">
        <v>59</v>
      </c>
      <c r="D58" s="147"/>
    </row>
    <row r="59" ht="17" hidden="1" spans="2:4">
      <c r="B59" s="80" t="str">
        <f>HYPERLINK("#AWE_ROLE_MENU!A1","AWE_ROLE_MENU")</f>
        <v>AWE_ROLE_MENU</v>
      </c>
      <c r="C59" s="145" t="s">
        <v>60</v>
      </c>
      <c r="D59" s="147"/>
    </row>
    <row r="60" ht="17" hidden="1" spans="2:4">
      <c r="B60" s="80" t="str">
        <f>HYPERLINK("#AWE_ROLE_RIGHT!A1","AWE_ROLE_RIGHT")</f>
        <v>AWE_ROLE_RIGHT</v>
      </c>
      <c r="C60" s="145" t="s">
        <v>61</v>
      </c>
      <c r="D60" s="147"/>
    </row>
    <row r="61" ht="17" hidden="1" spans="2:4">
      <c r="B61" s="80" t="str">
        <f>HYPERLINK("#AWE_ROLE_URL!A1","AWE_ROLE_URL")</f>
        <v>AWE_ROLE_URL</v>
      </c>
      <c r="C61" s="145" t="s">
        <v>62</v>
      </c>
      <c r="D61" s="147"/>
    </row>
    <row r="62" ht="17" hidden="1" spans="2:4">
      <c r="B62" s="80" t="str">
        <f>HYPERLINK("#AWE_SHORTCUT!A1","AWE_SHORTCUT")</f>
        <v>AWE_SHORTCUT</v>
      </c>
      <c r="C62" s="145" t="s">
        <v>63</v>
      </c>
      <c r="D62" s="147"/>
    </row>
    <row r="63" ht="17" hidden="1" spans="2:4">
      <c r="B63" s="80" t="str">
        <f>HYPERLINK("#AWE_SHORTCUTITEM!A1","AWE_SHORTCUTITEM")</f>
        <v>AWE_SHORTCUTITEM</v>
      </c>
      <c r="C63" s="145" t="s">
        <v>64</v>
      </c>
      <c r="D63" s="147"/>
    </row>
    <row r="64" ht="17" hidden="1" spans="2:4">
      <c r="B64" s="80" t="str">
        <f>HYPERLINK("#AWE_TASK_INFO!A1","AWE_TASK_INFO")</f>
        <v>AWE_TASK_INFO</v>
      </c>
      <c r="C64" s="145" t="s">
        <v>65</v>
      </c>
      <c r="D64" s="147"/>
    </row>
    <row r="65" ht="17" hidden="1" spans="2:4">
      <c r="B65" s="80" t="str">
        <f>HYPERLINK("#AWE_TASK_PROCESS!A1","AWE_TASK_PROCESS")</f>
        <v>AWE_TASK_PROCESS</v>
      </c>
      <c r="C65" s="145" t="s">
        <v>66</v>
      </c>
      <c r="D65" s="147"/>
    </row>
    <row r="66" ht="17" hidden="1" spans="2:4">
      <c r="B66" s="80" t="str">
        <f>HYPERLINK("#AWE_WIZARD_CATALOG!A1","AWE_WIZARD_CATALOG")</f>
        <v>AWE_WIZARD_CATALOG</v>
      </c>
      <c r="C66" s="145" t="s">
        <v>67</v>
      </c>
      <c r="D66" s="147"/>
    </row>
    <row r="67" ht="17" hidden="1" spans="2:4">
      <c r="B67" s="80" t="str">
        <f>HYPERLINK("#AWE_WIZARD_LIBRARY!A1","AWE_WIZARD_LIBRARY")</f>
        <v>AWE_WIZARD_LIBRARY</v>
      </c>
      <c r="C67" s="145" t="s">
        <v>68</v>
      </c>
      <c r="D67" s="147"/>
    </row>
    <row r="68" ht="17" hidden="1" spans="2:4">
      <c r="B68" s="80" t="str">
        <f>HYPERLINK("#AWE_WIZARD_RUNNER!A1","AWE_WIZARD_RUNNER")</f>
        <v>AWE_WIZARD_RUNNER</v>
      </c>
      <c r="C68" s="145" t="s">
        <v>69</v>
      </c>
      <c r="D68" s="147"/>
    </row>
    <row r="69" ht="17" hidden="1" spans="2:4">
      <c r="B69" s="80" t="str">
        <f>HYPERLINK("#CLASS_CATALOG!A1","CLASS_CATALOG")</f>
        <v>CLASS_CATALOG</v>
      </c>
      <c r="C69" s="145" t="s">
        <v>70</v>
      </c>
      <c r="D69" s="147"/>
    </row>
    <row r="70" ht="17" hidden="1" spans="2:4">
      <c r="B70" s="80" t="str">
        <f>HYPERLINK("#CLASS_METHOD!A1","CLASS_METHOD")</f>
        <v>CLASS_METHOD</v>
      </c>
      <c r="C70" s="145" t="s">
        <v>71</v>
      </c>
      <c r="D70" s="149"/>
    </row>
    <row r="71" ht="17" spans="2:4">
      <c r="B71" s="79" t="str">
        <f>HYPERLINK("#CLR_REGISTER_RECORD!A1","CLR_REGISTER_RECORD")</f>
        <v>CLR_REGISTER_RECORD</v>
      </c>
      <c r="C71" s="143" t="s">
        <v>72</v>
      </c>
      <c r="D71" s="150" t="s">
        <v>73</v>
      </c>
    </row>
    <row r="72" ht="16.8" spans="2:4">
      <c r="B72" s="151" t="str">
        <f>HYPERLINK("#CLR_COMMODITY_MARKET!A1","CLR_COMMODITY_MARKET")</f>
        <v>CLR_COMMODITY_MARKET</v>
      </c>
      <c r="C72" s="152" t="s">
        <v>74</v>
      </c>
      <c r="D72" s="141" t="s">
        <v>75</v>
      </c>
    </row>
    <row r="73" ht="16.8" spans="2:4">
      <c r="B73" s="151" t="str">
        <f>HYPERLINK("#CLR_FUND_MARKET!A1","CLR_FUND_MARKET")</f>
        <v>CLR_FUND_MARKET</v>
      </c>
      <c r="C73" s="152" t="s">
        <v>76</v>
      </c>
      <c r="D73" s="141"/>
    </row>
    <row r="74" ht="16.8" spans="2:4">
      <c r="B74" s="151" t="str">
        <f>HYPERLINK("#CLR_FUND_MARKET_DETAIL!A1","CLR_FUND_MARKET_DETAIL")</f>
        <v>CLR_FUND_MARKET_DETAIL</v>
      </c>
      <c r="C74" s="152" t="s">
        <v>77</v>
      </c>
      <c r="D74" s="141"/>
    </row>
    <row r="75" ht="16.8" spans="2:4">
      <c r="B75" s="151" t="str">
        <f>HYPERLINK("#CLR_MATERIAL_CATALOG!A1","CLR_MATERIAL_CATALOG")</f>
        <v>CLR_MATERIAL_CATALOG</v>
      </c>
      <c r="C75" s="152" t="s">
        <v>78</v>
      </c>
      <c r="D75" s="141"/>
    </row>
    <row r="76" ht="16.8" spans="2:4">
      <c r="B76" s="151" t="str">
        <f>HYPERLINK("#CLR_STOCK_MARKET!A1","CLR_STOCK_MARKET")</f>
        <v>CLR_STOCK_MARKET</v>
      </c>
      <c r="C76" s="152" t="s">
        <v>79</v>
      </c>
      <c r="D76" s="141"/>
    </row>
    <row r="77" ht="16.8" spans="2:4">
      <c r="B77" s="151" t="str">
        <f>HYPERLINK("#CLR_STOCK_MARKET_DETAIL!A1","CLR_STOCK_MARKET_DETAIL")</f>
        <v>CLR_STOCK_MARKET_DETAIL</v>
      </c>
      <c r="C77" s="152" t="s">
        <v>80</v>
      </c>
      <c r="D77" s="141"/>
    </row>
    <row r="78" ht="17" hidden="1" spans="2:4">
      <c r="B78" s="80" t="str">
        <f>HYPERLINK("#SCENARIO_ARGS!A1","SCENARIO_ARGS")</f>
        <v>SCENARIO_ARGS</v>
      </c>
      <c r="C78" s="145" t="s">
        <v>81</v>
      </c>
      <c r="D78" s="141" t="s">
        <v>82</v>
      </c>
    </row>
    <row r="79" ht="17" hidden="1" spans="2:4">
      <c r="B79" s="80" t="str">
        <f>HYPERLINK("#SCENARIO_CATALOG!A1","SCENARIO_CATALOG")</f>
        <v>SCENARIO_CATALOG</v>
      </c>
      <c r="C79" s="145" t="s">
        <v>83</v>
      </c>
      <c r="D79" s="141"/>
    </row>
    <row r="80" ht="17" hidden="1" spans="2:4">
      <c r="B80" s="80" t="str">
        <f>HYPERLINK("#SCENARIO_GROUP!A1","SCENARIO_GROUP")</f>
        <v>SCENARIO_GROUP</v>
      </c>
      <c r="C80" s="145" t="s">
        <v>84</v>
      </c>
      <c r="D80" s="141"/>
    </row>
    <row r="81" ht="17" hidden="1" spans="2:4">
      <c r="B81" s="80" t="str">
        <f>HYPERLINK("#SCENARIO_MODEL!A1","SCENARIO_MODEL")</f>
        <v>SCENARIO_MODEL</v>
      </c>
      <c r="C81" s="145" t="s">
        <v>85</v>
      </c>
      <c r="D81" s="141"/>
    </row>
    <row r="82" ht="17" hidden="1" spans="2:4">
      <c r="B82" s="80" t="str">
        <f>HYPERLINK("#SCENARIO_RELATIVE!A1","SCENARIO_RELATIVE")</f>
        <v>SCENARIO_RELATIVE</v>
      </c>
      <c r="C82" s="145" t="s">
        <v>86</v>
      </c>
      <c r="D82" s="141"/>
    </row>
    <row r="83" ht="17" hidden="1" spans="2:4">
      <c r="B83" s="80" t="str">
        <f>HYPERLINK("#USER_WORKTIPS!A1","USER_WORKTIPS")</f>
        <v>USER_WORKTIPS</v>
      </c>
      <c r="C83" s="145" t="s">
        <v>87</v>
      </c>
      <c r="D83" s="146" t="s">
        <v>88</v>
      </c>
    </row>
    <row r="84" ht="16.8" hidden="1" spans="2:4">
      <c r="B84" s="80" t="str">
        <f>HYPERLINK("#WORKTIP_CONDITION!A1","WORKTIP_CONDITION")</f>
        <v>WORKTIP_CONDITION</v>
      </c>
      <c r="C84" s="152" t="s">
        <v>89</v>
      </c>
      <c r="D84" s="147"/>
    </row>
    <row r="85" ht="16.8" hidden="1" spans="2:4">
      <c r="B85" s="80" t="str">
        <f>HYPERLINK("#WORKTIP_SUMMARY!A1","WORKTIP_SUMMARY")</f>
        <v>WORKTIP_SUMMARY</v>
      </c>
      <c r="C85" s="152" t="s">
        <v>90</v>
      </c>
      <c r="D85" s="149"/>
    </row>
    <row r="86" ht="17" hidden="1" spans="2:4">
      <c r="B86" s="153" t="str">
        <f>HYPERLINK("#CLR_VERIFICATION_INFO!A1","CLR_VERIFICATION_INFO")</f>
        <v>CLR_VERIFICATION_INFO</v>
      </c>
      <c r="C86" s="154" t="s">
        <v>91</v>
      </c>
      <c r="D86" s="155" t="s">
        <v>92</v>
      </c>
    </row>
    <row r="87" ht="17" hidden="1" spans="2:4">
      <c r="B87" s="153" t="str">
        <f>HYPERLINK("#CLR_VERIFICATION_RECORD!A1","CLR_VERIFICATION_RECORD")</f>
        <v>CLR_VERIFICATION_RECORD</v>
      </c>
      <c r="C87" s="154" t="s">
        <v>93</v>
      </c>
      <c r="D87" s="155"/>
    </row>
    <row r="88" ht="16.8" hidden="1" spans="2:4">
      <c r="B88" s="80" t="str">
        <f>HYPERLINK("#WF_INSTANCE!A1","WF_INSTANCE")</f>
        <v>WF_INSTANCE</v>
      </c>
      <c r="C88" s="80" t="s">
        <v>94</v>
      </c>
      <c r="D88" s="146" t="s">
        <v>95</v>
      </c>
    </row>
    <row r="89" ht="16.8" hidden="1" spans="2:4">
      <c r="B89" s="80" t="s">
        <v>96</v>
      </c>
      <c r="C89" s="80" t="s">
        <v>97</v>
      </c>
      <c r="D89" s="147"/>
    </row>
    <row r="90" ht="17" hidden="1" spans="2:4">
      <c r="B90" s="80" t="str">
        <f>HYPERLINK("#WF_WORKITEM!A1","WF_WORKITEM")</f>
        <v>WF_WORKITEM</v>
      </c>
      <c r="C90" s="80" t="s">
        <v>98</v>
      </c>
      <c r="D90" s="147"/>
    </row>
    <row r="91" ht="17" hidden="1" spans="2:4">
      <c r="B91" s="80" t="str">
        <f>HYPERLINK("#WF_ACTIVEINSTANCE!A1","WF_ACTIVEINSTANCE")</f>
        <v>WF_ACTIVEINSTANCE</v>
      </c>
      <c r="C91" s="80" t="s">
        <v>99</v>
      </c>
      <c r="D91" s="147"/>
    </row>
    <row r="92" ht="17" hidden="1" spans="2:4">
      <c r="B92" s="80" t="str">
        <f>HYPERLINK("#FLOW_ACTIVITIES!A1","FLOW_ACTIVITIES")</f>
        <v>FLOW_ACTIVITIES</v>
      </c>
      <c r="C92" s="80" t="s">
        <v>100</v>
      </c>
      <c r="D92" s="147"/>
    </row>
    <row r="93" ht="16.8" hidden="1" spans="2:4">
      <c r="B93" s="80" t="str">
        <f>HYPERLINK("#FLOW_ATTRIBUTEGROUP!A1","FLOW_ATTRIBUTEGROUP")</f>
        <v>FLOW_ATTRIBUTEGROUP</v>
      </c>
      <c r="C93" s="80" t="s">
        <v>101</v>
      </c>
      <c r="D93" s="147"/>
    </row>
    <row r="94" ht="16.8" hidden="1" spans="2:4">
      <c r="B94" s="80" t="str">
        <f>HYPERLINK("#FLOW_BUTTONGROUP!A1","FLOW_BUTTONGROUP")</f>
        <v>FLOW_BUTTONGROUP</v>
      </c>
      <c r="C94" s="80" t="s">
        <v>102</v>
      </c>
      <c r="D94" s="147"/>
    </row>
    <row r="95" ht="16.8" hidden="1" spans="2:4">
      <c r="B95" s="80" t="str">
        <f>HYPERLINK("#FLOW_BUTTONITEM!A1","FLOW_BUTTONITEM")</f>
        <v>FLOW_BUTTONITEM</v>
      </c>
      <c r="C95" s="80" t="s">
        <v>103</v>
      </c>
      <c r="D95" s="147"/>
    </row>
    <row r="96" ht="16.8" hidden="1" spans="2:4">
      <c r="B96" s="80" t="str">
        <f>HYPERLINK("#FLOW_DEF!A1","FLOW_DEF")</f>
        <v>FLOW_DEF</v>
      </c>
      <c r="C96" s="80" t="s">
        <v>104</v>
      </c>
      <c r="D96" s="147"/>
    </row>
    <row r="97" ht="16.8" hidden="1" spans="2:4">
      <c r="B97" s="80" t="str">
        <f>HYPERLINK("#FLOW_DEPLOY!A1","FLOW_DEPLOY")</f>
        <v>FLOW_DEPLOY</v>
      </c>
      <c r="C97" s="80" t="s">
        <v>105</v>
      </c>
      <c r="D97" s="147"/>
    </row>
    <row r="98" ht="16.8" hidden="1" spans="2:4">
      <c r="B98" s="80" t="str">
        <f>HYPERLINK("#FLOW_GROUP!A1","FLOW_GROUP")</f>
        <v>FLOW_GROUP</v>
      </c>
      <c r="C98" s="80" t="s">
        <v>106</v>
      </c>
      <c r="D98" s="147"/>
    </row>
    <row r="99" ht="16.8" hidden="1" spans="2:4">
      <c r="B99" s="80" t="str">
        <f>HYPERLINK("#FLOW_HI_MODEL!A1","FLOW_HI_MODEL")</f>
        <v>FLOW_HI_MODEL</v>
      </c>
      <c r="C99" s="80" t="s">
        <v>107</v>
      </c>
      <c r="D99" s="147"/>
    </row>
    <row r="100" ht="16.8" hidden="1" spans="2:4">
      <c r="B100" s="80" t="str">
        <f>HYPERLINK("#FLOW_MESSAGE!A1","FLOW_MESSAGE")</f>
        <v>FLOW_MESSAGE</v>
      </c>
      <c r="C100" s="80" t="s">
        <v>108</v>
      </c>
      <c r="D100" s="147"/>
    </row>
    <row r="101" ht="16.8" hidden="1" spans="2:4">
      <c r="B101" s="80" t="str">
        <f>HYPERLINK("#FLOW_PHASETYPE!A1","FLOW_PHASETYPE")</f>
        <v>FLOW_PHASETYPE</v>
      </c>
      <c r="C101" s="80" t="s">
        <v>109</v>
      </c>
      <c r="D101" s="147"/>
    </row>
    <row r="102" ht="16.8" hidden="1" spans="2:4">
      <c r="B102" s="80" t="str">
        <f>HYPERLINK("#FLOW_RU_MODEL!A1","FLOW_RU_MODEL")</f>
        <v>FLOW_RU_MODEL</v>
      </c>
      <c r="C102" s="80" t="s">
        <v>110</v>
      </c>
      <c r="D102" s="147"/>
    </row>
    <row r="103" ht="16.8" hidden="1" spans="2:4">
      <c r="B103" s="80" t="str">
        <f>HYPERLINK("#FLOW_USERCONF!A1","FLOW_USERCONF")</f>
        <v>FLOW_USERCONF</v>
      </c>
      <c r="C103" s="80" t="s">
        <v>111</v>
      </c>
      <c r="D103" s="147"/>
    </row>
    <row r="104" ht="16.8" hidden="1" spans="2:4">
      <c r="B104" s="80" t="str">
        <f>HYPERLINK("#FLOW_CATALOG!A1","FLOW_CATALOG")</f>
        <v>FLOW_CATALOG</v>
      </c>
      <c r="C104" s="80" t="s">
        <v>95</v>
      </c>
      <c r="D104" s="147"/>
    </row>
    <row r="105" ht="17" hidden="1" spans="2:4">
      <c r="B105" s="80" t="str">
        <f>HYPERLINK("#FLOW_MODEL!A1","FLOW_MODEL")</f>
        <v>FLOW_MODEL</v>
      </c>
      <c r="C105" s="80" t="s">
        <v>112</v>
      </c>
      <c r="D105" s="147"/>
    </row>
    <row r="106" ht="16.8" hidden="1" spans="2:4">
      <c r="B106" s="80" t="s">
        <v>113</v>
      </c>
      <c r="C106" s="80" t="s">
        <v>114</v>
      </c>
      <c r="D106" s="147"/>
    </row>
    <row r="107" ht="17" hidden="1" spans="2:4">
      <c r="B107" s="80" t="str">
        <f>HYPERLINK("#FLOW_OBJECT!A1","FLOW_OBJECT")</f>
        <v>FLOW_OBJECT</v>
      </c>
      <c r="C107" s="145" t="s">
        <v>115</v>
      </c>
      <c r="D107" s="147"/>
    </row>
    <row r="108" ht="17" hidden="1" spans="2:4">
      <c r="B108" s="80" t="str">
        <f>HYPERLINK("#FLOW_OBJECT_SUMMARY!A1","FLOW_OBJECT_SUMMARY")</f>
        <v>FLOW_OBJECT_SUMMARY</v>
      </c>
      <c r="C108" s="145" t="s">
        <v>116</v>
      </c>
      <c r="D108" s="147"/>
    </row>
    <row r="109" ht="17" hidden="1" spans="2:4">
      <c r="B109" s="80" t="str">
        <f>HYPERLINK("#FLOW_OPINION!A1","FLOW_OPINION")</f>
        <v>FLOW_OPINION</v>
      </c>
      <c r="C109" s="145" t="s">
        <v>97</v>
      </c>
      <c r="D109" s="147"/>
    </row>
    <row r="110" ht="17" hidden="1" spans="2:4">
      <c r="B110" s="80" t="str">
        <f>HYPERLINK("#FLOW_SWIMLANE!A1","FLOW_SWIMLANE")</f>
        <v>FLOW_SWIMLANE</v>
      </c>
      <c r="C110" s="145" t="s">
        <v>117</v>
      </c>
      <c r="D110" s="147"/>
    </row>
    <row r="111" ht="17" hidden="1" spans="2:4">
      <c r="B111" s="80" t="str">
        <f>HYPERLINK("#FLOW_TASK!A1","FLOW_TASK")</f>
        <v>FLOW_TASK</v>
      </c>
      <c r="C111" s="145" t="s">
        <v>118</v>
      </c>
      <c r="D111" s="147"/>
    </row>
    <row r="112" ht="17" hidden="1" spans="2:4">
      <c r="B112" s="80" t="str">
        <f>HYPERLINK("#FLOW_TASK_CLOSED!A1","FLOW_TASK_CLOSED")</f>
        <v>FLOW_TASK_CLOSED</v>
      </c>
      <c r="C112" s="145" t="s">
        <v>119</v>
      </c>
      <c r="D112" s="147"/>
    </row>
    <row r="113" ht="17" hidden="1" spans="2:4">
      <c r="B113" s="80" t="str">
        <f>HYPERLINK("#FLOW_USER_RELA!A1","FLOW_USER_RELA")</f>
        <v>FLOW_USER_RELA</v>
      </c>
      <c r="C113" s="145" t="s">
        <v>120</v>
      </c>
      <c r="D113" s="147"/>
    </row>
    <row r="114" ht="16.8" hidden="1" spans="2:4">
      <c r="B114" s="80" t="str">
        <f>HYPERLINK("#FLOW_PROPS!A1","FLOW_PROPS")</f>
        <v>FLOW_PROPS</v>
      </c>
      <c r="C114" s="156" t="s">
        <v>121</v>
      </c>
      <c r="D114" s="149"/>
    </row>
    <row r="115" ht="17" hidden="1" spans="2:4">
      <c r="B115" s="151" t="str">
        <f>HYPERLINK("#TASK_RUN_HISTORY!A1","TASK_RUN_HISTORY")</f>
        <v>TASK_RUN_HISTORY</v>
      </c>
      <c r="C115" s="152" t="s">
        <v>122</v>
      </c>
      <c r="D115" s="141" t="s">
        <v>123</v>
      </c>
    </row>
    <row r="116" ht="17" hidden="1" spans="2:4">
      <c r="B116" s="151" t="str">
        <f>HYPERLINK("#TASK_RUN_INTERACT!A1","TASK_RUN_INTERACT")</f>
        <v>TASK_RUN_INTERACT</v>
      </c>
      <c r="C116" s="152" t="s">
        <v>124</v>
      </c>
      <c r="D116" s="141"/>
    </row>
    <row r="117" ht="17" hidden="1" spans="2:4">
      <c r="B117" s="151" t="str">
        <f>HYPERLINK("#TASK_RUN_STATUS!A1","TASK_RUN_STATUS")</f>
        <v>TASK_RUN_STATUS</v>
      </c>
      <c r="C117" s="152" t="s">
        <v>125</v>
      </c>
      <c r="D117" s="141"/>
    </row>
    <row r="118" ht="17" spans="2:4">
      <c r="B118" s="157" t="str">
        <f>HYPERLINK("#CLR_RIGHTCERT_INFO!A1","CLR_RIGHTCERT_INFO")</f>
        <v>CLR_RIGHTCERT_INFO</v>
      </c>
      <c r="C118" s="143" t="s">
        <v>126</v>
      </c>
      <c r="D118" s="141" t="s">
        <v>127</v>
      </c>
    </row>
    <row r="119" ht="17" spans="2:4">
      <c r="B119" s="157" t="str">
        <f>HYPERLINK("#CLR_RIGHTCERT_PACKAGE_INFO!A1","CLR_RIGHTCERT_PACKAGE_INFO")</f>
        <v>CLR_RIGHTCERT_PACKAGE_INFO</v>
      </c>
      <c r="C119" s="143" t="s">
        <v>128</v>
      </c>
      <c r="D119" s="141"/>
    </row>
    <row r="120" ht="17" spans="2:4">
      <c r="B120" s="79" t="str">
        <f>HYPERLINK("#CLR_RIGHTCERT_TRANRECORD!A1","CLR_RIGHTCERT_TRANRECORD")</f>
        <v>CLR_RIGHTCERT_TRANRECORD</v>
      </c>
      <c r="C120" s="143" t="s">
        <v>129</v>
      </c>
      <c r="D120" s="141"/>
    </row>
    <row r="121" ht="17" spans="2:4">
      <c r="B121" s="79" t="str">
        <f>HYPERLINK("#CLR_RIGHTCERT_TRAPPL!A1","CLR_RIGHTCERT_TRAPPL")</f>
        <v>CLR_RIGHTCERT_TRAPPL</v>
      </c>
      <c r="C121" s="143" t="s">
        <v>130</v>
      </c>
      <c r="D121" s="141"/>
    </row>
    <row r="122" ht="17" hidden="1" spans="2:4">
      <c r="B122" s="153" t="str">
        <f>HYPERLINK("#CLR_RIGHTCERT_TRAPPL_GROUP!A1","CLR_RIGHTCERT_TRAPPL_GROUP")</f>
        <v>CLR_RIGHTCERT_TRAPPL_GROUP</v>
      </c>
      <c r="C122" s="154" t="s">
        <v>131</v>
      </c>
      <c r="D122" s="141"/>
    </row>
    <row r="123" ht="17" hidden="1" spans="2:4">
      <c r="B123" s="80" t="str">
        <f>HYPERLINK("#DOC_ATTACHMENT!A1","DOC_ATTACHMENT")</f>
        <v>DOC_ATTACHMENT</v>
      </c>
      <c r="C123" s="145" t="s">
        <v>132</v>
      </c>
      <c r="D123" s="141" t="s">
        <v>133</v>
      </c>
    </row>
    <row r="124" ht="17" hidden="1" spans="2:4">
      <c r="B124" s="80" t="str">
        <f>HYPERLINK("#DOC_LIBRARY!A1","DOC_LIBRARY")</f>
        <v>DOC_LIBRARY</v>
      </c>
      <c r="C124" s="145" t="s">
        <v>134</v>
      </c>
      <c r="D124" s="141"/>
    </row>
    <row r="125" ht="17" hidden="1" spans="2:4">
      <c r="B125" s="80" t="str">
        <f>HYPERLINK("#DOC_RELATIVE!A1","DOC_RELATIVE")</f>
        <v>DOC_RELATIVE</v>
      </c>
      <c r="C125" s="145" t="s">
        <v>135</v>
      </c>
      <c r="D125" s="141"/>
    </row>
    <row r="126" ht="17" hidden="1" spans="2:4">
      <c r="B126" s="80" t="str">
        <f>HYPERLINK("#EVALUATE_CATALOG!A1","EVALUATE_CATALOG")</f>
        <v>EVALUATE_CATALOG</v>
      </c>
      <c r="C126" s="145" t="s">
        <v>136</v>
      </c>
      <c r="D126" s="141"/>
    </row>
    <row r="127" ht="17" hidden="1" spans="2:4">
      <c r="B127" s="80" t="str">
        <f>HYPERLINK("#EVALUATE_DATA!A1","EVALUATE_DATA")</f>
        <v>EVALUATE_DATA</v>
      </c>
      <c r="C127" s="145" t="s">
        <v>137</v>
      </c>
      <c r="D127" s="141"/>
    </row>
    <row r="128" ht="17" hidden="1" spans="2:4">
      <c r="B128" s="80" t="str">
        <f>HYPERLINK("#EVALUATE_MODEL!A1","EVALUATE_MODEL")</f>
        <v>EVALUATE_MODEL</v>
      </c>
      <c r="C128" s="145" t="s">
        <v>138</v>
      </c>
      <c r="D128" s="141"/>
    </row>
    <row r="129" ht="17" hidden="1" spans="2:4">
      <c r="B129" s="148" t="str">
        <f>HYPERLINK("#EVALUATE_RECORD!A1","EVALUATE_RECORD")</f>
        <v>EVALUATE_RECORD</v>
      </c>
      <c r="C129" s="145" t="s">
        <v>139</v>
      </c>
      <c r="D129" s="141"/>
    </row>
    <row r="130" ht="17" hidden="1" spans="2:4">
      <c r="B130" s="148" t="str">
        <f>HYPERLINK("#SYSTEM_SETUP!A1","SYSTEM_SETUP")</f>
        <v>SYSTEM_SETUP</v>
      </c>
      <c r="C130" s="145" t="s">
        <v>140</v>
      </c>
      <c r="D130" s="141"/>
    </row>
    <row r="131" ht="17" hidden="1" spans="2:4">
      <c r="B131" s="80" t="str">
        <f>HYPERLINK("#USER_MENU_COUNTER!A1","USER_MENU_COUNTER")</f>
        <v>USER_MENU_COUNTER</v>
      </c>
      <c r="C131" s="145" t="s">
        <v>141</v>
      </c>
      <c r="D131" s="141"/>
    </row>
    <row r="132" ht="17" hidden="1" spans="2:4">
      <c r="B132" s="80" t="str">
        <f>HYPERLINK("#LOG_AUDITINFO!A1","LOG_AUDITINFO")</f>
        <v>LOG_AUDITINFO</v>
      </c>
      <c r="C132" s="145" t="s">
        <v>142</v>
      </c>
      <c r="D132" s="141" t="s">
        <v>143</v>
      </c>
    </row>
    <row r="133" ht="17" hidden="1" spans="2:4">
      <c r="B133" s="148" t="str">
        <f>HYPERLINK("#BOARD_LIST!A1","BOARD_LIST")</f>
        <v>BOARD_LIST</v>
      </c>
      <c r="C133" s="145" t="s">
        <v>144</v>
      </c>
      <c r="D133" s="141"/>
    </row>
    <row r="134" ht="17" hidden="1" spans="2:4">
      <c r="B134" s="80" t="str">
        <f>HYPERLINK("#BOARD_USER!A1","BOARD_USER")</f>
        <v>BOARD_USER</v>
      </c>
      <c r="C134" s="145" t="s">
        <v>145</v>
      </c>
      <c r="D134" s="141"/>
    </row>
    <row r="135" ht="17" hidden="1" spans="2:4">
      <c r="B135" s="80" t="str">
        <f>HYPERLINK("#CONF_ERATE_INFO!A1","CONF_ERATE_INFO")</f>
        <v>CONF_ERATE_INFO</v>
      </c>
      <c r="C135" s="145" t="s">
        <v>146</v>
      </c>
      <c r="D135" s="141"/>
    </row>
    <row r="136" ht="17" hidden="1" spans="2:4">
      <c r="B136" s="80" t="str">
        <f>HYPERLINK("#CONF_QUICK_MENU_URL!A1","CONF_QUICK_MENU_URL")</f>
        <v>CONF_QUICK_MENU_URL</v>
      </c>
      <c r="C136" s="145" t="s">
        <v>147</v>
      </c>
      <c r="D136" s="141"/>
    </row>
    <row r="137" ht="17" hidden="1" spans="2:4">
      <c r="B137" s="80" t="str">
        <f>HYPERLINK("#ERATE_INFO!A1","ERATE_INFO")</f>
        <v>ERATE_INFO</v>
      </c>
      <c r="C137" s="145" t="s">
        <v>148</v>
      </c>
      <c r="D137" s="141"/>
    </row>
    <row r="138" ht="17" hidden="1" spans="2:4">
      <c r="B138" s="80" t="str">
        <f>HYPERLINK("#MANAGE_CHANGE!A1","MANAGE_CHANGE")</f>
        <v>MANAGE_CHANGE</v>
      </c>
      <c r="C138" s="145" t="s">
        <v>149</v>
      </c>
      <c r="D138" s="141"/>
    </row>
    <row r="139" ht="17" hidden="1" spans="2:4">
      <c r="B139" s="80" t="str">
        <f>HYPERLINK("#ORG_BELONG!A1","ORG_BELONG")</f>
        <v>ORG_BELONG</v>
      </c>
      <c r="C139" s="145" t="s">
        <v>150</v>
      </c>
      <c r="D139" s="141"/>
    </row>
    <row r="140" ht="17" hidden="1" spans="2:4">
      <c r="B140" s="80" t="str">
        <f>HYPERLINK("#ORG_INFO!A1","ORG_INFO")</f>
        <v>ORG_INFO</v>
      </c>
      <c r="C140" s="145" t="s">
        <v>151</v>
      </c>
      <c r="D140" s="141"/>
    </row>
    <row r="141" ht="17" hidden="1" spans="2:4">
      <c r="B141" s="80" t="str">
        <f>HYPERLINK("#POST_SUBLICENSE!A1","POST_SUBLICENSE")</f>
        <v>POST_SUBLICENSE</v>
      </c>
      <c r="C141" s="145" t="s">
        <v>152</v>
      </c>
      <c r="D141" s="141"/>
    </row>
    <row r="142" ht="16.8" hidden="1" spans="2:4">
      <c r="B142" s="151" t="str">
        <f>HYPERLINK("#RATE_INFO!A1","RATE_INFO")</f>
        <v>RATE_INFO</v>
      </c>
      <c r="C142" s="152" t="s">
        <v>153</v>
      </c>
      <c r="D142" s="141"/>
    </row>
    <row r="143" ht="17" hidden="1" spans="2:4">
      <c r="B143" s="80" t="str">
        <f>HYPERLINK("#ROLE_INFO!A1","ROLE_INFO")</f>
        <v>ROLE_INFO</v>
      </c>
      <c r="C143" s="145" t="s">
        <v>154</v>
      </c>
      <c r="D143" s="141"/>
    </row>
    <row r="144" ht="17" hidden="1" spans="2:4">
      <c r="B144" s="80" t="str">
        <f>HYPERLINK("#SYS_CALENDAR!A1","SYS_CALENDAR")</f>
        <v>SYS_CALENDAR</v>
      </c>
      <c r="C144" s="145" t="s">
        <v>155</v>
      </c>
      <c r="D144" s="141"/>
    </row>
    <row r="145" ht="17" hidden="1" spans="2:4">
      <c r="B145" s="148" t="str">
        <f>HYPERLINK("#CORPORATION_INFO!A1","CORPORATION_INFO")</f>
        <v>CORPORATION_INFO</v>
      </c>
      <c r="C145" s="145" t="s">
        <v>156</v>
      </c>
      <c r="D145" s="141"/>
    </row>
    <row r="146" ht="17" hidden="1" spans="2:4">
      <c r="B146" s="80" t="str">
        <f>HYPERLINK("#USER_INFO!A1","USER_INFO")</f>
        <v>USER_INFO</v>
      </c>
      <c r="C146" s="145" t="s">
        <v>157</v>
      </c>
      <c r="D146" s="141"/>
    </row>
    <row r="147" ht="17" hidden="1" spans="2:4">
      <c r="B147" s="80" t="str">
        <f>HYPERLINK("#USER_ROLE!A1","USER_ROLE")</f>
        <v>USER_ROLE</v>
      </c>
      <c r="C147" s="145" t="s">
        <v>158</v>
      </c>
      <c r="D147" s="141"/>
    </row>
    <row r="148" ht="16.8" spans="2:4">
      <c r="B148" s="151" t="str">
        <f>HYPERLINK("#CLR_STRESS_BU_DETAIL!A1","CLR_STRESS_BU_DETAIL")</f>
        <v>CLR_STRESS_BU_DETAIL</v>
      </c>
      <c r="C148" s="152" t="s">
        <v>159</v>
      </c>
      <c r="D148" s="141" t="s">
        <v>160</v>
      </c>
    </row>
    <row r="149" ht="17" spans="2:4">
      <c r="B149" s="158" t="str">
        <f>HYPERLINK("#CLR_STRESS_CLR_DETAIL!A1","CLR_STRESS_CLR_DETAIL")</f>
        <v>CLR_STRESS_CLR_DETAIL</v>
      </c>
      <c r="C149" s="152" t="s">
        <v>161</v>
      </c>
      <c r="D149" s="141"/>
    </row>
    <row r="150" ht="17" spans="2:4">
      <c r="B150" s="158" t="str">
        <f>HYPERLINK("#CLR_STRESS_LINK!A1","CLR_STRESS_LINK")</f>
        <v>CLR_STRESS_LINK</v>
      </c>
      <c r="C150" s="152" t="s">
        <v>162</v>
      </c>
      <c r="D150" s="141"/>
    </row>
    <row r="151" ht="16.8" spans="2:4">
      <c r="B151" s="151" t="str">
        <f>HYPERLINK("#CLR_STRESS_RECORD!A1","CLR_STRESS_RECORD")</f>
        <v>CLR_STRESS_RECORD</v>
      </c>
      <c r="C151" s="152" t="s">
        <v>163</v>
      </c>
      <c r="D151" s="141"/>
    </row>
    <row r="152" ht="16.8" spans="2:4">
      <c r="B152" s="151" t="str">
        <f>HYPERLINK("#CLR_STRESS_TEST!A1","CLR_STRESS_TEST")</f>
        <v>CLR_STRESS_TEST</v>
      </c>
      <c r="C152" s="152" t="s">
        <v>164</v>
      </c>
      <c r="D152" s="141"/>
    </row>
    <row r="153" ht="17" spans="2:4">
      <c r="B153" s="80" t="str">
        <f>HYPERLINK("#CLR_CATALOG!A1","CLR_CATALOG")</f>
        <v>CLR_CATALOG</v>
      </c>
      <c r="C153" s="145" t="s">
        <v>165</v>
      </c>
      <c r="D153" s="141" t="s">
        <v>166</v>
      </c>
    </row>
    <row r="154" ht="17" spans="2:4">
      <c r="B154" s="80" t="str">
        <f>HYPERLINK("#CLR_HANDLE_INFO!A1","CLR_HANDLE_INFO")</f>
        <v>CLR_HANDLE_INFO</v>
      </c>
      <c r="C154" s="145" t="s">
        <v>167</v>
      </c>
      <c r="D154" s="141"/>
    </row>
    <row r="155" ht="17" spans="2:4">
      <c r="B155" s="79" t="str">
        <f>HYPERLINK("#CLR_PARAM!A1","CLR_PARAM")</f>
        <v>CLR_PARAM</v>
      </c>
      <c r="C155" s="143" t="s">
        <v>168</v>
      </c>
      <c r="D155" s="141"/>
    </row>
    <row r="156" ht="17" spans="2:4">
      <c r="B156" s="79" t="str">
        <f>HYPERLINK("#CLR_EVALUATION_APPL!A1","CLR_EVALUATION_APPL")</f>
        <v>CLR_EVALUATION_APPL</v>
      </c>
      <c r="C156" s="143" t="s">
        <v>169</v>
      </c>
      <c r="D156" s="146" t="s">
        <v>170</v>
      </c>
    </row>
    <row r="157" ht="17" spans="1:5">
      <c r="A157" s="2"/>
      <c r="B157" s="159" t="str">
        <f>HYPERLINK("#CLR_EVALUATION_DATA!A1","CLR_EVALUATION_DATA")</f>
        <v>CLR_EVALUATION_DATA</v>
      </c>
      <c r="C157" s="140" t="s">
        <v>171</v>
      </c>
      <c r="D157" s="147"/>
      <c r="E157" s="170"/>
    </row>
    <row r="158" ht="17" spans="2:5">
      <c r="B158" s="80" t="str">
        <f>HYPERLINK("#CLR_EVALUATION_RECORD!A1","CLR_EVALUATION_RECORD")</f>
        <v>CLR_EVALUATION_RECORD</v>
      </c>
      <c r="C158" s="145" t="s">
        <v>172</v>
      </c>
      <c r="D158" s="147"/>
      <c r="E158" s="170"/>
    </row>
    <row r="159" ht="17" spans="2:4">
      <c r="B159" s="80" t="str">
        <f>HYPERLINK("#CLR_PRICEINDEX!A1","CLR_PRICEINDEX")</f>
        <v>CLR_PRICEINDEX</v>
      </c>
      <c r="C159" s="145" t="s">
        <v>173</v>
      </c>
      <c r="D159" s="147"/>
    </row>
    <row r="160" ht="17" spans="2:4">
      <c r="B160" s="80" t="str">
        <f>HYPERLINK("#CLR_SAMPLE_HOUSEING!A1","CLR_SAMPLE_HOUSEING")</f>
        <v>CLR_SAMPLE_HOUSEING</v>
      </c>
      <c r="C160" s="145" t="s">
        <v>174</v>
      </c>
      <c r="D160" s="147"/>
    </row>
    <row r="161" ht="17" spans="2:4">
      <c r="B161" s="80" t="str">
        <f>HYPERLINK("#CLR_SAMPLE_SELECTED!A1","CLR_SAMPLE_SELECTED")</f>
        <v>CLR_SAMPLE_SELECTED</v>
      </c>
      <c r="C161" s="145" t="s">
        <v>175</v>
      </c>
      <c r="D161" s="147"/>
    </row>
    <row r="162" ht="16.8" spans="2:4">
      <c r="B162" s="160" t="s">
        <v>176</v>
      </c>
      <c r="C162" s="161" t="s">
        <v>177</v>
      </c>
      <c r="D162" s="147"/>
    </row>
    <row r="163" ht="16.8" spans="2:4">
      <c r="B163" s="160" t="s">
        <v>178</v>
      </c>
      <c r="C163" s="162" t="s">
        <v>179</v>
      </c>
      <c r="D163" s="147"/>
    </row>
    <row r="164" ht="17" spans="2:4">
      <c r="B164" s="80" t="str">
        <f>HYPERLINK("#BILL_INFO!A1","BILL_INFO")</f>
        <v>BILL_INFO</v>
      </c>
      <c r="C164" s="145" t="s">
        <v>180</v>
      </c>
      <c r="D164" s="146" t="s">
        <v>181</v>
      </c>
    </row>
    <row r="165" ht="17" spans="2:4">
      <c r="B165" s="163" t="str">
        <f>HYPERLINK("#BUSINESS_CONTRACT!A1","BUSINESS_CONTRACT")</f>
        <v>BUSINESS_CONTRACT</v>
      </c>
      <c r="C165" s="145" t="s">
        <v>182</v>
      </c>
      <c r="D165" s="147"/>
    </row>
    <row r="166" ht="17" spans="2:4">
      <c r="B166" s="79" t="str">
        <f>HYPERLINK("#CLR_ASSET_FINANCE!A1","CLR_ASSET_FINANCE")</f>
        <v>CLR_ASSET_FINANCE</v>
      </c>
      <c r="C166" s="143" t="s">
        <v>183</v>
      </c>
      <c r="D166" s="147"/>
    </row>
    <row r="167" ht="17" spans="2:4">
      <c r="B167" s="80" t="str">
        <f>HYPERLINK("#CLR_ASSET_OTHERS_EQUIPMENT!A1","CLR_ASSET_OTHERS_EQUIPMENT")</f>
        <v>CLR_ASSET_OTHERS_EQUIPMENT</v>
      </c>
      <c r="C167" s="145" t="s">
        <v>184</v>
      </c>
      <c r="D167" s="147"/>
    </row>
    <row r="168" ht="17" spans="2:4">
      <c r="B168" s="80" t="str">
        <f>HYPERLINK("#CLR_ASSET_OTHERS_INVENTORY!A1","CLR_ASSET_OTHERS_INVENTORY")</f>
        <v>CLR_ASSET_OTHERS_INVENTORY</v>
      </c>
      <c r="C168" s="145" t="s">
        <v>185</v>
      </c>
      <c r="D168" s="147"/>
    </row>
    <row r="169" ht="17" spans="2:4">
      <c r="B169" s="80" t="str">
        <f>HYPERLINK("#CLR_ASSET_OTHERS_RESOURCE!A1","CLR_ASSET_OTHERS_RESOURCE")</f>
        <v>CLR_ASSET_OTHERS_RESOURCE</v>
      </c>
      <c r="C169" s="145" t="s">
        <v>186</v>
      </c>
      <c r="D169" s="147"/>
    </row>
    <row r="170" ht="17" spans="2:4">
      <c r="B170" s="80" t="str">
        <f>HYPERLINK("#CLR_ASSET_OTHERS_SBC!A1","CLR_ASSET_OTHERS_SBC")</f>
        <v>CLR_ASSET_OTHERS_SBC</v>
      </c>
      <c r="C170" s="145" t="s">
        <v>187</v>
      </c>
      <c r="D170" s="147"/>
    </row>
    <row r="171" ht="17" spans="2:4">
      <c r="B171" s="80" t="str">
        <f>HYPERLINK("#CLR_ASSET_OTHERS_TLPR!A1","CLR_ASSET_OTHERS_TLPR")</f>
        <v>CLR_ASSET_OTHERS_TLPR</v>
      </c>
      <c r="C171" s="145" t="s">
        <v>188</v>
      </c>
      <c r="D171" s="147"/>
    </row>
    <row r="172" ht="17" spans="2:4">
      <c r="B172" s="80" t="str">
        <f>HYPERLINK("#CLR_ASSET_REALTY!A1","CLR_ASSET_REALTY")</f>
        <v>CLR_ASSET_REALTY</v>
      </c>
      <c r="C172" s="145" t="s">
        <v>189</v>
      </c>
      <c r="D172" s="147"/>
    </row>
    <row r="173" ht="17" spans="2:4">
      <c r="B173" s="80" t="str">
        <f>HYPERLINK("#CLR_ASSET_RECEIVABLE!A1","CLR_ASSET_RECEIVABLE")</f>
        <v>CLR_ASSET_RECEIVABLE</v>
      </c>
      <c r="C173" s="145" t="s">
        <v>190</v>
      </c>
      <c r="D173" s="147"/>
    </row>
    <row r="174" ht="17" spans="2:4">
      <c r="B174" s="80" t="str">
        <f>HYPERLINK("#CLR_CARGO_INFO!A1","CLR_CARGO_INFO")</f>
        <v>CLR_CARGO_INFO</v>
      </c>
      <c r="C174" s="145" t="s">
        <v>191</v>
      </c>
      <c r="D174" s="147"/>
    </row>
    <row r="175" ht="17" spans="2:4">
      <c r="B175" s="80" t="str">
        <f>HYPERLINK("#CLR_GUASCHEME_RELATIVE!A1","CLR_GUASCHEME_RELATIVE")</f>
        <v>CLR_GUASCHEME_RELATIVE</v>
      </c>
      <c r="C175" s="145" t="s">
        <v>192</v>
      </c>
      <c r="D175" s="147"/>
    </row>
    <row r="176" ht="17" spans="2:4">
      <c r="B176" s="79" t="str">
        <f>HYPERLINK("#CLR_INFO!A1","CLR_INFO")</f>
        <v>CLR_INFO</v>
      </c>
      <c r="C176" s="143" t="s">
        <v>193</v>
      </c>
      <c r="D176" s="147"/>
    </row>
    <row r="177" ht="17" spans="2:4">
      <c r="B177" s="79" t="str">
        <f>HYPERLINK("#CLR_INSURANCE_RECORD!A1","CLR_INSURANCE_RECORD")</f>
        <v>CLR_INSURANCE_RECORD</v>
      </c>
      <c r="C177" s="143" t="s">
        <v>194</v>
      </c>
      <c r="D177" s="147"/>
    </row>
    <row r="178" ht="17" spans="2:4">
      <c r="B178" s="164" t="s">
        <v>195</v>
      </c>
      <c r="C178" s="165" t="s">
        <v>196</v>
      </c>
      <c r="D178" s="147"/>
    </row>
    <row r="179" ht="17" spans="2:4">
      <c r="B179" s="79" t="str">
        <f>HYPERLINK("#CLR_NOTARIZATION_RECORD!A1","CLR_NOTARIZATION_RECORD")</f>
        <v>CLR_NOTARIZATION_RECORD</v>
      </c>
      <c r="C179" s="143" t="s">
        <v>197</v>
      </c>
      <c r="D179" s="147"/>
    </row>
    <row r="180" ht="17" spans="2:4">
      <c r="B180" s="79" t="str">
        <f>HYPERLINK("#CLR_OWNER!A1","CLR_OWNER")</f>
        <v>CLR_OWNER</v>
      </c>
      <c r="C180" s="143" t="s">
        <v>198</v>
      </c>
      <c r="D180" s="147"/>
    </row>
    <row r="181" ht="17" spans="2:4">
      <c r="B181" s="79" t="str">
        <f>HYPERLINK("#CLR_QUALIFICATION_INFO!A1","CLR_QUALIFICATION_INFO")</f>
        <v>CLR_QUALIFICATION_INFO</v>
      </c>
      <c r="C181" s="143" t="s">
        <v>199</v>
      </c>
      <c r="D181" s="147"/>
    </row>
    <row r="182" ht="17" spans="2:4">
      <c r="B182" s="80" t="str">
        <f>HYPERLINK("#GUARANTOR_INFO!A1","GUARANTOR_INFO")</f>
        <v>GUARANTOR_INFO</v>
      </c>
      <c r="C182" s="145" t="s">
        <v>200</v>
      </c>
      <c r="D182" s="147"/>
    </row>
    <row r="183" ht="17" spans="2:4">
      <c r="B183" s="80" t="str">
        <f>HYPERLINK("#GUARANTY_CONTRACT!A1","GUARANTY_CONTRACT")</f>
        <v>GUARANTY_CONTRACT</v>
      </c>
      <c r="C183" s="145" t="s">
        <v>201</v>
      </c>
      <c r="D183" s="147"/>
    </row>
    <row r="184" ht="17" spans="2:4">
      <c r="B184" s="157" t="str">
        <f>HYPERLINK("#GUARANTY_RELATIVE!A1","GUARANTY_RELATIVE")</f>
        <v>GUARANTY_RELATIVE</v>
      </c>
      <c r="C184" s="143" t="s">
        <v>202</v>
      </c>
      <c r="D184" s="147"/>
    </row>
    <row r="185" ht="17" spans="2:4">
      <c r="B185" s="166" t="s">
        <v>203</v>
      </c>
      <c r="C185" s="161" t="s">
        <v>204</v>
      </c>
      <c r="D185" s="147"/>
    </row>
    <row r="186" ht="17" spans="2:4">
      <c r="B186" s="166" t="s">
        <v>205</v>
      </c>
      <c r="C186" s="161" t="s">
        <v>206</v>
      </c>
      <c r="D186" s="147"/>
    </row>
    <row r="187" ht="16.8" spans="2:4">
      <c r="B187" s="167" t="s">
        <v>207</v>
      </c>
      <c r="C187" s="161" t="s">
        <v>208</v>
      </c>
      <c r="D187" s="147"/>
    </row>
    <row r="188" ht="16.8" spans="2:4">
      <c r="B188" s="167" t="s">
        <v>209</v>
      </c>
      <c r="C188" s="161" t="s">
        <v>210</v>
      </c>
      <c r="D188" s="147"/>
    </row>
    <row r="189" ht="16.8" hidden="1" spans="2:4">
      <c r="B189" s="167" t="s">
        <v>211</v>
      </c>
      <c r="C189" s="161" t="s">
        <v>212</v>
      </c>
      <c r="D189" s="147"/>
    </row>
    <row r="190" ht="16.8" spans="2:4">
      <c r="B190" s="160" t="s">
        <v>213</v>
      </c>
      <c r="C190" s="161" t="s">
        <v>214</v>
      </c>
      <c r="D190" s="147"/>
    </row>
    <row r="191" ht="17" hidden="1" spans="2:4">
      <c r="B191" s="168" t="s">
        <v>215</v>
      </c>
      <c r="C191" s="161" t="s">
        <v>216</v>
      </c>
      <c r="D191" s="147"/>
    </row>
    <row r="192" ht="17" spans="2:4">
      <c r="B192" s="164" t="s">
        <v>217</v>
      </c>
      <c r="C192" s="169" t="s">
        <v>218</v>
      </c>
      <c r="D192" s="147"/>
    </row>
    <row r="193" ht="17" spans="2:4">
      <c r="B193" s="164" t="s">
        <v>219</v>
      </c>
      <c r="C193" s="169" t="s">
        <v>220</v>
      </c>
      <c r="D193" s="149"/>
    </row>
    <row r="194" ht="17" hidden="1" spans="2:4">
      <c r="B194" s="148" t="str">
        <f>HYPERLINK("#BAT_TASK_ERROR!A1","BAT_TASK_ERROR")</f>
        <v>BAT_TASK_ERROR</v>
      </c>
      <c r="C194" s="145" t="s">
        <v>221</v>
      </c>
      <c r="D194" s="171" t="s">
        <v>222</v>
      </c>
    </row>
    <row r="195" ht="17" hidden="1" spans="2:4">
      <c r="B195" s="80" t="str">
        <f>HYPERLINK("#BAT_TASK_LOG!A1","BAT_TASK_LOG")</f>
        <v>BAT_TASK_LOG</v>
      </c>
      <c r="C195" s="145" t="s">
        <v>223</v>
      </c>
      <c r="D195" s="172"/>
    </row>
    <row r="196" ht="17" hidden="1" spans="2:4">
      <c r="B196" s="80" t="str">
        <f>HYPERLINK("#BAT_UPLOAD!A1","BAT_UPLOAD")</f>
        <v>BAT_UPLOAD</v>
      </c>
      <c r="C196" s="145" t="s">
        <v>224</v>
      </c>
      <c r="D196" s="172"/>
    </row>
    <row r="197" ht="17" hidden="1" spans="2:4">
      <c r="B197" s="80" t="str">
        <f>HYPERLINK("#USER_DEFINEINFO!A1","USER_DEFINEINFO")</f>
        <v>USER_DEFINEINFO</v>
      </c>
      <c r="C197" s="145" t="s">
        <v>225</v>
      </c>
      <c r="D197" s="173"/>
    </row>
    <row r="198" ht="17" spans="2:4">
      <c r="B198" s="168" t="s">
        <v>226</v>
      </c>
      <c r="C198" s="174" t="s">
        <v>227</v>
      </c>
      <c r="D198" s="175" t="s">
        <v>228</v>
      </c>
    </row>
    <row r="199" ht="17" spans="2:4">
      <c r="B199" s="168" t="s">
        <v>229</v>
      </c>
      <c r="C199" s="174" t="s">
        <v>230</v>
      </c>
      <c r="D199" s="175"/>
    </row>
    <row r="200" ht="16.8" spans="2:4">
      <c r="B200" s="160" t="s">
        <v>231</v>
      </c>
      <c r="C200" s="174" t="s">
        <v>232</v>
      </c>
      <c r="D200" s="175"/>
    </row>
    <row r="201" ht="16" spans="2:4">
      <c r="B201" s="57" t="s">
        <v>233</v>
      </c>
      <c r="C201" s="83" t="s">
        <v>234</v>
      </c>
      <c r="D201" s="176" t="s">
        <v>235</v>
      </c>
    </row>
  </sheetData>
  <mergeCells count="17">
    <mergeCell ref="D3:D13"/>
    <mergeCell ref="D14:D70"/>
    <mergeCell ref="D72:D77"/>
    <mergeCell ref="D78:D82"/>
    <mergeCell ref="D83:D85"/>
    <mergeCell ref="D86:D87"/>
    <mergeCell ref="D88:D114"/>
    <mergeCell ref="D115:D117"/>
    <mergeCell ref="D118:D122"/>
    <mergeCell ref="D123:D131"/>
    <mergeCell ref="D132:D147"/>
    <mergeCell ref="D148:D152"/>
    <mergeCell ref="D153:D155"/>
    <mergeCell ref="D156:D163"/>
    <mergeCell ref="D164:D193"/>
    <mergeCell ref="D194:D197"/>
    <mergeCell ref="D198:D200"/>
  </mergeCells>
  <hyperlinks>
    <hyperlink ref="B106" location="flow_model_relative!A1" display="FLOW_MODEL_RELATIVE"/>
    <hyperlink ref="B89" location="wf_opinion!A1" display="wf_opinion"/>
    <hyperlink ref="B3" location="audit_info!A1" display="=HYPERLINK(&quot;#AUDIT_INFO!A1&quot;,&quot;AUDIT_INFO&quot;)"/>
    <hyperlink ref="B185" location="CLR_BELONG!A1" display="CLR_BELONG"/>
    <hyperlink ref="B186" location="CLR_PROPERTY_HOUSE_INFO!A1" display="CLR_PROPERTY_HOUSE_INFO"/>
    <hyperlink ref="B187" location="CLR_PROPERTY_RIGHT_HOLDER_INFO!A1" display="CLR_PROPERTY_RIGHT_HOLDER_INFO"/>
    <hyperlink ref="B188" location="CLR_GUARANTY_FILE_UP_RECORD!A1" display="CLR_GUARANTY_FILE_UP_RECORD"/>
    <hyperlink ref="B189" location="CLR_REGISTER_RECORD_APPL!A1" display="CLR_REGISTER_RECORD_APPL"/>
    <hyperlink ref="B190" location="CLR_OWNERSHIP_CHANGE_INFO!A1" display="CLR_OWNERSHIP_CHANGE_INFO"/>
    <hyperlink ref="B191" location="CLR_RIGHTCERT_TRAPPL_RELA!A1" display="CLR_RIGHTCERT_TRAPPL_RELA"/>
    <hyperlink ref="B193" location="CLR_CORE_REGISTER_PACKAGE!A1" display="CLR_CORE_REGISTER_PACKAGE"/>
    <hyperlink ref="B192" location="CLR_CORE_REGISTER_INFO!A1" display="CLR_CORE_REGISTER_INFO"/>
    <hyperlink ref="B199" location="RISK_MITIGATION_BIZ!A1" display="RISK_MITIGATION_BIZ"/>
    <hyperlink ref="B198" location="CLR_RISK_MITIGATION_DETAIL!A1" display="RISK_MITIGATION_DETAIL"/>
    <hyperlink ref="B200" location="RISK_MITIGATION_CLR!A1" display="RISK_MITIGATION_CLR"/>
    <hyperlink ref="B178" location="CLR_INVOICE_RECORD!A1" display="CLR_INVOICE_RECORD"/>
    <hyperlink ref="B163" location="CLR_EVALUATION_APPL_RELA!A1" display="CLR_EVALUATION_APPL_GROUP"/>
    <hyperlink ref="B162" location="CLR_ONLINE_RESULT!A1" display="CLR_ONLINE_RESULT"/>
  </hyperlinks>
  <pageMargins left="0.75" right="0.75" top="1" bottom="1" header="0.5" footer="0.5"/>
  <pageSetup paperSize="1" orientation="portrait" horizontalDpi="300" verticalDpi="300"/>
  <headerFooter alignWithMargins="0" scaleWithDoc="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70"/>
  <sheetViews>
    <sheetView topLeftCell="A56" workbookViewId="0">
      <selection activeCell="B57" sqref="B57"/>
    </sheetView>
  </sheetViews>
  <sheetFormatPr defaultColWidth="9.14285714285714" defaultRowHeight="15.2" outlineLevelCol="1"/>
  <cols>
    <col min="1" max="1" width="39.2142857142857" customWidth="1"/>
    <col min="2" max="2" width="31.7857142857143" customWidth="1"/>
  </cols>
  <sheetData>
    <row r="1" spans="1:2">
      <c r="A1" t="s">
        <v>236</v>
      </c>
      <c r="B1" t="s">
        <v>3</v>
      </c>
    </row>
    <row r="2" spans="1:2">
      <c r="A2" t="s">
        <v>237</v>
      </c>
      <c r="B2" t="s">
        <v>4</v>
      </c>
    </row>
    <row r="3" spans="1:2">
      <c r="A3" t="s">
        <v>238</v>
      </c>
      <c r="B3" t="s">
        <v>5</v>
      </c>
    </row>
    <row r="4" spans="1:2">
      <c r="A4" t="s">
        <v>239</v>
      </c>
      <c r="B4" t="s">
        <v>6</v>
      </c>
    </row>
    <row r="5" spans="1:2">
      <c r="A5" t="s">
        <v>240</v>
      </c>
      <c r="B5" t="s">
        <v>7</v>
      </c>
    </row>
    <row r="6" spans="1:2">
      <c r="A6" t="s">
        <v>241</v>
      </c>
      <c r="B6" t="s">
        <v>8</v>
      </c>
    </row>
    <row r="7" spans="1:2">
      <c r="A7" t="s">
        <v>242</v>
      </c>
      <c r="B7" t="s">
        <v>9</v>
      </c>
    </row>
    <row r="8" spans="1:2">
      <c r="A8" t="s">
        <v>243</v>
      </c>
      <c r="B8" t="s">
        <v>10</v>
      </c>
    </row>
    <row r="9" spans="1:2">
      <c r="A9" t="s">
        <v>244</v>
      </c>
      <c r="B9" t="s">
        <v>11</v>
      </c>
    </row>
    <row r="10" spans="1:2">
      <c r="A10" t="s">
        <v>245</v>
      </c>
      <c r="B10" t="s">
        <v>12</v>
      </c>
    </row>
    <row r="11" spans="1:2">
      <c r="A11" t="s">
        <v>246</v>
      </c>
      <c r="B11" t="s">
        <v>13</v>
      </c>
    </row>
    <row r="12" spans="1:2">
      <c r="A12" t="s">
        <v>247</v>
      </c>
      <c r="B12" t="s">
        <v>72</v>
      </c>
    </row>
    <row r="13" spans="1:2">
      <c r="A13" t="s">
        <v>248</v>
      </c>
      <c r="B13" t="s">
        <v>74</v>
      </c>
    </row>
    <row r="14" spans="1:2">
      <c r="A14" t="s">
        <v>249</v>
      </c>
      <c r="B14" t="s">
        <v>76</v>
      </c>
    </row>
    <row r="15" spans="1:2">
      <c r="A15" t="s">
        <v>250</v>
      </c>
      <c r="B15" t="s">
        <v>77</v>
      </c>
    </row>
    <row r="16" spans="1:2">
      <c r="A16" t="s">
        <v>251</v>
      </c>
      <c r="B16" t="s">
        <v>78</v>
      </c>
    </row>
    <row r="17" spans="1:2">
      <c r="A17" t="s">
        <v>252</v>
      </c>
      <c r="B17" t="s">
        <v>79</v>
      </c>
    </row>
    <row r="18" spans="1:2">
      <c r="A18" t="s">
        <v>253</v>
      </c>
      <c r="B18" t="s">
        <v>80</v>
      </c>
    </row>
    <row r="19" spans="1:2">
      <c r="A19" t="s">
        <v>254</v>
      </c>
      <c r="B19" t="s">
        <v>126</v>
      </c>
    </row>
    <row r="20" spans="1:2">
      <c r="A20" t="s">
        <v>255</v>
      </c>
      <c r="B20" t="s">
        <v>128</v>
      </c>
    </row>
    <row r="21" spans="1:2">
      <c r="A21" t="s">
        <v>256</v>
      </c>
      <c r="B21" t="s">
        <v>129</v>
      </c>
    </row>
    <row r="22" spans="1:2">
      <c r="A22" t="s">
        <v>257</v>
      </c>
      <c r="B22" t="s">
        <v>130</v>
      </c>
    </row>
    <row r="23" spans="1:2">
      <c r="A23" t="s">
        <v>258</v>
      </c>
      <c r="B23" t="s">
        <v>159</v>
      </c>
    </row>
    <row r="24" spans="1:2">
      <c r="A24" t="s">
        <v>259</v>
      </c>
      <c r="B24" t="s">
        <v>161</v>
      </c>
    </row>
    <row r="25" spans="1:2">
      <c r="A25" t="s">
        <v>260</v>
      </c>
      <c r="B25" t="s">
        <v>162</v>
      </c>
    </row>
    <row r="26" spans="1:2">
      <c r="A26" t="s">
        <v>261</v>
      </c>
      <c r="B26" t="s">
        <v>163</v>
      </c>
    </row>
    <row r="27" spans="1:2">
      <c r="A27" t="s">
        <v>262</v>
      </c>
      <c r="B27" t="s">
        <v>164</v>
      </c>
    </row>
    <row r="28" spans="1:2">
      <c r="A28" t="s">
        <v>263</v>
      </c>
      <c r="B28" t="s">
        <v>165</v>
      </c>
    </row>
    <row r="29" spans="1:2">
      <c r="A29" t="s">
        <v>264</v>
      </c>
      <c r="B29" t="s">
        <v>167</v>
      </c>
    </row>
    <row r="30" spans="1:2">
      <c r="A30" t="s">
        <v>265</v>
      </c>
      <c r="B30" t="s">
        <v>168</v>
      </c>
    </row>
    <row r="31" spans="1:2">
      <c r="A31" t="s">
        <v>266</v>
      </c>
      <c r="B31" t="s">
        <v>169</v>
      </c>
    </row>
    <row r="32" spans="1:2">
      <c r="A32" t="s">
        <v>267</v>
      </c>
      <c r="B32" t="s">
        <v>171</v>
      </c>
    </row>
    <row r="33" spans="1:2">
      <c r="A33" t="s">
        <v>268</v>
      </c>
      <c r="B33" t="s">
        <v>172</v>
      </c>
    </row>
    <row r="34" spans="1:2">
      <c r="A34" t="s">
        <v>269</v>
      </c>
      <c r="B34" t="s">
        <v>173</v>
      </c>
    </row>
    <row r="35" spans="1:2">
      <c r="A35" t="s">
        <v>270</v>
      </c>
      <c r="B35" t="s">
        <v>174</v>
      </c>
    </row>
    <row r="36" spans="1:2">
      <c r="A36" t="s">
        <v>271</v>
      </c>
      <c r="B36" t="s">
        <v>175</v>
      </c>
    </row>
    <row r="37" spans="1:2">
      <c r="A37" t="s">
        <v>176</v>
      </c>
      <c r="B37" t="s">
        <v>177</v>
      </c>
    </row>
    <row r="38" spans="1:2">
      <c r="A38" t="s">
        <v>178</v>
      </c>
      <c r="B38" t="s">
        <v>179</v>
      </c>
    </row>
    <row r="39" spans="1:2">
      <c r="A39" t="s">
        <v>272</v>
      </c>
      <c r="B39" t="s">
        <v>180</v>
      </c>
    </row>
    <row r="40" spans="1:2">
      <c r="A40" t="s">
        <v>273</v>
      </c>
      <c r="B40" t="s">
        <v>182</v>
      </c>
    </row>
    <row r="41" spans="1:2">
      <c r="A41" t="s">
        <v>274</v>
      </c>
      <c r="B41" t="s">
        <v>183</v>
      </c>
    </row>
    <row r="42" spans="1:2">
      <c r="A42" t="s">
        <v>275</v>
      </c>
      <c r="B42" t="s">
        <v>184</v>
      </c>
    </row>
    <row r="43" spans="1:2">
      <c r="A43" t="s">
        <v>276</v>
      </c>
      <c r="B43" t="s">
        <v>277</v>
      </c>
    </row>
    <row r="44" spans="1:2">
      <c r="A44" t="s">
        <v>278</v>
      </c>
      <c r="B44" t="s">
        <v>186</v>
      </c>
    </row>
    <row r="45" spans="1:2">
      <c r="A45" t="s">
        <v>279</v>
      </c>
      <c r="B45" t="s">
        <v>187</v>
      </c>
    </row>
    <row r="46" spans="1:2">
      <c r="A46" t="s">
        <v>280</v>
      </c>
      <c r="B46" t="s">
        <v>188</v>
      </c>
    </row>
    <row r="47" spans="1:2">
      <c r="A47" t="s">
        <v>281</v>
      </c>
      <c r="B47" t="s">
        <v>282</v>
      </c>
    </row>
    <row r="48" spans="1:2">
      <c r="A48" t="s">
        <v>283</v>
      </c>
      <c r="B48" t="s">
        <v>284</v>
      </c>
    </row>
    <row r="49" spans="1:2">
      <c r="A49" t="s">
        <v>285</v>
      </c>
      <c r="B49" t="s">
        <v>191</v>
      </c>
    </row>
    <row r="50" spans="1:2">
      <c r="A50" t="s">
        <v>286</v>
      </c>
      <c r="B50" t="s">
        <v>192</v>
      </c>
    </row>
    <row r="51" spans="1:2">
      <c r="A51" t="s">
        <v>287</v>
      </c>
      <c r="B51" t="s">
        <v>193</v>
      </c>
    </row>
    <row r="52" spans="1:2">
      <c r="A52" t="s">
        <v>288</v>
      </c>
      <c r="B52" t="s">
        <v>194</v>
      </c>
    </row>
    <row r="53" spans="1:2">
      <c r="A53" t="s">
        <v>195</v>
      </c>
      <c r="B53" t="s">
        <v>196</v>
      </c>
    </row>
    <row r="54" spans="1:2">
      <c r="A54" t="s">
        <v>289</v>
      </c>
      <c r="B54" t="s">
        <v>197</v>
      </c>
    </row>
    <row r="55" spans="1:2">
      <c r="A55" t="s">
        <v>290</v>
      </c>
      <c r="B55" t="s">
        <v>198</v>
      </c>
    </row>
    <row r="56" spans="1:2">
      <c r="A56" t="s">
        <v>291</v>
      </c>
      <c r="B56" t="s">
        <v>199</v>
      </c>
    </row>
    <row r="57" spans="1:2">
      <c r="A57" t="s">
        <v>292</v>
      </c>
      <c r="B57" t="s">
        <v>200</v>
      </c>
    </row>
    <row r="58" spans="1:2">
      <c r="A58" t="s">
        <v>293</v>
      </c>
      <c r="B58" t="s">
        <v>201</v>
      </c>
    </row>
    <row r="59" spans="1:2">
      <c r="A59" t="s">
        <v>294</v>
      </c>
      <c r="B59" t="s">
        <v>202</v>
      </c>
    </row>
    <row r="60" spans="1:2">
      <c r="A60" t="s">
        <v>203</v>
      </c>
      <c r="B60" t="s">
        <v>204</v>
      </c>
    </row>
    <row r="61" spans="1:2">
      <c r="A61" t="s">
        <v>205</v>
      </c>
      <c r="B61" t="s">
        <v>206</v>
      </c>
    </row>
    <row r="62" spans="1:2">
      <c r="A62" t="s">
        <v>207</v>
      </c>
      <c r="B62" t="s">
        <v>208</v>
      </c>
    </row>
    <row r="63" spans="1:2">
      <c r="A63" t="s">
        <v>209</v>
      </c>
      <c r="B63" t="s">
        <v>210</v>
      </c>
    </row>
    <row r="64" spans="1:2">
      <c r="A64" t="s">
        <v>213</v>
      </c>
      <c r="B64" t="s">
        <v>214</v>
      </c>
    </row>
    <row r="65" spans="1:2">
      <c r="A65" t="s">
        <v>217</v>
      </c>
      <c r="B65" t="s">
        <v>218</v>
      </c>
    </row>
    <row r="66" spans="1:2">
      <c r="A66" t="s">
        <v>219</v>
      </c>
      <c r="B66" t="s">
        <v>220</v>
      </c>
    </row>
    <row r="67" spans="1:2">
      <c r="A67" t="s">
        <v>226</v>
      </c>
      <c r="B67" t="s">
        <v>227</v>
      </c>
    </row>
    <row r="68" spans="1:2">
      <c r="A68" t="s">
        <v>229</v>
      </c>
      <c r="B68" t="s">
        <v>230</v>
      </c>
    </row>
    <row r="69" spans="1:2">
      <c r="A69" t="s">
        <v>231</v>
      </c>
      <c r="B69" t="s">
        <v>232</v>
      </c>
    </row>
    <row r="70" spans="1:2">
      <c r="A70" t="s">
        <v>233</v>
      </c>
      <c r="B70" t="s">
        <v>295</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14285714285714" defaultRowHeight="15.2"/>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C2:AA147"/>
  <sheetViews>
    <sheetView topLeftCell="B1" workbookViewId="0">
      <pane ySplit="2" topLeftCell="A6" activePane="bottomLeft" state="frozen"/>
      <selection/>
      <selection pane="bottomLeft" activeCell="D11" sqref="D11:F11"/>
    </sheetView>
  </sheetViews>
  <sheetFormatPr defaultColWidth="9.14285714285714" defaultRowHeight="15.2"/>
  <cols>
    <col min="3" max="3" width="24.2857142857143" customWidth="1"/>
    <col min="7" max="7" width="24.2857142857143" customWidth="1"/>
    <col min="13" max="13" width="12.6428571428571" customWidth="1"/>
    <col min="17" max="17" width="28.6428571428571" customWidth="1"/>
    <col min="18" max="18" width="9.14285714285714" style="84"/>
    <col min="19" max="19" width="20.2857142857143" customWidth="1"/>
    <col min="20" max="23" width="12.7857142857143" customWidth="1"/>
    <col min="25" max="25" width="9.14285714285714" style="84"/>
  </cols>
  <sheetData>
    <row r="2" ht="16.8" spans="11:11">
      <c r="K2" s="113" t="s">
        <v>296</v>
      </c>
    </row>
    <row r="3" spans="19:27">
      <c r="S3" s="2" t="s">
        <v>297</v>
      </c>
      <c r="T3" s="2" t="s">
        <v>298</v>
      </c>
      <c r="U3" s="2"/>
      <c r="V3" s="2" t="s">
        <v>299</v>
      </c>
      <c r="W3" s="2" t="s">
        <v>300</v>
      </c>
      <c r="X3" s="2" t="s">
        <v>301</v>
      </c>
      <c r="AA3" s="2" t="s">
        <v>301</v>
      </c>
    </row>
    <row r="4" ht="16" spans="3:27">
      <c r="C4" s="38" t="s">
        <v>302</v>
      </c>
      <c r="D4" s="37" t="s">
        <v>303</v>
      </c>
      <c r="E4" s="37" t="s">
        <v>304</v>
      </c>
      <c r="F4" s="37" t="s">
        <v>305</v>
      </c>
      <c r="G4" s="38" t="s">
        <v>302</v>
      </c>
      <c r="H4" s="37"/>
      <c r="I4" s="37"/>
      <c r="N4" t="str">
        <f>O4&amp;P4&amp;Q4</f>
        <v>=IFERROR(VLOOKUP(V4,新增字段查找!C4:I500,2,FALSE),"")</v>
      </c>
      <c r="O4" s="177" t="s">
        <v>306</v>
      </c>
      <c r="P4" s="135" t="s">
        <v>307</v>
      </c>
      <c r="Q4" s="177" t="s">
        <v>308</v>
      </c>
      <c r="S4" t="str">
        <f>IFERROR(VLOOKUP(V4,新增字段查找!C4:I500,2,FALSE),"")</f>
        <v/>
      </c>
      <c r="T4" t="str">
        <f>IFERROR(VLOOKUP(V4,新增字段查找!C4:I500,3,FALSE),"")</f>
        <v/>
      </c>
      <c r="U4" t="s">
        <v>305</v>
      </c>
      <c r="V4" s="102" t="s">
        <v>309</v>
      </c>
      <c r="W4" t="str">
        <f>IFERROR(VLOOKUP(V4,新增字段查找!C4:I500,6,FALSE),"")</f>
        <v/>
      </c>
      <c r="X4" t="str">
        <f>IFERROR(VLOOKUP(V4,新增字段查找!C4:I500,7,FALSE),"")</f>
        <v/>
      </c>
      <c r="AA4" t="str">
        <f>IFERROR(VLOOKUP(P4,新增字段查找!C4:I37,7,FALSE),"")</f>
        <v/>
      </c>
    </row>
    <row r="5" ht="16" spans="3:27">
      <c r="C5" s="38" t="s">
        <v>310</v>
      </c>
      <c r="D5" s="37" t="s">
        <v>311</v>
      </c>
      <c r="E5" s="37" t="s">
        <v>304</v>
      </c>
      <c r="F5" s="37" t="s">
        <v>305</v>
      </c>
      <c r="G5" s="38" t="s">
        <v>310</v>
      </c>
      <c r="H5" s="37"/>
      <c r="I5" s="37"/>
      <c r="M5" t="str">
        <f>VLOOKUP("YES",F4:G37,2,FALSE)</f>
        <v>开始票据区间</v>
      </c>
      <c r="N5" t="str">
        <f t="shared" ref="N5:N35" si="0">O5&amp;P5&amp;Q5</f>
        <v>=IFERROR(VLOOKUP(V5,新增字段查找!C4:I500,2,FALSE),"")</v>
      </c>
      <c r="O5" s="177" t="s">
        <v>306</v>
      </c>
      <c r="P5" s="135" t="s">
        <v>312</v>
      </c>
      <c r="Q5" s="177" t="s">
        <v>308</v>
      </c>
      <c r="S5" t="str">
        <f>IFERROR(VLOOKUP(V5,新增字段查找!C4:I500,2,FALSE),"")</f>
        <v/>
      </c>
      <c r="T5" t="str">
        <f>IFERROR(VLOOKUP(V5,新增字段查找!C4:I500,3,FALSE),"")</f>
        <v/>
      </c>
      <c r="U5" t="s">
        <v>305</v>
      </c>
      <c r="V5" s="102" t="s">
        <v>313</v>
      </c>
      <c r="W5" t="str">
        <f>IFERROR(VLOOKUP(V5,新增字段查找!C4:I500,6,FALSE),"")</f>
        <v/>
      </c>
      <c r="X5" t="str">
        <f>IFERROR(VLOOKUP(V5,新增字段查找!C4:I500,7,FALSE),"")</f>
        <v/>
      </c>
      <c r="AA5" t="str">
        <f>IFERROR(VLOOKUP(P5,新增字段查找!C4:I37,7,FALSE),"")</f>
        <v/>
      </c>
    </row>
    <row r="6" ht="28" spans="3:27">
      <c r="C6" s="119" t="s">
        <v>314</v>
      </c>
      <c r="D6" s="97" t="s">
        <v>315</v>
      </c>
      <c r="E6" s="97" t="s">
        <v>316</v>
      </c>
      <c r="F6" s="118" t="s">
        <v>305</v>
      </c>
      <c r="G6" s="119" t="s">
        <v>314</v>
      </c>
      <c r="H6" s="97"/>
      <c r="I6" s="97"/>
      <c r="N6" t="str">
        <f t="shared" si="0"/>
        <v>=IFERROR(VLOOKUP(V6,新增字段查找!C4:I500,2,FALSE),"")</v>
      </c>
      <c r="O6" s="177" t="s">
        <v>306</v>
      </c>
      <c r="P6" s="135" t="s">
        <v>317</v>
      </c>
      <c r="Q6" s="177" t="s">
        <v>308</v>
      </c>
      <c r="S6" t="str">
        <f>IFERROR(VLOOKUP(V6,新增字段查找!C4:I500,2,FALSE),"")</f>
        <v/>
      </c>
      <c r="T6" t="str">
        <f>IFERROR(VLOOKUP(V6,新增字段查找!C4:I500,3,FALSE),"")</f>
        <v/>
      </c>
      <c r="U6" t="s">
        <v>305</v>
      </c>
      <c r="V6" s="135" t="s">
        <v>318</v>
      </c>
      <c r="W6" t="str">
        <f>IFERROR(VLOOKUP(V6,新增字段查找!C4:I500,6,FALSE),"")</f>
        <v/>
      </c>
      <c r="X6" t="str">
        <f>IFERROR(VLOOKUP(V6,新增字段查找!C4:I500,7,FALSE),"")</f>
        <v/>
      </c>
      <c r="AA6" t="str">
        <f>IFERROR(VLOOKUP(P6,新增字段查找!C4:I37,7,FALSE),"")</f>
        <v/>
      </c>
    </row>
    <row r="7" ht="16" spans="3:27">
      <c r="C7" s="82" t="s">
        <v>319</v>
      </c>
      <c r="D7" s="57" t="s">
        <v>320</v>
      </c>
      <c r="E7" s="65" t="s">
        <v>321</v>
      </c>
      <c r="F7" s="65" t="s">
        <v>305</v>
      </c>
      <c r="G7" s="82" t="s">
        <v>319</v>
      </c>
      <c r="H7" s="57"/>
      <c r="I7" s="60" t="s">
        <v>322</v>
      </c>
      <c r="N7" t="str">
        <f t="shared" si="0"/>
        <v>=IFERROR(VLOOKUP(V7,新增字段查找!C4:I500,2,FALSE),"")</v>
      </c>
      <c r="O7" s="177" t="s">
        <v>306</v>
      </c>
      <c r="P7" s="135" t="s">
        <v>323</v>
      </c>
      <c r="Q7" s="177" t="s">
        <v>308</v>
      </c>
      <c r="S7" t="str">
        <f>IFERROR(VLOOKUP(V7,新增字段查找!C4:I500,2,FALSE),"")</f>
        <v/>
      </c>
      <c r="T7" t="str">
        <f>IFERROR(VLOOKUP(V7,新增字段查找!C4:I500,3,FALSE),"")</f>
        <v/>
      </c>
      <c r="U7" t="s">
        <v>305</v>
      </c>
      <c r="V7" s="135" t="s">
        <v>324</v>
      </c>
      <c r="W7" t="str">
        <f>IFERROR(VLOOKUP(V7,新增字段查找!C4:I500,6,FALSE),"")</f>
        <v/>
      </c>
      <c r="X7" t="str">
        <f>IFERROR(VLOOKUP(V7,新增字段查找!C4:I500,7,FALSE),"")</f>
        <v/>
      </c>
      <c r="AA7" t="str">
        <f>IFERROR(VLOOKUP(P7,新增字段查找!C4:I37,7,FALSE),"")</f>
        <v/>
      </c>
    </row>
    <row r="8" ht="16" spans="3:27">
      <c r="C8" s="82" t="s">
        <v>325</v>
      </c>
      <c r="D8" s="57" t="s">
        <v>326</v>
      </c>
      <c r="E8" s="57" t="s">
        <v>327</v>
      </c>
      <c r="F8" s="65" t="s">
        <v>305</v>
      </c>
      <c r="G8" s="82" t="s">
        <v>325</v>
      </c>
      <c r="H8" s="57"/>
      <c r="I8" s="57"/>
      <c r="N8" t="str">
        <f t="shared" si="0"/>
        <v>=IFERROR(VLOOKUP(V8,新增字段查找!C4:I500,2,FALSE),"")</v>
      </c>
      <c r="O8" s="177" t="s">
        <v>306</v>
      </c>
      <c r="P8" s="135" t="s">
        <v>328</v>
      </c>
      <c r="Q8" s="177" t="s">
        <v>308</v>
      </c>
      <c r="S8" t="str">
        <f>IFERROR(VLOOKUP(V8,新增字段查找!C4:I500,2,FALSE),"")</f>
        <v/>
      </c>
      <c r="T8" t="str">
        <f>IFERROR(VLOOKUP(V8,新增字段查找!C4:I500,3,FALSE),"")</f>
        <v/>
      </c>
      <c r="U8" t="s">
        <v>305</v>
      </c>
      <c r="V8" s="135" t="s">
        <v>329</v>
      </c>
      <c r="W8" t="str">
        <f>IFERROR(VLOOKUP(V8,新增字段查找!C4:I500,6,FALSE),"")</f>
        <v/>
      </c>
      <c r="X8" t="str">
        <f>IFERROR(VLOOKUP(V8,新增字段查找!C4:I500,7,FALSE),"")</f>
        <v/>
      </c>
      <c r="AA8" t="str">
        <f>IFERROR(VLOOKUP(P8,新增字段查找!C4:I37,7,FALSE),"")</f>
        <v/>
      </c>
    </row>
    <row r="9" ht="46" spans="3:27">
      <c r="C9" s="82" t="s">
        <v>330</v>
      </c>
      <c r="D9" s="57" t="s">
        <v>331</v>
      </c>
      <c r="E9" s="65" t="s">
        <v>321</v>
      </c>
      <c r="F9" s="65" t="s">
        <v>305</v>
      </c>
      <c r="G9" s="82" t="s">
        <v>330</v>
      </c>
      <c r="H9" s="57"/>
      <c r="I9" s="66" t="s">
        <v>332</v>
      </c>
      <c r="N9" t="str">
        <f t="shared" si="0"/>
        <v>=IFERROR(VLOOKUP(V9,新增字段查找!C4:I500,2,FALSE),"")</v>
      </c>
      <c r="O9" s="177" t="s">
        <v>306</v>
      </c>
      <c r="P9" s="135" t="s">
        <v>333</v>
      </c>
      <c r="Q9" s="177" t="s">
        <v>308</v>
      </c>
      <c r="S9" t="str">
        <f>IFERROR(VLOOKUP(V9,新增字段查找!C4:I500,2,FALSE),"")</f>
        <v>CURRENCY</v>
      </c>
      <c r="T9" t="str">
        <f>IFERROR(VLOOKUP(V9,新增字段查找!C4:I500,3,FALSE),"")</f>
        <v>varchar(18)</v>
      </c>
      <c r="U9" t="s">
        <v>305</v>
      </c>
      <c r="V9" s="135" t="s">
        <v>334</v>
      </c>
      <c r="W9" t="str">
        <f>IFERROR(VLOOKUP(V9,新增字段查找!C4:I500,6,FALSE),"")</f>
        <v>Currency</v>
      </c>
      <c r="X9">
        <f>IFERROR(VLOOKUP(V9,新增字段查找!C4:I500,7,FALSE),"")</f>
        <v>0</v>
      </c>
      <c r="AA9" t="str">
        <f>IFERROR(VLOOKUP(P9,新增字段查找!C4:I37,7,FALSE),"")</f>
        <v/>
      </c>
    </row>
    <row r="10" ht="16" spans="3:27">
      <c r="C10" s="82" t="s">
        <v>335</v>
      </c>
      <c r="D10" s="57" t="s">
        <v>336</v>
      </c>
      <c r="E10" s="65" t="s">
        <v>321</v>
      </c>
      <c r="F10" s="65" t="s">
        <v>305</v>
      </c>
      <c r="G10" s="82" t="s">
        <v>335</v>
      </c>
      <c r="H10" s="57"/>
      <c r="I10" s="60" t="s">
        <v>337</v>
      </c>
      <c r="N10" t="str">
        <f t="shared" si="0"/>
        <v>=IFERROR(VLOOKUP(V10,新增字段查找!C4:I500,2,FALSE),"")</v>
      </c>
      <c r="O10" s="177" t="s">
        <v>306</v>
      </c>
      <c r="P10" s="135" t="s">
        <v>338</v>
      </c>
      <c r="Q10" s="177" t="s">
        <v>308</v>
      </c>
      <c r="S10" t="str">
        <f>IFERROR(VLOOKUP(V10,新增字段查找!C4:I500,2,FALSE),"")</f>
        <v/>
      </c>
      <c r="T10" t="str">
        <f>IFERROR(VLOOKUP(V10,新增字段查找!C4:I500,3,FALSE),"")</f>
        <v/>
      </c>
      <c r="U10" t="s">
        <v>305</v>
      </c>
      <c r="V10" s="135" t="s">
        <v>339</v>
      </c>
      <c r="W10" t="str">
        <f>IFERROR(VLOOKUP(V10,新增字段查找!C4:I500,6,FALSE),"")</f>
        <v/>
      </c>
      <c r="X10" t="str">
        <f>IFERROR(VLOOKUP(V10,新增字段查找!C4:I500,7,FALSE),"")</f>
        <v/>
      </c>
      <c r="AA10" t="str">
        <f>IFERROR(VLOOKUP(P10,新增字段查找!C4:I37,7,FALSE),"")</f>
        <v/>
      </c>
    </row>
    <row r="11" ht="16" spans="3:27">
      <c r="C11" s="82" t="s">
        <v>340</v>
      </c>
      <c r="D11" s="57" t="s">
        <v>341</v>
      </c>
      <c r="E11" s="57" t="s">
        <v>316</v>
      </c>
      <c r="F11" s="65" t="s">
        <v>305</v>
      </c>
      <c r="G11" s="82" t="s">
        <v>340</v>
      </c>
      <c r="H11" s="57"/>
      <c r="I11" s="57"/>
      <c r="N11" t="str">
        <f t="shared" si="0"/>
        <v>=IFERROR(VLOOKUP(V11,新增字段查找!C4:I500,2,FALSE),"")</v>
      </c>
      <c r="O11" s="177" t="s">
        <v>306</v>
      </c>
      <c r="P11" s="135" t="s">
        <v>342</v>
      </c>
      <c r="Q11" s="177" t="s">
        <v>308</v>
      </c>
      <c r="S11" t="str">
        <f>IFERROR(VLOOKUP(V11,新增字段查找!C4:I500,2,FALSE),"")</f>
        <v/>
      </c>
      <c r="T11" t="str">
        <f>IFERROR(VLOOKUP(V11,新增字段查找!C4:I500,3,FALSE),"")</f>
        <v/>
      </c>
      <c r="U11" t="s">
        <v>305</v>
      </c>
      <c r="V11" s="136" t="s">
        <v>343</v>
      </c>
      <c r="W11" t="str">
        <f>IFERROR(VLOOKUP(V11,新增字段查找!C4:I500,6,FALSE),"")</f>
        <v/>
      </c>
      <c r="X11" t="str">
        <f>IFERROR(VLOOKUP(V11,新增字段查找!C4:I500,7,FALSE),"")</f>
        <v/>
      </c>
      <c r="AA11" t="str">
        <f>IFERROR(VLOOKUP(P11,新增字段查找!C4:I37,7,FALSE),"")</f>
        <v/>
      </c>
    </row>
    <row r="12" ht="16" spans="3:27">
      <c r="C12" s="82" t="s">
        <v>344</v>
      </c>
      <c r="D12" s="57" t="s">
        <v>345</v>
      </c>
      <c r="E12" s="57" t="s">
        <v>316</v>
      </c>
      <c r="F12" s="65" t="s">
        <v>305</v>
      </c>
      <c r="G12" s="82" t="s">
        <v>344</v>
      </c>
      <c r="H12" s="57"/>
      <c r="I12" s="57"/>
      <c r="N12" t="str">
        <f t="shared" si="0"/>
        <v>=IFERROR(VLOOKUP(V12,新增字段查找!C4:I500,2,FALSE),"")</v>
      </c>
      <c r="O12" s="177" t="s">
        <v>306</v>
      </c>
      <c r="P12" s="135" t="s">
        <v>346</v>
      </c>
      <c r="Q12" s="177" t="s">
        <v>308</v>
      </c>
      <c r="S12" t="str">
        <f>IFERROR(VLOOKUP(V12,新增字段查找!C4:I500,2,FALSE),"")</f>
        <v/>
      </c>
      <c r="T12" t="str">
        <f>IFERROR(VLOOKUP(V12,新增字段查找!C4:I500,3,FALSE),"")</f>
        <v/>
      </c>
      <c r="U12" t="s">
        <v>305</v>
      </c>
      <c r="V12" s="136" t="s">
        <v>347</v>
      </c>
      <c r="W12" t="str">
        <f>IFERROR(VLOOKUP(V12,新增字段查找!C4:I500,6,FALSE),"")</f>
        <v/>
      </c>
      <c r="X12" t="str">
        <f>IFERROR(VLOOKUP(V12,新增字段查找!C4:I500,7,FALSE),"")</f>
        <v/>
      </c>
      <c r="AA12" t="str">
        <f>IFERROR(VLOOKUP(P12,新增字段查找!C4:I37,7,FALSE),"")</f>
        <v/>
      </c>
    </row>
    <row r="13" ht="16" spans="3:27">
      <c r="C13" s="82" t="s">
        <v>348</v>
      </c>
      <c r="D13" s="57" t="s">
        <v>349</v>
      </c>
      <c r="E13" s="65" t="s">
        <v>350</v>
      </c>
      <c r="F13" s="65" t="s">
        <v>305</v>
      </c>
      <c r="G13" s="82" t="s">
        <v>348</v>
      </c>
      <c r="H13" s="57"/>
      <c r="I13" s="57"/>
      <c r="K13">
        <f>I14</f>
        <v>0</v>
      </c>
      <c r="N13" t="str">
        <f t="shared" si="0"/>
        <v>=IFERROR(VLOOKUP(V13,新增字段查找!C4:I500,2,FALSE),"")</v>
      </c>
      <c r="O13" s="177" t="s">
        <v>306</v>
      </c>
      <c r="P13" s="135" t="s">
        <v>351</v>
      </c>
      <c r="Q13" s="177" t="s">
        <v>308</v>
      </c>
      <c r="S13" t="str">
        <f>IFERROR(VLOOKUP(V13,新增字段查找!C4:I500,2,FALSE),"")</f>
        <v/>
      </c>
      <c r="T13" t="str">
        <f>IFERROR(VLOOKUP(V13,新增字段查找!C4:I500,3,FALSE),"")</f>
        <v/>
      </c>
      <c r="U13" t="s">
        <v>305</v>
      </c>
      <c r="V13" s="136" t="s">
        <v>352</v>
      </c>
      <c r="W13" t="str">
        <f>IFERROR(VLOOKUP(V13,新增字段查找!C4:I500,6,FALSE),"")</f>
        <v/>
      </c>
      <c r="X13" t="str">
        <f>IFERROR(VLOOKUP(V13,新增字段查找!C4:I500,7,FALSE),"")</f>
        <v/>
      </c>
      <c r="AA13" t="str">
        <f>IFERROR(VLOOKUP(P13,新增字段查找!C4:I37,7,FALSE),"")</f>
        <v/>
      </c>
    </row>
    <row r="14" ht="16" spans="3:27">
      <c r="C14" s="82" t="s">
        <v>353</v>
      </c>
      <c r="D14" s="57" t="s">
        <v>354</v>
      </c>
      <c r="E14" s="65" t="s">
        <v>350</v>
      </c>
      <c r="F14" s="65" t="s">
        <v>305</v>
      </c>
      <c r="G14" s="82" t="s">
        <v>353</v>
      </c>
      <c r="H14" s="57"/>
      <c r="I14" s="57"/>
      <c r="N14" t="str">
        <f t="shared" si="0"/>
        <v>=IFERROR(VLOOKUP(V14,新增字段查找!C4:I500,2,FALSE),"")</v>
      </c>
      <c r="O14" s="177" t="s">
        <v>306</v>
      </c>
      <c r="P14" s="135" t="s">
        <v>355</v>
      </c>
      <c r="Q14" s="177" t="s">
        <v>308</v>
      </c>
      <c r="S14" t="str">
        <f>IFERROR(VLOOKUP(V14,新增字段查找!C4:I500,2,FALSE),"")</f>
        <v/>
      </c>
      <c r="T14" t="str">
        <f>IFERROR(VLOOKUP(V14,新增字段查找!C4:I500,3,FALSE),"")</f>
        <v/>
      </c>
      <c r="U14" t="s">
        <v>305</v>
      </c>
      <c r="V14" s="136" t="s">
        <v>356</v>
      </c>
      <c r="W14" t="str">
        <f>IFERROR(VLOOKUP(V14,新增字段查找!C4:I500,6,FALSE),"")</f>
        <v/>
      </c>
      <c r="X14" t="str">
        <f>IFERROR(VLOOKUP(V14,新增字段查找!C4:I500,7,FALSE),"")</f>
        <v/>
      </c>
      <c r="AA14" t="str">
        <f>IFERROR(VLOOKUP(P14,新增字段查找!C4:I37,7,FALSE),"")</f>
        <v/>
      </c>
    </row>
    <row r="15" ht="16" spans="3:27">
      <c r="C15" s="99" t="s">
        <v>357</v>
      </c>
      <c r="D15" s="57" t="s">
        <v>358</v>
      </c>
      <c r="E15" s="65" t="s">
        <v>321</v>
      </c>
      <c r="F15" s="65" t="s">
        <v>305</v>
      </c>
      <c r="G15" s="99" t="s">
        <v>357</v>
      </c>
      <c r="H15" s="57"/>
      <c r="I15" s="57"/>
      <c r="N15" t="str">
        <f t="shared" si="0"/>
        <v>=IFERROR(VLOOKUP(V15,新增字段查找!C4:I500,2,FALSE),"")</v>
      </c>
      <c r="O15" s="177" t="s">
        <v>306</v>
      </c>
      <c r="P15" s="135" t="s">
        <v>359</v>
      </c>
      <c r="Q15" s="177" t="s">
        <v>308</v>
      </c>
      <c r="S15" t="str">
        <f>IFERROR(VLOOKUP(V15,新增字段查找!C4:I500,2,FALSE),"")</f>
        <v/>
      </c>
      <c r="T15" t="str">
        <f>IFERROR(VLOOKUP(V15,新增字段查找!C4:I500,3,FALSE),"")</f>
        <v/>
      </c>
      <c r="U15" t="s">
        <v>305</v>
      </c>
      <c r="V15" s="102" t="s">
        <v>360</v>
      </c>
      <c r="W15" t="str">
        <f>IFERROR(VLOOKUP(V15,新增字段查找!C4:I500,6,FALSE),"")</f>
        <v/>
      </c>
      <c r="X15" t="str">
        <f>IFERROR(VLOOKUP(V15,新增字段查找!C4:I500,7,FALSE),"")</f>
        <v/>
      </c>
      <c r="AA15" t="str">
        <f>IFERROR(VLOOKUP(P15,新增字段查找!C4:I37,7,FALSE),"")</f>
        <v/>
      </c>
    </row>
    <row r="16" ht="16" spans="3:27">
      <c r="C16" s="59" t="s">
        <v>361</v>
      </c>
      <c r="D16" s="57" t="s">
        <v>362</v>
      </c>
      <c r="E16" s="65" t="s">
        <v>363</v>
      </c>
      <c r="F16" s="65" t="s">
        <v>305</v>
      </c>
      <c r="G16" s="59" t="s">
        <v>361</v>
      </c>
      <c r="H16" s="57"/>
      <c r="I16" s="57"/>
      <c r="N16" t="str">
        <f t="shared" si="0"/>
        <v>=IFERROR(VLOOKUP(V16,新增字段查找!C4:I500,2,FALSE),"")</v>
      </c>
      <c r="O16" s="177" t="s">
        <v>306</v>
      </c>
      <c r="P16" s="135" t="s">
        <v>364</v>
      </c>
      <c r="Q16" s="177" t="s">
        <v>308</v>
      </c>
      <c r="S16" t="str">
        <f>IFERROR(VLOOKUP(V16,新增字段查找!C4:I500,2,FALSE),"")</f>
        <v>REALIZATIONVALUE</v>
      </c>
      <c r="T16" t="str">
        <f>IFERROR(VLOOKUP(V16,新增字段查找!C4:I500,3,FALSE),"")</f>
        <v>decimal(24,6)</v>
      </c>
      <c r="U16" t="s">
        <v>305</v>
      </c>
      <c r="V16" s="102" t="s">
        <v>348</v>
      </c>
      <c r="W16">
        <f>IFERROR(VLOOKUP(V16,新增字段查找!C4:I500,6,FALSE),"")</f>
        <v>0</v>
      </c>
      <c r="X16">
        <f>IFERROR(VLOOKUP(V16,新增字段查找!C4:I500,7,FALSE),"")</f>
        <v>0</v>
      </c>
      <c r="AA16" t="str">
        <f>IFERROR(VLOOKUP(P16,新增字段查找!C4:I37,7,FALSE),"")</f>
        <v/>
      </c>
    </row>
    <row r="17" ht="46" spans="3:27">
      <c r="C17" s="59" t="s">
        <v>365</v>
      </c>
      <c r="D17" s="111" t="s">
        <v>366</v>
      </c>
      <c r="E17" s="57" t="s">
        <v>367</v>
      </c>
      <c r="F17" s="65" t="s">
        <v>305</v>
      </c>
      <c r="G17" s="59" t="s">
        <v>365</v>
      </c>
      <c r="H17" s="57"/>
      <c r="I17" s="57"/>
      <c r="N17" t="str">
        <f t="shared" si="0"/>
        <v>=IFERROR(VLOOKUP(V17,新增字段查找!C4:I500,2,FALSE),"")</v>
      </c>
      <c r="O17" s="177" t="s">
        <v>306</v>
      </c>
      <c r="P17" s="135" t="s">
        <v>368</v>
      </c>
      <c r="Q17" s="177" t="s">
        <v>308</v>
      </c>
      <c r="S17" t="str">
        <f>IFERROR(VLOOKUP(V17,新增字段查找!C4:I500,2,FALSE),"")</f>
        <v>REALIZATIONCOST</v>
      </c>
      <c r="T17" t="str">
        <f>IFERROR(VLOOKUP(V17,新增字段查找!C4:I500,3,FALSE),"")</f>
        <v>decimal(24,6)</v>
      </c>
      <c r="U17" t="s">
        <v>305</v>
      </c>
      <c r="V17" s="102" t="s">
        <v>353</v>
      </c>
      <c r="W17">
        <f>IFERROR(VLOOKUP(V17,新增字段查找!C4:I500,6,FALSE),"")</f>
        <v>0</v>
      </c>
      <c r="X17">
        <f>IFERROR(VLOOKUP(V17,新增字段查找!C4:I500,7,FALSE),"")</f>
        <v>0</v>
      </c>
      <c r="AA17" t="str">
        <f>IFERROR(VLOOKUP(P17,新增字段查找!C4:I37,7,FALSE),"")</f>
        <v/>
      </c>
    </row>
    <row r="18" ht="46" spans="3:27">
      <c r="C18" s="57" t="s">
        <v>369</v>
      </c>
      <c r="D18" s="111" t="s">
        <v>370</v>
      </c>
      <c r="E18" s="65" t="s">
        <v>371</v>
      </c>
      <c r="F18" s="65" t="s">
        <v>305</v>
      </c>
      <c r="G18" s="57" t="s">
        <v>369</v>
      </c>
      <c r="H18" s="57"/>
      <c r="I18" s="57"/>
      <c r="N18" t="str">
        <f t="shared" si="0"/>
        <v>=IFERROR(VLOOKUP(V18,新增字段查找!C4:I500,2,FALSE),"")</v>
      </c>
      <c r="O18" s="177" t="s">
        <v>306</v>
      </c>
      <c r="P18" s="135" t="s">
        <v>372</v>
      </c>
      <c r="Q18" s="177" t="s">
        <v>308</v>
      </c>
      <c r="S18" t="str">
        <f>IFERROR(VLOOKUP(V18,新增字段查找!C4:I500,2,FALSE),"")</f>
        <v/>
      </c>
      <c r="T18" t="str">
        <f>IFERROR(VLOOKUP(V18,新增字段查找!C4:I500,3,FALSE),"")</f>
        <v/>
      </c>
      <c r="U18" t="s">
        <v>305</v>
      </c>
      <c r="V18" s="112" t="s">
        <v>373</v>
      </c>
      <c r="W18" t="str">
        <f>IFERROR(VLOOKUP(V18,新增字段查找!C4:I500,6,FALSE),"")</f>
        <v/>
      </c>
      <c r="X18" t="str">
        <f>IFERROR(VLOOKUP(V18,新增字段查找!C4:I500,7,FALSE),"")</f>
        <v/>
      </c>
      <c r="AA18" t="str">
        <f>IFERROR(VLOOKUP(P18,新增字段查找!C4:I37,7,FALSE),"")</f>
        <v/>
      </c>
    </row>
    <row r="19" ht="31" spans="3:27">
      <c r="C19" s="59" t="s">
        <v>374</v>
      </c>
      <c r="D19" s="111" t="s">
        <v>375</v>
      </c>
      <c r="E19" s="57" t="s">
        <v>316</v>
      </c>
      <c r="F19" s="65" t="s">
        <v>305</v>
      </c>
      <c r="G19" s="59" t="s">
        <v>374</v>
      </c>
      <c r="H19" s="57"/>
      <c r="I19" s="57"/>
      <c r="N19" t="str">
        <f t="shared" si="0"/>
        <v>=IFERROR(VLOOKUP(V19,新增字段查找!C4:I500,2,FALSE),"")</v>
      </c>
      <c r="O19" s="177" t="s">
        <v>306</v>
      </c>
      <c r="P19" s="135" t="s">
        <v>376</v>
      </c>
      <c r="Q19" s="177" t="s">
        <v>308</v>
      </c>
      <c r="S19" t="str">
        <f>IFERROR(VLOOKUP(V19,新增字段查找!C4:I500,2,FALSE),"")</f>
        <v/>
      </c>
      <c r="T19" t="str">
        <f>IFERROR(VLOOKUP(V19,新增字段查找!C4:I500,3,FALSE),"")</f>
        <v/>
      </c>
      <c r="U19" t="s">
        <v>305</v>
      </c>
      <c r="V19" s="102" t="s">
        <v>377</v>
      </c>
      <c r="W19" t="str">
        <f>IFERROR(VLOOKUP(V19,新增字段查找!C4:I500,6,FALSE),"")</f>
        <v/>
      </c>
      <c r="X19" t="str">
        <f>IFERROR(VLOOKUP(V19,新增字段查找!C4:I500,7,FALSE),"")</f>
        <v/>
      </c>
      <c r="AA19" t="str">
        <f>IFERROR(VLOOKUP(P19,新增字段查找!C4:I37,7,FALSE),"")</f>
        <v/>
      </c>
    </row>
    <row r="20" ht="46" spans="3:27">
      <c r="C20" s="59" t="s">
        <v>378</v>
      </c>
      <c r="D20" s="111" t="s">
        <v>379</v>
      </c>
      <c r="E20" s="57" t="s">
        <v>316</v>
      </c>
      <c r="F20" s="65" t="s">
        <v>305</v>
      </c>
      <c r="G20" s="59" t="s">
        <v>378</v>
      </c>
      <c r="H20" s="57"/>
      <c r="I20" s="57"/>
      <c r="N20" t="str">
        <f t="shared" si="0"/>
        <v>=IFERROR(VLOOKUP(V20,新增字段查找!C4:I500,2,FALSE),"")</v>
      </c>
      <c r="O20" s="177" t="s">
        <v>306</v>
      </c>
      <c r="P20" s="135" t="s">
        <v>380</v>
      </c>
      <c r="Q20" s="177" t="s">
        <v>308</v>
      </c>
      <c r="S20" t="str">
        <f>IFERROR(VLOOKUP(V20,新增字段查找!C4:I500,2,FALSE),"")</f>
        <v/>
      </c>
      <c r="T20" t="str">
        <f>IFERROR(VLOOKUP(V20,新增字段查找!C4:I500,3,FALSE),"")</f>
        <v/>
      </c>
      <c r="U20" t="s">
        <v>305</v>
      </c>
      <c r="V20" s="102" t="s">
        <v>381</v>
      </c>
      <c r="W20" t="str">
        <f>IFERROR(VLOOKUP(V20,新增字段查找!C4:I500,6,FALSE),"")</f>
        <v/>
      </c>
      <c r="X20" t="str">
        <f>IFERROR(VLOOKUP(V20,新增字段查找!C4:I500,7,FALSE),"")</f>
        <v/>
      </c>
      <c r="AA20" t="str">
        <f>IFERROR(VLOOKUP(P20,新增字段查找!C4:I37,7,FALSE),"")</f>
        <v/>
      </c>
    </row>
    <row r="21" ht="46" spans="3:27">
      <c r="C21" s="59" t="s">
        <v>382</v>
      </c>
      <c r="D21" s="111" t="s">
        <v>383</v>
      </c>
      <c r="E21" s="57" t="s">
        <v>316</v>
      </c>
      <c r="F21" s="65" t="s">
        <v>305</v>
      </c>
      <c r="G21" s="59" t="s">
        <v>382</v>
      </c>
      <c r="H21" s="57"/>
      <c r="I21" s="57"/>
      <c r="N21" t="str">
        <f t="shared" si="0"/>
        <v>=IFERROR(VLOOKUP(V21,新增字段查找!C4:I500,2,FALSE),"")</v>
      </c>
      <c r="O21" s="177" t="s">
        <v>306</v>
      </c>
      <c r="P21" s="135" t="s">
        <v>384</v>
      </c>
      <c r="Q21" s="177" t="s">
        <v>308</v>
      </c>
      <c r="S21" t="str">
        <f>IFERROR(VLOOKUP(V21,新增字段查找!C4:I500,2,FALSE),"")</f>
        <v/>
      </c>
      <c r="T21" t="str">
        <f>IFERROR(VLOOKUP(V21,新增字段查找!C4:I500,3,FALSE),"")</f>
        <v/>
      </c>
      <c r="U21" t="s">
        <v>305</v>
      </c>
      <c r="V21" s="102" t="s">
        <v>385</v>
      </c>
      <c r="W21" t="str">
        <f>IFERROR(VLOOKUP(V21,新增字段查找!C4:I500,6,FALSE),"")</f>
        <v/>
      </c>
      <c r="X21" t="str">
        <f>IFERROR(VLOOKUP(V21,新增字段查找!C4:I500,7,FALSE),"")</f>
        <v/>
      </c>
      <c r="AA21" t="str">
        <f>IFERROR(VLOOKUP(P21,新增字段查找!C4:I37,7,FALSE),"")</f>
        <v/>
      </c>
    </row>
    <row r="22" ht="46" spans="3:27">
      <c r="C22" s="59" t="s">
        <v>386</v>
      </c>
      <c r="D22" s="111" t="s">
        <v>387</v>
      </c>
      <c r="E22" s="57" t="s">
        <v>367</v>
      </c>
      <c r="F22" s="65" t="s">
        <v>305</v>
      </c>
      <c r="G22" s="59" t="s">
        <v>386</v>
      </c>
      <c r="H22" s="57"/>
      <c r="I22" s="57"/>
      <c r="N22" t="str">
        <f t="shared" si="0"/>
        <v>=IFERROR(VLOOKUP(V22,新增字段查找!C4:I500,2,FALSE),"")</v>
      </c>
      <c r="O22" s="177" t="s">
        <v>306</v>
      </c>
      <c r="P22" s="135" t="s">
        <v>388</v>
      </c>
      <c r="Q22" s="177" t="s">
        <v>308</v>
      </c>
      <c r="S22" t="str">
        <f>IFERROR(VLOOKUP(V22,新增字段查找!C4:I500,2,FALSE),"")</f>
        <v/>
      </c>
      <c r="T22" t="str">
        <f>IFERROR(VLOOKUP(V22,新增字段查找!C4:I500,3,FALSE),"")</f>
        <v/>
      </c>
      <c r="U22" t="s">
        <v>305</v>
      </c>
      <c r="V22" s="102" t="s">
        <v>389</v>
      </c>
      <c r="W22" t="str">
        <f>IFERROR(VLOOKUP(V22,新增字段查找!C4:I500,6,FALSE),"")</f>
        <v/>
      </c>
      <c r="X22" t="str">
        <f>IFERROR(VLOOKUP(V22,新增字段查找!C4:I500,7,FALSE),"")</f>
        <v/>
      </c>
      <c r="AA22" t="str">
        <f>IFERROR(VLOOKUP(P22,新增字段查找!C4:I37,7,FALSE),"")</f>
        <v/>
      </c>
    </row>
    <row r="23" ht="31" spans="3:27">
      <c r="C23" s="59" t="s">
        <v>390</v>
      </c>
      <c r="D23" s="111" t="s">
        <v>391</v>
      </c>
      <c r="E23" s="57" t="s">
        <v>321</v>
      </c>
      <c r="F23" s="65" t="s">
        <v>305</v>
      </c>
      <c r="G23" s="59" t="s">
        <v>390</v>
      </c>
      <c r="H23" s="57"/>
      <c r="I23" s="57"/>
      <c r="N23" t="str">
        <f t="shared" si="0"/>
        <v>=IFERROR(VLOOKUP(V23,新增字段查找!C4:I500,2,FALSE),"")</v>
      </c>
      <c r="O23" s="177" t="s">
        <v>306</v>
      </c>
      <c r="P23" s="135" t="s">
        <v>392</v>
      </c>
      <c r="Q23" s="177" t="s">
        <v>308</v>
      </c>
      <c r="S23" t="str">
        <f>IFERROR(VLOOKUP(V23,新增字段查找!C4:I500,2,FALSE),"")</f>
        <v/>
      </c>
      <c r="T23" t="str">
        <f>IFERROR(VLOOKUP(V23,新增字段查找!C4:I500,3,FALSE),"")</f>
        <v/>
      </c>
      <c r="U23" t="s">
        <v>305</v>
      </c>
      <c r="V23" s="102" t="s">
        <v>393</v>
      </c>
      <c r="W23" t="str">
        <f>IFERROR(VLOOKUP(V23,新增字段查找!C4:I500,6,FALSE),"")</f>
        <v/>
      </c>
      <c r="X23" t="str">
        <f>IFERROR(VLOOKUP(V23,新增字段查找!C4:I500,7,FALSE),"")</f>
        <v/>
      </c>
      <c r="AA23" t="str">
        <f>IFERROR(VLOOKUP(P23,新增字段查找!C4:I37,7,FALSE),"")</f>
        <v/>
      </c>
    </row>
    <row r="24" ht="61" spans="3:27">
      <c r="C24" s="99" t="s">
        <v>394</v>
      </c>
      <c r="D24" s="111" t="s">
        <v>395</v>
      </c>
      <c r="E24" s="57" t="s">
        <v>321</v>
      </c>
      <c r="F24" s="65" t="s">
        <v>305</v>
      </c>
      <c r="G24" s="99" t="s">
        <v>394</v>
      </c>
      <c r="H24" s="57"/>
      <c r="I24" s="57"/>
      <c r="N24" t="str">
        <f t="shared" si="0"/>
        <v>=IFERROR(VLOOKUP(V24,新增字段查找!C4:I500,2,FALSE),"")</v>
      </c>
      <c r="O24" s="177" t="s">
        <v>306</v>
      </c>
      <c r="P24" s="135" t="s">
        <v>396</v>
      </c>
      <c r="Q24" s="177" t="s">
        <v>308</v>
      </c>
      <c r="S24" t="str">
        <f>IFERROR(VLOOKUP(V24,新增字段查找!C4:I500,2,FALSE),"")</f>
        <v/>
      </c>
      <c r="T24" t="str">
        <f>IFERROR(VLOOKUP(V24,新增字段查找!C4:I500,3,FALSE),"")</f>
        <v/>
      </c>
      <c r="U24" t="s">
        <v>305</v>
      </c>
      <c r="V24" s="102" t="s">
        <v>397</v>
      </c>
      <c r="W24" t="str">
        <f>IFERROR(VLOOKUP(V24,新增字段查找!C4:I500,6,FALSE),"")</f>
        <v/>
      </c>
      <c r="X24" t="str">
        <f>IFERROR(VLOOKUP(V24,新增字段查找!C4:I500,7,FALSE),"")</f>
        <v/>
      </c>
      <c r="AA24" t="str">
        <f>IFERROR(VLOOKUP(P24,新增字段查找!C4:I37,7,FALSE),"")</f>
        <v/>
      </c>
    </row>
    <row r="25" ht="46" spans="3:27">
      <c r="C25" s="57" t="s">
        <v>398</v>
      </c>
      <c r="D25" s="111" t="s">
        <v>399</v>
      </c>
      <c r="E25" s="57" t="s">
        <v>316</v>
      </c>
      <c r="F25" s="65" t="s">
        <v>305</v>
      </c>
      <c r="G25" s="57" t="s">
        <v>398</v>
      </c>
      <c r="H25" s="57"/>
      <c r="I25" s="57"/>
      <c r="N25" t="str">
        <f t="shared" si="0"/>
        <v>=IFERROR(VLOOKUP(V25,新增字段查找!C4:I500,2,FALSE),"")</v>
      </c>
      <c r="O25" s="177" t="s">
        <v>306</v>
      </c>
      <c r="P25" s="135" t="s">
        <v>400</v>
      </c>
      <c r="Q25" s="177" t="s">
        <v>308</v>
      </c>
      <c r="S25" t="str">
        <f>IFERROR(VLOOKUP(V25,新增字段查找!C4:I500,2,FALSE),"")</f>
        <v/>
      </c>
      <c r="T25" t="str">
        <f>IFERROR(VLOOKUP(V25,新增字段查找!C4:I500,3,FALSE),"")</f>
        <v/>
      </c>
      <c r="U25" t="s">
        <v>305</v>
      </c>
      <c r="V25" s="102" t="s">
        <v>401</v>
      </c>
      <c r="W25" t="str">
        <f>IFERROR(VLOOKUP(V25,新增字段查找!C4:I500,6,FALSE),"")</f>
        <v/>
      </c>
      <c r="X25" t="str">
        <f>IFERROR(VLOOKUP(V25,新增字段查找!C4:I500,7,FALSE),"")</f>
        <v/>
      </c>
      <c r="AA25" t="str">
        <f>IFERROR(VLOOKUP(P25,新增字段查找!C4:I37,7,FALSE),"")</f>
        <v/>
      </c>
    </row>
    <row r="26" ht="61" spans="3:27">
      <c r="C26" s="82" t="s">
        <v>402</v>
      </c>
      <c r="D26" s="111" t="s">
        <v>403</v>
      </c>
      <c r="E26" s="57" t="s">
        <v>321</v>
      </c>
      <c r="F26" s="65" t="s">
        <v>305</v>
      </c>
      <c r="G26" s="82" t="s">
        <v>402</v>
      </c>
      <c r="H26" s="57"/>
      <c r="I26" s="57"/>
      <c r="N26" t="str">
        <f t="shared" si="0"/>
        <v>=IFERROR(VLOOKUP(V26,新增字段查找!C4:I500,2,FALSE),"")</v>
      </c>
      <c r="O26" s="177" t="s">
        <v>306</v>
      </c>
      <c r="P26" s="135" t="s">
        <v>404</v>
      </c>
      <c r="Q26" s="177" t="s">
        <v>308</v>
      </c>
      <c r="S26" t="str">
        <f>IFERROR(VLOOKUP(V26,新增字段查找!C4:I500,2,FALSE),"")</f>
        <v/>
      </c>
      <c r="T26" t="str">
        <f>IFERROR(VLOOKUP(V26,新增字段查找!C4:I500,3,FALSE),"")</f>
        <v/>
      </c>
      <c r="U26" t="s">
        <v>305</v>
      </c>
      <c r="V26" s="137" t="s">
        <v>405</v>
      </c>
      <c r="W26" t="str">
        <f>IFERROR(VLOOKUP(V26,新增字段查找!C4:I500,6,FALSE),"")</f>
        <v/>
      </c>
      <c r="X26" t="str">
        <f>IFERROR(VLOOKUP(V26,新增字段查找!C4:I500,7,FALSE),"")</f>
        <v/>
      </c>
      <c r="AA26" t="str">
        <f>IFERROR(VLOOKUP(P26,新增字段查找!C4:I37,7,FALSE),"")</f>
        <v/>
      </c>
    </row>
    <row r="27" ht="31" spans="3:27">
      <c r="C27" s="82" t="s">
        <v>406</v>
      </c>
      <c r="D27" s="111" t="s">
        <v>407</v>
      </c>
      <c r="E27" s="57" t="s">
        <v>316</v>
      </c>
      <c r="F27" s="65" t="s">
        <v>305</v>
      </c>
      <c r="G27" s="82" t="s">
        <v>406</v>
      </c>
      <c r="H27" s="57"/>
      <c r="I27" s="57"/>
      <c r="N27" t="str">
        <f t="shared" si="0"/>
        <v>=IFERROR(VLOOKUP(V27,新增字段查找!C4:I500,2,FALSE),"")</v>
      </c>
      <c r="O27" s="177" t="s">
        <v>306</v>
      </c>
      <c r="P27" s="135" t="s">
        <v>408</v>
      </c>
      <c r="Q27" s="177" t="s">
        <v>308</v>
      </c>
      <c r="S27" t="str">
        <f>IFERROR(VLOOKUP(V27,新增字段查找!C4:I500,2,FALSE),"")</f>
        <v/>
      </c>
      <c r="T27" t="str">
        <f>IFERROR(VLOOKUP(V27,新增字段查找!C4:I500,3,FALSE),"")</f>
        <v/>
      </c>
      <c r="U27" t="s">
        <v>305</v>
      </c>
      <c r="V27" s="137" t="s">
        <v>409</v>
      </c>
      <c r="W27" t="str">
        <f>IFERROR(VLOOKUP(V27,新增字段查找!C4:I500,6,FALSE),"")</f>
        <v/>
      </c>
      <c r="X27" t="str">
        <f>IFERROR(VLOOKUP(V27,新增字段查找!C4:I500,7,FALSE),"")</f>
        <v/>
      </c>
      <c r="AA27" t="str">
        <f>IFERROR(VLOOKUP(P27,新增字段查找!C4:I37,7,FALSE),"")</f>
        <v/>
      </c>
    </row>
    <row r="28" ht="31" spans="3:27">
      <c r="C28" s="82" t="s">
        <v>410</v>
      </c>
      <c r="D28" s="111" t="s">
        <v>411</v>
      </c>
      <c r="E28" s="57" t="s">
        <v>321</v>
      </c>
      <c r="F28" s="65" t="s">
        <v>305</v>
      </c>
      <c r="G28" s="82" t="s">
        <v>410</v>
      </c>
      <c r="H28" s="57"/>
      <c r="I28" s="57"/>
      <c r="N28" t="str">
        <f t="shared" si="0"/>
        <v>=IFERROR(VLOOKUP(V28,新增字段查找!C4:I500,2,FALSE),"")</v>
      </c>
      <c r="O28" s="177" t="s">
        <v>306</v>
      </c>
      <c r="P28" s="135" t="s">
        <v>412</v>
      </c>
      <c r="Q28" s="177" t="s">
        <v>308</v>
      </c>
      <c r="S28" t="str">
        <f>IFERROR(VLOOKUP(V28,新增字段查找!C4:I500,2,FALSE),"")</f>
        <v/>
      </c>
      <c r="T28" t="str">
        <f>IFERROR(VLOOKUP(V28,新增字段查找!C4:I500,3,FALSE),"")</f>
        <v/>
      </c>
      <c r="U28" t="s">
        <v>305</v>
      </c>
      <c r="V28" s="102" t="s">
        <v>413</v>
      </c>
      <c r="W28" t="str">
        <f>IFERROR(VLOOKUP(V28,新增字段查找!C4:I500,6,FALSE),"")</f>
        <v/>
      </c>
      <c r="X28" t="str">
        <f>IFERROR(VLOOKUP(V28,新增字段查找!C4:I500,7,FALSE),"")</f>
        <v/>
      </c>
      <c r="AA28" t="str">
        <f>IFERROR(VLOOKUP(P28,新增字段查找!C4:I37,7,FALSE),"")</f>
        <v/>
      </c>
    </row>
    <row r="29" ht="31" spans="3:27">
      <c r="C29" s="82" t="s">
        <v>414</v>
      </c>
      <c r="D29" s="111" t="s">
        <v>415</v>
      </c>
      <c r="E29" s="57" t="s">
        <v>363</v>
      </c>
      <c r="F29" s="65" t="s">
        <v>305</v>
      </c>
      <c r="G29" s="82" t="s">
        <v>414</v>
      </c>
      <c r="H29" s="57"/>
      <c r="I29" s="57"/>
      <c r="N29" t="str">
        <f t="shared" si="0"/>
        <v>=IFERROR(VLOOKUP(V29,新增字段查找!C4:I500,2,FALSE),"")</v>
      </c>
      <c r="O29" s="177" t="s">
        <v>306</v>
      </c>
      <c r="P29" s="135" t="s">
        <v>416</v>
      </c>
      <c r="Q29" s="177" t="s">
        <v>308</v>
      </c>
      <c r="S29" t="str">
        <f>IFERROR(VLOOKUP(V29,新增字段查找!C4:I500,2,FALSE),"")</f>
        <v/>
      </c>
      <c r="T29" t="str">
        <f>IFERROR(VLOOKUP(V29,新增字段查找!C4:I500,3,FALSE),"")</f>
        <v/>
      </c>
      <c r="U29" t="s">
        <v>305</v>
      </c>
      <c r="V29" s="102" t="s">
        <v>417</v>
      </c>
      <c r="W29" t="str">
        <f>IFERROR(VLOOKUP(V29,新增字段查找!C4:I500,6,FALSE),"")</f>
        <v/>
      </c>
      <c r="X29" t="str">
        <f>IFERROR(VLOOKUP(V29,新增字段查找!C4:I500,7,FALSE),"")</f>
        <v/>
      </c>
      <c r="AA29" t="str">
        <f>IFERROR(VLOOKUP(P29,新增字段查找!C4:I37,7,FALSE),"")</f>
        <v/>
      </c>
    </row>
    <row r="30" ht="46" spans="3:27">
      <c r="C30" s="99" t="s">
        <v>418</v>
      </c>
      <c r="D30" s="111" t="s">
        <v>419</v>
      </c>
      <c r="E30" s="57" t="s">
        <v>316</v>
      </c>
      <c r="F30" s="65" t="s">
        <v>305</v>
      </c>
      <c r="G30" s="99" t="s">
        <v>418</v>
      </c>
      <c r="H30" s="57"/>
      <c r="I30" s="57"/>
      <c r="N30" t="str">
        <f t="shared" si="0"/>
        <v>=IFERROR(VLOOKUP(V30,新增字段查找!C4:I500,2,FALSE),"")</v>
      </c>
      <c r="O30" s="177" t="s">
        <v>306</v>
      </c>
      <c r="P30" s="135" t="s">
        <v>420</v>
      </c>
      <c r="Q30" s="177" t="s">
        <v>308</v>
      </c>
      <c r="S30" t="str">
        <f>IFERROR(VLOOKUP(V30,新增字段查找!C4:I500,2,FALSE),"")</f>
        <v/>
      </c>
      <c r="T30" t="str">
        <f>IFERROR(VLOOKUP(V30,新增字段查找!C4:I500,3,FALSE),"")</f>
        <v/>
      </c>
      <c r="U30" t="s">
        <v>305</v>
      </c>
      <c r="V30" s="102" t="s">
        <v>421</v>
      </c>
      <c r="W30" t="str">
        <f>IFERROR(VLOOKUP(V30,新增字段查找!C4:I500,6,FALSE),"")</f>
        <v/>
      </c>
      <c r="X30" t="str">
        <f>IFERROR(VLOOKUP(V30,新增字段查找!C4:I500,7,FALSE),"")</f>
        <v/>
      </c>
      <c r="AA30" t="str">
        <f>IFERROR(VLOOKUP(P30,新增字段查找!C4:I37,7,FALSE),"")</f>
        <v/>
      </c>
    </row>
    <row r="31" ht="31" spans="3:27">
      <c r="C31" s="82" t="s">
        <v>422</v>
      </c>
      <c r="D31" s="111" t="s">
        <v>423</v>
      </c>
      <c r="E31" s="57" t="s">
        <v>371</v>
      </c>
      <c r="F31" s="65" t="s">
        <v>305</v>
      </c>
      <c r="G31" s="82" t="s">
        <v>422</v>
      </c>
      <c r="H31" s="57"/>
      <c r="I31" s="57"/>
      <c r="N31" t="str">
        <f t="shared" si="0"/>
        <v>=IFERROR(VLOOKUP(V31,新增字段查找!C4:I500,2,FALSE),"")</v>
      </c>
      <c r="O31" s="177" t="s">
        <v>306</v>
      </c>
      <c r="P31" s="135" t="s">
        <v>424</v>
      </c>
      <c r="Q31" s="177" t="s">
        <v>308</v>
      </c>
      <c r="S31" t="str">
        <f>IFERROR(VLOOKUP(V31,新增字段查找!C4:I500,2,FALSE),"")</f>
        <v/>
      </c>
      <c r="T31" t="str">
        <f>IFERROR(VLOOKUP(V31,新增字段查找!C4:I500,3,FALSE),"")</f>
        <v/>
      </c>
      <c r="U31" t="s">
        <v>305</v>
      </c>
      <c r="V31" s="102" t="s">
        <v>425</v>
      </c>
      <c r="W31" t="str">
        <f>IFERROR(VLOOKUP(V31,新增字段查找!C4:I500,6,FALSE),"")</f>
        <v/>
      </c>
      <c r="X31" t="str">
        <f>IFERROR(VLOOKUP(V31,新增字段查找!C4:I500,7,FALSE),"")</f>
        <v/>
      </c>
      <c r="AA31" t="str">
        <f>IFERROR(VLOOKUP(P31,新增字段查找!C4:I37,7,FALSE),"")</f>
        <v/>
      </c>
    </row>
    <row r="32" ht="41" spans="3:27">
      <c r="C32" s="59" t="s">
        <v>426</v>
      </c>
      <c r="D32" s="111" t="s">
        <v>427</v>
      </c>
      <c r="E32" s="57" t="s">
        <v>321</v>
      </c>
      <c r="F32" s="65" t="s">
        <v>305</v>
      </c>
      <c r="G32" s="59" t="s">
        <v>426</v>
      </c>
      <c r="H32" s="57"/>
      <c r="I32" s="100" t="s">
        <v>428</v>
      </c>
      <c r="N32" t="str">
        <f t="shared" si="0"/>
        <v>=IFERROR(VLOOKUP(V32,新增字段查找!C4:I500,2,FALSE),"")</v>
      </c>
      <c r="O32" s="177" t="s">
        <v>306</v>
      </c>
      <c r="P32" s="135" t="s">
        <v>429</v>
      </c>
      <c r="Q32" s="177" t="s">
        <v>308</v>
      </c>
      <c r="S32" t="str">
        <f>IFERROR(VLOOKUP(V32,新增字段查找!C4:I500,2,FALSE),"")</f>
        <v/>
      </c>
      <c r="T32" t="str">
        <f>IFERROR(VLOOKUP(V32,新增字段查找!C4:I500,3,FALSE),"")</f>
        <v/>
      </c>
      <c r="U32" t="s">
        <v>305</v>
      </c>
      <c r="V32" s="102" t="s">
        <v>430</v>
      </c>
      <c r="W32" t="str">
        <f>IFERROR(VLOOKUP(V32,新增字段查找!C4:I500,6,FALSE),"")</f>
        <v/>
      </c>
      <c r="X32" t="str">
        <f>IFERROR(VLOOKUP(V32,新增字段查找!C4:I500,7,FALSE),"")</f>
        <v/>
      </c>
      <c r="AA32" t="str">
        <f>IFERROR(VLOOKUP(P32,新增字段查找!C4:I37,7,FALSE),"")</f>
        <v/>
      </c>
    </row>
    <row r="33" ht="46" spans="3:27">
      <c r="C33" s="99" t="s">
        <v>431</v>
      </c>
      <c r="D33" s="111" t="s">
        <v>432</v>
      </c>
      <c r="E33" s="57" t="s">
        <v>433</v>
      </c>
      <c r="F33" s="65" t="s">
        <v>305</v>
      </c>
      <c r="G33" s="99" t="s">
        <v>431</v>
      </c>
      <c r="H33" s="57"/>
      <c r="I33" s="57"/>
      <c r="N33" t="str">
        <f t="shared" si="0"/>
        <v>=IFERROR(VLOOKUP(V33,新增字段查找!C4:I500,2,FALSE),"")</v>
      </c>
      <c r="O33" s="177" t="s">
        <v>306</v>
      </c>
      <c r="P33" s="135" t="s">
        <v>434</v>
      </c>
      <c r="Q33" s="177" t="s">
        <v>308</v>
      </c>
      <c r="S33" t="str">
        <f>IFERROR(VLOOKUP(V33,新增字段查找!C4:I500,2,FALSE),"")</f>
        <v/>
      </c>
      <c r="T33" t="str">
        <f>IFERROR(VLOOKUP(V33,新增字段查找!C4:I500,3,FALSE),"")</f>
        <v/>
      </c>
      <c r="U33" t="s">
        <v>305</v>
      </c>
      <c r="V33" s="102" t="s">
        <v>435</v>
      </c>
      <c r="W33" t="str">
        <f>IFERROR(VLOOKUP(V33,新增字段查找!C4:I500,6,FALSE),"")</f>
        <v/>
      </c>
      <c r="X33" t="str">
        <f>IFERROR(VLOOKUP(V33,新增字段查找!C4:I500,7,FALSE),"")</f>
        <v/>
      </c>
      <c r="AA33" t="str">
        <f>IFERROR(VLOOKUP(P33,新增字段查找!C4:I37,7,FALSE),"")</f>
        <v/>
      </c>
    </row>
    <row r="34" ht="61" spans="3:27">
      <c r="C34" s="99" t="s">
        <v>436</v>
      </c>
      <c r="D34" s="111" t="s">
        <v>437</v>
      </c>
      <c r="E34" s="57" t="s">
        <v>321</v>
      </c>
      <c r="F34" s="65" t="s">
        <v>305</v>
      </c>
      <c r="G34" s="99" t="s">
        <v>436</v>
      </c>
      <c r="H34" s="57"/>
      <c r="I34" s="57"/>
      <c r="N34" t="str">
        <f t="shared" si="0"/>
        <v>=IFERROR(VLOOKUP(V34,新增字段查找!C4:I500,2,FALSE),"")</v>
      </c>
      <c r="O34" s="177" t="s">
        <v>306</v>
      </c>
      <c r="P34" s="135" t="s">
        <v>438</v>
      </c>
      <c r="Q34" s="177" t="s">
        <v>308</v>
      </c>
      <c r="S34" t="str">
        <f>IFERROR(VLOOKUP(V34,新增字段查找!C4:I500,2,FALSE),"")</f>
        <v/>
      </c>
      <c r="T34" t="str">
        <f>IFERROR(VLOOKUP(V34,新增字段查找!C4:I500,3,FALSE),"")</f>
        <v/>
      </c>
      <c r="U34" t="s">
        <v>305</v>
      </c>
      <c r="V34" s="102" t="s">
        <v>439</v>
      </c>
      <c r="W34" t="str">
        <f>IFERROR(VLOOKUP(V34,新增字段查找!C4:I500,6,FALSE),"")</f>
        <v/>
      </c>
      <c r="X34" t="str">
        <f>IFERROR(VLOOKUP(V34,新增字段查找!C4:I500,7,FALSE),"")</f>
        <v/>
      </c>
      <c r="AA34" t="str">
        <f>IFERROR(VLOOKUP(P34,新增字段查找!C4:I37,7,FALSE),"")</f>
        <v/>
      </c>
    </row>
    <row r="35" ht="31" spans="3:27">
      <c r="C35" s="99" t="s">
        <v>440</v>
      </c>
      <c r="D35" s="111" t="s">
        <v>441</v>
      </c>
      <c r="E35" s="57" t="s">
        <v>316</v>
      </c>
      <c r="F35" s="65" t="s">
        <v>305</v>
      </c>
      <c r="G35" s="99" t="s">
        <v>440</v>
      </c>
      <c r="H35" s="57"/>
      <c r="I35" s="57"/>
      <c r="N35" t="str">
        <f t="shared" si="0"/>
        <v>=IFERROR(VLOOKUP(V35,新增字段查找!C4:I500,2,FALSE),"")</v>
      </c>
      <c r="O35" s="177" t="s">
        <v>306</v>
      </c>
      <c r="P35" s="135" t="s">
        <v>442</v>
      </c>
      <c r="Q35" s="177" t="s">
        <v>308</v>
      </c>
      <c r="S35" t="str">
        <f>IFERROR(VLOOKUP(V35,新增字段查找!C4:I500,2,FALSE),"")</f>
        <v/>
      </c>
      <c r="T35" t="str">
        <f>IFERROR(VLOOKUP(V35,新增字段查找!C4:I500,3,FALSE),"")</f>
        <v/>
      </c>
      <c r="U35" t="s">
        <v>305</v>
      </c>
      <c r="V35" s="102" t="s">
        <v>443</v>
      </c>
      <c r="W35" t="str">
        <f>IFERROR(VLOOKUP(V35,新增字段查找!C4:I500,6,FALSE),"")</f>
        <v/>
      </c>
      <c r="X35" t="str">
        <f>IFERROR(VLOOKUP(V35,新增字段查找!C4:I500,7,FALSE),"")</f>
        <v/>
      </c>
      <c r="AA35" t="str">
        <f>IFERROR(VLOOKUP(P35,新增字段查找!C4:I37,7,FALSE),"")</f>
        <v/>
      </c>
    </row>
    <row r="36" ht="31" spans="3:22">
      <c r="C36" s="99" t="s">
        <v>444</v>
      </c>
      <c r="D36" s="111" t="s">
        <v>445</v>
      </c>
      <c r="E36" s="57" t="s">
        <v>316</v>
      </c>
      <c r="F36" s="65" t="s">
        <v>305</v>
      </c>
      <c r="G36" s="99" t="s">
        <v>444</v>
      </c>
      <c r="H36" s="57"/>
      <c r="I36" s="57"/>
      <c r="V36" s="102" t="s">
        <v>309</v>
      </c>
    </row>
    <row r="37" ht="46" spans="3:22">
      <c r="C37" s="99" t="s">
        <v>446</v>
      </c>
      <c r="D37" s="111" t="s">
        <v>447</v>
      </c>
      <c r="E37" s="57" t="s">
        <v>371</v>
      </c>
      <c r="F37" s="65" t="s">
        <v>305</v>
      </c>
      <c r="G37" s="99" t="s">
        <v>446</v>
      </c>
      <c r="H37" s="57"/>
      <c r="I37" s="57"/>
      <c r="V37" s="102" t="s">
        <v>313</v>
      </c>
    </row>
    <row r="38" ht="28" spans="3:22">
      <c r="C38" s="100" t="s">
        <v>448</v>
      </c>
      <c r="D38" s="60" t="s">
        <v>341</v>
      </c>
      <c r="E38" s="57" t="s">
        <v>316</v>
      </c>
      <c r="F38" s="65" t="s">
        <v>305</v>
      </c>
      <c r="G38" s="100" t="s">
        <v>448</v>
      </c>
      <c r="H38" s="57"/>
      <c r="I38" s="57"/>
      <c r="V38" s="135" t="s">
        <v>318</v>
      </c>
    </row>
    <row r="39" ht="16" spans="3:22">
      <c r="C39" s="100" t="s">
        <v>449</v>
      </c>
      <c r="D39" s="60" t="s">
        <v>450</v>
      </c>
      <c r="E39" s="57" t="s">
        <v>321</v>
      </c>
      <c r="F39" s="65" t="s">
        <v>305</v>
      </c>
      <c r="G39" s="100" t="s">
        <v>449</v>
      </c>
      <c r="H39" s="57"/>
      <c r="I39" s="60" t="s">
        <v>451</v>
      </c>
      <c r="V39" s="135" t="s">
        <v>324</v>
      </c>
    </row>
    <row r="40" spans="3:22">
      <c r="C40" s="100" t="s">
        <v>452</v>
      </c>
      <c r="D40" s="60" t="s">
        <v>453</v>
      </c>
      <c r="E40" s="57" t="s">
        <v>454</v>
      </c>
      <c r="F40" s="65" t="s">
        <v>305</v>
      </c>
      <c r="G40" s="100" t="s">
        <v>452</v>
      </c>
      <c r="H40" s="57"/>
      <c r="I40" s="57"/>
      <c r="V40" s="135" t="s">
        <v>329</v>
      </c>
    </row>
    <row r="41" spans="3:22">
      <c r="C41" s="99" t="s">
        <v>455</v>
      </c>
      <c r="D41" s="60" t="s">
        <v>456</v>
      </c>
      <c r="E41" s="57" t="s">
        <v>454</v>
      </c>
      <c r="F41" s="65" t="s">
        <v>305</v>
      </c>
      <c r="G41" s="99" t="s">
        <v>455</v>
      </c>
      <c r="H41" s="57"/>
      <c r="I41" s="57"/>
      <c r="V41" s="135" t="s">
        <v>334</v>
      </c>
    </row>
    <row r="42" spans="3:22">
      <c r="C42" s="99" t="s">
        <v>457</v>
      </c>
      <c r="D42" s="60" t="s">
        <v>458</v>
      </c>
      <c r="E42" s="57" t="s">
        <v>321</v>
      </c>
      <c r="F42" s="65" t="s">
        <v>305</v>
      </c>
      <c r="G42" s="99" t="s">
        <v>457</v>
      </c>
      <c r="H42" s="57"/>
      <c r="I42" s="57"/>
      <c r="V42" s="135" t="s">
        <v>339</v>
      </c>
    </row>
    <row r="43" spans="3:9">
      <c r="C43" s="99" t="s">
        <v>348</v>
      </c>
      <c r="D43" s="60" t="s">
        <v>349</v>
      </c>
      <c r="E43" s="57" t="s">
        <v>350</v>
      </c>
      <c r="F43" s="65" t="s">
        <v>305</v>
      </c>
      <c r="G43" s="99" t="s">
        <v>348</v>
      </c>
      <c r="H43" s="57"/>
      <c r="I43" s="57"/>
    </row>
    <row r="44" spans="3:9">
      <c r="C44" s="99" t="s">
        <v>353</v>
      </c>
      <c r="D44" s="60" t="s">
        <v>354</v>
      </c>
      <c r="E44" s="57" t="s">
        <v>350</v>
      </c>
      <c r="F44" s="65" t="s">
        <v>305</v>
      </c>
      <c r="G44" s="99" t="s">
        <v>353</v>
      </c>
      <c r="H44" s="57"/>
      <c r="I44" s="57"/>
    </row>
    <row r="45" spans="3:9">
      <c r="C45" s="99" t="s">
        <v>459</v>
      </c>
      <c r="D45" s="65" t="s">
        <v>460</v>
      </c>
      <c r="E45" s="65" t="s">
        <v>461</v>
      </c>
      <c r="F45" s="65" t="s">
        <v>305</v>
      </c>
      <c r="G45" s="99" t="s">
        <v>459</v>
      </c>
      <c r="H45" s="57"/>
      <c r="I45" s="57"/>
    </row>
    <row r="46" ht="46" spans="3:9">
      <c r="C46" s="100" t="s">
        <v>462</v>
      </c>
      <c r="D46" s="111" t="s">
        <v>463</v>
      </c>
      <c r="E46" s="57" t="s">
        <v>321</v>
      </c>
      <c r="F46" s="65" t="s">
        <v>305</v>
      </c>
      <c r="G46" s="100" t="s">
        <v>462</v>
      </c>
      <c r="H46" s="57"/>
      <c r="I46" s="57"/>
    </row>
    <row r="47" ht="46" spans="3:9">
      <c r="C47" s="100" t="s">
        <v>464</v>
      </c>
      <c r="D47" s="111" t="s">
        <v>465</v>
      </c>
      <c r="E47" s="57" t="s">
        <v>321</v>
      </c>
      <c r="F47" s="65" t="s">
        <v>305</v>
      </c>
      <c r="G47" s="100" t="s">
        <v>464</v>
      </c>
      <c r="H47" s="57"/>
      <c r="I47" s="57"/>
    </row>
    <row r="48" spans="3:9">
      <c r="C48" s="99" t="s">
        <v>466</v>
      </c>
      <c r="D48" s="65" t="s">
        <v>467</v>
      </c>
      <c r="E48" s="57" t="s">
        <v>371</v>
      </c>
      <c r="F48" s="65" t="s">
        <v>305</v>
      </c>
      <c r="G48" s="99" t="s">
        <v>466</v>
      </c>
      <c r="H48" s="57"/>
      <c r="I48" s="57"/>
    </row>
    <row r="49" spans="3:9">
      <c r="C49" s="100" t="s">
        <v>468</v>
      </c>
      <c r="D49" s="57" t="s">
        <v>326</v>
      </c>
      <c r="E49" s="57" t="s">
        <v>327</v>
      </c>
      <c r="F49" s="65" t="s">
        <v>305</v>
      </c>
      <c r="G49" s="100" t="s">
        <v>468</v>
      </c>
      <c r="H49" s="57"/>
      <c r="I49" s="57"/>
    </row>
    <row r="50" ht="46" spans="3:9">
      <c r="C50" s="100" t="s">
        <v>469</v>
      </c>
      <c r="D50" s="111" t="s">
        <v>470</v>
      </c>
      <c r="E50" s="57" t="s">
        <v>321</v>
      </c>
      <c r="F50" s="65" t="s">
        <v>305</v>
      </c>
      <c r="G50" s="100" t="s">
        <v>469</v>
      </c>
      <c r="H50" s="57"/>
      <c r="I50" s="57"/>
    </row>
    <row r="51" ht="31" spans="3:9">
      <c r="C51" s="100" t="s">
        <v>471</v>
      </c>
      <c r="D51" s="111" t="s">
        <v>472</v>
      </c>
      <c r="E51" s="57" t="s">
        <v>433</v>
      </c>
      <c r="F51" s="65" t="s">
        <v>305</v>
      </c>
      <c r="G51" s="100" t="s">
        <v>471</v>
      </c>
      <c r="H51" s="57"/>
      <c r="I51" s="57"/>
    </row>
    <row r="52" ht="46" spans="3:9">
      <c r="C52" s="100" t="s">
        <v>473</v>
      </c>
      <c r="D52" s="111" t="s">
        <v>474</v>
      </c>
      <c r="E52" s="57" t="s">
        <v>433</v>
      </c>
      <c r="F52" s="65" t="s">
        <v>305</v>
      </c>
      <c r="G52" s="100" t="s">
        <v>473</v>
      </c>
      <c r="H52" s="57"/>
      <c r="I52" s="57"/>
    </row>
    <row r="53" ht="31" spans="3:9">
      <c r="C53" s="100" t="s">
        <v>475</v>
      </c>
      <c r="D53" s="111" t="s">
        <v>476</v>
      </c>
      <c r="E53" s="57" t="s">
        <v>433</v>
      </c>
      <c r="F53" s="65" t="s">
        <v>305</v>
      </c>
      <c r="G53" s="100" t="s">
        <v>475</v>
      </c>
      <c r="H53" s="57"/>
      <c r="I53" s="57"/>
    </row>
    <row r="54" ht="31" spans="3:9">
      <c r="C54" s="100" t="s">
        <v>477</v>
      </c>
      <c r="D54" s="111" t="s">
        <v>478</v>
      </c>
      <c r="E54" s="112" t="s">
        <v>479</v>
      </c>
      <c r="F54" s="65" t="s">
        <v>305</v>
      </c>
      <c r="G54" s="100" t="s">
        <v>477</v>
      </c>
      <c r="H54" s="57"/>
      <c r="I54" s="57"/>
    </row>
    <row r="55" ht="31" spans="3:9">
      <c r="C55" s="100" t="s">
        <v>480</v>
      </c>
      <c r="D55" s="111" t="s">
        <v>481</v>
      </c>
      <c r="E55" s="57" t="s">
        <v>482</v>
      </c>
      <c r="F55" s="65" t="s">
        <v>305</v>
      </c>
      <c r="G55" s="100" t="s">
        <v>480</v>
      </c>
      <c r="H55" s="57"/>
      <c r="I55" s="57"/>
    </row>
    <row r="56" ht="16" spans="3:9">
      <c r="C56" s="100" t="s">
        <v>483</v>
      </c>
      <c r="D56" s="111" t="s">
        <v>484</v>
      </c>
      <c r="E56" s="57" t="s">
        <v>482</v>
      </c>
      <c r="F56" s="65" t="s">
        <v>305</v>
      </c>
      <c r="G56" s="100" t="s">
        <v>483</v>
      </c>
      <c r="H56" s="57"/>
      <c r="I56" s="57"/>
    </row>
    <row r="57" ht="46" spans="3:9">
      <c r="C57" s="100" t="s">
        <v>485</v>
      </c>
      <c r="D57" s="111" t="s">
        <v>486</v>
      </c>
      <c r="E57" s="57" t="s">
        <v>367</v>
      </c>
      <c r="F57" s="65" t="s">
        <v>305</v>
      </c>
      <c r="G57" s="100" t="s">
        <v>485</v>
      </c>
      <c r="H57" s="57"/>
      <c r="I57" s="57"/>
    </row>
    <row r="58" ht="31" spans="3:9">
      <c r="C58" s="100" t="s">
        <v>487</v>
      </c>
      <c r="D58" s="111" t="s">
        <v>488</v>
      </c>
      <c r="E58" s="57" t="s">
        <v>433</v>
      </c>
      <c r="F58" s="65" t="s">
        <v>305</v>
      </c>
      <c r="G58" s="100" t="s">
        <v>487</v>
      </c>
      <c r="H58" s="57"/>
      <c r="I58" s="57"/>
    </row>
    <row r="59" ht="31" spans="3:9">
      <c r="C59" s="100" t="s">
        <v>489</v>
      </c>
      <c r="D59" s="111" t="s">
        <v>490</v>
      </c>
      <c r="E59" s="57" t="s">
        <v>350</v>
      </c>
      <c r="F59" s="65" t="s">
        <v>305</v>
      </c>
      <c r="G59" s="100" t="s">
        <v>489</v>
      </c>
      <c r="H59" s="57"/>
      <c r="I59" s="57"/>
    </row>
    <row r="60" ht="31" spans="3:9">
      <c r="C60" s="100" t="s">
        <v>491</v>
      </c>
      <c r="D60" s="111" t="s">
        <v>492</v>
      </c>
      <c r="E60" s="57" t="s">
        <v>371</v>
      </c>
      <c r="F60" s="65" t="s">
        <v>305</v>
      </c>
      <c r="G60" s="100" t="s">
        <v>491</v>
      </c>
      <c r="H60" s="57"/>
      <c r="I60" s="57"/>
    </row>
    <row r="61" spans="3:9">
      <c r="C61" s="99" t="s">
        <v>335</v>
      </c>
      <c r="D61" s="60" t="s">
        <v>336</v>
      </c>
      <c r="E61" s="57" t="s">
        <v>321</v>
      </c>
      <c r="F61" s="65" t="s">
        <v>305</v>
      </c>
      <c r="G61" s="99" t="s">
        <v>335</v>
      </c>
      <c r="H61" s="57"/>
      <c r="I61" s="57" t="s">
        <v>493</v>
      </c>
    </row>
    <row r="62" ht="31" spans="3:9">
      <c r="C62" s="100" t="s">
        <v>494</v>
      </c>
      <c r="D62" s="111" t="s">
        <v>495</v>
      </c>
      <c r="E62" s="57" t="s">
        <v>321</v>
      </c>
      <c r="F62" s="65" t="s">
        <v>305</v>
      </c>
      <c r="G62" s="100" t="s">
        <v>494</v>
      </c>
      <c r="H62" s="57"/>
      <c r="I62" s="57"/>
    </row>
    <row r="63" ht="31" spans="3:9">
      <c r="C63" s="99" t="s">
        <v>496</v>
      </c>
      <c r="D63" s="111" t="s">
        <v>497</v>
      </c>
      <c r="E63" s="57" t="s">
        <v>367</v>
      </c>
      <c r="F63" s="65" t="s">
        <v>305</v>
      </c>
      <c r="G63" s="99" t="s">
        <v>496</v>
      </c>
      <c r="H63" s="57"/>
      <c r="I63" s="57"/>
    </row>
    <row r="64" ht="31" spans="3:9">
      <c r="C64" s="99" t="s">
        <v>498</v>
      </c>
      <c r="D64" s="111" t="s">
        <v>499</v>
      </c>
      <c r="E64" s="57" t="s">
        <v>316</v>
      </c>
      <c r="F64" s="65" t="s">
        <v>305</v>
      </c>
      <c r="G64" s="99" t="s">
        <v>498</v>
      </c>
      <c r="H64" s="57"/>
      <c r="I64" s="57"/>
    </row>
    <row r="65" ht="31" spans="3:9">
      <c r="C65" s="99" t="s">
        <v>500</v>
      </c>
      <c r="D65" s="111" t="s">
        <v>501</v>
      </c>
      <c r="E65" s="57" t="s">
        <v>321</v>
      </c>
      <c r="F65" s="65" t="s">
        <v>305</v>
      </c>
      <c r="G65" s="99" t="s">
        <v>500</v>
      </c>
      <c r="H65" s="57"/>
      <c r="I65" s="57"/>
    </row>
    <row r="66" ht="16" spans="3:9">
      <c r="C66" s="99" t="s">
        <v>502</v>
      </c>
      <c r="D66" s="111" t="s">
        <v>503</v>
      </c>
      <c r="E66" s="57" t="s">
        <v>350</v>
      </c>
      <c r="F66" s="65" t="s">
        <v>305</v>
      </c>
      <c r="G66" s="99" t="s">
        <v>502</v>
      </c>
      <c r="H66" s="57"/>
      <c r="I66" s="57"/>
    </row>
    <row r="67" ht="31" spans="3:9">
      <c r="C67" s="99" t="s">
        <v>504</v>
      </c>
      <c r="D67" s="111" t="s">
        <v>505</v>
      </c>
      <c r="E67" s="57" t="s">
        <v>506</v>
      </c>
      <c r="F67" s="65" t="s">
        <v>305</v>
      </c>
      <c r="G67" s="99" t="s">
        <v>504</v>
      </c>
      <c r="H67" s="57"/>
      <c r="I67" s="57"/>
    </row>
    <row r="68" spans="3:10">
      <c r="C68" s="100" t="s">
        <v>340</v>
      </c>
      <c r="D68" s="57" t="s">
        <v>341</v>
      </c>
      <c r="E68" s="57" t="s">
        <v>316</v>
      </c>
      <c r="F68" s="57" t="s">
        <v>305</v>
      </c>
      <c r="G68" s="100" t="s">
        <v>340</v>
      </c>
      <c r="H68" s="57"/>
      <c r="I68" s="57"/>
      <c r="J68" s="57"/>
    </row>
    <row r="69" spans="3:10">
      <c r="C69" s="100" t="s">
        <v>507</v>
      </c>
      <c r="D69" s="57" t="s">
        <v>508</v>
      </c>
      <c r="E69" s="57" t="s">
        <v>350</v>
      </c>
      <c r="F69" s="57" t="s">
        <v>305</v>
      </c>
      <c r="G69" s="100" t="s">
        <v>507</v>
      </c>
      <c r="H69" s="57"/>
      <c r="I69" s="57"/>
      <c r="J69" s="57"/>
    </row>
    <row r="70" spans="3:10">
      <c r="C70" s="99" t="s">
        <v>455</v>
      </c>
      <c r="D70" s="57" t="s">
        <v>456</v>
      </c>
      <c r="E70" s="57" t="s">
        <v>454</v>
      </c>
      <c r="F70" s="57" t="s">
        <v>305</v>
      </c>
      <c r="G70" s="99" t="s">
        <v>455</v>
      </c>
      <c r="H70" s="57"/>
      <c r="I70" s="57"/>
      <c r="J70" s="57"/>
    </row>
    <row r="71" spans="3:10">
      <c r="C71" s="100" t="s">
        <v>509</v>
      </c>
      <c r="D71" s="57" t="s">
        <v>510</v>
      </c>
      <c r="E71" s="57" t="s">
        <v>350</v>
      </c>
      <c r="F71" s="57" t="s">
        <v>305</v>
      </c>
      <c r="G71" s="100" t="s">
        <v>509</v>
      </c>
      <c r="H71" s="57"/>
      <c r="I71" s="57"/>
      <c r="J71" s="57"/>
    </row>
    <row r="72" spans="3:10">
      <c r="C72" s="100" t="s">
        <v>511</v>
      </c>
      <c r="D72" s="37" t="s">
        <v>512</v>
      </c>
      <c r="E72" s="37" t="s">
        <v>513</v>
      </c>
      <c r="F72" s="37" t="s">
        <v>305</v>
      </c>
      <c r="G72" s="100" t="s">
        <v>511</v>
      </c>
      <c r="H72" s="110" t="str">
        <f>HYPERLINK("#码值映射清单!B2469","Currency")</f>
        <v>Currency</v>
      </c>
      <c r="I72" s="37"/>
      <c r="J72" s="57"/>
    </row>
    <row r="73" spans="3:10">
      <c r="C73" s="100" t="s">
        <v>514</v>
      </c>
      <c r="D73" s="57" t="s">
        <v>515</v>
      </c>
      <c r="E73" s="57" t="s">
        <v>350</v>
      </c>
      <c r="F73" s="57" t="s">
        <v>305</v>
      </c>
      <c r="G73" s="100" t="s">
        <v>514</v>
      </c>
      <c r="H73" s="57"/>
      <c r="I73" s="57"/>
      <c r="J73" s="57"/>
    </row>
    <row r="74" spans="3:10">
      <c r="C74" s="100" t="s">
        <v>348</v>
      </c>
      <c r="D74" s="57" t="s">
        <v>349</v>
      </c>
      <c r="E74" s="57" t="s">
        <v>350</v>
      </c>
      <c r="F74" s="57" t="s">
        <v>305</v>
      </c>
      <c r="G74" s="100" t="s">
        <v>348</v>
      </c>
      <c r="H74" s="57"/>
      <c r="I74" s="57"/>
      <c r="J74" s="57"/>
    </row>
    <row r="75" spans="3:10">
      <c r="C75" s="99" t="s">
        <v>353</v>
      </c>
      <c r="D75" s="57" t="s">
        <v>354</v>
      </c>
      <c r="E75" s="57" t="s">
        <v>350</v>
      </c>
      <c r="F75" s="57" t="s">
        <v>305</v>
      </c>
      <c r="G75" s="99" t="s">
        <v>353</v>
      </c>
      <c r="H75" s="57"/>
      <c r="I75" s="57"/>
      <c r="J75" s="57"/>
    </row>
    <row r="76" spans="3:10">
      <c r="C76" s="100" t="s">
        <v>516</v>
      </c>
      <c r="D76" s="57" t="s">
        <v>517</v>
      </c>
      <c r="E76" s="57" t="s">
        <v>350</v>
      </c>
      <c r="F76" s="57" t="s">
        <v>305</v>
      </c>
      <c r="G76" s="100" t="s">
        <v>516</v>
      </c>
      <c r="H76" s="57"/>
      <c r="I76" s="57"/>
      <c r="J76" s="57"/>
    </row>
    <row r="77" spans="3:10">
      <c r="C77" s="100" t="s">
        <v>518</v>
      </c>
      <c r="D77" s="57" t="s">
        <v>519</v>
      </c>
      <c r="E77" s="57" t="s">
        <v>367</v>
      </c>
      <c r="F77" s="57" t="s">
        <v>305</v>
      </c>
      <c r="G77" s="100" t="s">
        <v>518</v>
      </c>
      <c r="H77" s="57"/>
      <c r="I77" s="57"/>
      <c r="J77" s="57"/>
    </row>
    <row r="78" spans="3:10">
      <c r="C78" s="99" t="s">
        <v>520</v>
      </c>
      <c r="D78" s="37" t="s">
        <v>521</v>
      </c>
      <c r="E78" s="57" t="s">
        <v>506</v>
      </c>
      <c r="F78" s="57" t="s">
        <v>305</v>
      </c>
      <c r="G78" s="99" t="s">
        <v>520</v>
      </c>
      <c r="H78" s="57"/>
      <c r="I78" s="57"/>
      <c r="J78" s="57"/>
    </row>
    <row r="79" spans="3:10">
      <c r="C79" s="99" t="s">
        <v>522</v>
      </c>
      <c r="D79" s="57" t="s">
        <v>523</v>
      </c>
      <c r="E79" s="57" t="s">
        <v>350</v>
      </c>
      <c r="F79" s="57" t="s">
        <v>305</v>
      </c>
      <c r="G79" s="99" t="s">
        <v>522</v>
      </c>
      <c r="H79" s="57"/>
      <c r="I79" s="57"/>
      <c r="J79" s="57"/>
    </row>
    <row r="80" spans="3:10">
      <c r="C80" s="59" t="s">
        <v>524</v>
      </c>
      <c r="D80" s="57" t="s">
        <v>525</v>
      </c>
      <c r="E80" s="57" t="s">
        <v>316</v>
      </c>
      <c r="F80" s="57" t="s">
        <v>305</v>
      </c>
      <c r="G80" s="59" t="s">
        <v>524</v>
      </c>
      <c r="H80" s="57"/>
      <c r="I80" s="57"/>
      <c r="J80" s="57"/>
    </row>
    <row r="81" spans="3:10">
      <c r="C81" s="59" t="s">
        <v>504</v>
      </c>
      <c r="D81" s="57" t="s">
        <v>505</v>
      </c>
      <c r="E81" s="57" t="s">
        <v>506</v>
      </c>
      <c r="F81" s="57" t="s">
        <v>305</v>
      </c>
      <c r="G81" s="59" t="s">
        <v>504</v>
      </c>
      <c r="H81" s="57"/>
      <c r="I81" s="57"/>
      <c r="J81" s="57"/>
    </row>
    <row r="82" spans="3:9">
      <c r="C82" s="59" t="s">
        <v>526</v>
      </c>
      <c r="D82" s="57" t="s">
        <v>527</v>
      </c>
      <c r="E82" s="57" t="s">
        <v>316</v>
      </c>
      <c r="F82" s="57" t="s">
        <v>305</v>
      </c>
      <c r="G82" s="59" t="s">
        <v>526</v>
      </c>
      <c r="H82" s="57" t="s">
        <v>528</v>
      </c>
      <c r="I82" s="57" t="s">
        <v>528</v>
      </c>
    </row>
    <row r="83" spans="3:9">
      <c r="C83" s="82" t="s">
        <v>529</v>
      </c>
      <c r="D83" s="57" t="s">
        <v>530</v>
      </c>
      <c r="E83" s="99" t="s">
        <v>479</v>
      </c>
      <c r="F83" s="57" t="s">
        <v>305</v>
      </c>
      <c r="G83" s="82" t="s">
        <v>529</v>
      </c>
      <c r="H83" s="57" t="s">
        <v>528</v>
      </c>
      <c r="I83" s="57" t="s">
        <v>528</v>
      </c>
    </row>
    <row r="84" spans="3:9">
      <c r="C84" s="100" t="s">
        <v>448</v>
      </c>
      <c r="D84" s="57" t="s">
        <v>341</v>
      </c>
      <c r="E84" s="57" t="s">
        <v>316</v>
      </c>
      <c r="F84" s="57" t="s">
        <v>305</v>
      </c>
      <c r="G84" s="100" t="s">
        <v>448</v>
      </c>
      <c r="H84" s="57"/>
      <c r="I84" s="57"/>
    </row>
    <row r="85" spans="3:9">
      <c r="C85" s="100" t="s">
        <v>531</v>
      </c>
      <c r="D85" s="57" t="s">
        <v>532</v>
      </c>
      <c r="E85" s="57" t="s">
        <v>350</v>
      </c>
      <c r="F85" s="57" t="s">
        <v>305</v>
      </c>
      <c r="G85" s="100" t="s">
        <v>531</v>
      </c>
      <c r="H85" s="57"/>
      <c r="I85" s="57"/>
    </row>
    <row r="86" spans="3:9">
      <c r="C86" s="100" t="s">
        <v>533</v>
      </c>
      <c r="D86" s="57" t="s">
        <v>534</v>
      </c>
      <c r="E86" s="57" t="s">
        <v>350</v>
      </c>
      <c r="F86" s="57" t="s">
        <v>305</v>
      </c>
      <c r="G86" s="100" t="s">
        <v>533</v>
      </c>
      <c r="H86" s="57"/>
      <c r="I86" s="57"/>
    </row>
    <row r="87" spans="3:9">
      <c r="C87" s="100" t="s">
        <v>535</v>
      </c>
      <c r="D87" s="57" t="s">
        <v>536</v>
      </c>
      <c r="E87" s="57" t="s">
        <v>537</v>
      </c>
      <c r="F87" s="57" t="s">
        <v>305</v>
      </c>
      <c r="G87" s="100" t="s">
        <v>535</v>
      </c>
      <c r="H87" s="57"/>
      <c r="I87" s="57"/>
    </row>
    <row r="88" spans="3:9">
      <c r="C88" s="100" t="s">
        <v>538</v>
      </c>
      <c r="D88" s="57" t="s">
        <v>539</v>
      </c>
      <c r="E88" s="57" t="s">
        <v>537</v>
      </c>
      <c r="F88" s="57" t="s">
        <v>305</v>
      </c>
      <c r="G88" s="100" t="s">
        <v>538</v>
      </c>
      <c r="H88" s="57"/>
      <c r="I88" s="57"/>
    </row>
    <row r="89" spans="3:9">
      <c r="C89" s="100" t="s">
        <v>540</v>
      </c>
      <c r="D89" s="57" t="s">
        <v>541</v>
      </c>
      <c r="E89" s="57" t="s">
        <v>482</v>
      </c>
      <c r="F89" s="57" t="s">
        <v>305</v>
      </c>
      <c r="G89" s="100" t="s">
        <v>540</v>
      </c>
      <c r="H89" s="57"/>
      <c r="I89" s="57"/>
    </row>
    <row r="90" spans="3:9">
      <c r="C90" s="100" t="s">
        <v>542</v>
      </c>
      <c r="D90" s="57" t="s">
        <v>543</v>
      </c>
      <c r="E90" s="57" t="s">
        <v>537</v>
      </c>
      <c r="F90" s="57" t="s">
        <v>305</v>
      </c>
      <c r="G90" s="100" t="s">
        <v>542</v>
      </c>
      <c r="H90" s="57"/>
      <c r="I90" s="57"/>
    </row>
    <row r="91" spans="3:9">
      <c r="C91" s="100" t="s">
        <v>544</v>
      </c>
      <c r="D91" s="57" t="s">
        <v>545</v>
      </c>
      <c r="E91" s="57" t="s">
        <v>482</v>
      </c>
      <c r="F91" s="57" t="s">
        <v>305</v>
      </c>
      <c r="G91" s="100" t="s">
        <v>544</v>
      </c>
      <c r="H91" s="57"/>
      <c r="I91" s="57"/>
    </row>
    <row r="92" spans="3:9">
      <c r="C92" s="100" t="s">
        <v>546</v>
      </c>
      <c r="D92" s="57" t="s">
        <v>547</v>
      </c>
      <c r="E92" s="57" t="s">
        <v>537</v>
      </c>
      <c r="F92" s="57" t="s">
        <v>305</v>
      </c>
      <c r="G92" s="100" t="s">
        <v>546</v>
      </c>
      <c r="H92" s="57"/>
      <c r="I92" s="57"/>
    </row>
    <row r="93" ht="28" spans="3:9">
      <c r="C93" s="100" t="s">
        <v>548</v>
      </c>
      <c r="D93" s="57" t="s">
        <v>549</v>
      </c>
      <c r="E93" s="57" t="s">
        <v>482</v>
      </c>
      <c r="F93" s="57" t="s">
        <v>305</v>
      </c>
      <c r="G93" s="100" t="s">
        <v>548</v>
      </c>
      <c r="H93" s="57"/>
      <c r="I93" s="57"/>
    </row>
    <row r="94" spans="3:9">
      <c r="C94" s="100" t="s">
        <v>550</v>
      </c>
      <c r="D94" s="57" t="s">
        <v>551</v>
      </c>
      <c r="E94" s="57" t="s">
        <v>537</v>
      </c>
      <c r="F94" s="57" t="s">
        <v>305</v>
      </c>
      <c r="G94" s="100" t="s">
        <v>550</v>
      </c>
      <c r="H94" s="57"/>
      <c r="I94" s="57"/>
    </row>
    <row r="95" spans="3:9">
      <c r="C95" s="100" t="s">
        <v>552</v>
      </c>
      <c r="D95" s="57" t="s">
        <v>553</v>
      </c>
      <c r="E95" s="57" t="s">
        <v>482</v>
      </c>
      <c r="F95" s="57" t="s">
        <v>305</v>
      </c>
      <c r="G95" s="100" t="s">
        <v>552</v>
      </c>
      <c r="H95" s="57"/>
      <c r="I95" s="57"/>
    </row>
    <row r="96" ht="28" spans="3:9">
      <c r="C96" s="100" t="s">
        <v>554</v>
      </c>
      <c r="D96" s="57" t="s">
        <v>555</v>
      </c>
      <c r="E96" s="57" t="s">
        <v>537</v>
      </c>
      <c r="F96" s="57" t="s">
        <v>305</v>
      </c>
      <c r="G96" s="100" t="s">
        <v>554</v>
      </c>
      <c r="H96" s="57"/>
      <c r="I96" s="57"/>
    </row>
    <row r="97" spans="3:9">
      <c r="C97" s="100" t="s">
        <v>556</v>
      </c>
      <c r="D97" s="57" t="s">
        <v>557</v>
      </c>
      <c r="E97" s="57" t="s">
        <v>537</v>
      </c>
      <c r="F97" s="57" t="s">
        <v>305</v>
      </c>
      <c r="G97" s="100" t="s">
        <v>556</v>
      </c>
      <c r="H97" s="57"/>
      <c r="I97" s="57"/>
    </row>
    <row r="98" spans="3:9">
      <c r="C98" s="99" t="s">
        <v>457</v>
      </c>
      <c r="D98" s="57" t="s">
        <v>458</v>
      </c>
      <c r="E98" s="57" t="s">
        <v>321</v>
      </c>
      <c r="F98" s="57" t="s">
        <v>305</v>
      </c>
      <c r="G98" s="99" t="s">
        <v>457</v>
      </c>
      <c r="H98" s="57"/>
      <c r="I98" s="57"/>
    </row>
    <row r="99" spans="3:9">
      <c r="C99" s="99" t="s">
        <v>558</v>
      </c>
      <c r="D99" s="57" t="s">
        <v>559</v>
      </c>
      <c r="E99" s="57" t="s">
        <v>367</v>
      </c>
      <c r="F99" s="57" t="s">
        <v>305</v>
      </c>
      <c r="G99" s="99" t="s">
        <v>558</v>
      </c>
      <c r="H99" s="57"/>
      <c r="I99" s="57"/>
    </row>
    <row r="100" spans="3:9">
      <c r="C100" s="99" t="s">
        <v>348</v>
      </c>
      <c r="D100" s="57" t="s">
        <v>349</v>
      </c>
      <c r="E100" s="57" t="s">
        <v>350</v>
      </c>
      <c r="F100" s="57" t="s">
        <v>305</v>
      </c>
      <c r="G100" s="99" t="s">
        <v>348</v>
      </c>
      <c r="H100" s="57"/>
      <c r="I100" s="57"/>
    </row>
    <row r="101" spans="3:9">
      <c r="C101" s="99" t="s">
        <v>353</v>
      </c>
      <c r="D101" s="57" t="s">
        <v>354</v>
      </c>
      <c r="E101" s="57" t="s">
        <v>350</v>
      </c>
      <c r="F101" s="57" t="s">
        <v>305</v>
      </c>
      <c r="G101" s="99" t="s">
        <v>353</v>
      </c>
      <c r="H101" s="57"/>
      <c r="I101" s="57"/>
    </row>
    <row r="102" spans="3:9">
      <c r="C102" s="59" t="s">
        <v>560</v>
      </c>
      <c r="D102" s="57" t="s">
        <v>561</v>
      </c>
      <c r="E102" s="57" t="s">
        <v>316</v>
      </c>
      <c r="F102" s="57" t="s">
        <v>305</v>
      </c>
      <c r="G102" s="59" t="s">
        <v>560</v>
      </c>
      <c r="H102" s="57" t="s">
        <v>528</v>
      </c>
      <c r="I102" s="57" t="s">
        <v>528</v>
      </c>
    </row>
    <row r="103" spans="3:9">
      <c r="C103" s="59" t="s">
        <v>562</v>
      </c>
      <c r="D103" s="57" t="s">
        <v>505</v>
      </c>
      <c r="E103" s="57" t="s">
        <v>506</v>
      </c>
      <c r="F103" s="57" t="s">
        <v>305</v>
      </c>
      <c r="G103" s="59" t="s">
        <v>562</v>
      </c>
      <c r="H103" s="57" t="s">
        <v>528</v>
      </c>
      <c r="I103" s="57" t="s">
        <v>528</v>
      </c>
    </row>
    <row r="104" ht="92" spans="3:9">
      <c r="C104" s="59" t="s">
        <v>563</v>
      </c>
      <c r="D104" s="57" t="s">
        <v>564</v>
      </c>
      <c r="E104" s="57" t="s">
        <v>321</v>
      </c>
      <c r="F104" s="57" t="s">
        <v>305</v>
      </c>
      <c r="G104" s="59" t="s">
        <v>563</v>
      </c>
      <c r="H104" s="57" t="s">
        <v>528</v>
      </c>
      <c r="I104" s="108" t="s">
        <v>565</v>
      </c>
    </row>
    <row r="105" spans="3:9">
      <c r="C105" s="59" t="s">
        <v>566</v>
      </c>
      <c r="D105" s="57" t="s">
        <v>567</v>
      </c>
      <c r="E105" s="57" t="s">
        <v>316</v>
      </c>
      <c r="F105" s="57" t="s">
        <v>305</v>
      </c>
      <c r="G105" s="59" t="s">
        <v>566</v>
      </c>
      <c r="H105" s="57" t="s">
        <v>528</v>
      </c>
      <c r="I105" s="57" t="s">
        <v>528</v>
      </c>
    </row>
    <row r="106" spans="3:9">
      <c r="C106" s="59" t="s">
        <v>568</v>
      </c>
      <c r="D106" s="57" t="s">
        <v>569</v>
      </c>
      <c r="E106" s="57" t="s">
        <v>371</v>
      </c>
      <c r="F106" s="57" t="s">
        <v>305</v>
      </c>
      <c r="G106" s="59" t="s">
        <v>568</v>
      </c>
      <c r="H106" s="57" t="s">
        <v>528</v>
      </c>
      <c r="I106" s="57" t="s">
        <v>528</v>
      </c>
    </row>
    <row r="107" spans="3:9">
      <c r="C107" s="59" t="s">
        <v>570</v>
      </c>
      <c r="D107" s="57" t="s">
        <v>571</v>
      </c>
      <c r="E107" s="57" t="s">
        <v>506</v>
      </c>
      <c r="F107" s="57" t="s">
        <v>305</v>
      </c>
      <c r="G107" s="59" t="s">
        <v>570</v>
      </c>
      <c r="H107" s="57" t="s">
        <v>528</v>
      </c>
      <c r="I107" s="57" t="s">
        <v>528</v>
      </c>
    </row>
    <row r="108" spans="3:9">
      <c r="C108" s="59" t="s">
        <v>572</v>
      </c>
      <c r="D108" s="57" t="s">
        <v>573</v>
      </c>
      <c r="E108" s="57" t="s">
        <v>506</v>
      </c>
      <c r="F108" s="57" t="s">
        <v>305</v>
      </c>
      <c r="G108" s="59" t="s">
        <v>572</v>
      </c>
      <c r="H108" s="57" t="s">
        <v>528</v>
      </c>
      <c r="I108" s="57" t="s">
        <v>528</v>
      </c>
    </row>
    <row r="109" spans="3:9">
      <c r="C109" s="59" t="s">
        <v>574</v>
      </c>
      <c r="D109" s="57" t="s">
        <v>575</v>
      </c>
      <c r="E109" s="57" t="s">
        <v>321</v>
      </c>
      <c r="F109" s="57"/>
      <c r="G109" s="59" t="s">
        <v>574</v>
      </c>
      <c r="H109" s="57"/>
      <c r="I109" s="57"/>
    </row>
    <row r="110" spans="3:9">
      <c r="C110" s="59" t="s">
        <v>576</v>
      </c>
      <c r="D110" s="57" t="s">
        <v>577</v>
      </c>
      <c r="E110" s="57" t="s">
        <v>316</v>
      </c>
      <c r="F110" s="57"/>
      <c r="G110" s="59" t="s">
        <v>576</v>
      </c>
      <c r="H110" s="57"/>
      <c r="I110" s="57"/>
    </row>
    <row r="111" spans="3:9">
      <c r="C111" s="59" t="s">
        <v>578</v>
      </c>
      <c r="D111" s="57" t="s">
        <v>579</v>
      </c>
      <c r="E111" s="57" t="s">
        <v>367</v>
      </c>
      <c r="F111" s="57"/>
      <c r="G111" s="59" t="s">
        <v>578</v>
      </c>
      <c r="H111" s="57"/>
      <c r="I111" s="57"/>
    </row>
    <row r="112" spans="3:9">
      <c r="C112" s="59" t="s">
        <v>580</v>
      </c>
      <c r="D112" s="69" t="s">
        <v>581</v>
      </c>
      <c r="E112" s="57" t="s">
        <v>461</v>
      </c>
      <c r="F112" s="57" t="s">
        <v>305</v>
      </c>
      <c r="G112" s="59" t="s">
        <v>580</v>
      </c>
      <c r="H112" s="57" t="s">
        <v>528</v>
      </c>
      <c r="I112" s="57" t="s">
        <v>528</v>
      </c>
    </row>
    <row r="113" spans="3:9">
      <c r="C113" s="100" t="s">
        <v>340</v>
      </c>
      <c r="D113" s="57" t="s">
        <v>341</v>
      </c>
      <c r="E113" s="57" t="s">
        <v>316</v>
      </c>
      <c r="F113" s="57" t="s">
        <v>305</v>
      </c>
      <c r="G113" s="100" t="s">
        <v>340</v>
      </c>
      <c r="H113" s="57"/>
      <c r="I113" s="57"/>
    </row>
    <row r="114" ht="16" spans="3:9">
      <c r="C114" s="100" t="s">
        <v>582</v>
      </c>
      <c r="D114" s="57" t="s">
        <v>583</v>
      </c>
      <c r="E114" s="57" t="s">
        <v>321</v>
      </c>
      <c r="F114" s="57" t="s">
        <v>305</v>
      </c>
      <c r="G114" s="100" t="s">
        <v>582</v>
      </c>
      <c r="H114" s="57"/>
      <c r="I114" s="60" t="s">
        <v>584</v>
      </c>
    </row>
    <row r="115" spans="3:9">
      <c r="C115" s="100" t="s">
        <v>334</v>
      </c>
      <c r="D115" s="57" t="s">
        <v>512</v>
      </c>
      <c r="E115" s="57" t="s">
        <v>513</v>
      </c>
      <c r="F115" s="57" t="s">
        <v>305</v>
      </c>
      <c r="G115" s="100" t="s">
        <v>334</v>
      </c>
      <c r="H115" s="106" t="str">
        <f>HYPERLINK("#码值映射清单!B2469","Currency")</f>
        <v>Currency</v>
      </c>
      <c r="I115" s="57"/>
    </row>
    <row r="116" spans="3:9">
      <c r="C116" s="99" t="s">
        <v>585</v>
      </c>
      <c r="D116" s="57" t="s">
        <v>586</v>
      </c>
      <c r="E116" s="57" t="s">
        <v>367</v>
      </c>
      <c r="F116" s="57" t="s">
        <v>305</v>
      </c>
      <c r="G116" s="99" t="s">
        <v>585</v>
      </c>
      <c r="H116" s="57"/>
      <c r="I116" s="57"/>
    </row>
    <row r="117" spans="3:9">
      <c r="C117" s="99" t="s">
        <v>348</v>
      </c>
      <c r="D117" s="57" t="s">
        <v>349</v>
      </c>
      <c r="E117" s="57" t="s">
        <v>350</v>
      </c>
      <c r="F117" s="57" t="s">
        <v>305</v>
      </c>
      <c r="G117" s="99" t="s">
        <v>348</v>
      </c>
      <c r="H117" s="57"/>
      <c r="I117" s="57"/>
    </row>
    <row r="118" spans="3:9">
      <c r="C118" s="99" t="s">
        <v>353</v>
      </c>
      <c r="D118" s="57" t="s">
        <v>354</v>
      </c>
      <c r="E118" s="57" t="s">
        <v>350</v>
      </c>
      <c r="F118" s="57" t="s">
        <v>305</v>
      </c>
      <c r="G118" s="99" t="s">
        <v>353</v>
      </c>
      <c r="H118" s="57"/>
      <c r="I118" s="57"/>
    </row>
    <row r="119" spans="3:9">
      <c r="C119" s="59" t="s">
        <v>587</v>
      </c>
      <c r="D119" s="57" t="s">
        <v>588</v>
      </c>
      <c r="E119" s="57" t="s">
        <v>589</v>
      </c>
      <c r="F119" s="57" t="s">
        <v>305</v>
      </c>
      <c r="G119" s="59" t="s">
        <v>587</v>
      </c>
      <c r="H119" s="57" t="s">
        <v>528</v>
      </c>
      <c r="I119" s="57" t="s">
        <v>528</v>
      </c>
    </row>
    <row r="120" spans="3:9">
      <c r="C120" s="59" t="s">
        <v>590</v>
      </c>
      <c r="D120" s="57" t="s">
        <v>591</v>
      </c>
      <c r="E120" s="57" t="s">
        <v>367</v>
      </c>
      <c r="F120" s="57" t="s">
        <v>305</v>
      </c>
      <c r="G120" s="59" t="s">
        <v>590</v>
      </c>
      <c r="H120" s="57" t="s">
        <v>528</v>
      </c>
      <c r="I120" s="57" t="s">
        <v>528</v>
      </c>
    </row>
    <row r="121" spans="3:9">
      <c r="C121" s="59" t="s">
        <v>592</v>
      </c>
      <c r="D121" s="57" t="s">
        <v>593</v>
      </c>
      <c r="E121" s="57" t="s">
        <v>321</v>
      </c>
      <c r="F121" s="57" t="s">
        <v>305</v>
      </c>
      <c r="G121" s="59" t="s">
        <v>592</v>
      </c>
      <c r="H121" s="57" t="s">
        <v>528</v>
      </c>
      <c r="I121" s="57" t="s">
        <v>528</v>
      </c>
    </row>
    <row r="122" spans="3:9">
      <c r="C122" s="59" t="s">
        <v>594</v>
      </c>
      <c r="D122" s="57" t="s">
        <v>595</v>
      </c>
      <c r="E122" s="57" t="s">
        <v>321</v>
      </c>
      <c r="F122" s="57" t="s">
        <v>305</v>
      </c>
      <c r="G122" s="59" t="s">
        <v>594</v>
      </c>
      <c r="H122" s="57" t="s">
        <v>528</v>
      </c>
      <c r="I122" s="57" t="s">
        <v>528</v>
      </c>
    </row>
    <row r="123" spans="3:9">
      <c r="C123" s="100" t="s">
        <v>596</v>
      </c>
      <c r="D123" s="57" t="s">
        <v>597</v>
      </c>
      <c r="E123" s="104" t="s">
        <v>371</v>
      </c>
      <c r="F123" s="57" t="s">
        <v>305</v>
      </c>
      <c r="G123" s="100" t="s">
        <v>596</v>
      </c>
      <c r="H123" s="57" t="s">
        <v>528</v>
      </c>
      <c r="I123" s="57" t="s">
        <v>528</v>
      </c>
    </row>
    <row r="124" spans="3:9">
      <c r="C124" s="100" t="s">
        <v>598</v>
      </c>
      <c r="D124" s="57" t="s">
        <v>599</v>
      </c>
      <c r="E124" s="57" t="s">
        <v>350</v>
      </c>
      <c r="F124" s="57" t="s">
        <v>305</v>
      </c>
      <c r="G124" s="100" t="s">
        <v>598</v>
      </c>
      <c r="H124" s="57" t="s">
        <v>528</v>
      </c>
      <c r="I124" s="57" t="s">
        <v>528</v>
      </c>
    </row>
    <row r="125" spans="3:9">
      <c r="C125" s="100" t="s">
        <v>334</v>
      </c>
      <c r="D125" s="57" t="s">
        <v>512</v>
      </c>
      <c r="E125" s="57" t="s">
        <v>513</v>
      </c>
      <c r="F125" s="57" t="s">
        <v>305</v>
      </c>
      <c r="G125" s="100" t="s">
        <v>334</v>
      </c>
      <c r="H125" s="106" t="str">
        <f>HYPERLINK("#码值映射清单!B2469","Currency")</f>
        <v>Currency</v>
      </c>
      <c r="I125" s="57"/>
    </row>
    <row r="126" spans="3:9">
      <c r="C126" s="100" t="s">
        <v>600</v>
      </c>
      <c r="D126" s="57" t="s">
        <v>601</v>
      </c>
      <c r="E126" s="57" t="s">
        <v>350</v>
      </c>
      <c r="F126" s="57" t="s">
        <v>305</v>
      </c>
      <c r="G126" s="100" t="s">
        <v>600</v>
      </c>
      <c r="H126" s="57" t="s">
        <v>528</v>
      </c>
      <c r="I126" s="57"/>
    </row>
    <row r="127" spans="3:9">
      <c r="C127" s="100" t="s">
        <v>602</v>
      </c>
      <c r="D127" s="57" t="s">
        <v>341</v>
      </c>
      <c r="E127" s="57" t="s">
        <v>316</v>
      </c>
      <c r="F127" s="57" t="s">
        <v>305</v>
      </c>
      <c r="G127" s="100" t="s">
        <v>602</v>
      </c>
      <c r="H127" s="57" t="s">
        <v>528</v>
      </c>
      <c r="I127" s="57"/>
    </row>
    <row r="128" spans="3:9">
      <c r="C128" s="100" t="s">
        <v>468</v>
      </c>
      <c r="D128" s="57" t="s">
        <v>326</v>
      </c>
      <c r="E128" s="57" t="s">
        <v>327</v>
      </c>
      <c r="F128" s="57" t="s">
        <v>305</v>
      </c>
      <c r="G128" s="100" t="s">
        <v>468</v>
      </c>
      <c r="H128" s="57"/>
      <c r="I128" s="57"/>
    </row>
    <row r="129" ht="28" spans="3:9">
      <c r="C129" s="100" t="s">
        <v>469</v>
      </c>
      <c r="D129" s="57" t="s">
        <v>470</v>
      </c>
      <c r="E129" s="105" t="s">
        <v>321</v>
      </c>
      <c r="F129" s="57" t="s">
        <v>305</v>
      </c>
      <c r="G129" s="100" t="s">
        <v>469</v>
      </c>
      <c r="H129" s="57"/>
      <c r="I129" s="57"/>
    </row>
    <row r="130" spans="3:9">
      <c r="C130" s="100" t="s">
        <v>603</v>
      </c>
      <c r="D130" s="57" t="s">
        <v>604</v>
      </c>
      <c r="E130" s="105" t="s">
        <v>321</v>
      </c>
      <c r="F130" s="57" t="s">
        <v>305</v>
      </c>
      <c r="G130" s="100" t="s">
        <v>603</v>
      </c>
      <c r="H130" s="57"/>
      <c r="I130" s="57"/>
    </row>
    <row r="131" spans="3:9">
      <c r="C131" s="100" t="s">
        <v>605</v>
      </c>
      <c r="D131" s="57" t="s">
        <v>606</v>
      </c>
      <c r="E131" s="105" t="s">
        <v>321</v>
      </c>
      <c r="F131" s="57" t="s">
        <v>305</v>
      </c>
      <c r="G131" s="100" t="s">
        <v>605</v>
      </c>
      <c r="H131" s="57"/>
      <c r="I131" s="57"/>
    </row>
    <row r="132" spans="3:9">
      <c r="C132" s="100" t="s">
        <v>607</v>
      </c>
      <c r="D132" s="57" t="s">
        <v>608</v>
      </c>
      <c r="E132" s="105" t="s">
        <v>321</v>
      </c>
      <c r="F132" s="57" t="s">
        <v>305</v>
      </c>
      <c r="G132" s="100" t="s">
        <v>607</v>
      </c>
      <c r="H132" s="57"/>
      <c r="I132" s="57"/>
    </row>
    <row r="133" ht="28" spans="3:9">
      <c r="C133" s="100" t="s">
        <v>609</v>
      </c>
      <c r="D133" s="57" t="s">
        <v>610</v>
      </c>
      <c r="E133" s="105" t="s">
        <v>367</v>
      </c>
      <c r="F133" s="57" t="s">
        <v>305</v>
      </c>
      <c r="G133" s="100" t="s">
        <v>609</v>
      </c>
      <c r="H133" s="57"/>
      <c r="I133" s="57"/>
    </row>
    <row r="134" ht="28" spans="3:9">
      <c r="C134" s="100" t="s">
        <v>611</v>
      </c>
      <c r="D134" s="57" t="s">
        <v>612</v>
      </c>
      <c r="E134" s="105" t="s">
        <v>506</v>
      </c>
      <c r="F134" s="57" t="s">
        <v>305</v>
      </c>
      <c r="G134" s="100" t="s">
        <v>611</v>
      </c>
      <c r="H134" s="57"/>
      <c r="I134" s="57"/>
    </row>
    <row r="135" ht="28" spans="3:9">
      <c r="C135" s="100" t="s">
        <v>613</v>
      </c>
      <c r="D135" s="57" t="s">
        <v>614</v>
      </c>
      <c r="E135" s="105" t="s">
        <v>367</v>
      </c>
      <c r="F135" s="57" t="s">
        <v>305</v>
      </c>
      <c r="G135" s="100" t="s">
        <v>613</v>
      </c>
      <c r="H135" s="57"/>
      <c r="I135" s="57"/>
    </row>
    <row r="136" ht="28" spans="3:9">
      <c r="C136" s="100" t="s">
        <v>615</v>
      </c>
      <c r="D136" s="57" t="s">
        <v>616</v>
      </c>
      <c r="E136" s="105" t="s">
        <v>461</v>
      </c>
      <c r="F136" s="57" t="s">
        <v>305</v>
      </c>
      <c r="G136" s="100" t="s">
        <v>615</v>
      </c>
      <c r="H136" s="57"/>
      <c r="I136" s="57"/>
    </row>
    <row r="137" ht="28" spans="3:9">
      <c r="C137" s="100" t="s">
        <v>617</v>
      </c>
      <c r="D137" s="57" t="s">
        <v>618</v>
      </c>
      <c r="E137" s="105" t="s">
        <v>537</v>
      </c>
      <c r="F137" s="57" t="s">
        <v>305</v>
      </c>
      <c r="G137" s="100" t="s">
        <v>617</v>
      </c>
      <c r="H137" s="57"/>
      <c r="I137" s="57"/>
    </row>
    <row r="138" spans="3:9">
      <c r="C138" s="100" t="s">
        <v>466</v>
      </c>
      <c r="D138" s="57" t="s">
        <v>467</v>
      </c>
      <c r="E138" s="57" t="s">
        <v>371</v>
      </c>
      <c r="F138" s="57" t="s">
        <v>305</v>
      </c>
      <c r="G138" s="100" t="s">
        <v>466</v>
      </c>
      <c r="H138" s="57"/>
      <c r="I138" s="57"/>
    </row>
    <row r="139" spans="3:9">
      <c r="C139" s="100" t="s">
        <v>457</v>
      </c>
      <c r="D139" s="57" t="s">
        <v>458</v>
      </c>
      <c r="E139" s="57" t="s">
        <v>321</v>
      </c>
      <c r="F139" s="57" t="s">
        <v>305</v>
      </c>
      <c r="G139" s="100" t="s">
        <v>457</v>
      </c>
      <c r="H139" s="57"/>
      <c r="I139" s="57"/>
    </row>
    <row r="140" spans="3:9">
      <c r="C140" s="100" t="s">
        <v>452</v>
      </c>
      <c r="D140" s="57" t="s">
        <v>453</v>
      </c>
      <c r="E140" s="57" t="s">
        <v>454</v>
      </c>
      <c r="F140" s="57" t="s">
        <v>305</v>
      </c>
      <c r="G140" s="100" t="s">
        <v>452</v>
      </c>
      <c r="H140" s="57"/>
      <c r="I140" s="57"/>
    </row>
    <row r="141" spans="3:9">
      <c r="C141" s="100" t="s">
        <v>348</v>
      </c>
      <c r="D141" s="57" t="s">
        <v>349</v>
      </c>
      <c r="E141" s="57" t="s">
        <v>350</v>
      </c>
      <c r="F141" s="57" t="s">
        <v>305</v>
      </c>
      <c r="G141" s="100" t="s">
        <v>348</v>
      </c>
      <c r="H141" s="57"/>
      <c r="I141" s="57"/>
    </row>
    <row r="142" spans="3:9">
      <c r="C142" s="100" t="s">
        <v>353</v>
      </c>
      <c r="D142" s="57" t="s">
        <v>354</v>
      </c>
      <c r="E142" s="57" t="s">
        <v>350</v>
      </c>
      <c r="F142" s="57" t="s">
        <v>305</v>
      </c>
      <c r="G142" s="100" t="s">
        <v>353</v>
      </c>
      <c r="H142" s="57"/>
      <c r="I142" s="57"/>
    </row>
    <row r="143" spans="3:9">
      <c r="C143" s="59" t="s">
        <v>576</v>
      </c>
      <c r="D143" s="57" t="s">
        <v>577</v>
      </c>
      <c r="E143" s="57" t="s">
        <v>316</v>
      </c>
      <c r="F143" s="57" t="s">
        <v>305</v>
      </c>
      <c r="G143" s="59" t="s">
        <v>576</v>
      </c>
      <c r="H143" s="57"/>
      <c r="I143" s="57"/>
    </row>
    <row r="144" spans="3:9">
      <c r="C144" s="59" t="s">
        <v>619</v>
      </c>
      <c r="D144" s="57" t="s">
        <v>620</v>
      </c>
      <c r="E144" s="57" t="s">
        <v>321</v>
      </c>
      <c r="F144" s="57" t="s">
        <v>305</v>
      </c>
      <c r="G144" s="59" t="s">
        <v>619</v>
      </c>
      <c r="H144" s="57" t="s">
        <v>528</v>
      </c>
      <c r="I144" s="57" t="s">
        <v>528</v>
      </c>
    </row>
    <row r="145" spans="3:9">
      <c r="C145" s="99" t="s">
        <v>621</v>
      </c>
      <c r="D145" s="57" t="s">
        <v>622</v>
      </c>
      <c r="E145" s="57" t="s">
        <v>321</v>
      </c>
      <c r="F145" s="57" t="s">
        <v>305</v>
      </c>
      <c r="G145" s="99" t="s">
        <v>621</v>
      </c>
      <c r="H145" s="57" t="s">
        <v>528</v>
      </c>
      <c r="I145" s="57" t="s">
        <v>528</v>
      </c>
    </row>
    <row r="146" ht="16" spans="3:9">
      <c r="C146" s="59" t="s">
        <v>623</v>
      </c>
      <c r="D146" s="57" t="s">
        <v>624</v>
      </c>
      <c r="E146" s="57" t="s">
        <v>321</v>
      </c>
      <c r="F146" s="57" t="s">
        <v>305</v>
      </c>
      <c r="G146" s="59" t="s">
        <v>623</v>
      </c>
      <c r="H146" s="57" t="s">
        <v>528</v>
      </c>
      <c r="I146" s="60" t="s">
        <v>625</v>
      </c>
    </row>
    <row r="147" spans="3:9">
      <c r="C147" s="59" t="s">
        <v>626</v>
      </c>
      <c r="D147" s="57" t="s">
        <v>627</v>
      </c>
      <c r="E147" s="59" t="s">
        <v>367</v>
      </c>
      <c r="F147" s="57" t="s">
        <v>305</v>
      </c>
      <c r="G147" s="59" t="s">
        <v>626</v>
      </c>
      <c r="H147" s="57" t="s">
        <v>528</v>
      </c>
      <c r="I147" s="57" t="s">
        <v>528</v>
      </c>
    </row>
  </sheetData>
  <hyperlinks>
    <hyperlink ref="K2" location="clr_asset_others_equipment!A1" display="EQ"/>
  </hyperlink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F13703"/>
  <sheetViews>
    <sheetView zoomScaleSheetLayoutView="60" topLeftCell="A4116" workbookViewId="0">
      <selection activeCell="E4161" sqref="E4161"/>
    </sheetView>
  </sheetViews>
  <sheetFormatPr defaultColWidth="9.14285714285714" defaultRowHeight="15.2" outlineLevelCol="5"/>
  <cols>
    <col min="2" max="5" width="19.5357142857143" customWidth="1"/>
    <col min="9" max="9" width="30.5" customWidth="1"/>
  </cols>
  <sheetData>
    <row r="2" spans="2:5">
      <c r="B2" s="13" t="s">
        <v>628</v>
      </c>
      <c r="C2" s="13" t="s">
        <v>629</v>
      </c>
      <c r="D2" s="13" t="s">
        <v>630</v>
      </c>
      <c r="E2" s="13" t="s">
        <v>631</v>
      </c>
    </row>
    <row r="3" ht="15.95" spans="2:2">
      <c r="B3" s="122" t="s">
        <v>632</v>
      </c>
    </row>
    <row r="4" spans="2:5">
      <c r="B4" s="15" t="s">
        <v>633</v>
      </c>
      <c r="C4" s="15" t="s">
        <v>634</v>
      </c>
      <c r="D4" s="15" t="s">
        <v>635</v>
      </c>
      <c r="E4" s="15" t="s">
        <v>636</v>
      </c>
    </row>
    <row r="5" spans="2:5">
      <c r="B5" s="15" t="s">
        <v>633</v>
      </c>
      <c r="C5" s="15" t="s">
        <v>634</v>
      </c>
      <c r="D5" s="15" t="s">
        <v>637</v>
      </c>
      <c r="E5" s="15" t="s">
        <v>638</v>
      </c>
    </row>
    <row r="6" spans="2:5">
      <c r="B6" s="15" t="s">
        <v>633</v>
      </c>
      <c r="C6" s="15" t="s">
        <v>634</v>
      </c>
      <c r="D6" s="15" t="s">
        <v>639</v>
      </c>
      <c r="E6" s="15" t="s">
        <v>640</v>
      </c>
    </row>
    <row r="7" spans="2:5">
      <c r="B7" s="15" t="s">
        <v>633</v>
      </c>
      <c r="C7" s="15" t="s">
        <v>634</v>
      </c>
      <c r="D7" s="15" t="s">
        <v>641</v>
      </c>
      <c r="E7" s="15" t="s">
        <v>642</v>
      </c>
    </row>
    <row r="8" spans="2:5">
      <c r="B8" s="15" t="s">
        <v>633</v>
      </c>
      <c r="C8" s="15" t="s">
        <v>634</v>
      </c>
      <c r="D8" s="15" t="s">
        <v>643</v>
      </c>
      <c r="E8" s="15" t="s">
        <v>644</v>
      </c>
    </row>
    <row r="9" spans="2:5">
      <c r="B9" s="15" t="s">
        <v>633</v>
      </c>
      <c r="C9" s="15" t="s">
        <v>634</v>
      </c>
      <c r="D9" s="15" t="s">
        <v>645</v>
      </c>
      <c r="E9" s="15" t="s">
        <v>646</v>
      </c>
    </row>
    <row r="10" spans="2:5">
      <c r="B10" s="15" t="s">
        <v>633</v>
      </c>
      <c r="C10" s="15" t="s">
        <v>634</v>
      </c>
      <c r="D10" s="15" t="s">
        <v>647</v>
      </c>
      <c r="E10" s="15" t="s">
        <v>648</v>
      </c>
    </row>
    <row r="11" spans="2:5">
      <c r="B11" s="15" t="s">
        <v>633</v>
      </c>
      <c r="C11" s="15" t="s">
        <v>634</v>
      </c>
      <c r="D11" s="15" t="s">
        <v>649</v>
      </c>
      <c r="E11" s="15" t="s">
        <v>650</v>
      </c>
    </row>
    <row r="12" spans="2:5">
      <c r="B12" s="15" t="s">
        <v>633</v>
      </c>
      <c r="C12" s="15" t="s">
        <v>634</v>
      </c>
      <c r="D12" s="15" t="s">
        <v>651</v>
      </c>
      <c r="E12" s="15" t="s">
        <v>652</v>
      </c>
    </row>
    <row r="13" spans="2:5">
      <c r="B13" s="15" t="s">
        <v>633</v>
      </c>
      <c r="C13" s="15" t="s">
        <v>634</v>
      </c>
      <c r="D13" s="15" t="s">
        <v>653</v>
      </c>
      <c r="E13" s="15" t="s">
        <v>654</v>
      </c>
    </row>
    <row r="14" spans="2:5">
      <c r="B14" s="15" t="s">
        <v>633</v>
      </c>
      <c r="C14" s="15" t="s">
        <v>634</v>
      </c>
      <c r="D14" s="15" t="s">
        <v>655</v>
      </c>
      <c r="E14" s="15" t="s">
        <v>656</v>
      </c>
    </row>
    <row r="15" spans="2:5">
      <c r="B15" s="15" t="s">
        <v>633</v>
      </c>
      <c r="C15" s="15" t="s">
        <v>634</v>
      </c>
      <c r="D15" s="15" t="s">
        <v>657</v>
      </c>
      <c r="E15" s="15" t="s">
        <v>658</v>
      </c>
    </row>
    <row r="16" spans="2:5">
      <c r="B16" s="15" t="s">
        <v>633</v>
      </c>
      <c r="C16" s="15" t="s">
        <v>634</v>
      </c>
      <c r="D16" s="15" t="s">
        <v>659</v>
      </c>
      <c r="E16" s="15" t="s">
        <v>660</v>
      </c>
    </row>
    <row r="17" spans="2:5">
      <c r="B17" s="15" t="s">
        <v>633</v>
      </c>
      <c r="C17" s="15" t="s">
        <v>634</v>
      </c>
      <c r="D17" s="15" t="s">
        <v>661</v>
      </c>
      <c r="E17" s="15" t="s">
        <v>662</v>
      </c>
    </row>
    <row r="18" spans="2:5">
      <c r="B18" s="15" t="s">
        <v>633</v>
      </c>
      <c r="C18" s="15" t="s">
        <v>634</v>
      </c>
      <c r="D18" s="15" t="s">
        <v>663</v>
      </c>
      <c r="E18" s="15" t="s">
        <v>664</v>
      </c>
    </row>
    <row r="19" spans="2:5">
      <c r="B19" s="15" t="s">
        <v>633</v>
      </c>
      <c r="C19" s="15" t="s">
        <v>634</v>
      </c>
      <c r="D19" s="15" t="s">
        <v>665</v>
      </c>
      <c r="E19" s="15" t="s">
        <v>666</v>
      </c>
    </row>
    <row r="20" spans="2:5">
      <c r="B20" s="15" t="s">
        <v>633</v>
      </c>
      <c r="C20" s="15" t="s">
        <v>634</v>
      </c>
      <c r="D20" s="15" t="s">
        <v>667</v>
      </c>
      <c r="E20" s="15" t="s">
        <v>668</v>
      </c>
    </row>
    <row r="21" spans="2:5">
      <c r="B21" s="15" t="s">
        <v>633</v>
      </c>
      <c r="C21" s="15" t="s">
        <v>634</v>
      </c>
      <c r="D21" s="15" t="s">
        <v>669</v>
      </c>
      <c r="E21" s="15" t="s">
        <v>670</v>
      </c>
    </row>
    <row r="22" spans="2:5">
      <c r="B22" s="15" t="s">
        <v>633</v>
      </c>
      <c r="C22" s="15" t="s">
        <v>634</v>
      </c>
      <c r="D22" s="15" t="s">
        <v>671</v>
      </c>
      <c r="E22" s="15" t="s">
        <v>672</v>
      </c>
    </row>
    <row r="23" spans="2:5">
      <c r="B23" s="15" t="s">
        <v>633</v>
      </c>
      <c r="C23" s="15" t="s">
        <v>634</v>
      </c>
      <c r="D23" s="15" t="s">
        <v>673</v>
      </c>
      <c r="E23" s="15" t="s">
        <v>674</v>
      </c>
    </row>
    <row r="24" spans="2:5">
      <c r="B24" s="15" t="s">
        <v>633</v>
      </c>
      <c r="C24" s="15" t="s">
        <v>634</v>
      </c>
      <c r="D24" s="15" t="s">
        <v>675</v>
      </c>
      <c r="E24" s="15" t="s">
        <v>676</v>
      </c>
    </row>
    <row r="25" spans="2:5">
      <c r="B25" s="15" t="s">
        <v>633</v>
      </c>
      <c r="C25" s="15" t="s">
        <v>634</v>
      </c>
      <c r="D25" s="15" t="s">
        <v>677</v>
      </c>
      <c r="E25" s="15" t="s">
        <v>678</v>
      </c>
    </row>
    <row r="26" spans="2:5">
      <c r="B26" s="15" t="s">
        <v>633</v>
      </c>
      <c r="C26" s="15" t="s">
        <v>634</v>
      </c>
      <c r="D26" s="15" t="s">
        <v>679</v>
      </c>
      <c r="E26" s="15" t="s">
        <v>680</v>
      </c>
    </row>
    <row r="27" spans="2:5">
      <c r="B27" s="15" t="s">
        <v>633</v>
      </c>
      <c r="C27" s="15" t="s">
        <v>634</v>
      </c>
      <c r="D27" s="15" t="s">
        <v>681</v>
      </c>
      <c r="E27" s="15" t="s">
        <v>682</v>
      </c>
    </row>
    <row r="28" spans="2:5">
      <c r="B28" s="15" t="s">
        <v>633</v>
      </c>
      <c r="C28" s="15" t="s">
        <v>634</v>
      </c>
      <c r="D28" s="15" t="s">
        <v>683</v>
      </c>
      <c r="E28" s="15" t="s">
        <v>684</v>
      </c>
    </row>
    <row r="29" spans="2:5">
      <c r="B29" s="15" t="s">
        <v>633</v>
      </c>
      <c r="C29" s="15" t="s">
        <v>634</v>
      </c>
      <c r="D29" s="15" t="s">
        <v>685</v>
      </c>
      <c r="E29" s="15" t="s">
        <v>686</v>
      </c>
    </row>
    <row r="30" spans="2:5">
      <c r="B30" s="15" t="s">
        <v>633</v>
      </c>
      <c r="C30" s="15" t="s">
        <v>634</v>
      </c>
      <c r="D30" s="15" t="s">
        <v>687</v>
      </c>
      <c r="E30" s="15" t="s">
        <v>688</v>
      </c>
    </row>
    <row r="31" spans="2:5">
      <c r="B31" s="15" t="s">
        <v>633</v>
      </c>
      <c r="C31" s="15" t="s">
        <v>634</v>
      </c>
      <c r="D31" s="15" t="s">
        <v>689</v>
      </c>
      <c r="E31" s="15" t="s">
        <v>690</v>
      </c>
    </row>
    <row r="32" spans="2:5">
      <c r="B32" s="15" t="s">
        <v>633</v>
      </c>
      <c r="C32" s="15" t="s">
        <v>634</v>
      </c>
      <c r="D32" s="15" t="s">
        <v>691</v>
      </c>
      <c r="E32" s="15" t="s">
        <v>692</v>
      </c>
    </row>
    <row r="33" spans="2:5">
      <c r="B33" s="15" t="s">
        <v>633</v>
      </c>
      <c r="C33" s="15" t="s">
        <v>634</v>
      </c>
      <c r="D33" s="15" t="s">
        <v>693</v>
      </c>
      <c r="E33" s="15" t="s">
        <v>694</v>
      </c>
    </row>
    <row r="34" spans="2:5">
      <c r="B34" s="15" t="s">
        <v>633</v>
      </c>
      <c r="C34" s="15" t="s">
        <v>634</v>
      </c>
      <c r="D34" s="15" t="s">
        <v>695</v>
      </c>
      <c r="E34" s="15" t="s">
        <v>696</v>
      </c>
    </row>
    <row r="35" spans="2:5">
      <c r="B35" s="15" t="s">
        <v>633</v>
      </c>
      <c r="C35" s="15" t="s">
        <v>634</v>
      </c>
      <c r="D35" s="15" t="s">
        <v>697</v>
      </c>
      <c r="E35" s="15" t="s">
        <v>698</v>
      </c>
    </row>
    <row r="36" spans="2:5">
      <c r="B36" s="15" t="s">
        <v>633</v>
      </c>
      <c r="C36" s="15" t="s">
        <v>634</v>
      </c>
      <c r="D36" s="15" t="s">
        <v>699</v>
      </c>
      <c r="E36" s="15" t="s">
        <v>700</v>
      </c>
    </row>
    <row r="37" spans="2:5">
      <c r="B37" s="15" t="s">
        <v>633</v>
      </c>
      <c r="C37" s="15" t="s">
        <v>634</v>
      </c>
      <c r="D37" s="15" t="s">
        <v>701</v>
      </c>
      <c r="E37" s="15" t="s">
        <v>702</v>
      </c>
    </row>
    <row r="38" spans="2:5">
      <c r="B38" s="15" t="s">
        <v>633</v>
      </c>
      <c r="C38" s="15" t="s">
        <v>634</v>
      </c>
      <c r="D38" s="15" t="s">
        <v>703</v>
      </c>
      <c r="E38" s="15" t="s">
        <v>704</v>
      </c>
    </row>
    <row r="39" spans="2:5">
      <c r="B39" s="15" t="s">
        <v>633</v>
      </c>
      <c r="C39" s="15" t="s">
        <v>634</v>
      </c>
      <c r="D39" s="15" t="s">
        <v>705</v>
      </c>
      <c r="E39" s="15" t="s">
        <v>706</v>
      </c>
    </row>
    <row r="40" spans="2:5">
      <c r="B40" s="15" t="s">
        <v>633</v>
      </c>
      <c r="C40" s="15" t="s">
        <v>634</v>
      </c>
      <c r="D40" s="15" t="s">
        <v>707</v>
      </c>
      <c r="E40" s="15" t="s">
        <v>708</v>
      </c>
    </row>
    <row r="41" spans="2:5">
      <c r="B41" s="15" t="s">
        <v>633</v>
      </c>
      <c r="C41" s="15" t="s">
        <v>634</v>
      </c>
      <c r="D41" s="15" t="s">
        <v>709</v>
      </c>
      <c r="E41" s="15" t="s">
        <v>710</v>
      </c>
    </row>
    <row r="42" spans="2:5">
      <c r="B42" s="15" t="s">
        <v>633</v>
      </c>
      <c r="C42" s="15" t="s">
        <v>634</v>
      </c>
      <c r="D42" s="15" t="s">
        <v>711</v>
      </c>
      <c r="E42" s="15" t="s">
        <v>712</v>
      </c>
    </row>
    <row r="43" spans="2:5">
      <c r="B43" s="15" t="s">
        <v>633</v>
      </c>
      <c r="C43" s="15" t="s">
        <v>634</v>
      </c>
      <c r="D43" s="15" t="s">
        <v>713</v>
      </c>
      <c r="E43" s="15" t="s">
        <v>714</v>
      </c>
    </row>
    <row r="44" spans="2:5">
      <c r="B44" s="15" t="s">
        <v>633</v>
      </c>
      <c r="C44" s="15" t="s">
        <v>634</v>
      </c>
      <c r="D44" s="15" t="s">
        <v>715</v>
      </c>
      <c r="E44" s="15" t="s">
        <v>716</v>
      </c>
    </row>
    <row r="45" spans="2:5">
      <c r="B45" s="15" t="s">
        <v>633</v>
      </c>
      <c r="C45" s="15" t="s">
        <v>634</v>
      </c>
      <c r="D45" s="15" t="s">
        <v>717</v>
      </c>
      <c r="E45" s="15" t="s">
        <v>718</v>
      </c>
    </row>
    <row r="46" spans="2:5">
      <c r="B46" s="15" t="s">
        <v>633</v>
      </c>
      <c r="C46" s="15" t="s">
        <v>634</v>
      </c>
      <c r="D46" s="15" t="s">
        <v>719</v>
      </c>
      <c r="E46" s="15" t="s">
        <v>720</v>
      </c>
    </row>
    <row r="47" ht="15.95" spans="2:2">
      <c r="B47" s="122" t="s">
        <v>721</v>
      </c>
    </row>
    <row r="48" spans="2:5">
      <c r="B48" s="15" t="s">
        <v>722</v>
      </c>
      <c r="C48" s="15" t="s">
        <v>722</v>
      </c>
      <c r="D48" s="15" t="s">
        <v>723</v>
      </c>
      <c r="E48" s="15" t="s">
        <v>724</v>
      </c>
    </row>
    <row r="49" spans="2:5">
      <c r="B49" s="15" t="s">
        <v>722</v>
      </c>
      <c r="C49" s="15" t="s">
        <v>722</v>
      </c>
      <c r="D49" s="15" t="s">
        <v>725</v>
      </c>
      <c r="E49" s="15" t="s">
        <v>726</v>
      </c>
    </row>
    <row r="50" spans="2:5">
      <c r="B50" s="15" t="s">
        <v>722</v>
      </c>
      <c r="C50" s="15" t="s">
        <v>722</v>
      </c>
      <c r="D50" s="15" t="s">
        <v>727</v>
      </c>
      <c r="E50" s="15" t="s">
        <v>728</v>
      </c>
    </row>
    <row r="51" spans="2:5">
      <c r="B51" s="15" t="s">
        <v>722</v>
      </c>
      <c r="C51" s="15" t="s">
        <v>722</v>
      </c>
      <c r="D51" s="15" t="s">
        <v>729</v>
      </c>
      <c r="E51" s="15" t="s">
        <v>730</v>
      </c>
    </row>
    <row r="52" ht="15.95" spans="2:2">
      <c r="B52" s="122" t="s">
        <v>731</v>
      </c>
    </row>
    <row r="53" spans="2:5">
      <c r="B53" s="15" t="s">
        <v>732</v>
      </c>
      <c r="C53" s="15" t="s">
        <v>733</v>
      </c>
      <c r="D53" s="15" t="s">
        <v>734</v>
      </c>
      <c r="E53" s="15" t="s">
        <v>735</v>
      </c>
    </row>
    <row r="54" spans="2:5">
      <c r="B54" s="15" t="s">
        <v>732</v>
      </c>
      <c r="C54" s="15" t="s">
        <v>733</v>
      </c>
      <c r="D54" s="15" t="s">
        <v>736</v>
      </c>
      <c r="E54" s="15" t="s">
        <v>737</v>
      </c>
    </row>
    <row r="55" spans="2:5">
      <c r="B55" s="15" t="s">
        <v>732</v>
      </c>
      <c r="C55" s="15" t="s">
        <v>733</v>
      </c>
      <c r="D55" s="15" t="s">
        <v>738</v>
      </c>
      <c r="E55" s="15" t="s">
        <v>739</v>
      </c>
    </row>
    <row r="56" spans="2:5">
      <c r="B56" s="15" t="s">
        <v>732</v>
      </c>
      <c r="C56" s="15" t="s">
        <v>733</v>
      </c>
      <c r="D56" s="15" t="s">
        <v>740</v>
      </c>
      <c r="E56" s="15" t="s">
        <v>741</v>
      </c>
    </row>
    <row r="57" spans="2:5">
      <c r="B57" s="15" t="s">
        <v>732</v>
      </c>
      <c r="C57" s="15" t="s">
        <v>733</v>
      </c>
      <c r="D57" s="15" t="s">
        <v>742</v>
      </c>
      <c r="E57" s="15" t="s">
        <v>743</v>
      </c>
    </row>
    <row r="58" spans="2:5">
      <c r="B58" s="15" t="s">
        <v>732</v>
      </c>
      <c r="C58" s="15" t="s">
        <v>733</v>
      </c>
      <c r="D58" s="15" t="s">
        <v>744</v>
      </c>
      <c r="E58" s="15" t="s">
        <v>745</v>
      </c>
    </row>
    <row r="59" spans="2:5">
      <c r="B59" s="15" t="s">
        <v>732</v>
      </c>
      <c r="C59" s="15" t="s">
        <v>733</v>
      </c>
      <c r="D59" s="15" t="s">
        <v>746</v>
      </c>
      <c r="E59" s="15" t="s">
        <v>747</v>
      </c>
    </row>
    <row r="60" spans="2:5">
      <c r="B60" s="15" t="s">
        <v>732</v>
      </c>
      <c r="C60" s="15" t="s">
        <v>733</v>
      </c>
      <c r="D60" s="15" t="s">
        <v>748</v>
      </c>
      <c r="E60" s="15" t="s">
        <v>749</v>
      </c>
    </row>
    <row r="61" spans="2:5">
      <c r="B61" s="15" t="s">
        <v>732</v>
      </c>
      <c r="C61" s="15" t="s">
        <v>733</v>
      </c>
      <c r="D61" s="15" t="s">
        <v>750</v>
      </c>
      <c r="E61" s="15" t="s">
        <v>751</v>
      </c>
    </row>
    <row r="62" spans="2:5">
      <c r="B62" s="15" t="s">
        <v>732</v>
      </c>
      <c r="C62" s="15" t="s">
        <v>733</v>
      </c>
      <c r="D62" s="15" t="s">
        <v>752</v>
      </c>
      <c r="E62" s="15" t="s">
        <v>235</v>
      </c>
    </row>
    <row r="63" ht="15.95" spans="2:2">
      <c r="B63" s="122" t="s">
        <v>753</v>
      </c>
    </row>
    <row r="64" spans="2:5">
      <c r="B64" s="15" t="s">
        <v>754</v>
      </c>
      <c r="C64" s="15" t="s">
        <v>755</v>
      </c>
      <c r="D64" s="15" t="s">
        <v>723</v>
      </c>
      <c r="E64" s="15" t="s">
        <v>756</v>
      </c>
    </row>
    <row r="65" spans="2:5">
      <c r="B65" s="15" t="s">
        <v>754</v>
      </c>
      <c r="C65" s="15" t="s">
        <v>755</v>
      </c>
      <c r="D65" s="15" t="s">
        <v>725</v>
      </c>
      <c r="E65" s="15" t="s">
        <v>757</v>
      </c>
    </row>
    <row r="66" spans="2:5">
      <c r="B66" s="15" t="s">
        <v>754</v>
      </c>
      <c r="C66" s="15" t="s">
        <v>755</v>
      </c>
      <c r="D66" s="15" t="s">
        <v>727</v>
      </c>
      <c r="E66" s="15" t="s">
        <v>758</v>
      </c>
    </row>
    <row r="67" spans="2:5">
      <c r="B67" s="15" t="s">
        <v>754</v>
      </c>
      <c r="C67" s="15" t="s">
        <v>755</v>
      </c>
      <c r="D67" s="15" t="s">
        <v>729</v>
      </c>
      <c r="E67" s="15" t="s">
        <v>759</v>
      </c>
    </row>
    <row r="68" spans="2:5">
      <c r="B68" s="15" t="s">
        <v>754</v>
      </c>
      <c r="C68" s="15" t="s">
        <v>755</v>
      </c>
      <c r="D68" s="15" t="s">
        <v>760</v>
      </c>
      <c r="E68" s="15" t="s">
        <v>761</v>
      </c>
    </row>
    <row r="69" spans="2:5">
      <c r="B69" s="15" t="s">
        <v>754</v>
      </c>
      <c r="C69" s="15" t="s">
        <v>755</v>
      </c>
      <c r="D69" s="15" t="s">
        <v>762</v>
      </c>
      <c r="E69" s="15" t="s">
        <v>763</v>
      </c>
    </row>
    <row r="70" spans="2:5">
      <c r="B70" s="15" t="s">
        <v>754</v>
      </c>
      <c r="C70" s="15" t="s">
        <v>755</v>
      </c>
      <c r="D70" s="15" t="s">
        <v>764</v>
      </c>
      <c r="E70" s="15" t="s">
        <v>235</v>
      </c>
    </row>
    <row r="71" spans="2:5">
      <c r="B71" s="15" t="s">
        <v>754</v>
      </c>
      <c r="C71" s="15" t="s">
        <v>755</v>
      </c>
      <c r="D71" s="15" t="s">
        <v>765</v>
      </c>
      <c r="E71" s="15" t="s">
        <v>766</v>
      </c>
    </row>
    <row r="72" ht="15.95" spans="2:2">
      <c r="B72" s="122" t="s">
        <v>767</v>
      </c>
    </row>
    <row r="73" spans="2:5">
      <c r="B73" s="15" t="s">
        <v>768</v>
      </c>
      <c r="C73" s="15" t="s">
        <v>769</v>
      </c>
      <c r="D73" s="15" t="s">
        <v>770</v>
      </c>
      <c r="E73" s="15" t="s">
        <v>771</v>
      </c>
    </row>
    <row r="74" spans="2:5">
      <c r="B74" s="15" t="s">
        <v>768</v>
      </c>
      <c r="C74" s="15" t="s">
        <v>769</v>
      </c>
      <c r="D74" s="15" t="s">
        <v>772</v>
      </c>
      <c r="E74" s="15" t="s">
        <v>773</v>
      </c>
    </row>
    <row r="75" spans="2:5">
      <c r="B75" s="15" t="s">
        <v>768</v>
      </c>
      <c r="C75" s="15" t="s">
        <v>769</v>
      </c>
      <c r="D75" s="15" t="s">
        <v>774</v>
      </c>
      <c r="E75" s="15" t="s">
        <v>775</v>
      </c>
    </row>
    <row r="76" spans="2:5">
      <c r="B76" s="15" t="s">
        <v>768</v>
      </c>
      <c r="C76" s="15" t="s">
        <v>769</v>
      </c>
      <c r="D76" s="15" t="s">
        <v>776</v>
      </c>
      <c r="E76" s="15" t="s">
        <v>235</v>
      </c>
    </row>
    <row r="77" ht="15.95" spans="2:2">
      <c r="B77" s="122" t="s">
        <v>777</v>
      </c>
    </row>
    <row r="78" spans="2:5">
      <c r="B78" s="15" t="s">
        <v>778</v>
      </c>
      <c r="C78" s="15"/>
      <c r="D78" s="15" t="s">
        <v>770</v>
      </c>
      <c r="E78" s="15" t="s">
        <v>779</v>
      </c>
    </row>
    <row r="79" spans="2:5">
      <c r="B79" s="15" t="s">
        <v>778</v>
      </c>
      <c r="C79" s="15"/>
      <c r="D79" s="15" t="s">
        <v>780</v>
      </c>
      <c r="E79" s="15" t="s">
        <v>781</v>
      </c>
    </row>
    <row r="80" ht="15.95" spans="2:2">
      <c r="B80" s="122" t="s">
        <v>782</v>
      </c>
    </row>
    <row r="81" spans="2:5">
      <c r="B81" s="15" t="s">
        <v>783</v>
      </c>
      <c r="C81" s="15" t="s">
        <v>784</v>
      </c>
      <c r="D81" s="15" t="s">
        <v>785</v>
      </c>
      <c r="E81" s="15" t="s">
        <v>786</v>
      </c>
    </row>
    <row r="82" spans="2:5">
      <c r="B82" s="15" t="s">
        <v>783</v>
      </c>
      <c r="C82" s="15" t="s">
        <v>784</v>
      </c>
      <c r="D82" s="15" t="s">
        <v>787</v>
      </c>
      <c r="E82" s="15" t="s">
        <v>788</v>
      </c>
    </row>
    <row r="83" spans="2:5">
      <c r="B83" s="15" t="s">
        <v>783</v>
      </c>
      <c r="C83" s="15" t="s">
        <v>784</v>
      </c>
      <c r="D83" s="15" t="s">
        <v>789</v>
      </c>
      <c r="E83" s="15" t="s">
        <v>790</v>
      </c>
    </row>
    <row r="84" spans="2:5">
      <c r="B84" s="15" t="s">
        <v>783</v>
      </c>
      <c r="C84" s="15" t="s">
        <v>784</v>
      </c>
      <c r="D84" s="15" t="s">
        <v>791</v>
      </c>
      <c r="E84" s="15" t="s">
        <v>792</v>
      </c>
    </row>
    <row r="85" spans="2:5">
      <c r="B85" s="15" t="s">
        <v>783</v>
      </c>
      <c r="C85" s="15" t="s">
        <v>784</v>
      </c>
      <c r="D85" s="15" t="s">
        <v>793</v>
      </c>
      <c r="E85" s="15" t="s">
        <v>794</v>
      </c>
    </row>
    <row r="86" spans="2:5">
      <c r="B86" s="15" t="s">
        <v>783</v>
      </c>
      <c r="C86" s="15" t="s">
        <v>784</v>
      </c>
      <c r="D86" s="15" t="s">
        <v>795</v>
      </c>
      <c r="E86" s="15" t="s">
        <v>796</v>
      </c>
    </row>
    <row r="87" spans="2:5">
      <c r="B87" s="15" t="s">
        <v>783</v>
      </c>
      <c r="C87" s="15" t="s">
        <v>784</v>
      </c>
      <c r="D87" s="15" t="s">
        <v>797</v>
      </c>
      <c r="E87" s="15" t="s">
        <v>798</v>
      </c>
    </row>
    <row r="88" spans="2:5">
      <c r="B88" s="15" t="s">
        <v>783</v>
      </c>
      <c r="C88" s="15" t="s">
        <v>784</v>
      </c>
      <c r="D88" s="15" t="s">
        <v>799</v>
      </c>
      <c r="E88" s="15" t="s">
        <v>800</v>
      </c>
    </row>
    <row r="89" spans="2:5">
      <c r="B89" s="15" t="s">
        <v>783</v>
      </c>
      <c r="C89" s="15" t="s">
        <v>784</v>
      </c>
      <c r="D89" s="15" t="s">
        <v>801</v>
      </c>
      <c r="E89" s="15" t="s">
        <v>802</v>
      </c>
    </row>
    <row r="90" spans="2:5">
      <c r="B90" s="15" t="s">
        <v>783</v>
      </c>
      <c r="C90" s="15" t="s">
        <v>784</v>
      </c>
      <c r="D90" s="15" t="s">
        <v>803</v>
      </c>
      <c r="E90" s="15" t="s">
        <v>804</v>
      </c>
    </row>
    <row r="91" spans="2:5">
      <c r="B91" s="15" t="s">
        <v>783</v>
      </c>
      <c r="C91" s="15" t="s">
        <v>784</v>
      </c>
      <c r="D91" s="15" t="s">
        <v>805</v>
      </c>
      <c r="E91" s="15" t="s">
        <v>806</v>
      </c>
    </row>
    <row r="92" ht="15.95" spans="2:2">
      <c r="B92" s="122" t="s">
        <v>807</v>
      </c>
    </row>
    <row r="93" spans="2:5">
      <c r="B93" s="15" t="s">
        <v>808</v>
      </c>
      <c r="C93" s="15" t="s">
        <v>809</v>
      </c>
      <c r="D93" s="15" t="s">
        <v>770</v>
      </c>
      <c r="E93" s="15" t="s">
        <v>810</v>
      </c>
    </row>
    <row r="94" spans="2:5">
      <c r="B94" s="15" t="s">
        <v>808</v>
      </c>
      <c r="C94" s="15" t="s">
        <v>809</v>
      </c>
      <c r="D94" s="15" t="s">
        <v>772</v>
      </c>
      <c r="E94" s="15" t="s">
        <v>811</v>
      </c>
    </row>
    <row r="95" ht="15.95" spans="2:2">
      <c r="B95" s="122" t="s">
        <v>812</v>
      </c>
    </row>
    <row r="96" spans="2:5">
      <c r="B96" s="15" t="s">
        <v>813</v>
      </c>
      <c r="C96" s="15" t="s">
        <v>814</v>
      </c>
      <c r="D96" s="15" t="s">
        <v>770</v>
      </c>
      <c r="E96" s="15" t="s">
        <v>815</v>
      </c>
    </row>
    <row r="97" spans="2:5">
      <c r="B97" s="15" t="s">
        <v>813</v>
      </c>
      <c r="C97" s="15" t="s">
        <v>814</v>
      </c>
      <c r="D97" s="15" t="s">
        <v>772</v>
      </c>
      <c r="E97" s="15" t="s">
        <v>816</v>
      </c>
    </row>
    <row r="98" ht="15.95" spans="2:2">
      <c r="B98" s="122" t="s">
        <v>817</v>
      </c>
    </row>
    <row r="99" spans="2:5">
      <c r="B99" s="15" t="s">
        <v>818</v>
      </c>
      <c r="C99" s="15" t="s">
        <v>819</v>
      </c>
      <c r="D99" s="15" t="s">
        <v>637</v>
      </c>
      <c r="E99" s="15" t="s">
        <v>820</v>
      </c>
    </row>
    <row r="100" spans="2:5">
      <c r="B100" s="15" t="s">
        <v>818</v>
      </c>
      <c r="C100" s="15" t="s">
        <v>819</v>
      </c>
      <c r="D100" s="15" t="s">
        <v>641</v>
      </c>
      <c r="E100" s="15" t="s">
        <v>821</v>
      </c>
    </row>
    <row r="101" spans="2:5">
      <c r="B101" s="15" t="s">
        <v>818</v>
      </c>
      <c r="C101" s="15" t="s">
        <v>819</v>
      </c>
      <c r="D101" s="15" t="s">
        <v>643</v>
      </c>
      <c r="E101" s="15" t="s">
        <v>822</v>
      </c>
    </row>
    <row r="102" ht="15.95" spans="2:2">
      <c r="B102" s="122" t="s">
        <v>823</v>
      </c>
    </row>
    <row r="103" spans="2:5">
      <c r="B103" s="15" t="s">
        <v>824</v>
      </c>
      <c r="C103" s="15" t="s">
        <v>824</v>
      </c>
      <c r="D103" s="15" t="s">
        <v>770</v>
      </c>
      <c r="E103" s="15" t="s">
        <v>825</v>
      </c>
    </row>
    <row r="104" spans="2:5">
      <c r="B104" s="15" t="s">
        <v>824</v>
      </c>
      <c r="C104" s="15" t="s">
        <v>824</v>
      </c>
      <c r="D104" s="15" t="s">
        <v>772</v>
      </c>
      <c r="E104" s="15" t="s">
        <v>826</v>
      </c>
    </row>
    <row r="105" spans="2:5">
      <c r="B105" s="15" t="s">
        <v>824</v>
      </c>
      <c r="C105" s="15" t="s">
        <v>824</v>
      </c>
      <c r="D105" s="15" t="s">
        <v>774</v>
      </c>
      <c r="E105" s="15" t="s">
        <v>827</v>
      </c>
    </row>
    <row r="106" spans="2:5">
      <c r="B106" s="15" t="s">
        <v>824</v>
      </c>
      <c r="C106" s="15" t="s">
        <v>824</v>
      </c>
      <c r="D106" s="15" t="s">
        <v>828</v>
      </c>
      <c r="E106" s="15" t="s">
        <v>829</v>
      </c>
    </row>
    <row r="107" ht="15.95" spans="2:2">
      <c r="B107" s="122" t="s">
        <v>830</v>
      </c>
    </row>
    <row r="108" spans="2:5">
      <c r="B108" s="15" t="s">
        <v>831</v>
      </c>
      <c r="C108" s="15" t="s">
        <v>832</v>
      </c>
      <c r="D108" s="15" t="s">
        <v>635</v>
      </c>
      <c r="E108" s="15" t="s">
        <v>833</v>
      </c>
    </row>
    <row r="109" spans="2:5">
      <c r="B109" s="15" t="s">
        <v>831</v>
      </c>
      <c r="C109" s="15" t="s">
        <v>832</v>
      </c>
      <c r="D109" s="15" t="s">
        <v>659</v>
      </c>
      <c r="E109" s="15" t="s">
        <v>834</v>
      </c>
    </row>
    <row r="110" spans="2:5">
      <c r="B110" s="15" t="s">
        <v>831</v>
      </c>
      <c r="C110" s="15" t="s">
        <v>832</v>
      </c>
      <c r="D110" s="15" t="s">
        <v>679</v>
      </c>
      <c r="E110" s="15" t="s">
        <v>835</v>
      </c>
    </row>
    <row r="111" spans="2:5">
      <c r="B111" s="15" t="s">
        <v>831</v>
      </c>
      <c r="C111" s="15" t="s">
        <v>832</v>
      </c>
      <c r="D111" s="15" t="s">
        <v>705</v>
      </c>
      <c r="E111" s="15" t="s">
        <v>836</v>
      </c>
    </row>
    <row r="112" spans="2:5">
      <c r="B112" s="15" t="s">
        <v>831</v>
      </c>
      <c r="C112" s="15" t="s">
        <v>832</v>
      </c>
      <c r="D112" s="15" t="s">
        <v>709</v>
      </c>
      <c r="E112" s="15" t="s">
        <v>837</v>
      </c>
    </row>
    <row r="113" spans="2:5">
      <c r="B113" s="15" t="s">
        <v>831</v>
      </c>
      <c r="C113" s="15" t="s">
        <v>832</v>
      </c>
      <c r="D113" s="15" t="s">
        <v>838</v>
      </c>
      <c r="E113" s="15" t="s">
        <v>839</v>
      </c>
    </row>
    <row r="114" spans="2:5">
      <c r="B114" s="15" t="s">
        <v>831</v>
      </c>
      <c r="C114" s="15" t="s">
        <v>832</v>
      </c>
      <c r="D114" s="15" t="s">
        <v>840</v>
      </c>
      <c r="E114" s="15" t="s">
        <v>841</v>
      </c>
    </row>
    <row r="115" spans="2:5">
      <c r="B115" s="15" t="s">
        <v>831</v>
      </c>
      <c r="C115" s="15" t="s">
        <v>832</v>
      </c>
      <c r="D115" s="15" t="s">
        <v>842</v>
      </c>
      <c r="E115" s="15" t="s">
        <v>843</v>
      </c>
    </row>
    <row r="116" spans="2:5">
      <c r="B116" s="15" t="s">
        <v>831</v>
      </c>
      <c r="C116" s="15" t="s">
        <v>832</v>
      </c>
      <c r="D116" s="15" t="s">
        <v>844</v>
      </c>
      <c r="E116" s="15" t="s">
        <v>845</v>
      </c>
    </row>
    <row r="117" spans="2:5">
      <c r="B117" s="15" t="s">
        <v>831</v>
      </c>
      <c r="C117" s="15" t="s">
        <v>832</v>
      </c>
      <c r="D117" s="15" t="s">
        <v>846</v>
      </c>
      <c r="E117" s="15" t="s">
        <v>847</v>
      </c>
    </row>
    <row r="118" spans="2:5">
      <c r="B118" s="15" t="s">
        <v>831</v>
      </c>
      <c r="C118" s="15" t="s">
        <v>832</v>
      </c>
      <c r="D118" s="15" t="s">
        <v>713</v>
      </c>
      <c r="E118" s="15" t="s">
        <v>848</v>
      </c>
    </row>
    <row r="119" spans="2:5">
      <c r="B119" s="15" t="s">
        <v>831</v>
      </c>
      <c r="C119" s="15" t="s">
        <v>832</v>
      </c>
      <c r="D119" s="15" t="s">
        <v>849</v>
      </c>
      <c r="E119" s="15" t="s">
        <v>850</v>
      </c>
    </row>
    <row r="120" spans="2:5">
      <c r="B120" s="15" t="s">
        <v>831</v>
      </c>
      <c r="C120" s="15" t="s">
        <v>832</v>
      </c>
      <c r="D120" s="15" t="s">
        <v>851</v>
      </c>
      <c r="E120" s="15" t="s">
        <v>852</v>
      </c>
    </row>
    <row r="121" spans="2:5">
      <c r="B121" s="15" t="s">
        <v>831</v>
      </c>
      <c r="C121" s="15" t="s">
        <v>832</v>
      </c>
      <c r="D121" s="15" t="s">
        <v>853</v>
      </c>
      <c r="E121" s="15" t="s">
        <v>854</v>
      </c>
    </row>
    <row r="122" spans="2:5">
      <c r="B122" s="15" t="s">
        <v>831</v>
      </c>
      <c r="C122" s="15" t="s">
        <v>832</v>
      </c>
      <c r="D122" s="15" t="s">
        <v>855</v>
      </c>
      <c r="E122" s="15" t="s">
        <v>856</v>
      </c>
    </row>
    <row r="123" spans="2:5">
      <c r="B123" s="15" t="s">
        <v>831</v>
      </c>
      <c r="C123" s="15" t="s">
        <v>832</v>
      </c>
      <c r="D123" s="15" t="s">
        <v>857</v>
      </c>
      <c r="E123" s="15" t="s">
        <v>858</v>
      </c>
    </row>
    <row r="124" spans="2:5">
      <c r="B124" s="15" t="s">
        <v>831</v>
      </c>
      <c r="C124" s="15" t="s">
        <v>832</v>
      </c>
      <c r="D124" s="15" t="s">
        <v>859</v>
      </c>
      <c r="E124" s="15" t="s">
        <v>860</v>
      </c>
    </row>
    <row r="125" spans="2:5">
      <c r="B125" s="15" t="s">
        <v>831</v>
      </c>
      <c r="C125" s="15" t="s">
        <v>832</v>
      </c>
      <c r="D125" s="15" t="s">
        <v>861</v>
      </c>
      <c r="E125" s="15" t="s">
        <v>862</v>
      </c>
    </row>
    <row r="126" ht="15.95" spans="2:2">
      <c r="B126" s="122" t="s">
        <v>863</v>
      </c>
    </row>
    <row r="127" spans="2:5">
      <c r="B127" s="15" t="s">
        <v>864</v>
      </c>
      <c r="C127" s="15" t="s">
        <v>865</v>
      </c>
      <c r="D127" s="15" t="s">
        <v>723</v>
      </c>
      <c r="E127" s="15" t="s">
        <v>866</v>
      </c>
    </row>
    <row r="128" spans="2:5">
      <c r="B128" s="15" t="s">
        <v>864</v>
      </c>
      <c r="C128" s="15" t="s">
        <v>865</v>
      </c>
      <c r="D128" s="15" t="s">
        <v>725</v>
      </c>
      <c r="E128" s="15" t="s">
        <v>867</v>
      </c>
    </row>
    <row r="129" spans="2:5">
      <c r="B129" s="15" t="s">
        <v>864</v>
      </c>
      <c r="C129" s="15" t="s">
        <v>865</v>
      </c>
      <c r="D129" s="15" t="s">
        <v>727</v>
      </c>
      <c r="E129" s="15" t="s">
        <v>868</v>
      </c>
    </row>
    <row r="130" spans="2:5">
      <c r="B130" s="15" t="s">
        <v>864</v>
      </c>
      <c r="C130" s="15" t="s">
        <v>865</v>
      </c>
      <c r="D130" s="15" t="s">
        <v>729</v>
      </c>
      <c r="E130" s="15" t="s">
        <v>869</v>
      </c>
    </row>
    <row r="131" spans="2:5">
      <c r="B131" s="15" t="s">
        <v>864</v>
      </c>
      <c r="C131" s="15" t="s">
        <v>865</v>
      </c>
      <c r="D131" s="15" t="s">
        <v>760</v>
      </c>
      <c r="E131" s="15" t="s">
        <v>870</v>
      </c>
    </row>
    <row r="132" ht="15.95" spans="2:2">
      <c r="B132" s="122" t="s">
        <v>871</v>
      </c>
    </row>
    <row r="133" spans="2:5">
      <c r="B133" s="15" t="s">
        <v>872</v>
      </c>
      <c r="C133" s="15" t="s">
        <v>873</v>
      </c>
      <c r="D133" s="15" t="s">
        <v>635</v>
      </c>
      <c r="E133" s="15" t="s">
        <v>874</v>
      </c>
    </row>
    <row r="134" spans="2:5">
      <c r="B134" s="15" t="s">
        <v>872</v>
      </c>
      <c r="C134" s="15" t="s">
        <v>873</v>
      </c>
      <c r="D134" s="15" t="s">
        <v>659</v>
      </c>
      <c r="E134" s="15" t="s">
        <v>875</v>
      </c>
    </row>
    <row r="135" spans="2:5">
      <c r="B135" s="15" t="s">
        <v>872</v>
      </c>
      <c r="C135" s="15" t="s">
        <v>873</v>
      </c>
      <c r="D135" s="15" t="s">
        <v>679</v>
      </c>
      <c r="E135" s="15" t="s">
        <v>876</v>
      </c>
    </row>
    <row r="136" spans="2:5">
      <c r="B136" s="15" t="s">
        <v>872</v>
      </c>
      <c r="C136" s="15" t="s">
        <v>873</v>
      </c>
      <c r="D136" s="15" t="s">
        <v>705</v>
      </c>
      <c r="E136" s="15" t="s">
        <v>877</v>
      </c>
    </row>
    <row r="137" spans="2:5">
      <c r="B137" s="15" t="s">
        <v>872</v>
      </c>
      <c r="C137" s="15" t="s">
        <v>873</v>
      </c>
      <c r="D137" s="15" t="s">
        <v>709</v>
      </c>
      <c r="E137" s="15" t="s">
        <v>878</v>
      </c>
    </row>
    <row r="138" spans="2:5">
      <c r="B138" s="15" t="s">
        <v>872</v>
      </c>
      <c r="C138" s="15" t="s">
        <v>873</v>
      </c>
      <c r="D138" s="15" t="s">
        <v>838</v>
      </c>
      <c r="E138" s="15" t="s">
        <v>879</v>
      </c>
    </row>
    <row r="139" spans="2:5">
      <c r="B139" s="15" t="s">
        <v>872</v>
      </c>
      <c r="C139" s="15" t="s">
        <v>873</v>
      </c>
      <c r="D139" s="15" t="s">
        <v>840</v>
      </c>
      <c r="E139" s="15" t="s">
        <v>880</v>
      </c>
    </row>
    <row r="140" spans="2:5">
      <c r="B140" s="15" t="s">
        <v>872</v>
      </c>
      <c r="C140" s="15" t="s">
        <v>873</v>
      </c>
      <c r="D140" s="15" t="s">
        <v>842</v>
      </c>
      <c r="E140" s="15" t="s">
        <v>881</v>
      </c>
    </row>
    <row r="141" spans="2:5">
      <c r="B141" s="15" t="s">
        <v>872</v>
      </c>
      <c r="C141" s="15" t="s">
        <v>873</v>
      </c>
      <c r="D141" s="15" t="s">
        <v>844</v>
      </c>
      <c r="E141" s="15" t="s">
        <v>882</v>
      </c>
    </row>
    <row r="142" ht="15.95" spans="2:2">
      <c r="B142" s="122" t="s">
        <v>883</v>
      </c>
    </row>
    <row r="143" spans="2:5">
      <c r="B143" s="15" t="s">
        <v>884</v>
      </c>
      <c r="C143" s="15"/>
      <c r="D143" s="15" t="s">
        <v>770</v>
      </c>
      <c r="E143" s="15" t="s">
        <v>885</v>
      </c>
    </row>
    <row r="144" spans="2:5">
      <c r="B144" s="15" t="s">
        <v>884</v>
      </c>
      <c r="C144" s="15"/>
      <c r="D144" s="15" t="s">
        <v>772</v>
      </c>
      <c r="E144" s="15" t="s">
        <v>886</v>
      </c>
    </row>
    <row r="145" ht="15.95" spans="2:2">
      <c r="B145" s="122" t="s">
        <v>887</v>
      </c>
    </row>
    <row r="146" spans="2:5">
      <c r="B146" s="15" t="s">
        <v>888</v>
      </c>
      <c r="C146" s="15" t="s">
        <v>889</v>
      </c>
      <c r="D146" s="15" t="s">
        <v>723</v>
      </c>
      <c r="E146" s="15" t="s">
        <v>890</v>
      </c>
    </row>
    <row r="147" spans="2:5">
      <c r="B147" s="15" t="s">
        <v>888</v>
      </c>
      <c r="C147" s="15" t="s">
        <v>889</v>
      </c>
      <c r="D147" s="15" t="s">
        <v>725</v>
      </c>
      <c r="E147" s="15" t="s">
        <v>891</v>
      </c>
    </row>
    <row r="148" spans="2:5">
      <c r="B148" s="15" t="s">
        <v>888</v>
      </c>
      <c r="C148" s="15" t="s">
        <v>889</v>
      </c>
      <c r="D148" s="15" t="s">
        <v>727</v>
      </c>
      <c r="E148" s="15" t="s">
        <v>892</v>
      </c>
    </row>
    <row r="149" spans="2:5">
      <c r="B149" s="15" t="s">
        <v>888</v>
      </c>
      <c r="C149" s="15" t="s">
        <v>889</v>
      </c>
      <c r="D149" s="15" t="s">
        <v>729</v>
      </c>
      <c r="E149" s="15" t="s">
        <v>893</v>
      </c>
    </row>
    <row r="150" ht="15.95" spans="2:2">
      <c r="B150" s="122" t="s">
        <v>894</v>
      </c>
    </row>
    <row r="151" spans="2:5">
      <c r="B151" s="15" t="s">
        <v>895</v>
      </c>
      <c r="C151" s="15" t="s">
        <v>896</v>
      </c>
      <c r="D151" s="15" t="s">
        <v>770</v>
      </c>
      <c r="E151" s="15" t="s">
        <v>897</v>
      </c>
    </row>
    <row r="152" spans="2:5">
      <c r="B152" s="15" t="s">
        <v>895</v>
      </c>
      <c r="C152" s="15" t="s">
        <v>896</v>
      </c>
      <c r="D152" s="15" t="s">
        <v>772</v>
      </c>
      <c r="E152" s="15" t="s">
        <v>898</v>
      </c>
    </row>
    <row r="153" spans="2:5">
      <c r="B153" s="15" t="s">
        <v>895</v>
      </c>
      <c r="C153" s="15" t="s">
        <v>896</v>
      </c>
      <c r="D153" s="15" t="s">
        <v>774</v>
      </c>
      <c r="E153" s="15" t="s">
        <v>899</v>
      </c>
    </row>
    <row r="154" spans="2:5">
      <c r="B154" s="15" t="s">
        <v>895</v>
      </c>
      <c r="C154" s="15" t="s">
        <v>896</v>
      </c>
      <c r="D154" s="15" t="s">
        <v>828</v>
      </c>
      <c r="E154" s="15" t="s">
        <v>900</v>
      </c>
    </row>
    <row r="155" spans="2:5">
      <c r="B155" s="15" t="s">
        <v>895</v>
      </c>
      <c r="C155" s="15" t="s">
        <v>896</v>
      </c>
      <c r="D155" s="15" t="s">
        <v>901</v>
      </c>
      <c r="E155" s="15" t="s">
        <v>902</v>
      </c>
    </row>
    <row r="156" ht="15.95" spans="2:2">
      <c r="B156" s="122" t="s">
        <v>903</v>
      </c>
    </row>
    <row r="157" spans="2:5">
      <c r="B157" s="15" t="s">
        <v>904</v>
      </c>
      <c r="C157" s="15" t="s">
        <v>905</v>
      </c>
      <c r="D157" s="15" t="s">
        <v>723</v>
      </c>
      <c r="E157" s="15" t="s">
        <v>906</v>
      </c>
    </row>
    <row r="158" spans="2:5">
      <c r="B158" s="15" t="s">
        <v>904</v>
      </c>
      <c r="C158" s="15" t="s">
        <v>905</v>
      </c>
      <c r="D158" s="15" t="s">
        <v>725</v>
      </c>
      <c r="E158" s="15" t="s">
        <v>907</v>
      </c>
    </row>
    <row r="159" ht="15.95" spans="2:2">
      <c r="B159" s="122" t="s">
        <v>908</v>
      </c>
    </row>
    <row r="160" spans="2:5">
      <c r="B160" s="15" t="s">
        <v>909</v>
      </c>
      <c r="C160" s="15" t="s">
        <v>909</v>
      </c>
      <c r="D160" s="15" t="s">
        <v>723</v>
      </c>
      <c r="E160" s="15" t="s">
        <v>910</v>
      </c>
    </row>
    <row r="161" spans="2:5">
      <c r="B161" s="15" t="s">
        <v>909</v>
      </c>
      <c r="C161" s="15" t="s">
        <v>909</v>
      </c>
      <c r="D161" s="15" t="s">
        <v>725</v>
      </c>
      <c r="E161" s="15" t="s">
        <v>911</v>
      </c>
    </row>
    <row r="162" spans="2:5">
      <c r="B162" s="15" t="s">
        <v>909</v>
      </c>
      <c r="C162" s="15" t="s">
        <v>909</v>
      </c>
      <c r="D162" s="15" t="s">
        <v>727</v>
      </c>
      <c r="E162" s="15" t="s">
        <v>912</v>
      </c>
    </row>
    <row r="163" spans="2:5">
      <c r="B163" s="15" t="s">
        <v>909</v>
      </c>
      <c r="C163" s="15" t="s">
        <v>909</v>
      </c>
      <c r="D163" s="15" t="s">
        <v>729</v>
      </c>
      <c r="E163" s="15" t="s">
        <v>913</v>
      </c>
    </row>
    <row r="164" ht="15.95" spans="2:2">
      <c r="B164" s="122" t="s">
        <v>914</v>
      </c>
    </row>
    <row r="165" spans="2:5">
      <c r="B165" s="15" t="s">
        <v>915</v>
      </c>
      <c r="C165" s="15" t="s">
        <v>916</v>
      </c>
      <c r="D165" s="15" t="s">
        <v>917</v>
      </c>
      <c r="E165" s="15" t="s">
        <v>918</v>
      </c>
    </row>
    <row r="166" spans="2:5">
      <c r="B166" s="15" t="s">
        <v>915</v>
      </c>
      <c r="C166" s="15" t="s">
        <v>916</v>
      </c>
      <c r="D166" s="15" t="s">
        <v>919</v>
      </c>
      <c r="E166" s="15" t="s">
        <v>920</v>
      </c>
    </row>
    <row r="167" spans="2:5">
      <c r="B167" s="15" t="s">
        <v>915</v>
      </c>
      <c r="C167" s="15" t="s">
        <v>916</v>
      </c>
      <c r="D167" s="15" t="s">
        <v>921</v>
      </c>
      <c r="E167" s="15" t="s">
        <v>922</v>
      </c>
    </row>
    <row r="168" spans="2:5">
      <c r="B168" s="15" t="s">
        <v>915</v>
      </c>
      <c r="C168" s="15" t="s">
        <v>916</v>
      </c>
      <c r="D168" s="15" t="s">
        <v>923</v>
      </c>
      <c r="E168" s="15" t="s">
        <v>924</v>
      </c>
    </row>
    <row r="169" ht="15.95" spans="2:2">
      <c r="B169" s="122" t="s">
        <v>925</v>
      </c>
    </row>
    <row r="170" spans="2:5">
      <c r="B170" s="15" t="s">
        <v>926</v>
      </c>
      <c r="C170" s="15" t="s">
        <v>927</v>
      </c>
      <c r="D170" s="15" t="s">
        <v>770</v>
      </c>
      <c r="E170" s="15" t="s">
        <v>928</v>
      </c>
    </row>
    <row r="171" spans="2:5">
      <c r="B171" s="15" t="s">
        <v>926</v>
      </c>
      <c r="C171" s="15" t="s">
        <v>927</v>
      </c>
      <c r="D171" s="15" t="s">
        <v>772</v>
      </c>
      <c r="E171" s="15" t="s">
        <v>929</v>
      </c>
    </row>
    <row r="172" spans="2:5">
      <c r="B172" s="15" t="s">
        <v>926</v>
      </c>
      <c r="C172" s="15" t="s">
        <v>927</v>
      </c>
      <c r="D172" s="15" t="s">
        <v>774</v>
      </c>
      <c r="E172" s="15" t="s">
        <v>235</v>
      </c>
    </row>
    <row r="173" ht="15.95" spans="2:2">
      <c r="B173" s="122" t="s">
        <v>930</v>
      </c>
    </row>
    <row r="174" spans="2:5">
      <c r="B174" s="15" t="s">
        <v>931</v>
      </c>
      <c r="C174" s="15" t="s">
        <v>932</v>
      </c>
      <c r="D174" s="15" t="s">
        <v>933</v>
      </c>
      <c r="E174" s="15" t="s">
        <v>934</v>
      </c>
    </row>
    <row r="175" spans="2:5">
      <c r="B175" s="15" t="s">
        <v>931</v>
      </c>
      <c r="C175" s="15" t="s">
        <v>932</v>
      </c>
      <c r="D175" s="15" t="s">
        <v>935</v>
      </c>
      <c r="E175" s="15" t="s">
        <v>936</v>
      </c>
    </row>
    <row r="176" spans="2:5">
      <c r="B176" s="15" t="s">
        <v>931</v>
      </c>
      <c r="C176" s="15" t="s">
        <v>932</v>
      </c>
      <c r="D176" s="15" t="s">
        <v>937</v>
      </c>
      <c r="E176" s="15" t="s">
        <v>938</v>
      </c>
    </row>
    <row r="177" spans="2:5">
      <c r="B177" s="15" t="s">
        <v>931</v>
      </c>
      <c r="C177" s="15" t="s">
        <v>932</v>
      </c>
      <c r="D177" s="15" t="s">
        <v>939</v>
      </c>
      <c r="E177" s="15" t="s">
        <v>940</v>
      </c>
    </row>
    <row r="178" spans="2:5">
      <c r="B178" s="15" t="s">
        <v>931</v>
      </c>
      <c r="C178" s="15" t="s">
        <v>932</v>
      </c>
      <c r="D178" s="15" t="s">
        <v>941</v>
      </c>
      <c r="E178" s="15" t="s">
        <v>942</v>
      </c>
    </row>
    <row r="179" ht="15.95" spans="2:2">
      <c r="B179" s="122" t="s">
        <v>943</v>
      </c>
    </row>
    <row r="180" spans="2:5">
      <c r="B180" s="15" t="s">
        <v>944</v>
      </c>
      <c r="C180" s="15" t="s">
        <v>945</v>
      </c>
      <c r="D180" s="15" t="s">
        <v>635</v>
      </c>
      <c r="E180" s="15" t="s">
        <v>946</v>
      </c>
    </row>
    <row r="181" spans="2:5">
      <c r="B181" s="15" t="s">
        <v>944</v>
      </c>
      <c r="C181" s="15" t="s">
        <v>945</v>
      </c>
      <c r="D181" s="15" t="s">
        <v>659</v>
      </c>
      <c r="E181" s="15" t="s">
        <v>947</v>
      </c>
    </row>
    <row r="182" spans="2:5">
      <c r="B182" s="15" t="s">
        <v>944</v>
      </c>
      <c r="C182" s="15" t="s">
        <v>945</v>
      </c>
      <c r="D182" s="15" t="s">
        <v>679</v>
      </c>
      <c r="E182" s="15" t="s">
        <v>948</v>
      </c>
    </row>
    <row r="183" ht="15.95" spans="2:2">
      <c r="B183" s="122" t="s">
        <v>949</v>
      </c>
    </row>
    <row r="184" spans="2:5">
      <c r="B184" s="15" t="s">
        <v>950</v>
      </c>
      <c r="C184" s="15" t="s">
        <v>951</v>
      </c>
      <c r="D184" s="15" t="s">
        <v>952</v>
      </c>
      <c r="E184" s="15" t="s">
        <v>953</v>
      </c>
    </row>
    <row r="185" spans="2:5">
      <c r="B185" s="15" t="s">
        <v>950</v>
      </c>
      <c r="C185" s="15" t="s">
        <v>951</v>
      </c>
      <c r="D185" s="15" t="s">
        <v>919</v>
      </c>
      <c r="E185" s="15" t="s">
        <v>954</v>
      </c>
    </row>
    <row r="186" spans="2:5">
      <c r="B186" s="15" t="s">
        <v>950</v>
      </c>
      <c r="C186" s="15" t="s">
        <v>951</v>
      </c>
      <c r="D186" s="15" t="s">
        <v>955</v>
      </c>
      <c r="E186" s="15" t="s">
        <v>956</v>
      </c>
    </row>
    <row r="187" ht="15.95" spans="2:2">
      <c r="B187" s="122" t="s">
        <v>957</v>
      </c>
    </row>
    <row r="188" spans="2:5">
      <c r="B188" s="15" t="s">
        <v>958</v>
      </c>
      <c r="C188" s="15" t="s">
        <v>958</v>
      </c>
      <c r="D188" s="15" t="s">
        <v>723</v>
      </c>
      <c r="E188" s="15" t="s">
        <v>959</v>
      </c>
    </row>
    <row r="189" spans="2:5">
      <c r="B189" s="15" t="s">
        <v>958</v>
      </c>
      <c r="C189" s="15" t="s">
        <v>958</v>
      </c>
      <c r="D189" s="15" t="s">
        <v>725</v>
      </c>
      <c r="E189" s="15" t="s">
        <v>960</v>
      </c>
    </row>
    <row r="190" spans="2:5">
      <c r="B190" s="15" t="s">
        <v>958</v>
      </c>
      <c r="C190" s="15" t="s">
        <v>958</v>
      </c>
      <c r="D190" s="15" t="s">
        <v>727</v>
      </c>
      <c r="E190" s="15" t="s">
        <v>961</v>
      </c>
    </row>
    <row r="191" spans="2:5">
      <c r="B191" s="15" t="s">
        <v>958</v>
      </c>
      <c r="C191" s="15" t="s">
        <v>958</v>
      </c>
      <c r="D191" s="15" t="s">
        <v>729</v>
      </c>
      <c r="E191" s="15" t="s">
        <v>962</v>
      </c>
    </row>
    <row r="192" spans="2:5">
      <c r="B192" s="15" t="s">
        <v>958</v>
      </c>
      <c r="C192" s="15" t="s">
        <v>958</v>
      </c>
      <c r="D192" s="15" t="s">
        <v>760</v>
      </c>
      <c r="E192" s="15" t="s">
        <v>235</v>
      </c>
    </row>
    <row r="193" ht="15.95" spans="2:2">
      <c r="B193" s="122" t="s">
        <v>963</v>
      </c>
    </row>
    <row r="194" spans="2:5">
      <c r="B194" s="15" t="s">
        <v>964</v>
      </c>
      <c r="C194" s="15" t="s">
        <v>964</v>
      </c>
      <c r="D194" s="15" t="s">
        <v>723</v>
      </c>
      <c r="E194" s="15" t="s">
        <v>965</v>
      </c>
    </row>
    <row r="195" spans="2:5">
      <c r="B195" s="15" t="s">
        <v>964</v>
      </c>
      <c r="C195" s="15" t="s">
        <v>964</v>
      </c>
      <c r="D195" s="15" t="s">
        <v>725</v>
      </c>
      <c r="E195" s="15" t="s">
        <v>966</v>
      </c>
    </row>
    <row r="196" spans="2:5">
      <c r="B196" s="15" t="s">
        <v>964</v>
      </c>
      <c r="C196" s="15" t="s">
        <v>964</v>
      </c>
      <c r="D196" s="15" t="s">
        <v>727</v>
      </c>
      <c r="E196" s="15" t="s">
        <v>967</v>
      </c>
    </row>
    <row r="197" ht="15.95" spans="2:2">
      <c r="B197" s="122" t="s">
        <v>968</v>
      </c>
    </row>
    <row r="198" spans="2:5">
      <c r="B198" s="15" t="s">
        <v>969</v>
      </c>
      <c r="C198" s="15" t="s">
        <v>970</v>
      </c>
      <c r="D198" s="15" t="s">
        <v>635</v>
      </c>
      <c r="E198" s="15" t="s">
        <v>971</v>
      </c>
    </row>
    <row r="199" spans="2:5">
      <c r="B199" s="15" t="s">
        <v>969</v>
      </c>
      <c r="C199" s="15" t="s">
        <v>970</v>
      </c>
      <c r="D199" s="15" t="s">
        <v>659</v>
      </c>
      <c r="E199" s="15" t="s">
        <v>972</v>
      </c>
    </row>
    <row r="200" spans="2:5">
      <c r="B200" s="15" t="s">
        <v>969</v>
      </c>
      <c r="C200" s="15" t="s">
        <v>970</v>
      </c>
      <c r="D200" s="15" t="s">
        <v>679</v>
      </c>
      <c r="E200" s="15" t="s">
        <v>973</v>
      </c>
    </row>
    <row r="201" spans="2:5">
      <c r="B201" s="15" t="s">
        <v>969</v>
      </c>
      <c r="C201" s="15" t="s">
        <v>970</v>
      </c>
      <c r="D201" s="15" t="s">
        <v>705</v>
      </c>
      <c r="E201" s="15" t="s">
        <v>235</v>
      </c>
    </row>
    <row r="202" ht="15.95" spans="2:2">
      <c r="B202" s="122" t="s">
        <v>974</v>
      </c>
    </row>
    <row r="203" spans="2:5">
      <c r="B203" s="15" t="s">
        <v>975</v>
      </c>
      <c r="C203" s="15" t="s">
        <v>975</v>
      </c>
      <c r="D203" s="15" t="s">
        <v>723</v>
      </c>
      <c r="E203" s="15" t="s">
        <v>976</v>
      </c>
    </row>
    <row r="204" spans="2:5">
      <c r="B204" s="15" t="s">
        <v>975</v>
      </c>
      <c r="C204" s="15" t="s">
        <v>975</v>
      </c>
      <c r="D204" s="15" t="s">
        <v>725</v>
      </c>
      <c r="E204" s="15" t="s">
        <v>977</v>
      </c>
    </row>
    <row r="205" spans="2:5">
      <c r="B205" s="15" t="s">
        <v>975</v>
      </c>
      <c r="C205" s="15" t="s">
        <v>975</v>
      </c>
      <c r="D205" s="15" t="s">
        <v>727</v>
      </c>
      <c r="E205" s="15" t="s">
        <v>978</v>
      </c>
    </row>
    <row r="206" ht="15.95" spans="2:2">
      <c r="B206" s="122" t="s">
        <v>979</v>
      </c>
    </row>
    <row r="207" spans="2:5">
      <c r="B207" s="15" t="s">
        <v>980</v>
      </c>
      <c r="C207" s="15" t="s">
        <v>981</v>
      </c>
      <c r="D207" s="15" t="s">
        <v>770</v>
      </c>
      <c r="E207" s="15" t="s">
        <v>982</v>
      </c>
    </row>
    <row r="208" spans="2:5">
      <c r="B208" s="15" t="s">
        <v>980</v>
      </c>
      <c r="C208" s="15" t="s">
        <v>981</v>
      </c>
      <c r="D208" s="15" t="s">
        <v>772</v>
      </c>
      <c r="E208" s="15" t="s">
        <v>983</v>
      </c>
    </row>
    <row r="209" ht="15.95" spans="2:2">
      <c r="B209" s="122" t="s">
        <v>984</v>
      </c>
    </row>
    <row r="210" spans="2:5">
      <c r="B210" s="15" t="s">
        <v>985</v>
      </c>
      <c r="C210" s="15" t="s">
        <v>986</v>
      </c>
      <c r="D210" s="15" t="s">
        <v>933</v>
      </c>
      <c r="E210" s="15" t="s">
        <v>987</v>
      </c>
    </row>
    <row r="211" spans="2:5">
      <c r="B211" s="15" t="s">
        <v>985</v>
      </c>
      <c r="C211" s="15" t="s">
        <v>986</v>
      </c>
      <c r="D211" s="15" t="s">
        <v>919</v>
      </c>
      <c r="E211" s="15" t="s">
        <v>988</v>
      </c>
    </row>
    <row r="212" spans="2:5">
      <c r="B212" s="15" t="s">
        <v>985</v>
      </c>
      <c r="C212" s="15" t="s">
        <v>986</v>
      </c>
      <c r="D212" s="15" t="s">
        <v>921</v>
      </c>
      <c r="E212" s="15" t="s">
        <v>989</v>
      </c>
    </row>
    <row r="213" spans="2:5">
      <c r="B213" s="15" t="s">
        <v>985</v>
      </c>
      <c r="C213" s="15" t="s">
        <v>986</v>
      </c>
      <c r="D213" s="15" t="s">
        <v>923</v>
      </c>
      <c r="E213" s="15" t="s">
        <v>990</v>
      </c>
    </row>
    <row r="214" spans="2:5">
      <c r="B214" s="15" t="s">
        <v>985</v>
      </c>
      <c r="C214" s="15" t="s">
        <v>986</v>
      </c>
      <c r="D214" s="15" t="s">
        <v>937</v>
      </c>
      <c r="E214" s="15" t="s">
        <v>991</v>
      </c>
    </row>
    <row r="215" spans="2:5">
      <c r="B215" s="15" t="s">
        <v>985</v>
      </c>
      <c r="C215" s="15" t="s">
        <v>986</v>
      </c>
      <c r="D215" s="15" t="s">
        <v>992</v>
      </c>
      <c r="E215" s="15" t="s">
        <v>993</v>
      </c>
    </row>
    <row r="216" spans="2:5">
      <c r="B216" s="15" t="s">
        <v>985</v>
      </c>
      <c r="C216" s="15" t="s">
        <v>986</v>
      </c>
      <c r="D216" s="15" t="s">
        <v>994</v>
      </c>
      <c r="E216" s="15" t="s">
        <v>995</v>
      </c>
    </row>
    <row r="217" spans="2:5">
      <c r="B217" s="15" t="s">
        <v>985</v>
      </c>
      <c r="C217" s="15" t="s">
        <v>986</v>
      </c>
      <c r="D217" s="15" t="s">
        <v>996</v>
      </c>
      <c r="E217" s="15" t="s">
        <v>997</v>
      </c>
    </row>
    <row r="218" spans="2:5">
      <c r="B218" s="15" t="s">
        <v>985</v>
      </c>
      <c r="C218" s="15" t="s">
        <v>986</v>
      </c>
      <c r="D218" s="15" t="s">
        <v>998</v>
      </c>
      <c r="E218" s="15" t="s">
        <v>999</v>
      </c>
    </row>
    <row r="219" spans="2:5">
      <c r="B219" s="15" t="s">
        <v>985</v>
      </c>
      <c r="C219" s="15" t="s">
        <v>986</v>
      </c>
      <c r="D219" s="15" t="s">
        <v>941</v>
      </c>
      <c r="E219" s="15" t="s">
        <v>1000</v>
      </c>
    </row>
    <row r="220" spans="2:5">
      <c r="B220" s="15" t="s">
        <v>985</v>
      </c>
      <c r="C220" s="15" t="s">
        <v>986</v>
      </c>
      <c r="D220" s="15" t="s">
        <v>1001</v>
      </c>
      <c r="E220" s="15" t="s">
        <v>1002</v>
      </c>
    </row>
    <row r="221" spans="2:5">
      <c r="B221" s="15" t="s">
        <v>985</v>
      </c>
      <c r="C221" s="15" t="s">
        <v>986</v>
      </c>
      <c r="D221" s="15" t="s">
        <v>1003</v>
      </c>
      <c r="E221" s="15" t="s">
        <v>1004</v>
      </c>
    </row>
    <row r="222" spans="2:5">
      <c r="B222" s="15" t="s">
        <v>985</v>
      </c>
      <c r="C222" s="15" t="s">
        <v>986</v>
      </c>
      <c r="D222" s="15" t="s">
        <v>1005</v>
      </c>
      <c r="E222" s="15" t="s">
        <v>1006</v>
      </c>
    </row>
    <row r="223" spans="2:5">
      <c r="B223" s="15" t="s">
        <v>985</v>
      </c>
      <c r="C223" s="15" t="s">
        <v>986</v>
      </c>
      <c r="D223" s="15" t="s">
        <v>1007</v>
      </c>
      <c r="E223" s="15" t="s">
        <v>1008</v>
      </c>
    </row>
    <row r="224" spans="2:5">
      <c r="B224" s="15" t="s">
        <v>985</v>
      </c>
      <c r="C224" s="15" t="s">
        <v>986</v>
      </c>
      <c r="D224" s="15" t="s">
        <v>1009</v>
      </c>
      <c r="E224" s="15" t="s">
        <v>1010</v>
      </c>
    </row>
    <row r="225" spans="2:5">
      <c r="B225" s="15" t="s">
        <v>985</v>
      </c>
      <c r="C225" s="15" t="s">
        <v>986</v>
      </c>
      <c r="D225" s="15" t="s">
        <v>1011</v>
      </c>
      <c r="E225" s="15" t="s">
        <v>1012</v>
      </c>
    </row>
    <row r="226" spans="2:5">
      <c r="B226" s="15" t="s">
        <v>985</v>
      </c>
      <c r="C226" s="15" t="s">
        <v>986</v>
      </c>
      <c r="D226" s="15" t="s">
        <v>1013</v>
      </c>
      <c r="E226" s="15" t="s">
        <v>1014</v>
      </c>
    </row>
    <row r="227" spans="2:5">
      <c r="B227" s="15" t="s">
        <v>985</v>
      </c>
      <c r="C227" s="15" t="s">
        <v>986</v>
      </c>
      <c r="D227" s="15" t="s">
        <v>1015</v>
      </c>
      <c r="E227" s="15" t="s">
        <v>1016</v>
      </c>
    </row>
    <row r="228" spans="2:5">
      <c r="B228" s="15" t="s">
        <v>985</v>
      </c>
      <c r="C228" s="15" t="s">
        <v>986</v>
      </c>
      <c r="D228" s="15" t="s">
        <v>1017</v>
      </c>
      <c r="E228" s="15" t="s">
        <v>1018</v>
      </c>
    </row>
    <row r="229" spans="2:5">
      <c r="B229" s="15" t="s">
        <v>985</v>
      </c>
      <c r="C229" s="15" t="s">
        <v>986</v>
      </c>
      <c r="D229" s="15" t="s">
        <v>1019</v>
      </c>
      <c r="E229" s="15" t="s">
        <v>1020</v>
      </c>
    </row>
    <row r="230" ht="15.95" spans="2:2">
      <c r="B230" s="122" t="s">
        <v>1021</v>
      </c>
    </row>
    <row r="231" spans="2:5">
      <c r="B231" s="15" t="s">
        <v>1022</v>
      </c>
      <c r="C231" s="15" t="s">
        <v>1023</v>
      </c>
      <c r="D231" s="15" t="s">
        <v>635</v>
      </c>
      <c r="E231" s="15" t="s">
        <v>1024</v>
      </c>
    </row>
    <row r="232" spans="2:5">
      <c r="B232" s="15" t="s">
        <v>1022</v>
      </c>
      <c r="C232" s="15" t="s">
        <v>1023</v>
      </c>
      <c r="D232" s="15" t="s">
        <v>659</v>
      </c>
      <c r="E232" s="15" t="s">
        <v>1025</v>
      </c>
    </row>
    <row r="233" ht="15.95" spans="2:2">
      <c r="B233" s="122" t="s">
        <v>1026</v>
      </c>
    </row>
    <row r="234" spans="2:5">
      <c r="B234" s="15" t="s">
        <v>1027</v>
      </c>
      <c r="C234" s="15" t="s">
        <v>1028</v>
      </c>
      <c r="D234" s="15" t="s">
        <v>770</v>
      </c>
      <c r="E234" s="15" t="s">
        <v>1029</v>
      </c>
    </row>
    <row r="235" spans="2:5">
      <c r="B235" s="15" t="s">
        <v>1027</v>
      </c>
      <c r="C235" s="15" t="s">
        <v>1028</v>
      </c>
      <c r="D235" s="15" t="s">
        <v>772</v>
      </c>
      <c r="E235" s="15" t="s">
        <v>1030</v>
      </c>
    </row>
    <row r="236" spans="2:5">
      <c r="B236" s="15" t="s">
        <v>1027</v>
      </c>
      <c r="C236" s="15" t="s">
        <v>1028</v>
      </c>
      <c r="D236" s="15" t="s">
        <v>774</v>
      </c>
      <c r="E236" s="15" t="s">
        <v>1031</v>
      </c>
    </row>
    <row r="237" spans="2:5">
      <c r="B237" s="15" t="s">
        <v>1027</v>
      </c>
      <c r="C237" s="15" t="s">
        <v>1028</v>
      </c>
      <c r="D237" s="15" t="s">
        <v>828</v>
      </c>
      <c r="E237" s="15" t="s">
        <v>1032</v>
      </c>
    </row>
    <row r="238" ht="15.95" spans="2:2">
      <c r="B238" s="122" t="s">
        <v>1033</v>
      </c>
    </row>
    <row r="239" spans="2:5">
      <c r="B239" s="15" t="s">
        <v>1034</v>
      </c>
      <c r="C239" s="15" t="s">
        <v>1035</v>
      </c>
      <c r="D239" s="15" t="s">
        <v>635</v>
      </c>
      <c r="E239" s="15" t="s">
        <v>1036</v>
      </c>
    </row>
    <row r="240" spans="2:5">
      <c r="B240" s="15" t="s">
        <v>1034</v>
      </c>
      <c r="C240" s="15" t="s">
        <v>1035</v>
      </c>
      <c r="D240" s="15" t="s">
        <v>637</v>
      </c>
      <c r="E240" s="15" t="s">
        <v>1037</v>
      </c>
    </row>
    <row r="241" spans="2:5">
      <c r="B241" s="15" t="s">
        <v>1034</v>
      </c>
      <c r="C241" s="15" t="s">
        <v>1035</v>
      </c>
      <c r="D241" s="15" t="s">
        <v>641</v>
      </c>
      <c r="E241" s="15" t="s">
        <v>1038</v>
      </c>
    </row>
    <row r="242" spans="2:5">
      <c r="B242" s="15" t="s">
        <v>1034</v>
      </c>
      <c r="C242" s="15" t="s">
        <v>1035</v>
      </c>
      <c r="D242" s="15" t="s">
        <v>659</v>
      </c>
      <c r="E242" s="15" t="s">
        <v>1039</v>
      </c>
    </row>
    <row r="243" spans="2:5">
      <c r="B243" s="15" t="s">
        <v>1034</v>
      </c>
      <c r="C243" s="15" t="s">
        <v>1035</v>
      </c>
      <c r="D243" s="15" t="s">
        <v>661</v>
      </c>
      <c r="E243" s="15" t="s">
        <v>1040</v>
      </c>
    </row>
    <row r="244" spans="2:5">
      <c r="B244" s="15" t="s">
        <v>1034</v>
      </c>
      <c r="C244" s="15" t="s">
        <v>1035</v>
      </c>
      <c r="D244" s="15" t="s">
        <v>663</v>
      </c>
      <c r="E244" s="15" t="s">
        <v>1041</v>
      </c>
    </row>
    <row r="245" spans="2:5">
      <c r="B245" s="15" t="s">
        <v>1034</v>
      </c>
      <c r="C245" s="15" t="s">
        <v>1035</v>
      </c>
      <c r="D245" s="15" t="s">
        <v>679</v>
      </c>
      <c r="E245" s="15" t="s">
        <v>1042</v>
      </c>
    </row>
    <row r="246" spans="2:5">
      <c r="B246" s="15" t="s">
        <v>1034</v>
      </c>
      <c r="C246" s="15" t="s">
        <v>1035</v>
      </c>
      <c r="D246" s="15" t="s">
        <v>681</v>
      </c>
      <c r="E246" s="15" t="s">
        <v>1036</v>
      </c>
    </row>
    <row r="247" spans="2:5">
      <c r="B247" s="15" t="s">
        <v>1034</v>
      </c>
      <c r="C247" s="15" t="s">
        <v>1035</v>
      </c>
      <c r="D247" s="15" t="s">
        <v>1043</v>
      </c>
      <c r="E247" s="15" t="s">
        <v>1037</v>
      </c>
    </row>
    <row r="248" spans="2:5">
      <c r="B248" s="15" t="s">
        <v>1034</v>
      </c>
      <c r="C248" s="15" t="s">
        <v>1035</v>
      </c>
      <c r="D248" s="15" t="s">
        <v>1044</v>
      </c>
      <c r="E248" s="15" t="s">
        <v>1038</v>
      </c>
    </row>
    <row r="249" spans="2:5">
      <c r="B249" s="15" t="s">
        <v>1034</v>
      </c>
      <c r="C249" s="15" t="s">
        <v>1035</v>
      </c>
      <c r="D249" s="15" t="s">
        <v>683</v>
      </c>
      <c r="E249" s="15" t="s">
        <v>1039</v>
      </c>
    </row>
    <row r="250" spans="2:5">
      <c r="B250" s="15" t="s">
        <v>1034</v>
      </c>
      <c r="C250" s="15" t="s">
        <v>1035</v>
      </c>
      <c r="D250" s="15" t="s">
        <v>1045</v>
      </c>
      <c r="E250" s="15" t="s">
        <v>1040</v>
      </c>
    </row>
    <row r="251" spans="2:5">
      <c r="B251" s="15" t="s">
        <v>1034</v>
      </c>
      <c r="C251" s="15" t="s">
        <v>1035</v>
      </c>
      <c r="D251" s="15" t="s">
        <v>1046</v>
      </c>
      <c r="E251" s="15" t="s">
        <v>1041</v>
      </c>
    </row>
    <row r="252" ht="15.95" spans="2:2">
      <c r="B252" s="122" t="s">
        <v>1047</v>
      </c>
    </row>
    <row r="253" spans="2:5">
      <c r="B253" s="15" t="s">
        <v>1048</v>
      </c>
      <c r="C253" s="15" t="s">
        <v>1049</v>
      </c>
      <c r="D253" s="15" t="s">
        <v>723</v>
      </c>
      <c r="E253" s="15" t="s">
        <v>1050</v>
      </c>
    </row>
    <row r="254" spans="2:5">
      <c r="B254" s="15" t="s">
        <v>1048</v>
      </c>
      <c r="C254" s="15" t="s">
        <v>1049</v>
      </c>
      <c r="D254" s="15" t="s">
        <v>725</v>
      </c>
      <c r="E254" s="15" t="s">
        <v>1051</v>
      </c>
    </row>
    <row r="255" spans="2:5">
      <c r="B255" s="15" t="s">
        <v>1048</v>
      </c>
      <c r="C255" s="15" t="s">
        <v>1049</v>
      </c>
      <c r="D255" s="15" t="s">
        <v>727</v>
      </c>
      <c r="E255" s="15" t="s">
        <v>1052</v>
      </c>
    </row>
    <row r="256" spans="2:5">
      <c r="B256" s="15" t="s">
        <v>1048</v>
      </c>
      <c r="C256" s="15" t="s">
        <v>1049</v>
      </c>
      <c r="D256" s="15" t="s">
        <v>729</v>
      </c>
      <c r="E256" s="15" t="s">
        <v>1053</v>
      </c>
    </row>
    <row r="257" ht="15.95" spans="2:2">
      <c r="B257" s="122" t="s">
        <v>1054</v>
      </c>
    </row>
    <row r="258" spans="2:5">
      <c r="B258" s="15" t="s">
        <v>1055</v>
      </c>
      <c r="C258" s="15" t="s">
        <v>1056</v>
      </c>
      <c r="D258" s="15" t="s">
        <v>1057</v>
      </c>
      <c r="E258" s="15" t="s">
        <v>235</v>
      </c>
    </row>
    <row r="259" spans="2:5">
      <c r="B259" s="15" t="s">
        <v>1055</v>
      </c>
      <c r="C259" s="15" t="s">
        <v>1056</v>
      </c>
      <c r="D259" s="15" t="s">
        <v>933</v>
      </c>
      <c r="E259" s="15" t="s">
        <v>1058</v>
      </c>
    </row>
    <row r="260" spans="2:5">
      <c r="B260" s="15" t="s">
        <v>1055</v>
      </c>
      <c r="C260" s="15" t="s">
        <v>1056</v>
      </c>
      <c r="D260" s="15" t="s">
        <v>1059</v>
      </c>
      <c r="E260" s="15" t="s">
        <v>1060</v>
      </c>
    </row>
    <row r="261" spans="2:5">
      <c r="B261" s="15" t="s">
        <v>1055</v>
      </c>
      <c r="C261" s="15" t="s">
        <v>1056</v>
      </c>
      <c r="D261" s="15" t="s">
        <v>1061</v>
      </c>
      <c r="E261" s="15" t="s">
        <v>1062</v>
      </c>
    </row>
    <row r="262" spans="2:5">
      <c r="B262" s="15" t="s">
        <v>1055</v>
      </c>
      <c r="C262" s="15" t="s">
        <v>1056</v>
      </c>
      <c r="D262" s="15" t="s">
        <v>1063</v>
      </c>
      <c r="E262" s="15" t="s">
        <v>1064</v>
      </c>
    </row>
    <row r="263" spans="2:5">
      <c r="B263" s="15" t="s">
        <v>1055</v>
      </c>
      <c r="C263" s="15" t="s">
        <v>1056</v>
      </c>
      <c r="D263" s="15" t="s">
        <v>1065</v>
      </c>
      <c r="E263" s="15" t="s">
        <v>1066</v>
      </c>
    </row>
    <row r="264" spans="2:5">
      <c r="B264" s="15" t="s">
        <v>1055</v>
      </c>
      <c r="C264" s="15" t="s">
        <v>1056</v>
      </c>
      <c r="D264" s="15" t="s">
        <v>935</v>
      </c>
      <c r="E264" s="15" t="s">
        <v>1067</v>
      </c>
    </row>
    <row r="265" spans="2:5">
      <c r="B265" s="15" t="s">
        <v>1055</v>
      </c>
      <c r="C265" s="15" t="s">
        <v>1056</v>
      </c>
      <c r="D265" s="15" t="s">
        <v>1068</v>
      </c>
      <c r="E265" s="15" t="s">
        <v>1069</v>
      </c>
    </row>
    <row r="266" spans="2:5">
      <c r="B266" s="15" t="s">
        <v>1055</v>
      </c>
      <c r="C266" s="15" t="s">
        <v>1056</v>
      </c>
      <c r="D266" s="15" t="s">
        <v>1070</v>
      </c>
      <c r="E266" s="15" t="s">
        <v>1071</v>
      </c>
    </row>
    <row r="267" spans="2:5">
      <c r="B267" s="15" t="s">
        <v>1055</v>
      </c>
      <c r="C267" s="15" t="s">
        <v>1056</v>
      </c>
      <c r="D267" s="15" t="s">
        <v>1072</v>
      </c>
      <c r="E267" s="15" t="s">
        <v>1073</v>
      </c>
    </row>
    <row r="268" spans="2:5">
      <c r="B268" s="15" t="s">
        <v>1055</v>
      </c>
      <c r="C268" s="15" t="s">
        <v>1056</v>
      </c>
      <c r="D268" s="15" t="s">
        <v>1074</v>
      </c>
      <c r="E268" s="15" t="s">
        <v>1075</v>
      </c>
    </row>
    <row r="269" spans="2:5">
      <c r="B269" s="15" t="s">
        <v>1055</v>
      </c>
      <c r="C269" s="15" t="s">
        <v>1056</v>
      </c>
      <c r="D269" s="15" t="s">
        <v>937</v>
      </c>
      <c r="E269" s="15" t="s">
        <v>1076</v>
      </c>
    </row>
    <row r="270" ht="15.95" spans="2:2">
      <c r="B270" s="122" t="s">
        <v>1077</v>
      </c>
    </row>
    <row r="271" spans="2:5">
      <c r="B271" s="15" t="s">
        <v>1078</v>
      </c>
      <c r="C271" s="15" t="s">
        <v>1079</v>
      </c>
      <c r="D271" s="15" t="s">
        <v>723</v>
      </c>
      <c r="E271" s="15" t="s">
        <v>1080</v>
      </c>
    </row>
    <row r="272" spans="2:5">
      <c r="B272" s="15" t="s">
        <v>1078</v>
      </c>
      <c r="C272" s="15" t="s">
        <v>1079</v>
      </c>
      <c r="D272" s="15" t="s">
        <v>1065</v>
      </c>
      <c r="E272" s="15" t="s">
        <v>1081</v>
      </c>
    </row>
    <row r="273" spans="2:5">
      <c r="B273" s="15" t="s">
        <v>1078</v>
      </c>
      <c r="C273" s="15" t="s">
        <v>1079</v>
      </c>
      <c r="D273" s="15" t="s">
        <v>1068</v>
      </c>
      <c r="E273" s="15" t="s">
        <v>1082</v>
      </c>
    </row>
    <row r="274" spans="2:5">
      <c r="B274" s="15" t="s">
        <v>1078</v>
      </c>
      <c r="C274" s="15" t="s">
        <v>1079</v>
      </c>
      <c r="D274" s="15" t="s">
        <v>725</v>
      </c>
      <c r="E274" s="15" t="s">
        <v>1083</v>
      </c>
    </row>
    <row r="275" spans="2:5">
      <c r="B275" s="15" t="s">
        <v>1078</v>
      </c>
      <c r="C275" s="15" t="s">
        <v>1079</v>
      </c>
      <c r="D275" s="15" t="s">
        <v>727</v>
      </c>
      <c r="E275" s="15" t="s">
        <v>1084</v>
      </c>
    </row>
    <row r="276" spans="2:5">
      <c r="B276" s="15" t="s">
        <v>1078</v>
      </c>
      <c r="C276" s="15" t="s">
        <v>1079</v>
      </c>
      <c r="D276" s="15" t="s">
        <v>729</v>
      </c>
      <c r="E276" s="15" t="s">
        <v>1085</v>
      </c>
    </row>
    <row r="277" spans="2:5">
      <c r="B277" s="15" t="s">
        <v>1078</v>
      </c>
      <c r="C277" s="15" t="s">
        <v>1079</v>
      </c>
      <c r="D277" s="15" t="s">
        <v>760</v>
      </c>
      <c r="E277" s="15" t="s">
        <v>1086</v>
      </c>
    </row>
    <row r="278" ht="15.95" spans="2:2">
      <c r="B278" s="122" t="s">
        <v>1087</v>
      </c>
    </row>
    <row r="279" spans="2:5">
      <c r="B279" s="15" t="s">
        <v>1088</v>
      </c>
      <c r="C279" s="15" t="s">
        <v>1089</v>
      </c>
      <c r="D279" s="15" t="s">
        <v>917</v>
      </c>
      <c r="E279" s="15" t="s">
        <v>918</v>
      </c>
    </row>
    <row r="280" spans="2:5">
      <c r="B280" s="15" t="s">
        <v>1088</v>
      </c>
      <c r="C280" s="15" t="s">
        <v>1089</v>
      </c>
      <c r="D280" s="15" t="s">
        <v>919</v>
      </c>
      <c r="E280" s="15" t="s">
        <v>1090</v>
      </c>
    </row>
    <row r="281" spans="2:5">
      <c r="B281" s="15" t="s">
        <v>1088</v>
      </c>
      <c r="C281" s="15" t="s">
        <v>1089</v>
      </c>
      <c r="D281" s="15" t="s">
        <v>1091</v>
      </c>
      <c r="E281" s="15" t="s">
        <v>1092</v>
      </c>
    </row>
    <row r="282" spans="2:5">
      <c r="B282" s="15" t="s">
        <v>1088</v>
      </c>
      <c r="C282" s="15" t="s">
        <v>1089</v>
      </c>
      <c r="D282" s="15" t="s">
        <v>921</v>
      </c>
      <c r="E282" s="15" t="s">
        <v>1093</v>
      </c>
    </row>
    <row r="283" spans="2:5">
      <c r="B283" s="15" t="s">
        <v>1088</v>
      </c>
      <c r="C283" s="15" t="s">
        <v>1089</v>
      </c>
      <c r="D283" s="15" t="s">
        <v>923</v>
      </c>
      <c r="E283" s="15" t="s">
        <v>1094</v>
      </c>
    </row>
    <row r="284" spans="2:5">
      <c r="B284" s="15" t="s">
        <v>1088</v>
      </c>
      <c r="C284" s="15" t="s">
        <v>1089</v>
      </c>
      <c r="D284" s="15" t="s">
        <v>1095</v>
      </c>
      <c r="E284" s="15" t="s">
        <v>1096</v>
      </c>
    </row>
    <row r="285" ht="15.95" spans="2:2">
      <c r="B285" s="122" t="s">
        <v>1097</v>
      </c>
    </row>
    <row r="286" spans="2:5">
      <c r="B286" s="15" t="s">
        <v>1098</v>
      </c>
      <c r="C286" s="15" t="s">
        <v>1098</v>
      </c>
      <c r="D286" s="15" t="s">
        <v>770</v>
      </c>
      <c r="E286" s="15" t="s">
        <v>1099</v>
      </c>
    </row>
    <row r="287" spans="2:5">
      <c r="B287" s="15" t="s">
        <v>1098</v>
      </c>
      <c r="C287" s="15" t="s">
        <v>1098</v>
      </c>
      <c r="D287" s="15" t="s">
        <v>772</v>
      </c>
      <c r="E287" s="15" t="s">
        <v>1100</v>
      </c>
    </row>
    <row r="288" spans="2:5">
      <c r="B288" s="15" t="s">
        <v>1098</v>
      </c>
      <c r="C288" s="15" t="s">
        <v>1098</v>
      </c>
      <c r="D288" s="15" t="s">
        <v>774</v>
      </c>
      <c r="E288" s="15" t="s">
        <v>1101</v>
      </c>
    </row>
    <row r="289" spans="2:5">
      <c r="B289" s="15" t="s">
        <v>1098</v>
      </c>
      <c r="C289" s="15" t="s">
        <v>1098</v>
      </c>
      <c r="D289" s="15" t="s">
        <v>828</v>
      </c>
      <c r="E289" s="15" t="s">
        <v>1102</v>
      </c>
    </row>
    <row r="290" spans="2:5">
      <c r="B290" s="15" t="s">
        <v>1098</v>
      </c>
      <c r="C290" s="15" t="s">
        <v>1098</v>
      </c>
      <c r="D290" s="15" t="s">
        <v>901</v>
      </c>
      <c r="E290" s="15" t="s">
        <v>1103</v>
      </c>
    </row>
    <row r="291" ht="15.95" spans="2:2">
      <c r="B291" s="122" t="s">
        <v>1104</v>
      </c>
    </row>
    <row r="292" spans="2:5">
      <c r="B292" s="15" t="s">
        <v>1105</v>
      </c>
      <c r="C292" s="15" t="s">
        <v>1106</v>
      </c>
      <c r="D292" s="15" t="s">
        <v>770</v>
      </c>
      <c r="E292" s="15" t="s">
        <v>1107</v>
      </c>
    </row>
    <row r="293" spans="2:5">
      <c r="B293" s="15" t="s">
        <v>1105</v>
      </c>
      <c r="C293" s="15" t="s">
        <v>1106</v>
      </c>
      <c r="D293" s="15" t="s">
        <v>772</v>
      </c>
      <c r="E293" s="15" t="s">
        <v>1108</v>
      </c>
    </row>
    <row r="294" spans="2:5">
      <c r="B294" s="15" t="s">
        <v>1105</v>
      </c>
      <c r="C294" s="15" t="s">
        <v>1106</v>
      </c>
      <c r="D294" s="15" t="s">
        <v>774</v>
      </c>
      <c r="E294" s="15" t="s">
        <v>1109</v>
      </c>
    </row>
    <row r="295" spans="2:5">
      <c r="B295" s="15" t="s">
        <v>1105</v>
      </c>
      <c r="C295" s="15" t="s">
        <v>1106</v>
      </c>
      <c r="D295" s="15" t="s">
        <v>828</v>
      </c>
      <c r="E295" s="15" t="s">
        <v>1110</v>
      </c>
    </row>
    <row r="296" spans="2:5">
      <c r="B296" s="15" t="s">
        <v>1105</v>
      </c>
      <c r="C296" s="15" t="s">
        <v>1106</v>
      </c>
      <c r="D296" s="15" t="s">
        <v>901</v>
      </c>
      <c r="E296" s="15" t="s">
        <v>1111</v>
      </c>
    </row>
    <row r="297" ht="15.95" spans="2:2">
      <c r="B297" s="122" t="s">
        <v>1112</v>
      </c>
    </row>
    <row r="298" spans="2:5">
      <c r="B298" s="15" t="s">
        <v>1113</v>
      </c>
      <c r="C298" s="15" t="s">
        <v>1114</v>
      </c>
      <c r="D298" s="15" t="s">
        <v>1115</v>
      </c>
      <c r="E298" s="15" t="s">
        <v>1116</v>
      </c>
    </row>
    <row r="299" spans="2:5">
      <c r="B299" s="15" t="s">
        <v>1113</v>
      </c>
      <c r="C299" s="15" t="s">
        <v>1114</v>
      </c>
      <c r="D299" s="15" t="s">
        <v>1117</v>
      </c>
      <c r="E299" s="15" t="s">
        <v>1118</v>
      </c>
    </row>
    <row r="300" ht="15.95" spans="2:2">
      <c r="B300" s="122" t="s">
        <v>1119</v>
      </c>
    </row>
    <row r="301" spans="2:5">
      <c r="B301" s="15" t="s">
        <v>1120</v>
      </c>
      <c r="C301" s="15" t="s">
        <v>896</v>
      </c>
      <c r="D301" s="15" t="s">
        <v>770</v>
      </c>
      <c r="E301" s="15" t="s">
        <v>1121</v>
      </c>
    </row>
    <row r="302" spans="2:5">
      <c r="B302" s="15" t="s">
        <v>1120</v>
      </c>
      <c r="C302" s="15" t="s">
        <v>896</v>
      </c>
      <c r="D302" s="15" t="s">
        <v>772</v>
      </c>
      <c r="E302" s="15" t="s">
        <v>1122</v>
      </c>
    </row>
    <row r="303" spans="2:5">
      <c r="B303" s="15" t="s">
        <v>1120</v>
      </c>
      <c r="C303" s="15" t="s">
        <v>896</v>
      </c>
      <c r="D303" s="15" t="s">
        <v>774</v>
      </c>
      <c r="E303" s="15" t="s">
        <v>1123</v>
      </c>
    </row>
    <row r="304" spans="2:5">
      <c r="B304" s="15" t="s">
        <v>1120</v>
      </c>
      <c r="C304" s="15" t="s">
        <v>896</v>
      </c>
      <c r="D304" s="15" t="s">
        <v>828</v>
      </c>
      <c r="E304" s="15" t="s">
        <v>1124</v>
      </c>
    </row>
    <row r="305" ht="15.95" spans="2:2">
      <c r="B305" s="122" t="s">
        <v>1125</v>
      </c>
    </row>
    <row r="306" spans="2:5">
      <c r="B306" s="15" t="s">
        <v>1126</v>
      </c>
      <c r="C306" s="15" t="s">
        <v>1126</v>
      </c>
      <c r="D306" s="15" t="s">
        <v>723</v>
      </c>
      <c r="E306" s="15" t="s">
        <v>1127</v>
      </c>
    </row>
    <row r="307" spans="2:5">
      <c r="B307" s="15" t="s">
        <v>1126</v>
      </c>
      <c r="C307" s="15" t="s">
        <v>1126</v>
      </c>
      <c r="D307" s="15" t="s">
        <v>725</v>
      </c>
      <c r="E307" s="15" t="s">
        <v>1128</v>
      </c>
    </row>
    <row r="308" spans="2:5">
      <c r="B308" s="15" t="s">
        <v>1126</v>
      </c>
      <c r="C308" s="15" t="s">
        <v>1126</v>
      </c>
      <c r="D308" s="15" t="s">
        <v>727</v>
      </c>
      <c r="E308" s="15" t="s">
        <v>1129</v>
      </c>
    </row>
    <row r="309" spans="2:5">
      <c r="B309" s="15" t="s">
        <v>1126</v>
      </c>
      <c r="C309" s="15" t="s">
        <v>1126</v>
      </c>
      <c r="D309" s="15" t="s">
        <v>729</v>
      </c>
      <c r="E309" s="15" t="s">
        <v>1130</v>
      </c>
    </row>
    <row r="310" ht="15.95" spans="2:2">
      <c r="B310" s="122" t="s">
        <v>1131</v>
      </c>
    </row>
    <row r="311" spans="2:5">
      <c r="B311" s="15" t="s">
        <v>1132</v>
      </c>
      <c r="C311" s="15" t="s">
        <v>1133</v>
      </c>
      <c r="D311" s="15" t="s">
        <v>933</v>
      </c>
      <c r="E311" s="15" t="s">
        <v>1134</v>
      </c>
    </row>
    <row r="312" spans="2:5">
      <c r="B312" s="15" t="s">
        <v>1132</v>
      </c>
      <c r="C312" s="15" t="s">
        <v>1133</v>
      </c>
      <c r="D312" s="15" t="s">
        <v>937</v>
      </c>
      <c r="E312" s="15" t="s">
        <v>1135</v>
      </c>
    </row>
    <row r="313" spans="2:5">
      <c r="B313" s="15" t="s">
        <v>1132</v>
      </c>
      <c r="C313" s="15" t="s">
        <v>1133</v>
      </c>
      <c r="D313" s="15" t="s">
        <v>939</v>
      </c>
      <c r="E313" s="15" t="s">
        <v>1136</v>
      </c>
    </row>
    <row r="314" spans="2:5">
      <c r="B314" s="15" t="s">
        <v>1132</v>
      </c>
      <c r="C314" s="15" t="s">
        <v>1133</v>
      </c>
      <c r="D314" s="15" t="s">
        <v>941</v>
      </c>
      <c r="E314" s="15" t="s">
        <v>1137</v>
      </c>
    </row>
    <row r="315" spans="2:5">
      <c r="B315" s="15" t="s">
        <v>1132</v>
      </c>
      <c r="C315" s="15" t="s">
        <v>1133</v>
      </c>
      <c r="D315" s="15" t="s">
        <v>1007</v>
      </c>
      <c r="E315" s="15" t="s">
        <v>1138</v>
      </c>
    </row>
    <row r="316" spans="2:5">
      <c r="B316" s="15" t="s">
        <v>1132</v>
      </c>
      <c r="C316" s="15" t="s">
        <v>1133</v>
      </c>
      <c r="D316" s="15" t="s">
        <v>1139</v>
      </c>
      <c r="E316" s="15" t="s">
        <v>726</v>
      </c>
    </row>
    <row r="317" spans="2:5">
      <c r="B317" s="15" t="s">
        <v>1132</v>
      </c>
      <c r="C317" s="15" t="s">
        <v>1133</v>
      </c>
      <c r="D317" s="15" t="s">
        <v>1140</v>
      </c>
      <c r="E317" s="15" t="s">
        <v>724</v>
      </c>
    </row>
    <row r="318" spans="2:5">
      <c r="B318" s="15" t="s">
        <v>1132</v>
      </c>
      <c r="C318" s="15" t="s">
        <v>1133</v>
      </c>
      <c r="D318" s="15" t="s">
        <v>1141</v>
      </c>
      <c r="E318" s="15" t="s">
        <v>1142</v>
      </c>
    </row>
    <row r="319" spans="2:5">
      <c r="B319" s="15" t="s">
        <v>1132</v>
      </c>
      <c r="C319" s="15" t="s">
        <v>1133</v>
      </c>
      <c r="D319" s="15" t="s">
        <v>1143</v>
      </c>
      <c r="E319" s="15" t="s">
        <v>1144</v>
      </c>
    </row>
    <row r="320" spans="2:5">
      <c r="B320" s="15" t="s">
        <v>1132</v>
      </c>
      <c r="C320" s="15" t="s">
        <v>1133</v>
      </c>
      <c r="D320" s="15" t="s">
        <v>1145</v>
      </c>
      <c r="E320" s="15" t="s">
        <v>766</v>
      </c>
    </row>
    <row r="321" ht="15.95" spans="2:2">
      <c r="B321" s="122" t="s">
        <v>1146</v>
      </c>
    </row>
    <row r="322" spans="2:5">
      <c r="B322" s="15" t="s">
        <v>1147</v>
      </c>
      <c r="C322" s="15" t="s">
        <v>1148</v>
      </c>
      <c r="D322" s="15" t="s">
        <v>1149</v>
      </c>
      <c r="E322" s="15" t="s">
        <v>1150</v>
      </c>
    </row>
    <row r="323" spans="2:5">
      <c r="B323" s="15" t="s">
        <v>1147</v>
      </c>
      <c r="C323" s="15" t="s">
        <v>1148</v>
      </c>
      <c r="D323" s="15" t="s">
        <v>1151</v>
      </c>
      <c r="E323" s="15" t="s">
        <v>1152</v>
      </c>
    </row>
    <row r="324" spans="2:5">
      <c r="B324" s="15" t="s">
        <v>1147</v>
      </c>
      <c r="C324" s="15" t="s">
        <v>1148</v>
      </c>
      <c r="D324" s="15" t="s">
        <v>1153</v>
      </c>
      <c r="E324" s="15" t="s">
        <v>1154</v>
      </c>
    </row>
    <row r="325" spans="2:5">
      <c r="B325" s="15" t="s">
        <v>1147</v>
      </c>
      <c r="C325" s="15" t="s">
        <v>1148</v>
      </c>
      <c r="D325" s="15" t="s">
        <v>1155</v>
      </c>
      <c r="E325" s="15" t="s">
        <v>1156</v>
      </c>
    </row>
    <row r="326" spans="2:5">
      <c r="B326" s="15" t="s">
        <v>1147</v>
      </c>
      <c r="C326" s="15" t="s">
        <v>1148</v>
      </c>
      <c r="D326" s="15" t="s">
        <v>1157</v>
      </c>
      <c r="E326" s="15" t="s">
        <v>1158</v>
      </c>
    </row>
    <row r="327" spans="2:5">
      <c r="B327" s="15" t="s">
        <v>1147</v>
      </c>
      <c r="C327" s="15" t="s">
        <v>1148</v>
      </c>
      <c r="D327" s="15" t="s">
        <v>1159</v>
      </c>
      <c r="E327" s="15" t="s">
        <v>1160</v>
      </c>
    </row>
    <row r="328" spans="2:5">
      <c r="B328" s="15" t="s">
        <v>1147</v>
      </c>
      <c r="C328" s="15" t="s">
        <v>1148</v>
      </c>
      <c r="D328" s="15" t="s">
        <v>1161</v>
      </c>
      <c r="E328" s="15" t="s">
        <v>235</v>
      </c>
    </row>
    <row r="329" spans="2:5">
      <c r="B329" s="15" t="s">
        <v>1147</v>
      </c>
      <c r="C329" s="15" t="s">
        <v>1148</v>
      </c>
      <c r="D329" s="15" t="s">
        <v>1162</v>
      </c>
      <c r="E329" s="15" t="s">
        <v>1150</v>
      </c>
    </row>
    <row r="330" spans="2:5">
      <c r="B330" s="15" t="s">
        <v>1147</v>
      </c>
      <c r="C330" s="15" t="s">
        <v>1148</v>
      </c>
      <c r="D330" s="15" t="s">
        <v>1163</v>
      </c>
      <c r="E330" s="15" t="s">
        <v>1152</v>
      </c>
    </row>
    <row r="331" spans="2:5">
      <c r="B331" s="15" t="s">
        <v>1147</v>
      </c>
      <c r="C331" s="15" t="s">
        <v>1148</v>
      </c>
      <c r="D331" s="15" t="s">
        <v>1164</v>
      </c>
      <c r="E331" s="15" t="s">
        <v>1165</v>
      </c>
    </row>
    <row r="332" spans="2:5">
      <c r="B332" s="15" t="s">
        <v>1147</v>
      </c>
      <c r="C332" s="15" t="s">
        <v>1148</v>
      </c>
      <c r="D332" s="15" t="s">
        <v>1166</v>
      </c>
      <c r="E332" s="15" t="s">
        <v>1167</v>
      </c>
    </row>
    <row r="333" spans="2:5">
      <c r="B333" s="15" t="s">
        <v>1147</v>
      </c>
      <c r="C333" s="15" t="s">
        <v>1148</v>
      </c>
      <c r="D333" s="15" t="s">
        <v>1168</v>
      </c>
      <c r="E333" s="15" t="s">
        <v>235</v>
      </c>
    </row>
    <row r="334" spans="2:5">
      <c r="B334" s="15" t="s">
        <v>1147</v>
      </c>
      <c r="C334" s="15" t="s">
        <v>1148</v>
      </c>
      <c r="D334" s="15" t="s">
        <v>1169</v>
      </c>
      <c r="E334" s="15" t="s">
        <v>1170</v>
      </c>
    </row>
    <row r="335" spans="2:5">
      <c r="B335" s="15" t="s">
        <v>1147</v>
      </c>
      <c r="C335" s="15" t="s">
        <v>1148</v>
      </c>
      <c r="D335" s="15" t="s">
        <v>1171</v>
      </c>
      <c r="E335" s="15" t="s">
        <v>1172</v>
      </c>
    </row>
    <row r="336" spans="2:5">
      <c r="B336" s="15" t="s">
        <v>1147</v>
      </c>
      <c r="C336" s="15" t="s">
        <v>1148</v>
      </c>
      <c r="D336" s="15" t="s">
        <v>1173</v>
      </c>
      <c r="E336" s="15" t="s">
        <v>1174</v>
      </c>
    </row>
    <row r="337" spans="2:5">
      <c r="B337" s="15" t="s">
        <v>1147</v>
      </c>
      <c r="C337" s="15" t="s">
        <v>1148</v>
      </c>
      <c r="D337" s="15" t="s">
        <v>1175</v>
      </c>
      <c r="E337" s="15" t="s">
        <v>1176</v>
      </c>
    </row>
    <row r="338" spans="2:5">
      <c r="B338" s="15" t="s">
        <v>1147</v>
      </c>
      <c r="C338" s="15" t="s">
        <v>1148</v>
      </c>
      <c r="D338" s="15" t="s">
        <v>1177</v>
      </c>
      <c r="E338" s="15" t="s">
        <v>1178</v>
      </c>
    </row>
    <row r="339" spans="2:5">
      <c r="B339" s="15" t="s">
        <v>1147</v>
      </c>
      <c r="C339" s="15" t="s">
        <v>1148</v>
      </c>
      <c r="D339" s="15" t="s">
        <v>1179</v>
      </c>
      <c r="E339" s="15" t="s">
        <v>1180</v>
      </c>
    </row>
    <row r="340" spans="2:5">
      <c r="B340" s="15" t="s">
        <v>1147</v>
      </c>
      <c r="C340" s="15" t="s">
        <v>1148</v>
      </c>
      <c r="D340" s="15" t="s">
        <v>1181</v>
      </c>
      <c r="E340" s="15" t="s">
        <v>1182</v>
      </c>
    </row>
    <row r="341" ht="15.95" spans="2:2">
      <c r="B341" s="122" t="s">
        <v>1183</v>
      </c>
    </row>
    <row r="342" spans="2:5">
      <c r="B342" s="15" t="s">
        <v>1184</v>
      </c>
      <c r="C342" s="15" t="s">
        <v>896</v>
      </c>
      <c r="D342" s="15" t="s">
        <v>770</v>
      </c>
      <c r="E342" s="15" t="s">
        <v>1185</v>
      </c>
    </row>
    <row r="343" spans="2:5">
      <c r="B343" s="15" t="s">
        <v>1184</v>
      </c>
      <c r="C343" s="15" t="s">
        <v>896</v>
      </c>
      <c r="D343" s="15" t="s">
        <v>772</v>
      </c>
      <c r="E343" s="15" t="s">
        <v>1186</v>
      </c>
    </row>
    <row r="344" ht="15.95" spans="2:2">
      <c r="B344" s="122" t="s">
        <v>1187</v>
      </c>
    </row>
    <row r="345" spans="2:5">
      <c r="B345" s="15" t="s">
        <v>1188</v>
      </c>
      <c r="C345" s="15" t="s">
        <v>1188</v>
      </c>
      <c r="D345" s="15" t="s">
        <v>770</v>
      </c>
      <c r="E345" s="15" t="s">
        <v>1189</v>
      </c>
    </row>
    <row r="346" spans="2:5">
      <c r="B346" s="15" t="s">
        <v>1188</v>
      </c>
      <c r="C346" s="15" t="s">
        <v>1188</v>
      </c>
      <c r="D346" s="15" t="s">
        <v>772</v>
      </c>
      <c r="E346" s="15" t="s">
        <v>1190</v>
      </c>
    </row>
    <row r="347" spans="2:5">
      <c r="B347" s="15" t="s">
        <v>1188</v>
      </c>
      <c r="C347" s="15" t="s">
        <v>1188</v>
      </c>
      <c r="D347" s="15" t="s">
        <v>774</v>
      </c>
      <c r="E347" s="15" t="s">
        <v>1191</v>
      </c>
    </row>
    <row r="348" spans="2:5">
      <c r="B348" s="15" t="s">
        <v>1188</v>
      </c>
      <c r="C348" s="15" t="s">
        <v>1188</v>
      </c>
      <c r="D348" s="15" t="s">
        <v>828</v>
      </c>
      <c r="E348" s="15" t="s">
        <v>1192</v>
      </c>
    </row>
    <row r="349" ht="15.95" spans="2:2">
      <c r="B349" s="122" t="s">
        <v>1193</v>
      </c>
    </row>
    <row r="350" spans="2:5">
      <c r="B350" s="15" t="s">
        <v>1194</v>
      </c>
      <c r="C350" s="15" t="s">
        <v>1195</v>
      </c>
      <c r="D350" s="15" t="s">
        <v>723</v>
      </c>
      <c r="E350" s="15" t="s">
        <v>1196</v>
      </c>
    </row>
    <row r="351" spans="2:5">
      <c r="B351" s="15" t="s">
        <v>1194</v>
      </c>
      <c r="C351" s="15" t="s">
        <v>1195</v>
      </c>
      <c r="D351" s="15" t="s">
        <v>725</v>
      </c>
      <c r="E351" s="15" t="s">
        <v>1197</v>
      </c>
    </row>
    <row r="352" spans="2:5">
      <c r="B352" s="15" t="s">
        <v>1194</v>
      </c>
      <c r="C352" s="15" t="s">
        <v>1195</v>
      </c>
      <c r="D352" s="15" t="s">
        <v>727</v>
      </c>
      <c r="E352" s="15" t="s">
        <v>1198</v>
      </c>
    </row>
    <row r="353" ht="15.95" spans="2:2">
      <c r="B353" s="122" t="s">
        <v>1199</v>
      </c>
    </row>
    <row r="354" spans="2:5">
      <c r="B354" s="15" t="s">
        <v>1200</v>
      </c>
      <c r="C354" s="15" t="s">
        <v>1200</v>
      </c>
      <c r="D354" s="15" t="s">
        <v>723</v>
      </c>
      <c r="E354" s="15" t="s">
        <v>1201</v>
      </c>
    </row>
    <row r="355" spans="2:5">
      <c r="B355" s="15" t="s">
        <v>1200</v>
      </c>
      <c r="C355" s="15" t="s">
        <v>1200</v>
      </c>
      <c r="D355" s="15" t="s">
        <v>725</v>
      </c>
      <c r="E355" s="15" t="s">
        <v>1202</v>
      </c>
    </row>
    <row r="356" spans="2:5">
      <c r="B356" s="15" t="s">
        <v>1200</v>
      </c>
      <c r="C356" s="15" t="s">
        <v>1200</v>
      </c>
      <c r="D356" s="15" t="s">
        <v>727</v>
      </c>
      <c r="E356" s="15" t="s">
        <v>1203</v>
      </c>
    </row>
    <row r="357" ht="15.95" spans="2:2">
      <c r="B357" s="122" t="s">
        <v>1204</v>
      </c>
    </row>
    <row r="358" spans="2:5">
      <c r="B358" s="15" t="s">
        <v>1205</v>
      </c>
      <c r="C358" s="15" t="s">
        <v>1206</v>
      </c>
      <c r="D358" s="15" t="s">
        <v>635</v>
      </c>
      <c r="E358" s="15" t="s">
        <v>1207</v>
      </c>
    </row>
    <row r="359" spans="2:5">
      <c r="B359" s="15" t="s">
        <v>1205</v>
      </c>
      <c r="C359" s="15" t="s">
        <v>1206</v>
      </c>
      <c r="D359" s="15" t="s">
        <v>659</v>
      </c>
      <c r="E359" s="15" t="s">
        <v>1050</v>
      </c>
    </row>
    <row r="360" spans="2:5">
      <c r="B360" s="15" t="s">
        <v>1205</v>
      </c>
      <c r="C360" s="15" t="s">
        <v>1206</v>
      </c>
      <c r="D360" s="15" t="s">
        <v>679</v>
      </c>
      <c r="E360" s="15" t="s">
        <v>1208</v>
      </c>
    </row>
    <row r="361" spans="2:5">
      <c r="B361" s="15" t="s">
        <v>1205</v>
      </c>
      <c r="C361" s="15" t="s">
        <v>1206</v>
      </c>
      <c r="D361" s="15" t="s">
        <v>705</v>
      </c>
      <c r="E361" s="15" t="s">
        <v>1209</v>
      </c>
    </row>
    <row r="362" spans="2:5">
      <c r="B362" s="15" t="s">
        <v>1205</v>
      </c>
      <c r="C362" s="15" t="s">
        <v>1206</v>
      </c>
      <c r="D362" s="15" t="s">
        <v>709</v>
      </c>
      <c r="E362" s="15" t="s">
        <v>1210</v>
      </c>
    </row>
    <row r="363" spans="2:5">
      <c r="B363" s="15" t="s">
        <v>1205</v>
      </c>
      <c r="C363" s="15" t="s">
        <v>1206</v>
      </c>
      <c r="D363" s="15" t="s">
        <v>838</v>
      </c>
      <c r="E363" s="15" t="s">
        <v>1211</v>
      </c>
    </row>
    <row r="364" ht="15.95" spans="2:2">
      <c r="B364" s="122" t="s">
        <v>1212</v>
      </c>
    </row>
    <row r="365" spans="2:5">
      <c r="B365" s="15" t="s">
        <v>1213</v>
      </c>
      <c r="C365" s="15" t="s">
        <v>1214</v>
      </c>
      <c r="D365" s="15" t="s">
        <v>917</v>
      </c>
      <c r="E365" s="15" t="s">
        <v>953</v>
      </c>
    </row>
    <row r="366" spans="2:5">
      <c r="B366" s="15" t="s">
        <v>1213</v>
      </c>
      <c r="C366" s="15" t="s">
        <v>1214</v>
      </c>
      <c r="D366" s="15" t="s">
        <v>919</v>
      </c>
      <c r="E366" s="15" t="s">
        <v>954</v>
      </c>
    </row>
    <row r="367" spans="2:5">
      <c r="B367" s="15" t="s">
        <v>1213</v>
      </c>
      <c r="C367" s="15" t="s">
        <v>1214</v>
      </c>
      <c r="D367" s="15" t="s">
        <v>955</v>
      </c>
      <c r="E367" s="15" t="s">
        <v>956</v>
      </c>
    </row>
    <row r="368" ht="15.95" spans="2:2">
      <c r="B368" s="122" t="s">
        <v>1215</v>
      </c>
    </row>
    <row r="369" spans="2:5">
      <c r="B369" s="15" t="s">
        <v>1216</v>
      </c>
      <c r="C369" s="15" t="s">
        <v>896</v>
      </c>
      <c r="D369" s="15" t="s">
        <v>770</v>
      </c>
      <c r="E369" s="15" t="s">
        <v>1217</v>
      </c>
    </row>
    <row r="370" spans="2:5">
      <c r="B370" s="15" t="s">
        <v>1216</v>
      </c>
      <c r="C370" s="15" t="s">
        <v>896</v>
      </c>
      <c r="D370" s="15" t="s">
        <v>772</v>
      </c>
      <c r="E370" s="15" t="s">
        <v>1218</v>
      </c>
    </row>
    <row r="371" spans="2:5">
      <c r="B371" s="15" t="s">
        <v>1216</v>
      </c>
      <c r="C371" s="15" t="s">
        <v>896</v>
      </c>
      <c r="D371" s="15" t="s">
        <v>774</v>
      </c>
      <c r="E371" s="15" t="s">
        <v>1219</v>
      </c>
    </row>
    <row r="372" spans="2:5">
      <c r="B372" s="15" t="s">
        <v>1216</v>
      </c>
      <c r="C372" s="15" t="s">
        <v>896</v>
      </c>
      <c r="D372" s="15" t="s">
        <v>828</v>
      </c>
      <c r="E372" s="15" t="s">
        <v>235</v>
      </c>
    </row>
    <row r="373" ht="15.95" spans="2:2">
      <c r="B373" s="122" t="s">
        <v>1220</v>
      </c>
    </row>
    <row r="374" spans="2:5">
      <c r="B374" s="15" t="s">
        <v>1221</v>
      </c>
      <c r="C374" s="15" t="s">
        <v>1222</v>
      </c>
      <c r="D374" s="15" t="s">
        <v>635</v>
      </c>
      <c r="E374" s="15" t="s">
        <v>1223</v>
      </c>
    </row>
    <row r="375" spans="2:5">
      <c r="B375" s="15" t="s">
        <v>1221</v>
      </c>
      <c r="C375" s="15" t="s">
        <v>1222</v>
      </c>
      <c r="D375" s="15" t="s">
        <v>659</v>
      </c>
      <c r="E375" s="15" t="s">
        <v>1224</v>
      </c>
    </row>
    <row r="376" spans="2:5">
      <c r="B376" s="15" t="s">
        <v>1221</v>
      </c>
      <c r="C376" s="15" t="s">
        <v>1222</v>
      </c>
      <c r="D376" s="15" t="s">
        <v>679</v>
      </c>
      <c r="E376" s="15" t="s">
        <v>1225</v>
      </c>
    </row>
    <row r="377" spans="2:5">
      <c r="B377" s="15" t="s">
        <v>1221</v>
      </c>
      <c r="C377" s="15" t="s">
        <v>1222</v>
      </c>
      <c r="D377" s="15" t="s">
        <v>705</v>
      </c>
      <c r="E377" s="15" t="s">
        <v>1226</v>
      </c>
    </row>
    <row r="378" spans="2:5">
      <c r="B378" s="15" t="s">
        <v>1221</v>
      </c>
      <c r="C378" s="15" t="s">
        <v>1222</v>
      </c>
      <c r="D378" s="15" t="s">
        <v>709</v>
      </c>
      <c r="E378" s="15" t="s">
        <v>1227</v>
      </c>
    </row>
    <row r="379" spans="2:5">
      <c r="B379" s="15" t="s">
        <v>1221</v>
      </c>
      <c r="C379" s="15" t="s">
        <v>1222</v>
      </c>
      <c r="D379" s="15" t="s">
        <v>1228</v>
      </c>
      <c r="E379" s="15" t="s">
        <v>1229</v>
      </c>
    </row>
    <row r="380" spans="2:5">
      <c r="B380" s="15" t="s">
        <v>1221</v>
      </c>
      <c r="C380" s="15" t="s">
        <v>1222</v>
      </c>
      <c r="D380" s="15" t="s">
        <v>1230</v>
      </c>
      <c r="E380" s="15" t="s">
        <v>1231</v>
      </c>
    </row>
    <row r="381" spans="2:5">
      <c r="B381" s="15" t="s">
        <v>1221</v>
      </c>
      <c r="C381" s="15" t="s">
        <v>1222</v>
      </c>
      <c r="D381" s="15" t="s">
        <v>1232</v>
      </c>
      <c r="E381" s="15" t="s">
        <v>1233</v>
      </c>
    </row>
    <row r="382" spans="2:5">
      <c r="B382" s="15" t="s">
        <v>1221</v>
      </c>
      <c r="C382" s="15" t="s">
        <v>1222</v>
      </c>
      <c r="D382" s="15" t="s">
        <v>1234</v>
      </c>
      <c r="E382" s="15" t="s">
        <v>1235</v>
      </c>
    </row>
    <row r="383" spans="2:5">
      <c r="B383" s="15" t="s">
        <v>1221</v>
      </c>
      <c r="C383" s="15" t="s">
        <v>1222</v>
      </c>
      <c r="D383" s="15" t="s">
        <v>1236</v>
      </c>
      <c r="E383" s="15" t="s">
        <v>1237</v>
      </c>
    </row>
    <row r="384" ht="15.95" spans="2:2">
      <c r="B384" s="122" t="s">
        <v>1238</v>
      </c>
    </row>
    <row r="385" spans="2:5">
      <c r="B385" s="15" t="s">
        <v>1239</v>
      </c>
      <c r="C385" s="15" t="s">
        <v>1240</v>
      </c>
      <c r="D385" s="15" t="s">
        <v>770</v>
      </c>
      <c r="E385" s="15" t="s">
        <v>1241</v>
      </c>
    </row>
    <row r="386" spans="2:5">
      <c r="B386" s="15" t="s">
        <v>1239</v>
      </c>
      <c r="C386" s="15" t="s">
        <v>1240</v>
      </c>
      <c r="D386" s="15" t="s">
        <v>772</v>
      </c>
      <c r="E386" s="15" t="s">
        <v>1242</v>
      </c>
    </row>
    <row r="387" spans="2:5">
      <c r="B387" s="15" t="s">
        <v>1239</v>
      </c>
      <c r="C387" s="15" t="s">
        <v>1240</v>
      </c>
      <c r="D387" s="15" t="s">
        <v>774</v>
      </c>
      <c r="E387" s="15" t="s">
        <v>1243</v>
      </c>
    </row>
    <row r="388" spans="2:5">
      <c r="B388" s="15" t="s">
        <v>1239</v>
      </c>
      <c r="C388" s="15" t="s">
        <v>1240</v>
      </c>
      <c r="D388" s="15" t="s">
        <v>828</v>
      </c>
      <c r="E388" s="15" t="s">
        <v>1244</v>
      </c>
    </row>
    <row r="389" ht="15.95" spans="2:2">
      <c r="B389" s="122" t="s">
        <v>1245</v>
      </c>
    </row>
    <row r="390" spans="2:5">
      <c r="B390" s="15" t="s">
        <v>1246</v>
      </c>
      <c r="C390" s="15" t="s">
        <v>1247</v>
      </c>
      <c r="D390" s="15" t="s">
        <v>1248</v>
      </c>
      <c r="E390" s="15" t="s">
        <v>1249</v>
      </c>
    </row>
    <row r="391" spans="2:5">
      <c r="B391" s="15" t="s">
        <v>1246</v>
      </c>
      <c r="C391" s="15" t="s">
        <v>1247</v>
      </c>
      <c r="D391" s="15" t="s">
        <v>1250</v>
      </c>
      <c r="E391" s="15" t="s">
        <v>1251</v>
      </c>
    </row>
    <row r="392" spans="2:5">
      <c r="B392" s="15" t="s">
        <v>1246</v>
      </c>
      <c r="C392" s="15" t="s">
        <v>1247</v>
      </c>
      <c r="D392" s="15" t="s">
        <v>1252</v>
      </c>
      <c r="E392" s="15" t="s">
        <v>301</v>
      </c>
    </row>
    <row r="393" spans="2:5">
      <c r="B393" s="15" t="s">
        <v>1246</v>
      </c>
      <c r="C393" s="15" t="s">
        <v>1247</v>
      </c>
      <c r="D393" s="15" t="s">
        <v>1253</v>
      </c>
      <c r="E393" s="15" t="s">
        <v>1254</v>
      </c>
    </row>
    <row r="394" spans="2:5">
      <c r="B394" s="15" t="s">
        <v>1246</v>
      </c>
      <c r="C394" s="15" t="s">
        <v>1247</v>
      </c>
      <c r="D394" s="15" t="s">
        <v>1255</v>
      </c>
      <c r="E394" s="15" t="s">
        <v>1256</v>
      </c>
    </row>
    <row r="395" spans="2:5">
      <c r="B395" s="15" t="s">
        <v>1246</v>
      </c>
      <c r="C395" s="15" t="s">
        <v>1247</v>
      </c>
      <c r="D395" s="15" t="s">
        <v>1257</v>
      </c>
      <c r="E395" s="15" t="s">
        <v>1256</v>
      </c>
    </row>
    <row r="396" spans="2:5">
      <c r="B396" s="15" t="s">
        <v>1246</v>
      </c>
      <c r="C396" s="15" t="s">
        <v>1247</v>
      </c>
      <c r="D396" s="15" t="s">
        <v>1258</v>
      </c>
      <c r="E396" s="15" t="s">
        <v>1259</v>
      </c>
    </row>
    <row r="397" ht="15.95" spans="2:2">
      <c r="B397" s="122" t="s">
        <v>1260</v>
      </c>
    </row>
    <row r="398" spans="2:5">
      <c r="B398" s="15" t="s">
        <v>1261</v>
      </c>
      <c r="C398" s="15" t="s">
        <v>1262</v>
      </c>
      <c r="D398" s="15" t="s">
        <v>933</v>
      </c>
      <c r="E398" s="15" t="s">
        <v>1263</v>
      </c>
    </row>
    <row r="399" ht="15.95" spans="2:2">
      <c r="B399" s="122" t="s">
        <v>1264</v>
      </c>
    </row>
    <row r="400" spans="2:5">
      <c r="B400" s="15" t="s">
        <v>1265</v>
      </c>
      <c r="C400" s="15" t="s">
        <v>1266</v>
      </c>
      <c r="D400" s="15" t="s">
        <v>1267</v>
      </c>
      <c r="E400" s="15" t="s">
        <v>1268</v>
      </c>
    </row>
    <row r="401" spans="2:5">
      <c r="B401" s="15" t="s">
        <v>1265</v>
      </c>
      <c r="C401" s="15" t="s">
        <v>1266</v>
      </c>
      <c r="D401" s="15" t="s">
        <v>1269</v>
      </c>
      <c r="E401" s="15" t="s">
        <v>1270</v>
      </c>
    </row>
    <row r="402" ht="15.95" spans="2:2">
      <c r="B402" s="122" t="s">
        <v>1271</v>
      </c>
    </row>
    <row r="403" spans="2:5">
      <c r="B403" s="15" t="s">
        <v>1272</v>
      </c>
      <c r="C403" s="15" t="s">
        <v>1273</v>
      </c>
      <c r="D403" s="15" t="s">
        <v>933</v>
      </c>
      <c r="E403" s="15" t="s">
        <v>1274</v>
      </c>
    </row>
    <row r="404" spans="2:5">
      <c r="B404" s="15" t="s">
        <v>1272</v>
      </c>
      <c r="C404" s="15" t="s">
        <v>1273</v>
      </c>
      <c r="D404" s="15" t="s">
        <v>937</v>
      </c>
      <c r="E404" s="15" t="s">
        <v>1275</v>
      </c>
    </row>
    <row r="405" ht="15.95" spans="2:2">
      <c r="B405" s="122" t="s">
        <v>1276</v>
      </c>
    </row>
    <row r="406" spans="2:5">
      <c r="B406" s="15" t="s">
        <v>1277</v>
      </c>
      <c r="C406" s="15" t="s">
        <v>1277</v>
      </c>
      <c r="D406" s="15" t="s">
        <v>770</v>
      </c>
      <c r="E406" s="15" t="s">
        <v>1278</v>
      </c>
    </row>
    <row r="407" spans="2:5">
      <c r="B407" s="15" t="s">
        <v>1277</v>
      </c>
      <c r="C407" s="15" t="s">
        <v>1277</v>
      </c>
      <c r="D407" s="15" t="s">
        <v>772</v>
      </c>
      <c r="E407" s="15" t="s">
        <v>1279</v>
      </c>
    </row>
    <row r="408" spans="2:5">
      <c r="B408" s="15" t="s">
        <v>1277</v>
      </c>
      <c r="C408" s="15" t="s">
        <v>1277</v>
      </c>
      <c r="D408" s="15" t="s">
        <v>774</v>
      </c>
      <c r="E408" s="15" t="s">
        <v>1280</v>
      </c>
    </row>
    <row r="409" spans="2:5">
      <c r="B409" s="15" t="s">
        <v>1277</v>
      </c>
      <c r="C409" s="15" t="s">
        <v>1277</v>
      </c>
      <c r="D409" s="15" t="s">
        <v>828</v>
      </c>
      <c r="E409" s="15" t="s">
        <v>1281</v>
      </c>
    </row>
    <row r="410" ht="15.95" spans="2:2">
      <c r="B410" s="122" t="s">
        <v>1282</v>
      </c>
    </row>
    <row r="411" spans="2:5">
      <c r="B411" s="15" t="s">
        <v>1283</v>
      </c>
      <c r="C411" s="15" t="s">
        <v>1283</v>
      </c>
      <c r="D411" s="15" t="s">
        <v>770</v>
      </c>
      <c r="E411" s="15" t="s">
        <v>1284</v>
      </c>
    </row>
    <row r="412" spans="2:5">
      <c r="B412" s="15" t="s">
        <v>1283</v>
      </c>
      <c r="C412" s="15" t="s">
        <v>1283</v>
      </c>
      <c r="D412" s="15" t="s">
        <v>772</v>
      </c>
      <c r="E412" s="15" t="s">
        <v>1285</v>
      </c>
    </row>
    <row r="413" spans="2:5">
      <c r="B413" s="15" t="s">
        <v>1283</v>
      </c>
      <c r="C413" s="15" t="s">
        <v>1283</v>
      </c>
      <c r="D413" s="15" t="s">
        <v>774</v>
      </c>
      <c r="E413" s="15" t="s">
        <v>1286</v>
      </c>
    </row>
    <row r="414" spans="2:5">
      <c r="B414" s="15" t="s">
        <v>1283</v>
      </c>
      <c r="C414" s="15" t="s">
        <v>1283</v>
      </c>
      <c r="D414" s="15" t="s">
        <v>828</v>
      </c>
      <c r="E414" s="15" t="s">
        <v>1287</v>
      </c>
    </row>
    <row r="415" spans="2:5">
      <c r="B415" s="15" t="s">
        <v>1283</v>
      </c>
      <c r="C415" s="15" t="s">
        <v>1283</v>
      </c>
      <c r="D415" s="15" t="s">
        <v>901</v>
      </c>
      <c r="E415" s="15" t="s">
        <v>1288</v>
      </c>
    </row>
    <row r="416" spans="2:5">
      <c r="B416" s="15" t="s">
        <v>1283</v>
      </c>
      <c r="C416" s="15" t="s">
        <v>1283</v>
      </c>
      <c r="D416" s="15" t="s">
        <v>776</v>
      </c>
      <c r="E416" s="15" t="s">
        <v>1289</v>
      </c>
    </row>
    <row r="417" spans="2:5">
      <c r="B417" s="15" t="s">
        <v>1283</v>
      </c>
      <c r="C417" s="15" t="s">
        <v>1283</v>
      </c>
      <c r="D417" s="15" t="s">
        <v>1290</v>
      </c>
      <c r="E417" s="15" t="s">
        <v>1291</v>
      </c>
    </row>
    <row r="418" ht="15.95" spans="2:2">
      <c r="B418" s="122" t="s">
        <v>1292</v>
      </c>
    </row>
    <row r="419" spans="2:5">
      <c r="B419" s="15" t="s">
        <v>1293</v>
      </c>
      <c r="C419" s="15" t="s">
        <v>896</v>
      </c>
      <c r="D419" s="15" t="s">
        <v>770</v>
      </c>
      <c r="E419" s="15" t="s">
        <v>1294</v>
      </c>
    </row>
    <row r="420" spans="2:5">
      <c r="B420" s="15" t="s">
        <v>1293</v>
      </c>
      <c r="C420" s="15" t="s">
        <v>896</v>
      </c>
      <c r="D420" s="15" t="s">
        <v>772</v>
      </c>
      <c r="E420" s="15" t="s">
        <v>1295</v>
      </c>
    </row>
    <row r="421" spans="2:5">
      <c r="B421" s="15" t="s">
        <v>1293</v>
      </c>
      <c r="C421" s="15" t="s">
        <v>896</v>
      </c>
      <c r="D421" s="15" t="s">
        <v>774</v>
      </c>
      <c r="E421" s="15" t="s">
        <v>1296</v>
      </c>
    </row>
    <row r="422" spans="2:5">
      <c r="B422" s="15" t="s">
        <v>1293</v>
      </c>
      <c r="C422" s="15" t="s">
        <v>896</v>
      </c>
      <c r="D422" s="15" t="s">
        <v>828</v>
      </c>
      <c r="E422" s="15" t="s">
        <v>1297</v>
      </c>
    </row>
    <row r="423" spans="2:5">
      <c r="B423" s="15" t="s">
        <v>1293</v>
      </c>
      <c r="C423" s="15" t="s">
        <v>896</v>
      </c>
      <c r="D423" s="15" t="s">
        <v>901</v>
      </c>
      <c r="E423" s="15" t="s">
        <v>1298</v>
      </c>
    </row>
    <row r="424" ht="15.95" spans="2:2">
      <c r="B424" s="122" t="s">
        <v>1299</v>
      </c>
    </row>
    <row r="425" spans="2:5">
      <c r="B425" s="15" t="s">
        <v>1300</v>
      </c>
      <c r="C425" s="15" t="s">
        <v>1300</v>
      </c>
      <c r="D425" s="15" t="s">
        <v>723</v>
      </c>
      <c r="E425" s="15" t="s">
        <v>1301</v>
      </c>
    </row>
    <row r="426" spans="2:5">
      <c r="B426" s="15" t="s">
        <v>1300</v>
      </c>
      <c r="C426" s="15" t="s">
        <v>1300</v>
      </c>
      <c r="D426" s="15" t="s">
        <v>725</v>
      </c>
      <c r="E426" s="15" t="s">
        <v>1302</v>
      </c>
    </row>
    <row r="427" spans="2:5">
      <c r="B427" s="15" t="s">
        <v>1300</v>
      </c>
      <c r="C427" s="15" t="s">
        <v>1300</v>
      </c>
      <c r="D427" s="15" t="s">
        <v>727</v>
      </c>
      <c r="E427" s="15" t="s">
        <v>1303</v>
      </c>
    </row>
    <row r="428" ht="15.95" spans="2:2">
      <c r="B428" s="122" t="s">
        <v>1304</v>
      </c>
    </row>
    <row r="429" spans="2:5">
      <c r="B429" s="15" t="s">
        <v>1305</v>
      </c>
      <c r="C429" s="15" t="s">
        <v>1306</v>
      </c>
      <c r="D429" s="15" t="s">
        <v>770</v>
      </c>
      <c r="E429" s="15" t="s">
        <v>1307</v>
      </c>
    </row>
    <row r="430" spans="2:5">
      <c r="B430" s="15" t="s">
        <v>1305</v>
      </c>
      <c r="C430" s="15" t="s">
        <v>1306</v>
      </c>
      <c r="D430" s="15" t="s">
        <v>772</v>
      </c>
      <c r="E430" s="15" t="s">
        <v>1308</v>
      </c>
    </row>
    <row r="431" spans="2:5">
      <c r="B431" s="15" t="s">
        <v>1305</v>
      </c>
      <c r="C431" s="15" t="s">
        <v>1306</v>
      </c>
      <c r="D431" s="15" t="s">
        <v>774</v>
      </c>
      <c r="E431" s="15" t="s">
        <v>1309</v>
      </c>
    </row>
    <row r="432" spans="2:5">
      <c r="B432" s="15" t="s">
        <v>1305</v>
      </c>
      <c r="C432" s="15" t="s">
        <v>1306</v>
      </c>
      <c r="D432" s="15" t="s">
        <v>828</v>
      </c>
      <c r="E432" s="15" t="s">
        <v>1310</v>
      </c>
    </row>
    <row r="433" spans="2:5">
      <c r="B433" s="15" t="s">
        <v>1305</v>
      </c>
      <c r="C433" s="15" t="s">
        <v>1306</v>
      </c>
      <c r="D433" s="15" t="s">
        <v>901</v>
      </c>
      <c r="E433" s="15" t="s">
        <v>235</v>
      </c>
    </row>
    <row r="434" ht="15.95" spans="2:2">
      <c r="B434" s="122" t="s">
        <v>1311</v>
      </c>
    </row>
    <row r="435" spans="2:5">
      <c r="B435" s="15" t="s">
        <v>1312</v>
      </c>
      <c r="C435" s="15" t="s">
        <v>1313</v>
      </c>
      <c r="D435" s="15" t="s">
        <v>770</v>
      </c>
      <c r="E435" s="15" t="s">
        <v>1314</v>
      </c>
    </row>
    <row r="436" spans="2:5">
      <c r="B436" s="15" t="s">
        <v>1312</v>
      </c>
      <c r="C436" s="15" t="s">
        <v>1313</v>
      </c>
      <c r="D436" s="15" t="s">
        <v>772</v>
      </c>
      <c r="E436" s="15" t="s">
        <v>1315</v>
      </c>
    </row>
    <row r="437" ht="15.95" spans="2:2">
      <c r="B437" s="122" t="s">
        <v>1316</v>
      </c>
    </row>
    <row r="438" spans="2:5">
      <c r="B438" s="15" t="s">
        <v>1317</v>
      </c>
      <c r="C438" s="15" t="s">
        <v>1318</v>
      </c>
      <c r="D438" s="15" t="s">
        <v>917</v>
      </c>
      <c r="E438" s="15" t="s">
        <v>953</v>
      </c>
    </row>
    <row r="439" spans="2:5">
      <c r="B439" s="15" t="s">
        <v>1317</v>
      </c>
      <c r="C439" s="15" t="s">
        <v>1318</v>
      </c>
      <c r="D439" s="15" t="s">
        <v>919</v>
      </c>
      <c r="E439" s="15" t="s">
        <v>954</v>
      </c>
    </row>
    <row r="440" spans="2:5">
      <c r="B440" s="15" t="s">
        <v>1317</v>
      </c>
      <c r="C440" s="15" t="s">
        <v>1318</v>
      </c>
      <c r="D440" s="15" t="s">
        <v>955</v>
      </c>
      <c r="E440" s="15" t="s">
        <v>956</v>
      </c>
    </row>
    <row r="441" ht="15.95" spans="2:2">
      <c r="B441" s="122" t="s">
        <v>1319</v>
      </c>
    </row>
    <row r="442" spans="2:5">
      <c r="B442" s="15" t="s">
        <v>1320</v>
      </c>
      <c r="C442" s="15" t="s">
        <v>1321</v>
      </c>
      <c r="D442" s="15" t="s">
        <v>635</v>
      </c>
      <c r="E442" s="15" t="s">
        <v>1322</v>
      </c>
    </row>
    <row r="443" spans="2:5">
      <c r="B443" s="15" t="s">
        <v>1320</v>
      </c>
      <c r="C443" s="15" t="s">
        <v>1321</v>
      </c>
      <c r="D443" s="15" t="s">
        <v>1323</v>
      </c>
      <c r="E443" s="15" t="s">
        <v>1324</v>
      </c>
    </row>
    <row r="444" spans="2:5">
      <c r="B444" s="15" t="s">
        <v>1320</v>
      </c>
      <c r="C444" s="15" t="s">
        <v>1321</v>
      </c>
      <c r="D444" s="15" t="s">
        <v>1325</v>
      </c>
      <c r="E444" s="15" t="s">
        <v>1326</v>
      </c>
    </row>
    <row r="445" spans="2:5">
      <c r="B445" s="15" t="s">
        <v>1320</v>
      </c>
      <c r="C445" s="15" t="s">
        <v>1321</v>
      </c>
      <c r="D445" s="15" t="s">
        <v>1327</v>
      </c>
      <c r="E445" s="15" t="s">
        <v>1328</v>
      </c>
    </row>
    <row r="446" spans="2:5">
      <c r="B446" s="15" t="s">
        <v>1320</v>
      </c>
      <c r="C446" s="15" t="s">
        <v>1321</v>
      </c>
      <c r="D446" s="15" t="s">
        <v>659</v>
      </c>
      <c r="E446" s="15" t="s">
        <v>1329</v>
      </c>
    </row>
    <row r="447" spans="2:5">
      <c r="B447" s="15" t="s">
        <v>1320</v>
      </c>
      <c r="C447" s="15" t="s">
        <v>1321</v>
      </c>
      <c r="D447" s="15" t="s">
        <v>679</v>
      </c>
      <c r="E447" s="15" t="s">
        <v>1330</v>
      </c>
    </row>
    <row r="448" spans="2:5">
      <c r="B448" s="15" t="s">
        <v>1320</v>
      </c>
      <c r="C448" s="15" t="s">
        <v>1321</v>
      </c>
      <c r="D448" s="15" t="s">
        <v>840</v>
      </c>
      <c r="E448" s="15" t="s">
        <v>1331</v>
      </c>
    </row>
    <row r="449" spans="2:5">
      <c r="B449" s="15" t="s">
        <v>1320</v>
      </c>
      <c r="C449" s="15" t="s">
        <v>1321</v>
      </c>
      <c r="D449" s="15" t="s">
        <v>842</v>
      </c>
      <c r="E449" s="15" t="s">
        <v>1332</v>
      </c>
    </row>
    <row r="450" spans="2:5">
      <c r="B450" s="15" t="s">
        <v>1320</v>
      </c>
      <c r="C450" s="15" t="s">
        <v>1321</v>
      </c>
      <c r="D450" s="15" t="s">
        <v>844</v>
      </c>
      <c r="E450" s="15" t="s">
        <v>1333</v>
      </c>
    </row>
    <row r="451" spans="2:5">
      <c r="B451" s="15" t="s">
        <v>1320</v>
      </c>
      <c r="C451" s="15" t="s">
        <v>1321</v>
      </c>
      <c r="D451" s="15" t="s">
        <v>846</v>
      </c>
      <c r="E451" s="15" t="s">
        <v>1334</v>
      </c>
    </row>
    <row r="452" ht="15.95" spans="2:2">
      <c r="B452" s="122" t="s">
        <v>1335</v>
      </c>
    </row>
    <row r="453" spans="2:5">
      <c r="B453" s="15" t="s">
        <v>1336</v>
      </c>
      <c r="C453" s="15" t="s">
        <v>896</v>
      </c>
      <c r="D453" s="15" t="s">
        <v>770</v>
      </c>
      <c r="E453" s="15" t="s">
        <v>1337</v>
      </c>
    </row>
    <row r="454" spans="2:5">
      <c r="B454" s="15" t="s">
        <v>1336</v>
      </c>
      <c r="C454" s="15" t="s">
        <v>896</v>
      </c>
      <c r="D454" s="15" t="s">
        <v>772</v>
      </c>
      <c r="E454" s="15" t="s">
        <v>1338</v>
      </c>
    </row>
    <row r="455" spans="2:5">
      <c r="B455" s="15" t="s">
        <v>1336</v>
      </c>
      <c r="C455" s="15" t="s">
        <v>896</v>
      </c>
      <c r="D455" s="15" t="s">
        <v>774</v>
      </c>
      <c r="E455" s="15" t="s">
        <v>1339</v>
      </c>
    </row>
    <row r="456" spans="2:5">
      <c r="B456" s="15" t="s">
        <v>1336</v>
      </c>
      <c r="C456" s="15" t="s">
        <v>896</v>
      </c>
      <c r="D456" s="15" t="s">
        <v>828</v>
      </c>
      <c r="E456" s="15" t="s">
        <v>1340</v>
      </c>
    </row>
    <row r="457" ht="15.95" spans="2:2">
      <c r="B457" s="122" t="s">
        <v>1341</v>
      </c>
    </row>
    <row r="458" spans="2:5">
      <c r="B458" s="15" t="s">
        <v>1342</v>
      </c>
      <c r="C458" s="15" t="s">
        <v>1342</v>
      </c>
      <c r="D458" s="15" t="s">
        <v>723</v>
      </c>
      <c r="E458" s="15" t="s">
        <v>1343</v>
      </c>
    </row>
    <row r="459" spans="2:5">
      <c r="B459" s="15" t="s">
        <v>1342</v>
      </c>
      <c r="C459" s="15" t="s">
        <v>1342</v>
      </c>
      <c r="D459" s="15" t="s">
        <v>725</v>
      </c>
      <c r="E459" s="15" t="s">
        <v>1344</v>
      </c>
    </row>
    <row r="460" spans="2:5">
      <c r="B460" s="15" t="s">
        <v>1342</v>
      </c>
      <c r="C460" s="15" t="s">
        <v>1342</v>
      </c>
      <c r="D460" s="15" t="s">
        <v>727</v>
      </c>
      <c r="E460" s="15" t="s">
        <v>1345</v>
      </c>
    </row>
    <row r="461" spans="2:5">
      <c r="B461" s="15" t="s">
        <v>1342</v>
      </c>
      <c r="C461" s="15" t="s">
        <v>1342</v>
      </c>
      <c r="D461" s="15" t="s">
        <v>729</v>
      </c>
      <c r="E461" s="15" t="s">
        <v>948</v>
      </c>
    </row>
    <row r="462" ht="15.95" spans="2:2">
      <c r="B462" s="122" t="s">
        <v>1346</v>
      </c>
    </row>
    <row r="463" spans="2:5">
      <c r="B463" s="15" t="s">
        <v>1347</v>
      </c>
      <c r="C463" s="15" t="s">
        <v>1348</v>
      </c>
      <c r="D463" s="15" t="s">
        <v>770</v>
      </c>
      <c r="E463" s="15" t="s">
        <v>1349</v>
      </c>
    </row>
    <row r="464" spans="2:5">
      <c r="B464" s="15" t="s">
        <v>1347</v>
      </c>
      <c r="C464" s="15" t="s">
        <v>1348</v>
      </c>
      <c r="D464" s="15" t="s">
        <v>772</v>
      </c>
      <c r="E464" s="15" t="s">
        <v>1350</v>
      </c>
    </row>
    <row r="465" spans="2:5">
      <c r="B465" s="15" t="s">
        <v>1347</v>
      </c>
      <c r="C465" s="15" t="s">
        <v>1348</v>
      </c>
      <c r="D465" s="15" t="s">
        <v>774</v>
      </c>
      <c r="E465" s="15" t="s">
        <v>1351</v>
      </c>
    </row>
    <row r="466" ht="15.95" spans="2:2">
      <c r="B466" s="122" t="s">
        <v>1352</v>
      </c>
    </row>
    <row r="467" spans="2:5">
      <c r="B467" s="15" t="s">
        <v>1353</v>
      </c>
      <c r="C467" s="15" t="s">
        <v>1354</v>
      </c>
      <c r="D467" s="15" t="s">
        <v>1267</v>
      </c>
      <c r="E467" s="15" t="s">
        <v>1355</v>
      </c>
    </row>
    <row r="468" spans="2:5">
      <c r="B468" s="15" t="s">
        <v>1353</v>
      </c>
      <c r="C468" s="15" t="s">
        <v>1354</v>
      </c>
      <c r="D468" s="15" t="s">
        <v>1269</v>
      </c>
      <c r="E468" s="15" t="s">
        <v>1356</v>
      </c>
    </row>
    <row r="469" ht="15.95" spans="2:2">
      <c r="B469" s="122" t="s">
        <v>1357</v>
      </c>
    </row>
    <row r="470" spans="2:5">
      <c r="B470" s="15" t="s">
        <v>1358</v>
      </c>
      <c r="C470" s="15" t="s">
        <v>1359</v>
      </c>
      <c r="D470" s="15" t="s">
        <v>770</v>
      </c>
      <c r="E470" s="15" t="s">
        <v>1360</v>
      </c>
    </row>
    <row r="471" spans="2:5">
      <c r="B471" s="15" t="s">
        <v>1358</v>
      </c>
      <c r="C471" s="15" t="s">
        <v>1359</v>
      </c>
      <c r="D471" s="15" t="s">
        <v>1361</v>
      </c>
      <c r="E471" s="15" t="s">
        <v>1362</v>
      </c>
    </row>
    <row r="472" spans="2:5">
      <c r="B472" s="15" t="s">
        <v>1358</v>
      </c>
      <c r="C472" s="15" t="s">
        <v>1359</v>
      </c>
      <c r="D472" s="15" t="s">
        <v>1363</v>
      </c>
      <c r="E472" s="15" t="s">
        <v>1364</v>
      </c>
    </row>
    <row r="473" spans="2:5">
      <c r="B473" s="15" t="s">
        <v>1358</v>
      </c>
      <c r="C473" s="15" t="s">
        <v>1359</v>
      </c>
      <c r="D473" s="15" t="s">
        <v>1365</v>
      </c>
      <c r="E473" s="15" t="s">
        <v>1366</v>
      </c>
    </row>
    <row r="474" spans="2:5">
      <c r="B474" s="15" t="s">
        <v>1358</v>
      </c>
      <c r="C474" s="15" t="s">
        <v>1359</v>
      </c>
      <c r="D474" s="15" t="s">
        <v>1367</v>
      </c>
      <c r="E474" s="15" t="s">
        <v>1368</v>
      </c>
    </row>
    <row r="475" spans="2:5">
      <c r="B475" s="15" t="s">
        <v>1358</v>
      </c>
      <c r="C475" s="15" t="s">
        <v>1359</v>
      </c>
      <c r="D475" s="15" t="s">
        <v>1369</v>
      </c>
      <c r="E475" s="15" t="s">
        <v>1370</v>
      </c>
    </row>
    <row r="476" spans="2:5">
      <c r="B476" s="15" t="s">
        <v>1358</v>
      </c>
      <c r="C476" s="15" t="s">
        <v>1359</v>
      </c>
      <c r="D476" s="15" t="s">
        <v>1371</v>
      </c>
      <c r="E476" s="15" t="s">
        <v>1362</v>
      </c>
    </row>
    <row r="477" spans="2:5">
      <c r="B477" s="15" t="s">
        <v>1358</v>
      </c>
      <c r="C477" s="15" t="s">
        <v>1359</v>
      </c>
      <c r="D477" s="15" t="s">
        <v>1372</v>
      </c>
      <c r="E477" s="15" t="s">
        <v>1373</v>
      </c>
    </row>
    <row r="478" spans="2:5">
      <c r="B478" s="15" t="s">
        <v>1358</v>
      </c>
      <c r="C478" s="15" t="s">
        <v>1359</v>
      </c>
      <c r="D478" s="15" t="s">
        <v>1374</v>
      </c>
      <c r="E478" s="15" t="s">
        <v>1362</v>
      </c>
    </row>
    <row r="479" spans="2:5">
      <c r="B479" s="15" t="s">
        <v>1358</v>
      </c>
      <c r="C479" s="15" t="s">
        <v>1359</v>
      </c>
      <c r="D479" s="15" t="s">
        <v>1375</v>
      </c>
      <c r="E479" s="15" t="s">
        <v>1364</v>
      </c>
    </row>
    <row r="480" spans="2:5">
      <c r="B480" s="15" t="s">
        <v>1358</v>
      </c>
      <c r="C480" s="15" t="s">
        <v>1359</v>
      </c>
      <c r="D480" s="15" t="s">
        <v>1376</v>
      </c>
      <c r="E480" s="15" t="s">
        <v>1370</v>
      </c>
    </row>
    <row r="481" spans="2:5">
      <c r="B481" s="15" t="s">
        <v>1358</v>
      </c>
      <c r="C481" s="15" t="s">
        <v>1359</v>
      </c>
      <c r="D481" s="15" t="s">
        <v>772</v>
      </c>
      <c r="E481" s="15" t="s">
        <v>1377</v>
      </c>
    </row>
    <row r="482" spans="2:5">
      <c r="B482" s="15" t="s">
        <v>1358</v>
      </c>
      <c r="C482" s="15" t="s">
        <v>1359</v>
      </c>
      <c r="D482" s="15" t="s">
        <v>1378</v>
      </c>
      <c r="E482" s="15" t="s">
        <v>1379</v>
      </c>
    </row>
    <row r="483" spans="2:5">
      <c r="B483" s="15" t="s">
        <v>1358</v>
      </c>
      <c r="C483" s="15" t="s">
        <v>1359</v>
      </c>
      <c r="D483" s="15" t="s">
        <v>1380</v>
      </c>
      <c r="E483" s="15" t="s">
        <v>1381</v>
      </c>
    </row>
    <row r="484" spans="2:5">
      <c r="B484" s="15" t="s">
        <v>1358</v>
      </c>
      <c r="C484" s="15" t="s">
        <v>1359</v>
      </c>
      <c r="D484" s="15" t="s">
        <v>1382</v>
      </c>
      <c r="E484" s="15" t="s">
        <v>959</v>
      </c>
    </row>
    <row r="485" spans="2:5">
      <c r="B485" s="15" t="s">
        <v>1358</v>
      </c>
      <c r="C485" s="15" t="s">
        <v>1359</v>
      </c>
      <c r="D485" s="15" t="s">
        <v>774</v>
      </c>
      <c r="E485" s="15" t="s">
        <v>1383</v>
      </c>
    </row>
    <row r="486" spans="2:5">
      <c r="B486" s="15" t="s">
        <v>1358</v>
      </c>
      <c r="C486" s="15" t="s">
        <v>1359</v>
      </c>
      <c r="D486" s="15" t="s">
        <v>1384</v>
      </c>
      <c r="E486" s="15" t="s">
        <v>1385</v>
      </c>
    </row>
    <row r="487" spans="2:5">
      <c r="B487" s="15" t="s">
        <v>1358</v>
      </c>
      <c r="C487" s="15" t="s">
        <v>1359</v>
      </c>
      <c r="D487" s="15" t="s">
        <v>1386</v>
      </c>
      <c r="E487" s="15" t="s">
        <v>1387</v>
      </c>
    </row>
    <row r="488" spans="2:5">
      <c r="B488" s="15" t="s">
        <v>1358</v>
      </c>
      <c r="C488" s="15" t="s">
        <v>1359</v>
      </c>
      <c r="D488" s="15" t="s">
        <v>1388</v>
      </c>
      <c r="E488" s="15" t="s">
        <v>1389</v>
      </c>
    </row>
    <row r="489" spans="2:5">
      <c r="B489" s="15" t="s">
        <v>1358</v>
      </c>
      <c r="C489" s="15" t="s">
        <v>1359</v>
      </c>
      <c r="D489" s="15" t="s">
        <v>1390</v>
      </c>
      <c r="E489" s="15" t="s">
        <v>1366</v>
      </c>
    </row>
    <row r="490" spans="2:5">
      <c r="B490" s="15" t="s">
        <v>1358</v>
      </c>
      <c r="C490" s="15" t="s">
        <v>1359</v>
      </c>
      <c r="D490" s="15" t="s">
        <v>1391</v>
      </c>
      <c r="E490" s="15" t="s">
        <v>1392</v>
      </c>
    </row>
    <row r="491" spans="2:5">
      <c r="B491" s="15" t="s">
        <v>1358</v>
      </c>
      <c r="C491" s="15" t="s">
        <v>1359</v>
      </c>
      <c r="D491" s="15" t="s">
        <v>1393</v>
      </c>
      <c r="E491" s="15" t="s">
        <v>1387</v>
      </c>
    </row>
    <row r="492" spans="2:5">
      <c r="B492" s="15" t="s">
        <v>1358</v>
      </c>
      <c r="C492" s="15" t="s">
        <v>1359</v>
      </c>
      <c r="D492" s="15" t="s">
        <v>1394</v>
      </c>
      <c r="E492" s="15" t="s">
        <v>1389</v>
      </c>
    </row>
    <row r="493" spans="2:5">
      <c r="B493" s="15" t="s">
        <v>1358</v>
      </c>
      <c r="C493" s="15" t="s">
        <v>1359</v>
      </c>
      <c r="D493" s="15" t="s">
        <v>1395</v>
      </c>
      <c r="E493" s="15" t="s">
        <v>1396</v>
      </c>
    </row>
    <row r="494" spans="2:5">
      <c r="B494" s="15" t="s">
        <v>1358</v>
      </c>
      <c r="C494" s="15" t="s">
        <v>1359</v>
      </c>
      <c r="D494" s="15" t="s">
        <v>1397</v>
      </c>
      <c r="E494" s="15" t="s">
        <v>1398</v>
      </c>
    </row>
    <row r="495" spans="2:5">
      <c r="B495" s="15" t="s">
        <v>1358</v>
      </c>
      <c r="C495" s="15" t="s">
        <v>1359</v>
      </c>
      <c r="D495" s="15" t="s">
        <v>1399</v>
      </c>
      <c r="E495" s="15" t="s">
        <v>1400</v>
      </c>
    </row>
    <row r="496" spans="2:5">
      <c r="B496" s="15" t="s">
        <v>1358</v>
      </c>
      <c r="C496" s="15" t="s">
        <v>1359</v>
      </c>
      <c r="D496" s="15" t="s">
        <v>1401</v>
      </c>
      <c r="E496" s="15" t="s">
        <v>1274</v>
      </c>
    </row>
    <row r="497" spans="2:5">
      <c r="B497" s="15" t="s">
        <v>1358</v>
      </c>
      <c r="C497" s="15" t="s">
        <v>1359</v>
      </c>
      <c r="D497" s="15" t="s">
        <v>1402</v>
      </c>
      <c r="E497" s="15" t="s">
        <v>1403</v>
      </c>
    </row>
    <row r="498" spans="2:5">
      <c r="B498" s="15" t="s">
        <v>1358</v>
      </c>
      <c r="C498" s="15" t="s">
        <v>1359</v>
      </c>
      <c r="D498" s="15" t="s">
        <v>1404</v>
      </c>
      <c r="E498" s="15" t="s">
        <v>948</v>
      </c>
    </row>
    <row r="499" spans="2:5">
      <c r="B499" s="15" t="s">
        <v>1358</v>
      </c>
      <c r="C499" s="15" t="s">
        <v>1359</v>
      </c>
      <c r="D499" s="15" t="s">
        <v>828</v>
      </c>
      <c r="E499" s="15" t="s">
        <v>1405</v>
      </c>
    </row>
    <row r="500" spans="2:5">
      <c r="B500" s="15" t="s">
        <v>1358</v>
      </c>
      <c r="C500" s="15" t="s">
        <v>1359</v>
      </c>
      <c r="D500" s="15" t="s">
        <v>901</v>
      </c>
      <c r="E500" s="15" t="s">
        <v>1406</v>
      </c>
    </row>
    <row r="501" spans="2:5">
      <c r="B501" s="15" t="s">
        <v>1358</v>
      </c>
      <c r="C501" s="15" t="s">
        <v>1359</v>
      </c>
      <c r="D501" s="15" t="s">
        <v>776</v>
      </c>
      <c r="E501" s="15" t="s">
        <v>1407</v>
      </c>
    </row>
    <row r="502" spans="2:5">
      <c r="B502" s="15" t="s">
        <v>1358</v>
      </c>
      <c r="C502" s="15" t="s">
        <v>1359</v>
      </c>
      <c r="D502" s="15" t="s">
        <v>1290</v>
      </c>
      <c r="E502" s="15" t="s">
        <v>1408</v>
      </c>
    </row>
    <row r="503" spans="2:5">
      <c r="B503" s="15" t="s">
        <v>1358</v>
      </c>
      <c r="C503" s="15" t="s">
        <v>1359</v>
      </c>
      <c r="D503" s="15" t="s">
        <v>1409</v>
      </c>
      <c r="E503" s="15" t="s">
        <v>1410</v>
      </c>
    </row>
    <row r="504" spans="2:5">
      <c r="B504" s="15" t="s">
        <v>1358</v>
      </c>
      <c r="C504" s="15" t="s">
        <v>1359</v>
      </c>
      <c r="D504" s="15" t="s">
        <v>1411</v>
      </c>
      <c r="E504" s="15" t="s">
        <v>1412</v>
      </c>
    </row>
    <row r="505" ht="15.95" spans="2:2">
      <c r="B505" s="122" t="s">
        <v>1413</v>
      </c>
    </row>
    <row r="506" spans="2:5">
      <c r="B506" s="15" t="s">
        <v>1414</v>
      </c>
      <c r="C506" s="15" t="s">
        <v>1415</v>
      </c>
      <c r="D506" s="15" t="s">
        <v>933</v>
      </c>
      <c r="E506" s="15" t="s">
        <v>1416</v>
      </c>
    </row>
    <row r="507" spans="2:5">
      <c r="B507" s="15" t="s">
        <v>1414</v>
      </c>
      <c r="C507" s="15" t="s">
        <v>1415</v>
      </c>
      <c r="D507" s="15" t="s">
        <v>937</v>
      </c>
      <c r="E507" s="15" t="s">
        <v>1417</v>
      </c>
    </row>
    <row r="508" spans="2:5">
      <c r="B508" s="15" t="s">
        <v>1414</v>
      </c>
      <c r="C508" s="15" t="s">
        <v>1415</v>
      </c>
      <c r="D508" s="15" t="s">
        <v>939</v>
      </c>
      <c r="E508" s="15" t="s">
        <v>1418</v>
      </c>
    </row>
    <row r="509" ht="15.95" spans="2:2">
      <c r="B509" s="122" t="s">
        <v>1419</v>
      </c>
    </row>
    <row r="510" spans="2:5">
      <c r="B510" s="15" t="s">
        <v>1420</v>
      </c>
      <c r="C510" s="15" t="s">
        <v>1421</v>
      </c>
      <c r="D510" s="15" t="s">
        <v>770</v>
      </c>
      <c r="E510" s="15" t="s">
        <v>1422</v>
      </c>
    </row>
    <row r="511" spans="2:5">
      <c r="B511" s="15" t="s">
        <v>1420</v>
      </c>
      <c r="C511" s="15" t="s">
        <v>1421</v>
      </c>
      <c r="D511" s="15" t="s">
        <v>772</v>
      </c>
      <c r="E511" s="15" t="s">
        <v>1423</v>
      </c>
    </row>
    <row r="512" spans="2:5">
      <c r="B512" s="15" t="s">
        <v>1420</v>
      </c>
      <c r="C512" s="15" t="s">
        <v>1421</v>
      </c>
      <c r="D512" s="15" t="s">
        <v>774</v>
      </c>
      <c r="E512" s="15" t="s">
        <v>1424</v>
      </c>
    </row>
    <row r="513" spans="2:5">
      <c r="B513" s="15" t="s">
        <v>1420</v>
      </c>
      <c r="C513" s="15" t="s">
        <v>1421</v>
      </c>
      <c r="D513" s="15" t="s">
        <v>828</v>
      </c>
      <c r="E513" s="15" t="s">
        <v>1425</v>
      </c>
    </row>
    <row r="514" spans="2:5">
      <c r="B514" s="15" t="s">
        <v>1420</v>
      </c>
      <c r="C514" s="15" t="s">
        <v>1421</v>
      </c>
      <c r="D514" s="15" t="s">
        <v>901</v>
      </c>
      <c r="E514" s="15" t="s">
        <v>235</v>
      </c>
    </row>
    <row r="515" ht="15.95" spans="2:2">
      <c r="B515" s="122" t="s">
        <v>1426</v>
      </c>
    </row>
    <row r="516" spans="2:5">
      <c r="B516" s="15" t="s">
        <v>1427</v>
      </c>
      <c r="C516" s="15" t="s">
        <v>1428</v>
      </c>
      <c r="D516" s="15" t="s">
        <v>917</v>
      </c>
      <c r="E516" s="15" t="s">
        <v>918</v>
      </c>
    </row>
    <row r="517" spans="2:5">
      <c r="B517" s="15" t="s">
        <v>1427</v>
      </c>
      <c r="C517" s="15" t="s">
        <v>1428</v>
      </c>
      <c r="D517" s="15" t="s">
        <v>919</v>
      </c>
      <c r="E517" s="15" t="s">
        <v>954</v>
      </c>
    </row>
    <row r="518" spans="2:5">
      <c r="B518" s="15" t="s">
        <v>1427</v>
      </c>
      <c r="C518" s="15" t="s">
        <v>1428</v>
      </c>
      <c r="D518" s="15" t="s">
        <v>955</v>
      </c>
      <c r="E518" s="15" t="s">
        <v>956</v>
      </c>
    </row>
    <row r="519" ht="15.95" spans="2:2">
      <c r="B519" s="122" t="s">
        <v>1429</v>
      </c>
    </row>
    <row r="520" spans="2:5">
      <c r="B520" s="15" t="s">
        <v>1430</v>
      </c>
      <c r="C520" s="15" t="s">
        <v>1430</v>
      </c>
      <c r="D520" s="15" t="s">
        <v>723</v>
      </c>
      <c r="E520" s="15" t="s">
        <v>1431</v>
      </c>
    </row>
    <row r="521" spans="2:5">
      <c r="B521" s="15" t="s">
        <v>1430</v>
      </c>
      <c r="C521" s="15" t="s">
        <v>1430</v>
      </c>
      <c r="D521" s="15" t="s">
        <v>725</v>
      </c>
      <c r="E521" s="15" t="s">
        <v>1432</v>
      </c>
    </row>
    <row r="522" spans="2:5">
      <c r="B522" s="15" t="s">
        <v>1430</v>
      </c>
      <c r="C522" s="15" t="s">
        <v>1430</v>
      </c>
      <c r="D522" s="15" t="s">
        <v>727</v>
      </c>
      <c r="E522" s="15" t="s">
        <v>723</v>
      </c>
    </row>
    <row r="523" spans="2:5">
      <c r="B523" s="15" t="s">
        <v>1430</v>
      </c>
      <c r="C523" s="15" t="s">
        <v>1430</v>
      </c>
      <c r="D523" s="15" t="s">
        <v>729</v>
      </c>
      <c r="E523" s="15" t="s">
        <v>725</v>
      </c>
    </row>
    <row r="524" ht="15.95" spans="2:2">
      <c r="B524" s="122" t="s">
        <v>1433</v>
      </c>
    </row>
    <row r="525" spans="2:5">
      <c r="B525" s="15" t="s">
        <v>1434</v>
      </c>
      <c r="C525" s="15" t="s">
        <v>1435</v>
      </c>
      <c r="D525" s="15" t="s">
        <v>1436</v>
      </c>
      <c r="E525" s="15" t="s">
        <v>1437</v>
      </c>
    </row>
    <row r="526" spans="2:5">
      <c r="B526" s="15" t="s">
        <v>1434</v>
      </c>
      <c r="C526" s="15" t="s">
        <v>1435</v>
      </c>
      <c r="D526" s="15" t="s">
        <v>1438</v>
      </c>
      <c r="E526" s="15" t="s">
        <v>1439</v>
      </c>
    </row>
    <row r="527" spans="2:5">
      <c r="B527" s="15" t="s">
        <v>1434</v>
      </c>
      <c r="C527" s="15" t="s">
        <v>1435</v>
      </c>
      <c r="D527" s="15" t="s">
        <v>1440</v>
      </c>
      <c r="E527" s="15" t="s">
        <v>1441</v>
      </c>
    </row>
    <row r="528" spans="2:5">
      <c r="B528" s="15" t="s">
        <v>1434</v>
      </c>
      <c r="C528" s="15" t="s">
        <v>1435</v>
      </c>
      <c r="D528" s="15" t="s">
        <v>1442</v>
      </c>
      <c r="E528" s="15" t="s">
        <v>1443</v>
      </c>
    </row>
    <row r="529" ht="15.95" spans="2:2">
      <c r="B529" s="122" t="s">
        <v>1444</v>
      </c>
    </row>
    <row r="530" spans="2:5">
      <c r="B530" s="15" t="s">
        <v>1445</v>
      </c>
      <c r="C530" s="15" t="s">
        <v>896</v>
      </c>
      <c r="D530" s="15" t="s">
        <v>723</v>
      </c>
      <c r="E530" s="15" t="s">
        <v>1446</v>
      </c>
    </row>
    <row r="531" spans="2:5">
      <c r="B531" s="15" t="s">
        <v>1445</v>
      </c>
      <c r="C531" s="15" t="s">
        <v>896</v>
      </c>
      <c r="D531" s="15" t="s">
        <v>725</v>
      </c>
      <c r="E531" s="15" t="s">
        <v>1203</v>
      </c>
    </row>
    <row r="532" spans="2:5">
      <c r="B532" s="15" t="s">
        <v>1445</v>
      </c>
      <c r="C532" s="15" t="s">
        <v>896</v>
      </c>
      <c r="D532" s="15" t="s">
        <v>727</v>
      </c>
      <c r="E532" s="15" t="s">
        <v>1447</v>
      </c>
    </row>
    <row r="533" ht="15.95" spans="2:2">
      <c r="B533" s="122" t="s">
        <v>1448</v>
      </c>
    </row>
    <row r="534" spans="2:5">
      <c r="B534" s="15" t="s">
        <v>1449</v>
      </c>
      <c r="C534" s="15" t="s">
        <v>896</v>
      </c>
      <c r="D534" s="15" t="s">
        <v>770</v>
      </c>
      <c r="E534" s="15" t="s">
        <v>1450</v>
      </c>
    </row>
    <row r="535" spans="2:5">
      <c r="B535" s="15" t="s">
        <v>1449</v>
      </c>
      <c r="C535" s="15" t="s">
        <v>896</v>
      </c>
      <c r="D535" s="15" t="s">
        <v>772</v>
      </c>
      <c r="E535" s="15" t="s">
        <v>1451</v>
      </c>
    </row>
    <row r="536" spans="2:5">
      <c r="B536" s="15" t="s">
        <v>1449</v>
      </c>
      <c r="C536" s="15" t="s">
        <v>896</v>
      </c>
      <c r="D536" s="15" t="s">
        <v>774</v>
      </c>
      <c r="E536" s="15" t="s">
        <v>1452</v>
      </c>
    </row>
    <row r="537" ht="15.95" spans="2:2">
      <c r="B537" s="122" t="s">
        <v>1453</v>
      </c>
    </row>
    <row r="538" spans="2:5">
      <c r="B538" s="15" t="s">
        <v>1454</v>
      </c>
      <c r="C538" s="15" t="s">
        <v>1455</v>
      </c>
      <c r="D538" s="15" t="s">
        <v>635</v>
      </c>
      <c r="E538" s="15" t="s">
        <v>1456</v>
      </c>
    </row>
    <row r="539" spans="2:5">
      <c r="B539" s="15" t="s">
        <v>1454</v>
      </c>
      <c r="C539" s="15" t="s">
        <v>1455</v>
      </c>
      <c r="D539" s="15" t="s">
        <v>659</v>
      </c>
      <c r="E539" s="15" t="s">
        <v>1457</v>
      </c>
    </row>
    <row r="540" spans="2:5">
      <c r="B540" s="15" t="s">
        <v>1454</v>
      </c>
      <c r="C540" s="15" t="s">
        <v>1455</v>
      </c>
      <c r="D540" s="15" t="s">
        <v>679</v>
      </c>
      <c r="E540" s="15" t="s">
        <v>1458</v>
      </c>
    </row>
    <row r="541" spans="2:5">
      <c r="B541" s="15" t="s">
        <v>1454</v>
      </c>
      <c r="C541" s="15" t="s">
        <v>1455</v>
      </c>
      <c r="D541" s="15" t="s">
        <v>705</v>
      </c>
      <c r="E541" s="15" t="s">
        <v>1459</v>
      </c>
    </row>
    <row r="542" spans="2:5">
      <c r="B542" s="15" t="s">
        <v>1454</v>
      </c>
      <c r="C542" s="15" t="s">
        <v>1455</v>
      </c>
      <c r="D542" s="15" t="s">
        <v>709</v>
      </c>
      <c r="E542" s="15" t="s">
        <v>1460</v>
      </c>
    </row>
    <row r="543" spans="2:5">
      <c r="B543" s="15" t="s">
        <v>1454</v>
      </c>
      <c r="C543" s="15" t="s">
        <v>1455</v>
      </c>
      <c r="D543" s="15" t="s">
        <v>1461</v>
      </c>
      <c r="E543" s="15" t="s">
        <v>1462</v>
      </c>
    </row>
    <row r="544" spans="2:5">
      <c r="B544" s="15" t="s">
        <v>1454</v>
      </c>
      <c r="C544" s="15" t="s">
        <v>1455</v>
      </c>
      <c r="D544" s="15" t="s">
        <v>838</v>
      </c>
      <c r="E544" s="15" t="s">
        <v>1463</v>
      </c>
    </row>
    <row r="545" spans="2:5">
      <c r="B545" s="15" t="s">
        <v>1454</v>
      </c>
      <c r="C545" s="15" t="s">
        <v>1455</v>
      </c>
      <c r="D545" s="15" t="s">
        <v>1464</v>
      </c>
      <c r="E545" s="15" t="s">
        <v>1465</v>
      </c>
    </row>
    <row r="546" spans="2:5">
      <c r="B546" s="15" t="s">
        <v>1454</v>
      </c>
      <c r="C546" s="15" t="s">
        <v>1455</v>
      </c>
      <c r="D546" s="15" t="s">
        <v>1466</v>
      </c>
      <c r="E546" s="15" t="s">
        <v>1467</v>
      </c>
    </row>
    <row r="547" spans="2:5">
      <c r="B547" s="15" t="s">
        <v>1454</v>
      </c>
      <c r="C547" s="15" t="s">
        <v>1455</v>
      </c>
      <c r="D547" s="15" t="s">
        <v>1468</v>
      </c>
      <c r="E547" s="15" t="s">
        <v>1469</v>
      </c>
    </row>
    <row r="548" spans="2:5">
      <c r="B548" s="15" t="s">
        <v>1454</v>
      </c>
      <c r="C548" s="15" t="s">
        <v>1455</v>
      </c>
      <c r="D548" s="15" t="s">
        <v>1470</v>
      </c>
      <c r="E548" s="15" t="s">
        <v>1471</v>
      </c>
    </row>
    <row r="549" spans="2:5">
      <c r="B549" s="15" t="s">
        <v>1454</v>
      </c>
      <c r="C549" s="15" t="s">
        <v>1455</v>
      </c>
      <c r="D549" s="15" t="s">
        <v>1472</v>
      </c>
      <c r="E549" s="15" t="s">
        <v>1473</v>
      </c>
    </row>
    <row r="550" spans="2:5">
      <c r="B550" s="15" t="s">
        <v>1454</v>
      </c>
      <c r="C550" s="15" t="s">
        <v>1455</v>
      </c>
      <c r="D550" s="15" t="s">
        <v>840</v>
      </c>
      <c r="E550" s="15" t="s">
        <v>1474</v>
      </c>
    </row>
    <row r="551" ht="15.95" spans="2:2">
      <c r="B551" s="122" t="s">
        <v>1475</v>
      </c>
    </row>
    <row r="552" spans="2:5">
      <c r="B552" s="15" t="s">
        <v>1476</v>
      </c>
      <c r="C552" s="15" t="s">
        <v>1477</v>
      </c>
      <c r="D552" s="15" t="s">
        <v>1478</v>
      </c>
      <c r="E552" s="15" t="s">
        <v>1479</v>
      </c>
    </row>
    <row r="553" spans="2:5">
      <c r="B553" s="15" t="s">
        <v>1476</v>
      </c>
      <c r="C553" s="15" t="s">
        <v>1477</v>
      </c>
      <c r="D553" s="15" t="s">
        <v>1480</v>
      </c>
      <c r="E553" s="15" t="s">
        <v>1481</v>
      </c>
    </row>
    <row r="554" spans="2:5">
      <c r="B554" s="15" t="s">
        <v>1476</v>
      </c>
      <c r="C554" s="15" t="s">
        <v>1477</v>
      </c>
      <c r="D554" s="15" t="s">
        <v>1482</v>
      </c>
      <c r="E554" s="15" t="s">
        <v>1483</v>
      </c>
    </row>
    <row r="555" spans="2:5">
      <c r="B555" s="15" t="s">
        <v>1476</v>
      </c>
      <c r="C555" s="15" t="s">
        <v>1477</v>
      </c>
      <c r="D555" s="15" t="s">
        <v>1484</v>
      </c>
      <c r="E555" s="15" t="s">
        <v>1485</v>
      </c>
    </row>
    <row r="556" spans="2:5">
      <c r="B556" s="15" t="s">
        <v>1476</v>
      </c>
      <c r="C556" s="15" t="s">
        <v>1477</v>
      </c>
      <c r="D556" s="15" t="s">
        <v>1486</v>
      </c>
      <c r="E556" s="15" t="s">
        <v>1487</v>
      </c>
    </row>
    <row r="557" spans="2:5">
      <c r="B557" s="15" t="s">
        <v>1476</v>
      </c>
      <c r="C557" s="15" t="s">
        <v>1477</v>
      </c>
      <c r="D557" s="15" t="s">
        <v>1488</v>
      </c>
      <c r="E557" s="15" t="s">
        <v>1489</v>
      </c>
    </row>
    <row r="558" ht="15.95" spans="2:2">
      <c r="B558" s="122" t="s">
        <v>1490</v>
      </c>
    </row>
    <row r="559" spans="2:5">
      <c r="B559" s="15" t="s">
        <v>1491</v>
      </c>
      <c r="C559" s="15" t="s">
        <v>1407</v>
      </c>
      <c r="D559" s="15" t="s">
        <v>770</v>
      </c>
      <c r="E559" s="15" t="s">
        <v>1492</v>
      </c>
    </row>
    <row r="560" spans="2:5">
      <c r="B560" s="15" t="s">
        <v>1491</v>
      </c>
      <c r="C560" s="15" t="s">
        <v>1407</v>
      </c>
      <c r="D560" s="15" t="s">
        <v>772</v>
      </c>
      <c r="E560" s="15" t="s">
        <v>1493</v>
      </c>
    </row>
    <row r="561" spans="2:5">
      <c r="B561" s="15" t="s">
        <v>1491</v>
      </c>
      <c r="C561" s="15" t="s">
        <v>1407</v>
      </c>
      <c r="D561" s="15" t="s">
        <v>774</v>
      </c>
      <c r="E561" s="15" t="s">
        <v>1494</v>
      </c>
    </row>
    <row r="562" spans="2:5">
      <c r="B562" s="15" t="s">
        <v>1491</v>
      </c>
      <c r="C562" s="15" t="s">
        <v>1407</v>
      </c>
      <c r="D562" s="15" t="s">
        <v>828</v>
      </c>
      <c r="E562" s="15" t="s">
        <v>1495</v>
      </c>
    </row>
    <row r="563" spans="2:5">
      <c r="B563" s="15" t="s">
        <v>1491</v>
      </c>
      <c r="C563" s="15" t="s">
        <v>1407</v>
      </c>
      <c r="D563" s="15" t="s">
        <v>901</v>
      </c>
      <c r="E563" s="15" t="s">
        <v>1412</v>
      </c>
    </row>
    <row r="564" ht="15.95" spans="2:2">
      <c r="B564" s="122" t="s">
        <v>1496</v>
      </c>
    </row>
    <row r="565" spans="2:5">
      <c r="B565" s="15" t="s">
        <v>1497</v>
      </c>
      <c r="C565" s="15" t="s">
        <v>1498</v>
      </c>
      <c r="D565" s="15" t="s">
        <v>1432</v>
      </c>
      <c r="E565" s="15" t="s">
        <v>1439</v>
      </c>
    </row>
    <row r="566" spans="2:5">
      <c r="B566" s="15" t="s">
        <v>1497</v>
      </c>
      <c r="C566" s="15" t="s">
        <v>1498</v>
      </c>
      <c r="D566" s="15" t="s">
        <v>723</v>
      </c>
      <c r="E566" s="15" t="s">
        <v>1499</v>
      </c>
    </row>
    <row r="567" spans="2:5">
      <c r="B567" s="15" t="s">
        <v>1497</v>
      </c>
      <c r="C567" s="15" t="s">
        <v>1498</v>
      </c>
      <c r="D567" s="15" t="s">
        <v>725</v>
      </c>
      <c r="E567" s="15" t="s">
        <v>1500</v>
      </c>
    </row>
    <row r="568" ht="15.95" spans="2:2">
      <c r="B568" s="122" t="s">
        <v>1501</v>
      </c>
    </row>
    <row r="569" spans="2:5">
      <c r="B569" s="15" t="s">
        <v>1502</v>
      </c>
      <c r="C569" s="15" t="s">
        <v>1503</v>
      </c>
      <c r="D569" s="15" t="s">
        <v>917</v>
      </c>
      <c r="E569" s="15" t="s">
        <v>1504</v>
      </c>
    </row>
    <row r="570" spans="2:5">
      <c r="B570" s="15" t="s">
        <v>1502</v>
      </c>
      <c r="C570" s="15" t="s">
        <v>1503</v>
      </c>
      <c r="D570" s="15" t="s">
        <v>919</v>
      </c>
      <c r="E570" s="15" t="s">
        <v>1505</v>
      </c>
    </row>
    <row r="571" spans="2:5">
      <c r="B571" s="15" t="s">
        <v>1502</v>
      </c>
      <c r="C571" s="15" t="s">
        <v>1503</v>
      </c>
      <c r="D571" s="15" t="s">
        <v>1091</v>
      </c>
      <c r="E571" s="15" t="s">
        <v>1506</v>
      </c>
    </row>
    <row r="572" spans="2:5">
      <c r="B572" s="15" t="s">
        <v>1502</v>
      </c>
      <c r="C572" s="15" t="s">
        <v>1503</v>
      </c>
      <c r="D572" s="15" t="s">
        <v>921</v>
      </c>
      <c r="E572" s="15" t="s">
        <v>1507</v>
      </c>
    </row>
    <row r="573" ht="15.95" spans="2:2">
      <c r="B573" s="122" t="s">
        <v>1508</v>
      </c>
    </row>
    <row r="574" spans="2:5">
      <c r="B574" s="15" t="s">
        <v>1509</v>
      </c>
      <c r="C574" s="15" t="s">
        <v>1510</v>
      </c>
      <c r="D574" s="15" t="s">
        <v>770</v>
      </c>
      <c r="E574" s="15" t="s">
        <v>1511</v>
      </c>
    </row>
    <row r="575" spans="2:5">
      <c r="B575" s="15" t="s">
        <v>1509</v>
      </c>
      <c r="C575" s="15" t="s">
        <v>1510</v>
      </c>
      <c r="D575" s="15" t="s">
        <v>772</v>
      </c>
      <c r="E575" s="15" t="s">
        <v>1512</v>
      </c>
    </row>
    <row r="576" spans="2:5">
      <c r="B576" s="15" t="s">
        <v>1509</v>
      </c>
      <c r="C576" s="15" t="s">
        <v>1510</v>
      </c>
      <c r="D576" s="15" t="s">
        <v>774</v>
      </c>
      <c r="E576" s="15" t="s">
        <v>1513</v>
      </c>
    </row>
    <row r="577" spans="2:5">
      <c r="B577" s="15" t="s">
        <v>1509</v>
      </c>
      <c r="C577" s="15" t="s">
        <v>1510</v>
      </c>
      <c r="D577" s="15" t="s">
        <v>828</v>
      </c>
      <c r="E577" s="15" t="s">
        <v>1514</v>
      </c>
    </row>
    <row r="578" spans="2:5">
      <c r="B578" s="15" t="s">
        <v>1509</v>
      </c>
      <c r="C578" s="15" t="s">
        <v>1510</v>
      </c>
      <c r="D578" s="15" t="s">
        <v>901</v>
      </c>
      <c r="E578" s="15" t="s">
        <v>1515</v>
      </c>
    </row>
    <row r="579" ht="15.95" spans="2:2">
      <c r="B579" s="122" t="s">
        <v>1516</v>
      </c>
    </row>
    <row r="580" spans="2:5">
      <c r="B580" s="15" t="s">
        <v>1517</v>
      </c>
      <c r="C580" s="15" t="s">
        <v>1518</v>
      </c>
      <c r="D580" s="15" t="s">
        <v>785</v>
      </c>
      <c r="E580" s="15" t="s">
        <v>1519</v>
      </c>
    </row>
    <row r="581" spans="2:5">
      <c r="B581" s="15" t="s">
        <v>1517</v>
      </c>
      <c r="C581" s="15" t="s">
        <v>1518</v>
      </c>
      <c r="D581" s="15" t="s">
        <v>787</v>
      </c>
      <c r="E581" s="15" t="s">
        <v>1520</v>
      </c>
    </row>
    <row r="582" spans="2:5">
      <c r="B582" s="15" t="s">
        <v>1517</v>
      </c>
      <c r="C582" s="15" t="s">
        <v>1518</v>
      </c>
      <c r="D582" s="15" t="s">
        <v>789</v>
      </c>
      <c r="E582" s="15" t="s">
        <v>1521</v>
      </c>
    </row>
    <row r="583" spans="2:5">
      <c r="B583" s="15" t="s">
        <v>1517</v>
      </c>
      <c r="C583" s="15" t="s">
        <v>1518</v>
      </c>
      <c r="D583" s="15" t="s">
        <v>791</v>
      </c>
      <c r="E583" s="15" t="s">
        <v>1522</v>
      </c>
    </row>
    <row r="584" ht="15.95" spans="2:2">
      <c r="B584" s="122" t="s">
        <v>1523</v>
      </c>
    </row>
    <row r="585" spans="2:5">
      <c r="B585" s="15" t="s">
        <v>1524</v>
      </c>
      <c r="C585" s="15" t="s">
        <v>896</v>
      </c>
      <c r="D585" s="15" t="s">
        <v>770</v>
      </c>
      <c r="E585" s="15" t="s">
        <v>1525</v>
      </c>
    </row>
    <row r="586" spans="2:5">
      <c r="B586" s="15" t="s">
        <v>1524</v>
      </c>
      <c r="C586" s="15" t="s">
        <v>896</v>
      </c>
      <c r="D586" s="15" t="s">
        <v>772</v>
      </c>
      <c r="E586" s="15" t="s">
        <v>1526</v>
      </c>
    </row>
    <row r="587" spans="2:5">
      <c r="B587" s="15" t="s">
        <v>1524</v>
      </c>
      <c r="C587" s="15" t="s">
        <v>896</v>
      </c>
      <c r="D587" s="15" t="s">
        <v>774</v>
      </c>
      <c r="E587" s="15" t="s">
        <v>1527</v>
      </c>
    </row>
    <row r="588" spans="2:5">
      <c r="B588" s="15" t="s">
        <v>1524</v>
      </c>
      <c r="C588" s="15" t="s">
        <v>896</v>
      </c>
      <c r="D588" s="15" t="s">
        <v>828</v>
      </c>
      <c r="E588" s="15" t="s">
        <v>1102</v>
      </c>
    </row>
    <row r="589" spans="2:5">
      <c r="B589" s="15" t="s">
        <v>1524</v>
      </c>
      <c r="C589" s="15" t="s">
        <v>896</v>
      </c>
      <c r="D589" s="15" t="s">
        <v>901</v>
      </c>
      <c r="E589" s="15" t="s">
        <v>1103</v>
      </c>
    </row>
    <row r="590" ht="15.95" spans="2:2">
      <c r="B590" s="122" t="s">
        <v>1528</v>
      </c>
    </row>
    <row r="591" spans="2:5">
      <c r="B591" s="15" t="s">
        <v>1529</v>
      </c>
      <c r="C591" s="15" t="s">
        <v>1530</v>
      </c>
      <c r="D591" s="15" t="s">
        <v>635</v>
      </c>
      <c r="E591" s="15" t="s">
        <v>1531</v>
      </c>
    </row>
    <row r="592" spans="2:5">
      <c r="B592" s="15" t="s">
        <v>1529</v>
      </c>
      <c r="C592" s="15" t="s">
        <v>1530</v>
      </c>
      <c r="D592" s="15" t="s">
        <v>659</v>
      </c>
      <c r="E592" s="15" t="s">
        <v>1532</v>
      </c>
    </row>
    <row r="593" ht="15.95" spans="2:2">
      <c r="B593" s="122" t="s">
        <v>1533</v>
      </c>
    </row>
    <row r="594" spans="2:5">
      <c r="B594" s="15" t="s">
        <v>1534</v>
      </c>
      <c r="C594" s="15" t="s">
        <v>1535</v>
      </c>
      <c r="D594" s="15" t="s">
        <v>770</v>
      </c>
      <c r="E594" s="15" t="s">
        <v>1536</v>
      </c>
    </row>
    <row r="595" spans="2:5">
      <c r="B595" s="15" t="s">
        <v>1534</v>
      </c>
      <c r="C595" s="15" t="s">
        <v>1535</v>
      </c>
      <c r="D595" s="15" t="s">
        <v>772</v>
      </c>
      <c r="E595" s="15" t="s">
        <v>906</v>
      </c>
    </row>
    <row r="596" spans="2:5">
      <c r="B596" s="15" t="s">
        <v>1534</v>
      </c>
      <c r="C596" s="15" t="s">
        <v>1535</v>
      </c>
      <c r="D596" s="15" t="s">
        <v>774</v>
      </c>
      <c r="E596" s="15" t="s">
        <v>1537</v>
      </c>
    </row>
    <row r="597" spans="2:5">
      <c r="B597" s="15" t="s">
        <v>1534</v>
      </c>
      <c r="C597" s="15" t="s">
        <v>1535</v>
      </c>
      <c r="D597" s="15" t="s">
        <v>828</v>
      </c>
      <c r="E597" s="15" t="s">
        <v>1538</v>
      </c>
    </row>
    <row r="598" spans="2:5">
      <c r="B598" s="15" t="s">
        <v>1534</v>
      </c>
      <c r="C598" s="15" t="s">
        <v>1535</v>
      </c>
      <c r="D598" s="15" t="s">
        <v>901</v>
      </c>
      <c r="E598" s="15" t="s">
        <v>1539</v>
      </c>
    </row>
    <row r="599" spans="2:5">
      <c r="B599" s="15" t="s">
        <v>1534</v>
      </c>
      <c r="C599" s="15" t="s">
        <v>1535</v>
      </c>
      <c r="D599" s="15" t="s">
        <v>776</v>
      </c>
      <c r="E599" s="15" t="s">
        <v>1540</v>
      </c>
    </row>
    <row r="600" ht="15.95" spans="2:2">
      <c r="B600" s="122" t="s">
        <v>1541</v>
      </c>
    </row>
    <row r="601" spans="2:5">
      <c r="B601" s="15" t="s">
        <v>1542</v>
      </c>
      <c r="C601" s="15" t="s">
        <v>1543</v>
      </c>
      <c r="D601" s="15" t="s">
        <v>770</v>
      </c>
      <c r="E601" s="15" t="s">
        <v>1544</v>
      </c>
    </row>
    <row r="602" spans="2:5">
      <c r="B602" s="15" t="s">
        <v>1542</v>
      </c>
      <c r="C602" s="15" t="s">
        <v>1543</v>
      </c>
      <c r="D602" s="15" t="s">
        <v>772</v>
      </c>
      <c r="E602" s="15" t="s">
        <v>1545</v>
      </c>
    </row>
    <row r="603" ht="15.95" spans="2:2">
      <c r="B603" s="122" t="s">
        <v>1546</v>
      </c>
    </row>
    <row r="604" spans="2:5">
      <c r="B604" s="15" t="s">
        <v>1547</v>
      </c>
      <c r="C604" s="15" t="s">
        <v>1548</v>
      </c>
      <c r="D604" s="15" t="s">
        <v>770</v>
      </c>
      <c r="E604" s="15" t="s">
        <v>1549</v>
      </c>
    </row>
    <row r="605" spans="2:5">
      <c r="B605" s="15" t="s">
        <v>1547</v>
      </c>
      <c r="C605" s="15" t="s">
        <v>1548</v>
      </c>
      <c r="D605" s="15" t="s">
        <v>772</v>
      </c>
      <c r="E605" s="15" t="s">
        <v>1550</v>
      </c>
    </row>
    <row r="606" spans="2:5">
      <c r="B606" s="15" t="s">
        <v>1547</v>
      </c>
      <c r="C606" s="15" t="s">
        <v>1548</v>
      </c>
      <c r="D606" s="15" t="s">
        <v>774</v>
      </c>
      <c r="E606" s="15" t="s">
        <v>1551</v>
      </c>
    </row>
    <row r="607" spans="2:5">
      <c r="B607" s="15" t="s">
        <v>1547</v>
      </c>
      <c r="C607" s="15" t="s">
        <v>1548</v>
      </c>
      <c r="D607" s="15" t="s">
        <v>828</v>
      </c>
      <c r="E607" s="15" t="s">
        <v>1552</v>
      </c>
    </row>
    <row r="608" ht="15.95" spans="2:2">
      <c r="B608" s="122" t="s">
        <v>1553</v>
      </c>
    </row>
    <row r="609" spans="2:5">
      <c r="B609" s="15" t="s">
        <v>1554</v>
      </c>
      <c r="C609" s="15" t="s">
        <v>1554</v>
      </c>
      <c r="D609" s="15" t="s">
        <v>1555</v>
      </c>
      <c r="E609" s="15" t="s">
        <v>1556</v>
      </c>
    </row>
    <row r="610" spans="2:5">
      <c r="B610" s="15" t="s">
        <v>1554</v>
      </c>
      <c r="C610" s="15" t="s">
        <v>1554</v>
      </c>
      <c r="D610" s="15" t="s">
        <v>1557</v>
      </c>
      <c r="E610" s="15" t="s">
        <v>1558</v>
      </c>
    </row>
    <row r="611" spans="2:5">
      <c r="B611" s="15" t="s">
        <v>1554</v>
      </c>
      <c r="C611" s="15" t="s">
        <v>1554</v>
      </c>
      <c r="D611" s="15" t="s">
        <v>1559</v>
      </c>
      <c r="E611" s="15" t="s">
        <v>1560</v>
      </c>
    </row>
    <row r="612" spans="2:5">
      <c r="B612" s="15" t="s">
        <v>1554</v>
      </c>
      <c r="C612" s="15" t="s">
        <v>1554</v>
      </c>
      <c r="D612" s="15" t="s">
        <v>1561</v>
      </c>
      <c r="E612" s="15" t="s">
        <v>1562</v>
      </c>
    </row>
    <row r="613" spans="2:5">
      <c r="B613" s="15" t="s">
        <v>1554</v>
      </c>
      <c r="C613" s="15" t="s">
        <v>1554</v>
      </c>
      <c r="D613" s="15" t="s">
        <v>1563</v>
      </c>
      <c r="E613" s="15" t="s">
        <v>1564</v>
      </c>
    </row>
    <row r="614" spans="2:5">
      <c r="B614" s="15" t="s">
        <v>1554</v>
      </c>
      <c r="C614" s="15" t="s">
        <v>1554</v>
      </c>
      <c r="D614" s="15" t="s">
        <v>1565</v>
      </c>
      <c r="E614" s="15" t="s">
        <v>1566</v>
      </c>
    </row>
    <row r="615" spans="2:5">
      <c r="B615" s="15" t="s">
        <v>1554</v>
      </c>
      <c r="C615" s="15" t="s">
        <v>1554</v>
      </c>
      <c r="D615" s="15" t="s">
        <v>1567</v>
      </c>
      <c r="E615" s="15" t="s">
        <v>1568</v>
      </c>
    </row>
    <row r="616" spans="2:5">
      <c r="B616" s="15" t="s">
        <v>1554</v>
      </c>
      <c r="C616" s="15" t="s">
        <v>1554</v>
      </c>
      <c r="D616" s="15" t="s">
        <v>1569</v>
      </c>
      <c r="E616" s="15" t="s">
        <v>1570</v>
      </c>
    </row>
    <row r="617" spans="2:5">
      <c r="B617" s="15" t="s">
        <v>1554</v>
      </c>
      <c r="C617" s="15" t="s">
        <v>1554</v>
      </c>
      <c r="D617" s="15" t="s">
        <v>1571</v>
      </c>
      <c r="E617" s="15" t="s">
        <v>1572</v>
      </c>
    </row>
    <row r="618" spans="2:5">
      <c r="B618" s="15" t="s">
        <v>1554</v>
      </c>
      <c r="C618" s="15" t="s">
        <v>1554</v>
      </c>
      <c r="D618" s="15" t="s">
        <v>1573</v>
      </c>
      <c r="E618" s="15" t="s">
        <v>1574</v>
      </c>
    </row>
    <row r="619" spans="2:5">
      <c r="B619" s="15" t="s">
        <v>1554</v>
      </c>
      <c r="C619" s="15" t="s">
        <v>1554</v>
      </c>
      <c r="D619" s="15" t="s">
        <v>1575</v>
      </c>
      <c r="E619" s="15" t="s">
        <v>1576</v>
      </c>
    </row>
    <row r="620" spans="2:5">
      <c r="B620" s="15" t="s">
        <v>1554</v>
      </c>
      <c r="C620" s="15" t="s">
        <v>1554</v>
      </c>
      <c r="D620" s="15" t="s">
        <v>1577</v>
      </c>
      <c r="E620" s="15" t="s">
        <v>1578</v>
      </c>
    </row>
    <row r="621" spans="2:5">
      <c r="B621" s="15" t="s">
        <v>1554</v>
      </c>
      <c r="C621" s="15" t="s">
        <v>1554</v>
      </c>
      <c r="D621" s="15" t="s">
        <v>1579</v>
      </c>
      <c r="E621" s="15" t="s">
        <v>1580</v>
      </c>
    </row>
    <row r="622" spans="2:5">
      <c r="B622" s="15" t="s">
        <v>1554</v>
      </c>
      <c r="C622" s="15" t="s">
        <v>1554</v>
      </c>
      <c r="D622" s="15" t="s">
        <v>1581</v>
      </c>
      <c r="E622" s="15" t="s">
        <v>1582</v>
      </c>
    </row>
    <row r="623" ht="15.95" spans="2:2">
      <c r="B623" s="122" t="s">
        <v>1583</v>
      </c>
    </row>
    <row r="624" spans="2:5">
      <c r="B624" s="15" t="s">
        <v>1584</v>
      </c>
      <c r="C624" s="15" t="s">
        <v>1510</v>
      </c>
      <c r="D624" s="15" t="s">
        <v>723</v>
      </c>
      <c r="E624" s="15" t="s">
        <v>1511</v>
      </c>
    </row>
    <row r="625" spans="2:5">
      <c r="B625" s="15" t="s">
        <v>1584</v>
      </c>
      <c r="C625" s="15" t="s">
        <v>1510</v>
      </c>
      <c r="D625" s="15" t="s">
        <v>725</v>
      </c>
      <c r="E625" s="15" t="s">
        <v>1512</v>
      </c>
    </row>
    <row r="626" spans="2:5">
      <c r="B626" s="15" t="s">
        <v>1584</v>
      </c>
      <c r="C626" s="15" t="s">
        <v>1510</v>
      </c>
      <c r="D626" s="15" t="s">
        <v>727</v>
      </c>
      <c r="E626" s="15" t="s">
        <v>1513</v>
      </c>
    </row>
    <row r="627" spans="2:5">
      <c r="B627" s="15" t="s">
        <v>1584</v>
      </c>
      <c r="C627" s="15" t="s">
        <v>1510</v>
      </c>
      <c r="D627" s="15" t="s">
        <v>729</v>
      </c>
      <c r="E627" s="15" t="s">
        <v>1514</v>
      </c>
    </row>
    <row r="628" spans="2:5">
      <c r="B628" s="15" t="s">
        <v>1584</v>
      </c>
      <c r="C628" s="15" t="s">
        <v>1510</v>
      </c>
      <c r="D628" s="15" t="s">
        <v>760</v>
      </c>
      <c r="E628" s="15" t="s">
        <v>1515</v>
      </c>
    </row>
    <row r="629" spans="2:5">
      <c r="B629" s="15" t="s">
        <v>1584</v>
      </c>
      <c r="C629" s="15" t="s">
        <v>1510</v>
      </c>
      <c r="D629" s="15" t="s">
        <v>762</v>
      </c>
      <c r="E629" s="15" t="s">
        <v>1585</v>
      </c>
    </row>
    <row r="630" spans="2:5">
      <c r="B630" s="15" t="s">
        <v>1584</v>
      </c>
      <c r="C630" s="15" t="s">
        <v>1510</v>
      </c>
      <c r="D630" s="15" t="s">
        <v>764</v>
      </c>
      <c r="E630" s="15" t="s">
        <v>1586</v>
      </c>
    </row>
    <row r="631" spans="2:5">
      <c r="B631" s="15" t="s">
        <v>1584</v>
      </c>
      <c r="C631" s="15" t="s">
        <v>1510</v>
      </c>
      <c r="D631" s="15" t="s">
        <v>1587</v>
      </c>
      <c r="E631" s="15" t="s">
        <v>1588</v>
      </c>
    </row>
    <row r="632" ht="15.95" spans="2:2">
      <c r="B632" s="122" t="s">
        <v>1589</v>
      </c>
    </row>
    <row r="633" spans="2:5">
      <c r="B633" s="15" t="s">
        <v>1590</v>
      </c>
      <c r="C633" s="15" t="s">
        <v>1591</v>
      </c>
      <c r="D633" s="15" t="s">
        <v>723</v>
      </c>
      <c r="E633" s="15" t="s">
        <v>1592</v>
      </c>
    </row>
    <row r="634" spans="2:5">
      <c r="B634" s="15" t="s">
        <v>1590</v>
      </c>
      <c r="C634" s="15" t="s">
        <v>1591</v>
      </c>
      <c r="D634" s="15" t="s">
        <v>725</v>
      </c>
      <c r="E634" s="15" t="s">
        <v>1593</v>
      </c>
    </row>
    <row r="635" ht="15.95" spans="2:2">
      <c r="B635" s="122" t="s">
        <v>1594</v>
      </c>
    </row>
    <row r="636" spans="2:5">
      <c r="B636" s="15" t="s">
        <v>1595</v>
      </c>
      <c r="C636" s="15" t="s">
        <v>1596</v>
      </c>
      <c r="D636" s="15" t="s">
        <v>933</v>
      </c>
      <c r="E636" s="15" t="s">
        <v>1597</v>
      </c>
    </row>
    <row r="637" spans="2:5">
      <c r="B637" s="15" t="s">
        <v>1595</v>
      </c>
      <c r="C637" s="15" t="s">
        <v>1596</v>
      </c>
      <c r="D637" s="15" t="s">
        <v>937</v>
      </c>
      <c r="E637" s="15" t="s">
        <v>1598</v>
      </c>
    </row>
    <row r="638" spans="2:5">
      <c r="B638" s="15" t="s">
        <v>1595</v>
      </c>
      <c r="C638" s="15" t="s">
        <v>1596</v>
      </c>
      <c r="D638" s="15" t="s">
        <v>939</v>
      </c>
      <c r="E638" s="15" t="s">
        <v>1599</v>
      </c>
    </row>
    <row r="639" spans="2:5">
      <c r="B639" s="15" t="s">
        <v>1595</v>
      </c>
      <c r="C639" s="15" t="s">
        <v>1596</v>
      </c>
      <c r="D639" s="15" t="s">
        <v>941</v>
      </c>
      <c r="E639" s="15" t="s">
        <v>1600</v>
      </c>
    </row>
    <row r="640" ht="15.95" spans="2:2">
      <c r="B640" s="122" t="s">
        <v>1601</v>
      </c>
    </row>
    <row r="641" spans="2:5">
      <c r="B641" s="15" t="s">
        <v>1602</v>
      </c>
      <c r="C641" s="15" t="s">
        <v>1603</v>
      </c>
      <c r="D641" s="15" t="s">
        <v>1604</v>
      </c>
      <c r="E641" s="15" t="s">
        <v>1604</v>
      </c>
    </row>
    <row r="642" spans="2:5">
      <c r="B642" s="15" t="s">
        <v>1602</v>
      </c>
      <c r="C642" s="15" t="s">
        <v>1603</v>
      </c>
      <c r="D642" s="15" t="s">
        <v>1605</v>
      </c>
      <c r="E642" s="15" t="s">
        <v>1606</v>
      </c>
    </row>
    <row r="643" spans="2:5">
      <c r="B643" s="15" t="s">
        <v>1602</v>
      </c>
      <c r="C643" s="15" t="s">
        <v>1603</v>
      </c>
      <c r="D643" s="15" t="s">
        <v>1607</v>
      </c>
      <c r="E643" s="15" t="s">
        <v>1608</v>
      </c>
    </row>
    <row r="644" spans="2:5">
      <c r="B644" s="15" t="s">
        <v>1602</v>
      </c>
      <c r="C644" s="15" t="s">
        <v>1603</v>
      </c>
      <c r="D644" s="15" t="s">
        <v>1609</v>
      </c>
      <c r="E644" s="15" t="s">
        <v>862</v>
      </c>
    </row>
    <row r="645" spans="2:5">
      <c r="B645" s="15" t="s">
        <v>1602</v>
      </c>
      <c r="C645" s="15" t="s">
        <v>1603</v>
      </c>
      <c r="D645" s="15" t="s">
        <v>1418</v>
      </c>
      <c r="E645" s="15" t="s">
        <v>1610</v>
      </c>
    </row>
    <row r="646" ht="15.95" spans="2:2">
      <c r="B646" s="122" t="s">
        <v>1611</v>
      </c>
    </row>
    <row r="647" spans="2:5">
      <c r="B647" s="15" t="s">
        <v>1612</v>
      </c>
      <c r="C647" s="15" t="s">
        <v>1613</v>
      </c>
      <c r="D647" s="15" t="s">
        <v>770</v>
      </c>
      <c r="E647" s="15" t="s">
        <v>1614</v>
      </c>
    </row>
    <row r="648" spans="2:5">
      <c r="B648" s="15" t="s">
        <v>1612</v>
      </c>
      <c r="C648" s="15" t="s">
        <v>1613</v>
      </c>
      <c r="D648" s="15" t="s">
        <v>772</v>
      </c>
      <c r="E648" s="15" t="s">
        <v>1615</v>
      </c>
    </row>
    <row r="649" spans="2:5">
      <c r="B649" s="15" t="s">
        <v>1612</v>
      </c>
      <c r="C649" s="15" t="s">
        <v>1613</v>
      </c>
      <c r="D649" s="15" t="s">
        <v>774</v>
      </c>
      <c r="E649" s="15" t="s">
        <v>1616</v>
      </c>
    </row>
    <row r="650" spans="2:5">
      <c r="B650" s="15" t="s">
        <v>1612</v>
      </c>
      <c r="C650" s="15" t="s">
        <v>1613</v>
      </c>
      <c r="D650" s="15" t="s">
        <v>776</v>
      </c>
      <c r="E650" s="15" t="s">
        <v>1617</v>
      </c>
    </row>
    <row r="651" spans="2:5">
      <c r="B651" s="15" t="s">
        <v>1612</v>
      </c>
      <c r="C651" s="15" t="s">
        <v>1613</v>
      </c>
      <c r="D651" s="15" t="s">
        <v>1409</v>
      </c>
      <c r="E651" s="15" t="s">
        <v>1618</v>
      </c>
    </row>
    <row r="652" spans="2:5">
      <c r="B652" s="15" t="s">
        <v>1612</v>
      </c>
      <c r="C652" s="15" t="s">
        <v>1613</v>
      </c>
      <c r="D652" s="15" t="s">
        <v>933</v>
      </c>
      <c r="E652" s="15" t="s">
        <v>1619</v>
      </c>
    </row>
    <row r="653" spans="2:5">
      <c r="B653" s="15" t="s">
        <v>1612</v>
      </c>
      <c r="C653" s="15" t="s">
        <v>1613</v>
      </c>
      <c r="D653" s="15" t="s">
        <v>1059</v>
      </c>
      <c r="E653" s="15" t="s">
        <v>1620</v>
      </c>
    </row>
    <row r="654" spans="2:5">
      <c r="B654" s="15" t="s">
        <v>1612</v>
      </c>
      <c r="C654" s="15" t="s">
        <v>1613</v>
      </c>
      <c r="D654" s="15" t="s">
        <v>1061</v>
      </c>
      <c r="E654" s="15" t="s">
        <v>1621</v>
      </c>
    </row>
    <row r="655" spans="2:5">
      <c r="B655" s="15" t="s">
        <v>1612</v>
      </c>
      <c r="C655" s="15" t="s">
        <v>1613</v>
      </c>
      <c r="D655" s="15" t="s">
        <v>935</v>
      </c>
      <c r="E655" s="15" t="s">
        <v>1622</v>
      </c>
    </row>
    <row r="656" spans="2:5">
      <c r="B656" s="15" t="s">
        <v>1612</v>
      </c>
      <c r="C656" s="15" t="s">
        <v>1613</v>
      </c>
      <c r="D656" s="15" t="s">
        <v>1068</v>
      </c>
      <c r="E656" s="15" t="s">
        <v>1623</v>
      </c>
    </row>
    <row r="657" spans="2:5">
      <c r="B657" s="15" t="s">
        <v>1612</v>
      </c>
      <c r="C657" s="15" t="s">
        <v>1613</v>
      </c>
      <c r="D657" s="15" t="s">
        <v>1072</v>
      </c>
      <c r="E657" s="15" t="s">
        <v>1624</v>
      </c>
    </row>
    <row r="658" spans="2:5">
      <c r="B658" s="15" t="s">
        <v>1612</v>
      </c>
      <c r="C658" s="15" t="s">
        <v>1613</v>
      </c>
      <c r="D658" s="15" t="s">
        <v>1074</v>
      </c>
      <c r="E658" s="15" t="s">
        <v>1625</v>
      </c>
    </row>
    <row r="659" spans="2:5">
      <c r="B659" s="15" t="s">
        <v>1612</v>
      </c>
      <c r="C659" s="15" t="s">
        <v>1613</v>
      </c>
      <c r="D659" s="15" t="s">
        <v>1626</v>
      </c>
      <c r="E659" s="15" t="s">
        <v>1627</v>
      </c>
    </row>
    <row r="660" ht="15.95" spans="2:2">
      <c r="B660" s="122" t="s">
        <v>1628</v>
      </c>
    </row>
    <row r="661" spans="2:5">
      <c r="B661" s="15" t="s">
        <v>1629</v>
      </c>
      <c r="C661" s="15" t="s">
        <v>1630</v>
      </c>
      <c r="D661" s="15" t="s">
        <v>917</v>
      </c>
      <c r="E661" s="15" t="s">
        <v>953</v>
      </c>
    </row>
    <row r="662" spans="2:5">
      <c r="B662" s="15" t="s">
        <v>1629</v>
      </c>
      <c r="C662" s="15" t="s">
        <v>1630</v>
      </c>
      <c r="D662" s="15" t="s">
        <v>919</v>
      </c>
      <c r="E662" s="15" t="s">
        <v>954</v>
      </c>
    </row>
    <row r="663" spans="2:5">
      <c r="B663" s="15" t="s">
        <v>1629</v>
      </c>
      <c r="C663" s="15" t="s">
        <v>1630</v>
      </c>
      <c r="D663" s="15" t="s">
        <v>955</v>
      </c>
      <c r="E663" s="15" t="s">
        <v>956</v>
      </c>
    </row>
    <row r="664" spans="2:5">
      <c r="B664" s="15" t="s">
        <v>1629</v>
      </c>
      <c r="C664" s="15" t="s">
        <v>1630</v>
      </c>
      <c r="D664" s="15" t="s">
        <v>1267</v>
      </c>
      <c r="E664" s="15" t="s">
        <v>1355</v>
      </c>
    </row>
    <row r="665" spans="2:5">
      <c r="B665" s="15" t="s">
        <v>1629</v>
      </c>
      <c r="C665" s="15" t="s">
        <v>1630</v>
      </c>
      <c r="D665" s="15" t="s">
        <v>1269</v>
      </c>
      <c r="E665" s="15" t="s">
        <v>1356</v>
      </c>
    </row>
    <row r="666" ht="15.95" spans="2:2">
      <c r="B666" s="122" t="s">
        <v>1631</v>
      </c>
    </row>
    <row r="667" spans="2:5">
      <c r="B667" s="15" t="s">
        <v>1632</v>
      </c>
      <c r="C667" s="15" t="s">
        <v>896</v>
      </c>
      <c r="D667" s="15" t="s">
        <v>770</v>
      </c>
      <c r="E667" s="15" t="s">
        <v>1633</v>
      </c>
    </row>
    <row r="668" spans="2:5">
      <c r="B668" s="15" t="s">
        <v>1632</v>
      </c>
      <c r="C668" s="15" t="s">
        <v>896</v>
      </c>
      <c r="D668" s="15" t="s">
        <v>772</v>
      </c>
      <c r="E668" s="15" t="s">
        <v>1634</v>
      </c>
    </row>
    <row r="669" spans="2:5">
      <c r="B669" s="15" t="s">
        <v>1632</v>
      </c>
      <c r="C669" s="15" t="s">
        <v>896</v>
      </c>
      <c r="D669" s="15" t="s">
        <v>774</v>
      </c>
      <c r="E669" s="15" t="s">
        <v>1635</v>
      </c>
    </row>
    <row r="670" ht="15.95" spans="2:2">
      <c r="B670" s="122" t="s">
        <v>1636</v>
      </c>
    </row>
    <row r="671" spans="2:5">
      <c r="B671" s="15" t="s">
        <v>1637</v>
      </c>
      <c r="C671" s="15" t="s">
        <v>1638</v>
      </c>
      <c r="D671" s="15" t="s">
        <v>770</v>
      </c>
      <c r="E671" s="15" t="s">
        <v>1639</v>
      </c>
    </row>
    <row r="672" spans="2:5">
      <c r="B672" s="15" t="s">
        <v>1637</v>
      </c>
      <c r="C672" s="15" t="s">
        <v>1638</v>
      </c>
      <c r="D672" s="15" t="s">
        <v>772</v>
      </c>
      <c r="E672" s="15" t="s">
        <v>1640</v>
      </c>
    </row>
    <row r="673" spans="2:5">
      <c r="B673" s="15" t="s">
        <v>1637</v>
      </c>
      <c r="C673" s="15" t="s">
        <v>1638</v>
      </c>
      <c r="D673" s="15" t="s">
        <v>774</v>
      </c>
      <c r="E673" s="15" t="s">
        <v>1641</v>
      </c>
    </row>
    <row r="674" ht="15.95" spans="2:2">
      <c r="B674" s="122" t="s">
        <v>1642</v>
      </c>
    </row>
    <row r="675" spans="2:5">
      <c r="B675" s="15" t="s">
        <v>682</v>
      </c>
      <c r="C675" s="15" t="s">
        <v>682</v>
      </c>
      <c r="D675" s="15" t="s">
        <v>723</v>
      </c>
      <c r="E675" s="15" t="s">
        <v>1643</v>
      </c>
    </row>
    <row r="676" spans="2:5">
      <c r="B676" s="15" t="s">
        <v>682</v>
      </c>
      <c r="C676" s="15" t="s">
        <v>682</v>
      </c>
      <c r="D676" s="15" t="s">
        <v>725</v>
      </c>
      <c r="E676" s="15" t="s">
        <v>862</v>
      </c>
    </row>
    <row r="677" ht="15.95" spans="2:2">
      <c r="B677" s="122" t="s">
        <v>1644</v>
      </c>
    </row>
    <row r="678" spans="2:5">
      <c r="B678" s="15" t="s">
        <v>1645</v>
      </c>
      <c r="C678" s="15" t="s">
        <v>1646</v>
      </c>
      <c r="D678" s="15" t="s">
        <v>770</v>
      </c>
      <c r="E678" s="15" t="s">
        <v>1647</v>
      </c>
    </row>
    <row r="679" spans="2:5">
      <c r="B679" s="15" t="s">
        <v>1645</v>
      </c>
      <c r="C679" s="15" t="s">
        <v>1646</v>
      </c>
      <c r="D679" s="15" t="s">
        <v>772</v>
      </c>
      <c r="E679" s="15" t="s">
        <v>1648</v>
      </c>
    </row>
    <row r="680" spans="2:5">
      <c r="B680" s="15" t="s">
        <v>1645</v>
      </c>
      <c r="C680" s="15" t="s">
        <v>1646</v>
      </c>
      <c r="D680" s="15" t="s">
        <v>774</v>
      </c>
      <c r="E680" s="15" t="s">
        <v>1649</v>
      </c>
    </row>
    <row r="681" spans="2:5">
      <c r="B681" s="15" t="s">
        <v>1645</v>
      </c>
      <c r="C681" s="15" t="s">
        <v>1646</v>
      </c>
      <c r="D681" s="15" t="s">
        <v>828</v>
      </c>
      <c r="E681" s="15" t="s">
        <v>1385</v>
      </c>
    </row>
    <row r="682" ht="15.95" spans="2:2">
      <c r="B682" s="122" t="s">
        <v>1650</v>
      </c>
    </row>
    <row r="683" spans="2:5">
      <c r="B683" s="15" t="s">
        <v>1651</v>
      </c>
      <c r="C683" s="15" t="s">
        <v>1477</v>
      </c>
      <c r="D683" s="15" t="s">
        <v>1478</v>
      </c>
      <c r="E683" s="15" t="s">
        <v>1479</v>
      </c>
    </row>
    <row r="684" spans="2:5">
      <c r="B684" s="15" t="s">
        <v>1651</v>
      </c>
      <c r="C684" s="15" t="s">
        <v>1477</v>
      </c>
      <c r="D684" s="15" t="s">
        <v>1480</v>
      </c>
      <c r="E684" s="15" t="s">
        <v>1481</v>
      </c>
    </row>
    <row r="685" spans="2:5">
      <c r="B685" s="15" t="s">
        <v>1651</v>
      </c>
      <c r="C685" s="15" t="s">
        <v>1477</v>
      </c>
      <c r="D685" s="15" t="s">
        <v>1482</v>
      </c>
      <c r="E685" s="15" t="s">
        <v>1483</v>
      </c>
    </row>
    <row r="686" spans="2:5">
      <c r="B686" s="15" t="s">
        <v>1651</v>
      </c>
      <c r="C686" s="15" t="s">
        <v>1477</v>
      </c>
      <c r="D686" s="15" t="s">
        <v>1484</v>
      </c>
      <c r="E686" s="15" t="s">
        <v>1485</v>
      </c>
    </row>
    <row r="687" spans="2:5">
      <c r="B687" s="15" t="s">
        <v>1651</v>
      </c>
      <c r="C687" s="15" t="s">
        <v>1477</v>
      </c>
      <c r="D687" s="15" t="s">
        <v>1486</v>
      </c>
      <c r="E687" s="15" t="s">
        <v>1487</v>
      </c>
    </row>
    <row r="688" spans="2:5">
      <c r="B688" s="15" t="s">
        <v>1651</v>
      </c>
      <c r="C688" s="15" t="s">
        <v>1477</v>
      </c>
      <c r="D688" s="15" t="s">
        <v>1488</v>
      </c>
      <c r="E688" s="15" t="s">
        <v>1489</v>
      </c>
    </row>
    <row r="689" spans="2:5">
      <c r="B689" s="15" t="s">
        <v>1651</v>
      </c>
      <c r="C689" s="15" t="s">
        <v>1477</v>
      </c>
      <c r="D689" s="15" t="s">
        <v>1652</v>
      </c>
      <c r="E689" s="15" t="s">
        <v>1653</v>
      </c>
    </row>
    <row r="690" spans="2:5">
      <c r="B690" s="15" t="s">
        <v>1651</v>
      </c>
      <c r="C690" s="15" t="s">
        <v>1477</v>
      </c>
      <c r="D690" s="15" t="s">
        <v>1654</v>
      </c>
      <c r="E690" s="15" t="s">
        <v>1655</v>
      </c>
    </row>
    <row r="691" spans="2:5">
      <c r="B691" s="15" t="s">
        <v>1651</v>
      </c>
      <c r="C691" s="15" t="s">
        <v>1477</v>
      </c>
      <c r="D691" s="15" t="s">
        <v>1656</v>
      </c>
      <c r="E691" s="15" t="s">
        <v>1657</v>
      </c>
    </row>
    <row r="692" spans="2:5">
      <c r="B692" s="15" t="s">
        <v>1651</v>
      </c>
      <c r="C692" s="15" t="s">
        <v>1477</v>
      </c>
      <c r="D692" s="15" t="s">
        <v>1658</v>
      </c>
      <c r="E692" s="15" t="s">
        <v>1659</v>
      </c>
    </row>
    <row r="693" spans="2:5">
      <c r="B693" s="15" t="s">
        <v>1651</v>
      </c>
      <c r="C693" s="15" t="s">
        <v>1477</v>
      </c>
      <c r="D693" s="15" t="s">
        <v>1660</v>
      </c>
      <c r="E693" s="15" t="s">
        <v>1661</v>
      </c>
    </row>
    <row r="694" spans="2:5">
      <c r="B694" s="15" t="s">
        <v>1651</v>
      </c>
      <c r="C694" s="15" t="s">
        <v>1477</v>
      </c>
      <c r="D694" s="15" t="s">
        <v>1662</v>
      </c>
      <c r="E694" s="15" t="s">
        <v>1663</v>
      </c>
    </row>
    <row r="695" spans="2:5">
      <c r="B695" s="15" t="s">
        <v>1651</v>
      </c>
      <c r="C695" s="15" t="s">
        <v>1477</v>
      </c>
      <c r="D695" s="15" t="s">
        <v>1664</v>
      </c>
      <c r="E695" s="15" t="s">
        <v>1665</v>
      </c>
    </row>
    <row r="696" spans="2:5">
      <c r="B696" s="15" t="s">
        <v>1651</v>
      </c>
      <c r="C696" s="15" t="s">
        <v>1477</v>
      </c>
      <c r="D696" s="15" t="s">
        <v>1666</v>
      </c>
      <c r="E696" s="15" t="s">
        <v>1667</v>
      </c>
    </row>
    <row r="697" spans="2:5">
      <c r="B697" s="15" t="s">
        <v>1651</v>
      </c>
      <c r="C697" s="15" t="s">
        <v>1477</v>
      </c>
      <c r="D697" s="15" t="s">
        <v>1668</v>
      </c>
      <c r="E697" s="15" t="s">
        <v>1669</v>
      </c>
    </row>
    <row r="698" spans="2:5">
      <c r="B698" s="15" t="s">
        <v>1651</v>
      </c>
      <c r="C698" s="15" t="s">
        <v>1477</v>
      </c>
      <c r="D698" s="15" t="s">
        <v>1670</v>
      </c>
      <c r="E698" s="15" t="s">
        <v>1671</v>
      </c>
    </row>
    <row r="699" ht="15.95" spans="2:2">
      <c r="B699" s="122" t="s">
        <v>1672</v>
      </c>
    </row>
    <row r="700" spans="2:5">
      <c r="B700" s="15" t="s">
        <v>1673</v>
      </c>
      <c r="C700" s="15"/>
      <c r="D700" s="15" t="s">
        <v>917</v>
      </c>
      <c r="E700" s="15" t="s">
        <v>1674</v>
      </c>
    </row>
    <row r="701" spans="2:5">
      <c r="B701" s="15" t="s">
        <v>1673</v>
      </c>
      <c r="C701" s="15"/>
      <c r="D701" s="15" t="s">
        <v>919</v>
      </c>
      <c r="E701" s="15" t="s">
        <v>1675</v>
      </c>
    </row>
    <row r="702" spans="2:5">
      <c r="B702" s="15" t="s">
        <v>1673</v>
      </c>
      <c r="C702" s="15"/>
      <c r="D702" s="15" t="s">
        <v>921</v>
      </c>
      <c r="E702" s="15" t="s">
        <v>1676</v>
      </c>
    </row>
    <row r="703" ht="15.95" spans="2:2">
      <c r="B703" s="122" t="s">
        <v>1677</v>
      </c>
    </row>
    <row r="704" spans="2:5">
      <c r="B704" s="15" t="s">
        <v>1678</v>
      </c>
      <c r="C704" s="15" t="s">
        <v>1679</v>
      </c>
      <c r="D704" s="15" t="s">
        <v>770</v>
      </c>
      <c r="E704" s="15" t="s">
        <v>1680</v>
      </c>
    </row>
    <row r="705" spans="2:5">
      <c r="B705" s="15" t="s">
        <v>1678</v>
      </c>
      <c r="C705" s="15" t="s">
        <v>1679</v>
      </c>
      <c r="D705" s="15" t="s">
        <v>772</v>
      </c>
      <c r="E705" s="15" t="s">
        <v>1681</v>
      </c>
    </row>
    <row r="706" ht="15.95" spans="2:2">
      <c r="B706" s="122" t="s">
        <v>1682</v>
      </c>
    </row>
    <row r="707" spans="2:5">
      <c r="B707" s="15" t="s">
        <v>1683</v>
      </c>
      <c r="C707" s="15" t="s">
        <v>1684</v>
      </c>
      <c r="D707" s="15" t="s">
        <v>1432</v>
      </c>
      <c r="E707" s="15" t="s">
        <v>1685</v>
      </c>
    </row>
    <row r="708" spans="2:5">
      <c r="B708" s="15" t="s">
        <v>1683</v>
      </c>
      <c r="C708" s="15" t="s">
        <v>1684</v>
      </c>
      <c r="D708" s="15" t="s">
        <v>723</v>
      </c>
      <c r="E708" s="15" t="s">
        <v>1686</v>
      </c>
    </row>
    <row r="709" spans="2:5">
      <c r="B709" s="15" t="s">
        <v>1683</v>
      </c>
      <c r="C709" s="15" t="s">
        <v>1684</v>
      </c>
      <c r="D709" s="15" t="s">
        <v>725</v>
      </c>
      <c r="E709" s="15" t="s">
        <v>1687</v>
      </c>
    </row>
    <row r="710" spans="2:5">
      <c r="B710" s="15" t="s">
        <v>1683</v>
      </c>
      <c r="C710" s="15" t="s">
        <v>1684</v>
      </c>
      <c r="D710" s="15" t="s">
        <v>727</v>
      </c>
      <c r="E710" s="15" t="s">
        <v>1688</v>
      </c>
    </row>
    <row r="711" ht="15.95" spans="2:2">
      <c r="B711" s="122" t="s">
        <v>1689</v>
      </c>
    </row>
    <row r="712" spans="2:5">
      <c r="B712" s="15" t="s">
        <v>1690</v>
      </c>
      <c r="C712" s="15" t="s">
        <v>1691</v>
      </c>
      <c r="D712" s="15" t="s">
        <v>770</v>
      </c>
      <c r="E712" s="15" t="s">
        <v>1692</v>
      </c>
    </row>
    <row r="713" spans="2:5">
      <c r="B713" s="15" t="s">
        <v>1690</v>
      </c>
      <c r="C713" s="15" t="s">
        <v>1691</v>
      </c>
      <c r="D713" s="15" t="s">
        <v>772</v>
      </c>
      <c r="E713" s="15" t="s">
        <v>1693</v>
      </c>
    </row>
    <row r="714" spans="2:5">
      <c r="B714" s="15" t="s">
        <v>1690</v>
      </c>
      <c r="C714" s="15" t="s">
        <v>1691</v>
      </c>
      <c r="D714" s="15" t="s">
        <v>774</v>
      </c>
      <c r="E714" s="15" t="s">
        <v>1694</v>
      </c>
    </row>
    <row r="715" spans="2:5">
      <c r="B715" s="15" t="s">
        <v>1690</v>
      </c>
      <c r="C715" s="15" t="s">
        <v>1691</v>
      </c>
      <c r="D715" s="15" t="s">
        <v>828</v>
      </c>
      <c r="E715" s="15" t="s">
        <v>1695</v>
      </c>
    </row>
    <row r="716" spans="2:5">
      <c r="B716" s="15" t="s">
        <v>1690</v>
      </c>
      <c r="C716" s="15" t="s">
        <v>1691</v>
      </c>
      <c r="D716" s="15" t="s">
        <v>901</v>
      </c>
      <c r="E716" s="15" t="s">
        <v>1696</v>
      </c>
    </row>
    <row r="717" spans="2:5">
      <c r="B717" s="15" t="s">
        <v>1690</v>
      </c>
      <c r="C717" s="15" t="s">
        <v>1691</v>
      </c>
      <c r="D717" s="15" t="s">
        <v>776</v>
      </c>
      <c r="E717" s="15" t="s">
        <v>1697</v>
      </c>
    </row>
    <row r="718" spans="2:5">
      <c r="B718" s="15" t="s">
        <v>1690</v>
      </c>
      <c r="C718" s="15" t="s">
        <v>1691</v>
      </c>
      <c r="D718" s="15" t="s">
        <v>1290</v>
      </c>
      <c r="E718" s="15" t="s">
        <v>1698</v>
      </c>
    </row>
    <row r="719" spans="2:5">
      <c r="B719" s="15" t="s">
        <v>1690</v>
      </c>
      <c r="C719" s="15" t="s">
        <v>1691</v>
      </c>
      <c r="D719" s="15" t="s">
        <v>1409</v>
      </c>
      <c r="E719" s="15" t="s">
        <v>235</v>
      </c>
    </row>
    <row r="720" spans="2:5">
      <c r="B720" s="15" t="s">
        <v>1690</v>
      </c>
      <c r="C720" s="15" t="s">
        <v>1691</v>
      </c>
      <c r="D720" s="15" t="s">
        <v>1411</v>
      </c>
      <c r="E720" s="15" t="s">
        <v>1699</v>
      </c>
    </row>
    <row r="721" spans="2:5">
      <c r="B721" s="15" t="s">
        <v>1690</v>
      </c>
      <c r="C721" s="15" t="s">
        <v>1691</v>
      </c>
      <c r="D721" s="15" t="s">
        <v>933</v>
      </c>
      <c r="E721" s="15" t="s">
        <v>1700</v>
      </c>
    </row>
    <row r="722" spans="2:5">
      <c r="B722" s="15" t="s">
        <v>1690</v>
      </c>
      <c r="C722" s="15" t="s">
        <v>1691</v>
      </c>
      <c r="D722" s="15" t="s">
        <v>1059</v>
      </c>
      <c r="E722" s="15" t="s">
        <v>1701</v>
      </c>
    </row>
    <row r="723" spans="2:5">
      <c r="B723" s="15" t="s">
        <v>1690</v>
      </c>
      <c r="C723" s="15" t="s">
        <v>1691</v>
      </c>
      <c r="D723" s="15" t="s">
        <v>1061</v>
      </c>
      <c r="E723" s="15" t="s">
        <v>1702</v>
      </c>
    </row>
    <row r="724" ht="15.95" spans="2:2">
      <c r="B724" s="122" t="s">
        <v>1703</v>
      </c>
    </row>
    <row r="725" spans="2:5">
      <c r="B725" s="15" t="s">
        <v>1704</v>
      </c>
      <c r="C725" s="15" t="s">
        <v>1705</v>
      </c>
      <c r="D725" s="15" t="s">
        <v>933</v>
      </c>
      <c r="E725" s="15" t="s">
        <v>1706</v>
      </c>
    </row>
    <row r="726" spans="2:5">
      <c r="B726" s="15" t="s">
        <v>1704</v>
      </c>
      <c r="C726" s="15" t="s">
        <v>1705</v>
      </c>
      <c r="D726" s="15" t="s">
        <v>937</v>
      </c>
      <c r="E726" s="15" t="s">
        <v>1707</v>
      </c>
    </row>
    <row r="727" spans="2:5">
      <c r="B727" s="15" t="s">
        <v>1704</v>
      </c>
      <c r="C727" s="15" t="s">
        <v>1705</v>
      </c>
      <c r="D727" s="15" t="s">
        <v>939</v>
      </c>
      <c r="E727" s="15" t="s">
        <v>1708</v>
      </c>
    </row>
    <row r="728" spans="2:5">
      <c r="B728" s="15" t="s">
        <v>1704</v>
      </c>
      <c r="C728" s="15" t="s">
        <v>1705</v>
      </c>
      <c r="D728" s="15" t="s">
        <v>941</v>
      </c>
      <c r="E728" s="15" t="s">
        <v>235</v>
      </c>
    </row>
    <row r="729" ht="15.95" spans="2:2">
      <c r="B729" s="122" t="s">
        <v>1709</v>
      </c>
    </row>
    <row r="730" spans="2:5">
      <c r="B730" s="15" t="s">
        <v>1710</v>
      </c>
      <c r="C730" s="15" t="s">
        <v>1711</v>
      </c>
      <c r="D730" s="15" t="s">
        <v>635</v>
      </c>
      <c r="E730" s="15" t="s">
        <v>1712</v>
      </c>
    </row>
    <row r="731" spans="2:5">
      <c r="B731" s="15" t="s">
        <v>1710</v>
      </c>
      <c r="C731" s="15" t="s">
        <v>1711</v>
      </c>
      <c r="D731" s="15" t="s">
        <v>659</v>
      </c>
      <c r="E731" s="15" t="s">
        <v>1203</v>
      </c>
    </row>
    <row r="732" spans="2:5">
      <c r="B732" s="15" t="s">
        <v>1710</v>
      </c>
      <c r="C732" s="15" t="s">
        <v>1711</v>
      </c>
      <c r="D732" s="15" t="s">
        <v>679</v>
      </c>
      <c r="E732" s="15" t="s">
        <v>1713</v>
      </c>
    </row>
    <row r="733" ht="15.95" spans="2:2">
      <c r="B733" s="122" t="s">
        <v>1714</v>
      </c>
    </row>
    <row r="734" spans="2:5">
      <c r="B734" s="15" t="s">
        <v>1715</v>
      </c>
      <c r="C734" s="15" t="s">
        <v>1716</v>
      </c>
      <c r="D734" s="15" t="s">
        <v>1717</v>
      </c>
      <c r="E734" s="15" t="s">
        <v>1717</v>
      </c>
    </row>
    <row r="735" spans="2:5">
      <c r="B735" s="15" t="s">
        <v>1715</v>
      </c>
      <c r="C735" s="15" t="s">
        <v>1716</v>
      </c>
      <c r="D735" s="15" t="s">
        <v>1718</v>
      </c>
      <c r="E735" s="15" t="s">
        <v>1718</v>
      </c>
    </row>
    <row r="736" spans="2:5">
      <c r="B736" s="15" t="s">
        <v>1715</v>
      </c>
      <c r="C736" s="15" t="s">
        <v>1716</v>
      </c>
      <c r="D736" s="15" t="s">
        <v>1719</v>
      </c>
      <c r="E736" s="15" t="s">
        <v>1719</v>
      </c>
    </row>
    <row r="737" spans="2:5">
      <c r="B737" s="15" t="s">
        <v>1715</v>
      </c>
      <c r="C737" s="15" t="s">
        <v>1716</v>
      </c>
      <c r="D737" s="15" t="s">
        <v>1720</v>
      </c>
      <c r="E737" s="15" t="s">
        <v>1720</v>
      </c>
    </row>
    <row r="738" spans="2:5">
      <c r="B738" s="15" t="s">
        <v>1715</v>
      </c>
      <c r="C738" s="15" t="s">
        <v>1716</v>
      </c>
      <c r="D738" s="15" t="s">
        <v>1721</v>
      </c>
      <c r="E738" s="15" t="s">
        <v>1721</v>
      </c>
    </row>
    <row r="739" spans="2:5">
      <c r="B739" s="15" t="s">
        <v>1715</v>
      </c>
      <c r="C739" s="15" t="s">
        <v>1716</v>
      </c>
      <c r="D739" s="15" t="s">
        <v>1722</v>
      </c>
      <c r="E739" s="15" t="s">
        <v>1722</v>
      </c>
    </row>
    <row r="740" spans="2:5">
      <c r="B740" s="15" t="s">
        <v>1715</v>
      </c>
      <c r="C740" s="15" t="s">
        <v>1716</v>
      </c>
      <c r="D740" s="15" t="s">
        <v>1723</v>
      </c>
      <c r="E740" s="15" t="s">
        <v>1723</v>
      </c>
    </row>
    <row r="741" spans="2:5">
      <c r="B741" s="15" t="s">
        <v>1715</v>
      </c>
      <c r="C741" s="15" t="s">
        <v>1716</v>
      </c>
      <c r="D741" s="15" t="s">
        <v>1724</v>
      </c>
      <c r="E741" s="15" t="s">
        <v>1724</v>
      </c>
    </row>
    <row r="742" spans="2:5">
      <c r="B742" s="15" t="s">
        <v>1715</v>
      </c>
      <c r="C742" s="15" t="s">
        <v>1716</v>
      </c>
      <c r="D742" s="15" t="s">
        <v>1725</v>
      </c>
      <c r="E742" s="15" t="s">
        <v>1725</v>
      </c>
    </row>
    <row r="743" spans="2:5">
      <c r="B743" s="15" t="s">
        <v>1715</v>
      </c>
      <c r="C743" s="15" t="s">
        <v>1716</v>
      </c>
      <c r="D743" s="15" t="s">
        <v>1726</v>
      </c>
      <c r="E743" s="15" t="s">
        <v>1726</v>
      </c>
    </row>
    <row r="744" spans="2:5">
      <c r="B744" s="15" t="s">
        <v>1715</v>
      </c>
      <c r="C744" s="15" t="s">
        <v>1716</v>
      </c>
      <c r="D744" s="15" t="s">
        <v>1727</v>
      </c>
      <c r="E744" s="15" t="s">
        <v>1727</v>
      </c>
    </row>
    <row r="745" spans="2:5">
      <c r="B745" s="15" t="s">
        <v>1715</v>
      </c>
      <c r="C745" s="15" t="s">
        <v>1716</v>
      </c>
      <c r="D745" s="15" t="s">
        <v>1728</v>
      </c>
      <c r="E745" s="15" t="s">
        <v>1728</v>
      </c>
    </row>
    <row r="746" spans="2:5">
      <c r="B746" s="15" t="s">
        <v>1715</v>
      </c>
      <c r="C746" s="15" t="s">
        <v>1716</v>
      </c>
      <c r="D746" s="15" t="s">
        <v>1729</v>
      </c>
      <c r="E746" s="15" t="s">
        <v>1729</v>
      </c>
    </row>
    <row r="747" spans="2:5">
      <c r="B747" s="15" t="s">
        <v>1715</v>
      </c>
      <c r="C747" s="15" t="s">
        <v>1716</v>
      </c>
      <c r="D747" s="15" t="s">
        <v>1730</v>
      </c>
      <c r="E747" s="15" t="s">
        <v>1730</v>
      </c>
    </row>
    <row r="748" spans="2:5">
      <c r="B748" s="15" t="s">
        <v>1715</v>
      </c>
      <c r="C748" s="15" t="s">
        <v>1716</v>
      </c>
      <c r="D748" s="15" t="s">
        <v>1731</v>
      </c>
      <c r="E748" s="15" t="s">
        <v>1731</v>
      </c>
    </row>
    <row r="749" spans="2:5">
      <c r="B749" s="15" t="s">
        <v>1715</v>
      </c>
      <c r="C749" s="15" t="s">
        <v>1716</v>
      </c>
      <c r="D749" s="15" t="s">
        <v>1732</v>
      </c>
      <c r="E749" s="15" t="s">
        <v>1732</v>
      </c>
    </row>
    <row r="750" spans="2:5">
      <c r="B750" s="15" t="s">
        <v>1715</v>
      </c>
      <c r="C750" s="15" t="s">
        <v>1716</v>
      </c>
      <c r="D750" s="15" t="s">
        <v>1733</v>
      </c>
      <c r="E750" s="15" t="s">
        <v>1733</v>
      </c>
    </row>
    <row r="751" spans="2:5">
      <c r="B751" s="15" t="s">
        <v>1715</v>
      </c>
      <c r="C751" s="15" t="s">
        <v>1716</v>
      </c>
      <c r="D751" s="15" t="s">
        <v>1734</v>
      </c>
      <c r="E751" s="15" t="s">
        <v>1734</v>
      </c>
    </row>
    <row r="752" spans="2:5">
      <c r="B752" s="15" t="s">
        <v>1715</v>
      </c>
      <c r="C752" s="15" t="s">
        <v>1716</v>
      </c>
      <c r="D752" s="15" t="s">
        <v>1735</v>
      </c>
      <c r="E752" s="15" t="s">
        <v>1735</v>
      </c>
    </row>
    <row r="753" ht="15.95" spans="2:2">
      <c r="B753" s="122" t="s">
        <v>1736</v>
      </c>
    </row>
    <row r="754" spans="2:5">
      <c r="B754" s="15" t="s">
        <v>1737</v>
      </c>
      <c r="C754" s="15" t="s">
        <v>1738</v>
      </c>
      <c r="D754" s="15" t="s">
        <v>1739</v>
      </c>
      <c r="E754" s="15" t="s">
        <v>1740</v>
      </c>
    </row>
    <row r="755" spans="2:5">
      <c r="B755" s="15" t="s">
        <v>1737</v>
      </c>
      <c r="C755" s="15" t="s">
        <v>1738</v>
      </c>
      <c r="D755" s="15" t="s">
        <v>1741</v>
      </c>
      <c r="E755" s="15" t="s">
        <v>1742</v>
      </c>
    </row>
    <row r="756" spans="2:5">
      <c r="B756" s="15" t="s">
        <v>1737</v>
      </c>
      <c r="C756" s="15" t="s">
        <v>1738</v>
      </c>
      <c r="D756" s="15" t="s">
        <v>1743</v>
      </c>
      <c r="E756" s="15" t="s">
        <v>1744</v>
      </c>
    </row>
    <row r="757" spans="2:5">
      <c r="B757" s="15" t="s">
        <v>1737</v>
      </c>
      <c r="C757" s="15" t="s">
        <v>1738</v>
      </c>
      <c r="D757" s="15" t="s">
        <v>1745</v>
      </c>
      <c r="E757" s="15" t="s">
        <v>1746</v>
      </c>
    </row>
    <row r="758" ht="15.95" spans="2:2">
      <c r="B758" s="122" t="s">
        <v>1747</v>
      </c>
    </row>
    <row r="759" spans="2:5">
      <c r="B759" s="15" t="s">
        <v>1748</v>
      </c>
      <c r="C759" s="15" t="s">
        <v>1749</v>
      </c>
      <c r="D759" s="15" t="s">
        <v>770</v>
      </c>
      <c r="E759" s="15" t="s">
        <v>1750</v>
      </c>
    </row>
    <row r="760" spans="2:5">
      <c r="B760" s="15" t="s">
        <v>1748</v>
      </c>
      <c r="C760" s="15" t="s">
        <v>1749</v>
      </c>
      <c r="D760" s="15" t="s">
        <v>772</v>
      </c>
      <c r="E760" s="15" t="s">
        <v>1751</v>
      </c>
    </row>
    <row r="761" spans="2:5">
      <c r="B761" s="15" t="s">
        <v>1748</v>
      </c>
      <c r="C761" s="15" t="s">
        <v>1749</v>
      </c>
      <c r="D761" s="15" t="s">
        <v>774</v>
      </c>
      <c r="E761" s="15" t="s">
        <v>1752</v>
      </c>
    </row>
    <row r="762" spans="2:5">
      <c r="B762" s="15" t="s">
        <v>1748</v>
      </c>
      <c r="C762" s="15" t="s">
        <v>1749</v>
      </c>
      <c r="D762" s="15" t="s">
        <v>828</v>
      </c>
      <c r="E762" s="15" t="s">
        <v>1753</v>
      </c>
    </row>
    <row r="763" spans="2:5">
      <c r="B763" s="15" t="s">
        <v>1748</v>
      </c>
      <c r="C763" s="15" t="s">
        <v>1749</v>
      </c>
      <c r="D763" s="15" t="s">
        <v>901</v>
      </c>
      <c r="E763" s="15" t="s">
        <v>1754</v>
      </c>
    </row>
    <row r="764" spans="2:5">
      <c r="B764" s="15" t="s">
        <v>1748</v>
      </c>
      <c r="C764" s="15" t="s">
        <v>1749</v>
      </c>
      <c r="D764" s="15" t="s">
        <v>776</v>
      </c>
      <c r="E764" s="15" t="s">
        <v>1755</v>
      </c>
    </row>
    <row r="765" spans="2:5">
      <c r="B765" s="15" t="s">
        <v>1748</v>
      </c>
      <c r="C765" s="15" t="s">
        <v>1749</v>
      </c>
      <c r="D765" s="15" t="s">
        <v>1290</v>
      </c>
      <c r="E765" s="15" t="s">
        <v>1756</v>
      </c>
    </row>
    <row r="766" spans="2:5">
      <c r="B766" s="15" t="s">
        <v>1748</v>
      </c>
      <c r="C766" s="15" t="s">
        <v>1749</v>
      </c>
      <c r="D766" s="15" t="s">
        <v>1143</v>
      </c>
      <c r="E766" s="15" t="s">
        <v>235</v>
      </c>
    </row>
    <row r="767" ht="15.95" spans="2:2">
      <c r="B767" s="122" t="s">
        <v>1757</v>
      </c>
    </row>
    <row r="768" spans="2:5">
      <c r="B768" s="15" t="s">
        <v>1758</v>
      </c>
      <c r="C768" s="15" t="s">
        <v>590</v>
      </c>
      <c r="D768" s="15" t="s">
        <v>770</v>
      </c>
      <c r="E768" s="15" t="s">
        <v>1759</v>
      </c>
    </row>
    <row r="769" spans="2:5">
      <c r="B769" s="15" t="s">
        <v>1758</v>
      </c>
      <c r="C769" s="15" t="s">
        <v>590</v>
      </c>
      <c r="D769" s="15" t="s">
        <v>772</v>
      </c>
      <c r="E769" s="15" t="s">
        <v>1760</v>
      </c>
    </row>
    <row r="770" spans="2:5">
      <c r="B770" s="15" t="s">
        <v>1758</v>
      </c>
      <c r="C770" s="15" t="s">
        <v>590</v>
      </c>
      <c r="D770" s="15" t="s">
        <v>774</v>
      </c>
      <c r="E770" s="15" t="s">
        <v>1761</v>
      </c>
    </row>
    <row r="771" spans="2:5">
      <c r="B771" s="15" t="s">
        <v>1758</v>
      </c>
      <c r="C771" s="15" t="s">
        <v>590</v>
      </c>
      <c r="D771" s="15" t="s">
        <v>828</v>
      </c>
      <c r="E771" s="15" t="s">
        <v>1762</v>
      </c>
    </row>
    <row r="772" spans="2:5">
      <c r="B772" s="15" t="s">
        <v>1758</v>
      </c>
      <c r="C772" s="15" t="s">
        <v>590</v>
      </c>
      <c r="D772" s="15" t="s">
        <v>901</v>
      </c>
      <c r="E772" s="15" t="s">
        <v>1763</v>
      </c>
    </row>
    <row r="773" spans="2:5">
      <c r="B773" s="15" t="s">
        <v>1758</v>
      </c>
      <c r="C773" s="15" t="s">
        <v>590</v>
      </c>
      <c r="D773" s="15" t="s">
        <v>776</v>
      </c>
      <c r="E773" s="15" t="s">
        <v>1764</v>
      </c>
    </row>
    <row r="774" spans="2:5">
      <c r="B774" s="15" t="s">
        <v>1758</v>
      </c>
      <c r="C774" s="15" t="s">
        <v>590</v>
      </c>
      <c r="D774" s="15" t="s">
        <v>1290</v>
      </c>
      <c r="E774" s="15" t="s">
        <v>1765</v>
      </c>
    </row>
    <row r="775" spans="2:5">
      <c r="B775" s="15" t="s">
        <v>1758</v>
      </c>
      <c r="C775" s="15" t="s">
        <v>590</v>
      </c>
      <c r="D775" s="15" t="s">
        <v>1143</v>
      </c>
      <c r="E775" s="15" t="s">
        <v>235</v>
      </c>
    </row>
    <row r="776" ht="15.95" spans="2:2">
      <c r="B776" s="122" t="s">
        <v>1766</v>
      </c>
    </row>
    <row r="777" spans="2:5">
      <c r="B777" s="15" t="s">
        <v>1767</v>
      </c>
      <c r="C777" s="15" t="s">
        <v>1768</v>
      </c>
      <c r="D777" s="15" t="s">
        <v>770</v>
      </c>
      <c r="E777" s="15" t="s">
        <v>1769</v>
      </c>
    </row>
    <row r="778" spans="2:5">
      <c r="B778" s="15" t="s">
        <v>1767</v>
      </c>
      <c r="C778" s="15" t="s">
        <v>1768</v>
      </c>
      <c r="D778" s="15" t="s">
        <v>772</v>
      </c>
      <c r="E778" s="15" t="s">
        <v>1770</v>
      </c>
    </row>
    <row r="779" spans="2:5">
      <c r="B779" s="15" t="s">
        <v>1767</v>
      </c>
      <c r="C779" s="15" t="s">
        <v>1768</v>
      </c>
      <c r="D779" s="15" t="s">
        <v>774</v>
      </c>
      <c r="E779" s="15" t="s">
        <v>1396</v>
      </c>
    </row>
    <row r="780" spans="2:5">
      <c r="B780" s="15" t="s">
        <v>1767</v>
      </c>
      <c r="C780" s="15" t="s">
        <v>1768</v>
      </c>
      <c r="D780" s="15" t="s">
        <v>828</v>
      </c>
      <c r="E780" s="15" t="s">
        <v>1771</v>
      </c>
    </row>
    <row r="781" spans="2:5">
      <c r="B781" s="15" t="s">
        <v>1767</v>
      </c>
      <c r="C781" s="15" t="s">
        <v>1768</v>
      </c>
      <c r="D781" s="15" t="s">
        <v>901</v>
      </c>
      <c r="E781" s="15" t="s">
        <v>1772</v>
      </c>
    </row>
    <row r="782" spans="2:5">
      <c r="B782" s="15" t="s">
        <v>1767</v>
      </c>
      <c r="C782" s="15" t="s">
        <v>1768</v>
      </c>
      <c r="D782" s="15" t="s">
        <v>776</v>
      </c>
      <c r="E782" s="15" t="s">
        <v>1773</v>
      </c>
    </row>
    <row r="783" spans="2:5">
      <c r="B783" s="15" t="s">
        <v>1767</v>
      </c>
      <c r="C783" s="15" t="s">
        <v>1768</v>
      </c>
      <c r="D783" s="15" t="s">
        <v>1143</v>
      </c>
      <c r="E783" s="15" t="s">
        <v>235</v>
      </c>
    </row>
    <row r="784" ht="15.95" spans="2:2">
      <c r="B784" s="122" t="s">
        <v>1774</v>
      </c>
    </row>
    <row r="785" spans="2:5">
      <c r="B785" s="15" t="s">
        <v>1775</v>
      </c>
      <c r="C785" s="15" t="s">
        <v>1776</v>
      </c>
      <c r="D785" s="15" t="s">
        <v>1777</v>
      </c>
      <c r="E785" s="15" t="s">
        <v>1778</v>
      </c>
    </row>
    <row r="786" spans="2:5">
      <c r="B786" s="15" t="s">
        <v>1775</v>
      </c>
      <c r="C786" s="15" t="s">
        <v>1776</v>
      </c>
      <c r="D786" s="15" t="s">
        <v>1779</v>
      </c>
      <c r="E786" s="15" t="s">
        <v>1780</v>
      </c>
    </row>
    <row r="787" spans="2:5">
      <c r="B787" s="15" t="s">
        <v>1775</v>
      </c>
      <c r="C787" s="15" t="s">
        <v>1776</v>
      </c>
      <c r="D787" s="15" t="s">
        <v>1781</v>
      </c>
      <c r="E787" s="15" t="s">
        <v>1782</v>
      </c>
    </row>
    <row r="788" spans="2:5">
      <c r="B788" s="15" t="s">
        <v>1775</v>
      </c>
      <c r="C788" s="15" t="s">
        <v>1776</v>
      </c>
      <c r="D788" s="15" t="s">
        <v>1783</v>
      </c>
      <c r="E788" s="15" t="s">
        <v>1784</v>
      </c>
    </row>
    <row r="789" spans="2:5">
      <c r="B789" s="15" t="s">
        <v>1775</v>
      </c>
      <c r="C789" s="15" t="s">
        <v>1776</v>
      </c>
      <c r="D789" s="15" t="s">
        <v>1785</v>
      </c>
      <c r="E789" s="15" t="s">
        <v>1786</v>
      </c>
    </row>
    <row r="790" spans="2:5">
      <c r="B790" s="15" t="s">
        <v>1775</v>
      </c>
      <c r="C790" s="15" t="s">
        <v>1776</v>
      </c>
      <c r="D790" s="15" t="s">
        <v>1252</v>
      </c>
      <c r="E790" s="15" t="s">
        <v>1787</v>
      </c>
    </row>
    <row r="791" spans="2:5">
      <c r="B791" s="15" t="s">
        <v>1775</v>
      </c>
      <c r="C791" s="15" t="s">
        <v>1776</v>
      </c>
      <c r="D791" s="15" t="s">
        <v>1788</v>
      </c>
      <c r="E791" s="15" t="s">
        <v>1789</v>
      </c>
    </row>
    <row r="792" spans="2:5">
      <c r="B792" s="15" t="s">
        <v>1775</v>
      </c>
      <c r="C792" s="15" t="s">
        <v>1776</v>
      </c>
      <c r="D792" s="15" t="s">
        <v>1253</v>
      </c>
      <c r="E792" s="15" t="s">
        <v>1254</v>
      </c>
    </row>
    <row r="793" spans="2:5">
      <c r="B793" s="15" t="s">
        <v>1775</v>
      </c>
      <c r="C793" s="15" t="s">
        <v>1776</v>
      </c>
      <c r="D793" s="15" t="s">
        <v>1790</v>
      </c>
      <c r="E793" s="15" t="s">
        <v>822</v>
      </c>
    </row>
    <row r="794" spans="2:5">
      <c r="B794" s="15" t="s">
        <v>1775</v>
      </c>
      <c r="C794" s="15" t="s">
        <v>1776</v>
      </c>
      <c r="D794" s="15" t="s">
        <v>1255</v>
      </c>
      <c r="E794" s="15" t="s">
        <v>1256</v>
      </c>
    </row>
    <row r="795" spans="2:5">
      <c r="B795" s="15" t="s">
        <v>1775</v>
      </c>
      <c r="C795" s="15" t="s">
        <v>1776</v>
      </c>
      <c r="D795" s="15" t="s">
        <v>1257</v>
      </c>
      <c r="E795" s="15" t="s">
        <v>1256</v>
      </c>
    </row>
    <row r="796" spans="2:5">
      <c r="B796" s="15" t="s">
        <v>1775</v>
      </c>
      <c r="C796" s="15" t="s">
        <v>1776</v>
      </c>
      <c r="D796" s="15" t="s">
        <v>1791</v>
      </c>
      <c r="E796" s="15" t="s">
        <v>1792</v>
      </c>
    </row>
    <row r="797" spans="2:5">
      <c r="B797" s="15" t="s">
        <v>1775</v>
      </c>
      <c r="C797" s="15" t="s">
        <v>1776</v>
      </c>
      <c r="D797" s="15" t="s">
        <v>1793</v>
      </c>
      <c r="E797" s="15" t="s">
        <v>1794</v>
      </c>
    </row>
    <row r="798" spans="2:5">
      <c r="B798" s="15" t="s">
        <v>1775</v>
      </c>
      <c r="C798" s="15" t="s">
        <v>1776</v>
      </c>
      <c r="D798" s="15" t="s">
        <v>1795</v>
      </c>
      <c r="E798" s="15" t="s">
        <v>1796</v>
      </c>
    </row>
    <row r="799" spans="2:5">
      <c r="B799" s="15" t="s">
        <v>1775</v>
      </c>
      <c r="C799" s="15" t="s">
        <v>1776</v>
      </c>
      <c r="D799" s="15" t="s">
        <v>1797</v>
      </c>
      <c r="E799" s="15" t="s">
        <v>1798</v>
      </c>
    </row>
    <row r="800" spans="2:5">
      <c r="B800" s="15" t="s">
        <v>1775</v>
      </c>
      <c r="C800" s="15" t="s">
        <v>1776</v>
      </c>
      <c r="D800" s="15" t="s">
        <v>1799</v>
      </c>
      <c r="E800" s="15" t="s">
        <v>1800</v>
      </c>
    </row>
    <row r="801" spans="2:5">
      <c r="B801" s="15" t="s">
        <v>1775</v>
      </c>
      <c r="C801" s="15" t="s">
        <v>1776</v>
      </c>
      <c r="D801" s="15" t="s">
        <v>1801</v>
      </c>
      <c r="E801" s="15" t="s">
        <v>1802</v>
      </c>
    </row>
    <row r="802" spans="2:5">
      <c r="B802" s="15" t="s">
        <v>1775</v>
      </c>
      <c r="C802" s="15" t="s">
        <v>1776</v>
      </c>
      <c r="D802" s="15" t="s">
        <v>1803</v>
      </c>
      <c r="E802" s="15" t="s">
        <v>1804</v>
      </c>
    </row>
    <row r="803" ht="15.95" spans="2:2">
      <c r="B803" s="122" t="s">
        <v>1805</v>
      </c>
    </row>
    <row r="804" spans="2:5">
      <c r="B804" s="15" t="s">
        <v>1806</v>
      </c>
      <c r="C804" s="15" t="s">
        <v>1807</v>
      </c>
      <c r="D804" s="15" t="s">
        <v>723</v>
      </c>
      <c r="E804" s="15" t="s">
        <v>1808</v>
      </c>
    </row>
    <row r="805" spans="2:5">
      <c r="B805" s="15" t="s">
        <v>1806</v>
      </c>
      <c r="C805" s="15" t="s">
        <v>1807</v>
      </c>
      <c r="D805" s="15" t="s">
        <v>725</v>
      </c>
      <c r="E805" s="15" t="s">
        <v>1809</v>
      </c>
    </row>
    <row r="806" spans="2:5">
      <c r="B806" s="15" t="s">
        <v>1806</v>
      </c>
      <c r="C806" s="15" t="s">
        <v>1807</v>
      </c>
      <c r="D806" s="15" t="s">
        <v>727</v>
      </c>
      <c r="E806" s="15" t="s">
        <v>1810</v>
      </c>
    </row>
    <row r="807" spans="2:5">
      <c r="B807" s="15" t="s">
        <v>1806</v>
      </c>
      <c r="C807" s="15" t="s">
        <v>1807</v>
      </c>
      <c r="D807" s="15" t="s">
        <v>729</v>
      </c>
      <c r="E807" s="15" t="s">
        <v>1648</v>
      </c>
    </row>
    <row r="808" spans="2:5">
      <c r="B808" s="15" t="s">
        <v>1806</v>
      </c>
      <c r="C808" s="15" t="s">
        <v>1807</v>
      </c>
      <c r="D808" s="15" t="s">
        <v>760</v>
      </c>
      <c r="E808" s="15" t="s">
        <v>948</v>
      </c>
    </row>
    <row r="809" ht="15.95" spans="2:2">
      <c r="B809" s="122" t="s">
        <v>1811</v>
      </c>
    </row>
    <row r="810" spans="2:5">
      <c r="B810" s="15" t="s">
        <v>1812</v>
      </c>
      <c r="C810" s="15" t="s">
        <v>1813</v>
      </c>
      <c r="D810" s="15" t="s">
        <v>635</v>
      </c>
      <c r="E810" s="15" t="s">
        <v>1814</v>
      </c>
    </row>
    <row r="811" spans="2:5">
      <c r="B811" s="15" t="s">
        <v>1812</v>
      </c>
      <c r="C811" s="15" t="s">
        <v>1813</v>
      </c>
      <c r="D811" s="15" t="s">
        <v>659</v>
      </c>
      <c r="E811" s="15" t="s">
        <v>1815</v>
      </c>
    </row>
    <row r="812" spans="2:5">
      <c r="B812" s="15" t="s">
        <v>1812</v>
      </c>
      <c r="C812" s="15" t="s">
        <v>1813</v>
      </c>
      <c r="D812" s="15" t="s">
        <v>679</v>
      </c>
      <c r="E812" s="15" t="s">
        <v>1816</v>
      </c>
    </row>
    <row r="813" spans="2:5">
      <c r="B813" s="15" t="s">
        <v>1812</v>
      </c>
      <c r="C813" s="15" t="s">
        <v>1813</v>
      </c>
      <c r="D813" s="15" t="s">
        <v>681</v>
      </c>
      <c r="E813" s="15" t="s">
        <v>1817</v>
      </c>
    </row>
    <row r="814" spans="2:5">
      <c r="B814" s="15" t="s">
        <v>1812</v>
      </c>
      <c r="C814" s="15" t="s">
        <v>1813</v>
      </c>
      <c r="D814" s="15" t="s">
        <v>685</v>
      </c>
      <c r="E814" s="15" t="s">
        <v>1818</v>
      </c>
    </row>
    <row r="815" spans="2:5">
      <c r="B815" s="15" t="s">
        <v>1812</v>
      </c>
      <c r="C815" s="15" t="s">
        <v>1813</v>
      </c>
      <c r="D815" s="15" t="s">
        <v>687</v>
      </c>
      <c r="E815" s="15" t="s">
        <v>1819</v>
      </c>
    </row>
    <row r="816" spans="2:5">
      <c r="B816" s="15" t="s">
        <v>1812</v>
      </c>
      <c r="C816" s="15" t="s">
        <v>1813</v>
      </c>
      <c r="D816" s="15" t="s">
        <v>1820</v>
      </c>
      <c r="E816" s="15" t="s">
        <v>1821</v>
      </c>
    </row>
    <row r="817" spans="2:5">
      <c r="B817" s="15" t="s">
        <v>1812</v>
      </c>
      <c r="C817" s="15" t="s">
        <v>1813</v>
      </c>
      <c r="D817" s="15" t="s">
        <v>705</v>
      </c>
      <c r="E817" s="15" t="s">
        <v>1822</v>
      </c>
    </row>
    <row r="818" ht="15.95" spans="2:2">
      <c r="B818" s="122" t="s">
        <v>1823</v>
      </c>
    </row>
    <row r="819" spans="2:5">
      <c r="B819" s="15" t="s">
        <v>1824</v>
      </c>
      <c r="C819" s="15" t="s">
        <v>896</v>
      </c>
      <c r="D819" s="15" t="s">
        <v>770</v>
      </c>
      <c r="E819" s="15" t="s">
        <v>1825</v>
      </c>
    </row>
    <row r="820" spans="2:5">
      <c r="B820" s="15" t="s">
        <v>1824</v>
      </c>
      <c r="C820" s="15" t="s">
        <v>896</v>
      </c>
      <c r="D820" s="15" t="s">
        <v>772</v>
      </c>
      <c r="E820" s="15" t="s">
        <v>1826</v>
      </c>
    </row>
    <row r="821" spans="2:5">
      <c r="B821" s="15" t="s">
        <v>1824</v>
      </c>
      <c r="C821" s="15" t="s">
        <v>896</v>
      </c>
      <c r="D821" s="15" t="s">
        <v>774</v>
      </c>
      <c r="E821" s="15" t="s">
        <v>1827</v>
      </c>
    </row>
    <row r="822" spans="2:5">
      <c r="B822" s="15" t="s">
        <v>1824</v>
      </c>
      <c r="C822" s="15" t="s">
        <v>896</v>
      </c>
      <c r="D822" s="15" t="s">
        <v>828</v>
      </c>
      <c r="E822" s="15" t="s">
        <v>1828</v>
      </c>
    </row>
    <row r="823" ht="15.95" spans="2:2">
      <c r="B823" s="122" t="s">
        <v>1829</v>
      </c>
    </row>
    <row r="824" spans="2:5">
      <c r="B824" s="15" t="s">
        <v>1830</v>
      </c>
      <c r="C824" s="15" t="s">
        <v>1831</v>
      </c>
      <c r="D824" s="15" t="s">
        <v>770</v>
      </c>
      <c r="E824" s="15" t="s">
        <v>1832</v>
      </c>
    </row>
    <row r="825" spans="2:5">
      <c r="B825" s="15" t="s">
        <v>1830</v>
      </c>
      <c r="C825" s="15" t="s">
        <v>1831</v>
      </c>
      <c r="D825" s="15" t="s">
        <v>772</v>
      </c>
      <c r="E825" s="15" t="s">
        <v>1833</v>
      </c>
    </row>
    <row r="826" ht="15.95" spans="2:2">
      <c r="B826" s="122" t="s">
        <v>1834</v>
      </c>
    </row>
    <row r="827" spans="2:5">
      <c r="B827" s="15" t="s">
        <v>1835</v>
      </c>
      <c r="C827" s="15" t="s">
        <v>1836</v>
      </c>
      <c r="D827" s="15" t="s">
        <v>917</v>
      </c>
      <c r="E827" s="15" t="s">
        <v>918</v>
      </c>
    </row>
    <row r="828" spans="2:5">
      <c r="B828" s="15" t="s">
        <v>1835</v>
      </c>
      <c r="C828" s="15" t="s">
        <v>1836</v>
      </c>
      <c r="D828" s="15" t="s">
        <v>919</v>
      </c>
      <c r="E828" s="15" t="s">
        <v>1837</v>
      </c>
    </row>
    <row r="829" spans="2:5">
      <c r="B829" s="15" t="s">
        <v>1835</v>
      </c>
      <c r="C829" s="15" t="s">
        <v>1836</v>
      </c>
      <c r="D829" s="15" t="s">
        <v>1091</v>
      </c>
      <c r="E829" s="15" t="s">
        <v>1093</v>
      </c>
    </row>
    <row r="830" spans="2:5">
      <c r="B830" s="15" t="s">
        <v>1835</v>
      </c>
      <c r="C830" s="15" t="s">
        <v>1836</v>
      </c>
      <c r="D830" s="15" t="s">
        <v>1838</v>
      </c>
      <c r="E830" s="15" t="s">
        <v>956</v>
      </c>
    </row>
    <row r="831" ht="15.95" spans="2:2">
      <c r="B831" s="122" t="s">
        <v>1839</v>
      </c>
    </row>
    <row r="832" spans="2:5">
      <c r="B832" s="15" t="s">
        <v>1840</v>
      </c>
      <c r="C832" s="15" t="s">
        <v>896</v>
      </c>
      <c r="D832" s="15" t="s">
        <v>770</v>
      </c>
      <c r="E832" s="15" t="s">
        <v>1841</v>
      </c>
    </row>
    <row r="833" spans="2:5">
      <c r="B833" s="15" t="s">
        <v>1840</v>
      </c>
      <c r="C833" s="15" t="s">
        <v>896</v>
      </c>
      <c r="D833" s="15" t="s">
        <v>772</v>
      </c>
      <c r="E833" s="15" t="s">
        <v>1842</v>
      </c>
    </row>
    <row r="834" spans="2:5">
      <c r="B834" s="15" t="s">
        <v>1840</v>
      </c>
      <c r="C834" s="15" t="s">
        <v>896</v>
      </c>
      <c r="D834" s="15" t="s">
        <v>774</v>
      </c>
      <c r="E834" s="15" t="s">
        <v>1843</v>
      </c>
    </row>
    <row r="835" ht="15.95" spans="2:2">
      <c r="B835" s="122" t="s">
        <v>1844</v>
      </c>
    </row>
    <row r="836" spans="2:5">
      <c r="B836" s="15" t="s">
        <v>1845</v>
      </c>
      <c r="C836" s="15" t="s">
        <v>1845</v>
      </c>
      <c r="D836" s="15" t="s">
        <v>723</v>
      </c>
      <c r="E836" s="15" t="s">
        <v>1825</v>
      </c>
    </row>
    <row r="837" spans="2:5">
      <c r="B837" s="15" t="s">
        <v>1845</v>
      </c>
      <c r="C837" s="15" t="s">
        <v>1845</v>
      </c>
      <c r="D837" s="15" t="s">
        <v>725</v>
      </c>
      <c r="E837" s="15" t="s">
        <v>1826</v>
      </c>
    </row>
    <row r="838" spans="2:5">
      <c r="B838" s="15" t="s">
        <v>1845</v>
      </c>
      <c r="C838" s="15" t="s">
        <v>1845</v>
      </c>
      <c r="D838" s="15" t="s">
        <v>727</v>
      </c>
      <c r="E838" s="15" t="s">
        <v>1827</v>
      </c>
    </row>
    <row r="839" spans="2:5">
      <c r="B839" s="15" t="s">
        <v>1845</v>
      </c>
      <c r="C839" s="15" t="s">
        <v>1845</v>
      </c>
      <c r="D839" s="15" t="s">
        <v>729</v>
      </c>
      <c r="E839" s="15" t="s">
        <v>1828</v>
      </c>
    </row>
    <row r="840" ht="15.95" spans="2:2">
      <c r="B840" s="122" t="s">
        <v>1846</v>
      </c>
    </row>
    <row r="841" spans="2:5">
      <c r="B841" s="15" t="s">
        <v>1847</v>
      </c>
      <c r="C841" s="15" t="s">
        <v>1848</v>
      </c>
      <c r="D841" s="15" t="s">
        <v>770</v>
      </c>
      <c r="E841" s="15" t="s">
        <v>1849</v>
      </c>
    </row>
    <row r="842" spans="2:5">
      <c r="B842" s="15" t="s">
        <v>1847</v>
      </c>
      <c r="C842" s="15" t="s">
        <v>1848</v>
      </c>
      <c r="D842" s="15" t="s">
        <v>772</v>
      </c>
      <c r="E842" s="15" t="s">
        <v>235</v>
      </c>
    </row>
    <row r="843" ht="15.95" spans="2:2">
      <c r="B843" s="122" t="s">
        <v>1850</v>
      </c>
    </row>
    <row r="844" spans="2:5">
      <c r="B844" s="15" t="s">
        <v>1851</v>
      </c>
      <c r="C844" s="15" t="s">
        <v>1851</v>
      </c>
      <c r="D844" s="15" t="s">
        <v>770</v>
      </c>
      <c r="E844" s="15" t="s">
        <v>1852</v>
      </c>
    </row>
    <row r="845" spans="2:5">
      <c r="B845" s="15" t="s">
        <v>1851</v>
      </c>
      <c r="C845" s="15" t="s">
        <v>1851</v>
      </c>
      <c r="D845" s="15" t="s">
        <v>772</v>
      </c>
      <c r="E845" s="15" t="s">
        <v>1853</v>
      </c>
    </row>
    <row r="846" spans="2:5">
      <c r="B846" s="15" t="s">
        <v>1851</v>
      </c>
      <c r="C846" s="15" t="s">
        <v>1851</v>
      </c>
      <c r="D846" s="15" t="s">
        <v>774</v>
      </c>
      <c r="E846" s="15" t="s">
        <v>1854</v>
      </c>
    </row>
    <row r="847" spans="2:5">
      <c r="B847" s="15" t="s">
        <v>1851</v>
      </c>
      <c r="C847" s="15" t="s">
        <v>1851</v>
      </c>
      <c r="D847" s="15" t="s">
        <v>828</v>
      </c>
      <c r="E847" s="15" t="s">
        <v>1855</v>
      </c>
    </row>
    <row r="848" spans="2:5">
      <c r="B848" s="15" t="s">
        <v>1851</v>
      </c>
      <c r="C848" s="15" t="s">
        <v>1851</v>
      </c>
      <c r="D848" s="15" t="s">
        <v>901</v>
      </c>
      <c r="E848" s="15" t="s">
        <v>1856</v>
      </c>
    </row>
    <row r="849" ht="15.95" spans="2:2">
      <c r="B849" s="122" t="s">
        <v>1857</v>
      </c>
    </row>
    <row r="850" spans="2:5">
      <c r="B850" s="15" t="s">
        <v>1858</v>
      </c>
      <c r="C850" s="15" t="s">
        <v>1859</v>
      </c>
      <c r="D850" s="15" t="s">
        <v>770</v>
      </c>
      <c r="E850" s="15" t="s">
        <v>1860</v>
      </c>
    </row>
    <row r="851" spans="2:5">
      <c r="B851" s="15" t="s">
        <v>1858</v>
      </c>
      <c r="C851" s="15" t="s">
        <v>1859</v>
      </c>
      <c r="D851" s="15" t="s">
        <v>772</v>
      </c>
      <c r="E851" s="15" t="s">
        <v>1861</v>
      </c>
    </row>
    <row r="852" ht="15.95" spans="2:2">
      <c r="B852" s="122" t="s">
        <v>1862</v>
      </c>
    </row>
    <row r="853" spans="2:5">
      <c r="B853" s="15" t="s">
        <v>1863</v>
      </c>
      <c r="C853" s="15" t="s">
        <v>896</v>
      </c>
      <c r="D853" s="15" t="s">
        <v>770</v>
      </c>
      <c r="E853" s="15" t="s">
        <v>1864</v>
      </c>
    </row>
    <row r="854" spans="2:5">
      <c r="B854" s="15" t="s">
        <v>1863</v>
      </c>
      <c r="C854" s="15" t="s">
        <v>896</v>
      </c>
      <c r="D854" s="15" t="s">
        <v>772</v>
      </c>
      <c r="E854" s="15" t="s">
        <v>1865</v>
      </c>
    </row>
    <row r="855" spans="2:5">
      <c r="B855" s="15" t="s">
        <v>1863</v>
      </c>
      <c r="C855" s="15" t="s">
        <v>896</v>
      </c>
      <c r="D855" s="15" t="s">
        <v>774</v>
      </c>
      <c r="E855" s="15" t="s">
        <v>1866</v>
      </c>
    </row>
    <row r="856" spans="2:5">
      <c r="B856" s="15" t="s">
        <v>1863</v>
      </c>
      <c r="C856" s="15" t="s">
        <v>896</v>
      </c>
      <c r="D856" s="15" t="s">
        <v>828</v>
      </c>
      <c r="E856" s="15" t="s">
        <v>1867</v>
      </c>
    </row>
    <row r="857" spans="2:5">
      <c r="B857" s="15" t="s">
        <v>1863</v>
      </c>
      <c r="C857" s="15" t="s">
        <v>896</v>
      </c>
      <c r="D857" s="15" t="s">
        <v>901</v>
      </c>
      <c r="E857" s="15" t="s">
        <v>1868</v>
      </c>
    </row>
    <row r="858" ht="15.95" spans="2:2">
      <c r="B858" s="122" t="s">
        <v>1869</v>
      </c>
    </row>
    <row r="859" spans="2:5">
      <c r="B859" s="15" t="s">
        <v>1870</v>
      </c>
      <c r="C859" s="15" t="s">
        <v>1871</v>
      </c>
      <c r="D859" s="15" t="s">
        <v>770</v>
      </c>
      <c r="E859" s="15" t="s">
        <v>1597</v>
      </c>
    </row>
    <row r="860" spans="2:5">
      <c r="B860" s="15" t="s">
        <v>1870</v>
      </c>
      <c r="C860" s="15" t="s">
        <v>1871</v>
      </c>
      <c r="D860" s="15" t="s">
        <v>772</v>
      </c>
      <c r="E860" s="15" t="s">
        <v>1872</v>
      </c>
    </row>
    <row r="861" spans="2:5">
      <c r="B861" s="15" t="s">
        <v>1870</v>
      </c>
      <c r="C861" s="15" t="s">
        <v>1871</v>
      </c>
      <c r="D861" s="15" t="s">
        <v>774</v>
      </c>
      <c r="E861" s="15" t="s">
        <v>1873</v>
      </c>
    </row>
    <row r="862" spans="2:5">
      <c r="B862" s="15" t="s">
        <v>1870</v>
      </c>
      <c r="C862" s="15" t="s">
        <v>1871</v>
      </c>
      <c r="D862" s="15" t="s">
        <v>828</v>
      </c>
      <c r="E862" s="15" t="s">
        <v>1599</v>
      </c>
    </row>
    <row r="863" spans="2:5">
      <c r="B863" s="15" t="s">
        <v>1870</v>
      </c>
      <c r="C863" s="15" t="s">
        <v>1871</v>
      </c>
      <c r="D863" s="15" t="s">
        <v>901</v>
      </c>
      <c r="E863" s="15" t="s">
        <v>1600</v>
      </c>
    </row>
    <row r="864" ht="15.95" spans="2:2">
      <c r="B864" s="122" t="s">
        <v>1874</v>
      </c>
    </row>
    <row r="865" spans="2:5">
      <c r="B865" s="15" t="s">
        <v>1875</v>
      </c>
      <c r="C865" s="15" t="s">
        <v>1875</v>
      </c>
      <c r="D865" s="15" t="s">
        <v>723</v>
      </c>
      <c r="E865" s="15" t="s">
        <v>1876</v>
      </c>
    </row>
    <row r="866" spans="2:5">
      <c r="B866" s="15" t="s">
        <v>1875</v>
      </c>
      <c r="C866" s="15" t="s">
        <v>1875</v>
      </c>
      <c r="D866" s="15" t="s">
        <v>725</v>
      </c>
      <c r="E866" s="15" t="s">
        <v>1877</v>
      </c>
    </row>
    <row r="867" spans="2:5">
      <c r="B867" s="15" t="s">
        <v>1875</v>
      </c>
      <c r="C867" s="15" t="s">
        <v>1875</v>
      </c>
      <c r="D867" s="15" t="s">
        <v>727</v>
      </c>
      <c r="E867" s="15" t="s">
        <v>1878</v>
      </c>
    </row>
    <row r="868" spans="2:5">
      <c r="B868" s="15" t="s">
        <v>1875</v>
      </c>
      <c r="C868" s="15" t="s">
        <v>1875</v>
      </c>
      <c r="D868" s="15" t="s">
        <v>729</v>
      </c>
      <c r="E868" s="15" t="s">
        <v>1879</v>
      </c>
    </row>
    <row r="869" ht="15.95" spans="2:2">
      <c r="B869" s="122" t="s">
        <v>1880</v>
      </c>
    </row>
    <row r="870" spans="2:5">
      <c r="B870" s="15" t="s">
        <v>1881</v>
      </c>
      <c r="C870" s="15" t="s">
        <v>1881</v>
      </c>
      <c r="D870" s="15" t="s">
        <v>770</v>
      </c>
      <c r="E870" s="15" t="s">
        <v>1882</v>
      </c>
    </row>
    <row r="871" spans="2:5">
      <c r="B871" s="15" t="s">
        <v>1881</v>
      </c>
      <c r="C871" s="15" t="s">
        <v>1881</v>
      </c>
      <c r="D871" s="15" t="s">
        <v>772</v>
      </c>
      <c r="E871" s="15" t="s">
        <v>1883</v>
      </c>
    </row>
    <row r="872" spans="2:5">
      <c r="B872" s="15" t="s">
        <v>1881</v>
      </c>
      <c r="C872" s="15" t="s">
        <v>1881</v>
      </c>
      <c r="D872" s="15" t="s">
        <v>774</v>
      </c>
      <c r="E872" s="15" t="s">
        <v>1884</v>
      </c>
    </row>
    <row r="873" spans="2:5">
      <c r="B873" s="15" t="s">
        <v>1881</v>
      </c>
      <c r="C873" s="15" t="s">
        <v>1881</v>
      </c>
      <c r="D873" s="15" t="s">
        <v>828</v>
      </c>
      <c r="E873" s="15" t="s">
        <v>1885</v>
      </c>
    </row>
    <row r="874" ht="15.95" spans="2:2">
      <c r="B874" s="122" t="s">
        <v>1886</v>
      </c>
    </row>
    <row r="875" spans="2:5">
      <c r="B875" s="15" t="s">
        <v>1887</v>
      </c>
      <c r="C875" s="15" t="s">
        <v>1888</v>
      </c>
      <c r="D875" s="15" t="s">
        <v>770</v>
      </c>
      <c r="E875" s="15" t="s">
        <v>1889</v>
      </c>
    </row>
    <row r="876" spans="2:5">
      <c r="B876" s="15" t="s">
        <v>1887</v>
      </c>
      <c r="C876" s="15" t="s">
        <v>1888</v>
      </c>
      <c r="D876" s="15" t="s">
        <v>772</v>
      </c>
      <c r="E876" s="15" t="s">
        <v>1890</v>
      </c>
    </row>
    <row r="877" spans="2:5">
      <c r="B877" s="15" t="s">
        <v>1887</v>
      </c>
      <c r="C877" s="15" t="s">
        <v>1888</v>
      </c>
      <c r="D877" s="15" t="s">
        <v>774</v>
      </c>
      <c r="E877" s="15" t="s">
        <v>1891</v>
      </c>
    </row>
    <row r="878" ht="15.95" spans="2:2">
      <c r="B878" s="122" t="s">
        <v>1892</v>
      </c>
    </row>
    <row r="879" spans="2:5">
      <c r="B879" s="15" t="s">
        <v>1893</v>
      </c>
      <c r="C879" s="15" t="s">
        <v>1848</v>
      </c>
      <c r="D879" s="15" t="s">
        <v>770</v>
      </c>
      <c r="E879" s="15" t="s">
        <v>1894</v>
      </c>
    </row>
    <row r="880" spans="2:5">
      <c r="B880" s="15" t="s">
        <v>1893</v>
      </c>
      <c r="C880" s="15" t="s">
        <v>1848</v>
      </c>
      <c r="D880" s="15" t="s">
        <v>772</v>
      </c>
      <c r="E880" s="15" t="s">
        <v>1895</v>
      </c>
    </row>
    <row r="881" spans="2:5">
      <c r="B881" s="15" t="s">
        <v>1893</v>
      </c>
      <c r="C881" s="15" t="s">
        <v>1848</v>
      </c>
      <c r="D881" s="15" t="s">
        <v>774</v>
      </c>
      <c r="E881" s="15" t="s">
        <v>1896</v>
      </c>
    </row>
    <row r="882" spans="2:5">
      <c r="B882" s="15" t="s">
        <v>1893</v>
      </c>
      <c r="C882" s="15" t="s">
        <v>1848</v>
      </c>
      <c r="D882" s="15" t="s">
        <v>828</v>
      </c>
      <c r="E882" s="15" t="s">
        <v>1897</v>
      </c>
    </row>
    <row r="883" spans="2:5">
      <c r="B883" s="15" t="s">
        <v>1893</v>
      </c>
      <c r="C883" s="15" t="s">
        <v>1848</v>
      </c>
      <c r="D883" s="15" t="s">
        <v>901</v>
      </c>
      <c r="E883" s="15" t="s">
        <v>1898</v>
      </c>
    </row>
    <row r="884" spans="2:5">
      <c r="B884" s="15" t="s">
        <v>1893</v>
      </c>
      <c r="C884" s="15" t="s">
        <v>1848</v>
      </c>
      <c r="D884" s="15" t="s">
        <v>776</v>
      </c>
      <c r="E884" s="15" t="s">
        <v>235</v>
      </c>
    </row>
    <row r="885" ht="15.95" spans="2:2">
      <c r="B885" s="122" t="s">
        <v>1899</v>
      </c>
    </row>
    <row r="886" spans="2:5">
      <c r="B886" s="15" t="s">
        <v>1900</v>
      </c>
      <c r="C886" s="15" t="s">
        <v>1901</v>
      </c>
      <c r="D886" s="15" t="s">
        <v>635</v>
      </c>
      <c r="E886" s="15" t="s">
        <v>1902</v>
      </c>
    </row>
    <row r="887" spans="2:5">
      <c r="B887" s="15" t="s">
        <v>1900</v>
      </c>
      <c r="C887" s="15" t="s">
        <v>1901</v>
      </c>
      <c r="D887" s="15" t="s">
        <v>637</v>
      </c>
      <c r="E887" s="15" t="s">
        <v>1903</v>
      </c>
    </row>
    <row r="888" spans="2:5">
      <c r="B888" s="15" t="s">
        <v>1900</v>
      </c>
      <c r="C888" s="15" t="s">
        <v>1901</v>
      </c>
      <c r="D888" s="15" t="s">
        <v>639</v>
      </c>
      <c r="E888" s="15" t="s">
        <v>1903</v>
      </c>
    </row>
    <row r="889" spans="2:5">
      <c r="B889" s="15" t="s">
        <v>1900</v>
      </c>
      <c r="C889" s="15" t="s">
        <v>1901</v>
      </c>
      <c r="D889" s="15" t="s">
        <v>641</v>
      </c>
      <c r="E889" s="15" t="s">
        <v>1904</v>
      </c>
    </row>
    <row r="890" spans="2:5">
      <c r="B890" s="15" t="s">
        <v>1900</v>
      </c>
      <c r="C890" s="15" t="s">
        <v>1901</v>
      </c>
      <c r="D890" s="15" t="s">
        <v>1905</v>
      </c>
      <c r="E890" s="15" t="s">
        <v>1904</v>
      </c>
    </row>
    <row r="891" spans="2:5">
      <c r="B891" s="15" t="s">
        <v>1900</v>
      </c>
      <c r="C891" s="15" t="s">
        <v>1901</v>
      </c>
      <c r="D891" s="15" t="s">
        <v>659</v>
      </c>
      <c r="E891" s="15" t="s">
        <v>1906</v>
      </c>
    </row>
    <row r="892" spans="2:5">
      <c r="B892" s="15" t="s">
        <v>1900</v>
      </c>
      <c r="C892" s="15" t="s">
        <v>1901</v>
      </c>
      <c r="D892" s="15" t="s">
        <v>661</v>
      </c>
      <c r="E892" s="15" t="s">
        <v>1903</v>
      </c>
    </row>
    <row r="893" spans="2:5">
      <c r="B893" s="15" t="s">
        <v>1900</v>
      </c>
      <c r="C893" s="15" t="s">
        <v>1901</v>
      </c>
      <c r="D893" s="15" t="s">
        <v>1907</v>
      </c>
      <c r="E893" s="15" t="s">
        <v>1903</v>
      </c>
    </row>
    <row r="894" spans="2:5">
      <c r="B894" s="15" t="s">
        <v>1900</v>
      </c>
      <c r="C894" s="15" t="s">
        <v>1901</v>
      </c>
      <c r="D894" s="15" t="s">
        <v>663</v>
      </c>
      <c r="E894" s="15" t="s">
        <v>1904</v>
      </c>
    </row>
    <row r="895" spans="2:5">
      <c r="B895" s="15" t="s">
        <v>1900</v>
      </c>
      <c r="C895" s="15" t="s">
        <v>1901</v>
      </c>
      <c r="D895" s="15" t="s">
        <v>1908</v>
      </c>
      <c r="E895" s="15" t="s">
        <v>1904</v>
      </c>
    </row>
    <row r="896" ht="15.95" spans="2:2">
      <c r="B896" s="122" t="s">
        <v>1909</v>
      </c>
    </row>
    <row r="897" spans="2:5">
      <c r="B897" s="15" t="s">
        <v>1910</v>
      </c>
      <c r="C897" s="15" t="s">
        <v>1911</v>
      </c>
      <c r="D897" s="15" t="s">
        <v>770</v>
      </c>
      <c r="E897" s="15" t="s">
        <v>1912</v>
      </c>
    </row>
    <row r="898" spans="2:5">
      <c r="B898" s="15" t="s">
        <v>1910</v>
      </c>
      <c r="C898" s="15" t="s">
        <v>1911</v>
      </c>
      <c r="D898" s="15" t="s">
        <v>772</v>
      </c>
      <c r="E898" s="15" t="s">
        <v>1913</v>
      </c>
    </row>
    <row r="899" spans="2:5">
      <c r="B899" s="15" t="s">
        <v>1910</v>
      </c>
      <c r="C899" s="15" t="s">
        <v>1911</v>
      </c>
      <c r="D899" s="15" t="s">
        <v>774</v>
      </c>
      <c r="E899" s="15" t="s">
        <v>1914</v>
      </c>
    </row>
    <row r="900" spans="2:5">
      <c r="B900" s="15" t="s">
        <v>1910</v>
      </c>
      <c r="C900" s="15" t="s">
        <v>1911</v>
      </c>
      <c r="D900" s="15" t="s">
        <v>828</v>
      </c>
      <c r="E900" s="15" t="s">
        <v>1915</v>
      </c>
    </row>
    <row r="901" ht="15.95" spans="2:2">
      <c r="B901" s="122" t="s">
        <v>1916</v>
      </c>
    </row>
    <row r="902" spans="2:5">
      <c r="B902" s="15" t="s">
        <v>1917</v>
      </c>
      <c r="C902" s="15" t="s">
        <v>1918</v>
      </c>
      <c r="D902" s="15" t="s">
        <v>1267</v>
      </c>
      <c r="E902" s="15" t="s">
        <v>1355</v>
      </c>
    </row>
    <row r="903" spans="2:5">
      <c r="B903" s="15" t="s">
        <v>1917</v>
      </c>
      <c r="C903" s="15" t="s">
        <v>1918</v>
      </c>
      <c r="D903" s="15" t="s">
        <v>1269</v>
      </c>
      <c r="E903" s="15" t="s">
        <v>1356</v>
      </c>
    </row>
    <row r="904" spans="2:5">
      <c r="B904" s="15" t="s">
        <v>1917</v>
      </c>
      <c r="C904" s="15" t="s">
        <v>1918</v>
      </c>
      <c r="D904" s="15" t="s">
        <v>1919</v>
      </c>
      <c r="E904" s="15" t="s">
        <v>1920</v>
      </c>
    </row>
    <row r="905" ht="15.95" spans="2:2">
      <c r="B905" s="122" t="s">
        <v>1921</v>
      </c>
    </row>
    <row r="906" spans="2:5">
      <c r="B906" s="15" t="s">
        <v>1922</v>
      </c>
      <c r="C906" s="15" t="s">
        <v>1923</v>
      </c>
      <c r="D906" s="15" t="s">
        <v>770</v>
      </c>
      <c r="E906" s="15" t="s">
        <v>1924</v>
      </c>
    </row>
    <row r="907" spans="2:5">
      <c r="B907" s="15" t="s">
        <v>1922</v>
      </c>
      <c r="C907" s="15" t="s">
        <v>1923</v>
      </c>
      <c r="D907" s="15" t="s">
        <v>772</v>
      </c>
      <c r="E907" s="15" t="s">
        <v>1925</v>
      </c>
    </row>
    <row r="908" spans="2:5">
      <c r="B908" s="15" t="s">
        <v>1922</v>
      </c>
      <c r="C908" s="15" t="s">
        <v>1923</v>
      </c>
      <c r="D908" s="15" t="s">
        <v>774</v>
      </c>
      <c r="E908" s="15" t="s">
        <v>1926</v>
      </c>
    </row>
    <row r="909" ht="15.95" spans="2:2">
      <c r="B909" s="122" t="s">
        <v>1927</v>
      </c>
    </row>
    <row r="910" spans="2:5">
      <c r="B910" s="15" t="s">
        <v>1928</v>
      </c>
      <c r="C910" s="15" t="s">
        <v>1929</v>
      </c>
      <c r="D910" s="15" t="s">
        <v>917</v>
      </c>
      <c r="E910" s="15" t="s">
        <v>1930</v>
      </c>
    </row>
    <row r="911" spans="2:5">
      <c r="B911" s="15" t="s">
        <v>1928</v>
      </c>
      <c r="C911" s="15" t="s">
        <v>1929</v>
      </c>
      <c r="D911" s="15" t="s">
        <v>919</v>
      </c>
      <c r="E911" s="15" t="s">
        <v>954</v>
      </c>
    </row>
    <row r="912" spans="2:5">
      <c r="B912" s="15" t="s">
        <v>1928</v>
      </c>
      <c r="C912" s="15" t="s">
        <v>1929</v>
      </c>
      <c r="D912" s="15" t="s">
        <v>921</v>
      </c>
      <c r="E912" s="15" t="s">
        <v>1931</v>
      </c>
    </row>
    <row r="913" spans="2:5">
      <c r="B913" s="15" t="s">
        <v>1928</v>
      </c>
      <c r="C913" s="15" t="s">
        <v>1929</v>
      </c>
      <c r="D913" s="15" t="s">
        <v>923</v>
      </c>
      <c r="E913" s="15" t="s">
        <v>1932</v>
      </c>
    </row>
    <row r="914" ht="15.95" spans="2:2">
      <c r="B914" s="122" t="s">
        <v>1933</v>
      </c>
    </row>
    <row r="915" spans="2:5">
      <c r="B915" s="15" t="s">
        <v>1934</v>
      </c>
      <c r="C915" s="15" t="s">
        <v>1934</v>
      </c>
      <c r="D915" s="15" t="s">
        <v>723</v>
      </c>
      <c r="E915" s="15" t="s">
        <v>1935</v>
      </c>
    </row>
    <row r="916" spans="2:5">
      <c r="B916" s="15" t="s">
        <v>1934</v>
      </c>
      <c r="C916" s="15" t="s">
        <v>1934</v>
      </c>
      <c r="D916" s="15" t="s">
        <v>725</v>
      </c>
      <c r="E916" s="15" t="s">
        <v>1203</v>
      </c>
    </row>
    <row r="917" spans="2:5">
      <c r="B917" s="15" t="s">
        <v>1934</v>
      </c>
      <c r="C917" s="15" t="s">
        <v>1934</v>
      </c>
      <c r="D917" s="15" t="s">
        <v>727</v>
      </c>
      <c r="E917" s="15" t="s">
        <v>1936</v>
      </c>
    </row>
    <row r="918" ht="15.95" spans="2:2">
      <c r="B918" s="122" t="s">
        <v>1937</v>
      </c>
    </row>
    <row r="919" spans="2:5">
      <c r="B919" s="15" t="s">
        <v>1938</v>
      </c>
      <c r="C919" s="15" t="s">
        <v>1939</v>
      </c>
      <c r="D919" s="15" t="s">
        <v>1432</v>
      </c>
      <c r="E919" s="15" t="s">
        <v>1940</v>
      </c>
    </row>
    <row r="920" spans="2:5">
      <c r="B920" s="15" t="s">
        <v>1938</v>
      </c>
      <c r="C920" s="15" t="s">
        <v>1939</v>
      </c>
      <c r="D920" s="15" t="s">
        <v>723</v>
      </c>
      <c r="E920" s="15" t="s">
        <v>1439</v>
      </c>
    </row>
    <row r="921" ht="15.95" spans="2:2">
      <c r="B921" s="122" t="s">
        <v>1941</v>
      </c>
    </row>
    <row r="922" spans="2:5">
      <c r="B922" s="15" t="s">
        <v>1942</v>
      </c>
      <c r="C922" s="15" t="s">
        <v>1943</v>
      </c>
      <c r="D922" s="15" t="s">
        <v>770</v>
      </c>
      <c r="E922" s="15" t="s">
        <v>1944</v>
      </c>
    </row>
    <row r="923" spans="2:5">
      <c r="B923" s="15" t="s">
        <v>1942</v>
      </c>
      <c r="C923" s="15" t="s">
        <v>1943</v>
      </c>
      <c r="D923" s="15" t="s">
        <v>772</v>
      </c>
      <c r="E923" s="15" t="s">
        <v>1945</v>
      </c>
    </row>
    <row r="924" ht="15.95" spans="2:2">
      <c r="B924" s="122" t="s">
        <v>1946</v>
      </c>
    </row>
    <row r="925" spans="2:5">
      <c r="B925" s="15" t="s">
        <v>1947</v>
      </c>
      <c r="C925" s="15" t="s">
        <v>1948</v>
      </c>
      <c r="D925" s="15" t="s">
        <v>770</v>
      </c>
      <c r="E925" s="15" t="s">
        <v>1949</v>
      </c>
    </row>
    <row r="926" spans="2:5">
      <c r="B926" s="15" t="s">
        <v>1947</v>
      </c>
      <c r="C926" s="15" t="s">
        <v>1948</v>
      </c>
      <c r="D926" s="15" t="s">
        <v>772</v>
      </c>
      <c r="E926" s="15" t="s">
        <v>1950</v>
      </c>
    </row>
    <row r="927" spans="2:5">
      <c r="B927" s="15" t="s">
        <v>1947</v>
      </c>
      <c r="C927" s="15" t="s">
        <v>1948</v>
      </c>
      <c r="D927" s="15" t="s">
        <v>774</v>
      </c>
      <c r="E927" s="15" t="s">
        <v>1951</v>
      </c>
    </row>
    <row r="928" spans="2:5">
      <c r="B928" s="15" t="s">
        <v>1947</v>
      </c>
      <c r="C928" s="15" t="s">
        <v>1948</v>
      </c>
      <c r="D928" s="15" t="s">
        <v>828</v>
      </c>
      <c r="E928" s="15" t="s">
        <v>1952</v>
      </c>
    </row>
    <row r="929" spans="2:5">
      <c r="B929" s="15" t="s">
        <v>1947</v>
      </c>
      <c r="C929" s="15" t="s">
        <v>1948</v>
      </c>
      <c r="D929" s="15" t="s">
        <v>901</v>
      </c>
      <c r="E929" s="15" t="s">
        <v>1953</v>
      </c>
    </row>
    <row r="930" spans="2:5">
      <c r="B930" s="15" t="s">
        <v>1947</v>
      </c>
      <c r="C930" s="15" t="s">
        <v>1948</v>
      </c>
      <c r="D930" s="15" t="s">
        <v>776</v>
      </c>
      <c r="E930" s="15" t="s">
        <v>1954</v>
      </c>
    </row>
    <row r="931" spans="2:5">
      <c r="B931" s="15" t="s">
        <v>1947</v>
      </c>
      <c r="C931" s="15" t="s">
        <v>1948</v>
      </c>
      <c r="D931" s="15" t="s">
        <v>1290</v>
      </c>
      <c r="E931" s="15" t="s">
        <v>1955</v>
      </c>
    </row>
    <row r="932" spans="2:5">
      <c r="B932" s="15" t="s">
        <v>1947</v>
      </c>
      <c r="C932" s="15" t="s">
        <v>1948</v>
      </c>
      <c r="D932" s="15" t="s">
        <v>1409</v>
      </c>
      <c r="E932" s="15" t="s">
        <v>1956</v>
      </c>
    </row>
    <row r="933" spans="2:5">
      <c r="B933" s="15" t="s">
        <v>1947</v>
      </c>
      <c r="C933" s="15" t="s">
        <v>1948</v>
      </c>
      <c r="D933" s="15" t="s">
        <v>1411</v>
      </c>
      <c r="E933" s="15" t="s">
        <v>1957</v>
      </c>
    </row>
    <row r="934" ht="15.95" spans="2:2">
      <c r="B934" s="122" t="s">
        <v>1958</v>
      </c>
    </row>
    <row r="935" spans="2:5">
      <c r="B935" s="15" t="s">
        <v>1959</v>
      </c>
      <c r="C935" s="15" t="s">
        <v>1959</v>
      </c>
      <c r="D935" s="15" t="s">
        <v>723</v>
      </c>
      <c r="E935" s="15" t="s">
        <v>1960</v>
      </c>
    </row>
    <row r="936" spans="2:5">
      <c r="B936" s="15" t="s">
        <v>1959</v>
      </c>
      <c r="C936" s="15" t="s">
        <v>1959</v>
      </c>
      <c r="D936" s="15" t="s">
        <v>725</v>
      </c>
      <c r="E936" s="15" t="s">
        <v>1961</v>
      </c>
    </row>
    <row r="937" spans="2:5">
      <c r="B937" s="15" t="s">
        <v>1959</v>
      </c>
      <c r="C937" s="15" t="s">
        <v>1959</v>
      </c>
      <c r="D937" s="15" t="s">
        <v>727</v>
      </c>
      <c r="E937" s="15" t="s">
        <v>1962</v>
      </c>
    </row>
    <row r="938" ht="15.95" spans="2:2">
      <c r="B938" s="122" t="s">
        <v>1963</v>
      </c>
    </row>
    <row r="939" spans="2:5">
      <c r="B939" s="15" t="s">
        <v>1964</v>
      </c>
      <c r="C939" s="15" t="s">
        <v>1965</v>
      </c>
      <c r="D939" s="15" t="s">
        <v>917</v>
      </c>
      <c r="E939" s="15" t="s">
        <v>953</v>
      </c>
    </row>
    <row r="940" spans="2:5">
      <c r="B940" s="15" t="s">
        <v>1964</v>
      </c>
      <c r="C940" s="15" t="s">
        <v>1965</v>
      </c>
      <c r="D940" s="15" t="s">
        <v>919</v>
      </c>
      <c r="E940" s="15" t="s">
        <v>954</v>
      </c>
    </row>
    <row r="941" spans="2:5">
      <c r="B941" s="15" t="s">
        <v>1964</v>
      </c>
      <c r="C941" s="15" t="s">
        <v>1965</v>
      </c>
      <c r="D941" s="15" t="s">
        <v>955</v>
      </c>
      <c r="E941" s="15" t="s">
        <v>956</v>
      </c>
    </row>
    <row r="942" ht="15.95" spans="2:2">
      <c r="B942" s="122" t="s">
        <v>1966</v>
      </c>
    </row>
    <row r="943" spans="2:5">
      <c r="B943" s="15" t="s">
        <v>1967</v>
      </c>
      <c r="C943" s="15" t="s">
        <v>1968</v>
      </c>
      <c r="D943" s="15" t="s">
        <v>635</v>
      </c>
      <c r="E943" s="15" t="s">
        <v>1969</v>
      </c>
    </row>
    <row r="944" spans="2:5">
      <c r="B944" s="15" t="s">
        <v>1967</v>
      </c>
      <c r="C944" s="15" t="s">
        <v>1968</v>
      </c>
      <c r="D944" s="15" t="s">
        <v>659</v>
      </c>
      <c r="E944" s="15" t="s">
        <v>1970</v>
      </c>
    </row>
    <row r="945" ht="15.95" spans="2:2">
      <c r="B945" s="122" t="s">
        <v>1971</v>
      </c>
    </row>
    <row r="946" spans="2:5">
      <c r="B946" s="15" t="s">
        <v>1972</v>
      </c>
      <c r="C946" s="15" t="s">
        <v>1973</v>
      </c>
      <c r="D946" s="15" t="s">
        <v>1432</v>
      </c>
      <c r="E946" s="15" t="s">
        <v>1439</v>
      </c>
    </row>
    <row r="947" spans="2:5">
      <c r="B947" s="15" t="s">
        <v>1972</v>
      </c>
      <c r="C947" s="15" t="s">
        <v>1973</v>
      </c>
      <c r="D947" s="15" t="s">
        <v>723</v>
      </c>
      <c r="E947" s="15" t="s">
        <v>1974</v>
      </c>
    </row>
    <row r="948" spans="2:5">
      <c r="B948" s="15" t="s">
        <v>1972</v>
      </c>
      <c r="C948" s="15" t="s">
        <v>1973</v>
      </c>
      <c r="D948" s="15" t="s">
        <v>725</v>
      </c>
      <c r="E948" s="15" t="s">
        <v>1975</v>
      </c>
    </row>
    <row r="949" spans="2:5">
      <c r="B949" s="15" t="s">
        <v>1972</v>
      </c>
      <c r="C949" s="15" t="s">
        <v>1973</v>
      </c>
      <c r="D949" s="15" t="s">
        <v>727</v>
      </c>
      <c r="E949" s="15" t="s">
        <v>1976</v>
      </c>
    </row>
    <row r="950" spans="2:5">
      <c r="B950" s="15" t="s">
        <v>1972</v>
      </c>
      <c r="C950" s="15" t="s">
        <v>1973</v>
      </c>
      <c r="D950" s="15" t="s">
        <v>729</v>
      </c>
      <c r="E950" s="15" t="s">
        <v>1977</v>
      </c>
    </row>
    <row r="951" ht="15.95" spans="2:2">
      <c r="B951" s="122" t="s">
        <v>1978</v>
      </c>
    </row>
    <row r="952" spans="2:5">
      <c r="B952" s="15" t="s">
        <v>1979</v>
      </c>
      <c r="C952" s="15" t="s">
        <v>1979</v>
      </c>
      <c r="D952" s="15" t="s">
        <v>723</v>
      </c>
      <c r="E952" s="15" t="s">
        <v>1980</v>
      </c>
    </row>
    <row r="953" spans="2:5">
      <c r="B953" s="15" t="s">
        <v>1979</v>
      </c>
      <c r="C953" s="15" t="s">
        <v>1979</v>
      </c>
      <c r="D953" s="15" t="s">
        <v>725</v>
      </c>
      <c r="E953" s="15" t="s">
        <v>1981</v>
      </c>
    </row>
    <row r="954" spans="2:5">
      <c r="B954" s="15" t="s">
        <v>1979</v>
      </c>
      <c r="C954" s="15" t="s">
        <v>1979</v>
      </c>
      <c r="D954" s="15" t="s">
        <v>727</v>
      </c>
      <c r="E954" s="15" t="s">
        <v>1982</v>
      </c>
    </row>
    <row r="955" spans="2:5">
      <c r="B955" s="15" t="s">
        <v>1979</v>
      </c>
      <c r="C955" s="15" t="s">
        <v>1979</v>
      </c>
      <c r="D955" s="15" t="s">
        <v>729</v>
      </c>
      <c r="E955" s="15" t="s">
        <v>1983</v>
      </c>
    </row>
    <row r="956" spans="2:5">
      <c r="B956" s="15" t="s">
        <v>1979</v>
      </c>
      <c r="C956" s="15" t="s">
        <v>1979</v>
      </c>
      <c r="D956" s="15" t="s">
        <v>760</v>
      </c>
      <c r="E956" s="15" t="s">
        <v>1984</v>
      </c>
    </row>
    <row r="957" ht="15.95" spans="2:2">
      <c r="B957" s="122" t="s">
        <v>1985</v>
      </c>
    </row>
    <row r="958" spans="2:5">
      <c r="B958" s="15" t="s">
        <v>1986</v>
      </c>
      <c r="C958" s="15" t="s">
        <v>1987</v>
      </c>
      <c r="D958" s="15" t="s">
        <v>635</v>
      </c>
      <c r="E958" s="15" t="s">
        <v>636</v>
      </c>
    </row>
    <row r="959" spans="2:5">
      <c r="B959" s="15" t="s">
        <v>1986</v>
      </c>
      <c r="C959" s="15" t="s">
        <v>1987</v>
      </c>
      <c r="D959" s="15" t="s">
        <v>637</v>
      </c>
      <c r="E959" s="15" t="s">
        <v>1988</v>
      </c>
    </row>
    <row r="960" spans="2:5">
      <c r="B960" s="15" t="s">
        <v>1986</v>
      </c>
      <c r="C960" s="15" t="s">
        <v>1987</v>
      </c>
      <c r="D960" s="15" t="s">
        <v>641</v>
      </c>
      <c r="E960" s="15" t="s">
        <v>1989</v>
      </c>
    </row>
    <row r="961" spans="2:5">
      <c r="B961" s="15" t="s">
        <v>1986</v>
      </c>
      <c r="C961" s="15" t="s">
        <v>1987</v>
      </c>
      <c r="D961" s="15" t="s">
        <v>643</v>
      </c>
      <c r="E961" s="15" t="s">
        <v>1990</v>
      </c>
    </row>
    <row r="962" spans="2:5">
      <c r="B962" s="15" t="s">
        <v>1986</v>
      </c>
      <c r="C962" s="15" t="s">
        <v>1987</v>
      </c>
      <c r="D962" s="15" t="s">
        <v>645</v>
      </c>
      <c r="E962" s="15" t="s">
        <v>1991</v>
      </c>
    </row>
    <row r="963" spans="2:5">
      <c r="B963" s="15" t="s">
        <v>1986</v>
      </c>
      <c r="C963" s="15" t="s">
        <v>1987</v>
      </c>
      <c r="D963" s="15" t="s">
        <v>647</v>
      </c>
      <c r="E963" s="15" t="s">
        <v>1992</v>
      </c>
    </row>
    <row r="964" spans="2:5">
      <c r="B964" s="15" t="s">
        <v>1986</v>
      </c>
      <c r="C964" s="15" t="s">
        <v>1987</v>
      </c>
      <c r="D964" s="15" t="s">
        <v>649</v>
      </c>
      <c r="E964" s="15" t="s">
        <v>1993</v>
      </c>
    </row>
    <row r="965" spans="2:5">
      <c r="B965" s="15" t="s">
        <v>1986</v>
      </c>
      <c r="C965" s="15" t="s">
        <v>1987</v>
      </c>
      <c r="D965" s="15" t="s">
        <v>651</v>
      </c>
      <c r="E965" s="15" t="s">
        <v>1994</v>
      </c>
    </row>
    <row r="966" spans="2:5">
      <c r="B966" s="15" t="s">
        <v>1986</v>
      </c>
      <c r="C966" s="15" t="s">
        <v>1987</v>
      </c>
      <c r="D966" s="15" t="s">
        <v>653</v>
      </c>
      <c r="E966" s="15" t="s">
        <v>1995</v>
      </c>
    </row>
    <row r="967" spans="2:5">
      <c r="B967" s="15" t="s">
        <v>1986</v>
      </c>
      <c r="C967" s="15" t="s">
        <v>1987</v>
      </c>
      <c r="D967" s="15" t="s">
        <v>655</v>
      </c>
      <c r="E967" s="15" t="s">
        <v>1996</v>
      </c>
    </row>
    <row r="968" spans="2:5">
      <c r="B968" s="15" t="s">
        <v>1986</v>
      </c>
      <c r="C968" s="15" t="s">
        <v>1987</v>
      </c>
      <c r="D968" s="15" t="s">
        <v>657</v>
      </c>
      <c r="E968" s="15" t="s">
        <v>1997</v>
      </c>
    </row>
    <row r="969" spans="2:5">
      <c r="B969" s="15" t="s">
        <v>1986</v>
      </c>
      <c r="C969" s="15" t="s">
        <v>1987</v>
      </c>
      <c r="D969" s="15" t="s">
        <v>1998</v>
      </c>
      <c r="E969" s="15" t="s">
        <v>1999</v>
      </c>
    </row>
    <row r="970" spans="2:5">
      <c r="B970" s="15" t="s">
        <v>1986</v>
      </c>
      <c r="C970" s="15" t="s">
        <v>1987</v>
      </c>
      <c r="D970" s="15" t="s">
        <v>2000</v>
      </c>
      <c r="E970" s="15" t="s">
        <v>2001</v>
      </c>
    </row>
    <row r="971" spans="2:5">
      <c r="B971" s="15" t="s">
        <v>1986</v>
      </c>
      <c r="C971" s="15" t="s">
        <v>1987</v>
      </c>
      <c r="D971" s="15" t="s">
        <v>2002</v>
      </c>
      <c r="E971" s="15" t="s">
        <v>2003</v>
      </c>
    </row>
    <row r="972" spans="2:5">
      <c r="B972" s="15" t="s">
        <v>1986</v>
      </c>
      <c r="C972" s="15" t="s">
        <v>1987</v>
      </c>
      <c r="D972" s="15" t="s">
        <v>2004</v>
      </c>
      <c r="E972" s="15" t="s">
        <v>2005</v>
      </c>
    </row>
    <row r="973" spans="2:5">
      <c r="B973" s="15" t="s">
        <v>1986</v>
      </c>
      <c r="C973" s="15" t="s">
        <v>1987</v>
      </c>
      <c r="D973" s="15" t="s">
        <v>2006</v>
      </c>
      <c r="E973" s="15" t="s">
        <v>2007</v>
      </c>
    </row>
    <row r="974" spans="2:5">
      <c r="B974" s="15" t="s">
        <v>1986</v>
      </c>
      <c r="C974" s="15" t="s">
        <v>1987</v>
      </c>
      <c r="D974" s="15" t="s">
        <v>2008</v>
      </c>
      <c r="E974" s="15" t="s">
        <v>2009</v>
      </c>
    </row>
    <row r="975" spans="2:5">
      <c r="B975" s="15" t="s">
        <v>1986</v>
      </c>
      <c r="C975" s="15" t="s">
        <v>1987</v>
      </c>
      <c r="D975" s="15" t="s">
        <v>2010</v>
      </c>
      <c r="E975" s="15" t="s">
        <v>2011</v>
      </c>
    </row>
    <row r="976" spans="2:5">
      <c r="B976" s="15" t="s">
        <v>1986</v>
      </c>
      <c r="C976" s="15" t="s">
        <v>1987</v>
      </c>
      <c r="D976" s="15" t="s">
        <v>2012</v>
      </c>
      <c r="E976" s="15" t="s">
        <v>2013</v>
      </c>
    </row>
    <row r="977" spans="2:5">
      <c r="B977" s="15" t="s">
        <v>1986</v>
      </c>
      <c r="C977" s="15" t="s">
        <v>1987</v>
      </c>
      <c r="D977" s="15" t="s">
        <v>2014</v>
      </c>
      <c r="E977" s="15" t="s">
        <v>2015</v>
      </c>
    </row>
    <row r="978" spans="2:5">
      <c r="B978" s="15" t="s">
        <v>1986</v>
      </c>
      <c r="C978" s="15" t="s">
        <v>1987</v>
      </c>
      <c r="D978" s="15" t="s">
        <v>2016</v>
      </c>
      <c r="E978" s="15" t="s">
        <v>706</v>
      </c>
    </row>
    <row r="979" spans="2:5">
      <c r="B979" s="15" t="s">
        <v>1986</v>
      </c>
      <c r="C979" s="15" t="s">
        <v>1987</v>
      </c>
      <c r="D979" s="15" t="s">
        <v>679</v>
      </c>
      <c r="E979" s="15" t="s">
        <v>660</v>
      </c>
    </row>
    <row r="980" spans="2:5">
      <c r="B980" s="15" t="s">
        <v>1986</v>
      </c>
      <c r="C980" s="15" t="s">
        <v>1987</v>
      </c>
      <c r="D980" s="15" t="s">
        <v>681</v>
      </c>
      <c r="E980" s="15" t="s">
        <v>2017</v>
      </c>
    </row>
    <row r="981" spans="2:5">
      <c r="B981" s="15" t="s">
        <v>1986</v>
      </c>
      <c r="C981" s="15" t="s">
        <v>1987</v>
      </c>
      <c r="D981" s="15" t="s">
        <v>705</v>
      </c>
      <c r="E981" s="15" t="s">
        <v>2018</v>
      </c>
    </row>
    <row r="982" spans="2:5">
      <c r="B982" s="15" t="s">
        <v>1986</v>
      </c>
      <c r="C982" s="15" t="s">
        <v>1987</v>
      </c>
      <c r="D982" s="15" t="s">
        <v>707</v>
      </c>
      <c r="E982" s="15" t="s">
        <v>2019</v>
      </c>
    </row>
    <row r="983" spans="2:5">
      <c r="B983" s="15" t="s">
        <v>1986</v>
      </c>
      <c r="C983" s="15" t="s">
        <v>1987</v>
      </c>
      <c r="D983" s="15" t="s">
        <v>2020</v>
      </c>
      <c r="E983" s="15" t="s">
        <v>2021</v>
      </c>
    </row>
    <row r="984" spans="2:5">
      <c r="B984" s="15" t="s">
        <v>1986</v>
      </c>
      <c r="C984" s="15" t="s">
        <v>1987</v>
      </c>
      <c r="D984" s="15" t="s">
        <v>2022</v>
      </c>
      <c r="E984" s="15" t="s">
        <v>2023</v>
      </c>
    </row>
    <row r="985" spans="2:5">
      <c r="B985" s="15" t="s">
        <v>1986</v>
      </c>
      <c r="C985" s="15" t="s">
        <v>1987</v>
      </c>
      <c r="D985" s="15" t="s">
        <v>709</v>
      </c>
      <c r="E985" s="15" t="s">
        <v>2024</v>
      </c>
    </row>
    <row r="986" spans="2:5">
      <c r="B986" s="15" t="s">
        <v>1986</v>
      </c>
      <c r="C986" s="15" t="s">
        <v>1987</v>
      </c>
      <c r="D986" s="15" t="s">
        <v>711</v>
      </c>
      <c r="E986" s="15" t="s">
        <v>2025</v>
      </c>
    </row>
    <row r="987" spans="2:5">
      <c r="B987" s="15" t="s">
        <v>1986</v>
      </c>
      <c r="C987" s="15" t="s">
        <v>1987</v>
      </c>
      <c r="D987" s="15" t="s">
        <v>2026</v>
      </c>
      <c r="E987" s="15" t="s">
        <v>2027</v>
      </c>
    </row>
    <row r="988" spans="2:5">
      <c r="B988" s="15" t="s">
        <v>1986</v>
      </c>
      <c r="C988" s="15" t="s">
        <v>1987</v>
      </c>
      <c r="D988" s="15" t="s">
        <v>2028</v>
      </c>
      <c r="E988" s="15" t="s">
        <v>2029</v>
      </c>
    </row>
    <row r="989" spans="2:5">
      <c r="B989" s="15" t="s">
        <v>1986</v>
      </c>
      <c r="C989" s="15" t="s">
        <v>1987</v>
      </c>
      <c r="D989" s="15" t="s">
        <v>2030</v>
      </c>
      <c r="E989" s="15" t="s">
        <v>2031</v>
      </c>
    </row>
    <row r="990" spans="2:5">
      <c r="B990" s="15" t="s">
        <v>1986</v>
      </c>
      <c r="C990" s="15" t="s">
        <v>1987</v>
      </c>
      <c r="D990" s="15" t="s">
        <v>2032</v>
      </c>
      <c r="E990" s="15" t="s">
        <v>2033</v>
      </c>
    </row>
    <row r="991" spans="2:5">
      <c r="B991" s="15" t="s">
        <v>1986</v>
      </c>
      <c r="C991" s="15" t="s">
        <v>1987</v>
      </c>
      <c r="D991" s="15" t="s">
        <v>2034</v>
      </c>
      <c r="E991" s="15" t="s">
        <v>2035</v>
      </c>
    </row>
    <row r="992" spans="2:5">
      <c r="B992" s="15" t="s">
        <v>1986</v>
      </c>
      <c r="C992" s="15" t="s">
        <v>1987</v>
      </c>
      <c r="D992" s="15" t="s">
        <v>2036</v>
      </c>
      <c r="E992" s="15" t="s">
        <v>2037</v>
      </c>
    </row>
    <row r="993" spans="2:5">
      <c r="B993" s="15" t="s">
        <v>1986</v>
      </c>
      <c r="C993" s="15" t="s">
        <v>1987</v>
      </c>
      <c r="D993" s="15" t="s">
        <v>2038</v>
      </c>
      <c r="E993" s="15" t="s">
        <v>2039</v>
      </c>
    </row>
    <row r="994" spans="2:5">
      <c r="B994" s="15" t="s">
        <v>1986</v>
      </c>
      <c r="C994" s="15" t="s">
        <v>1987</v>
      </c>
      <c r="D994" s="15" t="s">
        <v>2040</v>
      </c>
      <c r="E994" s="15" t="s">
        <v>2041</v>
      </c>
    </row>
    <row r="995" spans="2:5">
      <c r="B995" s="15" t="s">
        <v>1986</v>
      </c>
      <c r="C995" s="15" t="s">
        <v>1987</v>
      </c>
      <c r="D995" s="15" t="s">
        <v>2042</v>
      </c>
      <c r="E995" s="15" t="s">
        <v>2043</v>
      </c>
    </row>
    <row r="996" spans="2:5">
      <c r="B996" s="15" t="s">
        <v>1986</v>
      </c>
      <c r="C996" s="15" t="s">
        <v>1987</v>
      </c>
      <c r="D996" s="15" t="s">
        <v>838</v>
      </c>
      <c r="E996" s="15" t="s">
        <v>710</v>
      </c>
    </row>
    <row r="997" spans="2:5">
      <c r="B997" s="15" t="s">
        <v>1986</v>
      </c>
      <c r="C997" s="15" t="s">
        <v>1987</v>
      </c>
      <c r="D997" s="15" t="s">
        <v>2044</v>
      </c>
      <c r="E997" s="15" t="s">
        <v>712</v>
      </c>
    </row>
    <row r="998" spans="2:5">
      <c r="B998" s="15" t="s">
        <v>1986</v>
      </c>
      <c r="C998" s="15" t="s">
        <v>1987</v>
      </c>
      <c r="D998" s="15" t="s">
        <v>2045</v>
      </c>
      <c r="E998" s="15" t="s">
        <v>2046</v>
      </c>
    </row>
    <row r="999" spans="2:5">
      <c r="B999" s="15" t="s">
        <v>1986</v>
      </c>
      <c r="C999" s="15" t="s">
        <v>1987</v>
      </c>
      <c r="D999" s="15" t="s">
        <v>2047</v>
      </c>
      <c r="E999" s="15" t="s">
        <v>2048</v>
      </c>
    </row>
    <row r="1000" spans="2:5">
      <c r="B1000" s="15" t="s">
        <v>1986</v>
      </c>
      <c r="C1000" s="15" t="s">
        <v>1987</v>
      </c>
      <c r="D1000" s="15" t="s">
        <v>2049</v>
      </c>
      <c r="E1000" s="15" t="s">
        <v>2050</v>
      </c>
    </row>
    <row r="1001" spans="2:5">
      <c r="B1001" s="15" t="s">
        <v>1986</v>
      </c>
      <c r="C1001" s="15" t="s">
        <v>1987</v>
      </c>
      <c r="D1001" s="15" t="s">
        <v>2051</v>
      </c>
      <c r="E1001" s="15" t="s">
        <v>2052</v>
      </c>
    </row>
    <row r="1002" spans="2:5">
      <c r="B1002" s="15" t="s">
        <v>1986</v>
      </c>
      <c r="C1002" s="15" t="s">
        <v>1987</v>
      </c>
      <c r="D1002" s="15" t="s">
        <v>2053</v>
      </c>
      <c r="E1002" s="15" t="s">
        <v>2054</v>
      </c>
    </row>
    <row r="1003" spans="2:5">
      <c r="B1003" s="15" t="s">
        <v>1986</v>
      </c>
      <c r="C1003" s="15" t="s">
        <v>1987</v>
      </c>
      <c r="D1003" s="15" t="s">
        <v>840</v>
      </c>
      <c r="E1003" s="15" t="s">
        <v>2055</v>
      </c>
    </row>
    <row r="1004" spans="2:5">
      <c r="B1004" s="15" t="s">
        <v>1986</v>
      </c>
      <c r="C1004" s="15" t="s">
        <v>1987</v>
      </c>
      <c r="D1004" s="15" t="s">
        <v>2056</v>
      </c>
      <c r="E1004" s="15" t="s">
        <v>2057</v>
      </c>
    </row>
    <row r="1005" spans="2:5">
      <c r="B1005" s="15" t="s">
        <v>1986</v>
      </c>
      <c r="C1005" s="15" t="s">
        <v>1987</v>
      </c>
      <c r="D1005" s="15" t="s">
        <v>2058</v>
      </c>
      <c r="E1005" s="15" t="s">
        <v>2059</v>
      </c>
    </row>
    <row r="1006" spans="2:5">
      <c r="B1006" s="15" t="s">
        <v>1986</v>
      </c>
      <c r="C1006" s="15" t="s">
        <v>1987</v>
      </c>
      <c r="D1006" s="15" t="s">
        <v>2060</v>
      </c>
      <c r="E1006" s="15" t="s">
        <v>2061</v>
      </c>
    </row>
    <row r="1007" spans="2:5">
      <c r="B1007" s="15" t="s">
        <v>1986</v>
      </c>
      <c r="C1007" s="15" t="s">
        <v>1987</v>
      </c>
      <c r="D1007" s="15" t="s">
        <v>2062</v>
      </c>
      <c r="E1007" s="15" t="s">
        <v>2063</v>
      </c>
    </row>
    <row r="1008" spans="2:5">
      <c r="B1008" s="15" t="s">
        <v>1986</v>
      </c>
      <c r="C1008" s="15" t="s">
        <v>1987</v>
      </c>
      <c r="D1008" s="15" t="s">
        <v>2064</v>
      </c>
      <c r="E1008" s="15" t="s">
        <v>2065</v>
      </c>
    </row>
    <row r="1009" spans="2:5">
      <c r="B1009" s="15" t="s">
        <v>1986</v>
      </c>
      <c r="C1009" s="15" t="s">
        <v>1987</v>
      </c>
      <c r="D1009" s="15" t="s">
        <v>2066</v>
      </c>
      <c r="E1009" s="15" t="s">
        <v>2067</v>
      </c>
    </row>
    <row r="1010" spans="2:5">
      <c r="B1010" s="15" t="s">
        <v>1986</v>
      </c>
      <c r="C1010" s="15" t="s">
        <v>1987</v>
      </c>
      <c r="D1010" s="15" t="s">
        <v>2068</v>
      </c>
      <c r="E1010" s="15" t="s">
        <v>2069</v>
      </c>
    </row>
    <row r="1011" spans="2:5">
      <c r="B1011" s="15" t="s">
        <v>1986</v>
      </c>
      <c r="C1011" s="15" t="s">
        <v>1987</v>
      </c>
      <c r="D1011" s="15" t="s">
        <v>2070</v>
      </c>
      <c r="E1011" s="15" t="s">
        <v>2071</v>
      </c>
    </row>
    <row r="1012" spans="2:5">
      <c r="B1012" s="15" t="s">
        <v>1986</v>
      </c>
      <c r="C1012" s="15" t="s">
        <v>1987</v>
      </c>
      <c r="D1012" s="15" t="s">
        <v>2072</v>
      </c>
      <c r="E1012" s="15" t="s">
        <v>2073</v>
      </c>
    </row>
    <row r="1013" spans="2:5">
      <c r="B1013" s="15" t="s">
        <v>1986</v>
      </c>
      <c r="C1013" s="15" t="s">
        <v>1987</v>
      </c>
      <c r="D1013" s="15" t="s">
        <v>842</v>
      </c>
      <c r="E1013" s="15" t="s">
        <v>2074</v>
      </c>
    </row>
    <row r="1014" spans="2:5">
      <c r="B1014" s="15" t="s">
        <v>1986</v>
      </c>
      <c r="C1014" s="15" t="s">
        <v>1987</v>
      </c>
      <c r="D1014" s="15" t="s">
        <v>2075</v>
      </c>
      <c r="E1014" s="15" t="s">
        <v>2076</v>
      </c>
    </row>
    <row r="1015" spans="2:5">
      <c r="B1015" s="15" t="s">
        <v>1986</v>
      </c>
      <c r="C1015" s="15" t="s">
        <v>1987</v>
      </c>
      <c r="D1015" s="15" t="s">
        <v>2077</v>
      </c>
      <c r="E1015" s="15" t="s">
        <v>2078</v>
      </c>
    </row>
    <row r="1016" spans="2:5">
      <c r="B1016" s="15" t="s">
        <v>1986</v>
      </c>
      <c r="C1016" s="15" t="s">
        <v>1987</v>
      </c>
      <c r="D1016" s="15" t="s">
        <v>2079</v>
      </c>
      <c r="E1016" s="15" t="s">
        <v>2080</v>
      </c>
    </row>
    <row r="1017" spans="2:5">
      <c r="B1017" s="15" t="s">
        <v>1986</v>
      </c>
      <c r="C1017" s="15" t="s">
        <v>1987</v>
      </c>
      <c r="D1017" s="15" t="s">
        <v>844</v>
      </c>
      <c r="E1017" s="15" t="s">
        <v>2081</v>
      </c>
    </row>
    <row r="1018" spans="2:5">
      <c r="B1018" s="15" t="s">
        <v>1986</v>
      </c>
      <c r="C1018" s="15" t="s">
        <v>1987</v>
      </c>
      <c r="D1018" s="15" t="s">
        <v>2082</v>
      </c>
      <c r="E1018" s="15" t="s">
        <v>2083</v>
      </c>
    </row>
    <row r="1019" spans="2:5">
      <c r="B1019" s="15" t="s">
        <v>1986</v>
      </c>
      <c r="C1019" s="15" t="s">
        <v>1987</v>
      </c>
      <c r="D1019" s="15" t="s">
        <v>2084</v>
      </c>
      <c r="E1019" s="15" t="s">
        <v>2085</v>
      </c>
    </row>
    <row r="1020" spans="2:5">
      <c r="B1020" s="15" t="s">
        <v>1986</v>
      </c>
      <c r="C1020" s="15" t="s">
        <v>1987</v>
      </c>
      <c r="D1020" s="15" t="s">
        <v>2086</v>
      </c>
      <c r="E1020" s="15" t="s">
        <v>716</v>
      </c>
    </row>
    <row r="1021" spans="2:5">
      <c r="B1021" s="15" t="s">
        <v>1986</v>
      </c>
      <c r="C1021" s="15" t="s">
        <v>1987</v>
      </c>
      <c r="D1021" s="15" t="s">
        <v>2087</v>
      </c>
      <c r="E1021" s="15" t="s">
        <v>2088</v>
      </c>
    </row>
    <row r="1022" ht="15.95" spans="2:2">
      <c r="B1022" s="122" t="s">
        <v>2089</v>
      </c>
    </row>
    <row r="1023" spans="2:5">
      <c r="B1023" s="15" t="s">
        <v>2090</v>
      </c>
      <c r="C1023" s="15" t="s">
        <v>2091</v>
      </c>
      <c r="D1023" s="15" t="s">
        <v>723</v>
      </c>
      <c r="E1023" s="15" t="s">
        <v>2092</v>
      </c>
    </row>
    <row r="1024" spans="2:5">
      <c r="B1024" s="15" t="s">
        <v>2090</v>
      </c>
      <c r="C1024" s="15" t="s">
        <v>2091</v>
      </c>
      <c r="D1024" s="15" t="s">
        <v>1059</v>
      </c>
      <c r="E1024" s="15" t="s">
        <v>2093</v>
      </c>
    </row>
    <row r="1025" spans="2:5">
      <c r="B1025" s="15" t="s">
        <v>2090</v>
      </c>
      <c r="C1025" s="15" t="s">
        <v>2091</v>
      </c>
      <c r="D1025" s="15" t="s">
        <v>1061</v>
      </c>
      <c r="E1025" s="15" t="s">
        <v>2094</v>
      </c>
    </row>
    <row r="1026" spans="2:5">
      <c r="B1026" s="15" t="s">
        <v>2090</v>
      </c>
      <c r="C1026" s="15" t="s">
        <v>2091</v>
      </c>
      <c r="D1026" s="15" t="s">
        <v>1063</v>
      </c>
      <c r="E1026" s="15" t="s">
        <v>2095</v>
      </c>
    </row>
    <row r="1027" spans="2:5">
      <c r="B1027" s="15" t="s">
        <v>2090</v>
      </c>
      <c r="C1027" s="15" t="s">
        <v>2091</v>
      </c>
      <c r="D1027" s="15" t="s">
        <v>1065</v>
      </c>
      <c r="E1027" s="15" t="s">
        <v>2096</v>
      </c>
    </row>
    <row r="1028" spans="2:5">
      <c r="B1028" s="15" t="s">
        <v>2090</v>
      </c>
      <c r="C1028" s="15" t="s">
        <v>2091</v>
      </c>
      <c r="D1028" s="15" t="s">
        <v>935</v>
      </c>
      <c r="E1028" s="15" t="s">
        <v>2097</v>
      </c>
    </row>
    <row r="1029" spans="2:5">
      <c r="B1029" s="15" t="s">
        <v>2090</v>
      </c>
      <c r="C1029" s="15" t="s">
        <v>2091</v>
      </c>
      <c r="D1029" s="15" t="s">
        <v>1068</v>
      </c>
      <c r="E1029" s="15" t="s">
        <v>2098</v>
      </c>
    </row>
    <row r="1030" spans="2:5">
      <c r="B1030" s="15" t="s">
        <v>2090</v>
      </c>
      <c r="C1030" s="15" t="s">
        <v>2091</v>
      </c>
      <c r="D1030" s="15" t="s">
        <v>1070</v>
      </c>
      <c r="E1030" s="15" t="s">
        <v>2099</v>
      </c>
    </row>
    <row r="1031" spans="2:5">
      <c r="B1031" s="15" t="s">
        <v>2090</v>
      </c>
      <c r="C1031" s="15" t="s">
        <v>2091</v>
      </c>
      <c r="D1031" s="15" t="s">
        <v>725</v>
      </c>
      <c r="E1031" s="15" t="s">
        <v>2100</v>
      </c>
    </row>
    <row r="1032" spans="2:5">
      <c r="B1032" s="15" t="s">
        <v>2090</v>
      </c>
      <c r="C1032" s="15" t="s">
        <v>2091</v>
      </c>
      <c r="D1032" s="15" t="s">
        <v>2101</v>
      </c>
      <c r="E1032" s="15" t="s">
        <v>2102</v>
      </c>
    </row>
    <row r="1033" spans="2:5">
      <c r="B1033" s="15" t="s">
        <v>2090</v>
      </c>
      <c r="C1033" s="15" t="s">
        <v>2091</v>
      </c>
      <c r="D1033" s="15" t="s">
        <v>2103</v>
      </c>
      <c r="E1033" s="15" t="s">
        <v>2104</v>
      </c>
    </row>
    <row r="1034" spans="2:5">
      <c r="B1034" s="15" t="s">
        <v>2090</v>
      </c>
      <c r="C1034" s="15" t="s">
        <v>2091</v>
      </c>
      <c r="D1034" s="15" t="s">
        <v>2105</v>
      </c>
      <c r="E1034" s="15" t="s">
        <v>2106</v>
      </c>
    </row>
    <row r="1035" spans="2:5">
      <c r="B1035" s="15" t="s">
        <v>2090</v>
      </c>
      <c r="C1035" s="15" t="s">
        <v>2091</v>
      </c>
      <c r="D1035" s="15" t="s">
        <v>2107</v>
      </c>
      <c r="E1035" s="15" t="s">
        <v>2108</v>
      </c>
    </row>
    <row r="1036" spans="2:5">
      <c r="B1036" s="15" t="s">
        <v>2090</v>
      </c>
      <c r="C1036" s="15" t="s">
        <v>2091</v>
      </c>
      <c r="D1036" s="15" t="s">
        <v>727</v>
      </c>
      <c r="E1036" s="15" t="s">
        <v>2109</v>
      </c>
    </row>
    <row r="1037" spans="2:5">
      <c r="B1037" s="15" t="s">
        <v>2090</v>
      </c>
      <c r="C1037" s="15" t="s">
        <v>2091</v>
      </c>
      <c r="D1037" s="15" t="s">
        <v>2110</v>
      </c>
      <c r="E1037" s="15" t="s">
        <v>2111</v>
      </c>
    </row>
    <row r="1038" spans="2:5">
      <c r="B1038" s="15" t="s">
        <v>2090</v>
      </c>
      <c r="C1038" s="15" t="s">
        <v>2091</v>
      </c>
      <c r="D1038" s="15" t="s">
        <v>2112</v>
      </c>
      <c r="E1038" s="15" t="s">
        <v>2113</v>
      </c>
    </row>
    <row r="1039" spans="2:5">
      <c r="B1039" s="15" t="s">
        <v>2090</v>
      </c>
      <c r="C1039" s="15" t="s">
        <v>2091</v>
      </c>
      <c r="D1039" s="15" t="s">
        <v>729</v>
      </c>
      <c r="E1039" s="15" t="s">
        <v>2114</v>
      </c>
    </row>
    <row r="1040" spans="2:5">
      <c r="B1040" s="15" t="s">
        <v>2090</v>
      </c>
      <c r="C1040" s="15" t="s">
        <v>2091</v>
      </c>
      <c r="D1040" s="15" t="s">
        <v>2115</v>
      </c>
      <c r="E1040" s="15" t="s">
        <v>2116</v>
      </c>
    </row>
    <row r="1041" spans="2:5">
      <c r="B1041" s="15" t="s">
        <v>2090</v>
      </c>
      <c r="C1041" s="15" t="s">
        <v>2091</v>
      </c>
      <c r="D1041" s="15" t="s">
        <v>2117</v>
      </c>
      <c r="E1041" s="15" t="s">
        <v>2118</v>
      </c>
    </row>
    <row r="1042" spans="2:5">
      <c r="B1042" s="15" t="s">
        <v>2090</v>
      </c>
      <c r="C1042" s="15" t="s">
        <v>2091</v>
      </c>
      <c r="D1042" s="15" t="s">
        <v>2119</v>
      </c>
      <c r="E1042" s="15" t="s">
        <v>2120</v>
      </c>
    </row>
    <row r="1043" spans="2:5">
      <c r="B1043" s="15" t="s">
        <v>2090</v>
      </c>
      <c r="C1043" s="15" t="s">
        <v>2091</v>
      </c>
      <c r="D1043" s="15" t="s">
        <v>2121</v>
      </c>
      <c r="E1043" s="15" t="s">
        <v>2122</v>
      </c>
    </row>
    <row r="1044" spans="2:5">
      <c r="B1044" s="15" t="s">
        <v>2090</v>
      </c>
      <c r="C1044" s="15" t="s">
        <v>2091</v>
      </c>
      <c r="D1044" s="15" t="s">
        <v>2123</v>
      </c>
      <c r="E1044" s="15" t="s">
        <v>2124</v>
      </c>
    </row>
    <row r="1045" spans="2:5">
      <c r="B1045" s="15" t="s">
        <v>2090</v>
      </c>
      <c r="C1045" s="15" t="s">
        <v>2091</v>
      </c>
      <c r="D1045" s="15" t="s">
        <v>760</v>
      </c>
      <c r="E1045" s="15" t="s">
        <v>2125</v>
      </c>
    </row>
    <row r="1046" spans="2:5">
      <c r="B1046" s="15" t="s">
        <v>2090</v>
      </c>
      <c r="C1046" s="15" t="s">
        <v>2091</v>
      </c>
      <c r="D1046" s="15" t="s">
        <v>762</v>
      </c>
      <c r="E1046" s="15" t="s">
        <v>2126</v>
      </c>
    </row>
    <row r="1047" spans="2:5">
      <c r="B1047" s="15" t="s">
        <v>2090</v>
      </c>
      <c r="C1047" s="15" t="s">
        <v>2091</v>
      </c>
      <c r="D1047" s="15" t="s">
        <v>2127</v>
      </c>
      <c r="E1047" s="15" t="s">
        <v>2128</v>
      </c>
    </row>
    <row r="1048" spans="2:5">
      <c r="B1048" s="15" t="s">
        <v>2090</v>
      </c>
      <c r="C1048" s="15" t="s">
        <v>2091</v>
      </c>
      <c r="D1048" s="15" t="s">
        <v>2129</v>
      </c>
      <c r="E1048" s="15" t="s">
        <v>2130</v>
      </c>
    </row>
    <row r="1049" spans="2:5">
      <c r="B1049" s="15" t="s">
        <v>2090</v>
      </c>
      <c r="C1049" s="15" t="s">
        <v>2091</v>
      </c>
      <c r="D1049" s="15" t="s">
        <v>764</v>
      </c>
      <c r="E1049" s="15" t="s">
        <v>2131</v>
      </c>
    </row>
    <row r="1050" spans="2:5">
      <c r="B1050" s="15" t="s">
        <v>2090</v>
      </c>
      <c r="C1050" s="15" t="s">
        <v>2091</v>
      </c>
      <c r="D1050" s="15" t="s">
        <v>1587</v>
      </c>
      <c r="E1050" s="15" t="s">
        <v>2132</v>
      </c>
    </row>
    <row r="1051" spans="2:5">
      <c r="B1051" s="15" t="s">
        <v>2090</v>
      </c>
      <c r="C1051" s="15" t="s">
        <v>2091</v>
      </c>
      <c r="D1051" s="15" t="s">
        <v>765</v>
      </c>
      <c r="E1051" s="15" t="s">
        <v>2133</v>
      </c>
    </row>
    <row r="1052" spans="2:5">
      <c r="B1052" s="15" t="s">
        <v>2090</v>
      </c>
      <c r="C1052" s="15" t="s">
        <v>2091</v>
      </c>
      <c r="D1052" s="15" t="s">
        <v>2134</v>
      </c>
      <c r="E1052" s="15" t="s">
        <v>2135</v>
      </c>
    </row>
    <row r="1053" spans="2:5">
      <c r="B1053" s="15" t="s">
        <v>2090</v>
      </c>
      <c r="C1053" s="15" t="s">
        <v>2091</v>
      </c>
      <c r="D1053" s="15" t="s">
        <v>2136</v>
      </c>
      <c r="E1053" s="15" t="s">
        <v>2137</v>
      </c>
    </row>
    <row r="1054" spans="2:5">
      <c r="B1054" s="15" t="s">
        <v>2090</v>
      </c>
      <c r="C1054" s="15" t="s">
        <v>2091</v>
      </c>
      <c r="D1054" s="15" t="s">
        <v>2138</v>
      </c>
      <c r="E1054" s="15" t="s">
        <v>2139</v>
      </c>
    </row>
    <row r="1055" spans="2:5">
      <c r="B1055" s="15" t="s">
        <v>2090</v>
      </c>
      <c r="C1055" s="15" t="s">
        <v>2091</v>
      </c>
      <c r="D1055" s="15" t="s">
        <v>2140</v>
      </c>
      <c r="E1055" s="15" t="s">
        <v>2141</v>
      </c>
    </row>
    <row r="1056" spans="2:5">
      <c r="B1056" s="15" t="s">
        <v>2090</v>
      </c>
      <c r="C1056" s="15" t="s">
        <v>2091</v>
      </c>
      <c r="D1056" s="15" t="s">
        <v>1145</v>
      </c>
      <c r="E1056" s="15" t="s">
        <v>2142</v>
      </c>
    </row>
    <row r="1057" ht="15.95" spans="2:2">
      <c r="B1057" s="122" t="s">
        <v>2143</v>
      </c>
    </row>
    <row r="1058" spans="2:5">
      <c r="B1058" s="15" t="s">
        <v>2144</v>
      </c>
      <c r="C1058" s="15" t="s">
        <v>2144</v>
      </c>
      <c r="D1058" s="15" t="s">
        <v>723</v>
      </c>
      <c r="E1058" s="15" t="s">
        <v>2145</v>
      </c>
    </row>
    <row r="1059" spans="2:5">
      <c r="B1059" s="15" t="s">
        <v>2144</v>
      </c>
      <c r="C1059" s="15" t="s">
        <v>2144</v>
      </c>
      <c r="D1059" s="15" t="s">
        <v>725</v>
      </c>
      <c r="E1059" s="15" t="s">
        <v>2146</v>
      </c>
    </row>
    <row r="1060" spans="2:5">
      <c r="B1060" s="15" t="s">
        <v>2144</v>
      </c>
      <c r="C1060" s="15" t="s">
        <v>2144</v>
      </c>
      <c r="D1060" s="15" t="s">
        <v>727</v>
      </c>
      <c r="E1060" s="15" t="s">
        <v>1936</v>
      </c>
    </row>
    <row r="1061" ht="15.95" spans="2:2">
      <c r="B1061" s="122" t="s">
        <v>2147</v>
      </c>
    </row>
    <row r="1062" spans="2:5">
      <c r="B1062" s="15" t="s">
        <v>2148</v>
      </c>
      <c r="C1062" s="15" t="s">
        <v>896</v>
      </c>
      <c r="D1062" s="15" t="s">
        <v>770</v>
      </c>
      <c r="E1062" s="15" t="s">
        <v>1549</v>
      </c>
    </row>
    <row r="1063" spans="2:5">
      <c r="B1063" s="15" t="s">
        <v>2148</v>
      </c>
      <c r="C1063" s="15" t="s">
        <v>896</v>
      </c>
      <c r="D1063" s="15" t="s">
        <v>772</v>
      </c>
      <c r="E1063" s="15" t="s">
        <v>1550</v>
      </c>
    </row>
    <row r="1064" spans="2:5">
      <c r="B1064" s="15" t="s">
        <v>2148</v>
      </c>
      <c r="C1064" s="15" t="s">
        <v>896</v>
      </c>
      <c r="D1064" s="15" t="s">
        <v>774</v>
      </c>
      <c r="E1064" s="15" t="s">
        <v>1551</v>
      </c>
    </row>
    <row r="1065" spans="2:5">
      <c r="B1065" s="15" t="s">
        <v>2148</v>
      </c>
      <c r="C1065" s="15" t="s">
        <v>896</v>
      </c>
      <c r="D1065" s="15" t="s">
        <v>828</v>
      </c>
      <c r="E1065" s="15" t="s">
        <v>1552</v>
      </c>
    </row>
    <row r="1066" ht="15.95" spans="2:2">
      <c r="B1066" s="122" t="s">
        <v>2149</v>
      </c>
    </row>
    <row r="1067" spans="2:5">
      <c r="B1067" s="15" t="s">
        <v>2150</v>
      </c>
      <c r="C1067" s="15" t="s">
        <v>2151</v>
      </c>
      <c r="D1067" s="15" t="s">
        <v>635</v>
      </c>
      <c r="E1067" s="15" t="s">
        <v>2152</v>
      </c>
    </row>
    <row r="1068" spans="2:5">
      <c r="B1068" s="15" t="s">
        <v>2150</v>
      </c>
      <c r="C1068" s="15" t="s">
        <v>2151</v>
      </c>
      <c r="D1068" s="15" t="s">
        <v>659</v>
      </c>
      <c r="E1068" s="15" t="s">
        <v>2152</v>
      </c>
    </row>
    <row r="1069" spans="2:5">
      <c r="B1069" s="15" t="s">
        <v>2150</v>
      </c>
      <c r="C1069" s="15" t="s">
        <v>2151</v>
      </c>
      <c r="D1069" s="15" t="s">
        <v>679</v>
      </c>
      <c r="E1069" s="15" t="s">
        <v>2153</v>
      </c>
    </row>
    <row r="1070" ht="15.95" spans="2:2">
      <c r="B1070" s="122" t="s">
        <v>2154</v>
      </c>
    </row>
    <row r="1071" spans="2:5">
      <c r="B1071" s="15" t="s">
        <v>2155</v>
      </c>
      <c r="C1071" s="15" t="s">
        <v>2156</v>
      </c>
      <c r="D1071" s="15" t="s">
        <v>770</v>
      </c>
      <c r="E1071" s="15" t="s">
        <v>2157</v>
      </c>
    </row>
    <row r="1072" spans="2:5">
      <c r="B1072" s="15" t="s">
        <v>2155</v>
      </c>
      <c r="C1072" s="15" t="s">
        <v>2156</v>
      </c>
      <c r="D1072" s="15" t="s">
        <v>772</v>
      </c>
      <c r="E1072" s="15" t="s">
        <v>2158</v>
      </c>
    </row>
    <row r="1073" ht="15.95" spans="2:2">
      <c r="B1073" s="122" t="s">
        <v>2159</v>
      </c>
    </row>
    <row r="1074" spans="2:5">
      <c r="B1074" s="15" t="s">
        <v>2160</v>
      </c>
      <c r="C1074" s="15" t="s">
        <v>2161</v>
      </c>
      <c r="D1074" s="15" t="s">
        <v>933</v>
      </c>
      <c r="E1074" s="15" t="s">
        <v>2162</v>
      </c>
    </row>
    <row r="1075" spans="2:5">
      <c r="B1075" s="15" t="s">
        <v>2160</v>
      </c>
      <c r="C1075" s="15" t="s">
        <v>2161</v>
      </c>
      <c r="D1075" s="15" t="s">
        <v>2163</v>
      </c>
      <c r="E1075" s="15" t="s">
        <v>2164</v>
      </c>
    </row>
    <row r="1076" spans="2:5">
      <c r="B1076" s="15" t="s">
        <v>2160</v>
      </c>
      <c r="C1076" s="15" t="s">
        <v>2161</v>
      </c>
      <c r="D1076" s="15" t="s">
        <v>2165</v>
      </c>
      <c r="E1076" s="15" t="s">
        <v>2166</v>
      </c>
    </row>
    <row r="1077" spans="2:5">
      <c r="B1077" s="15" t="s">
        <v>2160</v>
      </c>
      <c r="C1077" s="15" t="s">
        <v>2161</v>
      </c>
      <c r="D1077" s="15" t="s">
        <v>2167</v>
      </c>
      <c r="E1077" s="15" t="s">
        <v>2168</v>
      </c>
    </row>
    <row r="1078" spans="2:5">
      <c r="B1078" s="15" t="s">
        <v>2160</v>
      </c>
      <c r="C1078" s="15" t="s">
        <v>2161</v>
      </c>
      <c r="D1078" s="15" t="s">
        <v>937</v>
      </c>
      <c r="E1078" s="15" t="s">
        <v>2169</v>
      </c>
    </row>
    <row r="1079" spans="2:5">
      <c r="B1079" s="15" t="s">
        <v>2160</v>
      </c>
      <c r="C1079" s="15" t="s">
        <v>2161</v>
      </c>
      <c r="D1079" s="15" t="s">
        <v>2170</v>
      </c>
      <c r="E1079" s="15" t="s">
        <v>2171</v>
      </c>
    </row>
    <row r="1080" spans="2:5">
      <c r="B1080" s="15" t="s">
        <v>2160</v>
      </c>
      <c r="C1080" s="15" t="s">
        <v>2161</v>
      </c>
      <c r="D1080" s="15" t="s">
        <v>992</v>
      </c>
      <c r="E1080" s="15" t="s">
        <v>2172</v>
      </c>
    </row>
    <row r="1081" spans="2:5">
      <c r="B1081" s="15" t="s">
        <v>2160</v>
      </c>
      <c r="C1081" s="15" t="s">
        <v>2161</v>
      </c>
      <c r="D1081" s="15" t="s">
        <v>939</v>
      </c>
      <c r="E1081" s="15" t="s">
        <v>2173</v>
      </c>
    </row>
    <row r="1082" spans="2:5">
      <c r="B1082" s="15" t="s">
        <v>2160</v>
      </c>
      <c r="C1082" s="15" t="s">
        <v>2161</v>
      </c>
      <c r="D1082" s="15" t="s">
        <v>2174</v>
      </c>
      <c r="E1082" s="15" t="s">
        <v>2175</v>
      </c>
    </row>
    <row r="1083" spans="2:5">
      <c r="B1083" s="15" t="s">
        <v>2160</v>
      </c>
      <c r="C1083" s="15" t="s">
        <v>2161</v>
      </c>
      <c r="D1083" s="15" t="s">
        <v>2176</v>
      </c>
      <c r="E1083" s="15" t="s">
        <v>2177</v>
      </c>
    </row>
    <row r="1084" spans="2:5">
      <c r="B1084" s="15" t="s">
        <v>2160</v>
      </c>
      <c r="C1084" s="15" t="s">
        <v>2161</v>
      </c>
      <c r="D1084" s="15" t="s">
        <v>941</v>
      </c>
      <c r="E1084" s="15" t="s">
        <v>2178</v>
      </c>
    </row>
    <row r="1085" spans="2:5">
      <c r="B1085" s="15" t="s">
        <v>2160</v>
      </c>
      <c r="C1085" s="15" t="s">
        <v>2161</v>
      </c>
      <c r="D1085" s="15" t="s">
        <v>2179</v>
      </c>
      <c r="E1085" s="15" t="s">
        <v>2180</v>
      </c>
    </row>
    <row r="1086" spans="2:5">
      <c r="B1086" s="15" t="s">
        <v>2160</v>
      </c>
      <c r="C1086" s="15" t="s">
        <v>2161</v>
      </c>
      <c r="D1086" s="15" t="s">
        <v>2181</v>
      </c>
      <c r="E1086" s="15" t="s">
        <v>2182</v>
      </c>
    </row>
    <row r="1087" spans="2:5">
      <c r="B1087" s="15" t="s">
        <v>2160</v>
      </c>
      <c r="C1087" s="15" t="s">
        <v>2161</v>
      </c>
      <c r="D1087" s="15" t="s">
        <v>2183</v>
      </c>
      <c r="E1087" s="15" t="s">
        <v>2184</v>
      </c>
    </row>
    <row r="1088" spans="2:5">
      <c r="B1088" s="15" t="s">
        <v>2160</v>
      </c>
      <c r="C1088" s="15" t="s">
        <v>2161</v>
      </c>
      <c r="D1088" s="15" t="s">
        <v>2185</v>
      </c>
      <c r="E1088" s="15" t="s">
        <v>2186</v>
      </c>
    </row>
    <row r="1089" spans="2:5">
      <c r="B1089" s="15" t="s">
        <v>2160</v>
      </c>
      <c r="C1089" s="15" t="s">
        <v>2161</v>
      </c>
      <c r="D1089" s="15" t="s">
        <v>2187</v>
      </c>
      <c r="E1089" s="15" t="s">
        <v>2188</v>
      </c>
    </row>
    <row r="1090" ht="15.95" spans="2:2">
      <c r="B1090" s="122" t="s">
        <v>2189</v>
      </c>
    </row>
    <row r="1091" spans="2:5">
      <c r="B1091" s="15" t="s">
        <v>2190</v>
      </c>
      <c r="C1091" s="15" t="s">
        <v>2191</v>
      </c>
      <c r="D1091" s="15" t="s">
        <v>635</v>
      </c>
      <c r="E1091" s="15" t="s">
        <v>2192</v>
      </c>
    </row>
    <row r="1092" spans="2:5">
      <c r="B1092" s="15" t="s">
        <v>2190</v>
      </c>
      <c r="C1092" s="15" t="s">
        <v>2191</v>
      </c>
      <c r="D1092" s="15" t="s">
        <v>1325</v>
      </c>
      <c r="E1092" s="15" t="s">
        <v>2193</v>
      </c>
    </row>
    <row r="1093" spans="2:5">
      <c r="B1093" s="15" t="s">
        <v>2190</v>
      </c>
      <c r="C1093" s="15" t="s">
        <v>2191</v>
      </c>
      <c r="D1093" s="15" t="s">
        <v>659</v>
      </c>
      <c r="E1093" s="15" t="s">
        <v>2194</v>
      </c>
    </row>
    <row r="1094" spans="2:5">
      <c r="B1094" s="15" t="s">
        <v>2190</v>
      </c>
      <c r="C1094" s="15" t="s">
        <v>2191</v>
      </c>
      <c r="D1094" s="15" t="s">
        <v>661</v>
      </c>
      <c r="E1094" s="15" t="s">
        <v>2195</v>
      </c>
    </row>
    <row r="1095" spans="2:5">
      <c r="B1095" s="15" t="s">
        <v>2190</v>
      </c>
      <c r="C1095" s="15" t="s">
        <v>2191</v>
      </c>
      <c r="D1095" s="15" t="s">
        <v>663</v>
      </c>
      <c r="E1095" s="15" t="s">
        <v>2196</v>
      </c>
    </row>
    <row r="1096" spans="2:5">
      <c r="B1096" s="15" t="s">
        <v>2190</v>
      </c>
      <c r="C1096" s="15" t="s">
        <v>2191</v>
      </c>
      <c r="D1096" s="15" t="s">
        <v>665</v>
      </c>
      <c r="E1096" s="15" t="s">
        <v>2197</v>
      </c>
    </row>
    <row r="1097" spans="2:5">
      <c r="B1097" s="15" t="s">
        <v>2190</v>
      </c>
      <c r="C1097" s="15" t="s">
        <v>2191</v>
      </c>
      <c r="D1097" s="15" t="s">
        <v>705</v>
      </c>
      <c r="E1097" s="15" t="s">
        <v>2198</v>
      </c>
    </row>
    <row r="1098" spans="2:5">
      <c r="B1098" s="15" t="s">
        <v>2190</v>
      </c>
      <c r="C1098" s="15" t="s">
        <v>2191</v>
      </c>
      <c r="D1098" s="15" t="s">
        <v>709</v>
      </c>
      <c r="E1098" s="15" t="s">
        <v>2199</v>
      </c>
    </row>
    <row r="1099" spans="2:5">
      <c r="B1099" s="15" t="s">
        <v>2190</v>
      </c>
      <c r="C1099" s="15" t="s">
        <v>2191</v>
      </c>
      <c r="D1099" s="15" t="s">
        <v>838</v>
      </c>
      <c r="E1099" s="15" t="s">
        <v>2200</v>
      </c>
    </row>
    <row r="1100" spans="2:5">
      <c r="B1100" s="15" t="s">
        <v>2190</v>
      </c>
      <c r="C1100" s="15" t="s">
        <v>2191</v>
      </c>
      <c r="D1100" s="15" t="s">
        <v>844</v>
      </c>
      <c r="E1100" s="15" t="s">
        <v>2201</v>
      </c>
    </row>
    <row r="1101" spans="2:5">
      <c r="B1101" s="15" t="s">
        <v>2190</v>
      </c>
      <c r="C1101" s="15" t="s">
        <v>2191</v>
      </c>
      <c r="D1101" s="15" t="s">
        <v>846</v>
      </c>
      <c r="E1101" s="15" t="s">
        <v>2202</v>
      </c>
    </row>
    <row r="1102" spans="2:5">
      <c r="B1102" s="15" t="s">
        <v>2190</v>
      </c>
      <c r="C1102" s="15" t="s">
        <v>2191</v>
      </c>
      <c r="D1102" s="15" t="s">
        <v>851</v>
      </c>
      <c r="E1102" s="15" t="s">
        <v>2203</v>
      </c>
    </row>
    <row r="1103" spans="2:5">
      <c r="B1103" s="15" t="s">
        <v>2190</v>
      </c>
      <c r="C1103" s="15" t="s">
        <v>2191</v>
      </c>
      <c r="D1103" s="15" t="s">
        <v>2204</v>
      </c>
      <c r="E1103" s="15" t="s">
        <v>152</v>
      </c>
    </row>
    <row r="1104" spans="2:5">
      <c r="B1104" s="15" t="s">
        <v>2190</v>
      </c>
      <c r="C1104" s="15" t="s">
        <v>2191</v>
      </c>
      <c r="D1104" s="15" t="s">
        <v>859</v>
      </c>
      <c r="E1104" s="15" t="s">
        <v>2205</v>
      </c>
    </row>
    <row r="1105" ht="15.95" spans="2:2">
      <c r="B1105" s="122" t="s">
        <v>2206</v>
      </c>
    </row>
    <row r="1106" spans="2:5">
      <c r="B1106" s="15" t="s">
        <v>2207</v>
      </c>
      <c r="C1106" s="15" t="s">
        <v>2208</v>
      </c>
      <c r="D1106" s="15" t="s">
        <v>770</v>
      </c>
      <c r="E1106" s="15" t="s">
        <v>1825</v>
      </c>
    </row>
    <row r="1107" spans="2:5">
      <c r="B1107" s="15" t="s">
        <v>2207</v>
      </c>
      <c r="C1107" s="15" t="s">
        <v>2208</v>
      </c>
      <c r="D1107" s="15" t="s">
        <v>772</v>
      </c>
      <c r="E1107" s="15" t="s">
        <v>1826</v>
      </c>
    </row>
    <row r="1108" spans="2:5">
      <c r="B1108" s="15" t="s">
        <v>2207</v>
      </c>
      <c r="C1108" s="15" t="s">
        <v>2208</v>
      </c>
      <c r="D1108" s="15" t="s">
        <v>774</v>
      </c>
      <c r="E1108" s="15" t="s">
        <v>1827</v>
      </c>
    </row>
    <row r="1109" spans="2:5">
      <c r="B1109" s="15" t="s">
        <v>2207</v>
      </c>
      <c r="C1109" s="15" t="s">
        <v>2208</v>
      </c>
      <c r="D1109" s="15" t="s">
        <v>828</v>
      </c>
      <c r="E1109" s="15" t="s">
        <v>1828</v>
      </c>
    </row>
    <row r="1110" ht="15.95" spans="2:2">
      <c r="B1110" s="122" t="s">
        <v>2209</v>
      </c>
    </row>
    <row r="1111" spans="2:5">
      <c r="B1111" s="15" t="s">
        <v>2210</v>
      </c>
      <c r="C1111" s="15" t="s">
        <v>2211</v>
      </c>
      <c r="D1111" s="15" t="s">
        <v>1432</v>
      </c>
      <c r="E1111" s="15" t="s">
        <v>2212</v>
      </c>
    </row>
    <row r="1112" spans="2:5">
      <c r="B1112" s="15" t="s">
        <v>2210</v>
      </c>
      <c r="C1112" s="15" t="s">
        <v>2211</v>
      </c>
      <c r="D1112" s="15" t="s">
        <v>723</v>
      </c>
      <c r="E1112" s="15" t="s">
        <v>1439</v>
      </c>
    </row>
    <row r="1113" spans="2:5">
      <c r="B1113" s="15" t="s">
        <v>2210</v>
      </c>
      <c r="C1113" s="15" t="s">
        <v>2211</v>
      </c>
      <c r="D1113" s="15" t="s">
        <v>725</v>
      </c>
      <c r="E1113" s="15" t="s">
        <v>1443</v>
      </c>
    </row>
    <row r="1114" ht="15.95" spans="2:2">
      <c r="B1114" s="122" t="s">
        <v>2213</v>
      </c>
    </row>
    <row r="1115" spans="2:5">
      <c r="B1115" s="15" t="s">
        <v>2214</v>
      </c>
      <c r="C1115" s="15" t="s">
        <v>2215</v>
      </c>
      <c r="D1115" s="15" t="s">
        <v>635</v>
      </c>
      <c r="E1115" s="15" t="s">
        <v>2216</v>
      </c>
    </row>
    <row r="1116" spans="2:5">
      <c r="B1116" s="15" t="s">
        <v>2214</v>
      </c>
      <c r="C1116" s="15" t="s">
        <v>2215</v>
      </c>
      <c r="D1116" s="15" t="s">
        <v>659</v>
      </c>
      <c r="E1116" s="15" t="s">
        <v>2217</v>
      </c>
    </row>
    <row r="1117" ht="15.95" spans="2:2">
      <c r="B1117" s="122" t="s">
        <v>2218</v>
      </c>
    </row>
    <row r="1118" spans="2:5">
      <c r="B1118" s="15" t="s">
        <v>2219</v>
      </c>
      <c r="C1118" s="15" t="s">
        <v>2220</v>
      </c>
      <c r="D1118" s="15" t="s">
        <v>1432</v>
      </c>
      <c r="E1118" s="15" t="s">
        <v>2221</v>
      </c>
    </row>
    <row r="1119" spans="2:5">
      <c r="B1119" s="15" t="s">
        <v>2219</v>
      </c>
      <c r="C1119" s="15" t="s">
        <v>2220</v>
      </c>
      <c r="D1119" s="15" t="s">
        <v>723</v>
      </c>
      <c r="E1119" s="15" t="s">
        <v>2222</v>
      </c>
    </row>
    <row r="1120" spans="2:5">
      <c r="B1120" s="15" t="s">
        <v>2219</v>
      </c>
      <c r="C1120" s="15" t="s">
        <v>2220</v>
      </c>
      <c r="D1120" s="15" t="s">
        <v>725</v>
      </c>
      <c r="E1120" s="15" t="s">
        <v>2223</v>
      </c>
    </row>
    <row r="1121" spans="2:5">
      <c r="B1121" s="15" t="s">
        <v>2219</v>
      </c>
      <c r="C1121" s="15" t="s">
        <v>2220</v>
      </c>
      <c r="D1121" s="15" t="s">
        <v>727</v>
      </c>
      <c r="E1121" s="15" t="s">
        <v>2224</v>
      </c>
    </row>
    <row r="1122" ht="15.95" spans="2:2">
      <c r="B1122" s="122" t="s">
        <v>2225</v>
      </c>
    </row>
    <row r="1123" spans="2:5">
      <c r="B1123" s="15" t="s">
        <v>2226</v>
      </c>
      <c r="C1123" s="15" t="s">
        <v>2226</v>
      </c>
      <c r="D1123" s="15" t="s">
        <v>770</v>
      </c>
      <c r="E1123" s="15" t="s">
        <v>1185</v>
      </c>
    </row>
    <row r="1124" spans="2:5">
      <c r="B1124" s="15" t="s">
        <v>2226</v>
      </c>
      <c r="C1124" s="15" t="s">
        <v>2226</v>
      </c>
      <c r="D1124" s="15" t="s">
        <v>772</v>
      </c>
      <c r="E1124" s="15" t="s">
        <v>2227</v>
      </c>
    </row>
    <row r="1125" spans="2:5">
      <c r="B1125" s="15" t="s">
        <v>2226</v>
      </c>
      <c r="C1125" s="15" t="s">
        <v>2226</v>
      </c>
      <c r="D1125" s="15" t="s">
        <v>774</v>
      </c>
      <c r="E1125" s="15" t="s">
        <v>2228</v>
      </c>
    </row>
    <row r="1126" spans="2:5">
      <c r="B1126" s="15" t="s">
        <v>2226</v>
      </c>
      <c r="C1126" s="15" t="s">
        <v>2226</v>
      </c>
      <c r="D1126" s="15" t="s">
        <v>828</v>
      </c>
      <c r="E1126" s="15" t="s">
        <v>2229</v>
      </c>
    </row>
    <row r="1127" ht="15.95" spans="2:2">
      <c r="B1127" s="122" t="s">
        <v>2230</v>
      </c>
    </row>
    <row r="1128" spans="2:5">
      <c r="B1128" s="15" t="s">
        <v>2231</v>
      </c>
      <c r="C1128" s="15" t="s">
        <v>896</v>
      </c>
      <c r="D1128" s="15" t="s">
        <v>770</v>
      </c>
      <c r="E1128" s="15" t="s">
        <v>2232</v>
      </c>
    </row>
    <row r="1129" spans="2:5">
      <c r="B1129" s="15" t="s">
        <v>2231</v>
      </c>
      <c r="C1129" s="15" t="s">
        <v>896</v>
      </c>
      <c r="D1129" s="15" t="s">
        <v>772</v>
      </c>
      <c r="E1129" s="15" t="s">
        <v>2233</v>
      </c>
    </row>
    <row r="1130" spans="2:5">
      <c r="B1130" s="15" t="s">
        <v>2231</v>
      </c>
      <c r="C1130" s="15" t="s">
        <v>896</v>
      </c>
      <c r="D1130" s="15" t="s">
        <v>774</v>
      </c>
      <c r="E1130" s="15" t="s">
        <v>2234</v>
      </c>
    </row>
    <row r="1131" spans="2:5">
      <c r="B1131" s="15" t="s">
        <v>2231</v>
      </c>
      <c r="C1131" s="15" t="s">
        <v>896</v>
      </c>
      <c r="D1131" s="15" t="s">
        <v>828</v>
      </c>
      <c r="E1131" s="15" t="s">
        <v>2235</v>
      </c>
    </row>
    <row r="1132" ht="15.95" spans="2:2">
      <c r="B1132" s="122" t="s">
        <v>2236</v>
      </c>
    </row>
    <row r="1133" spans="2:5">
      <c r="B1133" s="15" t="s">
        <v>2237</v>
      </c>
      <c r="C1133" s="15" t="s">
        <v>2238</v>
      </c>
      <c r="D1133" s="15" t="s">
        <v>635</v>
      </c>
      <c r="E1133" s="15" t="s">
        <v>2239</v>
      </c>
    </row>
    <row r="1134" spans="2:5">
      <c r="B1134" s="15" t="s">
        <v>2237</v>
      </c>
      <c r="C1134" s="15" t="s">
        <v>2238</v>
      </c>
      <c r="D1134" s="15" t="s">
        <v>637</v>
      </c>
      <c r="E1134" s="15" t="s">
        <v>2240</v>
      </c>
    </row>
    <row r="1135" spans="2:5">
      <c r="B1135" s="15" t="s">
        <v>2237</v>
      </c>
      <c r="C1135" s="15" t="s">
        <v>2238</v>
      </c>
      <c r="D1135" s="15" t="s">
        <v>641</v>
      </c>
      <c r="E1135" s="15" t="s">
        <v>2241</v>
      </c>
    </row>
    <row r="1136" spans="2:5">
      <c r="B1136" s="15" t="s">
        <v>2237</v>
      </c>
      <c r="C1136" s="15" t="s">
        <v>2238</v>
      </c>
      <c r="D1136" s="15" t="s">
        <v>1905</v>
      </c>
      <c r="E1136" s="15" t="s">
        <v>2242</v>
      </c>
    </row>
    <row r="1137" spans="2:5">
      <c r="B1137" s="15" t="s">
        <v>2237</v>
      </c>
      <c r="C1137" s="15" t="s">
        <v>2238</v>
      </c>
      <c r="D1137" s="15" t="s">
        <v>643</v>
      </c>
      <c r="E1137" s="15" t="s">
        <v>2243</v>
      </c>
    </row>
    <row r="1138" spans="2:5">
      <c r="B1138" s="15" t="s">
        <v>2237</v>
      </c>
      <c r="C1138" s="15" t="s">
        <v>2238</v>
      </c>
      <c r="D1138" s="15" t="s">
        <v>645</v>
      </c>
      <c r="E1138" s="15" t="s">
        <v>2244</v>
      </c>
    </row>
    <row r="1139" spans="2:5">
      <c r="B1139" s="15" t="s">
        <v>2237</v>
      </c>
      <c r="C1139" s="15" t="s">
        <v>2238</v>
      </c>
      <c r="D1139" s="15" t="s">
        <v>647</v>
      </c>
      <c r="E1139" s="15" t="s">
        <v>2245</v>
      </c>
    </row>
    <row r="1140" spans="2:5">
      <c r="B1140" s="15" t="s">
        <v>2237</v>
      </c>
      <c r="C1140" s="15" t="s">
        <v>2238</v>
      </c>
      <c r="D1140" s="15" t="s">
        <v>659</v>
      </c>
      <c r="E1140" s="15" t="s">
        <v>2246</v>
      </c>
    </row>
    <row r="1141" spans="2:5">
      <c r="B1141" s="15" t="s">
        <v>2237</v>
      </c>
      <c r="C1141" s="15" t="s">
        <v>2238</v>
      </c>
      <c r="D1141" s="15" t="s">
        <v>661</v>
      </c>
      <c r="E1141" s="15" t="s">
        <v>2247</v>
      </c>
    </row>
    <row r="1142" spans="2:5">
      <c r="B1142" s="15" t="s">
        <v>2237</v>
      </c>
      <c r="C1142" s="15" t="s">
        <v>2238</v>
      </c>
      <c r="D1142" s="15" t="s">
        <v>1907</v>
      </c>
      <c r="E1142" s="15" t="s">
        <v>2248</v>
      </c>
    </row>
    <row r="1143" spans="2:5">
      <c r="B1143" s="15" t="s">
        <v>2237</v>
      </c>
      <c r="C1143" s="15" t="s">
        <v>2238</v>
      </c>
      <c r="D1143" s="15" t="s">
        <v>663</v>
      </c>
      <c r="E1143" s="15" t="s">
        <v>2249</v>
      </c>
    </row>
    <row r="1144" spans="2:5">
      <c r="B1144" s="15" t="s">
        <v>2237</v>
      </c>
      <c r="C1144" s="15" t="s">
        <v>2238</v>
      </c>
      <c r="D1144" s="15" t="s">
        <v>665</v>
      </c>
      <c r="E1144" s="15" t="s">
        <v>2250</v>
      </c>
    </row>
    <row r="1145" spans="2:5">
      <c r="B1145" s="15" t="s">
        <v>2237</v>
      </c>
      <c r="C1145" s="15" t="s">
        <v>2238</v>
      </c>
      <c r="D1145" s="15" t="s">
        <v>673</v>
      </c>
      <c r="E1145" s="15" t="s">
        <v>2251</v>
      </c>
    </row>
    <row r="1146" spans="2:5">
      <c r="B1146" s="15" t="s">
        <v>2237</v>
      </c>
      <c r="C1146" s="15" t="s">
        <v>2238</v>
      </c>
      <c r="D1146" s="15" t="s">
        <v>2252</v>
      </c>
      <c r="E1146" s="15" t="s">
        <v>2253</v>
      </c>
    </row>
    <row r="1147" spans="2:5">
      <c r="B1147" s="15" t="s">
        <v>2237</v>
      </c>
      <c r="C1147" s="15" t="s">
        <v>2238</v>
      </c>
      <c r="D1147" s="15" t="s">
        <v>2254</v>
      </c>
      <c r="E1147" s="15" t="s">
        <v>2255</v>
      </c>
    </row>
    <row r="1148" spans="2:5">
      <c r="B1148" s="15" t="s">
        <v>2237</v>
      </c>
      <c r="C1148" s="15" t="s">
        <v>2238</v>
      </c>
      <c r="D1148" s="15" t="s">
        <v>2256</v>
      </c>
      <c r="E1148" s="15" t="s">
        <v>2257</v>
      </c>
    </row>
    <row r="1149" spans="2:5">
      <c r="B1149" s="15" t="s">
        <v>2237</v>
      </c>
      <c r="C1149" s="15" t="s">
        <v>2238</v>
      </c>
      <c r="D1149" s="15" t="s">
        <v>2258</v>
      </c>
      <c r="E1149" s="15" t="s">
        <v>2259</v>
      </c>
    </row>
    <row r="1150" spans="2:5">
      <c r="B1150" s="15" t="s">
        <v>2237</v>
      </c>
      <c r="C1150" s="15" t="s">
        <v>2238</v>
      </c>
      <c r="D1150" s="15" t="s">
        <v>2260</v>
      </c>
      <c r="E1150" s="15" t="s">
        <v>2261</v>
      </c>
    </row>
    <row r="1151" spans="2:5">
      <c r="B1151" s="15" t="s">
        <v>2237</v>
      </c>
      <c r="C1151" s="15" t="s">
        <v>2238</v>
      </c>
      <c r="D1151" s="15" t="s">
        <v>2262</v>
      </c>
      <c r="E1151" s="15" t="s">
        <v>2263</v>
      </c>
    </row>
    <row r="1152" spans="2:5">
      <c r="B1152" s="15" t="s">
        <v>2237</v>
      </c>
      <c r="C1152" s="15" t="s">
        <v>2238</v>
      </c>
      <c r="D1152" s="15" t="s">
        <v>2264</v>
      </c>
      <c r="E1152" s="15" t="s">
        <v>2265</v>
      </c>
    </row>
    <row r="1153" spans="2:5">
      <c r="B1153" s="15" t="s">
        <v>2237</v>
      </c>
      <c r="C1153" s="15" t="s">
        <v>2238</v>
      </c>
      <c r="D1153" s="15" t="s">
        <v>2266</v>
      </c>
      <c r="E1153" s="15" t="s">
        <v>2267</v>
      </c>
    </row>
    <row r="1154" spans="2:5">
      <c r="B1154" s="15" t="s">
        <v>2237</v>
      </c>
      <c r="C1154" s="15" t="s">
        <v>2238</v>
      </c>
      <c r="D1154" s="15" t="s">
        <v>2268</v>
      </c>
      <c r="E1154" s="15" t="s">
        <v>2269</v>
      </c>
    </row>
    <row r="1155" spans="2:5">
      <c r="B1155" s="15" t="s">
        <v>2237</v>
      </c>
      <c r="C1155" s="15" t="s">
        <v>2238</v>
      </c>
      <c r="D1155" s="15" t="s">
        <v>2270</v>
      </c>
      <c r="E1155" s="15" t="s">
        <v>2271</v>
      </c>
    </row>
    <row r="1156" spans="2:5">
      <c r="B1156" s="15" t="s">
        <v>2237</v>
      </c>
      <c r="C1156" s="15" t="s">
        <v>2238</v>
      </c>
      <c r="D1156" s="15" t="s">
        <v>2272</v>
      </c>
      <c r="E1156" s="15" t="s">
        <v>2273</v>
      </c>
    </row>
    <row r="1157" spans="2:5">
      <c r="B1157" s="15" t="s">
        <v>2237</v>
      </c>
      <c r="C1157" s="15" t="s">
        <v>2238</v>
      </c>
      <c r="D1157" s="15" t="s">
        <v>2274</v>
      </c>
      <c r="E1157" s="15" t="s">
        <v>2275</v>
      </c>
    </row>
    <row r="1158" spans="2:5">
      <c r="B1158" s="15" t="s">
        <v>2237</v>
      </c>
      <c r="C1158" s="15" t="s">
        <v>2238</v>
      </c>
      <c r="D1158" s="15" t="s">
        <v>2276</v>
      </c>
      <c r="E1158" s="15" t="s">
        <v>2277</v>
      </c>
    </row>
    <row r="1159" spans="2:5">
      <c r="B1159" s="15" t="s">
        <v>2237</v>
      </c>
      <c r="C1159" s="15" t="s">
        <v>2238</v>
      </c>
      <c r="D1159" s="15" t="s">
        <v>2278</v>
      </c>
      <c r="E1159" s="15" t="s">
        <v>2279</v>
      </c>
    </row>
    <row r="1160" spans="2:5">
      <c r="B1160" s="15" t="s">
        <v>2237</v>
      </c>
      <c r="C1160" s="15" t="s">
        <v>2238</v>
      </c>
      <c r="D1160" s="15" t="s">
        <v>2280</v>
      </c>
      <c r="E1160" s="15" t="s">
        <v>2281</v>
      </c>
    </row>
    <row r="1161" spans="2:5">
      <c r="B1161" s="15" t="s">
        <v>2237</v>
      </c>
      <c r="C1161" s="15" t="s">
        <v>2238</v>
      </c>
      <c r="D1161" s="15" t="s">
        <v>2282</v>
      </c>
      <c r="E1161" s="15" t="s">
        <v>2283</v>
      </c>
    </row>
    <row r="1162" spans="2:5">
      <c r="B1162" s="15" t="s">
        <v>2237</v>
      </c>
      <c r="C1162" s="15" t="s">
        <v>2238</v>
      </c>
      <c r="D1162" s="15" t="s">
        <v>2284</v>
      </c>
      <c r="E1162" s="15" t="s">
        <v>2285</v>
      </c>
    </row>
    <row r="1163" spans="2:5">
      <c r="B1163" s="15" t="s">
        <v>2237</v>
      </c>
      <c r="C1163" s="15" t="s">
        <v>2238</v>
      </c>
      <c r="D1163" s="15" t="s">
        <v>2286</v>
      </c>
      <c r="E1163" s="15" t="s">
        <v>2287</v>
      </c>
    </row>
    <row r="1164" spans="2:5">
      <c r="B1164" s="15" t="s">
        <v>2237</v>
      </c>
      <c r="C1164" s="15" t="s">
        <v>2238</v>
      </c>
      <c r="D1164" s="15" t="s">
        <v>2288</v>
      </c>
      <c r="E1164" s="15" t="s">
        <v>2289</v>
      </c>
    </row>
    <row r="1165" spans="2:5">
      <c r="B1165" s="15" t="s">
        <v>2237</v>
      </c>
      <c r="C1165" s="15" t="s">
        <v>2238</v>
      </c>
      <c r="D1165" s="15" t="s">
        <v>2290</v>
      </c>
      <c r="E1165" s="15" t="s">
        <v>2291</v>
      </c>
    </row>
    <row r="1166" spans="2:5">
      <c r="B1166" s="15" t="s">
        <v>2237</v>
      </c>
      <c r="C1166" s="15" t="s">
        <v>2238</v>
      </c>
      <c r="D1166" s="15" t="s">
        <v>679</v>
      </c>
      <c r="E1166" s="15" t="s">
        <v>2292</v>
      </c>
    </row>
    <row r="1167" spans="2:5">
      <c r="B1167" s="15" t="s">
        <v>2237</v>
      </c>
      <c r="C1167" s="15" t="s">
        <v>2238</v>
      </c>
      <c r="D1167" s="15" t="s">
        <v>681</v>
      </c>
      <c r="E1167" s="15" t="s">
        <v>2293</v>
      </c>
    </row>
    <row r="1168" spans="2:5">
      <c r="B1168" s="15" t="s">
        <v>2237</v>
      </c>
      <c r="C1168" s="15" t="s">
        <v>2238</v>
      </c>
      <c r="D1168" s="15" t="s">
        <v>683</v>
      </c>
      <c r="E1168" s="15" t="s">
        <v>2294</v>
      </c>
    </row>
    <row r="1169" spans="2:5">
      <c r="B1169" s="15" t="s">
        <v>2237</v>
      </c>
      <c r="C1169" s="15" t="s">
        <v>2238</v>
      </c>
      <c r="D1169" s="15" t="s">
        <v>685</v>
      </c>
      <c r="E1169" s="15" t="s">
        <v>2295</v>
      </c>
    </row>
    <row r="1170" spans="2:5">
      <c r="B1170" s="15" t="s">
        <v>2237</v>
      </c>
      <c r="C1170" s="15" t="s">
        <v>2238</v>
      </c>
      <c r="D1170" s="15" t="s">
        <v>687</v>
      </c>
      <c r="E1170" s="15" t="s">
        <v>2296</v>
      </c>
    </row>
    <row r="1171" ht="15.95" spans="2:2">
      <c r="B1171" s="122" t="s">
        <v>2297</v>
      </c>
    </row>
    <row r="1172" spans="2:5">
      <c r="B1172" s="15" t="s">
        <v>2298</v>
      </c>
      <c r="C1172" s="15" t="s">
        <v>2299</v>
      </c>
      <c r="D1172" s="15" t="s">
        <v>770</v>
      </c>
      <c r="E1172" s="15" t="s">
        <v>2300</v>
      </c>
    </row>
    <row r="1173" spans="2:5">
      <c r="B1173" s="15" t="s">
        <v>2298</v>
      </c>
      <c r="C1173" s="15" t="s">
        <v>2299</v>
      </c>
      <c r="D1173" s="15" t="s">
        <v>772</v>
      </c>
      <c r="E1173" s="15" t="s">
        <v>2301</v>
      </c>
    </row>
    <row r="1174" spans="2:5">
      <c r="B1174" s="15" t="s">
        <v>2298</v>
      </c>
      <c r="C1174" s="15" t="s">
        <v>2299</v>
      </c>
      <c r="D1174" s="15" t="s">
        <v>774</v>
      </c>
      <c r="E1174" s="15" t="s">
        <v>2302</v>
      </c>
    </row>
    <row r="1175" ht="15.95" spans="2:2">
      <c r="B1175" s="122" t="s">
        <v>2303</v>
      </c>
    </row>
    <row r="1176" spans="2:5">
      <c r="B1176" s="15" t="s">
        <v>2304</v>
      </c>
      <c r="C1176" s="15" t="s">
        <v>2305</v>
      </c>
      <c r="D1176" s="15" t="s">
        <v>1432</v>
      </c>
      <c r="E1176" s="15" t="s">
        <v>2306</v>
      </c>
    </row>
    <row r="1177" spans="2:5">
      <c r="B1177" s="15" t="s">
        <v>2304</v>
      </c>
      <c r="C1177" s="15" t="s">
        <v>2305</v>
      </c>
      <c r="D1177" s="15" t="s">
        <v>723</v>
      </c>
      <c r="E1177" s="15" t="s">
        <v>2307</v>
      </c>
    </row>
    <row r="1178" spans="2:5">
      <c r="B1178" s="15" t="s">
        <v>2304</v>
      </c>
      <c r="C1178" s="15" t="s">
        <v>2305</v>
      </c>
      <c r="D1178" s="15" t="s">
        <v>725</v>
      </c>
      <c r="E1178" s="15" t="s">
        <v>2308</v>
      </c>
    </row>
    <row r="1179" spans="2:5">
      <c r="B1179" s="15" t="s">
        <v>2304</v>
      </c>
      <c r="C1179" s="15" t="s">
        <v>2305</v>
      </c>
      <c r="D1179" s="15" t="s">
        <v>727</v>
      </c>
      <c r="E1179" s="15" t="s">
        <v>2309</v>
      </c>
    </row>
    <row r="1180" spans="2:5">
      <c r="B1180" s="15" t="s">
        <v>2304</v>
      </c>
      <c r="C1180" s="15" t="s">
        <v>2305</v>
      </c>
      <c r="D1180" s="15" t="s">
        <v>1587</v>
      </c>
      <c r="E1180" s="15" t="s">
        <v>2310</v>
      </c>
    </row>
    <row r="1181" spans="2:5">
      <c r="B1181" s="15" t="s">
        <v>2304</v>
      </c>
      <c r="C1181" s="15" t="s">
        <v>2305</v>
      </c>
      <c r="D1181" s="15" t="s">
        <v>765</v>
      </c>
      <c r="E1181" s="15" t="s">
        <v>2311</v>
      </c>
    </row>
    <row r="1182" ht="15.95" spans="2:2">
      <c r="B1182" s="122" t="s">
        <v>2312</v>
      </c>
    </row>
    <row r="1183" spans="2:5">
      <c r="B1183" s="15" t="s">
        <v>2313</v>
      </c>
      <c r="C1183" s="15" t="s">
        <v>2314</v>
      </c>
      <c r="D1183" s="15" t="s">
        <v>635</v>
      </c>
      <c r="E1183" s="15" t="s">
        <v>2315</v>
      </c>
    </row>
    <row r="1184" spans="2:5">
      <c r="B1184" s="15" t="s">
        <v>2313</v>
      </c>
      <c r="C1184" s="15" t="s">
        <v>2314</v>
      </c>
      <c r="D1184" s="15" t="s">
        <v>659</v>
      </c>
      <c r="E1184" s="15" t="s">
        <v>2316</v>
      </c>
    </row>
    <row r="1185" ht="15.95" spans="2:2">
      <c r="B1185" s="122" t="s">
        <v>2317</v>
      </c>
    </row>
    <row r="1186" spans="2:5">
      <c r="B1186" s="15" t="s">
        <v>2318</v>
      </c>
      <c r="C1186" s="15" t="s">
        <v>2318</v>
      </c>
      <c r="D1186" s="15" t="s">
        <v>1267</v>
      </c>
      <c r="E1186" s="15" t="s">
        <v>1861</v>
      </c>
    </row>
    <row r="1187" spans="2:5">
      <c r="B1187" s="15" t="s">
        <v>2318</v>
      </c>
      <c r="C1187" s="15" t="s">
        <v>2318</v>
      </c>
      <c r="D1187" s="15" t="s">
        <v>1269</v>
      </c>
      <c r="E1187" s="15" t="s">
        <v>1860</v>
      </c>
    </row>
    <row r="1188" ht="15.95" spans="2:2">
      <c r="B1188" s="122" t="s">
        <v>2319</v>
      </c>
    </row>
    <row r="1189" spans="2:5">
      <c r="B1189" s="15" t="s">
        <v>2320</v>
      </c>
      <c r="C1189" s="15" t="s">
        <v>2320</v>
      </c>
      <c r="D1189" s="15" t="s">
        <v>723</v>
      </c>
      <c r="E1189" s="15" t="s">
        <v>1825</v>
      </c>
    </row>
    <row r="1190" spans="2:5">
      <c r="B1190" s="15" t="s">
        <v>2320</v>
      </c>
      <c r="C1190" s="15" t="s">
        <v>2320</v>
      </c>
      <c r="D1190" s="15" t="s">
        <v>725</v>
      </c>
      <c r="E1190" s="15" t="s">
        <v>1826</v>
      </c>
    </row>
    <row r="1191" spans="2:5">
      <c r="B1191" s="15" t="s">
        <v>2320</v>
      </c>
      <c r="C1191" s="15" t="s">
        <v>2320</v>
      </c>
      <c r="D1191" s="15" t="s">
        <v>727</v>
      </c>
      <c r="E1191" s="15" t="s">
        <v>1827</v>
      </c>
    </row>
    <row r="1192" ht="15.95" spans="2:2">
      <c r="B1192" s="122" t="s">
        <v>2321</v>
      </c>
    </row>
    <row r="1193" spans="2:5">
      <c r="B1193" s="15" t="s">
        <v>2322</v>
      </c>
      <c r="C1193" s="15" t="s">
        <v>2323</v>
      </c>
      <c r="D1193" s="15" t="s">
        <v>2324</v>
      </c>
      <c r="E1193" s="15" t="s">
        <v>2325</v>
      </c>
    </row>
    <row r="1194" spans="2:5">
      <c r="B1194" s="15" t="s">
        <v>2322</v>
      </c>
      <c r="C1194" s="15" t="s">
        <v>2323</v>
      </c>
      <c r="D1194" s="15" t="s">
        <v>2326</v>
      </c>
      <c r="E1194" s="15" t="s">
        <v>2327</v>
      </c>
    </row>
    <row r="1195" ht="15.95" spans="2:2">
      <c r="B1195" s="122" t="s">
        <v>2328</v>
      </c>
    </row>
    <row r="1196" spans="2:5">
      <c r="B1196" s="15" t="s">
        <v>2329</v>
      </c>
      <c r="C1196" s="15" t="s">
        <v>2330</v>
      </c>
      <c r="D1196" s="15" t="s">
        <v>770</v>
      </c>
      <c r="E1196" s="15" t="s">
        <v>2331</v>
      </c>
    </row>
    <row r="1197" spans="2:5">
      <c r="B1197" s="15" t="s">
        <v>2329</v>
      </c>
      <c r="C1197" s="15" t="s">
        <v>2330</v>
      </c>
      <c r="D1197" s="15" t="s">
        <v>2332</v>
      </c>
      <c r="E1197" s="15" t="s">
        <v>2333</v>
      </c>
    </row>
    <row r="1198" spans="2:5">
      <c r="B1198" s="15" t="s">
        <v>2329</v>
      </c>
      <c r="C1198" s="15" t="s">
        <v>2330</v>
      </c>
      <c r="D1198" s="15" t="s">
        <v>2334</v>
      </c>
      <c r="E1198" s="15" t="s">
        <v>2335</v>
      </c>
    </row>
    <row r="1199" spans="2:5">
      <c r="B1199" s="15" t="s">
        <v>2329</v>
      </c>
      <c r="C1199" s="15" t="s">
        <v>2330</v>
      </c>
      <c r="D1199" s="15" t="s">
        <v>772</v>
      </c>
      <c r="E1199" s="15" t="s">
        <v>2336</v>
      </c>
    </row>
    <row r="1200" spans="2:5">
      <c r="B1200" s="15" t="s">
        <v>2329</v>
      </c>
      <c r="C1200" s="15" t="s">
        <v>2330</v>
      </c>
      <c r="D1200" s="15" t="s">
        <v>774</v>
      </c>
      <c r="E1200" s="15" t="s">
        <v>2337</v>
      </c>
    </row>
    <row r="1201" spans="2:5">
      <c r="B1201" s="15" t="s">
        <v>2329</v>
      </c>
      <c r="C1201" s="15" t="s">
        <v>2330</v>
      </c>
      <c r="D1201" s="15" t="s">
        <v>828</v>
      </c>
      <c r="E1201" s="15" t="s">
        <v>2338</v>
      </c>
    </row>
    <row r="1202" ht="15.95" spans="2:2">
      <c r="B1202" s="122" t="s">
        <v>2339</v>
      </c>
    </row>
    <row r="1203" spans="2:5">
      <c r="B1203" s="15" t="s">
        <v>2340</v>
      </c>
      <c r="C1203" s="15" t="s">
        <v>2341</v>
      </c>
      <c r="D1203" s="15" t="s">
        <v>770</v>
      </c>
      <c r="E1203" s="15" t="s">
        <v>2342</v>
      </c>
    </row>
    <row r="1204" spans="2:5">
      <c r="B1204" s="15" t="s">
        <v>2340</v>
      </c>
      <c r="C1204" s="15" t="s">
        <v>2341</v>
      </c>
      <c r="D1204" s="15" t="s">
        <v>772</v>
      </c>
      <c r="E1204" s="15" t="s">
        <v>2343</v>
      </c>
    </row>
    <row r="1205" spans="2:5">
      <c r="B1205" s="15" t="s">
        <v>2340</v>
      </c>
      <c r="C1205" s="15" t="s">
        <v>2341</v>
      </c>
      <c r="D1205" s="15" t="s">
        <v>774</v>
      </c>
      <c r="E1205" s="15" t="s">
        <v>2344</v>
      </c>
    </row>
    <row r="1206" spans="2:5">
      <c r="B1206" s="15" t="s">
        <v>2340</v>
      </c>
      <c r="C1206" s="15" t="s">
        <v>2341</v>
      </c>
      <c r="D1206" s="15" t="s">
        <v>828</v>
      </c>
      <c r="E1206" s="15" t="s">
        <v>235</v>
      </c>
    </row>
    <row r="1207" ht="15.95" spans="2:2">
      <c r="B1207" s="122" t="s">
        <v>2345</v>
      </c>
    </row>
    <row r="1208" spans="2:5">
      <c r="B1208" s="15" t="s">
        <v>2346</v>
      </c>
      <c r="C1208" s="15" t="s">
        <v>2347</v>
      </c>
      <c r="D1208" s="15" t="s">
        <v>723</v>
      </c>
      <c r="E1208" s="15" t="s">
        <v>2348</v>
      </c>
    </row>
    <row r="1209" spans="2:5">
      <c r="B1209" s="15" t="s">
        <v>2346</v>
      </c>
      <c r="C1209" s="15" t="s">
        <v>2347</v>
      </c>
      <c r="D1209" s="15" t="s">
        <v>725</v>
      </c>
      <c r="E1209" s="15" t="s">
        <v>2349</v>
      </c>
    </row>
    <row r="1210" spans="2:5">
      <c r="B1210" s="15" t="s">
        <v>2346</v>
      </c>
      <c r="C1210" s="15" t="s">
        <v>2347</v>
      </c>
      <c r="D1210" s="15" t="s">
        <v>727</v>
      </c>
      <c r="E1210" s="15" t="s">
        <v>2350</v>
      </c>
    </row>
    <row r="1211" spans="2:5">
      <c r="B1211" s="15" t="s">
        <v>2346</v>
      </c>
      <c r="C1211" s="15" t="s">
        <v>2347</v>
      </c>
      <c r="D1211" s="15" t="s">
        <v>729</v>
      </c>
      <c r="E1211" s="15" t="s">
        <v>235</v>
      </c>
    </row>
    <row r="1212" spans="2:5">
      <c r="B1212" s="15" t="s">
        <v>2346</v>
      </c>
      <c r="C1212" s="15" t="s">
        <v>2347</v>
      </c>
      <c r="D1212" s="15" t="s">
        <v>765</v>
      </c>
      <c r="E1212" s="15" t="s">
        <v>766</v>
      </c>
    </row>
    <row r="1213" ht="15.95" spans="2:2">
      <c r="B1213" s="122" t="s">
        <v>2351</v>
      </c>
    </row>
    <row r="1214" spans="2:5">
      <c r="B1214" s="15" t="s">
        <v>2352</v>
      </c>
      <c r="C1214" s="15" t="s">
        <v>2353</v>
      </c>
      <c r="D1214" s="15" t="s">
        <v>770</v>
      </c>
      <c r="E1214" s="15" t="s">
        <v>2354</v>
      </c>
    </row>
    <row r="1215" spans="2:5">
      <c r="B1215" s="15" t="s">
        <v>2352</v>
      </c>
      <c r="C1215" s="15" t="s">
        <v>2353</v>
      </c>
      <c r="D1215" s="15" t="s">
        <v>772</v>
      </c>
      <c r="E1215" s="15" t="s">
        <v>2355</v>
      </c>
    </row>
    <row r="1216" spans="2:5">
      <c r="B1216" s="15" t="s">
        <v>2352</v>
      </c>
      <c r="C1216" s="15" t="s">
        <v>2353</v>
      </c>
      <c r="D1216" s="15" t="s">
        <v>774</v>
      </c>
      <c r="E1216" s="15" t="s">
        <v>235</v>
      </c>
    </row>
    <row r="1217" ht="15.95" spans="2:2">
      <c r="B1217" s="122" t="s">
        <v>2356</v>
      </c>
    </row>
    <row r="1218" spans="2:5">
      <c r="B1218" s="15" t="s">
        <v>2357</v>
      </c>
      <c r="C1218" s="15" t="s">
        <v>2358</v>
      </c>
      <c r="D1218" s="15" t="s">
        <v>770</v>
      </c>
      <c r="E1218" s="15" t="s">
        <v>2359</v>
      </c>
    </row>
    <row r="1219" spans="2:5">
      <c r="B1219" s="15" t="s">
        <v>2357</v>
      </c>
      <c r="C1219" s="15" t="s">
        <v>2358</v>
      </c>
      <c r="D1219" s="15" t="s">
        <v>772</v>
      </c>
      <c r="E1219" s="15" t="s">
        <v>2360</v>
      </c>
    </row>
    <row r="1220" spans="2:5">
      <c r="B1220" s="15" t="s">
        <v>2357</v>
      </c>
      <c r="C1220" s="15" t="s">
        <v>2358</v>
      </c>
      <c r="D1220" s="15" t="s">
        <v>1143</v>
      </c>
      <c r="E1220" s="15" t="s">
        <v>235</v>
      </c>
    </row>
    <row r="1221" ht="15.95" spans="2:2">
      <c r="B1221" s="122" t="s">
        <v>2361</v>
      </c>
    </row>
    <row r="1222" spans="2:5">
      <c r="B1222" s="15" t="s">
        <v>2362</v>
      </c>
      <c r="C1222" s="15" t="s">
        <v>2362</v>
      </c>
      <c r="D1222" s="15" t="s">
        <v>770</v>
      </c>
      <c r="E1222" s="15" t="s">
        <v>2363</v>
      </c>
    </row>
    <row r="1223" spans="2:5">
      <c r="B1223" s="15" t="s">
        <v>2362</v>
      </c>
      <c r="C1223" s="15" t="s">
        <v>2362</v>
      </c>
      <c r="D1223" s="15" t="s">
        <v>772</v>
      </c>
      <c r="E1223" s="15" t="s">
        <v>2364</v>
      </c>
    </row>
    <row r="1224" spans="2:5">
      <c r="B1224" s="15" t="s">
        <v>2362</v>
      </c>
      <c r="C1224" s="15" t="s">
        <v>2362</v>
      </c>
      <c r="D1224" s="15" t="s">
        <v>774</v>
      </c>
      <c r="E1224" s="15" t="s">
        <v>2365</v>
      </c>
    </row>
    <row r="1225" ht="15.95" spans="2:2">
      <c r="B1225" s="122" t="s">
        <v>2366</v>
      </c>
    </row>
    <row r="1226" spans="2:5">
      <c r="B1226" s="15" t="s">
        <v>2367</v>
      </c>
      <c r="C1226" s="15" t="s">
        <v>2368</v>
      </c>
      <c r="D1226" s="15" t="s">
        <v>2369</v>
      </c>
      <c r="E1226" s="15" t="s">
        <v>2370</v>
      </c>
    </row>
    <row r="1227" spans="2:5">
      <c r="B1227" s="15" t="s">
        <v>2367</v>
      </c>
      <c r="C1227" s="15" t="s">
        <v>2368</v>
      </c>
      <c r="D1227" s="15" t="s">
        <v>2371</v>
      </c>
      <c r="E1227" s="15" t="s">
        <v>2372</v>
      </c>
    </row>
    <row r="1228" spans="2:5">
      <c r="B1228" s="15" t="s">
        <v>2367</v>
      </c>
      <c r="C1228" s="15" t="s">
        <v>2368</v>
      </c>
      <c r="D1228" s="15" t="s">
        <v>2373</v>
      </c>
      <c r="E1228" s="15" t="s">
        <v>2374</v>
      </c>
    </row>
    <row r="1229" ht="15.95" spans="2:2">
      <c r="B1229" s="122" t="s">
        <v>2375</v>
      </c>
    </row>
    <row r="1230" spans="2:5">
      <c r="B1230" s="15" t="s">
        <v>2376</v>
      </c>
      <c r="C1230" s="15" t="s">
        <v>2377</v>
      </c>
      <c r="D1230" s="15" t="s">
        <v>2378</v>
      </c>
      <c r="E1230" s="15" t="s">
        <v>2379</v>
      </c>
    </row>
    <row r="1231" spans="2:5">
      <c r="B1231" s="15" t="s">
        <v>2376</v>
      </c>
      <c r="C1231" s="15" t="s">
        <v>2377</v>
      </c>
      <c r="D1231" s="15" t="s">
        <v>635</v>
      </c>
      <c r="E1231" s="15" t="s">
        <v>2292</v>
      </c>
    </row>
    <row r="1232" spans="2:5">
      <c r="B1232" s="15" t="s">
        <v>2376</v>
      </c>
      <c r="C1232" s="15" t="s">
        <v>2377</v>
      </c>
      <c r="D1232" s="15" t="s">
        <v>659</v>
      </c>
      <c r="E1232" s="15" t="s">
        <v>2380</v>
      </c>
    </row>
    <row r="1233" spans="2:5">
      <c r="B1233" s="15" t="s">
        <v>2376</v>
      </c>
      <c r="C1233" s="15" t="s">
        <v>2377</v>
      </c>
      <c r="D1233" s="15" t="s">
        <v>705</v>
      </c>
      <c r="E1233" s="15" t="s">
        <v>2381</v>
      </c>
    </row>
    <row r="1234" ht="15.95" spans="2:2">
      <c r="B1234" s="122" t="s">
        <v>2382</v>
      </c>
    </row>
    <row r="1235" spans="2:5">
      <c r="B1235" s="15" t="s">
        <v>2383</v>
      </c>
      <c r="C1235" s="15" t="s">
        <v>896</v>
      </c>
      <c r="D1235" s="15" t="s">
        <v>770</v>
      </c>
      <c r="E1235" s="15" t="s">
        <v>2384</v>
      </c>
    </row>
    <row r="1236" spans="2:5">
      <c r="B1236" s="15" t="s">
        <v>2383</v>
      </c>
      <c r="C1236" s="15" t="s">
        <v>896</v>
      </c>
      <c r="D1236" s="15" t="s">
        <v>772</v>
      </c>
      <c r="E1236" s="15" t="s">
        <v>2385</v>
      </c>
    </row>
    <row r="1237" spans="2:5">
      <c r="B1237" s="15" t="s">
        <v>2383</v>
      </c>
      <c r="C1237" s="15" t="s">
        <v>896</v>
      </c>
      <c r="D1237" s="15" t="s">
        <v>774</v>
      </c>
      <c r="E1237" s="15" t="s">
        <v>2386</v>
      </c>
    </row>
    <row r="1238" ht="15.95" spans="2:2">
      <c r="B1238" s="122" t="s">
        <v>2387</v>
      </c>
    </row>
    <row r="1239" spans="2:5">
      <c r="B1239" s="15" t="s">
        <v>2388</v>
      </c>
      <c r="C1239" s="15" t="s">
        <v>2388</v>
      </c>
      <c r="D1239" s="15" t="s">
        <v>723</v>
      </c>
      <c r="E1239" s="15" t="s">
        <v>2389</v>
      </c>
    </row>
    <row r="1240" spans="2:5">
      <c r="B1240" s="15" t="s">
        <v>2388</v>
      </c>
      <c r="C1240" s="15" t="s">
        <v>2388</v>
      </c>
      <c r="D1240" s="15" t="s">
        <v>725</v>
      </c>
      <c r="E1240" s="15" t="s">
        <v>2390</v>
      </c>
    </row>
    <row r="1241" ht="15.95" spans="2:2">
      <c r="B1241" s="122" t="s">
        <v>2391</v>
      </c>
    </row>
    <row r="1242" spans="2:5">
      <c r="B1242" s="15" t="s">
        <v>2392</v>
      </c>
      <c r="C1242" s="15" t="s">
        <v>2392</v>
      </c>
      <c r="D1242" s="15" t="s">
        <v>770</v>
      </c>
      <c r="E1242" s="15" t="s">
        <v>2393</v>
      </c>
    </row>
    <row r="1243" spans="2:5">
      <c r="B1243" s="15" t="s">
        <v>2392</v>
      </c>
      <c r="C1243" s="15" t="s">
        <v>2392</v>
      </c>
      <c r="D1243" s="15" t="s">
        <v>772</v>
      </c>
      <c r="E1243" s="15" t="s">
        <v>2394</v>
      </c>
    </row>
    <row r="1244" spans="2:5">
      <c r="B1244" s="15" t="s">
        <v>2392</v>
      </c>
      <c r="C1244" s="15" t="s">
        <v>2392</v>
      </c>
      <c r="D1244" s="15" t="s">
        <v>774</v>
      </c>
      <c r="E1244" s="15" t="s">
        <v>2395</v>
      </c>
    </row>
    <row r="1245" spans="2:5">
      <c r="B1245" s="15" t="s">
        <v>2392</v>
      </c>
      <c r="C1245" s="15" t="s">
        <v>2392</v>
      </c>
      <c r="D1245" s="15" t="s">
        <v>828</v>
      </c>
      <c r="E1245" s="15" t="s">
        <v>2396</v>
      </c>
    </row>
    <row r="1246" ht="15.95" spans="2:2">
      <c r="B1246" s="122" t="s">
        <v>2397</v>
      </c>
    </row>
    <row r="1247" spans="2:5">
      <c r="B1247" s="15" t="s">
        <v>2398</v>
      </c>
      <c r="C1247" s="15" t="s">
        <v>2399</v>
      </c>
      <c r="D1247" s="15" t="s">
        <v>1267</v>
      </c>
      <c r="E1247" s="15" t="s">
        <v>1355</v>
      </c>
    </row>
    <row r="1248" spans="2:5">
      <c r="B1248" s="15" t="s">
        <v>2398</v>
      </c>
      <c r="C1248" s="15" t="s">
        <v>2399</v>
      </c>
      <c r="D1248" s="15" t="s">
        <v>1269</v>
      </c>
      <c r="E1248" s="15" t="s">
        <v>1356</v>
      </c>
    </row>
    <row r="1249" ht="15.95" spans="2:2">
      <c r="B1249" s="122" t="s">
        <v>2400</v>
      </c>
    </row>
    <row r="1250" spans="2:5">
      <c r="B1250" s="15" t="s">
        <v>2401</v>
      </c>
      <c r="C1250" s="15" t="s">
        <v>2402</v>
      </c>
      <c r="D1250" s="15" t="s">
        <v>770</v>
      </c>
      <c r="E1250" s="15" t="s">
        <v>2403</v>
      </c>
    </row>
    <row r="1251" spans="2:5">
      <c r="B1251" s="15" t="s">
        <v>2401</v>
      </c>
      <c r="C1251" s="15" t="s">
        <v>2402</v>
      </c>
      <c r="D1251" s="15" t="s">
        <v>772</v>
      </c>
      <c r="E1251" s="15" t="s">
        <v>2404</v>
      </c>
    </row>
    <row r="1252" spans="2:5">
      <c r="B1252" s="15" t="s">
        <v>2401</v>
      </c>
      <c r="C1252" s="15" t="s">
        <v>2402</v>
      </c>
      <c r="D1252" s="15" t="s">
        <v>774</v>
      </c>
      <c r="E1252" s="15" t="s">
        <v>2405</v>
      </c>
    </row>
    <row r="1253" ht="15.95" spans="2:2">
      <c r="B1253" s="122" t="s">
        <v>2406</v>
      </c>
    </row>
    <row r="1254" spans="2:5">
      <c r="B1254" s="15" t="s">
        <v>2407</v>
      </c>
      <c r="C1254" s="15" t="s">
        <v>2408</v>
      </c>
      <c r="D1254" s="15" t="s">
        <v>770</v>
      </c>
      <c r="E1254" s="15" t="s">
        <v>2409</v>
      </c>
    </row>
    <row r="1255" spans="2:5">
      <c r="B1255" s="15" t="s">
        <v>2407</v>
      </c>
      <c r="C1255" s="15" t="s">
        <v>2408</v>
      </c>
      <c r="D1255" s="15" t="s">
        <v>772</v>
      </c>
      <c r="E1255" s="15" t="s">
        <v>2410</v>
      </c>
    </row>
    <row r="1256" ht="15.95" spans="2:2">
      <c r="B1256" s="122" t="s">
        <v>2411</v>
      </c>
    </row>
    <row r="1257" spans="2:5">
      <c r="B1257" s="15" t="s">
        <v>2412</v>
      </c>
      <c r="C1257" s="15" t="s">
        <v>2413</v>
      </c>
      <c r="D1257" s="15" t="s">
        <v>635</v>
      </c>
      <c r="E1257" s="15" t="s">
        <v>2414</v>
      </c>
    </row>
    <row r="1258" spans="2:5">
      <c r="B1258" s="15" t="s">
        <v>2412</v>
      </c>
      <c r="C1258" s="15" t="s">
        <v>2413</v>
      </c>
      <c r="D1258" s="15" t="s">
        <v>659</v>
      </c>
      <c r="E1258" s="15" t="s">
        <v>2415</v>
      </c>
    </row>
    <row r="1259" spans="2:5">
      <c r="B1259" s="15" t="s">
        <v>2412</v>
      </c>
      <c r="C1259" s="15" t="s">
        <v>2413</v>
      </c>
      <c r="D1259" s="15" t="s">
        <v>2416</v>
      </c>
      <c r="E1259" s="15" t="s">
        <v>2417</v>
      </c>
    </row>
    <row r="1260" spans="2:5">
      <c r="B1260" s="15" t="s">
        <v>2412</v>
      </c>
      <c r="C1260" s="15" t="s">
        <v>2413</v>
      </c>
      <c r="D1260" s="15" t="s">
        <v>679</v>
      </c>
      <c r="E1260" s="15" t="s">
        <v>2418</v>
      </c>
    </row>
    <row r="1261" spans="2:5">
      <c r="B1261" s="15" t="s">
        <v>2412</v>
      </c>
      <c r="C1261" s="15" t="s">
        <v>2413</v>
      </c>
      <c r="D1261" s="15" t="s">
        <v>705</v>
      </c>
      <c r="E1261" s="15" t="s">
        <v>2419</v>
      </c>
    </row>
    <row r="1262" ht="15.95" spans="2:2">
      <c r="B1262" s="122" t="s">
        <v>2420</v>
      </c>
    </row>
    <row r="1263" spans="2:5">
      <c r="B1263" s="15" t="s">
        <v>2421</v>
      </c>
      <c r="C1263" s="15" t="s">
        <v>2422</v>
      </c>
      <c r="D1263" s="15" t="s">
        <v>917</v>
      </c>
      <c r="E1263" s="15" t="s">
        <v>953</v>
      </c>
    </row>
    <row r="1264" spans="2:5">
      <c r="B1264" s="15" t="s">
        <v>2421</v>
      </c>
      <c r="C1264" s="15" t="s">
        <v>2422</v>
      </c>
      <c r="D1264" s="15" t="s">
        <v>919</v>
      </c>
      <c r="E1264" s="15" t="s">
        <v>954</v>
      </c>
    </row>
    <row r="1265" spans="2:5">
      <c r="B1265" s="15" t="s">
        <v>2421</v>
      </c>
      <c r="C1265" s="15" t="s">
        <v>2422</v>
      </c>
      <c r="D1265" s="15" t="s">
        <v>955</v>
      </c>
      <c r="E1265" s="15" t="s">
        <v>956</v>
      </c>
    </row>
    <row r="1266" ht="15.95" spans="2:2">
      <c r="B1266" s="122" t="s">
        <v>2423</v>
      </c>
    </row>
    <row r="1267" spans="2:5">
      <c r="B1267" s="15" t="s">
        <v>2424</v>
      </c>
      <c r="C1267" s="15" t="s">
        <v>2424</v>
      </c>
      <c r="D1267" s="15" t="s">
        <v>723</v>
      </c>
      <c r="E1267" s="15" t="s">
        <v>1712</v>
      </c>
    </row>
    <row r="1268" spans="2:5">
      <c r="B1268" s="15" t="s">
        <v>2424</v>
      </c>
      <c r="C1268" s="15" t="s">
        <v>2424</v>
      </c>
      <c r="D1268" s="15" t="s">
        <v>725</v>
      </c>
      <c r="E1268" s="15" t="s">
        <v>1203</v>
      </c>
    </row>
    <row r="1269" spans="2:5">
      <c r="B1269" s="15" t="s">
        <v>2424</v>
      </c>
      <c r="C1269" s="15" t="s">
        <v>2424</v>
      </c>
      <c r="D1269" s="15" t="s">
        <v>727</v>
      </c>
      <c r="E1269" s="15" t="s">
        <v>1713</v>
      </c>
    </row>
    <row r="1270" ht="15.95" spans="2:2">
      <c r="B1270" s="122" t="s">
        <v>2425</v>
      </c>
    </row>
    <row r="1271" spans="2:5">
      <c r="B1271" s="15" t="s">
        <v>2426</v>
      </c>
      <c r="C1271" s="15" t="s">
        <v>2426</v>
      </c>
      <c r="D1271" s="15" t="s">
        <v>723</v>
      </c>
      <c r="E1271" s="15" t="s">
        <v>2427</v>
      </c>
    </row>
    <row r="1272" spans="2:5">
      <c r="B1272" s="15" t="s">
        <v>2426</v>
      </c>
      <c r="C1272" s="15" t="s">
        <v>2426</v>
      </c>
      <c r="D1272" s="15" t="s">
        <v>725</v>
      </c>
      <c r="E1272" s="15" t="s">
        <v>2428</v>
      </c>
    </row>
    <row r="1273" spans="2:5">
      <c r="B1273" s="15" t="s">
        <v>2426</v>
      </c>
      <c r="C1273" s="15" t="s">
        <v>2426</v>
      </c>
      <c r="D1273" s="15" t="s">
        <v>727</v>
      </c>
      <c r="E1273" s="15" t="s">
        <v>2429</v>
      </c>
    </row>
    <row r="1274" ht="15.95" spans="2:2">
      <c r="B1274" s="122" t="s">
        <v>2430</v>
      </c>
    </row>
    <row r="1275" spans="2:5">
      <c r="B1275" s="15" t="s">
        <v>2431</v>
      </c>
      <c r="C1275" s="15" t="s">
        <v>2432</v>
      </c>
      <c r="D1275" s="15" t="s">
        <v>1267</v>
      </c>
      <c r="E1275" s="15" t="s">
        <v>1268</v>
      </c>
    </row>
    <row r="1276" spans="2:5">
      <c r="B1276" s="15" t="s">
        <v>2431</v>
      </c>
      <c r="C1276" s="15" t="s">
        <v>2432</v>
      </c>
      <c r="D1276" s="15" t="s">
        <v>1269</v>
      </c>
      <c r="E1276" s="15" t="s">
        <v>1270</v>
      </c>
    </row>
    <row r="1277" ht="15.95" spans="2:2">
      <c r="B1277" s="122" t="s">
        <v>2433</v>
      </c>
    </row>
    <row r="1278" spans="2:5">
      <c r="B1278" s="15" t="s">
        <v>2434</v>
      </c>
      <c r="C1278" s="15" t="s">
        <v>2435</v>
      </c>
      <c r="D1278" s="15" t="s">
        <v>1432</v>
      </c>
      <c r="E1278" s="15" t="s">
        <v>2436</v>
      </c>
    </row>
    <row r="1279" spans="2:5">
      <c r="B1279" s="15" t="s">
        <v>2434</v>
      </c>
      <c r="C1279" s="15" t="s">
        <v>2435</v>
      </c>
      <c r="D1279" s="15" t="s">
        <v>723</v>
      </c>
      <c r="E1279" s="15" t="s">
        <v>2308</v>
      </c>
    </row>
    <row r="1280" spans="2:5">
      <c r="B1280" s="15" t="s">
        <v>2434</v>
      </c>
      <c r="C1280" s="15" t="s">
        <v>2435</v>
      </c>
      <c r="D1280" s="15" t="s">
        <v>725</v>
      </c>
      <c r="E1280" s="15" t="s">
        <v>1932</v>
      </c>
    </row>
    <row r="1281" spans="2:5">
      <c r="B1281" s="15" t="s">
        <v>2434</v>
      </c>
      <c r="C1281" s="15" t="s">
        <v>2435</v>
      </c>
      <c r="D1281" s="15" t="s">
        <v>727</v>
      </c>
      <c r="E1281" s="15" t="s">
        <v>2437</v>
      </c>
    </row>
    <row r="1282" ht="15.95" spans="2:2">
      <c r="B1282" s="122" t="s">
        <v>2438</v>
      </c>
    </row>
    <row r="1283" spans="2:5">
      <c r="B1283" s="15" t="s">
        <v>2439</v>
      </c>
      <c r="C1283" s="15" t="s">
        <v>896</v>
      </c>
      <c r="D1283" s="15" t="s">
        <v>770</v>
      </c>
      <c r="E1283" s="15" t="s">
        <v>2440</v>
      </c>
    </row>
    <row r="1284" spans="2:5">
      <c r="B1284" s="15" t="s">
        <v>2439</v>
      </c>
      <c r="C1284" s="15" t="s">
        <v>896</v>
      </c>
      <c r="D1284" s="15" t="s">
        <v>772</v>
      </c>
      <c r="E1284" s="15" t="s">
        <v>2441</v>
      </c>
    </row>
    <row r="1285" spans="2:5">
      <c r="B1285" s="15" t="s">
        <v>2439</v>
      </c>
      <c r="C1285" s="15" t="s">
        <v>896</v>
      </c>
      <c r="D1285" s="15" t="s">
        <v>774</v>
      </c>
      <c r="E1285" s="15" t="s">
        <v>2442</v>
      </c>
    </row>
    <row r="1286" spans="2:5">
      <c r="B1286" s="15" t="s">
        <v>2439</v>
      </c>
      <c r="C1286" s="15" t="s">
        <v>896</v>
      </c>
      <c r="D1286" s="15" t="s">
        <v>828</v>
      </c>
      <c r="E1286" s="15" t="s">
        <v>2443</v>
      </c>
    </row>
    <row r="1287" ht="15.95" spans="2:2">
      <c r="B1287" s="122" t="s">
        <v>2444</v>
      </c>
    </row>
    <row r="1288" spans="2:5">
      <c r="B1288" s="15" t="s">
        <v>2445</v>
      </c>
      <c r="C1288" s="15" t="s">
        <v>2446</v>
      </c>
      <c r="D1288" s="15" t="s">
        <v>770</v>
      </c>
      <c r="E1288" s="15" t="s">
        <v>2447</v>
      </c>
    </row>
    <row r="1289" spans="2:5">
      <c r="B1289" s="15" t="s">
        <v>2445</v>
      </c>
      <c r="C1289" s="15" t="s">
        <v>2446</v>
      </c>
      <c r="D1289" s="15" t="s">
        <v>772</v>
      </c>
      <c r="E1289" s="15" t="s">
        <v>2448</v>
      </c>
    </row>
    <row r="1290" ht="15.95" spans="2:2">
      <c r="B1290" s="122" t="s">
        <v>2449</v>
      </c>
    </row>
    <row r="1291" spans="2:5">
      <c r="B1291" s="15" t="s">
        <v>2450</v>
      </c>
      <c r="C1291" s="15" t="s">
        <v>896</v>
      </c>
      <c r="D1291" s="15" t="s">
        <v>770</v>
      </c>
      <c r="E1291" s="15" t="s">
        <v>2451</v>
      </c>
    </row>
    <row r="1292" spans="2:5">
      <c r="B1292" s="15" t="s">
        <v>2450</v>
      </c>
      <c r="C1292" s="15" t="s">
        <v>896</v>
      </c>
      <c r="D1292" s="15" t="s">
        <v>772</v>
      </c>
      <c r="E1292" s="15" t="s">
        <v>2452</v>
      </c>
    </row>
    <row r="1293" spans="2:5">
      <c r="B1293" s="15" t="s">
        <v>2450</v>
      </c>
      <c r="C1293" s="15" t="s">
        <v>896</v>
      </c>
      <c r="D1293" s="15" t="s">
        <v>774</v>
      </c>
      <c r="E1293" s="15" t="s">
        <v>2453</v>
      </c>
    </row>
    <row r="1294" spans="2:5">
      <c r="B1294" s="15" t="s">
        <v>2450</v>
      </c>
      <c r="C1294" s="15" t="s">
        <v>896</v>
      </c>
      <c r="D1294" s="15" t="s">
        <v>828</v>
      </c>
      <c r="E1294" s="15" t="s">
        <v>2454</v>
      </c>
    </row>
    <row r="1295" ht="15.95" spans="2:2">
      <c r="B1295" s="122" t="s">
        <v>2455</v>
      </c>
    </row>
    <row r="1296" spans="2:5">
      <c r="B1296" s="15" t="s">
        <v>2456</v>
      </c>
      <c r="C1296" s="15" t="s">
        <v>2457</v>
      </c>
      <c r="D1296" s="15" t="s">
        <v>2458</v>
      </c>
      <c r="E1296" s="15" t="s">
        <v>1940</v>
      </c>
    </row>
    <row r="1297" spans="2:5">
      <c r="B1297" s="15" t="s">
        <v>2456</v>
      </c>
      <c r="C1297" s="15" t="s">
        <v>2457</v>
      </c>
      <c r="D1297" s="15" t="s">
        <v>2459</v>
      </c>
      <c r="E1297" s="15" t="s">
        <v>2460</v>
      </c>
    </row>
    <row r="1298" ht="15.95" spans="2:2">
      <c r="B1298" s="122" t="s">
        <v>2461</v>
      </c>
    </row>
    <row r="1299" spans="2:5">
      <c r="B1299" s="15" t="s">
        <v>2462</v>
      </c>
      <c r="C1299" s="15" t="s">
        <v>2463</v>
      </c>
      <c r="D1299" s="15" t="s">
        <v>770</v>
      </c>
      <c r="E1299" s="15" t="s">
        <v>2464</v>
      </c>
    </row>
    <row r="1300" spans="2:5">
      <c r="B1300" s="15" t="s">
        <v>2462</v>
      </c>
      <c r="C1300" s="15" t="s">
        <v>2463</v>
      </c>
      <c r="D1300" s="15" t="s">
        <v>772</v>
      </c>
      <c r="E1300" s="15" t="s">
        <v>2465</v>
      </c>
    </row>
    <row r="1301" spans="2:5">
      <c r="B1301" s="15" t="s">
        <v>2462</v>
      </c>
      <c r="C1301" s="15" t="s">
        <v>2463</v>
      </c>
      <c r="D1301" s="15" t="s">
        <v>774</v>
      </c>
      <c r="E1301" s="15" t="s">
        <v>2466</v>
      </c>
    </row>
    <row r="1302" spans="2:5">
      <c r="B1302" s="15" t="s">
        <v>2462</v>
      </c>
      <c r="C1302" s="15" t="s">
        <v>2463</v>
      </c>
      <c r="D1302" s="15" t="s">
        <v>828</v>
      </c>
      <c r="E1302" s="15" t="s">
        <v>299</v>
      </c>
    </row>
    <row r="1303" spans="2:5">
      <c r="B1303" s="15" t="s">
        <v>2462</v>
      </c>
      <c r="C1303" s="15" t="s">
        <v>2463</v>
      </c>
      <c r="D1303" s="15" t="s">
        <v>901</v>
      </c>
      <c r="E1303" s="15" t="s">
        <v>2467</v>
      </c>
    </row>
    <row r="1304" spans="2:5">
      <c r="B1304" s="15" t="s">
        <v>2462</v>
      </c>
      <c r="C1304" s="15" t="s">
        <v>2463</v>
      </c>
      <c r="D1304" s="15" t="s">
        <v>1143</v>
      </c>
      <c r="E1304" s="15" t="s">
        <v>235</v>
      </c>
    </row>
    <row r="1305" ht="15.95" spans="2:2">
      <c r="B1305" s="122" t="s">
        <v>2468</v>
      </c>
    </row>
    <row r="1306" spans="2:5">
      <c r="B1306" s="15" t="s">
        <v>2469</v>
      </c>
      <c r="C1306" s="15" t="s">
        <v>2470</v>
      </c>
      <c r="D1306" s="15" t="s">
        <v>635</v>
      </c>
      <c r="E1306" s="15" t="s">
        <v>2471</v>
      </c>
    </row>
    <row r="1307" spans="2:5">
      <c r="B1307" s="15" t="s">
        <v>2469</v>
      </c>
      <c r="C1307" s="15" t="s">
        <v>2470</v>
      </c>
      <c r="D1307" s="15" t="s">
        <v>659</v>
      </c>
      <c r="E1307" s="15" t="s">
        <v>2472</v>
      </c>
    </row>
    <row r="1308" spans="2:5">
      <c r="B1308" s="15" t="s">
        <v>2469</v>
      </c>
      <c r="C1308" s="15" t="s">
        <v>2470</v>
      </c>
      <c r="D1308" s="15" t="s">
        <v>679</v>
      </c>
      <c r="E1308" s="15" t="s">
        <v>2473</v>
      </c>
    </row>
    <row r="1309" spans="2:5">
      <c r="B1309" s="15" t="s">
        <v>2469</v>
      </c>
      <c r="C1309" s="15" t="s">
        <v>2470</v>
      </c>
      <c r="D1309" s="15" t="s">
        <v>705</v>
      </c>
      <c r="E1309" s="15" t="s">
        <v>2474</v>
      </c>
    </row>
    <row r="1310" spans="2:5">
      <c r="B1310" s="15" t="s">
        <v>2469</v>
      </c>
      <c r="C1310" s="15" t="s">
        <v>2470</v>
      </c>
      <c r="D1310" s="15" t="s">
        <v>709</v>
      </c>
      <c r="E1310" s="15" t="s">
        <v>2475</v>
      </c>
    </row>
    <row r="1311" spans="2:5">
      <c r="B1311" s="15" t="s">
        <v>2469</v>
      </c>
      <c r="C1311" s="15" t="s">
        <v>2470</v>
      </c>
      <c r="D1311" s="15" t="s">
        <v>838</v>
      </c>
      <c r="E1311" s="15" t="s">
        <v>2476</v>
      </c>
    </row>
    <row r="1312" spans="2:5">
      <c r="B1312" s="15" t="s">
        <v>2469</v>
      </c>
      <c r="C1312" s="15" t="s">
        <v>2470</v>
      </c>
      <c r="D1312" s="15" t="s">
        <v>840</v>
      </c>
      <c r="E1312" s="15" t="s">
        <v>2477</v>
      </c>
    </row>
    <row r="1313" spans="2:5">
      <c r="B1313" s="15" t="s">
        <v>2469</v>
      </c>
      <c r="C1313" s="15" t="s">
        <v>2470</v>
      </c>
      <c r="D1313" s="15" t="s">
        <v>842</v>
      </c>
      <c r="E1313" s="15" t="s">
        <v>2478</v>
      </c>
    </row>
    <row r="1314" spans="2:5">
      <c r="B1314" s="15" t="s">
        <v>2469</v>
      </c>
      <c r="C1314" s="15" t="s">
        <v>2470</v>
      </c>
      <c r="D1314" s="15" t="s">
        <v>2479</v>
      </c>
      <c r="E1314" s="15" t="s">
        <v>235</v>
      </c>
    </row>
    <row r="1315" ht="15.95" spans="2:2">
      <c r="B1315" s="122" t="s">
        <v>2480</v>
      </c>
    </row>
    <row r="1316" spans="2:5">
      <c r="B1316" s="15" t="s">
        <v>2481</v>
      </c>
      <c r="C1316" s="15" t="s">
        <v>2481</v>
      </c>
      <c r="D1316" s="15" t="s">
        <v>723</v>
      </c>
      <c r="E1316" s="15" t="s">
        <v>2482</v>
      </c>
    </row>
    <row r="1317" spans="2:5">
      <c r="B1317" s="15" t="s">
        <v>2481</v>
      </c>
      <c r="C1317" s="15" t="s">
        <v>2481</v>
      </c>
      <c r="D1317" s="15" t="s">
        <v>725</v>
      </c>
      <c r="E1317" s="15" t="s">
        <v>2483</v>
      </c>
    </row>
    <row r="1318" spans="2:5">
      <c r="B1318" s="15" t="s">
        <v>2481</v>
      </c>
      <c r="C1318" s="15" t="s">
        <v>2481</v>
      </c>
      <c r="D1318" s="15" t="s">
        <v>727</v>
      </c>
      <c r="E1318" s="15" t="s">
        <v>2484</v>
      </c>
    </row>
    <row r="1319" spans="2:5">
      <c r="B1319" s="15" t="s">
        <v>2481</v>
      </c>
      <c r="C1319" s="15" t="s">
        <v>2481</v>
      </c>
      <c r="D1319" s="15" t="s">
        <v>729</v>
      </c>
      <c r="E1319" s="15" t="s">
        <v>2485</v>
      </c>
    </row>
    <row r="1320" spans="2:5">
      <c r="B1320" s="15" t="s">
        <v>2481</v>
      </c>
      <c r="C1320" s="15" t="s">
        <v>2481</v>
      </c>
      <c r="D1320" s="15" t="s">
        <v>760</v>
      </c>
      <c r="E1320" s="15" t="s">
        <v>2486</v>
      </c>
    </row>
    <row r="1321" spans="2:5">
      <c r="B1321" s="15" t="s">
        <v>2481</v>
      </c>
      <c r="C1321" s="15" t="s">
        <v>2481</v>
      </c>
      <c r="D1321" s="15" t="s">
        <v>762</v>
      </c>
      <c r="E1321" s="15" t="s">
        <v>2487</v>
      </c>
    </row>
    <row r="1322" spans="2:5">
      <c r="B1322" s="15" t="s">
        <v>2481</v>
      </c>
      <c r="C1322" s="15" t="s">
        <v>2481</v>
      </c>
      <c r="D1322" s="15" t="s">
        <v>764</v>
      </c>
      <c r="E1322" s="15" t="s">
        <v>2488</v>
      </c>
    </row>
    <row r="1323" spans="2:5">
      <c r="B1323" s="15" t="s">
        <v>2481</v>
      </c>
      <c r="C1323" s="15" t="s">
        <v>2481</v>
      </c>
      <c r="D1323" s="15" t="s">
        <v>1587</v>
      </c>
      <c r="E1323" s="15" t="s">
        <v>235</v>
      </c>
    </row>
    <row r="1324" ht="15.95" spans="2:2">
      <c r="B1324" s="122" t="s">
        <v>2489</v>
      </c>
    </row>
    <row r="1325" spans="2:5">
      <c r="B1325" s="15" t="s">
        <v>2490</v>
      </c>
      <c r="C1325" s="15"/>
      <c r="D1325" s="15" t="s">
        <v>1267</v>
      </c>
      <c r="E1325" s="15" t="s">
        <v>1355</v>
      </c>
    </row>
    <row r="1326" spans="2:5">
      <c r="B1326" s="15" t="s">
        <v>2490</v>
      </c>
      <c r="C1326" s="15"/>
      <c r="D1326" s="15" t="s">
        <v>1269</v>
      </c>
      <c r="E1326" s="15" t="s">
        <v>1356</v>
      </c>
    </row>
    <row r="1327" ht="15.95" spans="2:2">
      <c r="B1327" s="122" t="s">
        <v>2491</v>
      </c>
    </row>
    <row r="1328" spans="2:5">
      <c r="B1328" s="15" t="s">
        <v>2492</v>
      </c>
      <c r="C1328" s="15" t="s">
        <v>2492</v>
      </c>
      <c r="D1328" s="15" t="s">
        <v>770</v>
      </c>
      <c r="E1328" s="15" t="s">
        <v>2493</v>
      </c>
    </row>
    <row r="1329" spans="2:5">
      <c r="B1329" s="15" t="s">
        <v>2492</v>
      </c>
      <c r="C1329" s="15" t="s">
        <v>2492</v>
      </c>
      <c r="D1329" s="15" t="s">
        <v>772</v>
      </c>
      <c r="E1329" s="15" t="s">
        <v>2494</v>
      </c>
    </row>
    <row r="1330" spans="2:5">
      <c r="B1330" s="15" t="s">
        <v>2492</v>
      </c>
      <c r="C1330" s="15" t="s">
        <v>2492</v>
      </c>
      <c r="D1330" s="15" t="s">
        <v>774</v>
      </c>
      <c r="E1330" s="15" t="s">
        <v>2495</v>
      </c>
    </row>
    <row r="1331" spans="2:5">
      <c r="B1331" s="15" t="s">
        <v>2492</v>
      </c>
      <c r="C1331" s="15" t="s">
        <v>2492</v>
      </c>
      <c r="D1331" s="15" t="s">
        <v>828</v>
      </c>
      <c r="E1331" s="15" t="s">
        <v>2496</v>
      </c>
    </row>
    <row r="1332" spans="2:5">
      <c r="B1332" s="15" t="s">
        <v>2492</v>
      </c>
      <c r="C1332" s="15" t="s">
        <v>2492</v>
      </c>
      <c r="D1332" s="15" t="s">
        <v>901</v>
      </c>
      <c r="E1332" s="15" t="s">
        <v>2497</v>
      </c>
    </row>
    <row r="1333" ht="15.95" spans="2:2">
      <c r="B1333" s="122" t="s">
        <v>2498</v>
      </c>
    </row>
    <row r="1334" spans="2:5">
      <c r="B1334" s="15" t="s">
        <v>2499</v>
      </c>
      <c r="C1334" s="15" t="s">
        <v>2500</v>
      </c>
      <c r="D1334" s="15" t="s">
        <v>723</v>
      </c>
      <c r="E1334" s="15" t="s">
        <v>2501</v>
      </c>
    </row>
    <row r="1335" spans="2:5">
      <c r="B1335" s="15" t="s">
        <v>2499</v>
      </c>
      <c r="C1335" s="15" t="s">
        <v>2500</v>
      </c>
      <c r="D1335" s="15" t="s">
        <v>933</v>
      </c>
      <c r="E1335" s="15" t="s">
        <v>2502</v>
      </c>
    </row>
    <row r="1336" spans="2:5">
      <c r="B1336" s="15" t="s">
        <v>2499</v>
      </c>
      <c r="C1336" s="15" t="s">
        <v>2500</v>
      </c>
      <c r="D1336" s="15" t="s">
        <v>1059</v>
      </c>
      <c r="E1336" s="15" t="s">
        <v>2503</v>
      </c>
    </row>
    <row r="1337" spans="2:5">
      <c r="B1337" s="15" t="s">
        <v>2499</v>
      </c>
      <c r="C1337" s="15" t="s">
        <v>2500</v>
      </c>
      <c r="D1337" s="15" t="s">
        <v>1061</v>
      </c>
      <c r="E1337" s="15" t="s">
        <v>2504</v>
      </c>
    </row>
    <row r="1338" spans="2:5">
      <c r="B1338" s="15" t="s">
        <v>2499</v>
      </c>
      <c r="C1338" s="15" t="s">
        <v>2500</v>
      </c>
      <c r="D1338" s="15" t="s">
        <v>1063</v>
      </c>
      <c r="E1338" s="15" t="s">
        <v>2505</v>
      </c>
    </row>
    <row r="1339" spans="2:5">
      <c r="B1339" s="15" t="s">
        <v>2499</v>
      </c>
      <c r="C1339" s="15" t="s">
        <v>2500</v>
      </c>
      <c r="D1339" s="15" t="s">
        <v>1065</v>
      </c>
      <c r="E1339" s="15" t="s">
        <v>2506</v>
      </c>
    </row>
    <row r="1340" spans="2:5">
      <c r="B1340" s="15" t="s">
        <v>2499</v>
      </c>
      <c r="C1340" s="15" t="s">
        <v>2500</v>
      </c>
      <c r="D1340" s="15" t="s">
        <v>935</v>
      </c>
      <c r="E1340" s="15" t="s">
        <v>2507</v>
      </c>
    </row>
    <row r="1341" spans="2:5">
      <c r="B1341" s="15" t="s">
        <v>2499</v>
      </c>
      <c r="C1341" s="15" t="s">
        <v>2500</v>
      </c>
      <c r="D1341" s="15" t="s">
        <v>1068</v>
      </c>
      <c r="E1341" s="15" t="s">
        <v>2508</v>
      </c>
    </row>
    <row r="1342" spans="2:5">
      <c r="B1342" s="15" t="s">
        <v>2499</v>
      </c>
      <c r="C1342" s="15" t="s">
        <v>2500</v>
      </c>
      <c r="D1342" s="15" t="s">
        <v>1070</v>
      </c>
      <c r="E1342" s="15" t="s">
        <v>2509</v>
      </c>
    </row>
    <row r="1343" spans="2:5">
      <c r="B1343" s="15" t="s">
        <v>2499</v>
      </c>
      <c r="C1343" s="15" t="s">
        <v>2500</v>
      </c>
      <c r="D1343" s="15" t="s">
        <v>1072</v>
      </c>
      <c r="E1343" s="15" t="s">
        <v>2510</v>
      </c>
    </row>
    <row r="1344" spans="2:5">
      <c r="B1344" s="15" t="s">
        <v>2499</v>
      </c>
      <c r="C1344" s="15" t="s">
        <v>2500</v>
      </c>
      <c r="D1344" s="15" t="s">
        <v>1074</v>
      </c>
      <c r="E1344" s="15" t="s">
        <v>2511</v>
      </c>
    </row>
    <row r="1345" spans="2:5">
      <c r="B1345" s="15" t="s">
        <v>2499</v>
      </c>
      <c r="C1345" s="15" t="s">
        <v>2500</v>
      </c>
      <c r="D1345" s="15" t="s">
        <v>725</v>
      </c>
      <c r="E1345" s="15" t="s">
        <v>2512</v>
      </c>
    </row>
    <row r="1346" spans="2:5">
      <c r="B1346" s="15" t="s">
        <v>2499</v>
      </c>
      <c r="C1346" s="15" t="s">
        <v>2500</v>
      </c>
      <c r="D1346" s="15" t="s">
        <v>937</v>
      </c>
      <c r="E1346" s="15" t="s">
        <v>2513</v>
      </c>
    </row>
    <row r="1347" spans="2:5">
      <c r="B1347" s="15" t="s">
        <v>2499</v>
      </c>
      <c r="C1347" s="15" t="s">
        <v>2500</v>
      </c>
      <c r="D1347" s="15" t="s">
        <v>727</v>
      </c>
      <c r="E1347" s="15" t="s">
        <v>2514</v>
      </c>
    </row>
    <row r="1348" spans="2:5">
      <c r="B1348" s="15" t="s">
        <v>2499</v>
      </c>
      <c r="C1348" s="15" t="s">
        <v>2500</v>
      </c>
      <c r="D1348" s="15" t="s">
        <v>729</v>
      </c>
      <c r="E1348" s="15" t="s">
        <v>2515</v>
      </c>
    </row>
    <row r="1349" spans="2:5">
      <c r="B1349" s="15" t="s">
        <v>2499</v>
      </c>
      <c r="C1349" s="15" t="s">
        <v>2500</v>
      </c>
      <c r="D1349" s="15" t="s">
        <v>760</v>
      </c>
      <c r="E1349" s="15" t="s">
        <v>2516</v>
      </c>
    </row>
    <row r="1350" spans="2:5">
      <c r="B1350" s="15" t="s">
        <v>2499</v>
      </c>
      <c r="C1350" s="15" t="s">
        <v>2500</v>
      </c>
      <c r="D1350" s="15" t="s">
        <v>762</v>
      </c>
      <c r="E1350" s="15" t="s">
        <v>2517</v>
      </c>
    </row>
    <row r="1351" spans="2:5">
      <c r="B1351" s="15" t="s">
        <v>2499</v>
      </c>
      <c r="C1351" s="15" t="s">
        <v>2500</v>
      </c>
      <c r="D1351" s="15" t="s">
        <v>764</v>
      </c>
      <c r="E1351" s="15" t="s">
        <v>2518</v>
      </c>
    </row>
    <row r="1352" spans="2:5">
      <c r="B1352" s="15" t="s">
        <v>2499</v>
      </c>
      <c r="C1352" s="15" t="s">
        <v>2500</v>
      </c>
      <c r="D1352" s="15" t="s">
        <v>1587</v>
      </c>
      <c r="E1352" s="15" t="s">
        <v>2519</v>
      </c>
    </row>
    <row r="1353" spans="2:5">
      <c r="B1353" s="15" t="s">
        <v>2499</v>
      </c>
      <c r="C1353" s="15" t="s">
        <v>2500</v>
      </c>
      <c r="D1353" s="15" t="s">
        <v>765</v>
      </c>
      <c r="E1353" s="15" t="s">
        <v>2520</v>
      </c>
    </row>
    <row r="1354" ht="15.95" spans="2:2">
      <c r="B1354" s="122" t="s">
        <v>2521</v>
      </c>
    </row>
    <row r="1355" spans="2:5">
      <c r="B1355" s="15" t="s">
        <v>2522</v>
      </c>
      <c r="C1355" s="15" t="s">
        <v>2523</v>
      </c>
      <c r="D1355" s="15" t="s">
        <v>770</v>
      </c>
      <c r="E1355" s="15" t="s">
        <v>1307</v>
      </c>
    </row>
    <row r="1356" spans="2:5">
      <c r="B1356" s="15" t="s">
        <v>2522</v>
      </c>
      <c r="C1356" s="15" t="s">
        <v>2523</v>
      </c>
      <c r="D1356" s="15" t="s">
        <v>772</v>
      </c>
      <c r="E1356" s="15" t="s">
        <v>1310</v>
      </c>
    </row>
    <row r="1357" spans="2:5">
      <c r="B1357" s="15" t="s">
        <v>2522</v>
      </c>
      <c r="C1357" s="15" t="s">
        <v>2523</v>
      </c>
      <c r="D1357" s="15" t="s">
        <v>774</v>
      </c>
      <c r="E1357" s="15" t="s">
        <v>1309</v>
      </c>
    </row>
    <row r="1358" spans="2:5">
      <c r="B1358" s="15" t="s">
        <v>2522</v>
      </c>
      <c r="C1358" s="15" t="s">
        <v>2523</v>
      </c>
      <c r="D1358" s="15" t="s">
        <v>828</v>
      </c>
      <c r="E1358" s="15" t="s">
        <v>235</v>
      </c>
    </row>
    <row r="1359" ht="15.95" spans="2:2">
      <c r="B1359" s="122" t="s">
        <v>2524</v>
      </c>
    </row>
    <row r="1360" spans="2:5">
      <c r="B1360" s="15" t="s">
        <v>2525</v>
      </c>
      <c r="C1360" s="15" t="s">
        <v>2525</v>
      </c>
      <c r="D1360" s="15" t="s">
        <v>723</v>
      </c>
      <c r="E1360" s="15" t="s">
        <v>2526</v>
      </c>
    </row>
    <row r="1361" spans="2:5">
      <c r="B1361" s="15" t="s">
        <v>2525</v>
      </c>
      <c r="C1361" s="15" t="s">
        <v>2525</v>
      </c>
      <c r="D1361" s="15" t="s">
        <v>725</v>
      </c>
      <c r="E1361" s="15" t="s">
        <v>2527</v>
      </c>
    </row>
    <row r="1362" spans="2:5">
      <c r="B1362" s="15" t="s">
        <v>2525</v>
      </c>
      <c r="C1362" s="15" t="s">
        <v>2525</v>
      </c>
      <c r="D1362" s="15" t="s">
        <v>727</v>
      </c>
      <c r="E1362" s="15" t="s">
        <v>2528</v>
      </c>
    </row>
    <row r="1363" ht="15.95" spans="2:2">
      <c r="B1363" s="122" t="s">
        <v>2529</v>
      </c>
    </row>
    <row r="1364" spans="2:5">
      <c r="B1364" s="15" t="s">
        <v>2530</v>
      </c>
      <c r="C1364" s="15" t="s">
        <v>2530</v>
      </c>
      <c r="D1364" s="15" t="s">
        <v>723</v>
      </c>
      <c r="E1364" s="15" t="s">
        <v>1643</v>
      </c>
    </row>
    <row r="1365" spans="2:5">
      <c r="B1365" s="15" t="s">
        <v>2530</v>
      </c>
      <c r="C1365" s="15" t="s">
        <v>2530</v>
      </c>
      <c r="D1365" s="15" t="s">
        <v>725</v>
      </c>
      <c r="E1365" s="15" t="s">
        <v>862</v>
      </c>
    </row>
    <row r="1366" ht="15.95" spans="2:2">
      <c r="B1366" s="122" t="s">
        <v>2531</v>
      </c>
    </row>
    <row r="1367" spans="2:5">
      <c r="B1367" s="15" t="s">
        <v>2532</v>
      </c>
      <c r="C1367" s="15" t="s">
        <v>2533</v>
      </c>
      <c r="D1367" s="15" t="s">
        <v>770</v>
      </c>
      <c r="E1367" s="15" t="s">
        <v>2534</v>
      </c>
    </row>
    <row r="1368" spans="2:5">
      <c r="B1368" s="15" t="s">
        <v>2532</v>
      </c>
      <c r="C1368" s="15" t="s">
        <v>2533</v>
      </c>
      <c r="D1368" s="15" t="s">
        <v>635</v>
      </c>
      <c r="E1368" s="15" t="s">
        <v>2535</v>
      </c>
    </row>
    <row r="1369" spans="2:5">
      <c r="B1369" s="15" t="s">
        <v>2532</v>
      </c>
      <c r="C1369" s="15" t="s">
        <v>2533</v>
      </c>
      <c r="D1369" s="15" t="s">
        <v>659</v>
      </c>
      <c r="E1369" s="15" t="s">
        <v>2536</v>
      </c>
    </row>
    <row r="1370" spans="2:5">
      <c r="B1370" s="15" t="s">
        <v>2532</v>
      </c>
      <c r="C1370" s="15" t="s">
        <v>2533</v>
      </c>
      <c r="D1370" s="15" t="s">
        <v>2416</v>
      </c>
      <c r="E1370" s="15" t="s">
        <v>2537</v>
      </c>
    </row>
    <row r="1371" spans="2:5">
      <c r="B1371" s="15" t="s">
        <v>2532</v>
      </c>
      <c r="C1371" s="15" t="s">
        <v>2533</v>
      </c>
      <c r="D1371" s="15" t="s">
        <v>679</v>
      </c>
      <c r="E1371" s="15" t="s">
        <v>2538</v>
      </c>
    </row>
    <row r="1372" spans="2:5">
      <c r="B1372" s="15" t="s">
        <v>2532</v>
      </c>
      <c r="C1372" s="15" t="s">
        <v>2533</v>
      </c>
      <c r="D1372" s="15" t="s">
        <v>705</v>
      </c>
      <c r="E1372" s="15" t="s">
        <v>2539</v>
      </c>
    </row>
    <row r="1373" spans="2:5">
      <c r="B1373" s="15" t="s">
        <v>2532</v>
      </c>
      <c r="C1373" s="15" t="s">
        <v>2533</v>
      </c>
      <c r="D1373" s="15" t="s">
        <v>709</v>
      </c>
      <c r="E1373" s="15" t="s">
        <v>2540</v>
      </c>
    </row>
    <row r="1374" spans="2:5">
      <c r="B1374" s="15" t="s">
        <v>2532</v>
      </c>
      <c r="C1374" s="15" t="s">
        <v>2533</v>
      </c>
      <c r="D1374" s="15" t="s">
        <v>838</v>
      </c>
      <c r="E1374" s="15" t="s">
        <v>2541</v>
      </c>
    </row>
    <row r="1375" ht="15.95" spans="2:2">
      <c r="B1375" s="122" t="s">
        <v>2542</v>
      </c>
    </row>
    <row r="1376" spans="2:5">
      <c r="B1376" s="15" t="s">
        <v>2543</v>
      </c>
      <c r="C1376" s="15" t="s">
        <v>2544</v>
      </c>
      <c r="D1376" s="15" t="s">
        <v>856</v>
      </c>
      <c r="E1376" s="15" t="s">
        <v>2545</v>
      </c>
    </row>
    <row r="1377" spans="2:5">
      <c r="B1377" s="15" t="s">
        <v>2543</v>
      </c>
      <c r="C1377" s="15" t="s">
        <v>2544</v>
      </c>
      <c r="D1377" s="15" t="s">
        <v>2546</v>
      </c>
      <c r="E1377" s="15" t="s">
        <v>2222</v>
      </c>
    </row>
    <row r="1378" spans="2:5">
      <c r="B1378" s="15" t="s">
        <v>2543</v>
      </c>
      <c r="C1378" s="15" t="s">
        <v>2544</v>
      </c>
      <c r="D1378" s="15" t="s">
        <v>2547</v>
      </c>
      <c r="E1378" s="15" t="s">
        <v>2221</v>
      </c>
    </row>
    <row r="1379" spans="2:5">
      <c r="B1379" s="15" t="s">
        <v>2543</v>
      </c>
      <c r="C1379" s="15" t="s">
        <v>2544</v>
      </c>
      <c r="D1379" s="15" t="s">
        <v>2548</v>
      </c>
      <c r="E1379" s="15" t="s">
        <v>2224</v>
      </c>
    </row>
    <row r="1380" spans="2:5">
      <c r="B1380" s="15" t="s">
        <v>2543</v>
      </c>
      <c r="C1380" s="15" t="s">
        <v>2544</v>
      </c>
      <c r="D1380" s="15" t="s">
        <v>2549</v>
      </c>
      <c r="E1380" s="15" t="s">
        <v>2223</v>
      </c>
    </row>
    <row r="1381" ht="15.95" spans="2:2">
      <c r="B1381" s="122" t="s">
        <v>2550</v>
      </c>
    </row>
    <row r="1382" spans="2:5">
      <c r="B1382" s="15" t="s">
        <v>2551</v>
      </c>
      <c r="C1382" s="15" t="s">
        <v>2552</v>
      </c>
      <c r="D1382" s="15" t="s">
        <v>770</v>
      </c>
      <c r="E1382" s="15" t="s">
        <v>2553</v>
      </c>
    </row>
    <row r="1383" spans="2:5">
      <c r="B1383" s="15" t="s">
        <v>2551</v>
      </c>
      <c r="C1383" s="15" t="s">
        <v>2552</v>
      </c>
      <c r="D1383" s="15" t="s">
        <v>772</v>
      </c>
      <c r="E1383" s="15" t="s">
        <v>2554</v>
      </c>
    </row>
    <row r="1384" spans="2:5">
      <c r="B1384" s="15" t="s">
        <v>2551</v>
      </c>
      <c r="C1384" s="15" t="s">
        <v>2552</v>
      </c>
      <c r="D1384" s="15" t="s">
        <v>774</v>
      </c>
      <c r="E1384" s="15" t="s">
        <v>2555</v>
      </c>
    </row>
    <row r="1385" spans="2:5">
      <c r="B1385" s="15" t="s">
        <v>2551</v>
      </c>
      <c r="C1385" s="15" t="s">
        <v>2552</v>
      </c>
      <c r="D1385" s="15" t="s">
        <v>828</v>
      </c>
      <c r="E1385" s="15" t="s">
        <v>2556</v>
      </c>
    </row>
    <row r="1386" spans="2:5">
      <c r="B1386" s="15" t="s">
        <v>2551</v>
      </c>
      <c r="C1386" s="15" t="s">
        <v>2552</v>
      </c>
      <c r="D1386" s="15" t="s">
        <v>901</v>
      </c>
      <c r="E1386" s="15" t="s">
        <v>1647</v>
      </c>
    </row>
    <row r="1387" spans="2:5">
      <c r="B1387" s="15" t="s">
        <v>2551</v>
      </c>
      <c r="C1387" s="15" t="s">
        <v>2552</v>
      </c>
      <c r="D1387" s="15" t="s">
        <v>776</v>
      </c>
      <c r="E1387" s="15" t="s">
        <v>2557</v>
      </c>
    </row>
    <row r="1388" spans="2:5">
      <c r="B1388" s="15" t="s">
        <v>2551</v>
      </c>
      <c r="C1388" s="15" t="s">
        <v>2552</v>
      </c>
      <c r="D1388" s="15" t="s">
        <v>1290</v>
      </c>
      <c r="E1388" s="15" t="s">
        <v>235</v>
      </c>
    </row>
    <row r="1389" ht="15.95" spans="2:2">
      <c r="B1389" s="122" t="s">
        <v>2558</v>
      </c>
    </row>
    <row r="1390" spans="2:5">
      <c r="B1390" s="15" t="s">
        <v>2559</v>
      </c>
      <c r="C1390" s="15" t="s">
        <v>2211</v>
      </c>
      <c r="D1390" s="15" t="s">
        <v>723</v>
      </c>
      <c r="E1390" s="15" t="s">
        <v>906</v>
      </c>
    </row>
    <row r="1391" spans="2:5">
      <c r="B1391" s="15" t="s">
        <v>2559</v>
      </c>
      <c r="C1391" s="15" t="s">
        <v>2211</v>
      </c>
      <c r="D1391" s="15" t="s">
        <v>725</v>
      </c>
      <c r="E1391" s="15" t="s">
        <v>907</v>
      </c>
    </row>
    <row r="1392" spans="2:5">
      <c r="B1392" s="15" t="s">
        <v>2559</v>
      </c>
      <c r="C1392" s="15" t="s">
        <v>2211</v>
      </c>
      <c r="D1392" s="15" t="s">
        <v>727</v>
      </c>
      <c r="E1392" s="15" t="s">
        <v>2560</v>
      </c>
    </row>
    <row r="1393" ht="15.95" spans="2:2">
      <c r="B1393" s="122" t="s">
        <v>2561</v>
      </c>
    </row>
    <row r="1394" spans="2:5">
      <c r="B1394" s="15" t="s">
        <v>2562</v>
      </c>
      <c r="C1394" s="15" t="s">
        <v>2562</v>
      </c>
      <c r="D1394" s="15" t="s">
        <v>723</v>
      </c>
      <c r="E1394" s="15" t="s">
        <v>2563</v>
      </c>
    </row>
    <row r="1395" spans="2:5">
      <c r="B1395" s="15" t="s">
        <v>2562</v>
      </c>
      <c r="C1395" s="15" t="s">
        <v>2562</v>
      </c>
      <c r="D1395" s="15" t="s">
        <v>725</v>
      </c>
      <c r="E1395" s="15" t="s">
        <v>2564</v>
      </c>
    </row>
    <row r="1396" spans="2:5">
      <c r="B1396" s="15" t="s">
        <v>2562</v>
      </c>
      <c r="C1396" s="15" t="s">
        <v>2562</v>
      </c>
      <c r="D1396" s="15" t="s">
        <v>727</v>
      </c>
      <c r="E1396" s="15" t="s">
        <v>2565</v>
      </c>
    </row>
    <row r="1397" spans="2:5">
      <c r="B1397" s="15" t="s">
        <v>2562</v>
      </c>
      <c r="C1397" s="15" t="s">
        <v>2562</v>
      </c>
      <c r="D1397" s="15" t="s">
        <v>729</v>
      </c>
      <c r="E1397" s="15" t="s">
        <v>2566</v>
      </c>
    </row>
    <row r="1398" spans="2:5">
      <c r="B1398" s="15" t="s">
        <v>2562</v>
      </c>
      <c r="C1398" s="15" t="s">
        <v>2562</v>
      </c>
      <c r="D1398" s="15" t="s">
        <v>760</v>
      </c>
      <c r="E1398" s="15" t="s">
        <v>2567</v>
      </c>
    </row>
    <row r="1399" ht="15.95" spans="2:2">
      <c r="B1399" s="122" t="s">
        <v>2568</v>
      </c>
    </row>
    <row r="1400" spans="2:5">
      <c r="B1400" s="15" t="s">
        <v>2569</v>
      </c>
      <c r="C1400" s="15" t="s">
        <v>2570</v>
      </c>
      <c r="D1400" s="15" t="s">
        <v>1267</v>
      </c>
      <c r="E1400" s="15" t="s">
        <v>1355</v>
      </c>
    </row>
    <row r="1401" spans="2:5">
      <c r="B1401" s="15" t="s">
        <v>2569</v>
      </c>
      <c r="C1401" s="15" t="s">
        <v>2570</v>
      </c>
      <c r="D1401" s="15" t="s">
        <v>1269</v>
      </c>
      <c r="E1401" s="15" t="s">
        <v>1356</v>
      </c>
    </row>
    <row r="1402" spans="2:5">
      <c r="B1402" s="15" t="s">
        <v>2569</v>
      </c>
      <c r="C1402" s="15" t="s">
        <v>2570</v>
      </c>
      <c r="D1402" s="15" t="s">
        <v>1919</v>
      </c>
      <c r="E1402" s="15" t="s">
        <v>1920</v>
      </c>
    </row>
    <row r="1403" ht="15.95" spans="2:2">
      <c r="B1403" s="122" t="s">
        <v>2571</v>
      </c>
    </row>
    <row r="1404" spans="2:5">
      <c r="B1404" s="15" t="s">
        <v>2572</v>
      </c>
      <c r="C1404" s="15" t="s">
        <v>2573</v>
      </c>
      <c r="D1404" s="15" t="s">
        <v>2574</v>
      </c>
      <c r="E1404" s="15" t="s">
        <v>2575</v>
      </c>
    </row>
    <row r="1405" spans="2:5">
      <c r="B1405" s="15" t="s">
        <v>2572</v>
      </c>
      <c r="C1405" s="15" t="s">
        <v>2573</v>
      </c>
      <c r="D1405" s="15" t="s">
        <v>2576</v>
      </c>
      <c r="E1405" s="15" t="s">
        <v>2577</v>
      </c>
    </row>
    <row r="1406" spans="2:5">
      <c r="B1406" s="15" t="s">
        <v>2572</v>
      </c>
      <c r="C1406" s="15" t="s">
        <v>2573</v>
      </c>
      <c r="D1406" s="15" t="s">
        <v>2578</v>
      </c>
      <c r="E1406" s="15" t="s">
        <v>2579</v>
      </c>
    </row>
    <row r="1407" ht="15.95" spans="2:2">
      <c r="B1407" s="122" t="s">
        <v>2580</v>
      </c>
    </row>
    <row r="1408" spans="2:5">
      <c r="B1408" s="15" t="s">
        <v>2581</v>
      </c>
      <c r="C1408" s="15" t="s">
        <v>2582</v>
      </c>
      <c r="D1408" s="15" t="s">
        <v>635</v>
      </c>
      <c r="E1408" s="15" t="s">
        <v>953</v>
      </c>
    </row>
    <row r="1409" spans="2:5">
      <c r="B1409" s="15" t="s">
        <v>2581</v>
      </c>
      <c r="C1409" s="15" t="s">
        <v>2582</v>
      </c>
      <c r="D1409" s="15" t="s">
        <v>659</v>
      </c>
      <c r="E1409" s="15" t="s">
        <v>2583</v>
      </c>
    </row>
    <row r="1410" spans="2:5">
      <c r="B1410" s="15" t="s">
        <v>2581</v>
      </c>
      <c r="C1410" s="15" t="s">
        <v>2582</v>
      </c>
      <c r="D1410" s="15" t="s">
        <v>679</v>
      </c>
      <c r="E1410" s="15" t="s">
        <v>2584</v>
      </c>
    </row>
    <row r="1411" spans="2:5">
      <c r="B1411" s="15" t="s">
        <v>2581</v>
      </c>
      <c r="C1411" s="15" t="s">
        <v>2582</v>
      </c>
      <c r="D1411" s="15" t="s">
        <v>933</v>
      </c>
      <c r="E1411" s="15" t="s">
        <v>2585</v>
      </c>
    </row>
    <row r="1412" ht="15.95" spans="2:2">
      <c r="B1412" s="122" t="s">
        <v>2586</v>
      </c>
    </row>
    <row r="1413" spans="2:5">
      <c r="B1413" s="15" t="s">
        <v>2587</v>
      </c>
      <c r="C1413" s="15" t="s">
        <v>2588</v>
      </c>
      <c r="D1413" s="15" t="s">
        <v>770</v>
      </c>
      <c r="E1413" s="15" t="s">
        <v>2589</v>
      </c>
    </row>
    <row r="1414" spans="2:5">
      <c r="B1414" s="15" t="s">
        <v>2587</v>
      </c>
      <c r="C1414" s="15" t="s">
        <v>2588</v>
      </c>
      <c r="D1414" s="15" t="s">
        <v>772</v>
      </c>
      <c r="E1414" s="15" t="s">
        <v>2590</v>
      </c>
    </row>
    <row r="1415" spans="2:5">
      <c r="B1415" s="15" t="s">
        <v>2587</v>
      </c>
      <c r="C1415" s="15" t="s">
        <v>2588</v>
      </c>
      <c r="D1415" s="15" t="s">
        <v>774</v>
      </c>
      <c r="E1415" s="15" t="s">
        <v>2591</v>
      </c>
    </row>
    <row r="1416" spans="2:5">
      <c r="B1416" s="15" t="s">
        <v>2587</v>
      </c>
      <c r="C1416" s="15" t="s">
        <v>2588</v>
      </c>
      <c r="D1416" s="15" t="s">
        <v>828</v>
      </c>
      <c r="E1416" s="15" t="s">
        <v>235</v>
      </c>
    </row>
    <row r="1417" ht="15.95" spans="2:2">
      <c r="B1417" s="122" t="s">
        <v>2592</v>
      </c>
    </row>
    <row r="1418" spans="2:5">
      <c r="B1418" s="15" t="s">
        <v>2593</v>
      </c>
      <c r="C1418" s="15" t="s">
        <v>2594</v>
      </c>
      <c r="D1418" s="15" t="s">
        <v>770</v>
      </c>
      <c r="E1418" s="15" t="s">
        <v>2595</v>
      </c>
    </row>
    <row r="1419" spans="2:5">
      <c r="B1419" s="15" t="s">
        <v>2593</v>
      </c>
      <c r="C1419" s="15" t="s">
        <v>2594</v>
      </c>
      <c r="D1419" s="15" t="s">
        <v>772</v>
      </c>
      <c r="E1419" s="15" t="s">
        <v>2596</v>
      </c>
    </row>
    <row r="1420" spans="2:5">
      <c r="B1420" s="15" t="s">
        <v>2593</v>
      </c>
      <c r="C1420" s="15" t="s">
        <v>2594</v>
      </c>
      <c r="D1420" s="15" t="s">
        <v>774</v>
      </c>
      <c r="E1420" s="15" t="s">
        <v>2597</v>
      </c>
    </row>
    <row r="1421" ht="15.95" spans="2:2">
      <c r="B1421" s="122" t="s">
        <v>2598</v>
      </c>
    </row>
    <row r="1422" spans="2:5">
      <c r="B1422" s="15" t="s">
        <v>2599</v>
      </c>
      <c r="C1422" s="15" t="s">
        <v>2600</v>
      </c>
      <c r="D1422" s="15" t="s">
        <v>770</v>
      </c>
      <c r="E1422" s="15" t="s">
        <v>2601</v>
      </c>
    </row>
    <row r="1423" spans="2:5">
      <c r="B1423" s="15" t="s">
        <v>2599</v>
      </c>
      <c r="C1423" s="15" t="s">
        <v>2600</v>
      </c>
      <c r="D1423" s="15" t="s">
        <v>772</v>
      </c>
      <c r="E1423" s="15" t="s">
        <v>2602</v>
      </c>
    </row>
    <row r="1424" spans="2:5">
      <c r="B1424" s="15" t="s">
        <v>2599</v>
      </c>
      <c r="C1424" s="15" t="s">
        <v>2600</v>
      </c>
      <c r="D1424" s="15" t="s">
        <v>774</v>
      </c>
      <c r="E1424" s="15" t="s">
        <v>2603</v>
      </c>
    </row>
    <row r="1425" spans="2:5">
      <c r="B1425" s="15" t="s">
        <v>2599</v>
      </c>
      <c r="C1425" s="15" t="s">
        <v>2600</v>
      </c>
      <c r="D1425" s="15" t="s">
        <v>828</v>
      </c>
      <c r="E1425" s="15" t="s">
        <v>2604</v>
      </c>
    </row>
    <row r="1426" spans="2:5">
      <c r="B1426" s="15" t="s">
        <v>2599</v>
      </c>
      <c r="C1426" s="15" t="s">
        <v>2600</v>
      </c>
      <c r="D1426" s="15" t="s">
        <v>901</v>
      </c>
      <c r="E1426" s="15" t="s">
        <v>2605</v>
      </c>
    </row>
    <row r="1427" spans="2:5">
      <c r="B1427" s="15" t="s">
        <v>2599</v>
      </c>
      <c r="C1427" s="15" t="s">
        <v>2600</v>
      </c>
      <c r="D1427" s="15" t="s">
        <v>776</v>
      </c>
      <c r="E1427" s="15" t="s">
        <v>2606</v>
      </c>
    </row>
    <row r="1428" spans="2:5">
      <c r="B1428" s="15" t="s">
        <v>2599</v>
      </c>
      <c r="C1428" s="15" t="s">
        <v>2600</v>
      </c>
      <c r="D1428" s="15" t="s">
        <v>1290</v>
      </c>
      <c r="E1428" s="15" t="s">
        <v>235</v>
      </c>
    </row>
    <row r="1429" ht="15.95" spans="2:2">
      <c r="B1429" s="122" t="s">
        <v>2607</v>
      </c>
    </row>
    <row r="1430" spans="2:5">
      <c r="B1430" s="15" t="s">
        <v>2608</v>
      </c>
      <c r="C1430" s="15" t="s">
        <v>2609</v>
      </c>
      <c r="D1430" s="15" t="s">
        <v>2610</v>
      </c>
      <c r="E1430" s="15" t="s">
        <v>954</v>
      </c>
    </row>
    <row r="1431" spans="2:5">
      <c r="B1431" s="15" t="s">
        <v>2608</v>
      </c>
      <c r="C1431" s="15" t="s">
        <v>2609</v>
      </c>
      <c r="D1431" s="15" t="s">
        <v>2611</v>
      </c>
      <c r="E1431" s="15" t="s">
        <v>2612</v>
      </c>
    </row>
    <row r="1432" spans="2:5">
      <c r="B1432" s="15" t="s">
        <v>2608</v>
      </c>
      <c r="C1432" s="15" t="s">
        <v>2609</v>
      </c>
      <c r="D1432" s="15" t="s">
        <v>2613</v>
      </c>
      <c r="E1432" s="15" t="s">
        <v>2614</v>
      </c>
    </row>
    <row r="1433" spans="2:5">
      <c r="B1433" s="15" t="s">
        <v>2608</v>
      </c>
      <c r="C1433" s="15" t="s">
        <v>2609</v>
      </c>
      <c r="D1433" s="15" t="s">
        <v>2615</v>
      </c>
      <c r="E1433" s="15" t="s">
        <v>2616</v>
      </c>
    </row>
    <row r="1434" spans="2:5">
      <c r="B1434" s="15" t="s">
        <v>2608</v>
      </c>
      <c r="C1434" s="15" t="s">
        <v>2609</v>
      </c>
      <c r="D1434" s="15" t="s">
        <v>2617</v>
      </c>
      <c r="E1434" s="15" t="s">
        <v>1441</v>
      </c>
    </row>
    <row r="1435" spans="2:5">
      <c r="B1435" s="15" t="s">
        <v>2608</v>
      </c>
      <c r="C1435" s="15" t="s">
        <v>2609</v>
      </c>
      <c r="D1435" s="15" t="s">
        <v>2618</v>
      </c>
      <c r="E1435" s="15" t="s">
        <v>2619</v>
      </c>
    </row>
    <row r="1436" spans="2:5">
      <c r="B1436" s="15" t="s">
        <v>2608</v>
      </c>
      <c r="C1436" s="15" t="s">
        <v>2609</v>
      </c>
      <c r="D1436" s="15" t="s">
        <v>2620</v>
      </c>
      <c r="E1436" s="15" t="s">
        <v>2621</v>
      </c>
    </row>
    <row r="1437" ht="15.95" spans="2:2">
      <c r="B1437" s="122" t="s">
        <v>2622</v>
      </c>
    </row>
    <row r="1438" spans="2:5">
      <c r="B1438" s="15" t="s">
        <v>2623</v>
      </c>
      <c r="C1438" s="15" t="s">
        <v>2624</v>
      </c>
      <c r="D1438" s="15" t="s">
        <v>770</v>
      </c>
      <c r="E1438" s="15" t="s">
        <v>2625</v>
      </c>
    </row>
    <row r="1439" spans="2:5">
      <c r="B1439" s="15" t="s">
        <v>2623</v>
      </c>
      <c r="C1439" s="15" t="s">
        <v>2624</v>
      </c>
      <c r="D1439" s="15" t="s">
        <v>772</v>
      </c>
      <c r="E1439" s="15" t="s">
        <v>2626</v>
      </c>
    </row>
    <row r="1440" spans="2:5">
      <c r="B1440" s="15" t="s">
        <v>2623</v>
      </c>
      <c r="C1440" s="15" t="s">
        <v>2624</v>
      </c>
      <c r="D1440" s="15" t="s">
        <v>774</v>
      </c>
      <c r="E1440" s="15" t="s">
        <v>2627</v>
      </c>
    </row>
    <row r="1441" spans="2:5">
      <c r="B1441" s="15" t="s">
        <v>2623</v>
      </c>
      <c r="C1441" s="15" t="s">
        <v>2624</v>
      </c>
      <c r="D1441" s="15" t="s">
        <v>828</v>
      </c>
      <c r="E1441" s="15" t="s">
        <v>2628</v>
      </c>
    </row>
    <row r="1442" spans="2:5">
      <c r="B1442" s="15" t="s">
        <v>2623</v>
      </c>
      <c r="C1442" s="15" t="s">
        <v>2624</v>
      </c>
      <c r="D1442" s="15" t="s">
        <v>901</v>
      </c>
      <c r="E1442" s="15" t="s">
        <v>2629</v>
      </c>
    </row>
    <row r="1443" ht="15.95" spans="2:2">
      <c r="B1443" s="122" t="s">
        <v>2630</v>
      </c>
    </row>
    <row r="1444" spans="2:5">
      <c r="B1444" s="15" t="s">
        <v>2631</v>
      </c>
      <c r="C1444" s="15" t="s">
        <v>2632</v>
      </c>
      <c r="D1444" s="15" t="s">
        <v>635</v>
      </c>
      <c r="E1444" s="15" t="s">
        <v>2633</v>
      </c>
    </row>
    <row r="1445" spans="2:5">
      <c r="B1445" s="15" t="s">
        <v>2631</v>
      </c>
      <c r="C1445" s="15" t="s">
        <v>2632</v>
      </c>
      <c r="D1445" s="15" t="s">
        <v>637</v>
      </c>
      <c r="E1445" s="15" t="s">
        <v>638</v>
      </c>
    </row>
    <row r="1446" spans="2:5">
      <c r="B1446" s="15" t="s">
        <v>2631</v>
      </c>
      <c r="C1446" s="15" t="s">
        <v>2632</v>
      </c>
      <c r="D1446" s="15" t="s">
        <v>639</v>
      </c>
      <c r="E1446" s="15" t="s">
        <v>2634</v>
      </c>
    </row>
    <row r="1447" ht="15.95" spans="2:2">
      <c r="B1447" s="122" t="s">
        <v>2635</v>
      </c>
    </row>
    <row r="1448" spans="2:5">
      <c r="B1448" s="15" t="s">
        <v>2636</v>
      </c>
      <c r="C1448" s="15" t="s">
        <v>2637</v>
      </c>
      <c r="D1448" s="15" t="s">
        <v>785</v>
      </c>
      <c r="E1448" s="15" t="s">
        <v>2638</v>
      </c>
    </row>
    <row r="1449" spans="2:5">
      <c r="B1449" s="15" t="s">
        <v>2636</v>
      </c>
      <c r="C1449" s="15" t="s">
        <v>2637</v>
      </c>
      <c r="D1449" s="15" t="s">
        <v>787</v>
      </c>
      <c r="E1449" s="15" t="s">
        <v>2639</v>
      </c>
    </row>
    <row r="1450" spans="2:5">
      <c r="B1450" s="15" t="s">
        <v>2636</v>
      </c>
      <c r="C1450" s="15" t="s">
        <v>2637</v>
      </c>
      <c r="D1450" s="15" t="s">
        <v>789</v>
      </c>
      <c r="E1450" s="15" t="s">
        <v>2640</v>
      </c>
    </row>
    <row r="1451" spans="2:5">
      <c r="B1451" s="15" t="s">
        <v>2636</v>
      </c>
      <c r="C1451" s="15" t="s">
        <v>2637</v>
      </c>
      <c r="D1451" s="15" t="s">
        <v>791</v>
      </c>
      <c r="E1451" s="15" t="s">
        <v>2641</v>
      </c>
    </row>
    <row r="1452" ht="15.95" spans="2:2">
      <c r="B1452" s="122" t="s">
        <v>2642</v>
      </c>
    </row>
    <row r="1453" spans="2:5">
      <c r="B1453" s="15" t="s">
        <v>2643</v>
      </c>
      <c r="C1453" s="15"/>
      <c r="D1453" s="15" t="s">
        <v>933</v>
      </c>
      <c r="E1453" s="15" t="s">
        <v>2644</v>
      </c>
    </row>
    <row r="1454" spans="2:5">
      <c r="B1454" s="15" t="s">
        <v>2643</v>
      </c>
      <c r="C1454" s="15"/>
      <c r="D1454" s="15" t="s">
        <v>937</v>
      </c>
      <c r="E1454" s="15" t="s">
        <v>1418</v>
      </c>
    </row>
    <row r="1455" spans="2:5">
      <c r="B1455" s="15" t="s">
        <v>2643</v>
      </c>
      <c r="C1455" s="15"/>
      <c r="D1455" s="15" t="s">
        <v>939</v>
      </c>
      <c r="E1455" s="15" t="s">
        <v>1604</v>
      </c>
    </row>
    <row r="1456" ht="15.95" spans="2:2">
      <c r="B1456" s="122" t="s">
        <v>2645</v>
      </c>
    </row>
    <row r="1457" spans="2:5">
      <c r="B1457" s="15" t="s">
        <v>2646</v>
      </c>
      <c r="C1457" s="15" t="s">
        <v>2647</v>
      </c>
      <c r="D1457" s="15" t="s">
        <v>2648</v>
      </c>
      <c r="E1457" s="15" t="s">
        <v>2649</v>
      </c>
    </row>
    <row r="1458" spans="2:5">
      <c r="B1458" s="15" t="s">
        <v>2646</v>
      </c>
      <c r="C1458" s="15" t="s">
        <v>2647</v>
      </c>
      <c r="D1458" s="15" t="s">
        <v>2650</v>
      </c>
      <c r="E1458" s="15" t="s">
        <v>2651</v>
      </c>
    </row>
    <row r="1459" ht="15.95" spans="2:2">
      <c r="B1459" s="122" t="s">
        <v>2652</v>
      </c>
    </row>
    <row r="1460" spans="2:5">
      <c r="B1460" s="15" t="s">
        <v>2653</v>
      </c>
      <c r="C1460" s="15" t="s">
        <v>2653</v>
      </c>
      <c r="D1460" s="15" t="s">
        <v>723</v>
      </c>
      <c r="E1460" s="15" t="s">
        <v>2654</v>
      </c>
    </row>
    <row r="1461" spans="2:5">
      <c r="B1461" s="15" t="s">
        <v>2653</v>
      </c>
      <c r="C1461" s="15" t="s">
        <v>2653</v>
      </c>
      <c r="D1461" s="15" t="s">
        <v>725</v>
      </c>
      <c r="E1461" s="15" t="s">
        <v>2655</v>
      </c>
    </row>
    <row r="1462" spans="2:5">
      <c r="B1462" s="15" t="s">
        <v>2653</v>
      </c>
      <c r="C1462" s="15" t="s">
        <v>2653</v>
      </c>
      <c r="D1462" s="15" t="s">
        <v>727</v>
      </c>
      <c r="E1462" s="15" t="s">
        <v>2656</v>
      </c>
    </row>
    <row r="1463" spans="2:5">
      <c r="B1463" s="15" t="s">
        <v>2653</v>
      </c>
      <c r="C1463" s="15" t="s">
        <v>2653</v>
      </c>
      <c r="D1463" s="15" t="s">
        <v>729</v>
      </c>
      <c r="E1463" s="15" t="s">
        <v>2657</v>
      </c>
    </row>
    <row r="1464" spans="2:5">
      <c r="B1464" s="15" t="s">
        <v>2653</v>
      </c>
      <c r="C1464" s="15" t="s">
        <v>2653</v>
      </c>
      <c r="D1464" s="15" t="s">
        <v>760</v>
      </c>
      <c r="E1464" s="15" t="s">
        <v>2658</v>
      </c>
    </row>
    <row r="1465" spans="2:5">
      <c r="B1465" s="15" t="s">
        <v>2653</v>
      </c>
      <c r="C1465" s="15" t="s">
        <v>2653</v>
      </c>
      <c r="D1465" s="15" t="s">
        <v>762</v>
      </c>
      <c r="E1465" s="15" t="s">
        <v>2659</v>
      </c>
    </row>
    <row r="1466" spans="2:5">
      <c r="B1466" s="15" t="s">
        <v>2653</v>
      </c>
      <c r="C1466" s="15" t="s">
        <v>2653</v>
      </c>
      <c r="D1466" s="15" t="s">
        <v>764</v>
      </c>
      <c r="E1466" s="15" t="s">
        <v>235</v>
      </c>
    </row>
    <row r="1467" spans="2:5">
      <c r="B1467" s="15" t="s">
        <v>2653</v>
      </c>
      <c r="C1467" s="15" t="s">
        <v>2653</v>
      </c>
      <c r="D1467" s="15" t="s">
        <v>1587</v>
      </c>
      <c r="E1467" s="15" t="s">
        <v>2660</v>
      </c>
    </row>
    <row r="1468" ht="15.95" spans="2:2">
      <c r="B1468" s="122" t="s">
        <v>2661</v>
      </c>
    </row>
    <row r="1469" spans="2:5">
      <c r="B1469" s="15" t="s">
        <v>2662</v>
      </c>
      <c r="C1469" s="15" t="s">
        <v>2662</v>
      </c>
      <c r="D1469" s="15" t="s">
        <v>1555</v>
      </c>
      <c r="E1469" s="15" t="s">
        <v>2663</v>
      </c>
    </row>
    <row r="1470" spans="2:5">
      <c r="B1470" s="15" t="s">
        <v>2662</v>
      </c>
      <c r="C1470" s="15" t="s">
        <v>2662</v>
      </c>
      <c r="D1470" s="15" t="s">
        <v>1557</v>
      </c>
      <c r="E1470" s="15" t="s">
        <v>2664</v>
      </c>
    </row>
    <row r="1471" spans="2:5">
      <c r="B1471" s="15" t="s">
        <v>2662</v>
      </c>
      <c r="C1471" s="15" t="s">
        <v>2662</v>
      </c>
      <c r="D1471" s="15" t="s">
        <v>1559</v>
      </c>
      <c r="E1471" s="15" t="s">
        <v>2665</v>
      </c>
    </row>
    <row r="1472" spans="2:5">
      <c r="B1472" s="15" t="s">
        <v>2662</v>
      </c>
      <c r="C1472" s="15" t="s">
        <v>2662</v>
      </c>
      <c r="D1472" s="15" t="s">
        <v>1561</v>
      </c>
      <c r="E1472" s="15" t="s">
        <v>2666</v>
      </c>
    </row>
    <row r="1473" spans="2:5">
      <c r="B1473" s="15" t="s">
        <v>2662</v>
      </c>
      <c r="C1473" s="15" t="s">
        <v>2662</v>
      </c>
      <c r="D1473" s="15" t="s">
        <v>1563</v>
      </c>
      <c r="E1473" s="15" t="s">
        <v>2667</v>
      </c>
    </row>
    <row r="1474" spans="2:5">
      <c r="B1474" s="15" t="s">
        <v>2662</v>
      </c>
      <c r="C1474" s="15" t="s">
        <v>2662</v>
      </c>
      <c r="D1474" s="15" t="s">
        <v>1565</v>
      </c>
      <c r="E1474" s="15" t="s">
        <v>2668</v>
      </c>
    </row>
    <row r="1475" spans="2:5">
      <c r="B1475" s="15" t="s">
        <v>2662</v>
      </c>
      <c r="C1475" s="15" t="s">
        <v>2662</v>
      </c>
      <c r="D1475" s="15" t="s">
        <v>1567</v>
      </c>
      <c r="E1475" s="15" t="s">
        <v>2669</v>
      </c>
    </row>
    <row r="1476" spans="2:5">
      <c r="B1476" s="15" t="s">
        <v>2662</v>
      </c>
      <c r="C1476" s="15" t="s">
        <v>2662</v>
      </c>
      <c r="D1476" s="15" t="s">
        <v>1569</v>
      </c>
      <c r="E1476" s="15" t="s">
        <v>2670</v>
      </c>
    </row>
    <row r="1477" spans="2:5">
      <c r="B1477" s="15" t="s">
        <v>2662</v>
      </c>
      <c r="C1477" s="15" t="s">
        <v>2662</v>
      </c>
      <c r="D1477" s="15" t="s">
        <v>1571</v>
      </c>
      <c r="E1477" s="15" t="s">
        <v>2671</v>
      </c>
    </row>
    <row r="1478" spans="2:5">
      <c r="B1478" s="15" t="s">
        <v>2662</v>
      </c>
      <c r="C1478" s="15" t="s">
        <v>2662</v>
      </c>
      <c r="D1478" s="15" t="s">
        <v>2672</v>
      </c>
      <c r="E1478" s="15" t="s">
        <v>2673</v>
      </c>
    </row>
    <row r="1479" spans="2:5">
      <c r="B1479" s="15" t="s">
        <v>2662</v>
      </c>
      <c r="C1479" s="15" t="s">
        <v>2662</v>
      </c>
      <c r="D1479" s="15" t="s">
        <v>1573</v>
      </c>
      <c r="E1479" s="15" t="s">
        <v>2674</v>
      </c>
    </row>
    <row r="1480" spans="2:5">
      <c r="B1480" s="15" t="s">
        <v>2662</v>
      </c>
      <c r="C1480" s="15" t="s">
        <v>2662</v>
      </c>
      <c r="D1480" s="15" t="s">
        <v>1575</v>
      </c>
      <c r="E1480" s="15" t="s">
        <v>2675</v>
      </c>
    </row>
    <row r="1481" spans="2:5">
      <c r="B1481" s="15" t="s">
        <v>2662</v>
      </c>
      <c r="C1481" s="15" t="s">
        <v>2662</v>
      </c>
      <c r="D1481" s="15" t="s">
        <v>1577</v>
      </c>
      <c r="E1481" s="15" t="s">
        <v>2676</v>
      </c>
    </row>
    <row r="1482" spans="2:5">
      <c r="B1482" s="15" t="s">
        <v>2662</v>
      </c>
      <c r="C1482" s="15" t="s">
        <v>2662</v>
      </c>
      <c r="D1482" s="15" t="s">
        <v>1579</v>
      </c>
      <c r="E1482" s="15" t="s">
        <v>2677</v>
      </c>
    </row>
    <row r="1483" spans="2:5">
      <c r="B1483" s="15" t="s">
        <v>2662</v>
      </c>
      <c r="C1483" s="15" t="s">
        <v>2662</v>
      </c>
      <c r="D1483" s="15" t="s">
        <v>1581</v>
      </c>
      <c r="E1483" s="15" t="s">
        <v>2678</v>
      </c>
    </row>
    <row r="1484" ht="15.95" spans="2:2">
      <c r="B1484" s="122" t="s">
        <v>2679</v>
      </c>
    </row>
    <row r="1485" spans="2:5">
      <c r="B1485" s="15" t="s">
        <v>2680</v>
      </c>
      <c r="C1485" s="15" t="s">
        <v>2681</v>
      </c>
      <c r="D1485" s="15" t="s">
        <v>770</v>
      </c>
      <c r="E1485" s="15" t="s">
        <v>2682</v>
      </c>
    </row>
    <row r="1486" spans="2:5">
      <c r="B1486" s="15" t="s">
        <v>2680</v>
      </c>
      <c r="C1486" s="15" t="s">
        <v>2681</v>
      </c>
      <c r="D1486" s="15" t="s">
        <v>772</v>
      </c>
      <c r="E1486" s="15" t="s">
        <v>2683</v>
      </c>
    </row>
    <row r="1487" spans="2:5">
      <c r="B1487" s="15" t="s">
        <v>2680</v>
      </c>
      <c r="C1487" s="15" t="s">
        <v>2681</v>
      </c>
      <c r="D1487" s="15" t="s">
        <v>774</v>
      </c>
      <c r="E1487" s="15" t="s">
        <v>2684</v>
      </c>
    </row>
    <row r="1488" spans="2:5">
      <c r="B1488" s="15" t="s">
        <v>2680</v>
      </c>
      <c r="C1488" s="15" t="s">
        <v>2681</v>
      </c>
      <c r="D1488" s="15" t="s">
        <v>828</v>
      </c>
      <c r="E1488" s="15" t="s">
        <v>2685</v>
      </c>
    </row>
    <row r="1489" spans="2:5">
      <c r="B1489" s="15" t="s">
        <v>2680</v>
      </c>
      <c r="C1489" s="15" t="s">
        <v>2681</v>
      </c>
      <c r="D1489" s="15" t="s">
        <v>901</v>
      </c>
      <c r="E1489" s="15" t="s">
        <v>2686</v>
      </c>
    </row>
    <row r="1490" spans="2:5">
      <c r="B1490" s="15" t="s">
        <v>2680</v>
      </c>
      <c r="C1490" s="15" t="s">
        <v>2681</v>
      </c>
      <c r="D1490" s="15" t="s">
        <v>776</v>
      </c>
      <c r="E1490" s="15" t="s">
        <v>2687</v>
      </c>
    </row>
    <row r="1491" spans="2:5">
      <c r="B1491" s="15" t="s">
        <v>2680</v>
      </c>
      <c r="C1491" s="15" t="s">
        <v>2681</v>
      </c>
      <c r="D1491" s="15" t="s">
        <v>1290</v>
      </c>
      <c r="E1491" s="15" t="s">
        <v>2688</v>
      </c>
    </row>
    <row r="1492" spans="2:5">
      <c r="B1492" s="15" t="s">
        <v>2680</v>
      </c>
      <c r="C1492" s="15" t="s">
        <v>2681</v>
      </c>
      <c r="D1492" s="15" t="s">
        <v>1409</v>
      </c>
      <c r="E1492" s="15" t="s">
        <v>2689</v>
      </c>
    </row>
    <row r="1493" spans="2:5">
      <c r="B1493" s="15" t="s">
        <v>2680</v>
      </c>
      <c r="C1493" s="15" t="s">
        <v>2681</v>
      </c>
      <c r="D1493" s="15" t="s">
        <v>1411</v>
      </c>
      <c r="E1493" s="15" t="s">
        <v>2690</v>
      </c>
    </row>
    <row r="1494" spans="2:5">
      <c r="B1494" s="15" t="s">
        <v>2680</v>
      </c>
      <c r="C1494" s="15" t="s">
        <v>2681</v>
      </c>
      <c r="D1494" s="15" t="s">
        <v>933</v>
      </c>
      <c r="E1494" s="15" t="s">
        <v>2691</v>
      </c>
    </row>
    <row r="1495" spans="2:5">
      <c r="B1495" s="15" t="s">
        <v>2680</v>
      </c>
      <c r="C1495" s="15" t="s">
        <v>2681</v>
      </c>
      <c r="D1495" s="15" t="s">
        <v>1059</v>
      </c>
      <c r="E1495" s="15" t="s">
        <v>2685</v>
      </c>
    </row>
    <row r="1496" spans="2:5">
      <c r="B1496" s="15" t="s">
        <v>2680</v>
      </c>
      <c r="C1496" s="15" t="s">
        <v>2681</v>
      </c>
      <c r="D1496" s="15" t="s">
        <v>1061</v>
      </c>
      <c r="E1496" s="15" t="s">
        <v>2692</v>
      </c>
    </row>
    <row r="1497" spans="2:5">
      <c r="B1497" s="15" t="s">
        <v>2680</v>
      </c>
      <c r="C1497" s="15" t="s">
        <v>2681</v>
      </c>
      <c r="D1497" s="15" t="s">
        <v>1063</v>
      </c>
      <c r="E1497" s="15" t="s">
        <v>2693</v>
      </c>
    </row>
    <row r="1498" spans="2:5">
      <c r="B1498" s="15" t="s">
        <v>2680</v>
      </c>
      <c r="C1498" s="15" t="s">
        <v>2681</v>
      </c>
      <c r="D1498" s="15" t="s">
        <v>1065</v>
      </c>
      <c r="E1498" s="15" t="s">
        <v>2694</v>
      </c>
    </row>
    <row r="1499" spans="2:5">
      <c r="B1499" s="15" t="s">
        <v>2680</v>
      </c>
      <c r="C1499" s="15" t="s">
        <v>2681</v>
      </c>
      <c r="D1499" s="15" t="s">
        <v>935</v>
      </c>
      <c r="E1499" s="15" t="s">
        <v>2695</v>
      </c>
    </row>
    <row r="1500" spans="2:5">
      <c r="B1500" s="15" t="s">
        <v>2680</v>
      </c>
      <c r="C1500" s="15" t="s">
        <v>2681</v>
      </c>
      <c r="D1500" s="15" t="s">
        <v>1068</v>
      </c>
      <c r="E1500" s="15" t="s">
        <v>2696</v>
      </c>
    </row>
    <row r="1501" ht="15.95" spans="2:2">
      <c r="B1501" s="122" t="s">
        <v>2697</v>
      </c>
    </row>
    <row r="1502" spans="2:5">
      <c r="B1502" s="15" t="s">
        <v>2698</v>
      </c>
      <c r="C1502" s="15" t="s">
        <v>896</v>
      </c>
      <c r="D1502" s="15" t="s">
        <v>770</v>
      </c>
      <c r="E1502" s="15" t="s">
        <v>2699</v>
      </c>
    </row>
    <row r="1503" spans="2:5">
      <c r="B1503" s="15" t="s">
        <v>2698</v>
      </c>
      <c r="C1503" s="15" t="s">
        <v>896</v>
      </c>
      <c r="D1503" s="15" t="s">
        <v>772</v>
      </c>
      <c r="E1503" s="15" t="s">
        <v>2700</v>
      </c>
    </row>
    <row r="1504" spans="2:5">
      <c r="B1504" s="15" t="s">
        <v>2698</v>
      </c>
      <c r="C1504" s="15" t="s">
        <v>896</v>
      </c>
      <c r="D1504" s="15" t="s">
        <v>774</v>
      </c>
      <c r="E1504" s="15" t="s">
        <v>2701</v>
      </c>
    </row>
    <row r="1505" spans="2:5">
      <c r="B1505" s="15" t="s">
        <v>2698</v>
      </c>
      <c r="C1505" s="15" t="s">
        <v>896</v>
      </c>
      <c r="D1505" s="15" t="s">
        <v>828</v>
      </c>
      <c r="E1505" s="15" t="s">
        <v>2702</v>
      </c>
    </row>
    <row r="1506" spans="2:5">
      <c r="B1506" s="15" t="s">
        <v>2698</v>
      </c>
      <c r="C1506" s="15" t="s">
        <v>896</v>
      </c>
      <c r="D1506" s="15" t="s">
        <v>901</v>
      </c>
      <c r="E1506" s="15" t="s">
        <v>2703</v>
      </c>
    </row>
    <row r="1507" ht="15.95" spans="2:2">
      <c r="B1507" s="122" t="s">
        <v>2704</v>
      </c>
    </row>
    <row r="1508" spans="2:5">
      <c r="B1508" s="15" t="s">
        <v>2705</v>
      </c>
      <c r="C1508" s="15" t="s">
        <v>2706</v>
      </c>
      <c r="D1508" s="15" t="s">
        <v>770</v>
      </c>
      <c r="E1508" s="15" t="s">
        <v>2707</v>
      </c>
    </row>
    <row r="1509" spans="2:5">
      <c r="B1509" s="15" t="s">
        <v>2705</v>
      </c>
      <c r="C1509" s="15" t="s">
        <v>2706</v>
      </c>
      <c r="D1509" s="15" t="s">
        <v>772</v>
      </c>
      <c r="E1509" s="15" t="s">
        <v>2708</v>
      </c>
    </row>
    <row r="1510" ht="15.95" spans="2:2">
      <c r="B1510" s="122" t="s">
        <v>2709</v>
      </c>
    </row>
    <row r="1511" spans="2:5">
      <c r="B1511" s="15" t="s">
        <v>2710</v>
      </c>
      <c r="C1511" s="15" t="s">
        <v>2711</v>
      </c>
      <c r="D1511" s="15" t="s">
        <v>770</v>
      </c>
      <c r="E1511" s="15" t="s">
        <v>2712</v>
      </c>
    </row>
    <row r="1512" spans="2:5">
      <c r="B1512" s="15" t="s">
        <v>2710</v>
      </c>
      <c r="C1512" s="15" t="s">
        <v>2711</v>
      </c>
      <c r="D1512" s="15" t="s">
        <v>772</v>
      </c>
      <c r="E1512" s="15" t="s">
        <v>2713</v>
      </c>
    </row>
    <row r="1513" ht="15.95" spans="2:2">
      <c r="B1513" s="122" t="s">
        <v>2714</v>
      </c>
    </row>
    <row r="1514" spans="2:5">
      <c r="B1514" s="15" t="s">
        <v>2715</v>
      </c>
      <c r="C1514" s="15" t="s">
        <v>2716</v>
      </c>
      <c r="D1514" s="15" t="s">
        <v>770</v>
      </c>
      <c r="E1514" s="15" t="s">
        <v>2717</v>
      </c>
    </row>
    <row r="1515" spans="2:5">
      <c r="B1515" s="15" t="s">
        <v>2715</v>
      </c>
      <c r="C1515" s="15" t="s">
        <v>2716</v>
      </c>
      <c r="D1515" s="15" t="s">
        <v>772</v>
      </c>
      <c r="E1515" s="15" t="s">
        <v>2718</v>
      </c>
    </row>
    <row r="1516" ht="15.95" spans="2:2">
      <c r="B1516" s="122" t="s">
        <v>2719</v>
      </c>
    </row>
    <row r="1517" spans="2:5">
      <c r="B1517" s="15" t="s">
        <v>2720</v>
      </c>
      <c r="C1517" s="15" t="s">
        <v>2721</v>
      </c>
      <c r="D1517" s="15" t="s">
        <v>770</v>
      </c>
      <c r="E1517" s="15" t="s">
        <v>2722</v>
      </c>
    </row>
    <row r="1518" spans="2:5">
      <c r="B1518" s="15" t="s">
        <v>2720</v>
      </c>
      <c r="C1518" s="15" t="s">
        <v>2721</v>
      </c>
      <c r="D1518" s="15" t="s">
        <v>772</v>
      </c>
      <c r="E1518" s="15" t="s">
        <v>2723</v>
      </c>
    </row>
    <row r="1519" spans="2:5">
      <c r="B1519" s="15" t="s">
        <v>2720</v>
      </c>
      <c r="C1519" s="15" t="s">
        <v>2721</v>
      </c>
      <c r="D1519" s="15" t="s">
        <v>774</v>
      </c>
      <c r="E1519" s="15" t="s">
        <v>2724</v>
      </c>
    </row>
    <row r="1520" ht="15.95" spans="2:2">
      <c r="B1520" s="122" t="s">
        <v>2725</v>
      </c>
    </row>
    <row r="1521" spans="2:5">
      <c r="B1521" s="15" t="s">
        <v>2726</v>
      </c>
      <c r="C1521" s="15" t="s">
        <v>2727</v>
      </c>
      <c r="D1521" s="15" t="s">
        <v>785</v>
      </c>
      <c r="E1521" s="15" t="s">
        <v>1814</v>
      </c>
    </row>
    <row r="1522" spans="2:5">
      <c r="B1522" s="15" t="s">
        <v>2726</v>
      </c>
      <c r="C1522" s="15" t="s">
        <v>2727</v>
      </c>
      <c r="D1522" s="15" t="s">
        <v>787</v>
      </c>
      <c r="E1522" s="15" t="s">
        <v>2728</v>
      </c>
    </row>
    <row r="1523" spans="2:5">
      <c r="B1523" s="15" t="s">
        <v>2726</v>
      </c>
      <c r="C1523" s="15" t="s">
        <v>2727</v>
      </c>
      <c r="D1523" s="15" t="s">
        <v>2729</v>
      </c>
      <c r="E1523" s="15" t="s">
        <v>2730</v>
      </c>
    </row>
    <row r="1524" spans="2:5">
      <c r="B1524" s="15" t="s">
        <v>2726</v>
      </c>
      <c r="C1524" s="15" t="s">
        <v>2727</v>
      </c>
      <c r="D1524" s="15" t="s">
        <v>2731</v>
      </c>
      <c r="E1524" s="15" t="s">
        <v>2732</v>
      </c>
    </row>
    <row r="1525" spans="2:5">
      <c r="B1525" s="15" t="s">
        <v>2726</v>
      </c>
      <c r="C1525" s="15" t="s">
        <v>2727</v>
      </c>
      <c r="D1525" s="15" t="s">
        <v>2733</v>
      </c>
      <c r="E1525" s="15" t="s">
        <v>2734</v>
      </c>
    </row>
    <row r="1526" spans="2:5">
      <c r="B1526" s="15" t="s">
        <v>2726</v>
      </c>
      <c r="C1526" s="15" t="s">
        <v>2727</v>
      </c>
      <c r="D1526" s="15" t="s">
        <v>2735</v>
      </c>
      <c r="E1526" s="15" t="s">
        <v>2736</v>
      </c>
    </row>
    <row r="1527" spans="2:5">
      <c r="B1527" s="15" t="s">
        <v>2726</v>
      </c>
      <c r="C1527" s="15" t="s">
        <v>2727</v>
      </c>
      <c r="D1527" s="15" t="s">
        <v>789</v>
      </c>
      <c r="E1527" s="15" t="s">
        <v>2737</v>
      </c>
    </row>
    <row r="1528" spans="2:5">
      <c r="B1528" s="15" t="s">
        <v>2726</v>
      </c>
      <c r="C1528" s="15" t="s">
        <v>2727</v>
      </c>
      <c r="D1528" s="15" t="s">
        <v>791</v>
      </c>
      <c r="E1528" s="15" t="s">
        <v>2738</v>
      </c>
    </row>
    <row r="1529" spans="2:5">
      <c r="B1529" s="15" t="s">
        <v>2726</v>
      </c>
      <c r="C1529" s="15" t="s">
        <v>2727</v>
      </c>
      <c r="D1529" s="15" t="s">
        <v>793</v>
      </c>
      <c r="E1529" s="15" t="s">
        <v>1822</v>
      </c>
    </row>
    <row r="1530" ht="15.95" spans="2:2">
      <c r="B1530" s="122" t="s">
        <v>2739</v>
      </c>
    </row>
    <row r="1531" spans="2:5">
      <c r="B1531" s="15" t="s">
        <v>2740</v>
      </c>
      <c r="C1531" s="15" t="s">
        <v>2741</v>
      </c>
      <c r="D1531" s="15" t="s">
        <v>770</v>
      </c>
      <c r="E1531" s="15" t="s">
        <v>2742</v>
      </c>
    </row>
    <row r="1532" spans="2:5">
      <c r="B1532" s="15" t="s">
        <v>2740</v>
      </c>
      <c r="C1532" s="15" t="s">
        <v>2741</v>
      </c>
      <c r="D1532" s="15" t="s">
        <v>772</v>
      </c>
      <c r="E1532" s="15" t="s">
        <v>2743</v>
      </c>
    </row>
    <row r="1533" spans="2:5">
      <c r="B1533" s="15" t="s">
        <v>2740</v>
      </c>
      <c r="C1533" s="15" t="s">
        <v>2741</v>
      </c>
      <c r="D1533" s="15" t="s">
        <v>774</v>
      </c>
      <c r="E1533" s="15" t="s">
        <v>2744</v>
      </c>
    </row>
    <row r="1534" spans="2:5">
      <c r="B1534" s="15" t="s">
        <v>2740</v>
      </c>
      <c r="C1534" s="15" t="s">
        <v>2741</v>
      </c>
      <c r="D1534" s="15" t="s">
        <v>828</v>
      </c>
      <c r="E1534" s="15" t="s">
        <v>2745</v>
      </c>
    </row>
    <row r="1535" spans="2:5">
      <c r="B1535" s="15" t="s">
        <v>2740</v>
      </c>
      <c r="C1535" s="15" t="s">
        <v>2741</v>
      </c>
      <c r="D1535" s="15" t="s">
        <v>901</v>
      </c>
      <c r="E1535" s="15" t="s">
        <v>2746</v>
      </c>
    </row>
    <row r="1536" spans="2:5">
      <c r="B1536" s="15" t="s">
        <v>2740</v>
      </c>
      <c r="C1536" s="15" t="s">
        <v>2741</v>
      </c>
      <c r="D1536" s="15" t="s">
        <v>776</v>
      </c>
      <c r="E1536" s="15" t="s">
        <v>2557</v>
      </c>
    </row>
    <row r="1537" spans="2:5">
      <c r="B1537" s="15" t="s">
        <v>2740</v>
      </c>
      <c r="C1537" s="15" t="s">
        <v>2741</v>
      </c>
      <c r="D1537" s="15" t="s">
        <v>1143</v>
      </c>
      <c r="E1537" s="15" t="s">
        <v>235</v>
      </c>
    </row>
    <row r="1538" ht="15.95" spans="2:2">
      <c r="B1538" s="122" t="s">
        <v>2747</v>
      </c>
    </row>
    <row r="1539" spans="2:5">
      <c r="B1539" s="15" t="s">
        <v>2748</v>
      </c>
      <c r="C1539" s="15" t="s">
        <v>2749</v>
      </c>
      <c r="D1539" s="15" t="s">
        <v>2750</v>
      </c>
      <c r="E1539" s="15" t="s">
        <v>2751</v>
      </c>
    </row>
    <row r="1540" spans="2:5">
      <c r="B1540" s="15" t="s">
        <v>2748</v>
      </c>
      <c r="C1540" s="15" t="s">
        <v>2749</v>
      </c>
      <c r="D1540" s="15" t="s">
        <v>2752</v>
      </c>
      <c r="E1540" s="15" t="s">
        <v>2753</v>
      </c>
    </row>
    <row r="1541" spans="2:5">
      <c r="B1541" s="15" t="s">
        <v>2748</v>
      </c>
      <c r="C1541" s="15" t="s">
        <v>2749</v>
      </c>
      <c r="D1541" s="15" t="s">
        <v>2754</v>
      </c>
      <c r="E1541" s="15" t="s">
        <v>2755</v>
      </c>
    </row>
    <row r="1542" spans="2:5">
      <c r="B1542" s="15" t="s">
        <v>2748</v>
      </c>
      <c r="C1542" s="15" t="s">
        <v>2749</v>
      </c>
      <c r="D1542" s="15" t="s">
        <v>2756</v>
      </c>
      <c r="E1542" s="15" t="s">
        <v>2757</v>
      </c>
    </row>
    <row r="1543" spans="2:5">
      <c r="B1543" s="15" t="s">
        <v>2748</v>
      </c>
      <c r="C1543" s="15" t="s">
        <v>2749</v>
      </c>
      <c r="D1543" s="15" t="s">
        <v>2758</v>
      </c>
      <c r="E1543" s="15" t="s">
        <v>2759</v>
      </c>
    </row>
    <row r="1544" spans="2:5">
      <c r="B1544" s="15" t="s">
        <v>2748</v>
      </c>
      <c r="C1544" s="15" t="s">
        <v>2749</v>
      </c>
      <c r="D1544" s="15" t="s">
        <v>2760</v>
      </c>
      <c r="E1544" s="15" t="s">
        <v>2761</v>
      </c>
    </row>
    <row r="1545" spans="2:5">
      <c r="B1545" s="15" t="s">
        <v>2748</v>
      </c>
      <c r="C1545" s="15" t="s">
        <v>2749</v>
      </c>
      <c r="D1545" s="15" t="s">
        <v>2762</v>
      </c>
      <c r="E1545" s="15" t="s">
        <v>2763</v>
      </c>
    </row>
    <row r="1546" spans="2:5">
      <c r="B1546" s="15" t="s">
        <v>2748</v>
      </c>
      <c r="C1546" s="15" t="s">
        <v>2749</v>
      </c>
      <c r="D1546" s="15" t="s">
        <v>2764</v>
      </c>
      <c r="E1546" s="15" t="s">
        <v>2765</v>
      </c>
    </row>
    <row r="1547" spans="2:5">
      <c r="B1547" s="15" t="s">
        <v>2748</v>
      </c>
      <c r="C1547" s="15" t="s">
        <v>2749</v>
      </c>
      <c r="D1547" s="15" t="s">
        <v>2766</v>
      </c>
      <c r="E1547" s="15" t="s">
        <v>2767</v>
      </c>
    </row>
    <row r="1548" spans="2:5">
      <c r="B1548" s="15" t="s">
        <v>2748</v>
      </c>
      <c r="C1548" s="15" t="s">
        <v>2749</v>
      </c>
      <c r="D1548" s="15" t="s">
        <v>2768</v>
      </c>
      <c r="E1548" s="15" t="s">
        <v>2769</v>
      </c>
    </row>
    <row r="1549" spans="2:5">
      <c r="B1549" s="15" t="s">
        <v>2748</v>
      </c>
      <c r="C1549" s="15" t="s">
        <v>2749</v>
      </c>
      <c r="D1549" s="15" t="s">
        <v>2770</v>
      </c>
      <c r="E1549" s="15" t="s">
        <v>2771</v>
      </c>
    </row>
    <row r="1550" spans="2:5">
      <c r="B1550" s="15" t="s">
        <v>2748</v>
      </c>
      <c r="C1550" s="15" t="s">
        <v>2749</v>
      </c>
      <c r="D1550" s="15" t="s">
        <v>2772</v>
      </c>
      <c r="E1550" s="15" t="s">
        <v>2773</v>
      </c>
    </row>
    <row r="1551" spans="2:5">
      <c r="B1551" s="15" t="s">
        <v>2748</v>
      </c>
      <c r="C1551" s="15" t="s">
        <v>2749</v>
      </c>
      <c r="D1551" s="15" t="s">
        <v>2774</v>
      </c>
      <c r="E1551" s="15" t="s">
        <v>2775</v>
      </c>
    </row>
    <row r="1552" spans="2:5">
      <c r="B1552" s="15" t="s">
        <v>2748</v>
      </c>
      <c r="C1552" s="15" t="s">
        <v>2749</v>
      </c>
      <c r="D1552" s="15" t="s">
        <v>2776</v>
      </c>
      <c r="E1552" s="15" t="s">
        <v>2777</v>
      </c>
    </row>
    <row r="1553" spans="2:5">
      <c r="B1553" s="15" t="s">
        <v>2748</v>
      </c>
      <c r="C1553" s="15" t="s">
        <v>2749</v>
      </c>
      <c r="D1553" s="15" t="s">
        <v>2778</v>
      </c>
      <c r="E1553" s="15" t="s">
        <v>2779</v>
      </c>
    </row>
    <row r="1554" spans="2:5">
      <c r="B1554" s="15" t="s">
        <v>2748</v>
      </c>
      <c r="C1554" s="15" t="s">
        <v>2749</v>
      </c>
      <c r="D1554" s="15" t="s">
        <v>2780</v>
      </c>
      <c r="E1554" s="15" t="s">
        <v>2781</v>
      </c>
    </row>
    <row r="1555" spans="2:5">
      <c r="B1555" s="15" t="s">
        <v>2748</v>
      </c>
      <c r="C1555" s="15" t="s">
        <v>2749</v>
      </c>
      <c r="D1555" s="15" t="s">
        <v>2782</v>
      </c>
      <c r="E1555" s="15" t="s">
        <v>2783</v>
      </c>
    </row>
    <row r="1556" ht="15.95" spans="2:2">
      <c r="B1556" s="122" t="s">
        <v>2784</v>
      </c>
    </row>
    <row r="1557" spans="2:5">
      <c r="B1557" s="15" t="s">
        <v>2785</v>
      </c>
      <c r="C1557" s="15" t="s">
        <v>896</v>
      </c>
      <c r="D1557" s="15" t="s">
        <v>723</v>
      </c>
      <c r="E1557" s="15" t="s">
        <v>2786</v>
      </c>
    </row>
    <row r="1558" spans="2:5">
      <c r="B1558" s="15" t="s">
        <v>2785</v>
      </c>
      <c r="C1558" s="15" t="s">
        <v>896</v>
      </c>
      <c r="D1558" s="15" t="s">
        <v>725</v>
      </c>
      <c r="E1558" s="15" t="s">
        <v>2787</v>
      </c>
    </row>
    <row r="1559" spans="2:5">
      <c r="B1559" s="15" t="s">
        <v>2785</v>
      </c>
      <c r="C1559" s="15" t="s">
        <v>896</v>
      </c>
      <c r="D1559" s="15" t="s">
        <v>727</v>
      </c>
      <c r="E1559" s="15" t="s">
        <v>2788</v>
      </c>
    </row>
    <row r="1560" spans="2:5">
      <c r="B1560" s="15" t="s">
        <v>2785</v>
      </c>
      <c r="C1560" s="15" t="s">
        <v>896</v>
      </c>
      <c r="D1560" s="15" t="s">
        <v>729</v>
      </c>
      <c r="E1560" s="15" t="s">
        <v>235</v>
      </c>
    </row>
    <row r="1561" ht="15.95" spans="2:2">
      <c r="B1561" s="122" t="s">
        <v>2789</v>
      </c>
    </row>
    <row r="1562" spans="2:5">
      <c r="B1562" s="15" t="s">
        <v>2790</v>
      </c>
      <c r="C1562" s="15" t="s">
        <v>2791</v>
      </c>
      <c r="D1562" s="15" t="s">
        <v>770</v>
      </c>
      <c r="E1562" s="15" t="s">
        <v>2792</v>
      </c>
    </row>
    <row r="1563" spans="2:5">
      <c r="B1563" s="15" t="s">
        <v>2790</v>
      </c>
      <c r="C1563" s="15" t="s">
        <v>2791</v>
      </c>
      <c r="D1563" s="15" t="s">
        <v>772</v>
      </c>
      <c r="E1563" s="15" t="s">
        <v>2793</v>
      </c>
    </row>
    <row r="1564" ht="15.95" spans="2:2">
      <c r="B1564" s="122" t="s">
        <v>2794</v>
      </c>
    </row>
    <row r="1565" spans="2:5">
      <c r="B1565" s="15" t="s">
        <v>2795</v>
      </c>
      <c r="C1565" s="15" t="s">
        <v>2796</v>
      </c>
      <c r="D1565" s="15" t="s">
        <v>770</v>
      </c>
      <c r="E1565" s="15" t="s">
        <v>2797</v>
      </c>
    </row>
    <row r="1566" spans="2:5">
      <c r="B1566" s="15" t="s">
        <v>2795</v>
      </c>
      <c r="C1566" s="15" t="s">
        <v>2796</v>
      </c>
      <c r="D1566" s="15" t="s">
        <v>772</v>
      </c>
      <c r="E1566" s="15" t="s">
        <v>2798</v>
      </c>
    </row>
    <row r="1567" spans="2:5">
      <c r="B1567" s="15" t="s">
        <v>2795</v>
      </c>
      <c r="C1567" s="15" t="s">
        <v>2796</v>
      </c>
      <c r="D1567" s="15" t="s">
        <v>2799</v>
      </c>
      <c r="E1567" s="15" t="s">
        <v>2800</v>
      </c>
    </row>
    <row r="1568" spans="2:5">
      <c r="B1568" s="15" t="s">
        <v>2795</v>
      </c>
      <c r="C1568" s="15" t="s">
        <v>2796</v>
      </c>
      <c r="D1568" s="15" t="s">
        <v>2801</v>
      </c>
      <c r="E1568" s="15" t="s">
        <v>2802</v>
      </c>
    </row>
    <row r="1569" spans="2:5">
      <c r="B1569" s="15" t="s">
        <v>2795</v>
      </c>
      <c r="C1569" s="15" t="s">
        <v>2796</v>
      </c>
      <c r="D1569" s="15" t="s">
        <v>2803</v>
      </c>
      <c r="E1569" s="15" t="s">
        <v>2804</v>
      </c>
    </row>
    <row r="1570" ht="15.95" spans="2:2">
      <c r="B1570" s="122" t="s">
        <v>2805</v>
      </c>
    </row>
    <row r="1571" spans="2:5">
      <c r="B1571" s="15" t="s">
        <v>2806</v>
      </c>
      <c r="C1571" s="15" t="s">
        <v>2807</v>
      </c>
      <c r="D1571" s="15" t="s">
        <v>1057</v>
      </c>
      <c r="E1571" s="15" t="s">
        <v>2808</v>
      </c>
    </row>
    <row r="1572" spans="2:5">
      <c r="B1572" s="15" t="s">
        <v>2806</v>
      </c>
      <c r="C1572" s="15" t="s">
        <v>2807</v>
      </c>
      <c r="D1572" s="15" t="s">
        <v>770</v>
      </c>
      <c r="E1572" s="15" t="s">
        <v>1843</v>
      </c>
    </row>
    <row r="1573" spans="2:5">
      <c r="B1573" s="15" t="s">
        <v>2806</v>
      </c>
      <c r="C1573" s="15" t="s">
        <v>2807</v>
      </c>
      <c r="D1573" s="15" t="s">
        <v>772</v>
      </c>
      <c r="E1573" s="15" t="s">
        <v>2809</v>
      </c>
    </row>
    <row r="1574" spans="2:5">
      <c r="B1574" s="15" t="s">
        <v>2806</v>
      </c>
      <c r="C1574" s="15" t="s">
        <v>2807</v>
      </c>
      <c r="D1574" s="15" t="s">
        <v>774</v>
      </c>
      <c r="E1574" s="15" t="s">
        <v>2810</v>
      </c>
    </row>
    <row r="1575" spans="2:5">
      <c r="B1575" s="15" t="s">
        <v>2806</v>
      </c>
      <c r="C1575" s="15" t="s">
        <v>2807</v>
      </c>
      <c r="D1575" s="15" t="s">
        <v>828</v>
      </c>
      <c r="E1575" s="15" t="s">
        <v>2811</v>
      </c>
    </row>
    <row r="1576" spans="2:5">
      <c r="B1576" s="15" t="s">
        <v>2806</v>
      </c>
      <c r="C1576" s="15" t="s">
        <v>2807</v>
      </c>
      <c r="D1576" s="15" t="s">
        <v>901</v>
      </c>
      <c r="E1576" s="15" t="s">
        <v>2812</v>
      </c>
    </row>
    <row r="1577" ht="15.95" spans="2:2">
      <c r="B1577" s="122" t="s">
        <v>2813</v>
      </c>
    </row>
    <row r="1578" spans="2:5">
      <c r="B1578" s="15" t="s">
        <v>2814</v>
      </c>
      <c r="C1578" s="15" t="s">
        <v>2815</v>
      </c>
      <c r="D1578" s="15" t="s">
        <v>770</v>
      </c>
      <c r="E1578" s="15" t="s">
        <v>2816</v>
      </c>
    </row>
    <row r="1579" spans="2:5">
      <c r="B1579" s="15" t="s">
        <v>2814</v>
      </c>
      <c r="C1579" s="15" t="s">
        <v>2815</v>
      </c>
      <c r="D1579" s="15" t="s">
        <v>772</v>
      </c>
      <c r="E1579" s="15" t="s">
        <v>2817</v>
      </c>
    </row>
    <row r="1580" spans="2:5">
      <c r="B1580" s="15" t="s">
        <v>2814</v>
      </c>
      <c r="C1580" s="15" t="s">
        <v>2815</v>
      </c>
      <c r="D1580" s="15" t="s">
        <v>774</v>
      </c>
      <c r="E1580" s="15" t="s">
        <v>2818</v>
      </c>
    </row>
    <row r="1581" ht="15.95" spans="2:2">
      <c r="B1581" s="122" t="s">
        <v>2819</v>
      </c>
    </row>
    <row r="1582" spans="2:5">
      <c r="B1582" s="15" t="s">
        <v>2820</v>
      </c>
      <c r="C1582" s="15" t="s">
        <v>2820</v>
      </c>
      <c r="D1582" s="15" t="s">
        <v>770</v>
      </c>
      <c r="E1582" s="15" t="s">
        <v>2821</v>
      </c>
    </row>
    <row r="1583" spans="2:5">
      <c r="B1583" s="15" t="s">
        <v>2820</v>
      </c>
      <c r="C1583" s="15" t="s">
        <v>2820</v>
      </c>
      <c r="D1583" s="15" t="s">
        <v>772</v>
      </c>
      <c r="E1583" s="15" t="s">
        <v>2822</v>
      </c>
    </row>
    <row r="1584" ht="15.95" spans="2:2">
      <c r="B1584" s="122" t="s">
        <v>2823</v>
      </c>
    </row>
    <row r="1585" spans="2:5">
      <c r="B1585" s="15" t="s">
        <v>2824</v>
      </c>
      <c r="C1585" s="15" t="s">
        <v>2825</v>
      </c>
      <c r="D1585" s="15" t="s">
        <v>723</v>
      </c>
      <c r="E1585" s="15" t="s">
        <v>2826</v>
      </c>
    </row>
    <row r="1586" spans="2:5">
      <c r="B1586" s="15" t="s">
        <v>2824</v>
      </c>
      <c r="C1586" s="15" t="s">
        <v>2825</v>
      </c>
      <c r="D1586" s="15" t="s">
        <v>725</v>
      </c>
      <c r="E1586" s="15" t="s">
        <v>2827</v>
      </c>
    </row>
    <row r="1587" spans="2:5">
      <c r="B1587" s="15" t="s">
        <v>2824</v>
      </c>
      <c r="C1587" s="15" t="s">
        <v>2825</v>
      </c>
      <c r="D1587" s="15" t="s">
        <v>727</v>
      </c>
      <c r="E1587" s="15" t="s">
        <v>1483</v>
      </c>
    </row>
    <row r="1588" spans="2:5">
      <c r="B1588" s="15" t="s">
        <v>2824</v>
      </c>
      <c r="C1588" s="15" t="s">
        <v>2825</v>
      </c>
      <c r="D1588" s="15" t="s">
        <v>729</v>
      </c>
      <c r="E1588" s="15" t="s">
        <v>2828</v>
      </c>
    </row>
    <row r="1589" ht="15.95" spans="2:2">
      <c r="B1589" s="122" t="s">
        <v>2829</v>
      </c>
    </row>
    <row r="1590" spans="2:5">
      <c r="B1590" s="15" t="s">
        <v>2830</v>
      </c>
      <c r="C1590" s="15" t="s">
        <v>2830</v>
      </c>
      <c r="D1590" s="15" t="s">
        <v>723</v>
      </c>
      <c r="E1590" s="15" t="s">
        <v>2831</v>
      </c>
    </row>
    <row r="1591" spans="2:5">
      <c r="B1591" s="15" t="s">
        <v>2830</v>
      </c>
      <c r="C1591" s="15" t="s">
        <v>2830</v>
      </c>
      <c r="D1591" s="15" t="s">
        <v>725</v>
      </c>
      <c r="E1591" s="15" t="s">
        <v>1203</v>
      </c>
    </row>
    <row r="1592" spans="2:5">
      <c r="B1592" s="15" t="s">
        <v>2830</v>
      </c>
      <c r="C1592" s="15" t="s">
        <v>2830</v>
      </c>
      <c r="D1592" s="15" t="s">
        <v>727</v>
      </c>
      <c r="E1592" s="15" t="s">
        <v>2832</v>
      </c>
    </row>
    <row r="1593" ht="15.95" spans="2:2">
      <c r="B1593" s="122" t="s">
        <v>2833</v>
      </c>
    </row>
    <row r="1594" spans="2:5">
      <c r="B1594" s="15" t="s">
        <v>2834</v>
      </c>
      <c r="C1594" s="15" t="s">
        <v>2835</v>
      </c>
      <c r="D1594" s="15" t="s">
        <v>785</v>
      </c>
      <c r="E1594" s="15" t="s">
        <v>2836</v>
      </c>
    </row>
    <row r="1595" spans="2:5">
      <c r="B1595" s="15" t="s">
        <v>2834</v>
      </c>
      <c r="C1595" s="15" t="s">
        <v>2835</v>
      </c>
      <c r="D1595" s="15" t="s">
        <v>2837</v>
      </c>
      <c r="E1595" s="15" t="s">
        <v>2838</v>
      </c>
    </row>
    <row r="1596" spans="2:5">
      <c r="B1596" s="15" t="s">
        <v>2834</v>
      </c>
      <c r="C1596" s="15" t="s">
        <v>2835</v>
      </c>
      <c r="D1596" s="15" t="s">
        <v>2839</v>
      </c>
      <c r="E1596" s="15" t="s">
        <v>2840</v>
      </c>
    </row>
    <row r="1597" spans="2:5">
      <c r="B1597" s="15" t="s">
        <v>2834</v>
      </c>
      <c r="C1597" s="15" t="s">
        <v>2835</v>
      </c>
      <c r="D1597" s="15" t="s">
        <v>2841</v>
      </c>
      <c r="E1597" s="15" t="s">
        <v>2842</v>
      </c>
    </row>
    <row r="1598" spans="2:5">
      <c r="B1598" s="15" t="s">
        <v>2834</v>
      </c>
      <c r="C1598" s="15" t="s">
        <v>2835</v>
      </c>
      <c r="D1598" s="15" t="s">
        <v>2843</v>
      </c>
      <c r="E1598" s="15" t="s">
        <v>2844</v>
      </c>
    </row>
    <row r="1599" spans="2:5">
      <c r="B1599" s="15" t="s">
        <v>2834</v>
      </c>
      <c r="C1599" s="15" t="s">
        <v>2835</v>
      </c>
      <c r="D1599" s="15" t="s">
        <v>2845</v>
      </c>
      <c r="E1599" s="15" t="s">
        <v>2846</v>
      </c>
    </row>
    <row r="1600" spans="2:5">
      <c r="B1600" s="15" t="s">
        <v>2834</v>
      </c>
      <c r="C1600" s="15" t="s">
        <v>2835</v>
      </c>
      <c r="D1600" s="15" t="s">
        <v>2847</v>
      </c>
      <c r="E1600" s="15" t="s">
        <v>2848</v>
      </c>
    </row>
    <row r="1601" spans="2:5">
      <c r="B1601" s="15" t="s">
        <v>2834</v>
      </c>
      <c r="C1601" s="15" t="s">
        <v>2835</v>
      </c>
      <c r="D1601" s="15" t="s">
        <v>2849</v>
      </c>
      <c r="E1601" s="15" t="s">
        <v>2850</v>
      </c>
    </row>
    <row r="1602" spans="2:5">
      <c r="B1602" s="15" t="s">
        <v>2834</v>
      </c>
      <c r="C1602" s="15" t="s">
        <v>2835</v>
      </c>
      <c r="D1602" s="15" t="s">
        <v>2851</v>
      </c>
      <c r="E1602" s="15" t="s">
        <v>2852</v>
      </c>
    </row>
    <row r="1603" spans="2:5">
      <c r="B1603" s="15" t="s">
        <v>2834</v>
      </c>
      <c r="C1603" s="15" t="s">
        <v>2835</v>
      </c>
      <c r="D1603" s="15" t="s">
        <v>2853</v>
      </c>
      <c r="E1603" s="15" t="s">
        <v>2854</v>
      </c>
    </row>
    <row r="1604" spans="2:5">
      <c r="B1604" s="15" t="s">
        <v>2834</v>
      </c>
      <c r="C1604" s="15" t="s">
        <v>2835</v>
      </c>
      <c r="D1604" s="15" t="s">
        <v>2855</v>
      </c>
      <c r="E1604" s="15" t="s">
        <v>2856</v>
      </c>
    </row>
    <row r="1605" spans="2:5">
      <c r="B1605" s="15" t="s">
        <v>2834</v>
      </c>
      <c r="C1605" s="15" t="s">
        <v>2835</v>
      </c>
      <c r="D1605" s="15" t="s">
        <v>2857</v>
      </c>
      <c r="E1605" s="15" t="s">
        <v>2858</v>
      </c>
    </row>
    <row r="1606" spans="2:5">
      <c r="B1606" s="15" t="s">
        <v>2834</v>
      </c>
      <c r="C1606" s="15" t="s">
        <v>2835</v>
      </c>
      <c r="D1606" s="15" t="s">
        <v>2859</v>
      </c>
      <c r="E1606" s="15" t="s">
        <v>2860</v>
      </c>
    </row>
    <row r="1607" spans="2:5">
      <c r="B1607" s="15" t="s">
        <v>2834</v>
      </c>
      <c r="C1607" s="15" t="s">
        <v>2835</v>
      </c>
      <c r="D1607" s="15" t="s">
        <v>2861</v>
      </c>
      <c r="E1607" s="15" t="s">
        <v>2862</v>
      </c>
    </row>
    <row r="1608" spans="2:5">
      <c r="B1608" s="15" t="s">
        <v>2834</v>
      </c>
      <c r="C1608" s="15" t="s">
        <v>2835</v>
      </c>
      <c r="D1608" s="15" t="s">
        <v>2863</v>
      </c>
      <c r="E1608" s="15" t="s">
        <v>2864</v>
      </c>
    </row>
    <row r="1609" spans="2:5">
      <c r="B1609" s="15" t="s">
        <v>2834</v>
      </c>
      <c r="C1609" s="15" t="s">
        <v>2835</v>
      </c>
      <c r="D1609" s="15" t="s">
        <v>2865</v>
      </c>
      <c r="E1609" s="15" t="s">
        <v>2866</v>
      </c>
    </row>
    <row r="1610" spans="2:5">
      <c r="B1610" s="15" t="s">
        <v>2834</v>
      </c>
      <c r="C1610" s="15" t="s">
        <v>2835</v>
      </c>
      <c r="D1610" s="15" t="s">
        <v>2867</v>
      </c>
      <c r="E1610" s="15" t="s">
        <v>2854</v>
      </c>
    </row>
    <row r="1611" spans="2:5">
      <c r="B1611" s="15" t="s">
        <v>2834</v>
      </c>
      <c r="C1611" s="15" t="s">
        <v>2835</v>
      </c>
      <c r="D1611" s="15" t="s">
        <v>2868</v>
      </c>
      <c r="E1611" s="15" t="s">
        <v>2869</v>
      </c>
    </row>
    <row r="1612" spans="2:5">
      <c r="B1612" s="15" t="s">
        <v>2834</v>
      </c>
      <c r="C1612" s="15" t="s">
        <v>2835</v>
      </c>
      <c r="D1612" s="15" t="s">
        <v>2870</v>
      </c>
      <c r="E1612" s="15" t="s">
        <v>2871</v>
      </c>
    </row>
    <row r="1613" spans="2:5">
      <c r="B1613" s="15" t="s">
        <v>2834</v>
      </c>
      <c r="C1613" s="15" t="s">
        <v>2835</v>
      </c>
      <c r="D1613" s="15" t="s">
        <v>2872</v>
      </c>
      <c r="E1613" s="15" t="s">
        <v>2873</v>
      </c>
    </row>
    <row r="1614" spans="2:5">
      <c r="B1614" s="15" t="s">
        <v>2834</v>
      </c>
      <c r="C1614" s="15" t="s">
        <v>2835</v>
      </c>
      <c r="D1614" s="15" t="s">
        <v>2874</v>
      </c>
      <c r="E1614" s="15" t="s">
        <v>2856</v>
      </c>
    </row>
    <row r="1615" spans="2:5">
      <c r="B1615" s="15" t="s">
        <v>2834</v>
      </c>
      <c r="C1615" s="15" t="s">
        <v>2835</v>
      </c>
      <c r="D1615" s="15" t="s">
        <v>2875</v>
      </c>
      <c r="E1615" s="15" t="s">
        <v>2876</v>
      </c>
    </row>
    <row r="1616" spans="2:5">
      <c r="B1616" s="15" t="s">
        <v>2834</v>
      </c>
      <c r="C1616" s="15" t="s">
        <v>2835</v>
      </c>
      <c r="D1616" s="15" t="s">
        <v>2877</v>
      </c>
      <c r="E1616" s="15" t="s">
        <v>2878</v>
      </c>
    </row>
    <row r="1617" spans="2:5">
      <c r="B1617" s="15" t="s">
        <v>2834</v>
      </c>
      <c r="C1617" s="15" t="s">
        <v>2835</v>
      </c>
      <c r="D1617" s="15" t="s">
        <v>2879</v>
      </c>
      <c r="E1617" s="15" t="s">
        <v>2880</v>
      </c>
    </row>
    <row r="1618" spans="2:5">
      <c r="B1618" s="15" t="s">
        <v>2834</v>
      </c>
      <c r="C1618" s="15" t="s">
        <v>2835</v>
      </c>
      <c r="D1618" s="15" t="s">
        <v>2881</v>
      </c>
      <c r="E1618" s="15" t="s">
        <v>2882</v>
      </c>
    </row>
    <row r="1619" spans="2:5">
      <c r="B1619" s="15" t="s">
        <v>2834</v>
      </c>
      <c r="C1619" s="15" t="s">
        <v>2835</v>
      </c>
      <c r="D1619" s="15" t="s">
        <v>2883</v>
      </c>
      <c r="E1619" s="15" t="s">
        <v>2884</v>
      </c>
    </row>
    <row r="1620" spans="2:5">
      <c r="B1620" s="15" t="s">
        <v>2834</v>
      </c>
      <c r="C1620" s="15" t="s">
        <v>2835</v>
      </c>
      <c r="D1620" s="15" t="s">
        <v>2885</v>
      </c>
      <c r="E1620" s="15" t="s">
        <v>2886</v>
      </c>
    </row>
    <row r="1621" spans="2:5">
      <c r="B1621" s="15" t="s">
        <v>2834</v>
      </c>
      <c r="C1621" s="15" t="s">
        <v>2835</v>
      </c>
      <c r="D1621" s="15" t="s">
        <v>2887</v>
      </c>
      <c r="E1621" s="15" t="s">
        <v>2888</v>
      </c>
    </row>
    <row r="1622" spans="2:5">
      <c r="B1622" s="15" t="s">
        <v>2834</v>
      </c>
      <c r="C1622" s="15" t="s">
        <v>2835</v>
      </c>
      <c r="D1622" s="15" t="s">
        <v>2889</v>
      </c>
      <c r="E1622" s="15" t="s">
        <v>2890</v>
      </c>
    </row>
    <row r="1623" spans="2:5">
      <c r="B1623" s="15" t="s">
        <v>2834</v>
      </c>
      <c r="C1623" s="15" t="s">
        <v>2835</v>
      </c>
      <c r="D1623" s="15" t="s">
        <v>2891</v>
      </c>
      <c r="E1623" s="15" t="s">
        <v>2892</v>
      </c>
    </row>
    <row r="1624" spans="2:5">
      <c r="B1624" s="15" t="s">
        <v>2834</v>
      </c>
      <c r="C1624" s="15" t="s">
        <v>2835</v>
      </c>
      <c r="D1624" s="15" t="s">
        <v>2893</v>
      </c>
      <c r="E1624" s="15" t="s">
        <v>2894</v>
      </c>
    </row>
    <row r="1625" spans="2:5">
      <c r="B1625" s="15" t="s">
        <v>2834</v>
      </c>
      <c r="C1625" s="15" t="s">
        <v>2835</v>
      </c>
      <c r="D1625" s="15" t="s">
        <v>2895</v>
      </c>
      <c r="E1625" s="15" t="s">
        <v>2896</v>
      </c>
    </row>
    <row r="1626" spans="2:5">
      <c r="B1626" s="15" t="s">
        <v>2834</v>
      </c>
      <c r="C1626" s="15" t="s">
        <v>2835</v>
      </c>
      <c r="D1626" s="15" t="s">
        <v>2897</v>
      </c>
      <c r="E1626" s="15" t="s">
        <v>2898</v>
      </c>
    </row>
    <row r="1627" spans="2:5">
      <c r="B1627" s="15" t="s">
        <v>2834</v>
      </c>
      <c r="C1627" s="15" t="s">
        <v>2835</v>
      </c>
      <c r="D1627" s="15" t="s">
        <v>2899</v>
      </c>
      <c r="E1627" s="15" t="s">
        <v>2900</v>
      </c>
    </row>
    <row r="1628" spans="2:5">
      <c r="B1628" s="15" t="s">
        <v>2834</v>
      </c>
      <c r="C1628" s="15" t="s">
        <v>2835</v>
      </c>
      <c r="D1628" s="15" t="s">
        <v>2901</v>
      </c>
      <c r="E1628" s="15" t="s">
        <v>2902</v>
      </c>
    </row>
    <row r="1629" spans="2:5">
      <c r="B1629" s="15" t="s">
        <v>2834</v>
      </c>
      <c r="C1629" s="15" t="s">
        <v>2835</v>
      </c>
      <c r="D1629" s="15" t="s">
        <v>2903</v>
      </c>
      <c r="E1629" s="15" t="s">
        <v>2904</v>
      </c>
    </row>
    <row r="1630" spans="2:5">
      <c r="B1630" s="15" t="s">
        <v>2834</v>
      </c>
      <c r="C1630" s="15" t="s">
        <v>2835</v>
      </c>
      <c r="D1630" s="15" t="s">
        <v>2905</v>
      </c>
      <c r="E1630" s="15" t="s">
        <v>2906</v>
      </c>
    </row>
    <row r="1631" spans="2:5">
      <c r="B1631" s="15" t="s">
        <v>2834</v>
      </c>
      <c r="C1631" s="15" t="s">
        <v>2835</v>
      </c>
      <c r="D1631" s="15" t="s">
        <v>787</v>
      </c>
      <c r="E1631" s="15" t="s">
        <v>2907</v>
      </c>
    </row>
    <row r="1632" spans="2:5">
      <c r="B1632" s="15" t="s">
        <v>2834</v>
      </c>
      <c r="C1632" s="15" t="s">
        <v>2835</v>
      </c>
      <c r="D1632" s="15" t="s">
        <v>2908</v>
      </c>
      <c r="E1632" s="15" t="s">
        <v>2909</v>
      </c>
    </row>
    <row r="1633" spans="2:5">
      <c r="B1633" s="15" t="s">
        <v>2834</v>
      </c>
      <c r="C1633" s="15" t="s">
        <v>2835</v>
      </c>
      <c r="D1633" s="15" t="s">
        <v>2910</v>
      </c>
      <c r="E1633" s="15" t="s">
        <v>2911</v>
      </c>
    </row>
    <row r="1634" spans="2:5">
      <c r="B1634" s="15" t="s">
        <v>2834</v>
      </c>
      <c r="C1634" s="15" t="s">
        <v>2835</v>
      </c>
      <c r="D1634" s="15" t="s">
        <v>2912</v>
      </c>
      <c r="E1634" s="15" t="s">
        <v>2913</v>
      </c>
    </row>
    <row r="1635" spans="2:5">
      <c r="B1635" s="15" t="s">
        <v>2834</v>
      </c>
      <c r="C1635" s="15" t="s">
        <v>2835</v>
      </c>
      <c r="D1635" s="15" t="s">
        <v>2914</v>
      </c>
      <c r="E1635" s="15" t="s">
        <v>2915</v>
      </c>
    </row>
    <row r="1636" spans="2:5">
      <c r="B1636" s="15" t="s">
        <v>2834</v>
      </c>
      <c r="C1636" s="15" t="s">
        <v>2835</v>
      </c>
      <c r="D1636" s="15" t="s">
        <v>2916</v>
      </c>
      <c r="E1636" s="15" t="s">
        <v>2917</v>
      </c>
    </row>
    <row r="1637" spans="2:5">
      <c r="B1637" s="15" t="s">
        <v>2834</v>
      </c>
      <c r="C1637" s="15" t="s">
        <v>2835</v>
      </c>
      <c r="D1637" s="15" t="s">
        <v>2918</v>
      </c>
      <c r="E1637" s="15" t="s">
        <v>2919</v>
      </c>
    </row>
    <row r="1638" spans="2:5">
      <c r="B1638" s="15" t="s">
        <v>2834</v>
      </c>
      <c r="C1638" s="15" t="s">
        <v>2835</v>
      </c>
      <c r="D1638" s="15" t="s">
        <v>2920</v>
      </c>
      <c r="E1638" s="15" t="s">
        <v>2921</v>
      </c>
    </row>
    <row r="1639" spans="2:5">
      <c r="B1639" s="15" t="s">
        <v>2834</v>
      </c>
      <c r="C1639" s="15" t="s">
        <v>2835</v>
      </c>
      <c r="D1639" s="15" t="s">
        <v>2922</v>
      </c>
      <c r="E1639" s="15" t="s">
        <v>2923</v>
      </c>
    </row>
    <row r="1640" spans="2:5">
      <c r="B1640" s="15" t="s">
        <v>2834</v>
      </c>
      <c r="C1640" s="15" t="s">
        <v>2835</v>
      </c>
      <c r="D1640" s="15" t="s">
        <v>2924</v>
      </c>
      <c r="E1640" s="15" t="s">
        <v>2925</v>
      </c>
    </row>
    <row r="1641" spans="2:5">
      <c r="B1641" s="15" t="s">
        <v>2834</v>
      </c>
      <c r="C1641" s="15" t="s">
        <v>2835</v>
      </c>
      <c r="D1641" s="15" t="s">
        <v>789</v>
      </c>
      <c r="E1641" s="15" t="s">
        <v>2926</v>
      </c>
    </row>
    <row r="1642" spans="2:5">
      <c r="B1642" s="15" t="s">
        <v>2834</v>
      </c>
      <c r="C1642" s="15" t="s">
        <v>2835</v>
      </c>
      <c r="D1642" s="15" t="s">
        <v>2927</v>
      </c>
      <c r="E1642" s="15" t="s">
        <v>2928</v>
      </c>
    </row>
    <row r="1643" ht="15.95" spans="2:2">
      <c r="B1643" s="122" t="s">
        <v>2929</v>
      </c>
    </row>
    <row r="1644" spans="2:5">
      <c r="B1644" s="15" t="s">
        <v>2930</v>
      </c>
      <c r="C1644" s="15" t="s">
        <v>2481</v>
      </c>
      <c r="D1644" s="15" t="s">
        <v>770</v>
      </c>
      <c r="E1644" s="15" t="s">
        <v>2931</v>
      </c>
    </row>
    <row r="1645" spans="2:5">
      <c r="B1645" s="15" t="s">
        <v>2930</v>
      </c>
      <c r="C1645" s="15" t="s">
        <v>2481</v>
      </c>
      <c r="D1645" s="15" t="s">
        <v>772</v>
      </c>
      <c r="E1645" s="15" t="s">
        <v>2932</v>
      </c>
    </row>
    <row r="1646" spans="2:5">
      <c r="B1646" s="15" t="s">
        <v>2930</v>
      </c>
      <c r="C1646" s="15" t="s">
        <v>2481</v>
      </c>
      <c r="D1646" s="15" t="s">
        <v>774</v>
      </c>
      <c r="E1646" s="15" t="s">
        <v>2933</v>
      </c>
    </row>
    <row r="1647" spans="2:5">
      <c r="B1647" s="15" t="s">
        <v>2930</v>
      </c>
      <c r="C1647" s="15" t="s">
        <v>2481</v>
      </c>
      <c r="D1647" s="15" t="s">
        <v>828</v>
      </c>
      <c r="E1647" s="15" t="s">
        <v>2934</v>
      </c>
    </row>
    <row r="1648" spans="2:5">
      <c r="B1648" s="15" t="s">
        <v>2930</v>
      </c>
      <c r="C1648" s="15" t="s">
        <v>2481</v>
      </c>
      <c r="D1648" s="15" t="s">
        <v>901</v>
      </c>
      <c r="E1648" s="15" t="s">
        <v>2935</v>
      </c>
    </row>
    <row r="1649" ht="15.95" spans="2:2">
      <c r="B1649" s="122" t="s">
        <v>2936</v>
      </c>
    </row>
    <row r="1650" spans="2:5">
      <c r="B1650" s="15" t="s">
        <v>2937</v>
      </c>
      <c r="C1650" s="15" t="s">
        <v>2938</v>
      </c>
      <c r="D1650" s="15" t="s">
        <v>1267</v>
      </c>
      <c r="E1650" s="15" t="s">
        <v>1355</v>
      </c>
    </row>
    <row r="1651" spans="2:5">
      <c r="B1651" s="15" t="s">
        <v>2937</v>
      </c>
      <c r="C1651" s="15" t="s">
        <v>2938</v>
      </c>
      <c r="D1651" s="15" t="s">
        <v>1269</v>
      </c>
      <c r="E1651" s="15" t="s">
        <v>1356</v>
      </c>
    </row>
    <row r="1652" spans="2:5">
      <c r="B1652" s="15" t="s">
        <v>2937</v>
      </c>
      <c r="C1652" s="15" t="s">
        <v>2938</v>
      </c>
      <c r="D1652" s="15" t="s">
        <v>1919</v>
      </c>
      <c r="E1652" s="15" t="s">
        <v>1920</v>
      </c>
    </row>
    <row r="1653" ht="15.95" spans="2:2">
      <c r="B1653" s="122" t="s">
        <v>2939</v>
      </c>
    </row>
    <row r="1654" spans="2:5">
      <c r="B1654" s="15" t="s">
        <v>2940</v>
      </c>
      <c r="C1654" s="15" t="s">
        <v>2941</v>
      </c>
      <c r="D1654" s="15" t="s">
        <v>785</v>
      </c>
      <c r="E1654" s="15" t="s">
        <v>1814</v>
      </c>
    </row>
    <row r="1655" spans="2:5">
      <c r="B1655" s="15" t="s">
        <v>2940</v>
      </c>
      <c r="C1655" s="15" t="s">
        <v>2941</v>
      </c>
      <c r="D1655" s="15" t="s">
        <v>787</v>
      </c>
      <c r="E1655" s="15" t="s">
        <v>2942</v>
      </c>
    </row>
    <row r="1656" ht="15.95" spans="2:2">
      <c r="B1656" s="122" t="s">
        <v>2943</v>
      </c>
    </row>
    <row r="1657" spans="2:5">
      <c r="B1657" s="15" t="s">
        <v>2944</v>
      </c>
      <c r="C1657" s="15" t="s">
        <v>2945</v>
      </c>
      <c r="D1657" s="15" t="s">
        <v>770</v>
      </c>
      <c r="E1657" s="15" t="s">
        <v>1504</v>
      </c>
    </row>
    <row r="1658" spans="2:5">
      <c r="B1658" s="15" t="s">
        <v>2944</v>
      </c>
      <c r="C1658" s="15" t="s">
        <v>2945</v>
      </c>
      <c r="D1658" s="15" t="s">
        <v>772</v>
      </c>
      <c r="E1658" s="15" t="s">
        <v>2946</v>
      </c>
    </row>
    <row r="1659" ht="15.95" spans="2:2">
      <c r="B1659" s="122" t="s">
        <v>2947</v>
      </c>
    </row>
    <row r="1660" spans="2:5">
      <c r="B1660" s="15" t="s">
        <v>2948</v>
      </c>
      <c r="C1660" s="15" t="s">
        <v>2949</v>
      </c>
      <c r="D1660" s="15" t="s">
        <v>917</v>
      </c>
      <c r="E1660" s="15" t="s">
        <v>953</v>
      </c>
    </row>
    <row r="1661" spans="2:5">
      <c r="B1661" s="15" t="s">
        <v>2948</v>
      </c>
      <c r="C1661" s="15" t="s">
        <v>2949</v>
      </c>
      <c r="D1661" s="15" t="s">
        <v>919</v>
      </c>
      <c r="E1661" s="15" t="s">
        <v>954</v>
      </c>
    </row>
    <row r="1662" spans="2:5">
      <c r="B1662" s="15" t="s">
        <v>2948</v>
      </c>
      <c r="C1662" s="15" t="s">
        <v>2949</v>
      </c>
      <c r="D1662" s="15" t="s">
        <v>955</v>
      </c>
      <c r="E1662" s="15" t="s">
        <v>956</v>
      </c>
    </row>
    <row r="1663" ht="15.95" spans="2:2">
      <c r="B1663" s="122" t="s">
        <v>2950</v>
      </c>
    </row>
    <row r="1664" spans="2:5">
      <c r="B1664" s="15" t="s">
        <v>2951</v>
      </c>
      <c r="C1664" s="15" t="s">
        <v>2952</v>
      </c>
      <c r="D1664" s="15" t="s">
        <v>917</v>
      </c>
      <c r="E1664" s="15" t="s">
        <v>953</v>
      </c>
    </row>
    <row r="1665" spans="2:5">
      <c r="B1665" s="15" t="s">
        <v>2951</v>
      </c>
      <c r="C1665" s="15" t="s">
        <v>2952</v>
      </c>
      <c r="D1665" s="15" t="s">
        <v>919</v>
      </c>
      <c r="E1665" s="15" t="s">
        <v>954</v>
      </c>
    </row>
    <row r="1666" spans="2:5">
      <c r="B1666" s="15" t="s">
        <v>2951</v>
      </c>
      <c r="C1666" s="15" t="s">
        <v>2952</v>
      </c>
      <c r="D1666" s="15" t="s">
        <v>955</v>
      </c>
      <c r="E1666" s="15" t="s">
        <v>956</v>
      </c>
    </row>
    <row r="1667" ht="15.95" spans="2:2">
      <c r="B1667" s="122" t="s">
        <v>2953</v>
      </c>
    </row>
    <row r="1668" spans="2:5">
      <c r="B1668" s="15" t="s">
        <v>2954</v>
      </c>
      <c r="C1668" s="15" t="s">
        <v>2955</v>
      </c>
      <c r="D1668" s="15" t="s">
        <v>770</v>
      </c>
      <c r="E1668" s="15" t="s">
        <v>2956</v>
      </c>
    </row>
    <row r="1669" spans="2:5">
      <c r="B1669" s="15" t="s">
        <v>2954</v>
      </c>
      <c r="C1669" s="15" t="s">
        <v>2955</v>
      </c>
      <c r="D1669" s="15" t="s">
        <v>772</v>
      </c>
      <c r="E1669" s="15" t="s">
        <v>2957</v>
      </c>
    </row>
    <row r="1670" ht="15.95" spans="2:2">
      <c r="B1670" s="122" t="s">
        <v>2958</v>
      </c>
    </row>
    <row r="1671" spans="2:5">
      <c r="B1671" s="15" t="s">
        <v>2959</v>
      </c>
      <c r="C1671" s="15" t="s">
        <v>2960</v>
      </c>
      <c r="D1671" s="15" t="s">
        <v>785</v>
      </c>
      <c r="E1671" s="15" t="s">
        <v>2961</v>
      </c>
    </row>
    <row r="1672" spans="2:5">
      <c r="B1672" s="15" t="s">
        <v>2959</v>
      </c>
      <c r="C1672" s="15" t="s">
        <v>2960</v>
      </c>
      <c r="D1672" s="15" t="s">
        <v>787</v>
      </c>
      <c r="E1672" s="15" t="s">
        <v>2962</v>
      </c>
    </row>
    <row r="1673" spans="2:5">
      <c r="B1673" s="15" t="s">
        <v>2959</v>
      </c>
      <c r="C1673" s="15" t="s">
        <v>2960</v>
      </c>
      <c r="D1673" s="15" t="s">
        <v>789</v>
      </c>
      <c r="E1673" s="15" t="s">
        <v>2963</v>
      </c>
    </row>
    <row r="1674" spans="2:5">
      <c r="B1674" s="15" t="s">
        <v>2959</v>
      </c>
      <c r="C1674" s="15" t="s">
        <v>2960</v>
      </c>
      <c r="D1674" s="15" t="s">
        <v>791</v>
      </c>
      <c r="E1674" s="15" t="s">
        <v>2964</v>
      </c>
    </row>
    <row r="1675" spans="2:5">
      <c r="B1675" s="15" t="s">
        <v>2959</v>
      </c>
      <c r="C1675" s="15" t="s">
        <v>2960</v>
      </c>
      <c r="D1675" s="15" t="s">
        <v>793</v>
      </c>
      <c r="E1675" s="15" t="s">
        <v>2965</v>
      </c>
    </row>
    <row r="1676" ht="15.95" spans="2:2">
      <c r="B1676" s="122" t="s">
        <v>2966</v>
      </c>
    </row>
    <row r="1677" spans="2:5">
      <c r="B1677" s="15" t="s">
        <v>2967</v>
      </c>
      <c r="C1677" s="15" t="s">
        <v>2967</v>
      </c>
      <c r="D1677" s="15" t="s">
        <v>723</v>
      </c>
      <c r="E1677" s="15" t="s">
        <v>1841</v>
      </c>
    </row>
    <row r="1678" spans="2:5">
      <c r="B1678" s="15" t="s">
        <v>2967</v>
      </c>
      <c r="C1678" s="15" t="s">
        <v>2967</v>
      </c>
      <c r="D1678" s="15" t="s">
        <v>725</v>
      </c>
      <c r="E1678" s="15" t="s">
        <v>1842</v>
      </c>
    </row>
    <row r="1679" spans="2:5">
      <c r="B1679" s="15" t="s">
        <v>2967</v>
      </c>
      <c r="C1679" s="15" t="s">
        <v>2967</v>
      </c>
      <c r="D1679" s="15" t="s">
        <v>727</v>
      </c>
      <c r="E1679" s="15" t="s">
        <v>1843</v>
      </c>
    </row>
    <row r="1680" ht="15.95" spans="2:2">
      <c r="B1680" s="122" t="s">
        <v>2968</v>
      </c>
    </row>
    <row r="1681" spans="2:5">
      <c r="B1681" s="15" t="s">
        <v>2969</v>
      </c>
      <c r="C1681" s="15" t="s">
        <v>2970</v>
      </c>
      <c r="D1681" s="15" t="s">
        <v>770</v>
      </c>
      <c r="E1681" s="15" t="s">
        <v>2971</v>
      </c>
    </row>
    <row r="1682" spans="2:5">
      <c r="B1682" s="15" t="s">
        <v>2969</v>
      </c>
      <c r="C1682" s="15" t="s">
        <v>2970</v>
      </c>
      <c r="D1682" s="15" t="s">
        <v>2972</v>
      </c>
      <c r="E1682" s="15" t="s">
        <v>2973</v>
      </c>
    </row>
    <row r="1683" spans="2:5">
      <c r="B1683" s="15" t="s">
        <v>2969</v>
      </c>
      <c r="C1683" s="15" t="s">
        <v>2970</v>
      </c>
      <c r="D1683" s="15" t="s">
        <v>2974</v>
      </c>
      <c r="E1683" s="15" t="s">
        <v>2975</v>
      </c>
    </row>
    <row r="1684" spans="2:5">
      <c r="B1684" s="15" t="s">
        <v>2969</v>
      </c>
      <c r="C1684" s="15" t="s">
        <v>2970</v>
      </c>
      <c r="D1684" s="15" t="s">
        <v>2976</v>
      </c>
      <c r="E1684" s="15" t="s">
        <v>2977</v>
      </c>
    </row>
    <row r="1685" spans="2:5">
      <c r="B1685" s="15" t="s">
        <v>2969</v>
      </c>
      <c r="C1685" s="15" t="s">
        <v>2970</v>
      </c>
      <c r="D1685" s="15" t="s">
        <v>2978</v>
      </c>
      <c r="E1685" s="15" t="s">
        <v>2979</v>
      </c>
    </row>
    <row r="1686" spans="2:5">
      <c r="B1686" s="15" t="s">
        <v>2969</v>
      </c>
      <c r="C1686" s="15" t="s">
        <v>2970</v>
      </c>
      <c r="D1686" s="15" t="s">
        <v>2980</v>
      </c>
      <c r="E1686" s="15" t="s">
        <v>2975</v>
      </c>
    </row>
    <row r="1687" spans="2:5">
      <c r="B1687" s="15" t="s">
        <v>2969</v>
      </c>
      <c r="C1687" s="15" t="s">
        <v>2970</v>
      </c>
      <c r="D1687" s="15" t="s">
        <v>2981</v>
      </c>
      <c r="E1687" s="15" t="s">
        <v>2977</v>
      </c>
    </row>
    <row r="1688" spans="2:5">
      <c r="B1688" s="15" t="s">
        <v>2969</v>
      </c>
      <c r="C1688" s="15" t="s">
        <v>2970</v>
      </c>
      <c r="D1688" s="15" t="s">
        <v>772</v>
      </c>
      <c r="E1688" s="15" t="s">
        <v>2982</v>
      </c>
    </row>
    <row r="1689" spans="2:5">
      <c r="B1689" s="15" t="s">
        <v>2969</v>
      </c>
      <c r="C1689" s="15" t="s">
        <v>2970</v>
      </c>
      <c r="D1689" s="15" t="s">
        <v>2983</v>
      </c>
      <c r="E1689" s="15" t="s">
        <v>2984</v>
      </c>
    </row>
    <row r="1690" spans="2:5">
      <c r="B1690" s="15" t="s">
        <v>2969</v>
      </c>
      <c r="C1690" s="15" t="s">
        <v>2970</v>
      </c>
      <c r="D1690" s="15" t="s">
        <v>2985</v>
      </c>
      <c r="E1690" s="15" t="s">
        <v>2986</v>
      </c>
    </row>
    <row r="1691" spans="2:5">
      <c r="B1691" s="15" t="s">
        <v>2969</v>
      </c>
      <c r="C1691" s="15" t="s">
        <v>2970</v>
      </c>
      <c r="D1691" s="15" t="s">
        <v>2987</v>
      </c>
      <c r="E1691" s="15" t="s">
        <v>2988</v>
      </c>
    </row>
    <row r="1692" ht="15.95" spans="2:2">
      <c r="B1692" s="122" t="s">
        <v>2989</v>
      </c>
    </row>
    <row r="1693" spans="2:5">
      <c r="B1693" s="15" t="s">
        <v>2990</v>
      </c>
      <c r="C1693" s="15" t="s">
        <v>2991</v>
      </c>
      <c r="D1693" s="15" t="s">
        <v>723</v>
      </c>
      <c r="E1693" s="15" t="s">
        <v>2992</v>
      </c>
    </row>
    <row r="1694" spans="2:5">
      <c r="B1694" s="15" t="s">
        <v>2990</v>
      </c>
      <c r="C1694" s="15" t="s">
        <v>2991</v>
      </c>
      <c r="D1694" s="15" t="s">
        <v>725</v>
      </c>
      <c r="E1694" s="15" t="s">
        <v>2993</v>
      </c>
    </row>
    <row r="1695" spans="2:5">
      <c r="B1695" s="15" t="s">
        <v>2990</v>
      </c>
      <c r="C1695" s="15" t="s">
        <v>2991</v>
      </c>
      <c r="D1695" s="15" t="s">
        <v>727</v>
      </c>
      <c r="E1695" s="15" t="s">
        <v>2994</v>
      </c>
    </row>
    <row r="1696" ht="15.95" spans="2:2">
      <c r="B1696" s="122" t="s">
        <v>2995</v>
      </c>
    </row>
    <row r="1697" spans="2:5">
      <c r="B1697" s="15" t="s">
        <v>2996</v>
      </c>
      <c r="C1697" s="15" t="s">
        <v>896</v>
      </c>
      <c r="D1697" s="15" t="s">
        <v>770</v>
      </c>
      <c r="E1697" s="15" t="s">
        <v>2997</v>
      </c>
    </row>
    <row r="1698" spans="2:5">
      <c r="B1698" s="15" t="s">
        <v>2996</v>
      </c>
      <c r="C1698" s="15" t="s">
        <v>896</v>
      </c>
      <c r="D1698" s="15" t="s">
        <v>772</v>
      </c>
      <c r="E1698" s="15" t="s">
        <v>2998</v>
      </c>
    </row>
    <row r="1699" spans="2:5">
      <c r="B1699" s="15" t="s">
        <v>2996</v>
      </c>
      <c r="C1699" s="15" t="s">
        <v>896</v>
      </c>
      <c r="D1699" s="15" t="s">
        <v>774</v>
      </c>
      <c r="E1699" s="15" t="s">
        <v>2999</v>
      </c>
    </row>
    <row r="1700" spans="2:5">
      <c r="B1700" s="15" t="s">
        <v>2996</v>
      </c>
      <c r="C1700" s="15" t="s">
        <v>896</v>
      </c>
      <c r="D1700" s="15" t="s">
        <v>828</v>
      </c>
      <c r="E1700" s="15" t="s">
        <v>3000</v>
      </c>
    </row>
    <row r="1701" ht="15.95" spans="2:2">
      <c r="B1701" s="122" t="s">
        <v>3001</v>
      </c>
    </row>
    <row r="1702" spans="2:5">
      <c r="B1702" s="15" t="s">
        <v>3002</v>
      </c>
      <c r="C1702" s="15" t="s">
        <v>3003</v>
      </c>
      <c r="D1702" s="15" t="s">
        <v>785</v>
      </c>
      <c r="E1702" s="15" t="s">
        <v>1814</v>
      </c>
    </row>
    <row r="1703" spans="2:5">
      <c r="B1703" s="15" t="s">
        <v>3002</v>
      </c>
      <c r="C1703" s="15" t="s">
        <v>3003</v>
      </c>
      <c r="D1703" s="15" t="s">
        <v>787</v>
      </c>
      <c r="E1703" s="15" t="s">
        <v>2728</v>
      </c>
    </row>
    <row r="1704" spans="2:5">
      <c r="B1704" s="15" t="s">
        <v>3002</v>
      </c>
      <c r="C1704" s="15" t="s">
        <v>3003</v>
      </c>
      <c r="D1704" s="15" t="s">
        <v>2729</v>
      </c>
      <c r="E1704" s="15" t="s">
        <v>2730</v>
      </c>
    </row>
    <row r="1705" spans="2:5">
      <c r="B1705" s="15" t="s">
        <v>3002</v>
      </c>
      <c r="C1705" s="15" t="s">
        <v>3003</v>
      </c>
      <c r="D1705" s="15" t="s">
        <v>2731</v>
      </c>
      <c r="E1705" s="15" t="s">
        <v>2732</v>
      </c>
    </row>
    <row r="1706" spans="2:5">
      <c r="B1706" s="15" t="s">
        <v>3002</v>
      </c>
      <c r="C1706" s="15" t="s">
        <v>3003</v>
      </c>
      <c r="D1706" s="15" t="s">
        <v>2733</v>
      </c>
      <c r="E1706" s="15" t="s">
        <v>2734</v>
      </c>
    </row>
    <row r="1707" spans="2:5">
      <c r="B1707" s="15" t="s">
        <v>3002</v>
      </c>
      <c r="C1707" s="15" t="s">
        <v>3003</v>
      </c>
      <c r="D1707" s="15" t="s">
        <v>2735</v>
      </c>
      <c r="E1707" s="15" t="s">
        <v>2736</v>
      </c>
    </row>
    <row r="1708" spans="2:5">
      <c r="B1708" s="15" t="s">
        <v>3002</v>
      </c>
      <c r="C1708" s="15" t="s">
        <v>3003</v>
      </c>
      <c r="D1708" s="15" t="s">
        <v>789</v>
      </c>
      <c r="E1708" s="15" t="s">
        <v>2737</v>
      </c>
    </row>
    <row r="1709" spans="2:5">
      <c r="B1709" s="15" t="s">
        <v>3002</v>
      </c>
      <c r="C1709" s="15" t="s">
        <v>3003</v>
      </c>
      <c r="D1709" s="15" t="s">
        <v>791</v>
      </c>
      <c r="E1709" s="15" t="s">
        <v>2738</v>
      </c>
    </row>
    <row r="1710" spans="2:5">
      <c r="B1710" s="15" t="s">
        <v>3002</v>
      </c>
      <c r="C1710" s="15" t="s">
        <v>3003</v>
      </c>
      <c r="D1710" s="15" t="s">
        <v>793</v>
      </c>
      <c r="E1710" s="15" t="s">
        <v>1822</v>
      </c>
    </row>
    <row r="1711" ht="15.95" spans="2:2">
      <c r="B1711" s="122" t="s">
        <v>3004</v>
      </c>
    </row>
    <row r="1712" spans="2:5">
      <c r="B1712" s="15" t="s">
        <v>3005</v>
      </c>
      <c r="C1712" s="15" t="s">
        <v>3006</v>
      </c>
      <c r="D1712" s="15" t="s">
        <v>723</v>
      </c>
      <c r="E1712" s="15" t="s">
        <v>3007</v>
      </c>
    </row>
    <row r="1713" spans="2:5">
      <c r="B1713" s="15" t="s">
        <v>3005</v>
      </c>
      <c r="C1713" s="15" t="s">
        <v>3006</v>
      </c>
      <c r="D1713" s="15" t="s">
        <v>933</v>
      </c>
      <c r="E1713" s="15" t="s">
        <v>3008</v>
      </c>
    </row>
    <row r="1714" spans="2:5">
      <c r="B1714" s="15" t="s">
        <v>3005</v>
      </c>
      <c r="C1714" s="15" t="s">
        <v>3006</v>
      </c>
      <c r="D1714" s="15" t="s">
        <v>725</v>
      </c>
      <c r="E1714" s="15" t="s">
        <v>3009</v>
      </c>
    </row>
    <row r="1715" spans="2:5">
      <c r="B1715" s="15" t="s">
        <v>3005</v>
      </c>
      <c r="C1715" s="15" t="s">
        <v>3006</v>
      </c>
      <c r="D1715" s="15" t="s">
        <v>2101</v>
      </c>
      <c r="E1715" s="15" t="s">
        <v>3010</v>
      </c>
    </row>
    <row r="1716" spans="2:5">
      <c r="B1716" s="15" t="s">
        <v>3005</v>
      </c>
      <c r="C1716" s="15" t="s">
        <v>3006</v>
      </c>
      <c r="D1716" s="15" t="s">
        <v>727</v>
      </c>
      <c r="E1716" s="15" t="s">
        <v>3011</v>
      </c>
    </row>
    <row r="1717" spans="2:5">
      <c r="B1717" s="15" t="s">
        <v>3005</v>
      </c>
      <c r="C1717" s="15" t="s">
        <v>3006</v>
      </c>
      <c r="D1717" s="15" t="s">
        <v>2110</v>
      </c>
      <c r="E1717" s="15" t="s">
        <v>3012</v>
      </c>
    </row>
    <row r="1718" spans="2:5">
      <c r="B1718" s="15" t="s">
        <v>3005</v>
      </c>
      <c r="C1718" s="15" t="s">
        <v>3006</v>
      </c>
      <c r="D1718" s="15" t="s">
        <v>760</v>
      </c>
      <c r="E1718" s="15" t="s">
        <v>3013</v>
      </c>
    </row>
    <row r="1719" spans="2:5">
      <c r="B1719" s="15" t="s">
        <v>3005</v>
      </c>
      <c r="C1719" s="15" t="s">
        <v>3006</v>
      </c>
      <c r="D1719" s="15" t="s">
        <v>762</v>
      </c>
      <c r="E1719" s="15" t="s">
        <v>3014</v>
      </c>
    </row>
    <row r="1720" spans="2:5">
      <c r="B1720" s="15" t="s">
        <v>3005</v>
      </c>
      <c r="C1720" s="15" t="s">
        <v>3006</v>
      </c>
      <c r="D1720" s="15" t="s">
        <v>764</v>
      </c>
      <c r="E1720" s="15" t="s">
        <v>3015</v>
      </c>
    </row>
    <row r="1721" spans="2:5">
      <c r="B1721" s="15" t="s">
        <v>3005</v>
      </c>
      <c r="C1721" s="15" t="s">
        <v>3006</v>
      </c>
      <c r="D1721" s="15" t="s">
        <v>1587</v>
      </c>
      <c r="E1721" s="15" t="s">
        <v>3016</v>
      </c>
    </row>
    <row r="1722" ht="15.95" spans="2:2">
      <c r="B1722" s="122" t="s">
        <v>3017</v>
      </c>
    </row>
    <row r="1723" spans="2:5">
      <c r="B1723" s="15" t="s">
        <v>3018</v>
      </c>
      <c r="C1723" s="15" t="s">
        <v>896</v>
      </c>
      <c r="D1723" s="15" t="s">
        <v>770</v>
      </c>
      <c r="E1723" s="15" t="s">
        <v>3019</v>
      </c>
    </row>
    <row r="1724" spans="2:5">
      <c r="B1724" s="15" t="s">
        <v>3018</v>
      </c>
      <c r="C1724" s="15" t="s">
        <v>896</v>
      </c>
      <c r="D1724" s="15" t="s">
        <v>772</v>
      </c>
      <c r="E1724" s="15" t="s">
        <v>3020</v>
      </c>
    </row>
    <row r="1725" spans="2:5">
      <c r="B1725" s="15" t="s">
        <v>3018</v>
      </c>
      <c r="C1725" s="15" t="s">
        <v>896</v>
      </c>
      <c r="D1725" s="15" t="s">
        <v>774</v>
      </c>
      <c r="E1725" s="15" t="s">
        <v>3021</v>
      </c>
    </row>
    <row r="1726" spans="2:5">
      <c r="B1726" s="15" t="s">
        <v>3018</v>
      </c>
      <c r="C1726" s="15" t="s">
        <v>896</v>
      </c>
      <c r="D1726" s="15" t="s">
        <v>828</v>
      </c>
      <c r="E1726" s="15" t="s">
        <v>3022</v>
      </c>
    </row>
    <row r="1727" spans="2:5">
      <c r="B1727" s="15" t="s">
        <v>3018</v>
      </c>
      <c r="C1727" s="15" t="s">
        <v>896</v>
      </c>
      <c r="D1727" s="15" t="s">
        <v>901</v>
      </c>
      <c r="E1727" s="15" t="s">
        <v>3023</v>
      </c>
    </row>
    <row r="1728" spans="2:5">
      <c r="B1728" s="15" t="s">
        <v>3018</v>
      </c>
      <c r="C1728" s="15" t="s">
        <v>896</v>
      </c>
      <c r="D1728" s="15" t="s">
        <v>776</v>
      </c>
      <c r="E1728" s="15" t="s">
        <v>3024</v>
      </c>
    </row>
    <row r="1729" ht="15.95" spans="2:2">
      <c r="B1729" s="122" t="s">
        <v>3025</v>
      </c>
    </row>
    <row r="1730" spans="2:5">
      <c r="B1730" s="15" t="s">
        <v>1711</v>
      </c>
      <c r="C1730" s="15" t="s">
        <v>1711</v>
      </c>
      <c r="D1730" s="15" t="s">
        <v>723</v>
      </c>
      <c r="E1730" s="15" t="s">
        <v>1712</v>
      </c>
    </row>
    <row r="1731" spans="2:5">
      <c r="B1731" s="15" t="s">
        <v>1711</v>
      </c>
      <c r="C1731" s="15" t="s">
        <v>1711</v>
      </c>
      <c r="D1731" s="15" t="s">
        <v>725</v>
      </c>
      <c r="E1731" s="15" t="s">
        <v>1203</v>
      </c>
    </row>
    <row r="1732" spans="2:5">
      <c r="B1732" s="15" t="s">
        <v>1711</v>
      </c>
      <c r="C1732" s="15" t="s">
        <v>1711</v>
      </c>
      <c r="D1732" s="15" t="s">
        <v>727</v>
      </c>
      <c r="E1732" s="15" t="s">
        <v>1713</v>
      </c>
    </row>
    <row r="1733" ht="15.95" spans="2:2">
      <c r="B1733" s="122" t="s">
        <v>3026</v>
      </c>
    </row>
    <row r="1734" spans="2:5">
      <c r="B1734" s="15" t="s">
        <v>3027</v>
      </c>
      <c r="C1734" s="15" t="s">
        <v>3027</v>
      </c>
      <c r="D1734" s="15" t="s">
        <v>770</v>
      </c>
      <c r="E1734" s="15" t="s">
        <v>2451</v>
      </c>
    </row>
    <row r="1735" spans="2:5">
      <c r="B1735" s="15" t="s">
        <v>3027</v>
      </c>
      <c r="C1735" s="15" t="s">
        <v>3027</v>
      </c>
      <c r="D1735" s="15" t="s">
        <v>772</v>
      </c>
      <c r="E1735" s="15" t="s">
        <v>2452</v>
      </c>
    </row>
    <row r="1736" spans="2:5">
      <c r="B1736" s="15" t="s">
        <v>3027</v>
      </c>
      <c r="C1736" s="15" t="s">
        <v>3027</v>
      </c>
      <c r="D1736" s="15" t="s">
        <v>774</v>
      </c>
      <c r="E1736" s="15" t="s">
        <v>2453</v>
      </c>
    </row>
    <row r="1737" spans="2:5">
      <c r="B1737" s="15" t="s">
        <v>3027</v>
      </c>
      <c r="C1737" s="15" t="s">
        <v>3027</v>
      </c>
      <c r="D1737" s="15" t="s">
        <v>828</v>
      </c>
      <c r="E1737" s="15" t="s">
        <v>2454</v>
      </c>
    </row>
    <row r="1738" ht="15.95" spans="2:2">
      <c r="B1738" s="122" t="s">
        <v>3028</v>
      </c>
    </row>
    <row r="1739" spans="2:5">
      <c r="B1739" s="15" t="s">
        <v>3029</v>
      </c>
      <c r="C1739" s="15" t="s">
        <v>3030</v>
      </c>
      <c r="D1739" s="15" t="s">
        <v>770</v>
      </c>
      <c r="E1739" s="15" t="s">
        <v>3031</v>
      </c>
    </row>
    <row r="1740" spans="2:5">
      <c r="B1740" s="15" t="s">
        <v>3029</v>
      </c>
      <c r="C1740" s="15" t="s">
        <v>3030</v>
      </c>
      <c r="D1740" s="15" t="s">
        <v>772</v>
      </c>
      <c r="E1740" s="15" t="s">
        <v>3032</v>
      </c>
    </row>
    <row r="1741" spans="2:5">
      <c r="B1741" s="15" t="s">
        <v>3029</v>
      </c>
      <c r="C1741" s="15" t="s">
        <v>3030</v>
      </c>
      <c r="D1741" s="15" t="s">
        <v>774</v>
      </c>
      <c r="E1741" s="15" t="s">
        <v>3033</v>
      </c>
    </row>
    <row r="1742" ht="15.95" spans="2:2">
      <c r="B1742" s="122" t="s">
        <v>3034</v>
      </c>
    </row>
    <row r="1743" spans="2:5">
      <c r="B1743" s="15" t="s">
        <v>3035</v>
      </c>
      <c r="C1743" s="15" t="s">
        <v>3036</v>
      </c>
      <c r="D1743" s="15" t="s">
        <v>3037</v>
      </c>
      <c r="E1743" s="15" t="s">
        <v>3038</v>
      </c>
    </row>
    <row r="1744" spans="2:5">
      <c r="B1744" s="15" t="s">
        <v>3035</v>
      </c>
      <c r="C1744" s="15" t="s">
        <v>3036</v>
      </c>
      <c r="D1744" s="15" t="s">
        <v>780</v>
      </c>
      <c r="E1744" s="15" t="s">
        <v>3039</v>
      </c>
    </row>
    <row r="1745" spans="2:5">
      <c r="B1745" s="15" t="s">
        <v>3035</v>
      </c>
      <c r="C1745" s="15" t="s">
        <v>3036</v>
      </c>
      <c r="D1745" s="15" t="s">
        <v>3040</v>
      </c>
      <c r="E1745" s="15" t="s">
        <v>3041</v>
      </c>
    </row>
    <row r="1746" spans="2:5">
      <c r="B1746" s="15" t="s">
        <v>3035</v>
      </c>
      <c r="C1746" s="15" t="s">
        <v>3036</v>
      </c>
      <c r="D1746" s="15" t="s">
        <v>3042</v>
      </c>
      <c r="E1746" s="15" t="s">
        <v>3043</v>
      </c>
    </row>
    <row r="1747" spans="2:5">
      <c r="B1747" s="15" t="s">
        <v>3035</v>
      </c>
      <c r="C1747" s="15" t="s">
        <v>3036</v>
      </c>
      <c r="D1747" s="15" t="s">
        <v>1378</v>
      </c>
      <c r="E1747" s="15" t="s">
        <v>3044</v>
      </c>
    </row>
    <row r="1748" spans="2:5">
      <c r="B1748" s="15" t="s">
        <v>3035</v>
      </c>
      <c r="C1748" s="15" t="s">
        <v>3036</v>
      </c>
      <c r="D1748" s="15" t="s">
        <v>1380</v>
      </c>
      <c r="E1748" s="15" t="s">
        <v>3045</v>
      </c>
    </row>
    <row r="1749" spans="2:5">
      <c r="B1749" s="15" t="s">
        <v>3035</v>
      </c>
      <c r="C1749" s="15" t="s">
        <v>3036</v>
      </c>
      <c r="D1749" s="15" t="s">
        <v>1382</v>
      </c>
      <c r="E1749" s="15" t="s">
        <v>3046</v>
      </c>
    </row>
    <row r="1750" spans="2:5">
      <c r="B1750" s="15" t="s">
        <v>3035</v>
      </c>
      <c r="C1750" s="15" t="s">
        <v>3036</v>
      </c>
      <c r="D1750" s="15" t="s">
        <v>3047</v>
      </c>
      <c r="E1750" s="15" t="s">
        <v>3048</v>
      </c>
    </row>
    <row r="1751" ht="15.95" spans="2:2">
      <c r="B1751" s="122" t="s">
        <v>3049</v>
      </c>
    </row>
    <row r="1752" spans="2:5">
      <c r="B1752" s="15" t="s">
        <v>3050</v>
      </c>
      <c r="C1752" s="15" t="s">
        <v>3051</v>
      </c>
      <c r="D1752" s="15" t="s">
        <v>3052</v>
      </c>
      <c r="E1752" s="15" t="s">
        <v>3053</v>
      </c>
    </row>
    <row r="1753" spans="2:5">
      <c r="B1753" s="15" t="s">
        <v>3050</v>
      </c>
      <c r="C1753" s="15" t="s">
        <v>3051</v>
      </c>
      <c r="D1753" s="15" t="s">
        <v>3054</v>
      </c>
      <c r="E1753" s="15" t="s">
        <v>3055</v>
      </c>
    </row>
    <row r="1754" spans="2:5">
      <c r="B1754" s="15" t="s">
        <v>3050</v>
      </c>
      <c r="C1754" s="15" t="s">
        <v>3051</v>
      </c>
      <c r="D1754" s="15" t="s">
        <v>3056</v>
      </c>
      <c r="E1754" s="15" t="s">
        <v>3057</v>
      </c>
    </row>
    <row r="1755" ht="15.95" spans="2:2">
      <c r="B1755" s="122" t="s">
        <v>3058</v>
      </c>
    </row>
    <row r="1756" spans="2:5">
      <c r="B1756" s="15" t="s">
        <v>3059</v>
      </c>
      <c r="C1756" s="15" t="s">
        <v>3060</v>
      </c>
      <c r="D1756" s="15" t="s">
        <v>1432</v>
      </c>
      <c r="E1756" s="15" t="s">
        <v>3061</v>
      </c>
    </row>
    <row r="1757" spans="2:5">
      <c r="B1757" s="15" t="s">
        <v>3059</v>
      </c>
      <c r="C1757" s="15" t="s">
        <v>3060</v>
      </c>
      <c r="D1757" s="15" t="s">
        <v>723</v>
      </c>
      <c r="E1757" s="15" t="s">
        <v>3062</v>
      </c>
    </row>
    <row r="1758" spans="2:5">
      <c r="B1758" s="15" t="s">
        <v>3059</v>
      </c>
      <c r="C1758" s="15" t="s">
        <v>3060</v>
      </c>
      <c r="D1758" s="15" t="s">
        <v>727</v>
      </c>
      <c r="E1758" s="15" t="s">
        <v>3063</v>
      </c>
    </row>
    <row r="1759" ht="15.95" spans="2:2">
      <c r="B1759" s="122" t="s">
        <v>3064</v>
      </c>
    </row>
    <row r="1760" spans="2:5">
      <c r="B1760" s="15" t="s">
        <v>3065</v>
      </c>
      <c r="C1760" s="15" t="s">
        <v>896</v>
      </c>
      <c r="D1760" s="15" t="s">
        <v>770</v>
      </c>
      <c r="E1760" s="15" t="s">
        <v>3066</v>
      </c>
    </row>
    <row r="1761" spans="2:5">
      <c r="B1761" s="15" t="s">
        <v>3065</v>
      </c>
      <c r="C1761" s="15" t="s">
        <v>896</v>
      </c>
      <c r="D1761" s="15" t="s">
        <v>772</v>
      </c>
      <c r="E1761" s="15" t="s">
        <v>3067</v>
      </c>
    </row>
    <row r="1762" spans="2:5">
      <c r="B1762" s="15" t="s">
        <v>3065</v>
      </c>
      <c r="C1762" s="15" t="s">
        <v>896</v>
      </c>
      <c r="D1762" s="15" t="s">
        <v>774</v>
      </c>
      <c r="E1762" s="15" t="s">
        <v>3068</v>
      </c>
    </row>
    <row r="1763" spans="2:5">
      <c r="B1763" s="15" t="s">
        <v>3065</v>
      </c>
      <c r="C1763" s="15" t="s">
        <v>896</v>
      </c>
      <c r="D1763" s="15" t="s">
        <v>828</v>
      </c>
      <c r="E1763" s="15" t="s">
        <v>3069</v>
      </c>
    </row>
    <row r="1764" ht="15.95" spans="2:2">
      <c r="B1764" s="122" t="s">
        <v>3070</v>
      </c>
    </row>
    <row r="1765" spans="2:5">
      <c r="B1765" s="15" t="s">
        <v>3071</v>
      </c>
      <c r="C1765" s="15" t="s">
        <v>1266</v>
      </c>
      <c r="D1765" s="15" t="s">
        <v>917</v>
      </c>
      <c r="E1765" s="15" t="s">
        <v>953</v>
      </c>
    </row>
    <row r="1766" spans="2:5">
      <c r="B1766" s="15" t="s">
        <v>3071</v>
      </c>
      <c r="C1766" s="15" t="s">
        <v>1266</v>
      </c>
      <c r="D1766" s="15" t="s">
        <v>919</v>
      </c>
      <c r="E1766" s="15" t="s">
        <v>954</v>
      </c>
    </row>
    <row r="1767" spans="2:5">
      <c r="B1767" s="15" t="s">
        <v>3071</v>
      </c>
      <c r="C1767" s="15" t="s">
        <v>1266</v>
      </c>
      <c r="D1767" s="15" t="s">
        <v>955</v>
      </c>
      <c r="E1767" s="15" t="s">
        <v>956</v>
      </c>
    </row>
    <row r="1768" ht="15.95" spans="2:2">
      <c r="B1768" s="122" t="s">
        <v>3072</v>
      </c>
    </row>
    <row r="1769" spans="2:5">
      <c r="B1769" s="15" t="s">
        <v>3073</v>
      </c>
      <c r="C1769" s="15" t="s">
        <v>896</v>
      </c>
      <c r="D1769" s="15" t="s">
        <v>770</v>
      </c>
      <c r="E1769" s="15" t="s">
        <v>3074</v>
      </c>
    </row>
    <row r="1770" spans="2:5">
      <c r="B1770" s="15" t="s">
        <v>3073</v>
      </c>
      <c r="C1770" s="15" t="s">
        <v>896</v>
      </c>
      <c r="D1770" s="15" t="s">
        <v>772</v>
      </c>
      <c r="E1770" s="15" t="s">
        <v>3075</v>
      </c>
    </row>
    <row r="1771" spans="2:5">
      <c r="B1771" s="15" t="s">
        <v>3073</v>
      </c>
      <c r="C1771" s="15" t="s">
        <v>896</v>
      </c>
      <c r="D1771" s="15" t="s">
        <v>774</v>
      </c>
      <c r="E1771" s="15" t="s">
        <v>3076</v>
      </c>
    </row>
    <row r="1772" ht="15.95" spans="2:2">
      <c r="B1772" s="122" t="s">
        <v>3077</v>
      </c>
    </row>
    <row r="1773" spans="2:5">
      <c r="B1773" s="15" t="s">
        <v>3078</v>
      </c>
      <c r="C1773" s="15" t="s">
        <v>3079</v>
      </c>
      <c r="D1773" s="15" t="s">
        <v>770</v>
      </c>
      <c r="E1773" s="15" t="s">
        <v>3080</v>
      </c>
    </row>
    <row r="1774" spans="2:5">
      <c r="B1774" s="15" t="s">
        <v>3078</v>
      </c>
      <c r="C1774" s="15" t="s">
        <v>3079</v>
      </c>
      <c r="D1774" s="15" t="s">
        <v>772</v>
      </c>
      <c r="E1774" s="15" t="s">
        <v>3081</v>
      </c>
    </row>
    <row r="1775" spans="2:5">
      <c r="B1775" s="15" t="s">
        <v>3078</v>
      </c>
      <c r="C1775" s="15" t="s">
        <v>3079</v>
      </c>
      <c r="D1775" s="15" t="s">
        <v>774</v>
      </c>
      <c r="E1775" s="15" t="s">
        <v>3082</v>
      </c>
    </row>
    <row r="1776" spans="2:5">
      <c r="B1776" s="15" t="s">
        <v>3078</v>
      </c>
      <c r="C1776" s="15" t="s">
        <v>3079</v>
      </c>
      <c r="D1776" s="15" t="s">
        <v>828</v>
      </c>
      <c r="E1776" s="15" t="s">
        <v>3083</v>
      </c>
    </row>
    <row r="1777" spans="2:5">
      <c r="B1777" s="15" t="s">
        <v>3078</v>
      </c>
      <c r="C1777" s="15" t="s">
        <v>3079</v>
      </c>
      <c r="D1777" s="15" t="s">
        <v>901</v>
      </c>
      <c r="E1777" s="15" t="s">
        <v>2487</v>
      </c>
    </row>
    <row r="1778" spans="2:5">
      <c r="B1778" s="15" t="s">
        <v>3078</v>
      </c>
      <c r="C1778" s="15" t="s">
        <v>3079</v>
      </c>
      <c r="D1778" s="15" t="s">
        <v>1143</v>
      </c>
      <c r="E1778" s="15" t="s">
        <v>235</v>
      </c>
    </row>
    <row r="1779" ht="15.95" spans="2:2">
      <c r="B1779" s="122" t="s">
        <v>3084</v>
      </c>
    </row>
    <row r="1780" spans="2:5">
      <c r="B1780" s="15" t="s">
        <v>3085</v>
      </c>
      <c r="C1780" s="15" t="s">
        <v>3086</v>
      </c>
      <c r="D1780" s="15" t="s">
        <v>933</v>
      </c>
      <c r="E1780" s="15" t="s">
        <v>3087</v>
      </c>
    </row>
    <row r="1781" spans="2:5">
      <c r="B1781" s="15" t="s">
        <v>3085</v>
      </c>
      <c r="C1781" s="15" t="s">
        <v>3086</v>
      </c>
      <c r="D1781" s="15" t="s">
        <v>937</v>
      </c>
      <c r="E1781" s="15" t="s">
        <v>3088</v>
      </c>
    </row>
    <row r="1782" spans="2:5">
      <c r="B1782" s="15" t="s">
        <v>3085</v>
      </c>
      <c r="C1782" s="15" t="s">
        <v>3086</v>
      </c>
      <c r="D1782" s="15" t="s">
        <v>939</v>
      </c>
      <c r="E1782" s="15" t="s">
        <v>3089</v>
      </c>
    </row>
    <row r="1783" spans="2:5">
      <c r="B1783" s="15" t="s">
        <v>3085</v>
      </c>
      <c r="C1783" s="15" t="s">
        <v>3086</v>
      </c>
      <c r="D1783" s="15" t="s">
        <v>941</v>
      </c>
      <c r="E1783" s="15" t="s">
        <v>3090</v>
      </c>
    </row>
    <row r="1784" ht="15.95" spans="2:2">
      <c r="B1784" s="122" t="s">
        <v>3091</v>
      </c>
    </row>
    <row r="1785" spans="2:5">
      <c r="B1785" s="15" t="s">
        <v>3092</v>
      </c>
      <c r="C1785" s="15" t="s">
        <v>3093</v>
      </c>
      <c r="D1785" s="15" t="s">
        <v>770</v>
      </c>
      <c r="E1785" s="15" t="s">
        <v>3094</v>
      </c>
    </row>
    <row r="1786" spans="2:5">
      <c r="B1786" s="15" t="s">
        <v>3092</v>
      </c>
      <c r="C1786" s="15" t="s">
        <v>3093</v>
      </c>
      <c r="D1786" s="15" t="s">
        <v>772</v>
      </c>
      <c r="E1786" s="15" t="s">
        <v>3095</v>
      </c>
    </row>
    <row r="1787" spans="2:5">
      <c r="B1787" s="15" t="s">
        <v>3092</v>
      </c>
      <c r="C1787" s="15" t="s">
        <v>3093</v>
      </c>
      <c r="D1787" s="15" t="s">
        <v>774</v>
      </c>
      <c r="E1787" s="15" t="s">
        <v>3096</v>
      </c>
    </row>
    <row r="1788" spans="2:5">
      <c r="B1788" s="15" t="s">
        <v>3092</v>
      </c>
      <c r="C1788" s="15" t="s">
        <v>3093</v>
      </c>
      <c r="D1788" s="15" t="s">
        <v>828</v>
      </c>
      <c r="E1788" s="15" t="s">
        <v>3097</v>
      </c>
    </row>
    <row r="1789" spans="2:5">
      <c r="B1789" s="15" t="s">
        <v>3092</v>
      </c>
      <c r="C1789" s="15" t="s">
        <v>3093</v>
      </c>
      <c r="D1789" s="15" t="s">
        <v>901</v>
      </c>
      <c r="E1789" s="15" t="s">
        <v>3098</v>
      </c>
    </row>
    <row r="1790" spans="2:5">
      <c r="B1790" s="15" t="s">
        <v>3092</v>
      </c>
      <c r="C1790" s="15" t="s">
        <v>3093</v>
      </c>
      <c r="D1790" s="15" t="s">
        <v>776</v>
      </c>
      <c r="E1790" s="15" t="s">
        <v>3099</v>
      </c>
    </row>
    <row r="1791" spans="2:5">
      <c r="B1791" s="15" t="s">
        <v>3092</v>
      </c>
      <c r="C1791" s="15" t="s">
        <v>3093</v>
      </c>
      <c r="D1791" s="15" t="s">
        <v>1290</v>
      </c>
      <c r="E1791" s="15" t="s">
        <v>235</v>
      </c>
    </row>
    <row r="1792" ht="15.95" spans="2:2">
      <c r="B1792" s="122" t="s">
        <v>3100</v>
      </c>
    </row>
    <row r="1793" spans="2:5">
      <c r="B1793" s="15" t="s">
        <v>3101</v>
      </c>
      <c r="C1793" s="15" t="s">
        <v>3102</v>
      </c>
      <c r="D1793" s="15" t="s">
        <v>770</v>
      </c>
      <c r="E1793" s="15" t="s">
        <v>3103</v>
      </c>
    </row>
    <row r="1794" spans="2:5">
      <c r="B1794" s="15" t="s">
        <v>3101</v>
      </c>
      <c r="C1794" s="15" t="s">
        <v>3102</v>
      </c>
      <c r="D1794" s="15" t="s">
        <v>772</v>
      </c>
      <c r="E1794" s="15" t="s">
        <v>3104</v>
      </c>
    </row>
    <row r="1795" spans="2:5">
      <c r="B1795" s="15" t="s">
        <v>3101</v>
      </c>
      <c r="C1795" s="15" t="s">
        <v>3102</v>
      </c>
      <c r="D1795" s="15" t="s">
        <v>774</v>
      </c>
      <c r="E1795" s="15" t="s">
        <v>3105</v>
      </c>
    </row>
    <row r="1796" spans="2:5">
      <c r="B1796" s="15" t="s">
        <v>3101</v>
      </c>
      <c r="C1796" s="15" t="s">
        <v>3102</v>
      </c>
      <c r="D1796" s="15" t="s">
        <v>828</v>
      </c>
      <c r="E1796" s="15" t="s">
        <v>3106</v>
      </c>
    </row>
    <row r="1797" spans="2:5">
      <c r="B1797" s="15" t="s">
        <v>3101</v>
      </c>
      <c r="C1797" s="15" t="s">
        <v>3102</v>
      </c>
      <c r="D1797" s="15" t="s">
        <v>1143</v>
      </c>
      <c r="E1797" s="15" t="s">
        <v>235</v>
      </c>
    </row>
    <row r="1798" ht="15.95" spans="2:2">
      <c r="B1798" s="122" t="s">
        <v>3107</v>
      </c>
    </row>
    <row r="1799" spans="2:5">
      <c r="B1799" s="15" t="s">
        <v>3108</v>
      </c>
      <c r="C1799" s="15" t="s">
        <v>88</v>
      </c>
      <c r="D1799" s="15" t="s">
        <v>2378</v>
      </c>
      <c r="E1799" s="15" t="s">
        <v>3109</v>
      </c>
    </row>
    <row r="1800" spans="2:5">
      <c r="B1800" s="15" t="s">
        <v>3108</v>
      </c>
      <c r="C1800" s="15" t="s">
        <v>88</v>
      </c>
      <c r="D1800" s="15" t="s">
        <v>635</v>
      </c>
      <c r="E1800" s="15" t="s">
        <v>3110</v>
      </c>
    </row>
    <row r="1801" spans="2:5">
      <c r="B1801" s="15" t="s">
        <v>3108</v>
      </c>
      <c r="C1801" s="15" t="s">
        <v>88</v>
      </c>
      <c r="D1801" s="15" t="s">
        <v>659</v>
      </c>
      <c r="E1801" s="15" t="s">
        <v>3111</v>
      </c>
    </row>
    <row r="1802" spans="2:5">
      <c r="B1802" s="15" t="s">
        <v>3108</v>
      </c>
      <c r="C1802" s="15" t="s">
        <v>88</v>
      </c>
      <c r="D1802" s="15" t="s">
        <v>679</v>
      </c>
      <c r="E1802" s="15" t="s">
        <v>3112</v>
      </c>
    </row>
    <row r="1803" spans="2:5">
      <c r="B1803" s="15" t="s">
        <v>3108</v>
      </c>
      <c r="C1803" s="15" t="s">
        <v>88</v>
      </c>
      <c r="D1803" s="15" t="s">
        <v>705</v>
      </c>
      <c r="E1803" s="15" t="s">
        <v>3113</v>
      </c>
    </row>
    <row r="1804" ht="15.95" spans="2:2">
      <c r="B1804" s="122" t="s">
        <v>3114</v>
      </c>
    </row>
    <row r="1805" spans="2:5">
      <c r="B1805" s="15" t="s">
        <v>3115</v>
      </c>
      <c r="C1805" s="15" t="s">
        <v>3116</v>
      </c>
      <c r="D1805" s="15" t="s">
        <v>770</v>
      </c>
      <c r="E1805" s="15" t="s">
        <v>3117</v>
      </c>
    </row>
    <row r="1806" spans="2:5">
      <c r="B1806" s="15" t="s">
        <v>3115</v>
      </c>
      <c r="C1806" s="15" t="s">
        <v>3116</v>
      </c>
      <c r="D1806" s="15" t="s">
        <v>772</v>
      </c>
      <c r="E1806" s="15" t="s">
        <v>3118</v>
      </c>
    </row>
    <row r="1807" spans="2:5">
      <c r="B1807" s="15" t="s">
        <v>3115</v>
      </c>
      <c r="C1807" s="15" t="s">
        <v>3116</v>
      </c>
      <c r="D1807" s="15" t="s">
        <v>774</v>
      </c>
      <c r="E1807" s="15" t="s">
        <v>3119</v>
      </c>
    </row>
    <row r="1808" spans="2:5">
      <c r="B1808" s="15" t="s">
        <v>3115</v>
      </c>
      <c r="C1808" s="15" t="s">
        <v>3116</v>
      </c>
      <c r="D1808" s="15" t="s">
        <v>828</v>
      </c>
      <c r="E1808" s="15" t="s">
        <v>3120</v>
      </c>
    </row>
    <row r="1809" spans="2:5">
      <c r="B1809" s="15" t="s">
        <v>3115</v>
      </c>
      <c r="C1809" s="15" t="s">
        <v>3116</v>
      </c>
      <c r="D1809" s="15" t="s">
        <v>901</v>
      </c>
      <c r="E1809" s="15" t="s">
        <v>3121</v>
      </c>
    </row>
    <row r="1810" spans="2:5">
      <c r="B1810" s="15" t="s">
        <v>3115</v>
      </c>
      <c r="C1810" s="15" t="s">
        <v>3116</v>
      </c>
      <c r="D1810" s="15" t="s">
        <v>776</v>
      </c>
      <c r="E1810" s="15" t="s">
        <v>3122</v>
      </c>
    </row>
    <row r="1811" ht="15.95" spans="2:2">
      <c r="B1811" s="122" t="s">
        <v>3123</v>
      </c>
    </row>
    <row r="1812" spans="2:5">
      <c r="B1812" s="15" t="s">
        <v>3124</v>
      </c>
      <c r="C1812" s="15" t="s">
        <v>3125</v>
      </c>
      <c r="D1812" s="15" t="s">
        <v>635</v>
      </c>
      <c r="E1812" s="15" t="s">
        <v>3126</v>
      </c>
    </row>
    <row r="1813" spans="2:5">
      <c r="B1813" s="15" t="s">
        <v>3124</v>
      </c>
      <c r="C1813" s="15" t="s">
        <v>3125</v>
      </c>
      <c r="D1813" s="15" t="s">
        <v>637</v>
      </c>
      <c r="E1813" s="15" t="s">
        <v>3126</v>
      </c>
    </row>
    <row r="1814" spans="2:5">
      <c r="B1814" s="15" t="s">
        <v>3124</v>
      </c>
      <c r="C1814" s="15" t="s">
        <v>3125</v>
      </c>
      <c r="D1814" s="15" t="s">
        <v>659</v>
      </c>
      <c r="E1814" s="15" t="s">
        <v>3127</v>
      </c>
    </row>
    <row r="1815" spans="2:5">
      <c r="B1815" s="15" t="s">
        <v>3124</v>
      </c>
      <c r="C1815" s="15" t="s">
        <v>3125</v>
      </c>
      <c r="D1815" s="15" t="s">
        <v>661</v>
      </c>
      <c r="E1815" s="15" t="s">
        <v>3128</v>
      </c>
    </row>
    <row r="1816" spans="2:5">
      <c r="B1816" s="15" t="s">
        <v>3124</v>
      </c>
      <c r="C1816" s="15" t="s">
        <v>3125</v>
      </c>
      <c r="D1816" s="15" t="s">
        <v>663</v>
      </c>
      <c r="E1816" s="15" t="s">
        <v>3129</v>
      </c>
    </row>
    <row r="1817" spans="2:5">
      <c r="B1817" s="15" t="s">
        <v>3124</v>
      </c>
      <c r="C1817" s="15" t="s">
        <v>3125</v>
      </c>
      <c r="D1817" s="15" t="s">
        <v>665</v>
      </c>
      <c r="E1817" s="15" t="s">
        <v>3130</v>
      </c>
    </row>
    <row r="1818" ht="15.95" spans="2:2">
      <c r="B1818" s="122" t="s">
        <v>3131</v>
      </c>
    </row>
    <row r="1819" spans="2:5">
      <c r="B1819" s="15" t="s">
        <v>3132</v>
      </c>
      <c r="C1819" s="15" t="s">
        <v>896</v>
      </c>
      <c r="D1819" s="15" t="s">
        <v>770</v>
      </c>
      <c r="E1819" s="15" t="s">
        <v>3133</v>
      </c>
    </row>
    <row r="1820" spans="2:5">
      <c r="B1820" s="15" t="s">
        <v>3132</v>
      </c>
      <c r="C1820" s="15" t="s">
        <v>896</v>
      </c>
      <c r="D1820" s="15" t="s">
        <v>772</v>
      </c>
      <c r="E1820" s="15" t="s">
        <v>3134</v>
      </c>
    </row>
    <row r="1821" spans="2:5">
      <c r="B1821" s="15" t="s">
        <v>3132</v>
      </c>
      <c r="C1821" s="15" t="s">
        <v>896</v>
      </c>
      <c r="D1821" s="15" t="s">
        <v>774</v>
      </c>
      <c r="E1821" s="15" t="s">
        <v>3135</v>
      </c>
    </row>
    <row r="1822" spans="2:5">
      <c r="B1822" s="15" t="s">
        <v>3132</v>
      </c>
      <c r="C1822" s="15" t="s">
        <v>896</v>
      </c>
      <c r="D1822" s="15" t="s">
        <v>828</v>
      </c>
      <c r="E1822" s="15" t="s">
        <v>3136</v>
      </c>
    </row>
    <row r="1823" spans="2:5">
      <c r="B1823" s="15" t="s">
        <v>3132</v>
      </c>
      <c r="C1823" s="15" t="s">
        <v>896</v>
      </c>
      <c r="D1823" s="15" t="s">
        <v>901</v>
      </c>
      <c r="E1823" s="15" t="s">
        <v>3137</v>
      </c>
    </row>
    <row r="1824" spans="2:5">
      <c r="B1824" s="15" t="s">
        <v>3132</v>
      </c>
      <c r="C1824" s="15" t="s">
        <v>896</v>
      </c>
      <c r="D1824" s="15" t="s">
        <v>776</v>
      </c>
      <c r="E1824" s="15" t="s">
        <v>235</v>
      </c>
    </row>
    <row r="1825" spans="2:5">
      <c r="B1825" s="15" t="s">
        <v>3132</v>
      </c>
      <c r="C1825" s="15" t="s">
        <v>896</v>
      </c>
      <c r="D1825" s="15" t="s">
        <v>1290</v>
      </c>
      <c r="E1825" s="15" t="s">
        <v>3138</v>
      </c>
    </row>
    <row r="1826" ht="15.95" spans="2:2">
      <c r="B1826" s="122" t="s">
        <v>3139</v>
      </c>
    </row>
    <row r="1827" spans="2:5">
      <c r="B1827" s="15" t="s">
        <v>3140</v>
      </c>
      <c r="C1827" s="15" t="s">
        <v>3141</v>
      </c>
      <c r="D1827" s="15" t="s">
        <v>770</v>
      </c>
      <c r="E1827" s="15" t="s">
        <v>3142</v>
      </c>
    </row>
    <row r="1828" spans="2:5">
      <c r="B1828" s="15" t="s">
        <v>3140</v>
      </c>
      <c r="C1828" s="15" t="s">
        <v>3141</v>
      </c>
      <c r="D1828" s="15" t="s">
        <v>772</v>
      </c>
      <c r="E1828" s="15" t="s">
        <v>235</v>
      </c>
    </row>
    <row r="1829" ht="15.95" spans="2:2">
      <c r="B1829" s="122" t="s">
        <v>3143</v>
      </c>
    </row>
    <row r="1830" spans="2:5">
      <c r="B1830" s="15" t="s">
        <v>3144</v>
      </c>
      <c r="C1830" s="15" t="s">
        <v>3145</v>
      </c>
      <c r="D1830" s="15" t="s">
        <v>1372</v>
      </c>
      <c r="E1830" s="15" t="s">
        <v>3146</v>
      </c>
    </row>
    <row r="1831" spans="2:5">
      <c r="B1831" s="15" t="s">
        <v>3144</v>
      </c>
      <c r="C1831" s="15" t="s">
        <v>3145</v>
      </c>
      <c r="D1831" s="15" t="s">
        <v>3147</v>
      </c>
      <c r="E1831" s="15" t="s">
        <v>3148</v>
      </c>
    </row>
    <row r="1832" spans="2:5">
      <c r="B1832" s="15" t="s">
        <v>3144</v>
      </c>
      <c r="C1832" s="15" t="s">
        <v>3145</v>
      </c>
      <c r="D1832" s="15" t="s">
        <v>3149</v>
      </c>
      <c r="E1832" s="15" t="s">
        <v>3150</v>
      </c>
    </row>
    <row r="1833" spans="2:5">
      <c r="B1833" s="15" t="s">
        <v>3144</v>
      </c>
      <c r="C1833" s="15" t="s">
        <v>3145</v>
      </c>
      <c r="D1833" s="15" t="s">
        <v>3151</v>
      </c>
      <c r="E1833" s="15" t="s">
        <v>3152</v>
      </c>
    </row>
    <row r="1834" spans="2:5">
      <c r="B1834" s="15" t="s">
        <v>3144</v>
      </c>
      <c r="C1834" s="15" t="s">
        <v>3145</v>
      </c>
      <c r="D1834" s="15" t="s">
        <v>3153</v>
      </c>
      <c r="E1834" s="15" t="s">
        <v>3154</v>
      </c>
    </row>
    <row r="1835" spans="2:5">
      <c r="B1835" s="15" t="s">
        <v>3144</v>
      </c>
      <c r="C1835" s="15" t="s">
        <v>3145</v>
      </c>
      <c r="D1835" s="15" t="s">
        <v>3155</v>
      </c>
      <c r="E1835" s="15" t="s">
        <v>3156</v>
      </c>
    </row>
    <row r="1836" spans="2:5">
      <c r="B1836" s="15" t="s">
        <v>3144</v>
      </c>
      <c r="C1836" s="15" t="s">
        <v>3145</v>
      </c>
      <c r="D1836" s="15" t="s">
        <v>3157</v>
      </c>
      <c r="E1836" s="15" t="s">
        <v>3158</v>
      </c>
    </row>
    <row r="1837" spans="2:5">
      <c r="B1837" s="15" t="s">
        <v>3144</v>
      </c>
      <c r="C1837" s="15" t="s">
        <v>3145</v>
      </c>
      <c r="D1837" s="15" t="s">
        <v>1378</v>
      </c>
      <c r="E1837" s="15" t="s">
        <v>3159</v>
      </c>
    </row>
    <row r="1838" spans="2:5">
      <c r="B1838" s="15" t="s">
        <v>3144</v>
      </c>
      <c r="C1838" s="15" t="s">
        <v>3145</v>
      </c>
      <c r="D1838" s="15" t="s">
        <v>1380</v>
      </c>
      <c r="E1838" s="15" t="s">
        <v>3160</v>
      </c>
    </row>
    <row r="1839" spans="2:5">
      <c r="B1839" s="15" t="s">
        <v>3144</v>
      </c>
      <c r="C1839" s="15" t="s">
        <v>3145</v>
      </c>
      <c r="D1839" s="15" t="s">
        <v>1382</v>
      </c>
      <c r="E1839" s="15" t="s">
        <v>3161</v>
      </c>
    </row>
    <row r="1840" spans="2:5">
      <c r="B1840" s="15" t="s">
        <v>3144</v>
      </c>
      <c r="C1840" s="15" t="s">
        <v>3145</v>
      </c>
      <c r="D1840" s="15" t="s">
        <v>3047</v>
      </c>
      <c r="E1840" s="15" t="s">
        <v>3162</v>
      </c>
    </row>
    <row r="1841" spans="2:5">
      <c r="B1841" s="15" t="s">
        <v>3144</v>
      </c>
      <c r="C1841" s="15" t="s">
        <v>3145</v>
      </c>
      <c r="D1841" s="15" t="s">
        <v>3163</v>
      </c>
      <c r="E1841" s="15" t="s">
        <v>3164</v>
      </c>
    </row>
    <row r="1842" spans="2:5">
      <c r="B1842" s="15" t="s">
        <v>3144</v>
      </c>
      <c r="C1842" s="15" t="s">
        <v>3145</v>
      </c>
      <c r="D1842" s="15" t="s">
        <v>3165</v>
      </c>
      <c r="E1842" s="15" t="s">
        <v>3166</v>
      </c>
    </row>
    <row r="1843" spans="2:5">
      <c r="B1843" s="15" t="s">
        <v>3144</v>
      </c>
      <c r="C1843" s="15" t="s">
        <v>3145</v>
      </c>
      <c r="D1843" s="15" t="s">
        <v>3167</v>
      </c>
      <c r="E1843" s="15" t="s">
        <v>235</v>
      </c>
    </row>
    <row r="1844" ht="15.95" spans="2:2">
      <c r="B1844" s="122" t="s">
        <v>3168</v>
      </c>
    </row>
    <row r="1845" spans="2:5">
      <c r="B1845" s="15" t="s">
        <v>3169</v>
      </c>
      <c r="C1845" s="15" t="s">
        <v>3170</v>
      </c>
      <c r="D1845" s="15" t="s">
        <v>770</v>
      </c>
      <c r="E1845" s="15" t="s">
        <v>1860</v>
      </c>
    </row>
    <row r="1846" spans="2:5">
      <c r="B1846" s="15" t="s">
        <v>3169</v>
      </c>
      <c r="C1846" s="15" t="s">
        <v>3170</v>
      </c>
      <c r="D1846" s="15" t="s">
        <v>772</v>
      </c>
      <c r="E1846" s="15" t="s">
        <v>1861</v>
      </c>
    </row>
    <row r="1847" ht="15.95" spans="2:2">
      <c r="B1847" s="122" t="s">
        <v>3171</v>
      </c>
    </row>
    <row r="1848" spans="2:5">
      <c r="B1848" s="15" t="s">
        <v>3172</v>
      </c>
      <c r="C1848" s="15" t="s">
        <v>3172</v>
      </c>
      <c r="D1848" s="15" t="s">
        <v>770</v>
      </c>
      <c r="E1848" s="15" t="s">
        <v>3173</v>
      </c>
    </row>
    <row r="1849" spans="2:5">
      <c r="B1849" s="15" t="s">
        <v>3172</v>
      </c>
      <c r="C1849" s="15" t="s">
        <v>3172</v>
      </c>
      <c r="D1849" s="15" t="s">
        <v>772</v>
      </c>
      <c r="E1849" s="15" t="s">
        <v>3174</v>
      </c>
    </row>
    <row r="1850" spans="2:5">
      <c r="B1850" s="15" t="s">
        <v>3172</v>
      </c>
      <c r="C1850" s="15" t="s">
        <v>3172</v>
      </c>
      <c r="D1850" s="15" t="s">
        <v>774</v>
      </c>
      <c r="E1850" s="15" t="s">
        <v>3175</v>
      </c>
    </row>
    <row r="1851" spans="2:5">
      <c r="B1851" s="15" t="s">
        <v>3172</v>
      </c>
      <c r="C1851" s="15" t="s">
        <v>3172</v>
      </c>
      <c r="D1851" s="15" t="s">
        <v>828</v>
      </c>
      <c r="E1851" s="15" t="s">
        <v>3176</v>
      </c>
    </row>
    <row r="1852" ht="15.95" spans="2:2">
      <c r="B1852" s="122" t="s">
        <v>3177</v>
      </c>
    </row>
    <row r="1853" spans="2:5">
      <c r="B1853" s="15" t="s">
        <v>3178</v>
      </c>
      <c r="C1853" s="15" t="s">
        <v>3178</v>
      </c>
      <c r="D1853" s="15" t="s">
        <v>770</v>
      </c>
      <c r="E1853" s="15" t="s">
        <v>2699</v>
      </c>
    </row>
    <row r="1854" spans="2:5">
      <c r="B1854" s="15" t="s">
        <v>3178</v>
      </c>
      <c r="C1854" s="15" t="s">
        <v>3178</v>
      </c>
      <c r="D1854" s="15" t="s">
        <v>772</v>
      </c>
      <c r="E1854" s="15" t="s">
        <v>3179</v>
      </c>
    </row>
    <row r="1855" spans="2:5">
      <c r="B1855" s="15" t="s">
        <v>3178</v>
      </c>
      <c r="C1855" s="15" t="s">
        <v>3178</v>
      </c>
      <c r="D1855" s="15" t="s">
        <v>774</v>
      </c>
      <c r="E1855" s="15" t="s">
        <v>3180</v>
      </c>
    </row>
    <row r="1856" spans="2:5">
      <c r="B1856" s="15" t="s">
        <v>3178</v>
      </c>
      <c r="C1856" s="15" t="s">
        <v>3178</v>
      </c>
      <c r="D1856" s="15" t="s">
        <v>828</v>
      </c>
      <c r="E1856" s="15" t="s">
        <v>3181</v>
      </c>
    </row>
    <row r="1857" spans="2:5">
      <c r="B1857" s="15" t="s">
        <v>3178</v>
      </c>
      <c r="C1857" s="15" t="s">
        <v>3178</v>
      </c>
      <c r="D1857" s="15" t="s">
        <v>901</v>
      </c>
      <c r="E1857" s="15" t="s">
        <v>2703</v>
      </c>
    </row>
    <row r="1858" ht="15.95" spans="2:2">
      <c r="B1858" s="122" t="s">
        <v>3182</v>
      </c>
    </row>
    <row r="1859" spans="2:5">
      <c r="B1859" s="15" t="s">
        <v>3183</v>
      </c>
      <c r="C1859" s="15" t="s">
        <v>3183</v>
      </c>
      <c r="D1859" s="15" t="s">
        <v>919</v>
      </c>
      <c r="E1859" s="15" t="s">
        <v>1675</v>
      </c>
    </row>
    <row r="1860" spans="2:5">
      <c r="B1860" s="15" t="s">
        <v>3183</v>
      </c>
      <c r="C1860" s="15" t="s">
        <v>3183</v>
      </c>
      <c r="D1860" s="15" t="s">
        <v>921</v>
      </c>
      <c r="E1860" s="15" t="s">
        <v>1676</v>
      </c>
    </row>
    <row r="1861" spans="2:5">
      <c r="B1861" s="15" t="s">
        <v>3183</v>
      </c>
      <c r="C1861" s="15" t="s">
        <v>3183</v>
      </c>
      <c r="D1861" s="15" t="s">
        <v>923</v>
      </c>
      <c r="E1861" s="15" t="s">
        <v>3184</v>
      </c>
    </row>
    <row r="1862" ht="15.95" spans="2:2">
      <c r="B1862" s="122" t="s">
        <v>3185</v>
      </c>
    </row>
    <row r="1863" spans="2:5">
      <c r="B1863" s="15" t="s">
        <v>3186</v>
      </c>
      <c r="C1863" s="15" t="s">
        <v>3187</v>
      </c>
      <c r="D1863" s="15" t="s">
        <v>917</v>
      </c>
      <c r="E1863" s="15" t="s">
        <v>3188</v>
      </c>
    </row>
    <row r="1864" spans="2:5">
      <c r="B1864" s="15" t="s">
        <v>3186</v>
      </c>
      <c r="C1864" s="15" t="s">
        <v>3187</v>
      </c>
      <c r="D1864" s="15" t="s">
        <v>919</v>
      </c>
      <c r="E1864" s="15" t="s">
        <v>3189</v>
      </c>
    </row>
    <row r="1865" spans="2:5">
      <c r="B1865" s="15" t="s">
        <v>3186</v>
      </c>
      <c r="C1865" s="15" t="s">
        <v>3187</v>
      </c>
      <c r="D1865" s="15" t="s">
        <v>921</v>
      </c>
      <c r="E1865" s="15" t="s">
        <v>3190</v>
      </c>
    </row>
    <row r="1866" spans="2:5">
      <c r="B1866" s="15" t="s">
        <v>3186</v>
      </c>
      <c r="C1866" s="15" t="s">
        <v>3187</v>
      </c>
      <c r="D1866" s="15" t="s">
        <v>923</v>
      </c>
      <c r="E1866" s="15" t="s">
        <v>1932</v>
      </c>
    </row>
    <row r="1867" ht="15.95" spans="2:2">
      <c r="B1867" s="122" t="s">
        <v>3191</v>
      </c>
    </row>
    <row r="1868" spans="2:5">
      <c r="B1868" s="15" t="s">
        <v>3192</v>
      </c>
      <c r="C1868" s="15" t="s">
        <v>945</v>
      </c>
      <c r="D1868" s="15" t="s">
        <v>635</v>
      </c>
      <c r="E1868" s="15" t="s">
        <v>3193</v>
      </c>
    </row>
    <row r="1869" spans="2:5">
      <c r="B1869" s="15" t="s">
        <v>3192</v>
      </c>
      <c r="C1869" s="15" t="s">
        <v>945</v>
      </c>
      <c r="D1869" s="15" t="s">
        <v>659</v>
      </c>
      <c r="E1869" s="15" t="s">
        <v>3194</v>
      </c>
    </row>
    <row r="1870" ht="15.95" spans="2:2">
      <c r="B1870" s="122" t="s">
        <v>3195</v>
      </c>
    </row>
    <row r="1871" spans="2:5">
      <c r="B1871" s="15" t="s">
        <v>3196</v>
      </c>
      <c r="C1871" s="15" t="s">
        <v>3197</v>
      </c>
      <c r="D1871" s="15" t="s">
        <v>933</v>
      </c>
      <c r="E1871" s="15" t="s">
        <v>953</v>
      </c>
    </row>
    <row r="1872" spans="2:5">
      <c r="B1872" s="15" t="s">
        <v>3196</v>
      </c>
      <c r="C1872" s="15" t="s">
        <v>3197</v>
      </c>
      <c r="D1872" s="15" t="s">
        <v>937</v>
      </c>
      <c r="E1872" s="15" t="s">
        <v>2311</v>
      </c>
    </row>
    <row r="1873" ht="15.95" spans="2:2">
      <c r="B1873" s="122" t="s">
        <v>3198</v>
      </c>
    </row>
    <row r="1874" spans="2:5">
      <c r="B1874" s="15" t="s">
        <v>3199</v>
      </c>
      <c r="C1874" s="15" t="s">
        <v>3200</v>
      </c>
      <c r="D1874" s="15" t="s">
        <v>635</v>
      </c>
      <c r="E1874" s="15" t="s">
        <v>3201</v>
      </c>
    </row>
    <row r="1875" spans="2:5">
      <c r="B1875" s="15" t="s">
        <v>3199</v>
      </c>
      <c r="C1875" s="15" t="s">
        <v>3200</v>
      </c>
      <c r="D1875" s="15" t="s">
        <v>659</v>
      </c>
      <c r="E1875" s="15" t="s">
        <v>3202</v>
      </c>
    </row>
    <row r="1876" ht="15.95" spans="2:2">
      <c r="B1876" s="122" t="s">
        <v>3203</v>
      </c>
    </row>
    <row r="1877" spans="2:5">
      <c r="B1877" s="15" t="s">
        <v>3204</v>
      </c>
      <c r="C1877" s="15" t="s">
        <v>3205</v>
      </c>
      <c r="D1877" s="15" t="s">
        <v>770</v>
      </c>
      <c r="E1877" s="15" t="s">
        <v>3206</v>
      </c>
    </row>
    <row r="1878" spans="2:5">
      <c r="B1878" s="74" t="s">
        <v>3204</v>
      </c>
      <c r="C1878" s="77" t="s">
        <v>3205</v>
      </c>
      <c r="D1878" s="74" t="s">
        <v>772</v>
      </c>
      <c r="E1878" s="77" t="s">
        <v>3207</v>
      </c>
    </row>
    <row r="1879" spans="2:5">
      <c r="B1879" s="15" t="s">
        <v>3204</v>
      </c>
      <c r="C1879" s="15" t="s">
        <v>3205</v>
      </c>
      <c r="D1879" s="15" t="s">
        <v>772</v>
      </c>
      <c r="E1879" s="15" t="s">
        <v>3208</v>
      </c>
    </row>
    <row r="1880" spans="2:5">
      <c r="B1880" s="74" t="s">
        <v>3204</v>
      </c>
      <c r="C1880" s="77" t="s">
        <v>3205</v>
      </c>
      <c r="D1880" s="74" t="s">
        <v>828</v>
      </c>
      <c r="E1880" s="77" t="s">
        <v>3209</v>
      </c>
    </row>
    <row r="1881" spans="2:5">
      <c r="B1881" s="74" t="s">
        <v>3204</v>
      </c>
      <c r="C1881" s="77" t="s">
        <v>3205</v>
      </c>
      <c r="D1881" s="74" t="s">
        <v>901</v>
      </c>
      <c r="E1881" s="77" t="s">
        <v>3210</v>
      </c>
    </row>
    <row r="1882" spans="2:6">
      <c r="B1882" s="46" t="s">
        <v>3204</v>
      </c>
      <c r="C1882" s="49" t="s">
        <v>3205</v>
      </c>
      <c r="D1882" s="123" t="s">
        <v>774</v>
      </c>
      <c r="E1882" s="49" t="s">
        <v>3211</v>
      </c>
      <c r="F1882" s="2" t="s">
        <v>3212</v>
      </c>
    </row>
    <row r="1883" spans="2:5">
      <c r="B1883" s="74" t="s">
        <v>3204</v>
      </c>
      <c r="C1883" s="77" t="s">
        <v>3205</v>
      </c>
      <c r="D1883" s="74" t="s">
        <v>1290</v>
      </c>
      <c r="E1883" s="77" t="s">
        <v>3213</v>
      </c>
    </row>
    <row r="1884" spans="2:5">
      <c r="B1884" s="15" t="s">
        <v>3204</v>
      </c>
      <c r="C1884" s="15" t="s">
        <v>3205</v>
      </c>
      <c r="D1884" s="124" t="s">
        <v>828</v>
      </c>
      <c r="E1884" s="15" t="s">
        <v>3214</v>
      </c>
    </row>
    <row r="1885" ht="15.95" spans="2:2">
      <c r="B1885" s="122" t="s">
        <v>3215</v>
      </c>
    </row>
    <row r="1886" spans="2:5">
      <c r="B1886" s="15" t="s">
        <v>3216</v>
      </c>
      <c r="C1886" s="15" t="s">
        <v>3216</v>
      </c>
      <c r="D1886" s="15" t="s">
        <v>770</v>
      </c>
      <c r="E1886" s="15" t="s">
        <v>3217</v>
      </c>
    </row>
    <row r="1887" spans="2:5">
      <c r="B1887" s="15" t="s">
        <v>3216</v>
      </c>
      <c r="C1887" s="15" t="s">
        <v>3216</v>
      </c>
      <c r="D1887" s="15" t="s">
        <v>772</v>
      </c>
      <c r="E1887" s="15" t="s">
        <v>3218</v>
      </c>
    </row>
    <row r="1888" spans="2:5">
      <c r="B1888" s="15" t="s">
        <v>3216</v>
      </c>
      <c r="C1888" s="15" t="s">
        <v>3216</v>
      </c>
      <c r="D1888" s="15" t="s">
        <v>774</v>
      </c>
      <c r="E1888" s="15" t="s">
        <v>3219</v>
      </c>
    </row>
    <row r="1889" spans="2:5">
      <c r="B1889" s="15" t="s">
        <v>3216</v>
      </c>
      <c r="C1889" s="15" t="s">
        <v>3216</v>
      </c>
      <c r="D1889" s="15" t="s">
        <v>828</v>
      </c>
      <c r="E1889" s="15" t="s">
        <v>3220</v>
      </c>
    </row>
    <row r="1890" spans="2:5">
      <c r="B1890" s="15" t="s">
        <v>3216</v>
      </c>
      <c r="C1890" s="15" t="s">
        <v>3216</v>
      </c>
      <c r="D1890" s="15" t="s">
        <v>901</v>
      </c>
      <c r="E1890" s="15" t="s">
        <v>3221</v>
      </c>
    </row>
    <row r="1891" ht="15.95" spans="2:2">
      <c r="B1891" s="122" t="s">
        <v>3222</v>
      </c>
    </row>
    <row r="1892" spans="2:5">
      <c r="B1892" s="15" t="s">
        <v>3223</v>
      </c>
      <c r="C1892" s="15" t="s">
        <v>3224</v>
      </c>
      <c r="D1892" s="15" t="s">
        <v>770</v>
      </c>
      <c r="E1892" s="15" t="s">
        <v>3225</v>
      </c>
    </row>
    <row r="1893" spans="2:5">
      <c r="B1893" s="15" t="s">
        <v>3223</v>
      </c>
      <c r="C1893" s="15" t="s">
        <v>3224</v>
      </c>
      <c r="D1893" s="15" t="s">
        <v>772</v>
      </c>
      <c r="E1893" s="15" t="s">
        <v>3226</v>
      </c>
    </row>
    <row r="1894" spans="2:5">
      <c r="B1894" s="15" t="s">
        <v>3223</v>
      </c>
      <c r="C1894" s="15" t="s">
        <v>3224</v>
      </c>
      <c r="D1894" s="15" t="s">
        <v>774</v>
      </c>
      <c r="E1894" s="15" t="s">
        <v>235</v>
      </c>
    </row>
    <row r="1895" ht="15.95" spans="2:2">
      <c r="B1895" s="122" t="s">
        <v>3227</v>
      </c>
    </row>
    <row r="1896" spans="2:5">
      <c r="B1896" s="15" t="s">
        <v>3228</v>
      </c>
      <c r="C1896" s="15" t="s">
        <v>896</v>
      </c>
      <c r="D1896" s="15" t="s">
        <v>770</v>
      </c>
      <c r="E1896" s="15" t="s">
        <v>3229</v>
      </c>
    </row>
    <row r="1897" spans="2:5">
      <c r="B1897" s="15" t="s">
        <v>3228</v>
      </c>
      <c r="C1897" s="15" t="s">
        <v>896</v>
      </c>
      <c r="D1897" s="15" t="s">
        <v>772</v>
      </c>
      <c r="E1897" s="15" t="s">
        <v>3230</v>
      </c>
    </row>
    <row r="1898" spans="2:5">
      <c r="B1898" s="15" t="s">
        <v>3228</v>
      </c>
      <c r="C1898" s="15" t="s">
        <v>896</v>
      </c>
      <c r="D1898" s="15" t="s">
        <v>774</v>
      </c>
      <c r="E1898" s="15" t="s">
        <v>3231</v>
      </c>
    </row>
    <row r="1899" spans="2:5">
      <c r="B1899" s="15" t="s">
        <v>3228</v>
      </c>
      <c r="C1899" s="15" t="s">
        <v>896</v>
      </c>
      <c r="D1899" s="15" t="s">
        <v>828</v>
      </c>
      <c r="E1899" s="15" t="s">
        <v>3232</v>
      </c>
    </row>
    <row r="1900" ht="15.95" spans="2:2">
      <c r="B1900" s="122" t="s">
        <v>3233</v>
      </c>
    </row>
    <row r="1901" spans="2:5">
      <c r="B1901" s="15" t="s">
        <v>3234</v>
      </c>
      <c r="C1901" s="15" t="s">
        <v>3235</v>
      </c>
      <c r="D1901" s="15" t="s">
        <v>917</v>
      </c>
      <c r="E1901" s="15" t="s">
        <v>918</v>
      </c>
    </row>
    <row r="1902" spans="2:5">
      <c r="B1902" s="15" t="s">
        <v>3234</v>
      </c>
      <c r="C1902" s="15" t="s">
        <v>3235</v>
      </c>
      <c r="D1902" s="15" t="s">
        <v>919</v>
      </c>
      <c r="E1902" s="15" t="s">
        <v>1090</v>
      </c>
    </row>
    <row r="1903" spans="2:5">
      <c r="B1903" s="15" t="s">
        <v>3234</v>
      </c>
      <c r="C1903" s="15" t="s">
        <v>3235</v>
      </c>
      <c r="D1903" s="15" t="s">
        <v>1091</v>
      </c>
      <c r="E1903" s="15" t="s">
        <v>1092</v>
      </c>
    </row>
    <row r="1904" spans="2:5">
      <c r="B1904" s="15" t="s">
        <v>3234</v>
      </c>
      <c r="C1904" s="15" t="s">
        <v>3235</v>
      </c>
      <c r="D1904" s="15" t="s">
        <v>921</v>
      </c>
      <c r="E1904" s="15" t="s">
        <v>1093</v>
      </c>
    </row>
    <row r="1905" spans="2:5">
      <c r="B1905" s="15" t="s">
        <v>3234</v>
      </c>
      <c r="C1905" s="15" t="s">
        <v>3235</v>
      </c>
      <c r="D1905" s="15" t="s">
        <v>923</v>
      </c>
      <c r="E1905" s="15" t="s">
        <v>1094</v>
      </c>
    </row>
    <row r="1906" ht="15.95" spans="2:2">
      <c r="B1906" s="122" t="s">
        <v>3236</v>
      </c>
    </row>
    <row r="1907" spans="2:5">
      <c r="B1907" s="15" t="s">
        <v>3237</v>
      </c>
      <c r="C1907" s="15" t="s">
        <v>3237</v>
      </c>
      <c r="D1907" s="15" t="s">
        <v>723</v>
      </c>
      <c r="E1907" s="15" t="s">
        <v>3238</v>
      </c>
    </row>
    <row r="1908" spans="2:5">
      <c r="B1908" s="15" t="s">
        <v>3237</v>
      </c>
      <c r="C1908" s="15" t="s">
        <v>3237</v>
      </c>
      <c r="D1908" s="15" t="s">
        <v>725</v>
      </c>
      <c r="E1908" s="15" t="s">
        <v>3239</v>
      </c>
    </row>
    <row r="1909" spans="2:5">
      <c r="B1909" s="15" t="s">
        <v>3237</v>
      </c>
      <c r="C1909" s="15" t="s">
        <v>3237</v>
      </c>
      <c r="D1909" s="15" t="s">
        <v>727</v>
      </c>
      <c r="E1909" s="15" t="s">
        <v>2658</v>
      </c>
    </row>
    <row r="1910" spans="2:5">
      <c r="B1910" s="15" t="s">
        <v>3237</v>
      </c>
      <c r="C1910" s="15" t="s">
        <v>3237</v>
      </c>
      <c r="D1910" s="15" t="s">
        <v>729</v>
      </c>
      <c r="E1910" s="15" t="s">
        <v>2659</v>
      </c>
    </row>
    <row r="1911" spans="2:5">
      <c r="B1911" s="15" t="s">
        <v>3237</v>
      </c>
      <c r="C1911" s="15" t="s">
        <v>3237</v>
      </c>
      <c r="D1911" s="15" t="s">
        <v>760</v>
      </c>
      <c r="E1911" s="15" t="s">
        <v>235</v>
      </c>
    </row>
    <row r="1912" spans="2:5">
      <c r="B1912" s="15" t="s">
        <v>3237</v>
      </c>
      <c r="C1912" s="15" t="s">
        <v>3237</v>
      </c>
      <c r="D1912" s="15" t="s">
        <v>762</v>
      </c>
      <c r="E1912" s="15" t="s">
        <v>3240</v>
      </c>
    </row>
    <row r="1913" ht="15.95" spans="2:2">
      <c r="B1913" s="122" t="s">
        <v>3241</v>
      </c>
    </row>
    <row r="1914" spans="2:5">
      <c r="B1914" s="15" t="s">
        <v>3242</v>
      </c>
      <c r="C1914" s="15" t="s">
        <v>3242</v>
      </c>
      <c r="D1914" s="15" t="s">
        <v>723</v>
      </c>
      <c r="E1914" s="15" t="s">
        <v>1643</v>
      </c>
    </row>
    <row r="1915" spans="2:5">
      <c r="B1915" s="15" t="s">
        <v>3242</v>
      </c>
      <c r="C1915" s="15" t="s">
        <v>3242</v>
      </c>
      <c r="D1915" s="15" t="s">
        <v>725</v>
      </c>
      <c r="E1915" s="15" t="s">
        <v>862</v>
      </c>
    </row>
    <row r="1916" ht="15.95" spans="2:2">
      <c r="B1916" s="122" t="s">
        <v>3243</v>
      </c>
    </row>
    <row r="1917" spans="2:5">
      <c r="B1917" s="15" t="s">
        <v>3244</v>
      </c>
      <c r="C1917" s="15" t="s">
        <v>3245</v>
      </c>
      <c r="D1917" s="15" t="s">
        <v>770</v>
      </c>
      <c r="E1917" s="15" t="s">
        <v>3246</v>
      </c>
    </row>
    <row r="1918" spans="2:5">
      <c r="B1918" s="15" t="s">
        <v>3244</v>
      </c>
      <c r="C1918" s="15" t="s">
        <v>3245</v>
      </c>
      <c r="D1918" s="15" t="s">
        <v>772</v>
      </c>
      <c r="E1918" s="15" t="s">
        <v>3247</v>
      </c>
    </row>
    <row r="1919" spans="2:5">
      <c r="B1919" s="15" t="s">
        <v>3244</v>
      </c>
      <c r="C1919" s="15" t="s">
        <v>3245</v>
      </c>
      <c r="D1919" s="15" t="s">
        <v>774</v>
      </c>
      <c r="E1919" s="15" t="s">
        <v>3248</v>
      </c>
    </row>
    <row r="1920" spans="2:5">
      <c r="B1920" s="15" t="s">
        <v>3244</v>
      </c>
      <c r="C1920" s="15" t="s">
        <v>3245</v>
      </c>
      <c r="D1920" s="15" t="s">
        <v>828</v>
      </c>
      <c r="E1920" s="15" t="s">
        <v>3249</v>
      </c>
    </row>
    <row r="1921" spans="2:5">
      <c r="B1921" s="15" t="s">
        <v>3244</v>
      </c>
      <c r="C1921" s="15" t="s">
        <v>3245</v>
      </c>
      <c r="D1921" s="15" t="s">
        <v>901</v>
      </c>
      <c r="E1921" s="15" t="s">
        <v>3250</v>
      </c>
    </row>
    <row r="1922" spans="2:5">
      <c r="B1922" s="15" t="s">
        <v>3244</v>
      </c>
      <c r="C1922" s="15" t="s">
        <v>3245</v>
      </c>
      <c r="D1922" s="15" t="s">
        <v>776</v>
      </c>
      <c r="E1922" s="15" t="s">
        <v>3251</v>
      </c>
    </row>
    <row r="1923" spans="2:5">
      <c r="B1923" s="15" t="s">
        <v>3244</v>
      </c>
      <c r="C1923" s="15" t="s">
        <v>3245</v>
      </c>
      <c r="D1923" s="15" t="s">
        <v>1290</v>
      </c>
      <c r="E1923" s="15" t="s">
        <v>3252</v>
      </c>
    </row>
    <row r="1924" ht="15.95" spans="2:2">
      <c r="B1924" s="122" t="s">
        <v>3253</v>
      </c>
    </row>
    <row r="1925" spans="2:5">
      <c r="B1925" s="15" t="s">
        <v>3254</v>
      </c>
      <c r="C1925" s="15" t="s">
        <v>3254</v>
      </c>
      <c r="D1925" s="15" t="s">
        <v>770</v>
      </c>
      <c r="E1925" s="15" t="s">
        <v>3255</v>
      </c>
    </row>
    <row r="1926" spans="2:5">
      <c r="B1926" s="15" t="s">
        <v>3254</v>
      </c>
      <c r="C1926" s="15" t="s">
        <v>3254</v>
      </c>
      <c r="D1926" s="15" t="s">
        <v>772</v>
      </c>
      <c r="E1926" s="15" t="s">
        <v>3256</v>
      </c>
    </row>
    <row r="1927" spans="2:5">
      <c r="B1927" s="15" t="s">
        <v>3254</v>
      </c>
      <c r="C1927" s="15" t="s">
        <v>3254</v>
      </c>
      <c r="D1927" s="15" t="s">
        <v>774</v>
      </c>
      <c r="E1927" s="15" t="s">
        <v>3257</v>
      </c>
    </row>
    <row r="1928" spans="2:5">
      <c r="B1928" s="15" t="s">
        <v>3254</v>
      </c>
      <c r="C1928" s="15" t="s">
        <v>3254</v>
      </c>
      <c r="D1928" s="15" t="s">
        <v>828</v>
      </c>
      <c r="E1928" s="15" t="s">
        <v>3258</v>
      </c>
    </row>
    <row r="1929" ht="15.95" spans="2:2">
      <c r="B1929" s="122" t="s">
        <v>3259</v>
      </c>
    </row>
    <row r="1930" spans="2:5">
      <c r="B1930" s="15" t="s">
        <v>3260</v>
      </c>
      <c r="C1930" s="15" t="s">
        <v>3260</v>
      </c>
      <c r="D1930" s="15" t="s">
        <v>770</v>
      </c>
      <c r="E1930" s="15" t="s">
        <v>3261</v>
      </c>
    </row>
    <row r="1931" spans="2:5">
      <c r="B1931" s="15" t="s">
        <v>3260</v>
      </c>
      <c r="C1931" s="15" t="s">
        <v>3260</v>
      </c>
      <c r="D1931" s="15" t="s">
        <v>772</v>
      </c>
      <c r="E1931" s="15" t="s">
        <v>3262</v>
      </c>
    </row>
    <row r="1932" spans="2:5">
      <c r="B1932" s="15" t="s">
        <v>3260</v>
      </c>
      <c r="C1932" s="15" t="s">
        <v>3260</v>
      </c>
      <c r="D1932" s="15" t="s">
        <v>774</v>
      </c>
      <c r="E1932" s="15" t="s">
        <v>3263</v>
      </c>
    </row>
    <row r="1933" spans="2:5">
      <c r="B1933" s="15" t="s">
        <v>3260</v>
      </c>
      <c r="C1933" s="15" t="s">
        <v>3260</v>
      </c>
      <c r="D1933" s="15" t="s">
        <v>828</v>
      </c>
      <c r="E1933" s="15" t="s">
        <v>3264</v>
      </c>
    </row>
    <row r="1934" ht="15.95" spans="2:2">
      <c r="B1934" s="122" t="s">
        <v>3265</v>
      </c>
    </row>
    <row r="1935" spans="2:5">
      <c r="B1935" s="15" t="s">
        <v>3266</v>
      </c>
      <c r="C1935" s="15" t="s">
        <v>3267</v>
      </c>
      <c r="D1935" s="15" t="s">
        <v>770</v>
      </c>
      <c r="E1935" s="15" t="s">
        <v>3268</v>
      </c>
    </row>
    <row r="1936" spans="2:5">
      <c r="B1936" s="15" t="s">
        <v>3266</v>
      </c>
      <c r="C1936" s="15" t="s">
        <v>3267</v>
      </c>
      <c r="D1936" s="15" t="s">
        <v>772</v>
      </c>
      <c r="E1936" s="15" t="s">
        <v>3269</v>
      </c>
    </row>
    <row r="1937" spans="2:5">
      <c r="B1937" s="15" t="s">
        <v>3266</v>
      </c>
      <c r="C1937" s="15" t="s">
        <v>3267</v>
      </c>
      <c r="D1937" s="15" t="s">
        <v>774</v>
      </c>
      <c r="E1937" s="15" t="s">
        <v>3270</v>
      </c>
    </row>
    <row r="1938" spans="2:5">
      <c r="B1938" s="15" t="s">
        <v>3266</v>
      </c>
      <c r="C1938" s="15" t="s">
        <v>3267</v>
      </c>
      <c r="D1938" s="15" t="s">
        <v>828</v>
      </c>
      <c r="E1938" s="15" t="s">
        <v>3271</v>
      </c>
    </row>
    <row r="1939" spans="2:5">
      <c r="B1939" s="15" t="s">
        <v>3266</v>
      </c>
      <c r="C1939" s="15" t="s">
        <v>3267</v>
      </c>
      <c r="D1939" s="15" t="s">
        <v>901</v>
      </c>
      <c r="E1939" s="15" t="s">
        <v>948</v>
      </c>
    </row>
    <row r="1940" ht="15.95" spans="2:2">
      <c r="B1940" s="122" t="s">
        <v>3272</v>
      </c>
    </row>
    <row r="1941" spans="2:5">
      <c r="B1941" s="15" t="s">
        <v>3273</v>
      </c>
      <c r="C1941" s="15" t="s">
        <v>3274</v>
      </c>
      <c r="D1941" s="15" t="s">
        <v>933</v>
      </c>
      <c r="E1941" s="15" t="s">
        <v>3275</v>
      </c>
    </row>
    <row r="1942" spans="2:5">
      <c r="B1942" s="15" t="s">
        <v>3273</v>
      </c>
      <c r="C1942" s="15" t="s">
        <v>3274</v>
      </c>
      <c r="D1942" s="15" t="s">
        <v>937</v>
      </c>
      <c r="E1942" s="15" t="s">
        <v>3276</v>
      </c>
    </row>
    <row r="1943" spans="2:5">
      <c r="B1943" s="15" t="s">
        <v>3273</v>
      </c>
      <c r="C1943" s="15" t="s">
        <v>3274</v>
      </c>
      <c r="D1943" s="15" t="s">
        <v>939</v>
      </c>
      <c r="E1943" s="15" t="s">
        <v>3277</v>
      </c>
    </row>
    <row r="1944" spans="2:5">
      <c r="B1944" s="15" t="s">
        <v>3273</v>
      </c>
      <c r="C1944" s="15" t="s">
        <v>3274</v>
      </c>
      <c r="D1944" s="15" t="s">
        <v>941</v>
      </c>
      <c r="E1944" s="15" t="s">
        <v>3278</v>
      </c>
    </row>
    <row r="1945" spans="2:5">
      <c r="B1945" s="15" t="s">
        <v>3273</v>
      </c>
      <c r="C1945" s="15" t="s">
        <v>3274</v>
      </c>
      <c r="D1945" s="15" t="s">
        <v>1007</v>
      </c>
      <c r="E1945" s="15" t="s">
        <v>3279</v>
      </c>
    </row>
    <row r="1946" spans="2:5">
      <c r="B1946" s="15" t="s">
        <v>3273</v>
      </c>
      <c r="C1946" s="15" t="s">
        <v>3274</v>
      </c>
      <c r="D1946" s="15" t="s">
        <v>1139</v>
      </c>
      <c r="E1946" s="15" t="s">
        <v>3280</v>
      </c>
    </row>
    <row r="1947" spans="2:5">
      <c r="B1947" s="15" t="s">
        <v>3273</v>
      </c>
      <c r="C1947" s="15" t="s">
        <v>3274</v>
      </c>
      <c r="D1947" s="15" t="s">
        <v>1140</v>
      </c>
      <c r="E1947" s="15" t="s">
        <v>3281</v>
      </c>
    </row>
    <row r="1948" spans="2:5">
      <c r="B1948" s="15" t="s">
        <v>3273</v>
      </c>
      <c r="C1948" s="15" t="s">
        <v>3274</v>
      </c>
      <c r="D1948" s="15" t="s">
        <v>1141</v>
      </c>
      <c r="E1948" s="15" t="s">
        <v>3282</v>
      </c>
    </row>
    <row r="1949" ht="15.95" spans="2:2">
      <c r="B1949" s="122" t="s">
        <v>3283</v>
      </c>
    </row>
    <row r="1950" spans="2:5">
      <c r="B1950" s="15" t="s">
        <v>3284</v>
      </c>
      <c r="C1950" s="15" t="s">
        <v>3285</v>
      </c>
      <c r="D1950" s="15" t="s">
        <v>1432</v>
      </c>
      <c r="E1950" s="15" t="s">
        <v>3286</v>
      </c>
    </row>
    <row r="1951" spans="2:5">
      <c r="B1951" s="15" t="s">
        <v>3284</v>
      </c>
      <c r="C1951" s="15" t="s">
        <v>3285</v>
      </c>
      <c r="D1951" s="15" t="s">
        <v>723</v>
      </c>
      <c r="E1951" s="15" t="s">
        <v>3287</v>
      </c>
    </row>
    <row r="1952" ht="15.95" spans="2:2">
      <c r="B1952" s="122" t="s">
        <v>3288</v>
      </c>
    </row>
    <row r="1953" spans="2:5">
      <c r="B1953" s="15" t="s">
        <v>3289</v>
      </c>
      <c r="C1953" s="15" t="s">
        <v>3290</v>
      </c>
      <c r="D1953" s="15" t="s">
        <v>770</v>
      </c>
      <c r="E1953" s="15" t="s">
        <v>3291</v>
      </c>
    </row>
    <row r="1954" spans="2:5">
      <c r="B1954" s="15" t="s">
        <v>3289</v>
      </c>
      <c r="C1954" s="15" t="s">
        <v>3290</v>
      </c>
      <c r="D1954" s="15" t="s">
        <v>772</v>
      </c>
      <c r="E1954" s="15" t="s">
        <v>3292</v>
      </c>
    </row>
    <row r="1955" spans="2:5">
      <c r="B1955" s="15" t="s">
        <v>3289</v>
      </c>
      <c r="C1955" s="15" t="s">
        <v>3290</v>
      </c>
      <c r="D1955" s="15" t="s">
        <v>774</v>
      </c>
      <c r="E1955" s="15" t="s">
        <v>3293</v>
      </c>
    </row>
    <row r="1956" ht="15.95" spans="2:2">
      <c r="B1956" s="122" t="s">
        <v>3294</v>
      </c>
    </row>
    <row r="1957" spans="2:5">
      <c r="B1957" s="15" t="s">
        <v>3295</v>
      </c>
      <c r="C1957" s="15" t="s">
        <v>3296</v>
      </c>
      <c r="D1957" s="15" t="s">
        <v>635</v>
      </c>
      <c r="E1957" s="15" t="s">
        <v>3297</v>
      </c>
    </row>
    <row r="1958" spans="2:5">
      <c r="B1958" s="15" t="s">
        <v>3295</v>
      </c>
      <c r="C1958" s="15" t="s">
        <v>3296</v>
      </c>
      <c r="D1958" s="15" t="s">
        <v>659</v>
      </c>
      <c r="E1958" s="15" t="s">
        <v>3298</v>
      </c>
    </row>
    <row r="1959" ht="15.95" spans="2:2">
      <c r="B1959" s="122" t="s">
        <v>3299</v>
      </c>
    </row>
    <row r="1960" spans="2:5">
      <c r="B1960" s="15" t="s">
        <v>3300</v>
      </c>
      <c r="C1960" s="15"/>
      <c r="D1960" s="15" t="s">
        <v>1432</v>
      </c>
      <c r="E1960" s="15" t="s">
        <v>2212</v>
      </c>
    </row>
    <row r="1961" spans="2:5">
      <c r="B1961" s="15" t="s">
        <v>3300</v>
      </c>
      <c r="C1961" s="15"/>
      <c r="D1961" s="15" t="s">
        <v>723</v>
      </c>
      <c r="E1961" s="15" t="s">
        <v>1439</v>
      </c>
    </row>
    <row r="1962" spans="2:5">
      <c r="B1962" s="15" t="s">
        <v>3300</v>
      </c>
      <c r="C1962" s="15"/>
      <c r="D1962" s="15" t="s">
        <v>725</v>
      </c>
      <c r="E1962" s="15" t="s">
        <v>1443</v>
      </c>
    </row>
    <row r="1963" ht="15.95" spans="2:2">
      <c r="B1963" s="122" t="s">
        <v>3301</v>
      </c>
    </row>
    <row r="1964" spans="2:5">
      <c r="B1964" s="15" t="s">
        <v>3302</v>
      </c>
      <c r="C1964" s="15" t="s">
        <v>3303</v>
      </c>
      <c r="D1964" s="15" t="s">
        <v>3304</v>
      </c>
      <c r="E1964" s="15" t="s">
        <v>3305</v>
      </c>
    </row>
    <row r="1965" spans="2:5">
      <c r="B1965" s="15" t="s">
        <v>3302</v>
      </c>
      <c r="C1965" s="15" t="s">
        <v>3303</v>
      </c>
      <c r="D1965" s="15" t="s">
        <v>3306</v>
      </c>
      <c r="E1965" s="15" t="s">
        <v>3307</v>
      </c>
    </row>
    <row r="1966" ht="15.95" spans="2:2">
      <c r="B1966" s="122" t="s">
        <v>3308</v>
      </c>
    </row>
    <row r="1967" spans="2:5">
      <c r="B1967" s="15" t="s">
        <v>3309</v>
      </c>
      <c r="C1967" s="15" t="s">
        <v>3310</v>
      </c>
      <c r="D1967" s="15" t="s">
        <v>635</v>
      </c>
      <c r="E1967" s="15" t="s">
        <v>2492</v>
      </c>
    </row>
    <row r="1968" spans="2:5">
      <c r="B1968" s="15" t="s">
        <v>3309</v>
      </c>
      <c r="C1968" s="15" t="s">
        <v>3310</v>
      </c>
      <c r="D1968" s="15" t="s">
        <v>659</v>
      </c>
      <c r="E1968" s="15" t="s">
        <v>3311</v>
      </c>
    </row>
    <row r="1969" spans="2:5">
      <c r="B1969" s="15" t="s">
        <v>3309</v>
      </c>
      <c r="C1969" s="15" t="s">
        <v>3310</v>
      </c>
      <c r="D1969" s="15" t="s">
        <v>679</v>
      </c>
      <c r="E1969" s="15" t="s">
        <v>3312</v>
      </c>
    </row>
    <row r="1970" spans="2:5">
      <c r="B1970" s="15" t="s">
        <v>3309</v>
      </c>
      <c r="C1970" s="15" t="s">
        <v>3310</v>
      </c>
      <c r="D1970" s="15" t="s">
        <v>705</v>
      </c>
      <c r="E1970" s="15" t="s">
        <v>3313</v>
      </c>
    </row>
    <row r="1971" spans="2:5">
      <c r="B1971" s="15" t="s">
        <v>3309</v>
      </c>
      <c r="C1971" s="15" t="s">
        <v>3310</v>
      </c>
      <c r="D1971" s="15" t="s">
        <v>709</v>
      </c>
      <c r="E1971" s="15" t="s">
        <v>3314</v>
      </c>
    </row>
    <row r="1972" spans="2:5">
      <c r="B1972" s="15" t="s">
        <v>3309</v>
      </c>
      <c r="C1972" s="15" t="s">
        <v>3310</v>
      </c>
      <c r="D1972" s="15" t="s">
        <v>838</v>
      </c>
      <c r="E1972" s="15" t="s">
        <v>3315</v>
      </c>
    </row>
    <row r="1973" spans="2:5">
      <c r="B1973" s="15" t="s">
        <v>3309</v>
      </c>
      <c r="C1973" s="15" t="s">
        <v>3310</v>
      </c>
      <c r="D1973" s="15" t="s">
        <v>840</v>
      </c>
      <c r="E1973" s="15" t="s">
        <v>3316</v>
      </c>
    </row>
    <row r="1974" spans="2:5">
      <c r="B1974" s="15" t="s">
        <v>3309</v>
      </c>
      <c r="C1974" s="15" t="s">
        <v>3310</v>
      </c>
      <c r="D1974" s="15" t="s">
        <v>842</v>
      </c>
      <c r="E1974" s="15" t="s">
        <v>656</v>
      </c>
    </row>
    <row r="1975" spans="2:5">
      <c r="B1975" s="15" t="s">
        <v>3309</v>
      </c>
      <c r="C1975" s="15" t="s">
        <v>3310</v>
      </c>
      <c r="D1975" s="15" t="s">
        <v>844</v>
      </c>
      <c r="E1975" s="15" t="s">
        <v>880</v>
      </c>
    </row>
    <row r="1976" spans="2:5">
      <c r="B1976" s="15" t="s">
        <v>3309</v>
      </c>
      <c r="C1976" s="15" t="s">
        <v>3310</v>
      </c>
      <c r="D1976" s="15" t="s">
        <v>846</v>
      </c>
      <c r="E1976" s="15" t="s">
        <v>3317</v>
      </c>
    </row>
    <row r="1977" spans="2:5">
      <c r="B1977" s="15" t="s">
        <v>3309</v>
      </c>
      <c r="C1977" s="15" t="s">
        <v>3310</v>
      </c>
      <c r="D1977" s="15" t="s">
        <v>713</v>
      </c>
      <c r="E1977" s="15" t="s">
        <v>3318</v>
      </c>
    </row>
    <row r="1978" spans="2:5">
      <c r="B1978" s="15" t="s">
        <v>3309</v>
      </c>
      <c r="C1978" s="15" t="s">
        <v>3310</v>
      </c>
      <c r="D1978" s="15" t="s">
        <v>849</v>
      </c>
      <c r="E1978" s="15" t="s">
        <v>3319</v>
      </c>
    </row>
    <row r="1979" spans="2:5">
      <c r="B1979" s="15" t="s">
        <v>3309</v>
      </c>
      <c r="C1979" s="15" t="s">
        <v>3310</v>
      </c>
      <c r="D1979" s="15" t="s">
        <v>851</v>
      </c>
      <c r="E1979" s="15" t="s">
        <v>3320</v>
      </c>
    </row>
    <row r="1980" ht="15.95" spans="2:2">
      <c r="B1980" s="122" t="s">
        <v>3321</v>
      </c>
    </row>
    <row r="1981" spans="2:5">
      <c r="B1981" s="15" t="s">
        <v>3322</v>
      </c>
      <c r="C1981" s="15" t="s">
        <v>3322</v>
      </c>
      <c r="D1981" s="15" t="s">
        <v>3323</v>
      </c>
      <c r="E1981" s="15" t="s">
        <v>3324</v>
      </c>
    </row>
    <row r="1982" spans="2:5">
      <c r="B1982" s="15" t="s">
        <v>3322</v>
      </c>
      <c r="C1982" s="15" t="s">
        <v>3322</v>
      </c>
      <c r="D1982" s="15" t="s">
        <v>3325</v>
      </c>
      <c r="E1982" s="15" t="s">
        <v>3326</v>
      </c>
    </row>
    <row r="1983" ht="15.95" spans="2:2">
      <c r="B1983" s="122" t="s">
        <v>3327</v>
      </c>
    </row>
    <row r="1984" spans="2:5">
      <c r="B1984" s="15" t="s">
        <v>3328</v>
      </c>
      <c r="C1984" s="15" t="s">
        <v>3329</v>
      </c>
      <c r="D1984" s="15" t="s">
        <v>770</v>
      </c>
      <c r="E1984" s="15" t="s">
        <v>3330</v>
      </c>
    </row>
    <row r="1985" spans="2:5">
      <c r="B1985" s="15" t="s">
        <v>3328</v>
      </c>
      <c r="C1985" s="15" t="s">
        <v>3329</v>
      </c>
      <c r="D1985" s="15" t="s">
        <v>772</v>
      </c>
      <c r="E1985" s="15" t="s">
        <v>3331</v>
      </c>
    </row>
    <row r="1986" ht="15.95" spans="2:2">
      <c r="B1986" s="122" t="s">
        <v>3332</v>
      </c>
    </row>
    <row r="1987" spans="2:5">
      <c r="B1987" s="15" t="s">
        <v>3333</v>
      </c>
      <c r="C1987" s="15" t="s">
        <v>3333</v>
      </c>
      <c r="D1987" s="15" t="s">
        <v>723</v>
      </c>
      <c r="E1987" s="15" t="s">
        <v>2394</v>
      </c>
    </row>
    <row r="1988" spans="2:5">
      <c r="B1988" s="15" t="s">
        <v>3333</v>
      </c>
      <c r="C1988" s="15" t="s">
        <v>3333</v>
      </c>
      <c r="D1988" s="15" t="s">
        <v>725</v>
      </c>
      <c r="E1988" s="15" t="s">
        <v>2395</v>
      </c>
    </row>
    <row r="1989" spans="2:5">
      <c r="B1989" s="15" t="s">
        <v>3333</v>
      </c>
      <c r="C1989" s="15" t="s">
        <v>3333</v>
      </c>
      <c r="D1989" s="15" t="s">
        <v>727</v>
      </c>
      <c r="E1989" s="15" t="s">
        <v>3334</v>
      </c>
    </row>
    <row r="1990" spans="2:5">
      <c r="B1990" s="15" t="s">
        <v>3333</v>
      </c>
      <c r="C1990" s="15" t="s">
        <v>3333</v>
      </c>
      <c r="D1990" s="15" t="s">
        <v>729</v>
      </c>
      <c r="E1990" s="15" t="s">
        <v>3335</v>
      </c>
    </row>
    <row r="1991" ht="15.95" spans="2:2">
      <c r="B1991" s="122" t="s">
        <v>3336</v>
      </c>
    </row>
    <row r="1992" spans="2:5">
      <c r="B1992" s="15" t="s">
        <v>3337</v>
      </c>
      <c r="C1992" s="15" t="s">
        <v>3338</v>
      </c>
      <c r="D1992" s="15" t="s">
        <v>635</v>
      </c>
      <c r="E1992" s="15" t="s">
        <v>3339</v>
      </c>
    </row>
    <row r="1993" spans="2:5">
      <c r="B1993" s="15" t="s">
        <v>3337</v>
      </c>
      <c r="C1993" s="15" t="s">
        <v>3338</v>
      </c>
      <c r="D1993" s="15" t="s">
        <v>659</v>
      </c>
      <c r="E1993" s="15" t="s">
        <v>3340</v>
      </c>
    </row>
    <row r="1994" spans="2:5">
      <c r="B1994" s="15" t="s">
        <v>3337</v>
      </c>
      <c r="C1994" s="15" t="s">
        <v>3338</v>
      </c>
      <c r="D1994" s="15" t="s">
        <v>679</v>
      </c>
      <c r="E1994" s="15" t="s">
        <v>3341</v>
      </c>
    </row>
    <row r="1995" spans="2:5">
      <c r="B1995" s="15" t="s">
        <v>3337</v>
      </c>
      <c r="C1995" s="15" t="s">
        <v>3338</v>
      </c>
      <c r="D1995" s="15" t="s">
        <v>705</v>
      </c>
      <c r="E1995" s="15" t="s">
        <v>3342</v>
      </c>
    </row>
    <row r="1996" ht="15.95" spans="2:2">
      <c r="B1996" s="122" t="s">
        <v>3343</v>
      </c>
    </row>
    <row r="1997" spans="2:5">
      <c r="B1997" s="15" t="s">
        <v>3344</v>
      </c>
      <c r="C1997" s="15" t="s">
        <v>3344</v>
      </c>
      <c r="D1997" s="15" t="s">
        <v>723</v>
      </c>
      <c r="E1997" s="15" t="s">
        <v>3345</v>
      </c>
    </row>
    <row r="1998" spans="2:5">
      <c r="B1998" s="15" t="s">
        <v>3344</v>
      </c>
      <c r="C1998" s="15" t="s">
        <v>3344</v>
      </c>
      <c r="D1998" s="15" t="s">
        <v>725</v>
      </c>
      <c r="E1998" s="15" t="s">
        <v>3346</v>
      </c>
    </row>
    <row r="1999" ht="15.95" spans="2:2">
      <c r="B1999" s="122" t="s">
        <v>3347</v>
      </c>
    </row>
    <row r="2000" spans="2:5">
      <c r="B2000" s="15" t="s">
        <v>3348</v>
      </c>
      <c r="C2000" s="15" t="s">
        <v>896</v>
      </c>
      <c r="D2000" s="15" t="s">
        <v>770</v>
      </c>
      <c r="E2000" s="15" t="s">
        <v>724</v>
      </c>
    </row>
    <row r="2001" spans="2:5">
      <c r="B2001" s="15" t="s">
        <v>3348</v>
      </c>
      <c r="C2001" s="15" t="s">
        <v>896</v>
      </c>
      <c r="D2001" s="15" t="s">
        <v>772</v>
      </c>
      <c r="E2001" s="15" t="s">
        <v>726</v>
      </c>
    </row>
    <row r="2002" spans="2:5">
      <c r="B2002" s="15" t="s">
        <v>3348</v>
      </c>
      <c r="C2002" s="15" t="s">
        <v>896</v>
      </c>
      <c r="D2002" s="15" t="s">
        <v>774</v>
      </c>
      <c r="E2002" s="15" t="s">
        <v>728</v>
      </c>
    </row>
    <row r="2003" spans="2:5">
      <c r="B2003" s="15" t="s">
        <v>3348</v>
      </c>
      <c r="C2003" s="15" t="s">
        <v>896</v>
      </c>
      <c r="D2003" s="15" t="s">
        <v>828</v>
      </c>
      <c r="E2003" s="15" t="s">
        <v>730</v>
      </c>
    </row>
    <row r="2004" ht="15.95" spans="2:2">
      <c r="B2004" s="122" t="s">
        <v>3349</v>
      </c>
    </row>
    <row r="2005" spans="2:5">
      <c r="B2005" s="15" t="s">
        <v>3350</v>
      </c>
      <c r="C2005" s="15" t="s">
        <v>1987</v>
      </c>
      <c r="D2005" s="15" t="s">
        <v>635</v>
      </c>
      <c r="E2005" s="15" t="s">
        <v>636</v>
      </c>
    </row>
    <row r="2006" spans="2:5">
      <c r="B2006" s="15" t="s">
        <v>3350</v>
      </c>
      <c r="C2006" s="15" t="s">
        <v>1987</v>
      </c>
      <c r="D2006" s="15" t="s">
        <v>637</v>
      </c>
      <c r="E2006" s="15" t="s">
        <v>2492</v>
      </c>
    </row>
    <row r="2007" spans="2:5">
      <c r="B2007" s="15" t="s">
        <v>3350</v>
      </c>
      <c r="C2007" s="15" t="s">
        <v>1987</v>
      </c>
      <c r="D2007" s="15" t="s">
        <v>641</v>
      </c>
      <c r="E2007" s="15" t="s">
        <v>3351</v>
      </c>
    </row>
    <row r="2008" spans="2:5">
      <c r="B2008" s="15" t="s">
        <v>3350</v>
      </c>
      <c r="C2008" s="15" t="s">
        <v>1987</v>
      </c>
      <c r="D2008" s="15" t="s">
        <v>1905</v>
      </c>
      <c r="E2008" s="15" t="s">
        <v>1990</v>
      </c>
    </row>
    <row r="2009" spans="2:5">
      <c r="B2009" s="15" t="s">
        <v>3350</v>
      </c>
      <c r="C2009" s="15" t="s">
        <v>1987</v>
      </c>
      <c r="D2009" s="15" t="s">
        <v>643</v>
      </c>
      <c r="E2009" s="15" t="s">
        <v>1991</v>
      </c>
    </row>
    <row r="2010" spans="2:5">
      <c r="B2010" s="15" t="s">
        <v>3350</v>
      </c>
      <c r="C2010" s="15" t="s">
        <v>1987</v>
      </c>
      <c r="D2010" s="15" t="s">
        <v>645</v>
      </c>
      <c r="E2010" s="15" t="s">
        <v>1992</v>
      </c>
    </row>
    <row r="2011" spans="2:5">
      <c r="B2011" s="15" t="s">
        <v>3350</v>
      </c>
      <c r="C2011" s="15" t="s">
        <v>1987</v>
      </c>
      <c r="D2011" s="15" t="s">
        <v>647</v>
      </c>
      <c r="E2011" s="15" t="s">
        <v>1993</v>
      </c>
    </row>
    <row r="2012" spans="2:5">
      <c r="B2012" s="15" t="s">
        <v>3350</v>
      </c>
      <c r="C2012" s="15" t="s">
        <v>1987</v>
      </c>
      <c r="D2012" s="15" t="s">
        <v>3352</v>
      </c>
      <c r="E2012" s="15" t="s">
        <v>1994</v>
      </c>
    </row>
    <row r="2013" spans="2:5">
      <c r="B2013" s="15" t="s">
        <v>3350</v>
      </c>
      <c r="C2013" s="15" t="s">
        <v>1987</v>
      </c>
      <c r="D2013" s="15" t="s">
        <v>649</v>
      </c>
      <c r="E2013" s="15" t="s">
        <v>1996</v>
      </c>
    </row>
    <row r="2014" spans="2:5">
      <c r="B2014" s="15" t="s">
        <v>3350</v>
      </c>
      <c r="C2014" s="15" t="s">
        <v>1987</v>
      </c>
      <c r="D2014" s="15" t="s">
        <v>651</v>
      </c>
      <c r="E2014" s="15" t="s">
        <v>1997</v>
      </c>
    </row>
    <row r="2015" spans="2:5">
      <c r="B2015" s="15" t="s">
        <v>3350</v>
      </c>
      <c r="C2015" s="15" t="s">
        <v>1987</v>
      </c>
      <c r="D2015" s="15" t="s">
        <v>653</v>
      </c>
      <c r="E2015" s="15" t="s">
        <v>1999</v>
      </c>
    </row>
    <row r="2016" spans="2:5">
      <c r="B2016" s="15" t="s">
        <v>3350</v>
      </c>
      <c r="C2016" s="15" t="s">
        <v>1987</v>
      </c>
      <c r="D2016" s="15" t="s">
        <v>3353</v>
      </c>
      <c r="E2016" s="15" t="s">
        <v>2001</v>
      </c>
    </row>
    <row r="2017" spans="2:5">
      <c r="B2017" s="15" t="s">
        <v>3350</v>
      </c>
      <c r="C2017" s="15" t="s">
        <v>1987</v>
      </c>
      <c r="D2017" s="15" t="s">
        <v>3354</v>
      </c>
      <c r="E2017" s="15" t="s">
        <v>2003</v>
      </c>
    </row>
    <row r="2018" spans="2:5">
      <c r="B2018" s="15" t="s">
        <v>3350</v>
      </c>
      <c r="C2018" s="15" t="s">
        <v>1987</v>
      </c>
      <c r="D2018" s="15" t="s">
        <v>3355</v>
      </c>
      <c r="E2018" s="15" t="s">
        <v>2005</v>
      </c>
    </row>
    <row r="2019" spans="2:5">
      <c r="B2019" s="15" t="s">
        <v>3350</v>
      </c>
      <c r="C2019" s="15" t="s">
        <v>1987</v>
      </c>
      <c r="D2019" s="15" t="s">
        <v>3356</v>
      </c>
      <c r="E2019" s="15" t="s">
        <v>2007</v>
      </c>
    </row>
    <row r="2020" spans="2:5">
      <c r="B2020" s="15" t="s">
        <v>3350</v>
      </c>
      <c r="C2020" s="15" t="s">
        <v>1987</v>
      </c>
      <c r="D2020" s="15" t="s">
        <v>3357</v>
      </c>
      <c r="E2020" s="15" t="s">
        <v>652</v>
      </c>
    </row>
    <row r="2021" spans="2:5">
      <c r="B2021" s="15" t="s">
        <v>3350</v>
      </c>
      <c r="C2021" s="15" t="s">
        <v>1987</v>
      </c>
      <c r="D2021" s="15" t="s">
        <v>655</v>
      </c>
      <c r="E2021" s="15" t="s">
        <v>654</v>
      </c>
    </row>
    <row r="2022" spans="2:5">
      <c r="B2022" s="15" t="s">
        <v>3350</v>
      </c>
      <c r="C2022" s="15" t="s">
        <v>1987</v>
      </c>
      <c r="D2022" s="15" t="s">
        <v>657</v>
      </c>
      <c r="E2022" s="15" t="s">
        <v>2015</v>
      </c>
    </row>
    <row r="2023" spans="2:5">
      <c r="B2023" s="15" t="s">
        <v>3350</v>
      </c>
      <c r="C2023" s="15" t="s">
        <v>1987</v>
      </c>
      <c r="D2023" s="15" t="s">
        <v>1998</v>
      </c>
      <c r="E2023" s="15" t="s">
        <v>706</v>
      </c>
    </row>
    <row r="2024" spans="2:5">
      <c r="B2024" s="15" t="s">
        <v>3350</v>
      </c>
      <c r="C2024" s="15" t="s">
        <v>1987</v>
      </c>
      <c r="D2024" s="15" t="s">
        <v>659</v>
      </c>
      <c r="E2024" s="15" t="s">
        <v>660</v>
      </c>
    </row>
    <row r="2025" spans="2:5">
      <c r="B2025" s="15" t="s">
        <v>3350</v>
      </c>
      <c r="C2025" s="15" t="s">
        <v>1987</v>
      </c>
      <c r="D2025" s="15" t="s">
        <v>3358</v>
      </c>
      <c r="E2025" s="15" t="s">
        <v>3359</v>
      </c>
    </row>
    <row r="2026" spans="2:5">
      <c r="B2026" s="15" t="s">
        <v>3350</v>
      </c>
      <c r="C2026" s="15" t="s">
        <v>1987</v>
      </c>
      <c r="D2026" s="15" t="s">
        <v>661</v>
      </c>
      <c r="E2026" s="15" t="s">
        <v>2017</v>
      </c>
    </row>
    <row r="2027" spans="2:5">
      <c r="B2027" s="15" t="s">
        <v>3350</v>
      </c>
      <c r="C2027" s="15" t="s">
        <v>1987</v>
      </c>
      <c r="D2027" s="15" t="s">
        <v>663</v>
      </c>
      <c r="E2027" s="15" t="s">
        <v>3360</v>
      </c>
    </row>
    <row r="2028" spans="2:5">
      <c r="B2028" s="15" t="s">
        <v>3350</v>
      </c>
      <c r="C2028" s="15" t="s">
        <v>1987</v>
      </c>
      <c r="D2028" s="15" t="s">
        <v>3361</v>
      </c>
      <c r="E2028" s="15" t="s">
        <v>3362</v>
      </c>
    </row>
    <row r="2029" spans="2:5">
      <c r="B2029" s="15" t="s">
        <v>3350</v>
      </c>
      <c r="C2029" s="15" t="s">
        <v>1987</v>
      </c>
      <c r="D2029" s="15" t="s">
        <v>3363</v>
      </c>
      <c r="E2029" s="15" t="s">
        <v>3364</v>
      </c>
    </row>
    <row r="2030" spans="2:5">
      <c r="B2030" s="15" t="s">
        <v>3350</v>
      </c>
      <c r="C2030" s="15" t="s">
        <v>1987</v>
      </c>
      <c r="D2030" s="15" t="s">
        <v>3365</v>
      </c>
      <c r="E2030" s="15" t="s">
        <v>3366</v>
      </c>
    </row>
    <row r="2031" spans="2:5">
      <c r="B2031" s="15" t="s">
        <v>3350</v>
      </c>
      <c r="C2031" s="15" t="s">
        <v>1987</v>
      </c>
      <c r="D2031" s="15" t="s">
        <v>3367</v>
      </c>
      <c r="E2031" s="15" t="s">
        <v>3368</v>
      </c>
    </row>
    <row r="2032" spans="2:5">
      <c r="B2032" s="15" t="s">
        <v>3350</v>
      </c>
      <c r="C2032" s="15" t="s">
        <v>1987</v>
      </c>
      <c r="D2032" s="15" t="s">
        <v>3369</v>
      </c>
      <c r="E2032" s="15" t="s">
        <v>3370</v>
      </c>
    </row>
    <row r="2033" spans="2:5">
      <c r="B2033" s="15" t="s">
        <v>3350</v>
      </c>
      <c r="C2033" s="15" t="s">
        <v>1987</v>
      </c>
      <c r="D2033" s="15" t="s">
        <v>3371</v>
      </c>
      <c r="E2033" s="15" t="s">
        <v>3372</v>
      </c>
    </row>
    <row r="2034" spans="2:5">
      <c r="B2034" s="15" t="s">
        <v>3350</v>
      </c>
      <c r="C2034" s="15" t="s">
        <v>1987</v>
      </c>
      <c r="D2034" s="15" t="s">
        <v>3373</v>
      </c>
      <c r="E2034" s="15" t="s">
        <v>698</v>
      </c>
    </row>
    <row r="2035" spans="2:5">
      <c r="B2035" s="15" t="s">
        <v>3350</v>
      </c>
      <c r="C2035" s="15" t="s">
        <v>1987</v>
      </c>
      <c r="D2035" s="15" t="s">
        <v>705</v>
      </c>
      <c r="E2035" s="15" t="s">
        <v>2018</v>
      </c>
    </row>
    <row r="2036" spans="2:5">
      <c r="B2036" s="15" t="s">
        <v>3350</v>
      </c>
      <c r="C2036" s="15" t="s">
        <v>1987</v>
      </c>
      <c r="D2036" s="15" t="s">
        <v>707</v>
      </c>
      <c r="E2036" s="15" t="s">
        <v>3374</v>
      </c>
    </row>
    <row r="2037" spans="2:5">
      <c r="B2037" s="15" t="s">
        <v>3350</v>
      </c>
      <c r="C2037" s="15" t="s">
        <v>1987</v>
      </c>
      <c r="D2037" s="15" t="s">
        <v>3375</v>
      </c>
      <c r="E2037" s="15" t="s">
        <v>3376</v>
      </c>
    </row>
    <row r="2038" spans="2:5">
      <c r="B2038" s="15" t="s">
        <v>3350</v>
      </c>
      <c r="C2038" s="15" t="s">
        <v>1987</v>
      </c>
      <c r="D2038" s="15" t="s">
        <v>3377</v>
      </c>
      <c r="E2038" s="15" t="s">
        <v>2033</v>
      </c>
    </row>
    <row r="2039" spans="2:5">
      <c r="B2039" s="15" t="s">
        <v>3350</v>
      </c>
      <c r="C2039" s="15" t="s">
        <v>1987</v>
      </c>
      <c r="D2039" s="15" t="s">
        <v>3378</v>
      </c>
      <c r="E2039" s="15" t="s">
        <v>2035</v>
      </c>
    </row>
    <row r="2040" spans="2:5">
      <c r="B2040" s="15" t="s">
        <v>3350</v>
      </c>
      <c r="C2040" s="15" t="s">
        <v>1987</v>
      </c>
      <c r="D2040" s="15" t="s">
        <v>3379</v>
      </c>
      <c r="E2040" s="15" t="s">
        <v>2037</v>
      </c>
    </row>
    <row r="2041" spans="2:5">
      <c r="B2041" s="15" t="s">
        <v>3350</v>
      </c>
      <c r="C2041" s="15" t="s">
        <v>1987</v>
      </c>
      <c r="D2041" s="15" t="s">
        <v>3380</v>
      </c>
      <c r="E2041" s="15" t="s">
        <v>2039</v>
      </c>
    </row>
    <row r="2042" spans="2:5">
      <c r="B2042" s="15" t="s">
        <v>3350</v>
      </c>
      <c r="C2042" s="15" t="s">
        <v>1987</v>
      </c>
      <c r="D2042" s="15" t="s">
        <v>3381</v>
      </c>
      <c r="E2042" s="15" t="s">
        <v>3382</v>
      </c>
    </row>
    <row r="2043" spans="2:5">
      <c r="B2043" s="15" t="s">
        <v>3350</v>
      </c>
      <c r="C2043" s="15" t="s">
        <v>1987</v>
      </c>
      <c r="D2043" s="15" t="s">
        <v>2020</v>
      </c>
      <c r="E2043" s="15" t="s">
        <v>3383</v>
      </c>
    </row>
    <row r="2044" spans="2:5">
      <c r="B2044" s="15" t="s">
        <v>3350</v>
      </c>
      <c r="C2044" s="15" t="s">
        <v>1987</v>
      </c>
      <c r="D2044" s="15" t="s">
        <v>2022</v>
      </c>
      <c r="E2044" s="15" t="s">
        <v>2023</v>
      </c>
    </row>
    <row r="2045" spans="2:5">
      <c r="B2045" s="15" t="s">
        <v>3350</v>
      </c>
      <c r="C2045" s="15" t="s">
        <v>1987</v>
      </c>
      <c r="D2045" s="15" t="s">
        <v>709</v>
      </c>
      <c r="E2045" s="15" t="s">
        <v>3384</v>
      </c>
    </row>
    <row r="2046" spans="2:5">
      <c r="B2046" s="15" t="s">
        <v>3350</v>
      </c>
      <c r="C2046" s="15" t="s">
        <v>1987</v>
      </c>
      <c r="D2046" s="15" t="s">
        <v>711</v>
      </c>
      <c r="E2046" s="15" t="s">
        <v>3376</v>
      </c>
    </row>
    <row r="2047" spans="2:5">
      <c r="B2047" s="15" t="s">
        <v>3350</v>
      </c>
      <c r="C2047" s="15" t="s">
        <v>1987</v>
      </c>
      <c r="D2047" s="15" t="s">
        <v>2042</v>
      </c>
      <c r="E2047" s="15" t="s">
        <v>2033</v>
      </c>
    </row>
    <row r="2048" spans="2:5">
      <c r="B2048" s="15" t="s">
        <v>3350</v>
      </c>
      <c r="C2048" s="15" t="s">
        <v>1987</v>
      </c>
      <c r="D2048" s="15" t="s">
        <v>3385</v>
      </c>
      <c r="E2048" s="15" t="s">
        <v>2035</v>
      </c>
    </row>
    <row r="2049" spans="2:5">
      <c r="B2049" s="15" t="s">
        <v>3350</v>
      </c>
      <c r="C2049" s="15" t="s">
        <v>1987</v>
      </c>
      <c r="D2049" s="15" t="s">
        <v>3386</v>
      </c>
      <c r="E2049" s="15" t="s">
        <v>2037</v>
      </c>
    </row>
    <row r="2050" spans="2:5">
      <c r="B2050" s="15" t="s">
        <v>3350</v>
      </c>
      <c r="C2050" s="15" t="s">
        <v>1987</v>
      </c>
      <c r="D2050" s="15" t="s">
        <v>3387</v>
      </c>
      <c r="E2050" s="15" t="s">
        <v>2039</v>
      </c>
    </row>
    <row r="2051" spans="2:5">
      <c r="B2051" s="15" t="s">
        <v>3350</v>
      </c>
      <c r="C2051" s="15" t="s">
        <v>1987</v>
      </c>
      <c r="D2051" s="15" t="s">
        <v>3388</v>
      </c>
      <c r="E2051" s="15" t="s">
        <v>3382</v>
      </c>
    </row>
    <row r="2052" spans="2:5">
      <c r="B2052" s="15" t="s">
        <v>3350</v>
      </c>
      <c r="C2052" s="15" t="s">
        <v>1987</v>
      </c>
      <c r="D2052" s="15" t="s">
        <v>3389</v>
      </c>
      <c r="E2052" s="15" t="s">
        <v>2041</v>
      </c>
    </row>
    <row r="2053" spans="2:5">
      <c r="B2053" s="15" t="s">
        <v>3350</v>
      </c>
      <c r="C2053" s="15" t="s">
        <v>1987</v>
      </c>
      <c r="D2053" s="15" t="s">
        <v>3390</v>
      </c>
      <c r="E2053" s="15" t="s">
        <v>2043</v>
      </c>
    </row>
    <row r="2054" spans="2:5">
      <c r="B2054" s="15" t="s">
        <v>3350</v>
      </c>
      <c r="C2054" s="15" t="s">
        <v>1987</v>
      </c>
      <c r="D2054" s="15" t="s">
        <v>3391</v>
      </c>
      <c r="E2054" s="15" t="s">
        <v>2057</v>
      </c>
    </row>
    <row r="2055" spans="2:5">
      <c r="B2055" s="15" t="s">
        <v>3350</v>
      </c>
      <c r="C2055" s="15" t="s">
        <v>1987</v>
      </c>
      <c r="D2055" s="15" t="s">
        <v>842</v>
      </c>
      <c r="E2055" s="15" t="s">
        <v>3392</v>
      </c>
    </row>
    <row r="2056" spans="2:5">
      <c r="B2056" s="15" t="s">
        <v>3350</v>
      </c>
      <c r="C2056" s="15" t="s">
        <v>1987</v>
      </c>
      <c r="D2056" s="15" t="s">
        <v>2075</v>
      </c>
      <c r="E2056" s="15" t="s">
        <v>666</v>
      </c>
    </row>
    <row r="2057" spans="2:5">
      <c r="B2057" s="15" t="s">
        <v>3350</v>
      </c>
      <c r="C2057" s="15" t="s">
        <v>1987</v>
      </c>
      <c r="D2057" s="15" t="s">
        <v>3393</v>
      </c>
      <c r="E2057" s="15" t="s">
        <v>3394</v>
      </c>
    </row>
    <row r="2058" spans="2:5">
      <c r="B2058" s="15" t="s">
        <v>3350</v>
      </c>
      <c r="C2058" s="15" t="s">
        <v>1987</v>
      </c>
      <c r="D2058" s="15" t="s">
        <v>2077</v>
      </c>
      <c r="E2058" s="15" t="s">
        <v>712</v>
      </c>
    </row>
    <row r="2059" spans="2:5">
      <c r="B2059" s="15" t="s">
        <v>3350</v>
      </c>
      <c r="C2059" s="15" t="s">
        <v>1987</v>
      </c>
      <c r="D2059" s="15" t="s">
        <v>2079</v>
      </c>
      <c r="E2059" s="15" t="s">
        <v>3395</v>
      </c>
    </row>
    <row r="2060" spans="2:5">
      <c r="B2060" s="15" t="s">
        <v>3350</v>
      </c>
      <c r="C2060" s="15" t="s">
        <v>1987</v>
      </c>
      <c r="D2060" s="15" t="s">
        <v>3396</v>
      </c>
      <c r="E2060" s="15" t="s">
        <v>3397</v>
      </c>
    </row>
    <row r="2061" spans="2:5">
      <c r="B2061" s="15" t="s">
        <v>3350</v>
      </c>
      <c r="C2061" s="15" t="s">
        <v>1987</v>
      </c>
      <c r="D2061" s="15" t="s">
        <v>3398</v>
      </c>
      <c r="E2061" s="15" t="s">
        <v>3399</v>
      </c>
    </row>
    <row r="2062" spans="2:5">
      <c r="B2062" s="15" t="s">
        <v>3350</v>
      </c>
      <c r="C2062" s="15" t="s">
        <v>1987</v>
      </c>
      <c r="D2062" s="15" t="s">
        <v>3400</v>
      </c>
      <c r="E2062" s="15" t="s">
        <v>1331</v>
      </c>
    </row>
    <row r="2063" spans="2:5">
      <c r="B2063" s="15" t="s">
        <v>3350</v>
      </c>
      <c r="C2063" s="15" t="s">
        <v>1987</v>
      </c>
      <c r="D2063" s="15" t="s">
        <v>3401</v>
      </c>
      <c r="E2063" s="15" t="s">
        <v>2046</v>
      </c>
    </row>
    <row r="2064" spans="2:5">
      <c r="B2064" s="15" t="s">
        <v>3350</v>
      </c>
      <c r="C2064" s="15" t="s">
        <v>1987</v>
      </c>
      <c r="D2064" s="15" t="s">
        <v>3402</v>
      </c>
      <c r="E2064" s="15" t="s">
        <v>3403</v>
      </c>
    </row>
    <row r="2065" spans="2:5">
      <c r="B2065" s="15" t="s">
        <v>3350</v>
      </c>
      <c r="C2065" s="15" t="s">
        <v>1987</v>
      </c>
      <c r="D2065" s="15" t="s">
        <v>844</v>
      </c>
      <c r="E2065" s="15" t="s">
        <v>2048</v>
      </c>
    </row>
    <row r="2066" spans="2:5">
      <c r="B2066" s="15" t="s">
        <v>3350</v>
      </c>
      <c r="C2066" s="15" t="s">
        <v>1987</v>
      </c>
      <c r="D2066" s="15" t="s">
        <v>2084</v>
      </c>
      <c r="E2066" s="15" t="s">
        <v>3404</v>
      </c>
    </row>
    <row r="2067" spans="2:5">
      <c r="B2067" s="15" t="s">
        <v>3350</v>
      </c>
      <c r="C2067" s="15" t="s">
        <v>1987</v>
      </c>
      <c r="D2067" s="15" t="s">
        <v>846</v>
      </c>
      <c r="E2067" s="15" t="s">
        <v>3405</v>
      </c>
    </row>
    <row r="2068" spans="2:5">
      <c r="B2068" s="15" t="s">
        <v>3350</v>
      </c>
      <c r="C2068" s="15" t="s">
        <v>1987</v>
      </c>
      <c r="D2068" s="15" t="s">
        <v>713</v>
      </c>
      <c r="E2068" s="15" t="s">
        <v>714</v>
      </c>
    </row>
    <row r="2069" spans="2:5">
      <c r="B2069" s="15" t="s">
        <v>3350</v>
      </c>
      <c r="C2069" s="15" t="s">
        <v>1987</v>
      </c>
      <c r="D2069" s="15" t="s">
        <v>715</v>
      </c>
      <c r="E2069" s="15" t="s">
        <v>716</v>
      </c>
    </row>
    <row r="2070" spans="2:5">
      <c r="B2070" s="15" t="s">
        <v>3350</v>
      </c>
      <c r="C2070" s="15" t="s">
        <v>1987</v>
      </c>
      <c r="D2070" s="15" t="s">
        <v>717</v>
      </c>
      <c r="E2070" s="15" t="s">
        <v>718</v>
      </c>
    </row>
    <row r="2071" spans="2:5">
      <c r="B2071" s="15" t="s">
        <v>3350</v>
      </c>
      <c r="C2071" s="15" t="s">
        <v>1987</v>
      </c>
      <c r="D2071" s="15" t="s">
        <v>719</v>
      </c>
      <c r="E2071" s="15" t="s">
        <v>720</v>
      </c>
    </row>
    <row r="2072" ht="15.95" spans="2:2">
      <c r="B2072" s="122" t="s">
        <v>3406</v>
      </c>
    </row>
    <row r="2073" spans="2:5">
      <c r="B2073" s="15" t="s">
        <v>3407</v>
      </c>
      <c r="C2073" s="15" t="s">
        <v>2377</v>
      </c>
      <c r="D2073" s="15" t="s">
        <v>2378</v>
      </c>
      <c r="E2073" s="15" t="s">
        <v>2379</v>
      </c>
    </row>
    <row r="2074" spans="2:5">
      <c r="B2074" s="15" t="s">
        <v>3407</v>
      </c>
      <c r="C2074" s="15" t="s">
        <v>2377</v>
      </c>
      <c r="D2074" s="15" t="s">
        <v>635</v>
      </c>
      <c r="E2074" s="15" t="s">
        <v>2292</v>
      </c>
    </row>
    <row r="2075" spans="2:5">
      <c r="B2075" s="15" t="s">
        <v>3407</v>
      </c>
      <c r="C2075" s="15" t="s">
        <v>2377</v>
      </c>
      <c r="D2075" s="15" t="s">
        <v>659</v>
      </c>
      <c r="E2075" s="15" t="s">
        <v>2380</v>
      </c>
    </row>
    <row r="2076" spans="2:5">
      <c r="B2076" s="15" t="s">
        <v>3407</v>
      </c>
      <c r="C2076" s="15" t="s">
        <v>2377</v>
      </c>
      <c r="D2076" s="15" t="s">
        <v>705</v>
      </c>
      <c r="E2076" s="15" t="s">
        <v>2381</v>
      </c>
    </row>
    <row r="2077" ht="15.95" spans="2:2">
      <c r="B2077" s="122" t="s">
        <v>3408</v>
      </c>
    </row>
    <row r="2078" spans="2:5">
      <c r="B2078" s="15" t="s">
        <v>3409</v>
      </c>
      <c r="C2078" s="15" t="s">
        <v>3409</v>
      </c>
      <c r="D2078" s="15" t="s">
        <v>723</v>
      </c>
      <c r="E2078" s="15" t="s">
        <v>2526</v>
      </c>
    </row>
    <row r="2079" spans="2:5">
      <c r="B2079" s="15" t="s">
        <v>3409</v>
      </c>
      <c r="C2079" s="15" t="s">
        <v>3409</v>
      </c>
      <c r="D2079" s="15" t="s">
        <v>725</v>
      </c>
      <c r="E2079" s="15" t="s">
        <v>2527</v>
      </c>
    </row>
    <row r="2080" spans="2:5">
      <c r="B2080" s="15" t="s">
        <v>3409</v>
      </c>
      <c r="C2080" s="15" t="s">
        <v>3409</v>
      </c>
      <c r="D2080" s="15" t="s">
        <v>727</v>
      </c>
      <c r="E2080" s="15" t="s">
        <v>3410</v>
      </c>
    </row>
    <row r="2081" ht="15.95" spans="2:2">
      <c r="B2081" s="122" t="s">
        <v>3411</v>
      </c>
    </row>
    <row r="2082" spans="2:5">
      <c r="B2082" s="15" t="s">
        <v>3412</v>
      </c>
      <c r="C2082" s="15" t="s">
        <v>3412</v>
      </c>
      <c r="D2082" s="15" t="s">
        <v>723</v>
      </c>
      <c r="E2082" s="15" t="s">
        <v>1201</v>
      </c>
    </row>
    <row r="2083" spans="2:5">
      <c r="B2083" s="15" t="s">
        <v>3412</v>
      </c>
      <c r="C2083" s="15" t="s">
        <v>3412</v>
      </c>
      <c r="D2083" s="15" t="s">
        <v>725</v>
      </c>
      <c r="E2083" s="15" t="s">
        <v>1203</v>
      </c>
    </row>
    <row r="2084" spans="2:5">
      <c r="B2084" s="15" t="s">
        <v>3412</v>
      </c>
      <c r="C2084" s="15" t="s">
        <v>3412</v>
      </c>
      <c r="D2084" s="15" t="s">
        <v>727</v>
      </c>
      <c r="E2084" s="15" t="s">
        <v>3413</v>
      </c>
    </row>
    <row r="2085" ht="15.95" spans="2:2">
      <c r="B2085" s="122" t="s">
        <v>3414</v>
      </c>
    </row>
    <row r="2086" spans="2:5">
      <c r="B2086" s="15" t="s">
        <v>3415</v>
      </c>
      <c r="C2086" s="15" t="s">
        <v>3416</v>
      </c>
      <c r="D2086" s="15" t="s">
        <v>917</v>
      </c>
      <c r="E2086" s="15" t="s">
        <v>953</v>
      </c>
    </row>
    <row r="2087" spans="2:5">
      <c r="B2087" s="15" t="s">
        <v>3415</v>
      </c>
      <c r="C2087" s="15" t="s">
        <v>3416</v>
      </c>
      <c r="D2087" s="15" t="s">
        <v>919</v>
      </c>
      <c r="E2087" s="15" t="s">
        <v>954</v>
      </c>
    </row>
    <row r="2088" spans="2:5">
      <c r="B2088" s="15" t="s">
        <v>3415</v>
      </c>
      <c r="C2088" s="15" t="s">
        <v>3416</v>
      </c>
      <c r="D2088" s="15" t="s">
        <v>955</v>
      </c>
      <c r="E2088" s="15" t="s">
        <v>956</v>
      </c>
    </row>
    <row r="2089" ht="15.95" spans="2:2">
      <c r="B2089" s="122" t="s">
        <v>3417</v>
      </c>
    </row>
    <row r="2090" spans="2:5">
      <c r="B2090" s="15" t="s">
        <v>3418</v>
      </c>
      <c r="C2090" s="15" t="s">
        <v>3419</v>
      </c>
      <c r="D2090" s="15" t="s">
        <v>917</v>
      </c>
      <c r="E2090" s="15" t="s">
        <v>953</v>
      </c>
    </row>
    <row r="2091" spans="2:5">
      <c r="B2091" s="15" t="s">
        <v>3418</v>
      </c>
      <c r="C2091" s="15" t="s">
        <v>3419</v>
      </c>
      <c r="D2091" s="15" t="s">
        <v>919</v>
      </c>
      <c r="E2091" s="15" t="s">
        <v>954</v>
      </c>
    </row>
    <row r="2092" spans="2:5">
      <c r="B2092" s="15" t="s">
        <v>3418</v>
      </c>
      <c r="C2092" s="15" t="s">
        <v>3419</v>
      </c>
      <c r="D2092" s="15" t="s">
        <v>955</v>
      </c>
      <c r="E2092" s="15" t="s">
        <v>956</v>
      </c>
    </row>
    <row r="2093" ht="15.95" spans="2:2">
      <c r="B2093" s="122" t="s">
        <v>3420</v>
      </c>
    </row>
    <row r="2094" spans="2:5">
      <c r="B2094" s="15" t="s">
        <v>3421</v>
      </c>
      <c r="C2094" s="15" t="s">
        <v>3422</v>
      </c>
      <c r="D2094" s="15" t="s">
        <v>917</v>
      </c>
      <c r="E2094" s="15" t="s">
        <v>1504</v>
      </c>
    </row>
    <row r="2095" spans="2:5">
      <c r="B2095" s="15" t="s">
        <v>3421</v>
      </c>
      <c r="C2095" s="15" t="s">
        <v>3422</v>
      </c>
      <c r="D2095" s="15" t="s">
        <v>919</v>
      </c>
      <c r="E2095" s="15" t="s">
        <v>1505</v>
      </c>
    </row>
    <row r="2096" spans="2:5">
      <c r="B2096" s="15" t="s">
        <v>3421</v>
      </c>
      <c r="C2096" s="15" t="s">
        <v>3422</v>
      </c>
      <c r="D2096" s="15" t="s">
        <v>1091</v>
      </c>
      <c r="E2096" s="15" t="s">
        <v>1506</v>
      </c>
    </row>
    <row r="2097" spans="2:5">
      <c r="B2097" s="15" t="s">
        <v>3421</v>
      </c>
      <c r="C2097" s="15" t="s">
        <v>3422</v>
      </c>
      <c r="D2097" s="15" t="s">
        <v>921</v>
      </c>
      <c r="E2097" s="15" t="s">
        <v>1507</v>
      </c>
    </row>
    <row r="2098" ht="15.95" spans="2:2">
      <c r="B2098" s="122" t="s">
        <v>3423</v>
      </c>
    </row>
    <row r="2099" spans="2:5">
      <c r="B2099" s="15" t="s">
        <v>3424</v>
      </c>
      <c r="C2099" s="15" t="s">
        <v>3425</v>
      </c>
      <c r="D2099" s="15" t="s">
        <v>3426</v>
      </c>
      <c r="E2099" s="15" t="s">
        <v>2977</v>
      </c>
    </row>
    <row r="2100" spans="2:5">
      <c r="B2100" s="15" t="s">
        <v>3424</v>
      </c>
      <c r="C2100" s="15" t="s">
        <v>3425</v>
      </c>
      <c r="D2100" s="15" t="s">
        <v>3427</v>
      </c>
      <c r="E2100" s="15" t="s">
        <v>2975</v>
      </c>
    </row>
    <row r="2101" ht="15.95" spans="2:2">
      <c r="B2101" s="122" t="s">
        <v>3428</v>
      </c>
    </row>
    <row r="2102" spans="2:5">
      <c r="B2102" s="15" t="s">
        <v>3429</v>
      </c>
      <c r="C2102" s="15" t="s">
        <v>3429</v>
      </c>
      <c r="D2102" s="15" t="s">
        <v>723</v>
      </c>
      <c r="E2102" s="15" t="s">
        <v>3430</v>
      </c>
    </row>
    <row r="2103" spans="2:5">
      <c r="B2103" s="15" t="s">
        <v>3429</v>
      </c>
      <c r="C2103" s="15" t="s">
        <v>3429</v>
      </c>
      <c r="D2103" s="15" t="s">
        <v>725</v>
      </c>
      <c r="E2103" s="15" t="s">
        <v>3431</v>
      </c>
    </row>
    <row r="2104" spans="2:5">
      <c r="B2104" s="15" t="s">
        <v>3429</v>
      </c>
      <c r="C2104" s="15" t="s">
        <v>3429</v>
      </c>
      <c r="D2104" s="15" t="s">
        <v>727</v>
      </c>
      <c r="E2104" s="15" t="s">
        <v>3432</v>
      </c>
    </row>
    <row r="2105" spans="2:5">
      <c r="B2105" s="15" t="s">
        <v>3429</v>
      </c>
      <c r="C2105" s="15" t="s">
        <v>3429</v>
      </c>
      <c r="D2105" s="15" t="s">
        <v>729</v>
      </c>
      <c r="E2105" s="15" t="s">
        <v>3433</v>
      </c>
    </row>
    <row r="2106" ht="15.95" spans="2:2">
      <c r="B2106" s="122" t="s">
        <v>3434</v>
      </c>
    </row>
    <row r="2107" spans="2:5">
      <c r="B2107" s="15" t="s">
        <v>3435</v>
      </c>
      <c r="C2107" s="15" t="s">
        <v>896</v>
      </c>
      <c r="D2107" s="15" t="s">
        <v>723</v>
      </c>
      <c r="E2107" s="15" t="s">
        <v>3436</v>
      </c>
    </row>
    <row r="2108" spans="2:5">
      <c r="B2108" s="15" t="s">
        <v>3435</v>
      </c>
      <c r="C2108" s="15" t="s">
        <v>896</v>
      </c>
      <c r="D2108" s="15" t="s">
        <v>725</v>
      </c>
      <c r="E2108" s="15" t="s">
        <v>3437</v>
      </c>
    </row>
    <row r="2109" spans="2:5">
      <c r="B2109" s="15" t="s">
        <v>3435</v>
      </c>
      <c r="C2109" s="15" t="s">
        <v>896</v>
      </c>
      <c r="D2109" s="15" t="s">
        <v>727</v>
      </c>
      <c r="E2109" s="15" t="s">
        <v>3438</v>
      </c>
    </row>
    <row r="2110" ht="15.95" spans="2:2">
      <c r="B2110" s="122" t="s">
        <v>3439</v>
      </c>
    </row>
    <row r="2111" spans="2:5">
      <c r="B2111" s="15" t="s">
        <v>3440</v>
      </c>
      <c r="C2111" s="15" t="s">
        <v>3441</v>
      </c>
      <c r="D2111" s="15" t="s">
        <v>770</v>
      </c>
      <c r="E2111" s="15" t="s">
        <v>1712</v>
      </c>
    </row>
    <row r="2112" spans="2:5">
      <c r="B2112" s="15" t="s">
        <v>3440</v>
      </c>
      <c r="C2112" s="15" t="s">
        <v>3441</v>
      </c>
      <c r="D2112" s="15" t="s">
        <v>772</v>
      </c>
      <c r="E2112" s="15" t="s">
        <v>1713</v>
      </c>
    </row>
    <row r="2113" ht="15.95" spans="2:2">
      <c r="B2113" s="122" t="s">
        <v>3442</v>
      </c>
    </row>
    <row r="2114" spans="2:5">
      <c r="B2114" s="15" t="s">
        <v>3443</v>
      </c>
      <c r="C2114" s="15" t="s">
        <v>3444</v>
      </c>
      <c r="D2114" s="15" t="s">
        <v>635</v>
      </c>
      <c r="E2114" s="15" t="s">
        <v>3445</v>
      </c>
    </row>
    <row r="2115" spans="2:5">
      <c r="B2115" s="15" t="s">
        <v>3443</v>
      </c>
      <c r="C2115" s="15" t="s">
        <v>3444</v>
      </c>
      <c r="D2115" s="15" t="s">
        <v>659</v>
      </c>
      <c r="E2115" s="15" t="s">
        <v>3446</v>
      </c>
    </row>
    <row r="2116" spans="2:5">
      <c r="B2116" s="15" t="s">
        <v>3443</v>
      </c>
      <c r="C2116" s="15" t="s">
        <v>3444</v>
      </c>
      <c r="D2116" s="15" t="s">
        <v>2983</v>
      </c>
      <c r="E2116" s="15" t="s">
        <v>3447</v>
      </c>
    </row>
    <row r="2117" spans="2:5">
      <c r="B2117" s="15" t="s">
        <v>3443</v>
      </c>
      <c r="C2117" s="15" t="s">
        <v>3444</v>
      </c>
      <c r="D2117" s="15" t="s">
        <v>2985</v>
      </c>
      <c r="E2117" s="15" t="s">
        <v>3448</v>
      </c>
    </row>
    <row r="2118" spans="2:5">
      <c r="B2118" s="15" t="s">
        <v>3443</v>
      </c>
      <c r="C2118" s="15" t="s">
        <v>3444</v>
      </c>
      <c r="D2118" s="15" t="s">
        <v>679</v>
      </c>
      <c r="E2118" s="15" t="s">
        <v>3449</v>
      </c>
    </row>
    <row r="2119" spans="2:5">
      <c r="B2119" s="15" t="s">
        <v>3443</v>
      </c>
      <c r="C2119" s="15" t="s">
        <v>3444</v>
      </c>
      <c r="D2119" s="15" t="s">
        <v>3450</v>
      </c>
      <c r="E2119" s="15" t="s">
        <v>3447</v>
      </c>
    </row>
    <row r="2120" spans="2:5">
      <c r="B2120" s="15" t="s">
        <v>3443</v>
      </c>
      <c r="C2120" s="15" t="s">
        <v>3444</v>
      </c>
      <c r="D2120" s="15" t="s">
        <v>1820</v>
      </c>
      <c r="E2120" s="15" t="s">
        <v>3448</v>
      </c>
    </row>
    <row r="2121" ht="15.95" spans="2:2">
      <c r="B2121" s="122" t="s">
        <v>3451</v>
      </c>
    </row>
    <row r="2122" spans="2:5">
      <c r="B2122" s="15" t="s">
        <v>3452</v>
      </c>
      <c r="C2122" s="15" t="s">
        <v>3452</v>
      </c>
      <c r="D2122" s="15" t="s">
        <v>723</v>
      </c>
      <c r="E2122" s="15" t="s">
        <v>3453</v>
      </c>
    </row>
    <row r="2123" spans="2:5">
      <c r="B2123" s="15" t="s">
        <v>3452</v>
      </c>
      <c r="C2123" s="15" t="s">
        <v>3452</v>
      </c>
      <c r="D2123" s="15" t="s">
        <v>725</v>
      </c>
      <c r="E2123" s="15" t="s">
        <v>3454</v>
      </c>
    </row>
    <row r="2124" spans="2:5">
      <c r="B2124" s="15" t="s">
        <v>3452</v>
      </c>
      <c r="C2124" s="15" t="s">
        <v>3452</v>
      </c>
      <c r="D2124" s="15" t="s">
        <v>727</v>
      </c>
      <c r="E2124" s="15" t="s">
        <v>3455</v>
      </c>
    </row>
    <row r="2125" spans="2:5">
      <c r="B2125" s="15" t="s">
        <v>3452</v>
      </c>
      <c r="C2125" s="15" t="s">
        <v>3452</v>
      </c>
      <c r="D2125" s="15" t="s">
        <v>729</v>
      </c>
      <c r="E2125" s="15" t="s">
        <v>3456</v>
      </c>
    </row>
    <row r="2126" spans="2:5">
      <c r="B2126" s="15" t="s">
        <v>3452</v>
      </c>
      <c r="C2126" s="15" t="s">
        <v>3452</v>
      </c>
      <c r="D2126" s="15" t="s">
        <v>760</v>
      </c>
      <c r="E2126" s="15" t="s">
        <v>3457</v>
      </c>
    </row>
    <row r="2127" spans="2:5">
      <c r="B2127" s="15" t="s">
        <v>3452</v>
      </c>
      <c r="C2127" s="15" t="s">
        <v>3452</v>
      </c>
      <c r="D2127" s="15" t="s">
        <v>762</v>
      </c>
      <c r="E2127" s="15" t="s">
        <v>235</v>
      </c>
    </row>
    <row r="2128" ht="15.95" spans="2:2">
      <c r="B2128" s="122" t="s">
        <v>3458</v>
      </c>
    </row>
    <row r="2129" spans="2:5">
      <c r="B2129" s="15" t="s">
        <v>3459</v>
      </c>
      <c r="C2129" s="15" t="s">
        <v>896</v>
      </c>
      <c r="D2129" s="15" t="s">
        <v>770</v>
      </c>
      <c r="E2129" s="15" t="s">
        <v>3460</v>
      </c>
    </row>
    <row r="2130" spans="2:5">
      <c r="B2130" s="15" t="s">
        <v>3459</v>
      </c>
      <c r="C2130" s="15" t="s">
        <v>896</v>
      </c>
      <c r="D2130" s="15" t="s">
        <v>772</v>
      </c>
      <c r="E2130" s="15" t="s">
        <v>3461</v>
      </c>
    </row>
    <row r="2131" spans="2:5">
      <c r="B2131" s="15" t="s">
        <v>3459</v>
      </c>
      <c r="C2131" s="15" t="s">
        <v>896</v>
      </c>
      <c r="D2131" s="15" t="s">
        <v>774</v>
      </c>
      <c r="E2131" s="15" t="s">
        <v>3462</v>
      </c>
    </row>
    <row r="2132" spans="2:5">
      <c r="B2132" s="15" t="s">
        <v>3459</v>
      </c>
      <c r="C2132" s="15" t="s">
        <v>896</v>
      </c>
      <c r="D2132" s="15" t="s">
        <v>828</v>
      </c>
      <c r="E2132" s="15" t="s">
        <v>3463</v>
      </c>
    </row>
    <row r="2133" ht="15.95" spans="2:2">
      <c r="B2133" s="122" t="s">
        <v>3464</v>
      </c>
    </row>
    <row r="2134" spans="2:5">
      <c r="B2134" s="15" t="s">
        <v>3465</v>
      </c>
      <c r="C2134" s="15" t="s">
        <v>3465</v>
      </c>
      <c r="D2134" s="15" t="s">
        <v>723</v>
      </c>
      <c r="E2134" s="15" t="s">
        <v>3466</v>
      </c>
    </row>
    <row r="2135" spans="2:5">
      <c r="B2135" s="15" t="s">
        <v>3465</v>
      </c>
      <c r="C2135" s="15" t="s">
        <v>3465</v>
      </c>
      <c r="D2135" s="15" t="s">
        <v>725</v>
      </c>
      <c r="E2135" s="15" t="s">
        <v>3467</v>
      </c>
    </row>
    <row r="2136" ht="15.95" spans="2:2">
      <c r="B2136" s="122" t="s">
        <v>3468</v>
      </c>
    </row>
    <row r="2137" spans="2:5">
      <c r="B2137" s="15" t="s">
        <v>3469</v>
      </c>
      <c r="C2137" s="15" t="s">
        <v>896</v>
      </c>
      <c r="D2137" s="15" t="s">
        <v>770</v>
      </c>
      <c r="E2137" s="15" t="s">
        <v>3470</v>
      </c>
    </row>
    <row r="2138" spans="2:5">
      <c r="B2138" s="15" t="s">
        <v>3469</v>
      </c>
      <c r="C2138" s="15" t="s">
        <v>896</v>
      </c>
      <c r="D2138" s="15" t="s">
        <v>772</v>
      </c>
      <c r="E2138" s="15" t="s">
        <v>3471</v>
      </c>
    </row>
    <row r="2139" spans="2:5">
      <c r="B2139" s="15" t="s">
        <v>3469</v>
      </c>
      <c r="C2139" s="15" t="s">
        <v>896</v>
      </c>
      <c r="D2139" s="15" t="s">
        <v>774</v>
      </c>
      <c r="E2139" s="15" t="s">
        <v>3472</v>
      </c>
    </row>
    <row r="2140" spans="2:5">
      <c r="B2140" s="15" t="s">
        <v>3469</v>
      </c>
      <c r="C2140" s="15" t="s">
        <v>896</v>
      </c>
      <c r="D2140" s="15" t="s">
        <v>828</v>
      </c>
      <c r="E2140" s="15" t="s">
        <v>3473</v>
      </c>
    </row>
    <row r="2141" ht="15.95" spans="2:2">
      <c r="B2141" s="122" t="s">
        <v>3474</v>
      </c>
    </row>
    <row r="2142" spans="2:5">
      <c r="B2142" s="15" t="s">
        <v>3475</v>
      </c>
      <c r="C2142" s="15" t="s">
        <v>3475</v>
      </c>
      <c r="D2142" s="15" t="s">
        <v>723</v>
      </c>
      <c r="E2142" s="15" t="s">
        <v>2786</v>
      </c>
    </row>
    <row r="2143" spans="2:5">
      <c r="B2143" s="15" t="s">
        <v>3475</v>
      </c>
      <c r="C2143" s="15" t="s">
        <v>3475</v>
      </c>
      <c r="D2143" s="15" t="s">
        <v>725</v>
      </c>
      <c r="E2143" s="15" t="s">
        <v>2787</v>
      </c>
    </row>
    <row r="2144" spans="2:5">
      <c r="B2144" s="15" t="s">
        <v>3475</v>
      </c>
      <c r="C2144" s="15" t="s">
        <v>3475</v>
      </c>
      <c r="D2144" s="15" t="s">
        <v>727</v>
      </c>
      <c r="E2144" s="15" t="s">
        <v>2788</v>
      </c>
    </row>
    <row r="2145" spans="2:5">
      <c r="B2145" s="15" t="s">
        <v>3475</v>
      </c>
      <c r="C2145" s="15" t="s">
        <v>3475</v>
      </c>
      <c r="D2145" s="15" t="s">
        <v>729</v>
      </c>
      <c r="E2145" s="15" t="s">
        <v>235</v>
      </c>
    </row>
    <row r="2146" ht="15.95" spans="2:2">
      <c r="B2146" s="122" t="s">
        <v>3476</v>
      </c>
    </row>
    <row r="2147" spans="2:5">
      <c r="B2147" s="15" t="s">
        <v>3477</v>
      </c>
      <c r="C2147" s="15" t="s">
        <v>3478</v>
      </c>
      <c r="D2147" s="15" t="s">
        <v>770</v>
      </c>
      <c r="E2147" s="15" t="s">
        <v>3479</v>
      </c>
    </row>
    <row r="2148" spans="2:5">
      <c r="B2148" s="15" t="s">
        <v>3477</v>
      </c>
      <c r="C2148" s="15" t="s">
        <v>3478</v>
      </c>
      <c r="D2148" s="15" t="s">
        <v>772</v>
      </c>
      <c r="E2148" s="15" t="s">
        <v>3480</v>
      </c>
    </row>
    <row r="2149" spans="2:5">
      <c r="B2149" s="15" t="s">
        <v>3477</v>
      </c>
      <c r="C2149" s="15" t="s">
        <v>3478</v>
      </c>
      <c r="D2149" s="15" t="s">
        <v>774</v>
      </c>
      <c r="E2149" s="15" t="s">
        <v>3481</v>
      </c>
    </row>
    <row r="2150" spans="2:5">
      <c r="B2150" s="15" t="s">
        <v>3477</v>
      </c>
      <c r="C2150" s="15" t="s">
        <v>3478</v>
      </c>
      <c r="D2150" s="15" t="s">
        <v>828</v>
      </c>
      <c r="E2150" s="15" t="s">
        <v>948</v>
      </c>
    </row>
    <row r="2151" ht="15.95" spans="2:2">
      <c r="B2151" s="122" t="s">
        <v>3482</v>
      </c>
    </row>
    <row r="2152" spans="2:5">
      <c r="B2152" s="15" t="s">
        <v>3483</v>
      </c>
      <c r="C2152" s="15" t="s">
        <v>3484</v>
      </c>
      <c r="D2152" s="15" t="s">
        <v>1057</v>
      </c>
      <c r="E2152" s="15" t="s">
        <v>3485</v>
      </c>
    </row>
    <row r="2153" spans="2:5">
      <c r="B2153" s="15" t="s">
        <v>3483</v>
      </c>
      <c r="C2153" s="15" t="s">
        <v>3484</v>
      </c>
      <c r="D2153" s="15" t="s">
        <v>770</v>
      </c>
      <c r="E2153" s="15" t="s">
        <v>3486</v>
      </c>
    </row>
    <row r="2154" spans="2:5">
      <c r="B2154" s="15" t="s">
        <v>3483</v>
      </c>
      <c r="C2154" s="15" t="s">
        <v>3484</v>
      </c>
      <c r="D2154" s="15" t="s">
        <v>772</v>
      </c>
      <c r="E2154" s="15" t="s">
        <v>3487</v>
      </c>
    </row>
    <row r="2155" spans="2:5">
      <c r="B2155" s="15" t="s">
        <v>3483</v>
      </c>
      <c r="C2155" s="15" t="s">
        <v>3484</v>
      </c>
      <c r="D2155" s="15" t="s">
        <v>774</v>
      </c>
      <c r="E2155" s="15" t="s">
        <v>3488</v>
      </c>
    </row>
    <row r="2156" spans="2:5">
      <c r="B2156" s="15" t="s">
        <v>3483</v>
      </c>
      <c r="C2156" s="15" t="s">
        <v>3484</v>
      </c>
      <c r="D2156" s="15" t="s">
        <v>828</v>
      </c>
      <c r="E2156" s="15" t="s">
        <v>3489</v>
      </c>
    </row>
    <row r="2157" spans="2:5">
      <c r="B2157" s="15" t="s">
        <v>3483</v>
      </c>
      <c r="C2157" s="15" t="s">
        <v>3484</v>
      </c>
      <c r="D2157" s="15" t="s">
        <v>901</v>
      </c>
      <c r="E2157" s="15" t="s">
        <v>3490</v>
      </c>
    </row>
    <row r="2158" spans="2:5">
      <c r="B2158" s="15" t="s">
        <v>3483</v>
      </c>
      <c r="C2158" s="15" t="s">
        <v>3484</v>
      </c>
      <c r="D2158" s="15" t="s">
        <v>776</v>
      </c>
      <c r="E2158" s="15" t="s">
        <v>3491</v>
      </c>
    </row>
    <row r="2159" spans="2:5">
      <c r="B2159" s="15" t="s">
        <v>3483</v>
      </c>
      <c r="C2159" s="15" t="s">
        <v>3484</v>
      </c>
      <c r="D2159" s="15" t="s">
        <v>1290</v>
      </c>
      <c r="E2159" s="15" t="s">
        <v>3492</v>
      </c>
    </row>
    <row r="2160" spans="2:5">
      <c r="B2160" s="15" t="s">
        <v>3483</v>
      </c>
      <c r="C2160" s="15" t="s">
        <v>3484</v>
      </c>
      <c r="D2160" s="15" t="s">
        <v>1145</v>
      </c>
      <c r="E2160" s="15" t="s">
        <v>3493</v>
      </c>
    </row>
    <row r="2161" ht="15.95" spans="2:2">
      <c r="B2161" s="122" t="s">
        <v>3494</v>
      </c>
    </row>
    <row r="2162" spans="2:5">
      <c r="B2162" s="15" t="s">
        <v>3495</v>
      </c>
      <c r="C2162" s="15" t="s">
        <v>3496</v>
      </c>
      <c r="D2162" s="15" t="s">
        <v>785</v>
      </c>
      <c r="E2162" s="15" t="s">
        <v>3497</v>
      </c>
    </row>
    <row r="2163" spans="2:5">
      <c r="B2163" s="15" t="s">
        <v>3495</v>
      </c>
      <c r="C2163" s="15" t="s">
        <v>3496</v>
      </c>
      <c r="D2163" s="15" t="s">
        <v>787</v>
      </c>
      <c r="E2163" s="15" t="s">
        <v>3498</v>
      </c>
    </row>
    <row r="2164" spans="2:5">
      <c r="B2164" s="15" t="s">
        <v>3495</v>
      </c>
      <c r="C2164" s="15" t="s">
        <v>3496</v>
      </c>
      <c r="D2164" s="15" t="s">
        <v>789</v>
      </c>
      <c r="E2164" s="15" t="s">
        <v>3499</v>
      </c>
    </row>
    <row r="2165" ht="15.95" spans="2:2">
      <c r="B2165" s="122" t="s">
        <v>3500</v>
      </c>
    </row>
    <row r="2166" spans="2:5">
      <c r="B2166" s="15" t="s">
        <v>3501</v>
      </c>
      <c r="C2166" s="15" t="s">
        <v>3501</v>
      </c>
      <c r="D2166" s="15" t="s">
        <v>770</v>
      </c>
      <c r="E2166" s="15" t="s">
        <v>3502</v>
      </c>
    </row>
    <row r="2167" spans="2:5">
      <c r="B2167" s="15" t="s">
        <v>3501</v>
      </c>
      <c r="C2167" s="15" t="s">
        <v>3501</v>
      </c>
      <c r="D2167" s="15" t="s">
        <v>772</v>
      </c>
      <c r="E2167" s="15" t="s">
        <v>3503</v>
      </c>
    </row>
    <row r="2168" spans="2:5">
      <c r="B2168" s="15" t="s">
        <v>3501</v>
      </c>
      <c r="C2168" s="15" t="s">
        <v>3501</v>
      </c>
      <c r="D2168" s="15" t="s">
        <v>774</v>
      </c>
      <c r="E2168" s="15" t="s">
        <v>3504</v>
      </c>
    </row>
    <row r="2169" spans="2:5">
      <c r="B2169" s="15" t="s">
        <v>3501</v>
      </c>
      <c r="C2169" s="15" t="s">
        <v>3501</v>
      </c>
      <c r="D2169" s="15" t="s">
        <v>828</v>
      </c>
      <c r="E2169" s="15" t="s">
        <v>3505</v>
      </c>
    </row>
    <row r="2170" ht="15.95" spans="2:2">
      <c r="B2170" s="122" t="s">
        <v>3506</v>
      </c>
    </row>
    <row r="2171" spans="2:5">
      <c r="B2171" s="15" t="s">
        <v>3507</v>
      </c>
      <c r="C2171" s="15" t="s">
        <v>896</v>
      </c>
      <c r="D2171" s="15" t="s">
        <v>770</v>
      </c>
      <c r="E2171" s="15" t="s">
        <v>3508</v>
      </c>
    </row>
    <row r="2172" spans="2:5">
      <c r="B2172" s="15" t="s">
        <v>3507</v>
      </c>
      <c r="C2172" s="15" t="s">
        <v>896</v>
      </c>
      <c r="D2172" s="15" t="s">
        <v>772</v>
      </c>
      <c r="E2172" s="15" t="s">
        <v>3509</v>
      </c>
    </row>
    <row r="2173" spans="2:5">
      <c r="B2173" s="15" t="s">
        <v>3507</v>
      </c>
      <c r="C2173" s="15" t="s">
        <v>896</v>
      </c>
      <c r="D2173" s="15" t="s">
        <v>774</v>
      </c>
      <c r="E2173" s="15" t="s">
        <v>3510</v>
      </c>
    </row>
    <row r="2174" spans="2:5">
      <c r="B2174" s="15" t="s">
        <v>3507</v>
      </c>
      <c r="C2174" s="15" t="s">
        <v>896</v>
      </c>
      <c r="D2174" s="15" t="s">
        <v>828</v>
      </c>
      <c r="E2174" s="15" t="s">
        <v>3511</v>
      </c>
    </row>
    <row r="2175" spans="2:5">
      <c r="B2175" s="15" t="s">
        <v>3507</v>
      </c>
      <c r="C2175" s="15" t="s">
        <v>896</v>
      </c>
      <c r="D2175" s="15" t="s">
        <v>901</v>
      </c>
      <c r="E2175" s="15" t="s">
        <v>3512</v>
      </c>
    </row>
    <row r="2176" spans="2:5">
      <c r="B2176" s="15" t="s">
        <v>3507</v>
      </c>
      <c r="C2176" s="15" t="s">
        <v>896</v>
      </c>
      <c r="D2176" s="15" t="s">
        <v>776</v>
      </c>
      <c r="E2176" s="15" t="s">
        <v>3510</v>
      </c>
    </row>
    <row r="2177" spans="2:5">
      <c r="B2177" s="15" t="s">
        <v>3507</v>
      </c>
      <c r="C2177" s="15" t="s">
        <v>896</v>
      </c>
      <c r="D2177" s="15" t="s">
        <v>1290</v>
      </c>
      <c r="E2177" s="15" t="s">
        <v>3511</v>
      </c>
    </row>
    <row r="2178" ht="15.95" spans="2:2">
      <c r="B2178" s="122" t="s">
        <v>3513</v>
      </c>
    </row>
    <row r="2179" spans="2:5">
      <c r="B2179" s="15" t="s">
        <v>3514</v>
      </c>
      <c r="C2179" s="15" t="s">
        <v>3514</v>
      </c>
      <c r="D2179" s="15" t="s">
        <v>723</v>
      </c>
      <c r="E2179" s="15" t="s">
        <v>1201</v>
      </c>
    </row>
    <row r="2180" spans="2:5">
      <c r="B2180" s="15" t="s">
        <v>3514</v>
      </c>
      <c r="C2180" s="15" t="s">
        <v>3514</v>
      </c>
      <c r="D2180" s="15" t="s">
        <v>725</v>
      </c>
      <c r="E2180" s="15" t="s">
        <v>1203</v>
      </c>
    </row>
    <row r="2181" spans="2:5">
      <c r="B2181" s="15" t="s">
        <v>3514</v>
      </c>
      <c r="C2181" s="15" t="s">
        <v>3514</v>
      </c>
      <c r="D2181" s="15" t="s">
        <v>727</v>
      </c>
      <c r="E2181" s="15" t="s">
        <v>1936</v>
      </c>
    </row>
    <row r="2182" ht="15.95" spans="2:2">
      <c r="B2182" s="122" t="s">
        <v>3515</v>
      </c>
    </row>
    <row r="2183" spans="2:5">
      <c r="B2183" s="15" t="s">
        <v>3516</v>
      </c>
      <c r="C2183" s="15" t="s">
        <v>896</v>
      </c>
      <c r="D2183" s="15" t="s">
        <v>723</v>
      </c>
      <c r="E2183" s="15" t="s">
        <v>2654</v>
      </c>
    </row>
    <row r="2184" spans="2:5">
      <c r="B2184" s="15" t="s">
        <v>3516</v>
      </c>
      <c r="C2184" s="15" t="s">
        <v>896</v>
      </c>
      <c r="D2184" s="15" t="s">
        <v>725</v>
      </c>
      <c r="E2184" s="15" t="s">
        <v>3239</v>
      </c>
    </row>
    <row r="2185" spans="2:5">
      <c r="B2185" s="15" t="s">
        <v>3516</v>
      </c>
      <c r="C2185" s="15" t="s">
        <v>896</v>
      </c>
      <c r="D2185" s="15" t="s">
        <v>727</v>
      </c>
      <c r="E2185" s="15" t="s">
        <v>3517</v>
      </c>
    </row>
    <row r="2186" spans="2:5">
      <c r="B2186" s="15" t="s">
        <v>3516</v>
      </c>
      <c r="C2186" s="15" t="s">
        <v>896</v>
      </c>
      <c r="D2186" s="15" t="s">
        <v>729</v>
      </c>
      <c r="E2186" s="15" t="s">
        <v>2658</v>
      </c>
    </row>
    <row r="2187" spans="2:5">
      <c r="B2187" s="15" t="s">
        <v>3516</v>
      </c>
      <c r="C2187" s="15" t="s">
        <v>896</v>
      </c>
      <c r="D2187" s="15" t="s">
        <v>760</v>
      </c>
      <c r="E2187" s="15" t="s">
        <v>2659</v>
      </c>
    </row>
    <row r="2188" spans="2:5">
      <c r="B2188" s="15" t="s">
        <v>3516</v>
      </c>
      <c r="C2188" s="15" t="s">
        <v>896</v>
      </c>
      <c r="D2188" s="15" t="s">
        <v>762</v>
      </c>
      <c r="E2188" s="15" t="s">
        <v>235</v>
      </c>
    </row>
    <row r="2189" spans="2:5">
      <c r="B2189" s="15" t="s">
        <v>3516</v>
      </c>
      <c r="C2189" s="15" t="s">
        <v>896</v>
      </c>
      <c r="D2189" s="15" t="s">
        <v>764</v>
      </c>
      <c r="E2189" s="15" t="s">
        <v>3240</v>
      </c>
    </row>
    <row r="2190" ht="15.95" spans="2:2">
      <c r="B2190" s="122" t="s">
        <v>3518</v>
      </c>
    </row>
    <row r="2191" spans="2:5">
      <c r="B2191" s="15" t="s">
        <v>3519</v>
      </c>
      <c r="C2191" s="15" t="s">
        <v>3520</v>
      </c>
      <c r="D2191" s="15" t="s">
        <v>3521</v>
      </c>
      <c r="E2191" s="15" t="s">
        <v>3522</v>
      </c>
    </row>
    <row r="2192" spans="2:5">
      <c r="B2192" s="15" t="s">
        <v>3519</v>
      </c>
      <c r="C2192" s="15" t="s">
        <v>3520</v>
      </c>
      <c r="D2192" s="15" t="s">
        <v>3523</v>
      </c>
      <c r="E2192" s="15" t="s">
        <v>3524</v>
      </c>
    </row>
    <row r="2193" spans="2:5">
      <c r="B2193" s="15" t="s">
        <v>3519</v>
      </c>
      <c r="C2193" s="15" t="s">
        <v>3520</v>
      </c>
      <c r="D2193" s="15" t="s">
        <v>3525</v>
      </c>
      <c r="E2193" s="15" t="s">
        <v>3526</v>
      </c>
    </row>
    <row r="2194" spans="2:5">
      <c r="B2194" s="15" t="s">
        <v>3519</v>
      </c>
      <c r="C2194" s="15" t="s">
        <v>3520</v>
      </c>
      <c r="D2194" s="15" t="s">
        <v>3527</v>
      </c>
      <c r="E2194" s="15" t="s">
        <v>3528</v>
      </c>
    </row>
    <row r="2195" spans="2:5">
      <c r="B2195" s="15" t="s">
        <v>3519</v>
      </c>
      <c r="C2195" s="15" t="s">
        <v>3520</v>
      </c>
      <c r="D2195" s="15" t="s">
        <v>3529</v>
      </c>
      <c r="E2195" s="15" t="s">
        <v>3530</v>
      </c>
    </row>
    <row r="2196" spans="2:5">
      <c r="B2196" s="15" t="s">
        <v>3519</v>
      </c>
      <c r="C2196" s="15" t="s">
        <v>3520</v>
      </c>
      <c r="D2196" s="15" t="s">
        <v>3531</v>
      </c>
      <c r="E2196" s="15" t="s">
        <v>3532</v>
      </c>
    </row>
    <row r="2197" spans="2:5">
      <c r="B2197" s="15" t="s">
        <v>3519</v>
      </c>
      <c r="C2197" s="15" t="s">
        <v>3520</v>
      </c>
      <c r="D2197" s="15" t="s">
        <v>3533</v>
      </c>
      <c r="E2197" s="15" t="s">
        <v>3534</v>
      </c>
    </row>
    <row r="2198" spans="2:5">
      <c r="B2198" s="15" t="s">
        <v>3519</v>
      </c>
      <c r="C2198" s="15" t="s">
        <v>3520</v>
      </c>
      <c r="D2198" s="15" t="s">
        <v>3535</v>
      </c>
      <c r="E2198" s="15" t="s">
        <v>3536</v>
      </c>
    </row>
    <row r="2199" spans="2:5">
      <c r="B2199" s="15" t="s">
        <v>3519</v>
      </c>
      <c r="C2199" s="15" t="s">
        <v>3520</v>
      </c>
      <c r="D2199" s="15" t="s">
        <v>3537</v>
      </c>
      <c r="E2199" s="15" t="s">
        <v>3538</v>
      </c>
    </row>
    <row r="2200" ht="15.95" spans="2:2">
      <c r="B2200" s="122" t="s">
        <v>3539</v>
      </c>
    </row>
    <row r="2201" spans="2:5">
      <c r="B2201" s="15" t="s">
        <v>3540</v>
      </c>
      <c r="C2201" s="15" t="s">
        <v>3540</v>
      </c>
      <c r="D2201" s="15" t="s">
        <v>723</v>
      </c>
      <c r="E2201" s="15" t="s">
        <v>3541</v>
      </c>
    </row>
    <row r="2202" spans="2:5">
      <c r="B2202" s="15" t="s">
        <v>3540</v>
      </c>
      <c r="C2202" s="15" t="s">
        <v>3540</v>
      </c>
      <c r="D2202" s="15" t="s">
        <v>725</v>
      </c>
      <c r="E2202" s="15" t="s">
        <v>3542</v>
      </c>
    </row>
    <row r="2203" spans="2:5">
      <c r="B2203" s="15" t="s">
        <v>3540</v>
      </c>
      <c r="C2203" s="15" t="s">
        <v>3540</v>
      </c>
      <c r="D2203" s="15" t="s">
        <v>727</v>
      </c>
      <c r="E2203" s="15" t="s">
        <v>3543</v>
      </c>
    </row>
    <row r="2204" ht="15.95" spans="2:2">
      <c r="B2204" s="122" t="s">
        <v>3544</v>
      </c>
    </row>
    <row r="2205" spans="2:5">
      <c r="B2205" s="15" t="s">
        <v>3545</v>
      </c>
      <c r="C2205" s="15" t="s">
        <v>896</v>
      </c>
      <c r="D2205" s="15" t="s">
        <v>770</v>
      </c>
      <c r="E2205" s="15" t="s">
        <v>3546</v>
      </c>
    </row>
    <row r="2206" spans="2:5">
      <c r="B2206" s="15" t="s">
        <v>3545</v>
      </c>
      <c r="C2206" s="15" t="s">
        <v>896</v>
      </c>
      <c r="D2206" s="15" t="s">
        <v>772</v>
      </c>
      <c r="E2206" s="15" t="s">
        <v>3547</v>
      </c>
    </row>
    <row r="2207" spans="2:5">
      <c r="B2207" s="15" t="s">
        <v>3545</v>
      </c>
      <c r="C2207" s="15" t="s">
        <v>896</v>
      </c>
      <c r="D2207" s="15" t="s">
        <v>774</v>
      </c>
      <c r="E2207" s="15" t="s">
        <v>235</v>
      </c>
    </row>
    <row r="2208" ht="15.95" spans="2:2">
      <c r="B2208" s="122" t="s">
        <v>3548</v>
      </c>
    </row>
    <row r="2209" spans="2:5">
      <c r="B2209" s="15" t="s">
        <v>3549</v>
      </c>
      <c r="C2209" s="15" t="s">
        <v>896</v>
      </c>
      <c r="D2209" s="15" t="s">
        <v>770</v>
      </c>
      <c r="E2209" s="15" t="s">
        <v>1185</v>
      </c>
    </row>
    <row r="2210" spans="2:5">
      <c r="B2210" s="15" t="s">
        <v>3549</v>
      </c>
      <c r="C2210" s="15" t="s">
        <v>896</v>
      </c>
      <c r="D2210" s="15" t="s">
        <v>772</v>
      </c>
      <c r="E2210" s="15" t="s">
        <v>2227</v>
      </c>
    </row>
    <row r="2211" spans="2:5">
      <c r="B2211" s="15" t="s">
        <v>3549</v>
      </c>
      <c r="C2211" s="15" t="s">
        <v>896</v>
      </c>
      <c r="D2211" s="15" t="s">
        <v>774</v>
      </c>
      <c r="E2211" s="15" t="s">
        <v>2228</v>
      </c>
    </row>
    <row r="2212" spans="2:5">
      <c r="B2212" s="15" t="s">
        <v>3549</v>
      </c>
      <c r="C2212" s="15" t="s">
        <v>896</v>
      </c>
      <c r="D2212" s="15" t="s">
        <v>828</v>
      </c>
      <c r="E2212" s="15" t="s">
        <v>2229</v>
      </c>
    </row>
    <row r="2213" ht="15.95" spans="2:2">
      <c r="B2213" s="122" t="s">
        <v>3550</v>
      </c>
    </row>
    <row r="2214" spans="2:5">
      <c r="B2214" s="15" t="s">
        <v>3551</v>
      </c>
      <c r="C2214" s="15" t="s">
        <v>896</v>
      </c>
      <c r="D2214" s="15" t="s">
        <v>770</v>
      </c>
      <c r="E2214" s="15" t="s">
        <v>3552</v>
      </c>
    </row>
    <row r="2215" spans="2:5">
      <c r="B2215" s="15" t="s">
        <v>3551</v>
      </c>
      <c r="C2215" s="15" t="s">
        <v>896</v>
      </c>
      <c r="D2215" s="15" t="s">
        <v>772</v>
      </c>
      <c r="E2215" s="15" t="s">
        <v>3553</v>
      </c>
    </row>
    <row r="2216" spans="2:5">
      <c r="B2216" s="15" t="s">
        <v>3551</v>
      </c>
      <c r="C2216" s="15" t="s">
        <v>896</v>
      </c>
      <c r="D2216" s="15" t="s">
        <v>774</v>
      </c>
      <c r="E2216" s="15" t="s">
        <v>3554</v>
      </c>
    </row>
    <row r="2217" spans="2:5">
      <c r="B2217" s="15" t="s">
        <v>3551</v>
      </c>
      <c r="C2217" s="15" t="s">
        <v>896</v>
      </c>
      <c r="D2217" s="15" t="s">
        <v>828</v>
      </c>
      <c r="E2217" s="15" t="s">
        <v>3555</v>
      </c>
    </row>
    <row r="2218" spans="2:5">
      <c r="B2218" s="15" t="s">
        <v>3551</v>
      </c>
      <c r="C2218" s="15" t="s">
        <v>896</v>
      </c>
      <c r="D2218" s="15" t="s">
        <v>901</v>
      </c>
      <c r="E2218" s="15" t="s">
        <v>3556</v>
      </c>
    </row>
    <row r="2219" ht="15.95" spans="2:2">
      <c r="B2219" s="122" t="s">
        <v>3557</v>
      </c>
    </row>
    <row r="2220" spans="2:5">
      <c r="B2220" s="15" t="s">
        <v>3558</v>
      </c>
      <c r="C2220" s="15" t="s">
        <v>3558</v>
      </c>
      <c r="D2220" s="15" t="s">
        <v>770</v>
      </c>
      <c r="E2220" s="15" t="s">
        <v>2440</v>
      </c>
    </row>
    <row r="2221" spans="2:5">
      <c r="B2221" s="15" t="s">
        <v>3558</v>
      </c>
      <c r="C2221" s="15" t="s">
        <v>3558</v>
      </c>
      <c r="D2221" s="15" t="s">
        <v>772</v>
      </c>
      <c r="E2221" s="15" t="s">
        <v>2441</v>
      </c>
    </row>
    <row r="2222" spans="2:5">
      <c r="B2222" s="15" t="s">
        <v>3558</v>
      </c>
      <c r="C2222" s="15" t="s">
        <v>3558</v>
      </c>
      <c r="D2222" s="15" t="s">
        <v>774</v>
      </c>
      <c r="E2222" s="15" t="s">
        <v>2442</v>
      </c>
    </row>
    <row r="2223" spans="2:5">
      <c r="B2223" s="15" t="s">
        <v>3558</v>
      </c>
      <c r="C2223" s="15" t="s">
        <v>3558</v>
      </c>
      <c r="D2223" s="15" t="s">
        <v>828</v>
      </c>
      <c r="E2223" s="15" t="s">
        <v>3559</v>
      </c>
    </row>
    <row r="2224" ht="15.95" spans="2:2">
      <c r="B2224" s="122" t="s">
        <v>3560</v>
      </c>
    </row>
    <row r="2225" spans="2:5">
      <c r="B2225" s="15" t="s">
        <v>3561</v>
      </c>
      <c r="C2225" s="15" t="s">
        <v>3562</v>
      </c>
      <c r="D2225" s="15" t="s">
        <v>635</v>
      </c>
      <c r="E2225" s="15" t="s">
        <v>3563</v>
      </c>
    </row>
    <row r="2226" spans="2:5">
      <c r="B2226" s="15" t="s">
        <v>3561</v>
      </c>
      <c r="C2226" s="15" t="s">
        <v>3562</v>
      </c>
      <c r="D2226" s="15" t="s">
        <v>659</v>
      </c>
      <c r="E2226" s="15" t="s">
        <v>3564</v>
      </c>
    </row>
    <row r="2227" spans="2:5">
      <c r="B2227" s="15" t="s">
        <v>3561</v>
      </c>
      <c r="C2227" s="15" t="s">
        <v>3562</v>
      </c>
      <c r="D2227" s="15" t="s">
        <v>679</v>
      </c>
      <c r="E2227" s="15" t="s">
        <v>3565</v>
      </c>
    </row>
    <row r="2228" spans="2:5">
      <c r="B2228" s="15" t="s">
        <v>3561</v>
      </c>
      <c r="C2228" s="15" t="s">
        <v>3562</v>
      </c>
      <c r="D2228" s="15" t="s">
        <v>705</v>
      </c>
      <c r="E2228" s="15" t="s">
        <v>3566</v>
      </c>
    </row>
    <row r="2229" spans="2:5">
      <c r="B2229" s="15" t="s">
        <v>3561</v>
      </c>
      <c r="C2229" s="15" t="s">
        <v>3562</v>
      </c>
      <c r="D2229" s="15" t="s">
        <v>709</v>
      </c>
      <c r="E2229" s="15" t="s">
        <v>3567</v>
      </c>
    </row>
    <row r="2230" spans="2:5">
      <c r="B2230" s="15" t="s">
        <v>3561</v>
      </c>
      <c r="C2230" s="15" t="s">
        <v>3562</v>
      </c>
      <c r="D2230" s="15" t="s">
        <v>838</v>
      </c>
      <c r="E2230" s="15" t="s">
        <v>3568</v>
      </c>
    </row>
    <row r="2231" spans="2:5">
      <c r="B2231" s="15" t="s">
        <v>3561</v>
      </c>
      <c r="C2231" s="15" t="s">
        <v>3562</v>
      </c>
      <c r="D2231" s="15" t="s">
        <v>840</v>
      </c>
      <c r="E2231" s="15" t="s">
        <v>3569</v>
      </c>
    </row>
    <row r="2232" spans="2:5">
      <c r="B2232" s="15" t="s">
        <v>3561</v>
      </c>
      <c r="C2232" s="15" t="s">
        <v>3562</v>
      </c>
      <c r="D2232" s="15" t="s">
        <v>842</v>
      </c>
      <c r="E2232" s="15" t="s">
        <v>3570</v>
      </c>
    </row>
    <row r="2233" spans="2:5">
      <c r="B2233" s="15" t="s">
        <v>3561</v>
      </c>
      <c r="C2233" s="15" t="s">
        <v>3562</v>
      </c>
      <c r="D2233" s="15" t="s">
        <v>844</v>
      </c>
      <c r="E2233" s="15" t="s">
        <v>3571</v>
      </c>
    </row>
    <row r="2234" spans="2:5">
      <c r="B2234" s="15" t="s">
        <v>3561</v>
      </c>
      <c r="C2234" s="15" t="s">
        <v>3562</v>
      </c>
      <c r="D2234" s="15" t="s">
        <v>846</v>
      </c>
      <c r="E2234" s="15" t="s">
        <v>3572</v>
      </c>
    </row>
    <row r="2235" spans="2:5">
      <c r="B2235" s="15" t="s">
        <v>3561</v>
      </c>
      <c r="C2235" s="15" t="s">
        <v>3562</v>
      </c>
      <c r="D2235" s="15" t="s">
        <v>713</v>
      </c>
      <c r="E2235" s="15" t="s">
        <v>3573</v>
      </c>
    </row>
    <row r="2236" spans="2:5">
      <c r="B2236" s="15" t="s">
        <v>3561</v>
      </c>
      <c r="C2236" s="15" t="s">
        <v>3562</v>
      </c>
      <c r="D2236" s="15" t="s">
        <v>849</v>
      </c>
      <c r="E2236" s="15" t="s">
        <v>3574</v>
      </c>
    </row>
    <row r="2237" spans="2:5">
      <c r="B2237" s="15" t="s">
        <v>3561</v>
      </c>
      <c r="C2237" s="15" t="s">
        <v>3562</v>
      </c>
      <c r="D2237" s="15" t="s">
        <v>851</v>
      </c>
      <c r="E2237" s="15" t="s">
        <v>3575</v>
      </c>
    </row>
    <row r="2238" spans="2:5">
      <c r="B2238" s="15" t="s">
        <v>3561</v>
      </c>
      <c r="C2238" s="15" t="s">
        <v>3562</v>
      </c>
      <c r="D2238" s="15" t="s">
        <v>853</v>
      </c>
      <c r="E2238" s="15" t="s">
        <v>3576</v>
      </c>
    </row>
    <row r="2239" spans="2:5">
      <c r="B2239" s="15" t="s">
        <v>3561</v>
      </c>
      <c r="C2239" s="15" t="s">
        <v>3562</v>
      </c>
      <c r="D2239" s="15" t="s">
        <v>855</v>
      </c>
      <c r="E2239" s="15" t="s">
        <v>3577</v>
      </c>
    </row>
    <row r="2240" spans="2:5">
      <c r="B2240" s="15" t="s">
        <v>3561</v>
      </c>
      <c r="C2240" s="15" t="s">
        <v>3562</v>
      </c>
      <c r="D2240" s="15" t="s">
        <v>857</v>
      </c>
      <c r="E2240" s="15" t="s">
        <v>3578</v>
      </c>
    </row>
    <row r="2241" spans="2:5">
      <c r="B2241" s="15" t="s">
        <v>3561</v>
      </c>
      <c r="C2241" s="15" t="s">
        <v>3562</v>
      </c>
      <c r="D2241" s="15" t="s">
        <v>859</v>
      </c>
      <c r="E2241" s="15" t="s">
        <v>3579</v>
      </c>
    </row>
    <row r="2242" spans="2:5">
      <c r="B2242" s="15" t="s">
        <v>3561</v>
      </c>
      <c r="C2242" s="15" t="s">
        <v>3562</v>
      </c>
      <c r="D2242" s="15" t="s">
        <v>861</v>
      </c>
      <c r="E2242" s="15" t="s">
        <v>3580</v>
      </c>
    </row>
    <row r="2243" spans="2:5">
      <c r="B2243" s="15" t="s">
        <v>3561</v>
      </c>
      <c r="C2243" s="15" t="s">
        <v>3562</v>
      </c>
      <c r="D2243" s="15" t="s">
        <v>3581</v>
      </c>
      <c r="E2243" s="15" t="s">
        <v>3232</v>
      </c>
    </row>
    <row r="2244" ht="15.95" spans="2:2">
      <c r="B2244" s="122" t="s">
        <v>3582</v>
      </c>
    </row>
    <row r="2245" spans="2:5">
      <c r="B2245" s="15" t="s">
        <v>3583</v>
      </c>
      <c r="C2245" s="15" t="s">
        <v>3584</v>
      </c>
      <c r="D2245" s="15" t="s">
        <v>3585</v>
      </c>
      <c r="E2245" s="15" t="s">
        <v>3586</v>
      </c>
    </row>
    <row r="2246" spans="2:5">
      <c r="B2246" s="15" t="s">
        <v>3583</v>
      </c>
      <c r="C2246" s="15" t="s">
        <v>3584</v>
      </c>
      <c r="D2246" s="15" t="s">
        <v>3587</v>
      </c>
      <c r="E2246" s="15" t="s">
        <v>3588</v>
      </c>
    </row>
    <row r="2247" spans="2:5">
      <c r="B2247" s="15" t="s">
        <v>3583</v>
      </c>
      <c r="C2247" s="15" t="s">
        <v>3584</v>
      </c>
      <c r="D2247" s="15" t="s">
        <v>659</v>
      </c>
      <c r="E2247" s="15" t="s">
        <v>3589</v>
      </c>
    </row>
    <row r="2248" spans="2:5">
      <c r="B2248" s="15" t="s">
        <v>3583</v>
      </c>
      <c r="C2248" s="15" t="s">
        <v>3584</v>
      </c>
      <c r="D2248" s="15" t="s">
        <v>709</v>
      </c>
      <c r="E2248" s="15" t="s">
        <v>3590</v>
      </c>
    </row>
    <row r="2249" spans="2:5">
      <c r="B2249" s="15" t="s">
        <v>3583</v>
      </c>
      <c r="C2249" s="15" t="s">
        <v>3584</v>
      </c>
      <c r="D2249" s="15" t="s">
        <v>838</v>
      </c>
      <c r="E2249" s="15" t="s">
        <v>3591</v>
      </c>
    </row>
    <row r="2250" spans="2:5">
      <c r="B2250" s="15" t="s">
        <v>3583</v>
      </c>
      <c r="C2250" s="15" t="s">
        <v>3584</v>
      </c>
      <c r="D2250" s="15" t="s">
        <v>840</v>
      </c>
      <c r="E2250" s="15" t="s">
        <v>3592</v>
      </c>
    </row>
    <row r="2251" spans="2:5">
      <c r="B2251" s="15" t="s">
        <v>3583</v>
      </c>
      <c r="C2251" s="15" t="s">
        <v>3584</v>
      </c>
      <c r="D2251" s="15" t="s">
        <v>842</v>
      </c>
      <c r="E2251" s="15" t="s">
        <v>3593</v>
      </c>
    </row>
    <row r="2252" spans="2:5">
      <c r="B2252" s="15" t="s">
        <v>3583</v>
      </c>
      <c r="C2252" s="15" t="s">
        <v>3584</v>
      </c>
      <c r="D2252" s="15" t="s">
        <v>844</v>
      </c>
      <c r="E2252" s="15" t="s">
        <v>3594</v>
      </c>
    </row>
    <row r="2253" spans="2:5">
      <c r="B2253" s="15" t="s">
        <v>3583</v>
      </c>
      <c r="C2253" s="15" t="s">
        <v>3584</v>
      </c>
      <c r="D2253" s="15" t="s">
        <v>846</v>
      </c>
      <c r="E2253" s="15" t="s">
        <v>3595</v>
      </c>
    </row>
    <row r="2254" spans="2:5">
      <c r="B2254" s="15" t="s">
        <v>3583</v>
      </c>
      <c r="C2254" s="15" t="s">
        <v>3584</v>
      </c>
      <c r="D2254" s="15" t="s">
        <v>713</v>
      </c>
      <c r="E2254" s="15" t="s">
        <v>3596</v>
      </c>
    </row>
    <row r="2255" spans="2:5">
      <c r="B2255" s="15" t="s">
        <v>3583</v>
      </c>
      <c r="C2255" s="15" t="s">
        <v>3584</v>
      </c>
      <c r="D2255" s="15" t="s">
        <v>849</v>
      </c>
      <c r="E2255" s="15" t="s">
        <v>3597</v>
      </c>
    </row>
    <row r="2256" spans="2:5">
      <c r="B2256" s="15" t="s">
        <v>3583</v>
      </c>
      <c r="C2256" s="15" t="s">
        <v>3584</v>
      </c>
      <c r="D2256" s="15" t="s">
        <v>851</v>
      </c>
      <c r="E2256" s="15" t="s">
        <v>3598</v>
      </c>
    </row>
    <row r="2257" spans="2:5">
      <c r="B2257" s="15" t="s">
        <v>3583</v>
      </c>
      <c r="C2257" s="15" t="s">
        <v>3584</v>
      </c>
      <c r="D2257" s="15" t="s">
        <v>853</v>
      </c>
      <c r="E2257" s="15" t="s">
        <v>3599</v>
      </c>
    </row>
    <row r="2258" spans="2:5">
      <c r="B2258" s="15" t="s">
        <v>3583</v>
      </c>
      <c r="C2258" s="15" t="s">
        <v>3584</v>
      </c>
      <c r="D2258" s="15" t="s">
        <v>855</v>
      </c>
      <c r="E2258" s="15" t="s">
        <v>3600</v>
      </c>
    </row>
    <row r="2259" ht="15.95" spans="2:2">
      <c r="B2259" s="122" t="s">
        <v>3601</v>
      </c>
    </row>
    <row r="2260" spans="2:5">
      <c r="B2260" s="15" t="s">
        <v>3602</v>
      </c>
      <c r="C2260" s="15" t="s">
        <v>3603</v>
      </c>
      <c r="D2260" s="15" t="s">
        <v>274</v>
      </c>
      <c r="E2260" s="15" t="s">
        <v>3604</v>
      </c>
    </row>
    <row r="2261" spans="2:5">
      <c r="B2261" s="15" t="s">
        <v>3602</v>
      </c>
      <c r="C2261" s="15" t="s">
        <v>3603</v>
      </c>
      <c r="D2261" s="15" t="s">
        <v>275</v>
      </c>
      <c r="E2261" s="15" t="s">
        <v>3605</v>
      </c>
    </row>
    <row r="2262" spans="2:5">
      <c r="B2262" s="15" t="s">
        <v>3602</v>
      </c>
      <c r="C2262" s="15" t="s">
        <v>3603</v>
      </c>
      <c r="D2262" s="15" t="s">
        <v>276</v>
      </c>
      <c r="E2262" s="15" t="s">
        <v>3606</v>
      </c>
    </row>
    <row r="2263" spans="2:5">
      <c r="B2263" s="15" t="s">
        <v>3602</v>
      </c>
      <c r="C2263" s="15" t="s">
        <v>3603</v>
      </c>
      <c r="D2263" s="15" t="s">
        <v>278</v>
      </c>
      <c r="E2263" s="15" t="s">
        <v>3607</v>
      </c>
    </row>
    <row r="2264" spans="2:5">
      <c r="B2264" s="15" t="s">
        <v>3602</v>
      </c>
      <c r="C2264" s="15" t="s">
        <v>3603</v>
      </c>
      <c r="D2264" s="15" t="s">
        <v>279</v>
      </c>
      <c r="E2264" s="15" t="s">
        <v>3608</v>
      </c>
    </row>
    <row r="2265" spans="2:5">
      <c r="B2265" s="15" t="s">
        <v>3602</v>
      </c>
      <c r="C2265" s="15" t="s">
        <v>3603</v>
      </c>
      <c r="D2265" s="15" t="s">
        <v>280</v>
      </c>
      <c r="E2265" s="15" t="s">
        <v>3609</v>
      </c>
    </row>
    <row r="2266" spans="2:5">
      <c r="B2266" s="15" t="s">
        <v>3602</v>
      </c>
      <c r="C2266" s="15" t="s">
        <v>3603</v>
      </c>
      <c r="D2266" s="15" t="s">
        <v>281</v>
      </c>
      <c r="E2266" s="15" t="s">
        <v>3610</v>
      </c>
    </row>
    <row r="2267" spans="2:5">
      <c r="B2267" s="15" t="s">
        <v>3602</v>
      </c>
      <c r="C2267" s="15" t="s">
        <v>3603</v>
      </c>
      <c r="D2267" s="15" t="s">
        <v>283</v>
      </c>
      <c r="E2267" s="15" t="s">
        <v>3611</v>
      </c>
    </row>
    <row r="2268" ht="15.95" spans="2:2">
      <c r="B2268" s="122" t="s">
        <v>3612</v>
      </c>
    </row>
    <row r="2269" spans="2:5">
      <c r="B2269" s="15" t="s">
        <v>3613</v>
      </c>
      <c r="C2269" s="15" t="s">
        <v>3614</v>
      </c>
      <c r="D2269" s="15" t="s">
        <v>1432</v>
      </c>
      <c r="E2269" s="15" t="s">
        <v>810</v>
      </c>
    </row>
    <row r="2270" spans="2:5">
      <c r="B2270" s="15" t="s">
        <v>3613</v>
      </c>
      <c r="C2270" s="15" t="s">
        <v>3614</v>
      </c>
      <c r="D2270" s="15" t="s">
        <v>635</v>
      </c>
      <c r="E2270" s="15" t="s">
        <v>3615</v>
      </c>
    </row>
    <row r="2271" spans="2:5">
      <c r="B2271" s="15" t="s">
        <v>3613</v>
      </c>
      <c r="C2271" s="15" t="s">
        <v>3614</v>
      </c>
      <c r="D2271" s="15" t="s">
        <v>659</v>
      </c>
      <c r="E2271" s="15" t="s">
        <v>3616</v>
      </c>
    </row>
    <row r="2272" spans="2:5">
      <c r="B2272" s="15" t="s">
        <v>3613</v>
      </c>
      <c r="C2272" s="15" t="s">
        <v>3614</v>
      </c>
      <c r="D2272" s="15" t="s">
        <v>723</v>
      </c>
      <c r="E2272" s="15" t="s">
        <v>811</v>
      </c>
    </row>
    <row r="2273" spans="2:5">
      <c r="B2273" s="15" t="s">
        <v>3613</v>
      </c>
      <c r="C2273" s="15" t="s">
        <v>3614</v>
      </c>
      <c r="D2273" s="15" t="s">
        <v>729</v>
      </c>
      <c r="E2273" s="15" t="s">
        <v>3617</v>
      </c>
    </row>
    <row r="2274" spans="2:5">
      <c r="B2274" s="15" t="s">
        <v>3613</v>
      </c>
      <c r="C2274" s="15" t="s">
        <v>3614</v>
      </c>
      <c r="D2274" s="15" t="s">
        <v>760</v>
      </c>
      <c r="E2274" s="15" t="s">
        <v>3618</v>
      </c>
    </row>
    <row r="2275" spans="2:5">
      <c r="B2275" s="15" t="s">
        <v>3613</v>
      </c>
      <c r="C2275" s="15" t="s">
        <v>3614</v>
      </c>
      <c r="D2275" s="15" t="s">
        <v>764</v>
      </c>
      <c r="E2275" s="15" t="s">
        <v>3619</v>
      </c>
    </row>
    <row r="2276" spans="2:5">
      <c r="B2276" s="15" t="s">
        <v>3613</v>
      </c>
      <c r="C2276" s="15" t="s">
        <v>3614</v>
      </c>
      <c r="D2276" s="15" t="s">
        <v>1587</v>
      </c>
      <c r="E2276" s="15" t="s">
        <v>870</v>
      </c>
    </row>
    <row r="2277" ht="15.95" spans="2:2">
      <c r="B2277" s="122" t="s">
        <v>3620</v>
      </c>
    </row>
    <row r="2278" spans="2:5">
      <c r="B2278" s="15" t="s">
        <v>3621</v>
      </c>
      <c r="C2278" s="15" t="s">
        <v>896</v>
      </c>
      <c r="D2278" s="15" t="s">
        <v>770</v>
      </c>
      <c r="E2278" s="15" t="s">
        <v>3622</v>
      </c>
    </row>
    <row r="2279" spans="2:5">
      <c r="B2279" s="15" t="s">
        <v>3621</v>
      </c>
      <c r="C2279" s="15" t="s">
        <v>896</v>
      </c>
      <c r="D2279" s="15" t="s">
        <v>772</v>
      </c>
      <c r="E2279" s="15" t="s">
        <v>1203</v>
      </c>
    </row>
    <row r="2280" spans="2:5">
      <c r="B2280" s="15" t="s">
        <v>3621</v>
      </c>
      <c r="C2280" s="15" t="s">
        <v>896</v>
      </c>
      <c r="D2280" s="15" t="s">
        <v>774</v>
      </c>
      <c r="E2280" s="15" t="s">
        <v>3623</v>
      </c>
    </row>
    <row r="2281" ht="15.95" spans="2:2">
      <c r="B2281" s="122" t="s">
        <v>3624</v>
      </c>
    </row>
    <row r="2282" spans="2:5">
      <c r="B2282" s="15" t="s">
        <v>3625</v>
      </c>
      <c r="C2282" s="15"/>
      <c r="D2282" s="15" t="s">
        <v>1267</v>
      </c>
      <c r="E2282" s="15" t="s">
        <v>1355</v>
      </c>
    </row>
    <row r="2283" spans="2:5">
      <c r="B2283" s="15" t="s">
        <v>3625</v>
      </c>
      <c r="C2283" s="15"/>
      <c r="D2283" s="15" t="s">
        <v>1269</v>
      </c>
      <c r="E2283" s="15" t="s">
        <v>1356</v>
      </c>
    </row>
    <row r="2284" ht="15.95" spans="2:2">
      <c r="B2284" s="122" t="s">
        <v>3626</v>
      </c>
    </row>
    <row r="2285" spans="2:5">
      <c r="B2285" s="15" t="s">
        <v>3627</v>
      </c>
      <c r="C2285" s="15" t="s">
        <v>3628</v>
      </c>
      <c r="D2285" s="15" t="s">
        <v>785</v>
      </c>
      <c r="E2285" s="15" t="s">
        <v>3629</v>
      </c>
    </row>
    <row r="2286" spans="2:5">
      <c r="B2286" s="15" t="s">
        <v>3627</v>
      </c>
      <c r="C2286" s="15" t="s">
        <v>3628</v>
      </c>
      <c r="D2286" s="15" t="s">
        <v>787</v>
      </c>
      <c r="E2286" s="15" t="s">
        <v>3630</v>
      </c>
    </row>
    <row r="2287" ht="15.95" spans="2:2">
      <c r="B2287" s="122" t="s">
        <v>3631</v>
      </c>
    </row>
    <row r="2288" spans="2:5">
      <c r="B2288" s="15" t="s">
        <v>3632</v>
      </c>
      <c r="C2288" s="15" t="s">
        <v>3633</v>
      </c>
      <c r="D2288" s="15" t="s">
        <v>770</v>
      </c>
      <c r="E2288" s="15" t="s">
        <v>1712</v>
      </c>
    </row>
    <row r="2289" spans="2:5">
      <c r="B2289" s="15" t="s">
        <v>3632</v>
      </c>
      <c r="C2289" s="15" t="s">
        <v>3633</v>
      </c>
      <c r="D2289" s="15" t="s">
        <v>772</v>
      </c>
      <c r="E2289" s="15" t="s">
        <v>1203</v>
      </c>
    </row>
    <row r="2290" spans="2:5">
      <c r="B2290" s="15" t="s">
        <v>3632</v>
      </c>
      <c r="C2290" s="15" t="s">
        <v>3633</v>
      </c>
      <c r="D2290" s="15" t="s">
        <v>774</v>
      </c>
      <c r="E2290" s="15" t="s">
        <v>1713</v>
      </c>
    </row>
    <row r="2291" ht="15.95" spans="2:2">
      <c r="B2291" s="122" t="s">
        <v>3634</v>
      </c>
    </row>
    <row r="2292" spans="2:5">
      <c r="B2292" s="15" t="s">
        <v>3635</v>
      </c>
      <c r="C2292" s="15" t="s">
        <v>3636</v>
      </c>
      <c r="D2292" s="15" t="s">
        <v>635</v>
      </c>
      <c r="E2292" s="15" t="s">
        <v>3637</v>
      </c>
    </row>
    <row r="2293" spans="2:5">
      <c r="B2293" s="15" t="s">
        <v>3635</v>
      </c>
      <c r="C2293" s="15" t="s">
        <v>3636</v>
      </c>
      <c r="D2293" s="15" t="s">
        <v>3638</v>
      </c>
      <c r="E2293" s="15" t="s">
        <v>3639</v>
      </c>
    </row>
    <row r="2294" spans="2:5">
      <c r="B2294" s="15" t="s">
        <v>3635</v>
      </c>
      <c r="C2294" s="15" t="s">
        <v>3636</v>
      </c>
      <c r="D2294" s="15" t="s">
        <v>3640</v>
      </c>
      <c r="E2294" s="15" t="s">
        <v>3641</v>
      </c>
    </row>
    <row r="2295" spans="2:5">
      <c r="B2295" s="15" t="s">
        <v>3635</v>
      </c>
      <c r="C2295" s="15" t="s">
        <v>3636</v>
      </c>
      <c r="D2295" s="15" t="s">
        <v>3642</v>
      </c>
      <c r="E2295" s="15" t="s">
        <v>3643</v>
      </c>
    </row>
    <row r="2296" spans="2:5">
      <c r="B2296" s="15" t="s">
        <v>3635</v>
      </c>
      <c r="C2296" s="15" t="s">
        <v>3636</v>
      </c>
      <c r="D2296" s="15" t="s">
        <v>3644</v>
      </c>
      <c r="E2296" s="15" t="s">
        <v>3645</v>
      </c>
    </row>
    <row r="2297" spans="2:5">
      <c r="B2297" s="15" t="s">
        <v>3635</v>
      </c>
      <c r="C2297" s="15" t="s">
        <v>3636</v>
      </c>
      <c r="D2297" s="15" t="s">
        <v>3646</v>
      </c>
      <c r="E2297" s="15" t="s">
        <v>3647</v>
      </c>
    </row>
    <row r="2298" spans="2:5">
      <c r="B2298" s="15" t="s">
        <v>3635</v>
      </c>
      <c r="C2298" s="15" t="s">
        <v>3636</v>
      </c>
      <c r="D2298" s="15" t="s">
        <v>3648</v>
      </c>
      <c r="E2298" s="15" t="s">
        <v>3649</v>
      </c>
    </row>
    <row r="2299" spans="2:5">
      <c r="B2299" s="15" t="s">
        <v>3635</v>
      </c>
      <c r="C2299" s="15" t="s">
        <v>3636</v>
      </c>
      <c r="D2299" s="15" t="s">
        <v>3650</v>
      </c>
      <c r="E2299" s="15" t="s">
        <v>3651</v>
      </c>
    </row>
    <row r="2300" spans="2:5">
      <c r="B2300" s="15" t="s">
        <v>3635</v>
      </c>
      <c r="C2300" s="15" t="s">
        <v>3636</v>
      </c>
      <c r="D2300" s="15" t="s">
        <v>3652</v>
      </c>
      <c r="E2300" s="15" t="s">
        <v>3653</v>
      </c>
    </row>
    <row r="2301" spans="2:5">
      <c r="B2301" s="15" t="s">
        <v>3635</v>
      </c>
      <c r="C2301" s="15" t="s">
        <v>3636</v>
      </c>
      <c r="D2301" s="15" t="s">
        <v>3654</v>
      </c>
      <c r="E2301" s="15" t="s">
        <v>3655</v>
      </c>
    </row>
    <row r="2302" spans="2:5">
      <c r="B2302" s="15" t="s">
        <v>3635</v>
      </c>
      <c r="C2302" s="15" t="s">
        <v>3636</v>
      </c>
      <c r="D2302" s="15" t="s">
        <v>3656</v>
      </c>
      <c r="E2302" s="15" t="s">
        <v>3645</v>
      </c>
    </row>
    <row r="2303" spans="2:5">
      <c r="B2303" s="15" t="s">
        <v>3635</v>
      </c>
      <c r="C2303" s="15" t="s">
        <v>3636</v>
      </c>
      <c r="D2303" s="15" t="s">
        <v>3657</v>
      </c>
      <c r="E2303" s="15" t="s">
        <v>3658</v>
      </c>
    </row>
    <row r="2304" spans="2:5">
      <c r="B2304" s="15" t="s">
        <v>3635</v>
      </c>
      <c r="C2304" s="15" t="s">
        <v>3636</v>
      </c>
      <c r="D2304" s="15" t="s">
        <v>3659</v>
      </c>
      <c r="E2304" s="15" t="s">
        <v>3660</v>
      </c>
    </row>
    <row r="2305" spans="2:5">
      <c r="B2305" s="15" t="s">
        <v>3635</v>
      </c>
      <c r="C2305" s="15" t="s">
        <v>3636</v>
      </c>
      <c r="D2305" s="15" t="s">
        <v>3661</v>
      </c>
      <c r="E2305" s="15" t="s">
        <v>3662</v>
      </c>
    </row>
    <row r="2306" spans="2:5">
      <c r="B2306" s="15" t="s">
        <v>3635</v>
      </c>
      <c r="C2306" s="15" t="s">
        <v>3636</v>
      </c>
      <c r="D2306" s="15" t="s">
        <v>3663</v>
      </c>
      <c r="E2306" s="15" t="s">
        <v>3664</v>
      </c>
    </row>
    <row r="2307" spans="2:5">
      <c r="B2307" s="15" t="s">
        <v>3635</v>
      </c>
      <c r="C2307" s="15" t="s">
        <v>3636</v>
      </c>
      <c r="D2307" s="15" t="s">
        <v>3665</v>
      </c>
      <c r="E2307" s="15" t="s">
        <v>3666</v>
      </c>
    </row>
    <row r="2308" spans="2:5">
      <c r="B2308" s="15" t="s">
        <v>3635</v>
      </c>
      <c r="C2308" s="15" t="s">
        <v>3636</v>
      </c>
      <c r="D2308" s="15" t="s">
        <v>3667</v>
      </c>
      <c r="E2308" s="15" t="s">
        <v>3668</v>
      </c>
    </row>
    <row r="2309" spans="2:5">
      <c r="B2309" s="15" t="s">
        <v>3635</v>
      </c>
      <c r="C2309" s="15" t="s">
        <v>3636</v>
      </c>
      <c r="D2309" s="15" t="s">
        <v>3669</v>
      </c>
      <c r="E2309" s="15" t="s">
        <v>3668</v>
      </c>
    </row>
    <row r="2310" spans="2:5">
      <c r="B2310" s="15" t="s">
        <v>3635</v>
      </c>
      <c r="C2310" s="15" t="s">
        <v>3636</v>
      </c>
      <c r="D2310" s="15" t="s">
        <v>3670</v>
      </c>
      <c r="E2310" s="15" t="s">
        <v>3671</v>
      </c>
    </row>
    <row r="2311" spans="2:5">
      <c r="B2311" s="15" t="s">
        <v>3635</v>
      </c>
      <c r="C2311" s="15" t="s">
        <v>3636</v>
      </c>
      <c r="D2311" s="15" t="s">
        <v>3672</v>
      </c>
      <c r="E2311" s="15" t="s">
        <v>3673</v>
      </c>
    </row>
    <row r="2312" spans="2:5">
      <c r="B2312" s="15" t="s">
        <v>3635</v>
      </c>
      <c r="C2312" s="15" t="s">
        <v>3636</v>
      </c>
      <c r="D2312" s="15" t="s">
        <v>3674</v>
      </c>
      <c r="E2312" s="15" t="s">
        <v>3675</v>
      </c>
    </row>
    <row r="2313" spans="2:5">
      <c r="B2313" s="15" t="s">
        <v>3635</v>
      </c>
      <c r="C2313" s="15" t="s">
        <v>3636</v>
      </c>
      <c r="D2313" s="15" t="s">
        <v>3676</v>
      </c>
      <c r="E2313" s="15" t="s">
        <v>3677</v>
      </c>
    </row>
    <row r="2314" spans="2:5">
      <c r="B2314" s="15" t="s">
        <v>3635</v>
      </c>
      <c r="C2314" s="15" t="s">
        <v>3636</v>
      </c>
      <c r="D2314" s="15" t="s">
        <v>3678</v>
      </c>
      <c r="E2314" s="15" t="s">
        <v>2984</v>
      </c>
    </row>
    <row r="2315" spans="2:5">
      <c r="B2315" s="15" t="s">
        <v>3635</v>
      </c>
      <c r="C2315" s="15" t="s">
        <v>3636</v>
      </c>
      <c r="D2315" s="15" t="s">
        <v>3679</v>
      </c>
      <c r="E2315" s="15" t="s">
        <v>2986</v>
      </c>
    </row>
    <row r="2316" spans="2:5">
      <c r="B2316" s="15" t="s">
        <v>3635</v>
      </c>
      <c r="C2316" s="15" t="s">
        <v>3636</v>
      </c>
      <c r="D2316" s="15" t="s">
        <v>3680</v>
      </c>
      <c r="E2316" s="15" t="s">
        <v>3681</v>
      </c>
    </row>
    <row r="2317" spans="2:5">
      <c r="B2317" s="15" t="s">
        <v>3635</v>
      </c>
      <c r="C2317" s="15" t="s">
        <v>3636</v>
      </c>
      <c r="D2317" s="15" t="s">
        <v>3682</v>
      </c>
      <c r="E2317" s="15" t="s">
        <v>3200</v>
      </c>
    </row>
    <row r="2318" spans="2:5">
      <c r="B2318" s="15" t="s">
        <v>3635</v>
      </c>
      <c r="C2318" s="15" t="s">
        <v>3636</v>
      </c>
      <c r="D2318" s="15" t="s">
        <v>3683</v>
      </c>
      <c r="E2318" s="15" t="s">
        <v>3201</v>
      </c>
    </row>
    <row r="2319" spans="2:5">
      <c r="B2319" s="15" t="s">
        <v>3635</v>
      </c>
      <c r="C2319" s="15" t="s">
        <v>3636</v>
      </c>
      <c r="D2319" s="15" t="s">
        <v>3684</v>
      </c>
      <c r="E2319" s="15" t="s">
        <v>3685</v>
      </c>
    </row>
    <row r="2320" spans="2:5">
      <c r="B2320" s="15" t="s">
        <v>3635</v>
      </c>
      <c r="C2320" s="15" t="s">
        <v>3636</v>
      </c>
      <c r="D2320" s="15" t="s">
        <v>3686</v>
      </c>
      <c r="E2320" s="15" t="s">
        <v>3687</v>
      </c>
    </row>
    <row r="2321" spans="2:5">
      <c r="B2321" s="15" t="s">
        <v>3635</v>
      </c>
      <c r="C2321" s="15" t="s">
        <v>3636</v>
      </c>
      <c r="D2321" s="15" t="s">
        <v>3688</v>
      </c>
      <c r="E2321" s="15" t="s">
        <v>3689</v>
      </c>
    </row>
    <row r="2322" spans="2:5">
      <c r="B2322" s="15" t="s">
        <v>3635</v>
      </c>
      <c r="C2322" s="15" t="s">
        <v>3636</v>
      </c>
      <c r="D2322" s="15" t="s">
        <v>3690</v>
      </c>
      <c r="E2322" s="15" t="s">
        <v>3691</v>
      </c>
    </row>
    <row r="2323" spans="2:5">
      <c r="B2323" s="15" t="s">
        <v>3635</v>
      </c>
      <c r="C2323" s="15" t="s">
        <v>3636</v>
      </c>
      <c r="D2323" s="15" t="s">
        <v>3692</v>
      </c>
      <c r="E2323" s="15" t="s">
        <v>3693</v>
      </c>
    </row>
    <row r="2324" spans="2:5">
      <c r="B2324" s="15" t="s">
        <v>3635</v>
      </c>
      <c r="C2324" s="15" t="s">
        <v>3636</v>
      </c>
      <c r="D2324" s="15" t="s">
        <v>3694</v>
      </c>
      <c r="E2324" s="15" t="s">
        <v>3695</v>
      </c>
    </row>
    <row r="2325" spans="2:5">
      <c r="B2325" s="15" t="s">
        <v>3635</v>
      </c>
      <c r="C2325" s="15" t="s">
        <v>3636</v>
      </c>
      <c r="D2325" s="15" t="s">
        <v>3696</v>
      </c>
      <c r="E2325" s="15" t="s">
        <v>3697</v>
      </c>
    </row>
    <row r="2326" spans="2:5">
      <c r="B2326" s="15" t="s">
        <v>3635</v>
      </c>
      <c r="C2326" s="15" t="s">
        <v>3636</v>
      </c>
      <c r="D2326" s="15" t="s">
        <v>3698</v>
      </c>
      <c r="E2326" s="15" t="s">
        <v>3699</v>
      </c>
    </row>
    <row r="2327" spans="2:5">
      <c r="B2327" s="15" t="s">
        <v>3635</v>
      </c>
      <c r="C2327" s="15" t="s">
        <v>3636</v>
      </c>
      <c r="D2327" s="15" t="s">
        <v>3700</v>
      </c>
      <c r="E2327" s="15" t="s">
        <v>3701</v>
      </c>
    </row>
    <row r="2328" spans="2:5">
      <c r="B2328" s="15" t="s">
        <v>3635</v>
      </c>
      <c r="C2328" s="15" t="s">
        <v>3636</v>
      </c>
      <c r="D2328" s="15" t="s">
        <v>3702</v>
      </c>
      <c r="E2328" s="15" t="s">
        <v>3703</v>
      </c>
    </row>
    <row r="2329" spans="2:5">
      <c r="B2329" s="15" t="s">
        <v>3635</v>
      </c>
      <c r="C2329" s="15" t="s">
        <v>3636</v>
      </c>
      <c r="D2329" s="15" t="s">
        <v>2972</v>
      </c>
      <c r="E2329" s="15" t="s">
        <v>3704</v>
      </c>
    </row>
    <row r="2330" spans="2:5">
      <c r="B2330" s="15" t="s">
        <v>3635</v>
      </c>
      <c r="C2330" s="15" t="s">
        <v>3636</v>
      </c>
      <c r="D2330" s="15" t="s">
        <v>3705</v>
      </c>
      <c r="E2330" s="15" t="s">
        <v>3706</v>
      </c>
    </row>
    <row r="2331" spans="2:5">
      <c r="B2331" s="15" t="s">
        <v>3635</v>
      </c>
      <c r="C2331" s="15" t="s">
        <v>3636</v>
      </c>
      <c r="D2331" s="15" t="s">
        <v>3707</v>
      </c>
      <c r="E2331" s="15" t="s">
        <v>3708</v>
      </c>
    </row>
    <row r="2332" spans="2:5">
      <c r="B2332" s="15" t="s">
        <v>3635</v>
      </c>
      <c r="C2332" s="15" t="s">
        <v>3636</v>
      </c>
      <c r="D2332" s="15" t="s">
        <v>3709</v>
      </c>
      <c r="E2332" s="15" t="s">
        <v>3710</v>
      </c>
    </row>
    <row r="2333" spans="2:5">
      <c r="B2333" s="15" t="s">
        <v>3635</v>
      </c>
      <c r="C2333" s="15" t="s">
        <v>3636</v>
      </c>
      <c r="D2333" s="15" t="s">
        <v>3711</v>
      </c>
      <c r="E2333" s="15" t="s">
        <v>3712</v>
      </c>
    </row>
    <row r="2334" spans="2:5">
      <c r="B2334" s="15" t="s">
        <v>3635</v>
      </c>
      <c r="C2334" s="15" t="s">
        <v>3636</v>
      </c>
      <c r="D2334" s="15" t="s">
        <v>709</v>
      </c>
      <c r="E2334" s="15" t="s">
        <v>3713</v>
      </c>
    </row>
    <row r="2335" spans="2:5">
      <c r="B2335" s="15" t="s">
        <v>3635</v>
      </c>
      <c r="C2335" s="15" t="s">
        <v>3636</v>
      </c>
      <c r="D2335" s="15" t="s">
        <v>3714</v>
      </c>
      <c r="E2335" s="15" t="s">
        <v>3715</v>
      </c>
    </row>
    <row r="2336" spans="2:5">
      <c r="B2336" s="15" t="s">
        <v>3635</v>
      </c>
      <c r="C2336" s="15" t="s">
        <v>3636</v>
      </c>
      <c r="D2336" s="15" t="s">
        <v>3716</v>
      </c>
      <c r="E2336" s="15" t="s">
        <v>3717</v>
      </c>
    </row>
    <row r="2337" spans="2:5">
      <c r="B2337" s="15" t="s">
        <v>3635</v>
      </c>
      <c r="C2337" s="15" t="s">
        <v>3636</v>
      </c>
      <c r="D2337" s="15" t="s">
        <v>3718</v>
      </c>
      <c r="E2337" s="15" t="s">
        <v>3719</v>
      </c>
    </row>
    <row r="2338" spans="2:5">
      <c r="B2338" s="15" t="s">
        <v>3635</v>
      </c>
      <c r="C2338" s="15" t="s">
        <v>3636</v>
      </c>
      <c r="D2338" s="15" t="s">
        <v>3720</v>
      </c>
      <c r="E2338" s="15" t="s">
        <v>3721</v>
      </c>
    </row>
    <row r="2339" spans="2:5">
      <c r="B2339" s="15" t="s">
        <v>3635</v>
      </c>
      <c r="C2339" s="15" t="s">
        <v>3636</v>
      </c>
      <c r="D2339" s="15" t="s">
        <v>3722</v>
      </c>
      <c r="E2339" s="15" t="s">
        <v>3723</v>
      </c>
    </row>
    <row r="2340" ht="15.95" spans="2:2">
      <c r="B2340" s="122" t="s">
        <v>3724</v>
      </c>
    </row>
    <row r="2341" spans="2:5">
      <c r="B2341" s="15" t="s">
        <v>3725</v>
      </c>
      <c r="C2341" s="15" t="s">
        <v>3726</v>
      </c>
      <c r="D2341" s="15" t="s">
        <v>723</v>
      </c>
      <c r="E2341" s="15" t="s">
        <v>3727</v>
      </c>
    </row>
    <row r="2342" spans="2:5">
      <c r="B2342" s="15" t="s">
        <v>3725</v>
      </c>
      <c r="C2342" s="15" t="s">
        <v>3726</v>
      </c>
      <c r="D2342" s="15" t="s">
        <v>725</v>
      </c>
      <c r="E2342" s="15" t="s">
        <v>3728</v>
      </c>
    </row>
    <row r="2343" spans="2:5">
      <c r="B2343" s="15" t="s">
        <v>3725</v>
      </c>
      <c r="C2343" s="15" t="s">
        <v>3726</v>
      </c>
      <c r="D2343" s="15" t="s">
        <v>727</v>
      </c>
      <c r="E2343" s="15" t="s">
        <v>3729</v>
      </c>
    </row>
    <row r="2344" spans="2:5">
      <c r="B2344" s="15" t="s">
        <v>3725</v>
      </c>
      <c r="C2344" s="15" t="s">
        <v>3726</v>
      </c>
      <c r="D2344" s="15" t="s">
        <v>729</v>
      </c>
      <c r="E2344" s="15" t="s">
        <v>3730</v>
      </c>
    </row>
    <row r="2345" spans="2:5">
      <c r="B2345" s="15" t="s">
        <v>3725</v>
      </c>
      <c r="C2345" s="15" t="s">
        <v>3726</v>
      </c>
      <c r="D2345" s="15" t="s">
        <v>760</v>
      </c>
      <c r="E2345" s="15" t="s">
        <v>3731</v>
      </c>
    </row>
    <row r="2346" spans="2:5">
      <c r="B2346" s="15" t="s">
        <v>3725</v>
      </c>
      <c r="C2346" s="15" t="s">
        <v>3726</v>
      </c>
      <c r="D2346" s="15" t="s">
        <v>764</v>
      </c>
      <c r="E2346" s="15" t="s">
        <v>3732</v>
      </c>
    </row>
    <row r="2347" ht="15.95" spans="2:2">
      <c r="B2347" s="122" t="s">
        <v>3733</v>
      </c>
    </row>
    <row r="2348" spans="2:5">
      <c r="B2348" s="15" t="s">
        <v>3734</v>
      </c>
      <c r="C2348" s="15" t="s">
        <v>3735</v>
      </c>
      <c r="D2348" s="15" t="s">
        <v>635</v>
      </c>
      <c r="E2348" s="15" t="s">
        <v>1648</v>
      </c>
    </row>
    <row r="2349" spans="2:5">
      <c r="B2349" s="15" t="s">
        <v>3734</v>
      </c>
      <c r="C2349" s="15" t="s">
        <v>3735</v>
      </c>
      <c r="D2349" s="15" t="s">
        <v>659</v>
      </c>
      <c r="E2349" s="15" t="s">
        <v>3736</v>
      </c>
    </row>
    <row r="2350" spans="2:5">
      <c r="B2350" s="15" t="s">
        <v>3734</v>
      </c>
      <c r="C2350" s="15" t="s">
        <v>3735</v>
      </c>
      <c r="D2350" s="15" t="s">
        <v>679</v>
      </c>
      <c r="E2350" s="15" t="s">
        <v>3737</v>
      </c>
    </row>
    <row r="2351" spans="2:5">
      <c r="B2351" s="15" t="s">
        <v>3734</v>
      </c>
      <c r="C2351" s="15" t="s">
        <v>3735</v>
      </c>
      <c r="D2351" s="15" t="s">
        <v>705</v>
      </c>
      <c r="E2351" s="15" t="s">
        <v>3738</v>
      </c>
    </row>
    <row r="2352" spans="2:5">
      <c r="B2352" s="15" t="s">
        <v>3734</v>
      </c>
      <c r="C2352" s="15" t="s">
        <v>3735</v>
      </c>
      <c r="D2352" s="15" t="s">
        <v>709</v>
      </c>
      <c r="E2352" s="15" t="s">
        <v>3739</v>
      </c>
    </row>
    <row r="2353" spans="2:5">
      <c r="B2353" s="15" t="s">
        <v>3734</v>
      </c>
      <c r="C2353" s="15" t="s">
        <v>3735</v>
      </c>
      <c r="D2353" s="15" t="s">
        <v>838</v>
      </c>
      <c r="E2353" s="15" t="s">
        <v>3740</v>
      </c>
    </row>
    <row r="2354" ht="15.95" spans="2:2">
      <c r="B2354" s="122" t="s">
        <v>3741</v>
      </c>
    </row>
    <row r="2355" spans="2:5">
      <c r="B2355" s="15" t="s">
        <v>3742</v>
      </c>
      <c r="C2355" s="15" t="s">
        <v>896</v>
      </c>
      <c r="D2355" s="15" t="s">
        <v>723</v>
      </c>
      <c r="E2355" s="15" t="s">
        <v>3743</v>
      </c>
    </row>
    <row r="2356" spans="2:5">
      <c r="B2356" s="15" t="s">
        <v>3742</v>
      </c>
      <c r="C2356" s="15" t="s">
        <v>896</v>
      </c>
      <c r="D2356" s="15" t="s">
        <v>725</v>
      </c>
      <c r="E2356" s="15" t="s">
        <v>3744</v>
      </c>
    </row>
    <row r="2357" spans="2:5">
      <c r="B2357" s="15" t="s">
        <v>3742</v>
      </c>
      <c r="C2357" s="15" t="s">
        <v>896</v>
      </c>
      <c r="D2357" s="15" t="s">
        <v>727</v>
      </c>
      <c r="E2357" s="15" t="s">
        <v>3745</v>
      </c>
    </row>
    <row r="2358" ht="15.95" spans="2:2">
      <c r="B2358" s="122" t="s">
        <v>3746</v>
      </c>
    </row>
    <row r="2359" spans="2:5">
      <c r="B2359" s="15" t="s">
        <v>3747</v>
      </c>
      <c r="C2359" s="15" t="s">
        <v>3748</v>
      </c>
      <c r="D2359" s="15" t="s">
        <v>635</v>
      </c>
      <c r="E2359" s="15" t="s">
        <v>3749</v>
      </c>
    </row>
    <row r="2360" spans="2:5">
      <c r="B2360" s="15" t="s">
        <v>3747</v>
      </c>
      <c r="C2360" s="15" t="s">
        <v>3748</v>
      </c>
      <c r="D2360" s="15" t="s">
        <v>659</v>
      </c>
      <c r="E2360" s="15" t="s">
        <v>3045</v>
      </c>
    </row>
    <row r="2361" spans="2:5">
      <c r="B2361" s="15" t="s">
        <v>3747</v>
      </c>
      <c r="C2361" s="15" t="s">
        <v>3748</v>
      </c>
      <c r="D2361" s="15" t="s">
        <v>679</v>
      </c>
      <c r="E2361" s="15" t="s">
        <v>3046</v>
      </c>
    </row>
    <row r="2362" spans="2:5">
      <c r="B2362" s="15" t="s">
        <v>3747</v>
      </c>
      <c r="C2362" s="15" t="s">
        <v>3748</v>
      </c>
      <c r="D2362" s="15" t="s">
        <v>705</v>
      </c>
      <c r="E2362" s="15" t="s">
        <v>2180</v>
      </c>
    </row>
    <row r="2363" spans="2:5">
      <c r="B2363" s="15" t="s">
        <v>3747</v>
      </c>
      <c r="C2363" s="15" t="s">
        <v>3748</v>
      </c>
      <c r="D2363" s="15" t="s">
        <v>709</v>
      </c>
      <c r="E2363" s="15" t="s">
        <v>3750</v>
      </c>
    </row>
    <row r="2364" spans="2:5">
      <c r="B2364" s="15" t="s">
        <v>3747</v>
      </c>
      <c r="C2364" s="15" t="s">
        <v>3748</v>
      </c>
      <c r="D2364" s="15" t="s">
        <v>838</v>
      </c>
      <c r="E2364" s="15" t="s">
        <v>3751</v>
      </c>
    </row>
    <row r="2365" spans="2:5">
      <c r="B2365" s="15" t="s">
        <v>3747</v>
      </c>
      <c r="C2365" s="15" t="s">
        <v>3748</v>
      </c>
      <c r="D2365" s="15" t="s">
        <v>3752</v>
      </c>
      <c r="E2365" s="15" t="s">
        <v>2186</v>
      </c>
    </row>
    <row r="2366" spans="2:5">
      <c r="B2366" s="15" t="s">
        <v>3747</v>
      </c>
      <c r="C2366" s="15" t="s">
        <v>3748</v>
      </c>
      <c r="D2366" s="15" t="s">
        <v>3753</v>
      </c>
      <c r="E2366" s="15" t="s">
        <v>2188</v>
      </c>
    </row>
    <row r="2367" spans="2:5">
      <c r="B2367" s="15" t="s">
        <v>3747</v>
      </c>
      <c r="C2367" s="15" t="s">
        <v>3748</v>
      </c>
      <c r="D2367" s="15" t="s">
        <v>840</v>
      </c>
      <c r="E2367" s="15" t="s">
        <v>3754</v>
      </c>
    </row>
    <row r="2368" spans="2:5">
      <c r="B2368" s="15" t="s">
        <v>3747</v>
      </c>
      <c r="C2368" s="15" t="s">
        <v>3748</v>
      </c>
      <c r="D2368" s="15" t="s">
        <v>842</v>
      </c>
      <c r="E2368" s="15" t="s">
        <v>3755</v>
      </c>
    </row>
    <row r="2369" spans="2:5">
      <c r="B2369" s="15" t="s">
        <v>3747</v>
      </c>
      <c r="C2369" s="15" t="s">
        <v>3748</v>
      </c>
      <c r="D2369" s="15" t="s">
        <v>844</v>
      </c>
      <c r="E2369" s="15" t="s">
        <v>3756</v>
      </c>
    </row>
    <row r="2370" spans="2:5">
      <c r="B2370" s="15" t="s">
        <v>3747</v>
      </c>
      <c r="C2370" s="15" t="s">
        <v>3748</v>
      </c>
      <c r="D2370" s="15" t="s">
        <v>846</v>
      </c>
      <c r="E2370" s="15" t="s">
        <v>3757</v>
      </c>
    </row>
    <row r="2371" ht="15.95" spans="2:2">
      <c r="B2371" s="122" t="s">
        <v>3758</v>
      </c>
    </row>
    <row r="2372" spans="2:5">
      <c r="B2372" s="15" t="s">
        <v>3759</v>
      </c>
      <c r="C2372" s="15" t="s">
        <v>3760</v>
      </c>
      <c r="D2372" s="15" t="s">
        <v>770</v>
      </c>
      <c r="E2372" s="15" t="s">
        <v>1439</v>
      </c>
    </row>
    <row r="2373" spans="2:5">
      <c r="B2373" s="15" t="s">
        <v>3759</v>
      </c>
      <c r="C2373" s="15" t="s">
        <v>3760</v>
      </c>
      <c r="D2373" s="15" t="s">
        <v>772</v>
      </c>
      <c r="E2373" s="77" t="s">
        <v>3761</v>
      </c>
    </row>
    <row r="2374" spans="2:5">
      <c r="B2374" s="15" t="s">
        <v>3759</v>
      </c>
      <c r="C2374" s="15" t="s">
        <v>3760</v>
      </c>
      <c r="D2374" s="15" t="s">
        <v>774</v>
      </c>
      <c r="E2374" s="15" t="s">
        <v>3762</v>
      </c>
    </row>
    <row r="2375" spans="2:5">
      <c r="B2375" s="15" t="s">
        <v>3759</v>
      </c>
      <c r="C2375" s="15" t="s">
        <v>3760</v>
      </c>
      <c r="D2375" s="15" t="s">
        <v>828</v>
      </c>
      <c r="E2375" s="77" t="s">
        <v>3763</v>
      </c>
    </row>
    <row r="2376" ht="15.95" spans="2:2">
      <c r="B2376" s="122" t="s">
        <v>3764</v>
      </c>
    </row>
    <row r="2377" spans="2:5">
      <c r="B2377" s="15" t="s">
        <v>3765</v>
      </c>
      <c r="C2377" s="15" t="s">
        <v>3766</v>
      </c>
      <c r="D2377" s="15" t="s">
        <v>3767</v>
      </c>
      <c r="E2377" s="15" t="s">
        <v>3768</v>
      </c>
    </row>
    <row r="2378" spans="2:5">
      <c r="B2378" s="15" t="s">
        <v>3765</v>
      </c>
      <c r="C2378" s="15" t="s">
        <v>3766</v>
      </c>
      <c r="D2378" s="15" t="s">
        <v>3769</v>
      </c>
      <c r="E2378" s="15" t="s">
        <v>3770</v>
      </c>
    </row>
    <row r="2379" spans="2:5">
      <c r="B2379" s="15" t="s">
        <v>3765</v>
      </c>
      <c r="C2379" s="15" t="s">
        <v>3766</v>
      </c>
      <c r="D2379" s="15" t="s">
        <v>3306</v>
      </c>
      <c r="E2379" s="15" t="s">
        <v>3771</v>
      </c>
    </row>
    <row r="2380" spans="2:5">
      <c r="B2380" s="15" t="s">
        <v>3765</v>
      </c>
      <c r="C2380" s="15" t="s">
        <v>3766</v>
      </c>
      <c r="D2380" s="15" t="s">
        <v>3772</v>
      </c>
      <c r="E2380" s="15" t="s">
        <v>3773</v>
      </c>
    </row>
    <row r="2381" ht="15.95" spans="2:2">
      <c r="B2381" s="122" t="s">
        <v>3774</v>
      </c>
    </row>
    <row r="2382" spans="2:5">
      <c r="B2382" s="15" t="s">
        <v>3775</v>
      </c>
      <c r="C2382" s="15"/>
      <c r="D2382" s="15" t="s">
        <v>1267</v>
      </c>
      <c r="E2382" s="15" t="s">
        <v>1355</v>
      </c>
    </row>
    <row r="2383" spans="2:5">
      <c r="B2383" s="15" t="s">
        <v>3775</v>
      </c>
      <c r="C2383" s="15"/>
      <c r="D2383" s="15" t="s">
        <v>1269</v>
      </c>
      <c r="E2383" s="15" t="s">
        <v>1356</v>
      </c>
    </row>
    <row r="2384" ht="15.95" spans="2:2">
      <c r="B2384" s="122" t="s">
        <v>3776</v>
      </c>
    </row>
    <row r="2385" spans="2:5">
      <c r="B2385" s="15" t="s">
        <v>3777</v>
      </c>
      <c r="C2385" s="15" t="s">
        <v>896</v>
      </c>
      <c r="D2385" s="15" t="s">
        <v>770</v>
      </c>
      <c r="E2385" s="15" t="s">
        <v>3778</v>
      </c>
    </row>
    <row r="2386" spans="2:5">
      <c r="B2386" s="15" t="s">
        <v>3777</v>
      </c>
      <c r="C2386" s="15" t="s">
        <v>896</v>
      </c>
      <c r="D2386" s="15" t="s">
        <v>772</v>
      </c>
      <c r="E2386" s="15" t="s">
        <v>3779</v>
      </c>
    </row>
    <row r="2387" spans="2:5">
      <c r="B2387" s="15" t="s">
        <v>3777</v>
      </c>
      <c r="C2387" s="15" t="s">
        <v>896</v>
      </c>
      <c r="D2387" s="15" t="s">
        <v>774</v>
      </c>
      <c r="E2387" s="15" t="s">
        <v>3780</v>
      </c>
    </row>
    <row r="2388" ht="15.95" spans="2:2">
      <c r="B2388" s="122" t="s">
        <v>3781</v>
      </c>
    </row>
    <row r="2389" spans="2:5">
      <c r="B2389" s="15" t="s">
        <v>3782</v>
      </c>
      <c r="C2389" s="15" t="s">
        <v>3783</v>
      </c>
      <c r="D2389" s="15" t="s">
        <v>770</v>
      </c>
      <c r="E2389" s="15" t="s">
        <v>2447</v>
      </c>
    </row>
    <row r="2390" spans="2:5">
      <c r="B2390" s="15" t="s">
        <v>3782</v>
      </c>
      <c r="C2390" s="15" t="s">
        <v>3783</v>
      </c>
      <c r="D2390" s="15" t="s">
        <v>772</v>
      </c>
      <c r="E2390" s="15" t="s">
        <v>3784</v>
      </c>
    </row>
    <row r="2391" spans="2:5">
      <c r="B2391" s="15" t="s">
        <v>3782</v>
      </c>
      <c r="C2391" s="15" t="s">
        <v>3783</v>
      </c>
      <c r="D2391" s="15" t="s">
        <v>774</v>
      </c>
      <c r="E2391" s="15" t="s">
        <v>2448</v>
      </c>
    </row>
    <row r="2392" ht="15.95" spans="2:2">
      <c r="B2392" s="122" t="s">
        <v>3785</v>
      </c>
    </row>
    <row r="2393" spans="2:5">
      <c r="B2393" s="15" t="s">
        <v>3786</v>
      </c>
      <c r="C2393" s="15" t="s">
        <v>896</v>
      </c>
      <c r="D2393" s="15" t="s">
        <v>770</v>
      </c>
      <c r="E2393" s="15" t="s">
        <v>1643</v>
      </c>
    </row>
    <row r="2394" spans="2:5">
      <c r="B2394" s="15" t="s">
        <v>3786</v>
      </c>
      <c r="C2394" s="15" t="s">
        <v>896</v>
      </c>
      <c r="D2394" s="15" t="s">
        <v>772</v>
      </c>
      <c r="E2394" s="15" t="s">
        <v>862</v>
      </c>
    </row>
    <row r="2395" ht="15.95" spans="2:2">
      <c r="B2395" s="122" t="s">
        <v>3787</v>
      </c>
    </row>
    <row r="2396" spans="2:5">
      <c r="B2396" s="15" t="s">
        <v>3788</v>
      </c>
      <c r="C2396" s="15" t="s">
        <v>3788</v>
      </c>
      <c r="D2396" s="15" t="s">
        <v>723</v>
      </c>
      <c r="E2396" s="15" t="s">
        <v>3789</v>
      </c>
    </row>
    <row r="2397" spans="2:5">
      <c r="B2397" s="15" t="s">
        <v>3788</v>
      </c>
      <c r="C2397" s="15" t="s">
        <v>3788</v>
      </c>
      <c r="D2397" s="15" t="s">
        <v>725</v>
      </c>
      <c r="E2397" s="15" t="s">
        <v>3790</v>
      </c>
    </row>
    <row r="2398" spans="2:5">
      <c r="B2398" s="15" t="s">
        <v>3788</v>
      </c>
      <c r="C2398" s="15" t="s">
        <v>3788</v>
      </c>
      <c r="D2398" s="15" t="s">
        <v>727</v>
      </c>
      <c r="E2398" s="15" t="s">
        <v>3791</v>
      </c>
    </row>
    <row r="2399" ht="15.95" spans="2:2">
      <c r="B2399" s="122" t="s">
        <v>3792</v>
      </c>
    </row>
    <row r="2400" spans="2:5">
      <c r="B2400" s="15" t="s">
        <v>3793</v>
      </c>
      <c r="C2400" s="15" t="s">
        <v>3794</v>
      </c>
      <c r="D2400" s="15" t="s">
        <v>770</v>
      </c>
      <c r="E2400" s="15" t="s">
        <v>3795</v>
      </c>
    </row>
    <row r="2401" spans="2:5">
      <c r="B2401" s="15" t="s">
        <v>3793</v>
      </c>
      <c r="C2401" s="15" t="s">
        <v>3794</v>
      </c>
      <c r="D2401" s="15" t="s">
        <v>772</v>
      </c>
      <c r="E2401" s="15" t="s">
        <v>3796</v>
      </c>
    </row>
    <row r="2402" ht="15.95" spans="2:2">
      <c r="B2402" s="122" t="s">
        <v>3797</v>
      </c>
    </row>
    <row r="2403" spans="2:5">
      <c r="B2403" s="15" t="s">
        <v>3798</v>
      </c>
      <c r="C2403" s="15" t="s">
        <v>3798</v>
      </c>
      <c r="D2403" s="15" t="s">
        <v>723</v>
      </c>
      <c r="E2403" s="15" t="s">
        <v>1450</v>
      </c>
    </row>
    <row r="2404" spans="2:5">
      <c r="B2404" s="15" t="s">
        <v>3798</v>
      </c>
      <c r="C2404" s="15" t="s">
        <v>3798</v>
      </c>
      <c r="D2404" s="15" t="s">
        <v>725</v>
      </c>
      <c r="E2404" s="15" t="s">
        <v>1451</v>
      </c>
    </row>
    <row r="2405" spans="2:5">
      <c r="B2405" s="15" t="s">
        <v>3798</v>
      </c>
      <c r="C2405" s="15" t="s">
        <v>3798</v>
      </c>
      <c r="D2405" s="15" t="s">
        <v>727</v>
      </c>
      <c r="E2405" s="15" t="s">
        <v>1452</v>
      </c>
    </row>
    <row r="2406" ht="15.95" spans="2:2">
      <c r="B2406" s="122" t="s">
        <v>3799</v>
      </c>
    </row>
    <row r="2407" spans="2:5">
      <c r="B2407" s="15" t="s">
        <v>3800</v>
      </c>
      <c r="C2407" s="15" t="s">
        <v>896</v>
      </c>
      <c r="D2407" s="15" t="s">
        <v>770</v>
      </c>
      <c r="E2407" s="15" t="s">
        <v>3801</v>
      </c>
    </row>
    <row r="2408" spans="2:5">
      <c r="B2408" s="15" t="s">
        <v>3800</v>
      </c>
      <c r="C2408" s="15" t="s">
        <v>896</v>
      </c>
      <c r="D2408" s="15" t="s">
        <v>772</v>
      </c>
      <c r="E2408" s="15" t="s">
        <v>3802</v>
      </c>
    </row>
    <row r="2409" spans="2:5">
      <c r="B2409" s="15" t="s">
        <v>3800</v>
      </c>
      <c r="C2409" s="15" t="s">
        <v>896</v>
      </c>
      <c r="D2409" s="15" t="s">
        <v>774</v>
      </c>
      <c r="E2409" s="15" t="s">
        <v>3803</v>
      </c>
    </row>
    <row r="2410" spans="2:5">
      <c r="B2410" s="15" t="s">
        <v>3800</v>
      </c>
      <c r="C2410" s="15" t="s">
        <v>896</v>
      </c>
      <c r="D2410" s="15" t="s">
        <v>828</v>
      </c>
      <c r="E2410" s="15" t="s">
        <v>235</v>
      </c>
    </row>
    <row r="2411" ht="15.95" spans="2:2">
      <c r="B2411" s="122" t="s">
        <v>3804</v>
      </c>
    </row>
    <row r="2412" spans="2:5">
      <c r="B2412" s="15" t="s">
        <v>3805</v>
      </c>
      <c r="C2412" s="15" t="s">
        <v>3806</v>
      </c>
      <c r="D2412" s="15" t="s">
        <v>635</v>
      </c>
      <c r="E2412" s="15" t="s">
        <v>3807</v>
      </c>
    </row>
    <row r="2413" spans="2:5">
      <c r="B2413" s="15" t="s">
        <v>3805</v>
      </c>
      <c r="C2413" s="15" t="s">
        <v>3806</v>
      </c>
      <c r="D2413" s="15" t="s">
        <v>659</v>
      </c>
      <c r="E2413" s="15" t="s">
        <v>3808</v>
      </c>
    </row>
    <row r="2414" spans="2:5">
      <c r="B2414" s="15" t="s">
        <v>3805</v>
      </c>
      <c r="C2414" s="15" t="s">
        <v>3806</v>
      </c>
      <c r="D2414" s="15" t="s">
        <v>661</v>
      </c>
      <c r="E2414" s="15" t="s">
        <v>3809</v>
      </c>
    </row>
    <row r="2415" spans="2:5">
      <c r="B2415" s="15" t="s">
        <v>3805</v>
      </c>
      <c r="C2415" s="15" t="s">
        <v>3806</v>
      </c>
      <c r="D2415" s="15" t="s">
        <v>663</v>
      </c>
      <c r="E2415" s="15" t="s">
        <v>3810</v>
      </c>
    </row>
    <row r="2416" spans="2:5">
      <c r="B2416" s="15" t="s">
        <v>3805</v>
      </c>
      <c r="C2416" s="15" t="s">
        <v>3806</v>
      </c>
      <c r="D2416" s="15" t="s">
        <v>665</v>
      </c>
      <c r="E2416" s="15" t="s">
        <v>3811</v>
      </c>
    </row>
    <row r="2417" spans="2:5">
      <c r="B2417" s="15" t="s">
        <v>3805</v>
      </c>
      <c r="C2417" s="15" t="s">
        <v>3806</v>
      </c>
      <c r="D2417" s="15" t="s">
        <v>679</v>
      </c>
      <c r="E2417" s="15" t="s">
        <v>3812</v>
      </c>
    </row>
    <row r="2418" spans="2:5">
      <c r="B2418" s="15" t="s">
        <v>3805</v>
      </c>
      <c r="C2418" s="15" t="s">
        <v>3806</v>
      </c>
      <c r="D2418" s="15" t="s">
        <v>681</v>
      </c>
      <c r="E2418" s="15" t="s">
        <v>3813</v>
      </c>
    </row>
    <row r="2419" spans="2:5">
      <c r="B2419" s="15" t="s">
        <v>3805</v>
      </c>
      <c r="C2419" s="15" t="s">
        <v>3806</v>
      </c>
      <c r="D2419" s="15" t="s">
        <v>683</v>
      </c>
      <c r="E2419" s="15" t="s">
        <v>3814</v>
      </c>
    </row>
    <row r="2420" spans="2:5">
      <c r="B2420" s="15" t="s">
        <v>3805</v>
      </c>
      <c r="C2420" s="15" t="s">
        <v>3806</v>
      </c>
      <c r="D2420" s="15" t="s">
        <v>685</v>
      </c>
      <c r="E2420" s="15" t="s">
        <v>3815</v>
      </c>
    </row>
    <row r="2421" spans="2:5">
      <c r="B2421" s="15" t="s">
        <v>3805</v>
      </c>
      <c r="C2421" s="15" t="s">
        <v>3806</v>
      </c>
      <c r="D2421" s="15" t="s">
        <v>705</v>
      </c>
      <c r="E2421" s="15" t="s">
        <v>3816</v>
      </c>
    </row>
    <row r="2422" ht="15.95" spans="2:2">
      <c r="B2422" s="122" t="s">
        <v>3817</v>
      </c>
    </row>
    <row r="2423" spans="2:5">
      <c r="B2423" s="15" t="s">
        <v>3818</v>
      </c>
      <c r="C2423" s="15" t="s">
        <v>3819</v>
      </c>
      <c r="D2423" s="15" t="s">
        <v>770</v>
      </c>
      <c r="E2423" s="15" t="s">
        <v>3820</v>
      </c>
    </row>
    <row r="2424" spans="2:5">
      <c r="B2424" s="15" t="s">
        <v>3818</v>
      </c>
      <c r="C2424" s="15" t="s">
        <v>3819</v>
      </c>
      <c r="D2424" s="15" t="s">
        <v>772</v>
      </c>
      <c r="E2424" s="15" t="s">
        <v>3821</v>
      </c>
    </row>
    <row r="2425" ht="15.95" spans="2:2">
      <c r="B2425" s="122" t="s">
        <v>3822</v>
      </c>
    </row>
    <row r="2426" spans="2:5">
      <c r="B2426" s="15" t="s">
        <v>3823</v>
      </c>
      <c r="C2426" s="15" t="s">
        <v>3823</v>
      </c>
      <c r="D2426" s="15" t="s">
        <v>723</v>
      </c>
      <c r="E2426" s="15" t="s">
        <v>3824</v>
      </c>
    </row>
    <row r="2427" spans="2:5">
      <c r="B2427" s="15" t="s">
        <v>3823</v>
      </c>
      <c r="C2427" s="15" t="s">
        <v>3823</v>
      </c>
      <c r="D2427" s="15" t="s">
        <v>725</v>
      </c>
      <c r="E2427" s="15" t="s">
        <v>3825</v>
      </c>
    </row>
    <row r="2428" spans="2:5">
      <c r="B2428" s="15" t="s">
        <v>3823</v>
      </c>
      <c r="C2428" s="15" t="s">
        <v>3823</v>
      </c>
      <c r="D2428" s="15" t="s">
        <v>727</v>
      </c>
      <c r="E2428" s="15" t="s">
        <v>3826</v>
      </c>
    </row>
    <row r="2429" spans="2:5">
      <c r="B2429" s="15" t="s">
        <v>3823</v>
      </c>
      <c r="C2429" s="15" t="s">
        <v>3823</v>
      </c>
      <c r="D2429" s="15" t="s">
        <v>729</v>
      </c>
      <c r="E2429" s="15" t="s">
        <v>3827</v>
      </c>
    </row>
    <row r="2430" ht="15.95" spans="2:2">
      <c r="B2430" s="122" t="s">
        <v>3828</v>
      </c>
    </row>
    <row r="2431" spans="2:5">
      <c r="B2431" s="15" t="s">
        <v>3829</v>
      </c>
      <c r="C2431" s="15" t="s">
        <v>3830</v>
      </c>
      <c r="D2431" s="15" t="s">
        <v>917</v>
      </c>
      <c r="E2431" s="15" t="s">
        <v>953</v>
      </c>
    </row>
    <row r="2432" spans="2:5">
      <c r="B2432" s="15" t="s">
        <v>3829</v>
      </c>
      <c r="C2432" s="15" t="s">
        <v>3830</v>
      </c>
      <c r="D2432" s="15" t="s">
        <v>919</v>
      </c>
      <c r="E2432" s="15" t="s">
        <v>954</v>
      </c>
    </row>
    <row r="2433" spans="2:5">
      <c r="B2433" s="15" t="s">
        <v>3829</v>
      </c>
      <c r="C2433" s="15" t="s">
        <v>3830</v>
      </c>
      <c r="D2433" s="15" t="s">
        <v>955</v>
      </c>
      <c r="E2433" s="15" t="s">
        <v>956</v>
      </c>
    </row>
    <row r="2434" ht="15.95" spans="2:2">
      <c r="B2434" s="122" t="s">
        <v>3831</v>
      </c>
    </row>
    <row r="2435" spans="2:5">
      <c r="B2435" s="15" t="s">
        <v>3832</v>
      </c>
      <c r="C2435" s="15" t="s">
        <v>3833</v>
      </c>
      <c r="D2435" s="15" t="s">
        <v>3834</v>
      </c>
      <c r="E2435" s="15" t="s">
        <v>3835</v>
      </c>
    </row>
    <row r="2436" spans="2:5">
      <c r="B2436" s="15" t="s">
        <v>3832</v>
      </c>
      <c r="C2436" s="15" t="s">
        <v>3833</v>
      </c>
      <c r="D2436" s="15" t="s">
        <v>3836</v>
      </c>
      <c r="E2436" s="15" t="s">
        <v>3837</v>
      </c>
    </row>
    <row r="2437" spans="2:5">
      <c r="B2437" s="15" t="s">
        <v>3832</v>
      </c>
      <c r="C2437" s="15" t="s">
        <v>3833</v>
      </c>
      <c r="D2437" s="15" t="s">
        <v>3838</v>
      </c>
      <c r="E2437" s="15" t="s">
        <v>235</v>
      </c>
    </row>
    <row r="2438" spans="2:5">
      <c r="B2438" s="15" t="s">
        <v>3832</v>
      </c>
      <c r="C2438" s="15" t="s">
        <v>3833</v>
      </c>
      <c r="D2438" s="15" t="s">
        <v>3839</v>
      </c>
      <c r="E2438" s="15" t="s">
        <v>3840</v>
      </c>
    </row>
    <row r="2439" spans="2:5">
      <c r="B2439" s="15" t="s">
        <v>3832</v>
      </c>
      <c r="C2439" s="15" t="s">
        <v>3833</v>
      </c>
      <c r="D2439" s="15" t="s">
        <v>3769</v>
      </c>
      <c r="E2439" s="15" t="s">
        <v>3770</v>
      </c>
    </row>
    <row r="2440" spans="2:5">
      <c r="B2440" s="15" t="s">
        <v>3832</v>
      </c>
      <c r="C2440" s="15" t="s">
        <v>3833</v>
      </c>
      <c r="D2440" s="15" t="s">
        <v>3772</v>
      </c>
      <c r="E2440" s="15" t="s">
        <v>3773</v>
      </c>
    </row>
    <row r="2441" spans="2:5">
      <c r="B2441" s="15" t="s">
        <v>3832</v>
      </c>
      <c r="C2441" s="15" t="s">
        <v>3833</v>
      </c>
      <c r="D2441" s="15" t="s">
        <v>3841</v>
      </c>
      <c r="E2441" s="15" t="s">
        <v>3842</v>
      </c>
    </row>
    <row r="2442" spans="2:5">
      <c r="B2442" s="15" t="s">
        <v>3832</v>
      </c>
      <c r="C2442" s="15" t="s">
        <v>3833</v>
      </c>
      <c r="D2442" s="15" t="s">
        <v>3843</v>
      </c>
      <c r="E2442" s="15" t="s">
        <v>3844</v>
      </c>
    </row>
    <row r="2443" ht="15.95" spans="2:2">
      <c r="B2443" s="122" t="s">
        <v>3845</v>
      </c>
    </row>
    <row r="2444" spans="2:5">
      <c r="B2444" s="15" t="s">
        <v>3846</v>
      </c>
      <c r="C2444" s="15" t="s">
        <v>3847</v>
      </c>
      <c r="D2444" s="15" t="s">
        <v>770</v>
      </c>
      <c r="E2444" s="15" t="s">
        <v>3848</v>
      </c>
    </row>
    <row r="2445" spans="2:5">
      <c r="B2445" s="15" t="s">
        <v>3846</v>
      </c>
      <c r="C2445" s="15" t="s">
        <v>3847</v>
      </c>
      <c r="D2445" s="15" t="s">
        <v>772</v>
      </c>
      <c r="E2445" s="15" t="s">
        <v>3849</v>
      </c>
    </row>
    <row r="2446" spans="2:5">
      <c r="B2446" s="15" t="s">
        <v>3846</v>
      </c>
      <c r="C2446" s="15" t="s">
        <v>3847</v>
      </c>
      <c r="D2446" s="15" t="s">
        <v>774</v>
      </c>
      <c r="E2446" s="15" t="s">
        <v>3850</v>
      </c>
    </row>
    <row r="2447" spans="2:5">
      <c r="B2447" s="15" t="s">
        <v>3846</v>
      </c>
      <c r="C2447" s="15" t="s">
        <v>3847</v>
      </c>
      <c r="D2447" s="15" t="s">
        <v>828</v>
      </c>
      <c r="E2447" s="15" t="s">
        <v>3851</v>
      </c>
    </row>
    <row r="2448" spans="2:5">
      <c r="B2448" s="15" t="s">
        <v>3846</v>
      </c>
      <c r="C2448" s="15" t="s">
        <v>3847</v>
      </c>
      <c r="D2448" s="15" t="s">
        <v>901</v>
      </c>
      <c r="E2448" s="15" t="s">
        <v>3852</v>
      </c>
    </row>
    <row r="2449" spans="2:5">
      <c r="B2449" s="15" t="s">
        <v>3846</v>
      </c>
      <c r="C2449" s="15" t="s">
        <v>3847</v>
      </c>
      <c r="D2449" s="15" t="s">
        <v>776</v>
      </c>
      <c r="E2449" s="15" t="s">
        <v>3853</v>
      </c>
    </row>
    <row r="2450" spans="2:5">
      <c r="B2450" s="15" t="s">
        <v>3846</v>
      </c>
      <c r="C2450" s="15" t="s">
        <v>3847</v>
      </c>
      <c r="D2450" s="15" t="s">
        <v>1290</v>
      </c>
      <c r="E2450" s="15" t="s">
        <v>1109</v>
      </c>
    </row>
    <row r="2451" ht="15.95" spans="2:2">
      <c r="B2451" s="122" t="s">
        <v>3854</v>
      </c>
    </row>
    <row r="2452" spans="2:5">
      <c r="B2452" s="15" t="s">
        <v>3855</v>
      </c>
      <c r="C2452" s="15" t="s">
        <v>3856</v>
      </c>
      <c r="D2452" s="15" t="s">
        <v>785</v>
      </c>
      <c r="E2452" s="15" t="s">
        <v>3857</v>
      </c>
    </row>
    <row r="2453" spans="2:5">
      <c r="B2453" s="15" t="s">
        <v>3855</v>
      </c>
      <c r="C2453" s="15" t="s">
        <v>3856</v>
      </c>
      <c r="D2453" s="15" t="s">
        <v>787</v>
      </c>
      <c r="E2453" s="15" t="s">
        <v>3858</v>
      </c>
    </row>
    <row r="2454" ht="15.95" spans="2:2">
      <c r="B2454" s="122" t="s">
        <v>3859</v>
      </c>
    </row>
    <row r="2455" spans="2:5">
      <c r="B2455" s="15" t="s">
        <v>3860</v>
      </c>
      <c r="C2455" s="15" t="s">
        <v>3861</v>
      </c>
      <c r="D2455" s="15" t="s">
        <v>770</v>
      </c>
      <c r="E2455" s="15" t="s">
        <v>3862</v>
      </c>
    </row>
    <row r="2456" spans="2:5">
      <c r="B2456" s="15" t="s">
        <v>3860</v>
      </c>
      <c r="C2456" s="15" t="s">
        <v>3861</v>
      </c>
      <c r="D2456" s="15" t="s">
        <v>772</v>
      </c>
      <c r="E2456" s="15" t="s">
        <v>3863</v>
      </c>
    </row>
    <row r="2457" spans="2:5">
      <c r="B2457" s="15" t="s">
        <v>3860</v>
      </c>
      <c r="C2457" s="15" t="s">
        <v>3861</v>
      </c>
      <c r="D2457" s="15" t="s">
        <v>774</v>
      </c>
      <c r="E2457" s="15" t="s">
        <v>3864</v>
      </c>
    </row>
    <row r="2458" spans="2:5">
      <c r="B2458" s="15" t="s">
        <v>3860</v>
      </c>
      <c r="C2458" s="15" t="s">
        <v>3861</v>
      </c>
      <c r="D2458" s="15" t="s">
        <v>828</v>
      </c>
      <c r="E2458" s="15" t="s">
        <v>3865</v>
      </c>
    </row>
    <row r="2459" ht="15.95" spans="2:2">
      <c r="B2459" s="122" t="s">
        <v>3866</v>
      </c>
    </row>
    <row r="2460" spans="2:5">
      <c r="B2460" s="15" t="s">
        <v>3867</v>
      </c>
      <c r="C2460" s="15" t="s">
        <v>896</v>
      </c>
      <c r="D2460" s="15" t="s">
        <v>770</v>
      </c>
      <c r="E2460" s="15" t="s">
        <v>3801</v>
      </c>
    </row>
    <row r="2461" spans="2:5">
      <c r="B2461" s="15" t="s">
        <v>3867</v>
      </c>
      <c r="C2461" s="15" t="s">
        <v>896</v>
      </c>
      <c r="D2461" s="15" t="s">
        <v>772</v>
      </c>
      <c r="E2461" s="15" t="s">
        <v>3802</v>
      </c>
    </row>
    <row r="2462" spans="2:5">
      <c r="B2462" s="15" t="s">
        <v>3867</v>
      </c>
      <c r="C2462" s="15" t="s">
        <v>896</v>
      </c>
      <c r="D2462" s="15" t="s">
        <v>774</v>
      </c>
      <c r="E2462" s="15" t="s">
        <v>3868</v>
      </c>
    </row>
    <row r="2463" spans="2:5">
      <c r="B2463" s="15" t="s">
        <v>3867</v>
      </c>
      <c r="C2463" s="15" t="s">
        <v>896</v>
      </c>
      <c r="D2463" s="15" t="s">
        <v>828</v>
      </c>
      <c r="E2463" s="15" t="s">
        <v>3869</v>
      </c>
    </row>
    <row r="2464" spans="2:5">
      <c r="B2464" s="15" t="s">
        <v>3867</v>
      </c>
      <c r="C2464" s="15" t="s">
        <v>896</v>
      </c>
      <c r="D2464" s="15" t="s">
        <v>901</v>
      </c>
      <c r="E2464" s="15" t="s">
        <v>3870</v>
      </c>
    </row>
    <row r="2465" ht="15.95" spans="2:2">
      <c r="B2465" s="122" t="s">
        <v>3871</v>
      </c>
    </row>
    <row r="2466" spans="2:5">
      <c r="B2466" s="15" t="s">
        <v>3872</v>
      </c>
      <c r="C2466" s="15" t="s">
        <v>3873</v>
      </c>
      <c r="D2466" s="15" t="s">
        <v>770</v>
      </c>
      <c r="E2466" s="15" t="s">
        <v>2394</v>
      </c>
    </row>
    <row r="2467" spans="2:5">
      <c r="B2467" s="15" t="s">
        <v>3872</v>
      </c>
      <c r="C2467" s="15" t="s">
        <v>3873</v>
      </c>
      <c r="D2467" s="15" t="s">
        <v>772</v>
      </c>
      <c r="E2467" s="15" t="s">
        <v>2395</v>
      </c>
    </row>
    <row r="2468" spans="2:5">
      <c r="B2468" s="15" t="s">
        <v>3872</v>
      </c>
      <c r="C2468" s="15" t="s">
        <v>3873</v>
      </c>
      <c r="D2468" s="15" t="s">
        <v>774</v>
      </c>
      <c r="E2468" s="15" t="s">
        <v>3334</v>
      </c>
    </row>
    <row r="2469" ht="15.95" spans="2:2">
      <c r="B2469" s="122" t="s">
        <v>3874</v>
      </c>
    </row>
    <row r="2470" spans="2:5">
      <c r="B2470" s="15" t="s">
        <v>3875</v>
      </c>
      <c r="C2470" s="15" t="s">
        <v>334</v>
      </c>
      <c r="D2470" s="15" t="s">
        <v>3876</v>
      </c>
      <c r="E2470" s="15" t="s">
        <v>3877</v>
      </c>
    </row>
    <row r="2471" spans="2:5">
      <c r="B2471" s="15" t="s">
        <v>3875</v>
      </c>
      <c r="C2471" s="15" t="s">
        <v>334</v>
      </c>
      <c r="D2471" s="15" t="s">
        <v>3878</v>
      </c>
      <c r="E2471" s="15" t="s">
        <v>3879</v>
      </c>
    </row>
    <row r="2472" spans="2:5">
      <c r="B2472" s="15" t="s">
        <v>3875</v>
      </c>
      <c r="C2472" s="15" t="s">
        <v>334</v>
      </c>
      <c r="D2472" s="15" t="s">
        <v>3880</v>
      </c>
      <c r="E2472" s="15" t="s">
        <v>3881</v>
      </c>
    </row>
    <row r="2473" spans="2:5">
      <c r="B2473" s="15" t="s">
        <v>3875</v>
      </c>
      <c r="C2473" s="15" t="s">
        <v>334</v>
      </c>
      <c r="D2473" s="15" t="s">
        <v>3882</v>
      </c>
      <c r="E2473" s="15" t="s">
        <v>3883</v>
      </c>
    </row>
    <row r="2474" spans="2:5">
      <c r="B2474" s="15" t="s">
        <v>3875</v>
      </c>
      <c r="C2474" s="15" t="s">
        <v>334</v>
      </c>
      <c r="D2474" s="15" t="s">
        <v>3884</v>
      </c>
      <c r="E2474" s="15" t="s">
        <v>3885</v>
      </c>
    </row>
    <row r="2475" spans="2:5">
      <c r="B2475" s="15" t="s">
        <v>3875</v>
      </c>
      <c r="C2475" s="15" t="s">
        <v>334</v>
      </c>
      <c r="D2475" s="15" t="s">
        <v>3886</v>
      </c>
      <c r="E2475" s="15" t="s">
        <v>3887</v>
      </c>
    </row>
    <row r="2476" spans="2:5">
      <c r="B2476" s="15" t="s">
        <v>3875</v>
      </c>
      <c r="C2476" s="15" t="s">
        <v>334</v>
      </c>
      <c r="D2476" s="15" t="s">
        <v>3888</v>
      </c>
      <c r="E2476" s="15" t="s">
        <v>3889</v>
      </c>
    </row>
    <row r="2477" spans="2:5">
      <c r="B2477" s="15" t="s">
        <v>3875</v>
      </c>
      <c r="C2477" s="15" t="s">
        <v>334</v>
      </c>
      <c r="D2477" s="15" t="s">
        <v>3890</v>
      </c>
      <c r="E2477" s="15" t="s">
        <v>3891</v>
      </c>
    </row>
    <row r="2478" spans="2:5">
      <c r="B2478" s="15" t="s">
        <v>3875</v>
      </c>
      <c r="C2478" s="15" t="s">
        <v>334</v>
      </c>
      <c r="D2478" s="15" t="s">
        <v>3892</v>
      </c>
      <c r="E2478" s="15" t="s">
        <v>3893</v>
      </c>
    </row>
    <row r="2479" spans="2:5">
      <c r="B2479" s="15" t="s">
        <v>3875</v>
      </c>
      <c r="C2479" s="15" t="s">
        <v>334</v>
      </c>
      <c r="D2479" s="15" t="s">
        <v>3894</v>
      </c>
      <c r="E2479" s="15" t="s">
        <v>3895</v>
      </c>
    </row>
    <row r="2480" spans="2:5">
      <c r="B2480" s="15" t="s">
        <v>3875</v>
      </c>
      <c r="C2480" s="15" t="s">
        <v>334</v>
      </c>
      <c r="D2480" s="15" t="s">
        <v>3896</v>
      </c>
      <c r="E2480" s="15" t="s">
        <v>3897</v>
      </c>
    </row>
    <row r="2481" spans="2:5">
      <c r="B2481" s="15" t="s">
        <v>3875</v>
      </c>
      <c r="C2481" s="15" t="s">
        <v>334</v>
      </c>
      <c r="D2481" s="15" t="s">
        <v>3898</v>
      </c>
      <c r="E2481" s="15" t="s">
        <v>3899</v>
      </c>
    </row>
    <row r="2482" spans="2:5">
      <c r="B2482" s="15" t="s">
        <v>3875</v>
      </c>
      <c r="C2482" s="15" t="s">
        <v>334</v>
      </c>
      <c r="D2482" s="15" t="s">
        <v>3900</v>
      </c>
      <c r="E2482" s="15" t="s">
        <v>3901</v>
      </c>
    </row>
    <row r="2483" spans="2:5">
      <c r="B2483" s="15" t="s">
        <v>3875</v>
      </c>
      <c r="C2483" s="15" t="s">
        <v>334</v>
      </c>
      <c r="D2483" s="15" t="s">
        <v>3902</v>
      </c>
      <c r="E2483" s="15" t="s">
        <v>3903</v>
      </c>
    </row>
    <row r="2484" spans="2:5">
      <c r="B2484" s="15" t="s">
        <v>3875</v>
      </c>
      <c r="C2484" s="15" t="s">
        <v>334</v>
      </c>
      <c r="D2484" s="15" t="s">
        <v>3904</v>
      </c>
      <c r="E2484" s="15" t="s">
        <v>3905</v>
      </c>
    </row>
    <row r="2485" spans="2:5">
      <c r="B2485" s="15" t="s">
        <v>3875</v>
      </c>
      <c r="C2485" s="15" t="s">
        <v>334</v>
      </c>
      <c r="D2485" s="15" t="s">
        <v>3906</v>
      </c>
      <c r="E2485" s="15" t="s">
        <v>3907</v>
      </c>
    </row>
    <row r="2486" spans="2:5">
      <c r="B2486" s="15" t="s">
        <v>3875</v>
      </c>
      <c r="C2486" s="15" t="s">
        <v>334</v>
      </c>
      <c r="D2486" s="15" t="s">
        <v>3908</v>
      </c>
      <c r="E2486" s="15" t="s">
        <v>3909</v>
      </c>
    </row>
    <row r="2487" spans="2:5">
      <c r="B2487" s="15" t="s">
        <v>3875</v>
      </c>
      <c r="C2487" s="15" t="s">
        <v>334</v>
      </c>
      <c r="D2487" s="15" t="s">
        <v>3910</v>
      </c>
      <c r="E2487" s="15" t="s">
        <v>3911</v>
      </c>
    </row>
    <row r="2488" spans="2:5">
      <c r="B2488" s="15" t="s">
        <v>3875</v>
      </c>
      <c r="C2488" s="15" t="s">
        <v>334</v>
      </c>
      <c r="D2488" s="15" t="s">
        <v>3912</v>
      </c>
      <c r="E2488" s="15" t="s">
        <v>3913</v>
      </c>
    </row>
    <row r="2489" spans="2:5">
      <c r="B2489" s="15" t="s">
        <v>3875</v>
      </c>
      <c r="C2489" s="15" t="s">
        <v>334</v>
      </c>
      <c r="D2489" s="15" t="s">
        <v>3914</v>
      </c>
      <c r="E2489" s="15" t="s">
        <v>3915</v>
      </c>
    </row>
    <row r="2490" spans="2:5">
      <c r="B2490" s="15" t="s">
        <v>3875</v>
      </c>
      <c r="C2490" s="15" t="s">
        <v>334</v>
      </c>
      <c r="D2490" s="15" t="s">
        <v>3916</v>
      </c>
      <c r="E2490" s="15" t="s">
        <v>3917</v>
      </c>
    </row>
    <row r="2491" spans="2:5">
      <c r="B2491" s="15" t="s">
        <v>3875</v>
      </c>
      <c r="C2491" s="15" t="s">
        <v>334</v>
      </c>
      <c r="D2491" s="15" t="s">
        <v>3918</v>
      </c>
      <c r="E2491" s="15" t="s">
        <v>3919</v>
      </c>
    </row>
    <row r="2492" spans="2:5">
      <c r="B2492" s="15" t="s">
        <v>3875</v>
      </c>
      <c r="C2492" s="15" t="s">
        <v>334</v>
      </c>
      <c r="D2492" s="15" t="s">
        <v>3920</v>
      </c>
      <c r="E2492" s="15" t="s">
        <v>3921</v>
      </c>
    </row>
    <row r="2493" spans="2:5">
      <c r="B2493" s="15" t="s">
        <v>3875</v>
      </c>
      <c r="C2493" s="15" t="s">
        <v>334</v>
      </c>
      <c r="D2493" s="15" t="s">
        <v>3922</v>
      </c>
      <c r="E2493" s="15" t="s">
        <v>3923</v>
      </c>
    </row>
    <row r="2494" spans="2:5">
      <c r="B2494" s="15" t="s">
        <v>3875</v>
      </c>
      <c r="C2494" s="15" t="s">
        <v>334</v>
      </c>
      <c r="D2494" s="15" t="s">
        <v>3924</v>
      </c>
      <c r="E2494" s="15" t="s">
        <v>3925</v>
      </c>
    </row>
    <row r="2495" spans="2:5">
      <c r="B2495" s="15" t="s">
        <v>3875</v>
      </c>
      <c r="C2495" s="15" t="s">
        <v>334</v>
      </c>
      <c r="D2495" s="15" t="s">
        <v>3926</v>
      </c>
      <c r="E2495" s="15" t="s">
        <v>3927</v>
      </c>
    </row>
    <row r="2496" spans="2:5">
      <c r="B2496" s="15" t="s">
        <v>3875</v>
      </c>
      <c r="C2496" s="15" t="s">
        <v>334</v>
      </c>
      <c r="D2496" s="15" t="s">
        <v>3928</v>
      </c>
      <c r="E2496" s="15" t="s">
        <v>3929</v>
      </c>
    </row>
    <row r="2497" spans="2:5">
      <c r="B2497" s="15" t="s">
        <v>3875</v>
      </c>
      <c r="C2497" s="15" t="s">
        <v>334</v>
      </c>
      <c r="D2497" s="15" t="s">
        <v>3930</v>
      </c>
      <c r="E2497" s="15" t="s">
        <v>3931</v>
      </c>
    </row>
    <row r="2498" spans="2:5">
      <c r="B2498" s="15" t="s">
        <v>3875</v>
      </c>
      <c r="C2498" s="15" t="s">
        <v>334</v>
      </c>
      <c r="D2498" s="15" t="s">
        <v>3932</v>
      </c>
      <c r="E2498" s="15" t="s">
        <v>3933</v>
      </c>
    </row>
    <row r="2499" spans="2:5">
      <c r="B2499" s="15" t="s">
        <v>3875</v>
      </c>
      <c r="C2499" s="15" t="s">
        <v>334</v>
      </c>
      <c r="D2499" s="15" t="s">
        <v>3934</v>
      </c>
      <c r="E2499" s="15" t="s">
        <v>3935</v>
      </c>
    </row>
    <row r="2500" spans="2:5">
      <c r="B2500" s="15" t="s">
        <v>3875</v>
      </c>
      <c r="C2500" s="15" t="s">
        <v>334</v>
      </c>
      <c r="D2500" s="15" t="s">
        <v>3936</v>
      </c>
      <c r="E2500" s="15" t="s">
        <v>3937</v>
      </c>
    </row>
    <row r="2501" spans="2:5">
      <c r="B2501" s="15" t="s">
        <v>3875</v>
      </c>
      <c r="C2501" s="15" t="s">
        <v>334</v>
      </c>
      <c r="D2501" s="15" t="s">
        <v>3938</v>
      </c>
      <c r="E2501" s="15" t="s">
        <v>3939</v>
      </c>
    </row>
    <row r="2502" spans="2:5">
      <c r="B2502" s="15" t="s">
        <v>3875</v>
      </c>
      <c r="C2502" s="15" t="s">
        <v>334</v>
      </c>
      <c r="D2502" s="15" t="s">
        <v>3940</v>
      </c>
      <c r="E2502" s="15" t="s">
        <v>3941</v>
      </c>
    </row>
    <row r="2503" spans="2:5">
      <c r="B2503" s="15" t="s">
        <v>3875</v>
      </c>
      <c r="C2503" s="15" t="s">
        <v>334</v>
      </c>
      <c r="D2503" s="15" t="s">
        <v>3942</v>
      </c>
      <c r="E2503" s="15" t="s">
        <v>3943</v>
      </c>
    </row>
    <row r="2504" spans="2:5">
      <c r="B2504" s="15" t="s">
        <v>3875</v>
      </c>
      <c r="C2504" s="15" t="s">
        <v>334</v>
      </c>
      <c r="D2504" s="15" t="s">
        <v>3944</v>
      </c>
      <c r="E2504" s="15" t="s">
        <v>3945</v>
      </c>
    </row>
    <row r="2505" spans="2:5">
      <c r="B2505" s="15" t="s">
        <v>3875</v>
      </c>
      <c r="C2505" s="15" t="s">
        <v>334</v>
      </c>
      <c r="D2505" s="15" t="s">
        <v>3946</v>
      </c>
      <c r="E2505" s="15" t="s">
        <v>3947</v>
      </c>
    </row>
    <row r="2506" spans="2:5">
      <c r="B2506" s="15" t="s">
        <v>3875</v>
      </c>
      <c r="C2506" s="15" t="s">
        <v>334</v>
      </c>
      <c r="D2506" s="15" t="s">
        <v>3948</v>
      </c>
      <c r="E2506" s="15" t="s">
        <v>3949</v>
      </c>
    </row>
    <row r="2507" spans="2:5">
      <c r="B2507" s="15" t="s">
        <v>3875</v>
      </c>
      <c r="C2507" s="15" t="s">
        <v>334</v>
      </c>
      <c r="D2507" s="15" t="s">
        <v>3950</v>
      </c>
      <c r="E2507" s="15" t="s">
        <v>3951</v>
      </c>
    </row>
    <row r="2508" spans="2:5">
      <c r="B2508" s="15" t="s">
        <v>3875</v>
      </c>
      <c r="C2508" s="15" t="s">
        <v>334</v>
      </c>
      <c r="D2508" s="15" t="s">
        <v>3952</v>
      </c>
      <c r="E2508" s="15" t="s">
        <v>3953</v>
      </c>
    </row>
    <row r="2509" spans="2:5">
      <c r="B2509" s="15" t="s">
        <v>3875</v>
      </c>
      <c r="C2509" s="15" t="s">
        <v>334</v>
      </c>
      <c r="D2509" s="15" t="s">
        <v>3954</v>
      </c>
      <c r="E2509" s="15" t="s">
        <v>3955</v>
      </c>
    </row>
    <row r="2510" spans="2:5">
      <c r="B2510" s="15" t="s">
        <v>3875</v>
      </c>
      <c r="C2510" s="15" t="s">
        <v>334</v>
      </c>
      <c r="D2510" s="15" t="s">
        <v>3956</v>
      </c>
      <c r="E2510" s="15" t="s">
        <v>3957</v>
      </c>
    </row>
    <row r="2511" spans="2:5">
      <c r="B2511" s="15" t="s">
        <v>3875</v>
      </c>
      <c r="C2511" s="15" t="s">
        <v>334</v>
      </c>
      <c r="D2511" s="15" t="s">
        <v>3958</v>
      </c>
      <c r="E2511" s="15" t="s">
        <v>3959</v>
      </c>
    </row>
    <row r="2512" spans="2:5">
      <c r="B2512" s="15" t="s">
        <v>3875</v>
      </c>
      <c r="C2512" s="15" t="s">
        <v>334</v>
      </c>
      <c r="D2512" s="15" t="s">
        <v>3960</v>
      </c>
      <c r="E2512" s="15" t="s">
        <v>3961</v>
      </c>
    </row>
    <row r="2513" spans="2:5">
      <c r="B2513" s="15" t="s">
        <v>3875</v>
      </c>
      <c r="C2513" s="15" t="s">
        <v>334</v>
      </c>
      <c r="D2513" s="15" t="s">
        <v>3962</v>
      </c>
      <c r="E2513" s="15" t="s">
        <v>3963</v>
      </c>
    </row>
    <row r="2514" spans="2:5">
      <c r="B2514" s="15" t="s">
        <v>3875</v>
      </c>
      <c r="C2514" s="15" t="s">
        <v>334</v>
      </c>
      <c r="D2514" s="15" t="s">
        <v>3964</v>
      </c>
      <c r="E2514" s="15" t="s">
        <v>3965</v>
      </c>
    </row>
    <row r="2515" spans="2:5">
      <c r="B2515" s="15" t="s">
        <v>3875</v>
      </c>
      <c r="C2515" s="15" t="s">
        <v>334</v>
      </c>
      <c r="D2515" s="15" t="s">
        <v>3966</v>
      </c>
      <c r="E2515" s="15" t="s">
        <v>3967</v>
      </c>
    </row>
    <row r="2516" spans="2:5">
      <c r="B2516" s="15" t="s">
        <v>3875</v>
      </c>
      <c r="C2516" s="15" t="s">
        <v>334</v>
      </c>
      <c r="D2516" s="15" t="s">
        <v>3968</v>
      </c>
      <c r="E2516" s="15" t="s">
        <v>3969</v>
      </c>
    </row>
    <row r="2517" spans="2:5">
      <c r="B2517" s="15" t="s">
        <v>3875</v>
      </c>
      <c r="C2517" s="15" t="s">
        <v>334</v>
      </c>
      <c r="D2517" s="15" t="s">
        <v>3970</v>
      </c>
      <c r="E2517" s="15" t="s">
        <v>3971</v>
      </c>
    </row>
    <row r="2518" spans="2:5">
      <c r="B2518" s="15" t="s">
        <v>3875</v>
      </c>
      <c r="C2518" s="15" t="s">
        <v>334</v>
      </c>
      <c r="D2518" s="15" t="s">
        <v>3972</v>
      </c>
      <c r="E2518" s="15" t="s">
        <v>3973</v>
      </c>
    </row>
    <row r="2519" spans="2:5">
      <c r="B2519" s="15" t="s">
        <v>3875</v>
      </c>
      <c r="C2519" s="15" t="s">
        <v>334</v>
      </c>
      <c r="D2519" s="15" t="s">
        <v>3974</v>
      </c>
      <c r="E2519" s="15" t="s">
        <v>3975</v>
      </c>
    </row>
    <row r="2520" spans="2:5">
      <c r="B2520" s="15" t="s">
        <v>3875</v>
      </c>
      <c r="C2520" s="15" t="s">
        <v>334</v>
      </c>
      <c r="D2520" s="15" t="s">
        <v>3976</v>
      </c>
      <c r="E2520" s="15" t="s">
        <v>3977</v>
      </c>
    </row>
    <row r="2521" spans="2:5">
      <c r="B2521" s="15" t="s">
        <v>3875</v>
      </c>
      <c r="C2521" s="15" t="s">
        <v>334</v>
      </c>
      <c r="D2521" s="15" t="s">
        <v>3978</v>
      </c>
      <c r="E2521" s="15" t="s">
        <v>3979</v>
      </c>
    </row>
    <row r="2522" spans="2:5">
      <c r="B2522" s="15" t="s">
        <v>3875</v>
      </c>
      <c r="C2522" s="15" t="s">
        <v>334</v>
      </c>
      <c r="D2522" s="15" t="s">
        <v>3980</v>
      </c>
      <c r="E2522" s="15" t="s">
        <v>3981</v>
      </c>
    </row>
    <row r="2523" spans="2:5">
      <c r="B2523" s="15" t="s">
        <v>3875</v>
      </c>
      <c r="C2523" s="15" t="s">
        <v>334</v>
      </c>
      <c r="D2523" s="15" t="s">
        <v>3982</v>
      </c>
      <c r="E2523" s="15" t="s">
        <v>3983</v>
      </c>
    </row>
    <row r="2524" spans="2:5">
      <c r="B2524" s="15" t="s">
        <v>3875</v>
      </c>
      <c r="C2524" s="15" t="s">
        <v>334</v>
      </c>
      <c r="D2524" s="15" t="s">
        <v>3984</v>
      </c>
      <c r="E2524" s="15" t="s">
        <v>3985</v>
      </c>
    </row>
    <row r="2525" spans="2:5">
      <c r="B2525" s="15" t="s">
        <v>3875</v>
      </c>
      <c r="C2525" s="15" t="s">
        <v>334</v>
      </c>
      <c r="D2525" s="15" t="s">
        <v>3986</v>
      </c>
      <c r="E2525" s="15" t="s">
        <v>3987</v>
      </c>
    </row>
    <row r="2526" spans="2:5">
      <c r="B2526" s="15" t="s">
        <v>3875</v>
      </c>
      <c r="C2526" s="15" t="s">
        <v>334</v>
      </c>
      <c r="D2526" s="15" t="s">
        <v>3988</v>
      </c>
      <c r="E2526" s="15" t="s">
        <v>3989</v>
      </c>
    </row>
    <row r="2527" spans="2:5">
      <c r="B2527" s="15" t="s">
        <v>3875</v>
      </c>
      <c r="C2527" s="15" t="s">
        <v>334</v>
      </c>
      <c r="D2527" s="15" t="s">
        <v>3990</v>
      </c>
      <c r="E2527" s="15" t="s">
        <v>3991</v>
      </c>
    </row>
    <row r="2528" spans="2:5">
      <c r="B2528" s="15" t="s">
        <v>3875</v>
      </c>
      <c r="C2528" s="15" t="s">
        <v>334</v>
      </c>
      <c r="D2528" s="15" t="s">
        <v>3992</v>
      </c>
      <c r="E2528" s="15" t="s">
        <v>3993</v>
      </c>
    </row>
    <row r="2529" spans="2:5">
      <c r="B2529" s="15" t="s">
        <v>3875</v>
      </c>
      <c r="C2529" s="15" t="s">
        <v>334</v>
      </c>
      <c r="D2529" s="15" t="s">
        <v>3994</v>
      </c>
      <c r="E2529" s="15" t="s">
        <v>3995</v>
      </c>
    </row>
    <row r="2530" spans="2:5">
      <c r="B2530" s="15" t="s">
        <v>3875</v>
      </c>
      <c r="C2530" s="15" t="s">
        <v>334</v>
      </c>
      <c r="D2530" s="15" t="s">
        <v>3996</v>
      </c>
      <c r="E2530" s="15" t="s">
        <v>3997</v>
      </c>
    </row>
    <row r="2531" spans="2:5">
      <c r="B2531" s="15" t="s">
        <v>3875</v>
      </c>
      <c r="C2531" s="15" t="s">
        <v>334</v>
      </c>
      <c r="D2531" s="15" t="s">
        <v>3998</v>
      </c>
      <c r="E2531" s="15" t="s">
        <v>3999</v>
      </c>
    </row>
    <row r="2532" spans="2:5">
      <c r="B2532" s="15" t="s">
        <v>3875</v>
      </c>
      <c r="C2532" s="15" t="s">
        <v>334</v>
      </c>
      <c r="D2532" s="15" t="s">
        <v>4000</v>
      </c>
      <c r="E2532" s="15" t="s">
        <v>4001</v>
      </c>
    </row>
    <row r="2533" spans="2:5">
      <c r="B2533" s="15" t="s">
        <v>3875</v>
      </c>
      <c r="C2533" s="15" t="s">
        <v>334</v>
      </c>
      <c r="D2533" s="15" t="s">
        <v>4002</v>
      </c>
      <c r="E2533" s="15" t="s">
        <v>4003</v>
      </c>
    </row>
    <row r="2534" spans="2:5">
      <c r="B2534" s="15" t="s">
        <v>3875</v>
      </c>
      <c r="C2534" s="15" t="s">
        <v>334</v>
      </c>
      <c r="D2534" s="15" t="s">
        <v>4004</v>
      </c>
      <c r="E2534" s="15" t="s">
        <v>4005</v>
      </c>
    </row>
    <row r="2535" spans="2:5">
      <c r="B2535" s="15" t="s">
        <v>3875</v>
      </c>
      <c r="C2535" s="15" t="s">
        <v>334</v>
      </c>
      <c r="D2535" s="15" t="s">
        <v>4006</v>
      </c>
      <c r="E2535" s="15" t="s">
        <v>4007</v>
      </c>
    </row>
    <row r="2536" spans="2:5">
      <c r="B2536" s="15" t="s">
        <v>3875</v>
      </c>
      <c r="C2536" s="15" t="s">
        <v>334</v>
      </c>
      <c r="D2536" s="15" t="s">
        <v>4008</v>
      </c>
      <c r="E2536" s="15" t="s">
        <v>4009</v>
      </c>
    </row>
    <row r="2537" spans="2:5">
      <c r="B2537" s="15" t="s">
        <v>3875</v>
      </c>
      <c r="C2537" s="15" t="s">
        <v>334</v>
      </c>
      <c r="D2537" s="15" t="s">
        <v>4010</v>
      </c>
      <c r="E2537" s="15" t="s">
        <v>4011</v>
      </c>
    </row>
    <row r="2538" spans="2:5">
      <c r="B2538" s="15" t="s">
        <v>3875</v>
      </c>
      <c r="C2538" s="15" t="s">
        <v>334</v>
      </c>
      <c r="D2538" s="15" t="s">
        <v>4012</v>
      </c>
      <c r="E2538" s="15" t="s">
        <v>4013</v>
      </c>
    </row>
    <row r="2539" spans="2:5">
      <c r="B2539" s="15" t="s">
        <v>3875</v>
      </c>
      <c r="C2539" s="15" t="s">
        <v>334</v>
      </c>
      <c r="D2539" s="15" t="s">
        <v>4014</v>
      </c>
      <c r="E2539" s="15" t="s">
        <v>4015</v>
      </c>
    </row>
    <row r="2540" spans="2:5">
      <c r="B2540" s="15" t="s">
        <v>3875</v>
      </c>
      <c r="C2540" s="15" t="s">
        <v>334</v>
      </c>
      <c r="D2540" s="15" t="s">
        <v>4016</v>
      </c>
      <c r="E2540" s="15" t="s">
        <v>4017</v>
      </c>
    </row>
    <row r="2541" spans="2:5">
      <c r="B2541" s="15" t="s">
        <v>3875</v>
      </c>
      <c r="C2541" s="15" t="s">
        <v>334</v>
      </c>
      <c r="D2541" s="15" t="s">
        <v>4018</v>
      </c>
      <c r="E2541" s="15" t="s">
        <v>4019</v>
      </c>
    </row>
    <row r="2542" spans="2:5">
      <c r="B2542" s="15" t="s">
        <v>3875</v>
      </c>
      <c r="C2542" s="15" t="s">
        <v>334</v>
      </c>
      <c r="D2542" s="15" t="s">
        <v>4020</v>
      </c>
      <c r="E2542" s="15" t="s">
        <v>4021</v>
      </c>
    </row>
    <row r="2543" spans="2:5">
      <c r="B2543" s="15" t="s">
        <v>3875</v>
      </c>
      <c r="C2543" s="15" t="s">
        <v>334</v>
      </c>
      <c r="D2543" s="15" t="s">
        <v>4022</v>
      </c>
      <c r="E2543" s="15" t="s">
        <v>4023</v>
      </c>
    </row>
    <row r="2544" spans="2:5">
      <c r="B2544" s="15" t="s">
        <v>3875</v>
      </c>
      <c r="C2544" s="15" t="s">
        <v>334</v>
      </c>
      <c r="D2544" s="15" t="s">
        <v>4024</v>
      </c>
      <c r="E2544" s="15" t="s">
        <v>4025</v>
      </c>
    </row>
    <row r="2545" spans="2:5">
      <c r="B2545" s="15" t="s">
        <v>3875</v>
      </c>
      <c r="C2545" s="15" t="s">
        <v>334</v>
      </c>
      <c r="D2545" s="15" t="s">
        <v>4026</v>
      </c>
      <c r="E2545" s="15" t="s">
        <v>4027</v>
      </c>
    </row>
    <row r="2546" spans="2:5">
      <c r="B2546" s="15" t="s">
        <v>3875</v>
      </c>
      <c r="C2546" s="15" t="s">
        <v>334</v>
      </c>
      <c r="D2546" s="15" t="s">
        <v>4028</v>
      </c>
      <c r="E2546" s="15" t="s">
        <v>4029</v>
      </c>
    </row>
    <row r="2547" spans="2:5">
      <c r="B2547" s="15" t="s">
        <v>3875</v>
      </c>
      <c r="C2547" s="15" t="s">
        <v>334</v>
      </c>
      <c r="D2547" s="15" t="s">
        <v>4030</v>
      </c>
      <c r="E2547" s="15" t="s">
        <v>4031</v>
      </c>
    </row>
    <row r="2548" spans="2:5">
      <c r="B2548" s="15" t="s">
        <v>3875</v>
      </c>
      <c r="C2548" s="15" t="s">
        <v>334</v>
      </c>
      <c r="D2548" s="15" t="s">
        <v>4032</v>
      </c>
      <c r="E2548" s="15" t="s">
        <v>4033</v>
      </c>
    </row>
    <row r="2549" spans="2:5">
      <c r="B2549" s="15" t="s">
        <v>3875</v>
      </c>
      <c r="C2549" s="15" t="s">
        <v>334</v>
      </c>
      <c r="D2549" s="15" t="s">
        <v>4034</v>
      </c>
      <c r="E2549" s="15" t="s">
        <v>4035</v>
      </c>
    </row>
    <row r="2550" spans="2:5">
      <c r="B2550" s="15" t="s">
        <v>3875</v>
      </c>
      <c r="C2550" s="15" t="s">
        <v>334</v>
      </c>
      <c r="D2550" s="15" t="s">
        <v>4036</v>
      </c>
      <c r="E2550" s="15" t="s">
        <v>4037</v>
      </c>
    </row>
    <row r="2551" spans="2:5">
      <c r="B2551" s="15" t="s">
        <v>3875</v>
      </c>
      <c r="C2551" s="15" t="s">
        <v>334</v>
      </c>
      <c r="D2551" s="15" t="s">
        <v>4038</v>
      </c>
      <c r="E2551" s="15" t="s">
        <v>4039</v>
      </c>
    </row>
    <row r="2552" spans="2:5">
      <c r="B2552" s="15" t="s">
        <v>3875</v>
      </c>
      <c r="C2552" s="15" t="s">
        <v>334</v>
      </c>
      <c r="D2552" s="15" t="s">
        <v>4040</v>
      </c>
      <c r="E2552" s="15" t="s">
        <v>4041</v>
      </c>
    </row>
    <row r="2553" spans="2:5">
      <c r="B2553" s="15" t="s">
        <v>3875</v>
      </c>
      <c r="C2553" s="15" t="s">
        <v>334</v>
      </c>
      <c r="D2553" s="15" t="s">
        <v>4042</v>
      </c>
      <c r="E2553" s="15" t="s">
        <v>4043</v>
      </c>
    </row>
    <row r="2554" spans="2:5">
      <c r="B2554" s="15" t="s">
        <v>3875</v>
      </c>
      <c r="C2554" s="15" t="s">
        <v>334</v>
      </c>
      <c r="D2554" s="15" t="s">
        <v>4044</v>
      </c>
      <c r="E2554" s="15" t="s">
        <v>4045</v>
      </c>
    </row>
    <row r="2555" spans="2:5">
      <c r="B2555" s="15" t="s">
        <v>3875</v>
      </c>
      <c r="C2555" s="15" t="s">
        <v>334</v>
      </c>
      <c r="D2555" s="15" t="s">
        <v>4046</v>
      </c>
      <c r="E2555" s="15" t="s">
        <v>4047</v>
      </c>
    </row>
    <row r="2556" spans="2:5">
      <c r="B2556" s="15" t="s">
        <v>3875</v>
      </c>
      <c r="C2556" s="15" t="s">
        <v>334</v>
      </c>
      <c r="D2556" s="15" t="s">
        <v>4048</v>
      </c>
      <c r="E2556" s="15" t="s">
        <v>4049</v>
      </c>
    </row>
    <row r="2557" spans="2:5">
      <c r="B2557" s="15" t="s">
        <v>3875</v>
      </c>
      <c r="C2557" s="15" t="s">
        <v>334</v>
      </c>
      <c r="D2557" s="15" t="s">
        <v>4050</v>
      </c>
      <c r="E2557" s="15" t="s">
        <v>4051</v>
      </c>
    </row>
    <row r="2558" spans="2:5">
      <c r="B2558" s="15" t="s">
        <v>3875</v>
      </c>
      <c r="C2558" s="15" t="s">
        <v>334</v>
      </c>
      <c r="D2558" s="15" t="s">
        <v>4052</v>
      </c>
      <c r="E2558" s="15" t="s">
        <v>4053</v>
      </c>
    </row>
    <row r="2559" spans="2:5">
      <c r="B2559" s="15" t="s">
        <v>3875</v>
      </c>
      <c r="C2559" s="15" t="s">
        <v>334</v>
      </c>
      <c r="D2559" s="15" t="s">
        <v>4054</v>
      </c>
      <c r="E2559" s="15" t="s">
        <v>4055</v>
      </c>
    </row>
    <row r="2560" spans="2:5">
      <c r="B2560" s="15" t="s">
        <v>3875</v>
      </c>
      <c r="C2560" s="15" t="s">
        <v>334</v>
      </c>
      <c r="D2560" s="15" t="s">
        <v>4056</v>
      </c>
      <c r="E2560" s="15" t="s">
        <v>4057</v>
      </c>
    </row>
    <row r="2561" spans="2:5">
      <c r="B2561" s="15" t="s">
        <v>3875</v>
      </c>
      <c r="C2561" s="15" t="s">
        <v>334</v>
      </c>
      <c r="D2561" s="15" t="s">
        <v>4058</v>
      </c>
      <c r="E2561" s="15" t="s">
        <v>4059</v>
      </c>
    </row>
    <row r="2562" ht="15.95" spans="2:2">
      <c r="B2562" s="122" t="s">
        <v>4060</v>
      </c>
    </row>
    <row r="2563" spans="2:5">
      <c r="B2563" s="15" t="s">
        <v>4061</v>
      </c>
      <c r="C2563" s="15" t="s">
        <v>4062</v>
      </c>
      <c r="D2563" s="15" t="s">
        <v>4063</v>
      </c>
      <c r="E2563" s="15" t="s">
        <v>4064</v>
      </c>
    </row>
    <row r="2564" spans="2:5">
      <c r="B2564" s="15" t="s">
        <v>4061</v>
      </c>
      <c r="C2564" s="15" t="s">
        <v>4062</v>
      </c>
      <c r="D2564" s="15" t="s">
        <v>4065</v>
      </c>
      <c r="E2564" s="15" t="s">
        <v>4066</v>
      </c>
    </row>
    <row r="2565" spans="2:5">
      <c r="B2565" s="15" t="s">
        <v>4061</v>
      </c>
      <c r="C2565" s="15" t="s">
        <v>4062</v>
      </c>
      <c r="D2565" s="15" t="s">
        <v>4067</v>
      </c>
      <c r="E2565" s="15" t="s">
        <v>4068</v>
      </c>
    </row>
    <row r="2566" spans="2:5">
      <c r="B2566" s="15" t="s">
        <v>4061</v>
      </c>
      <c r="C2566" s="15" t="s">
        <v>4062</v>
      </c>
      <c r="D2566" s="15" t="s">
        <v>4069</v>
      </c>
      <c r="E2566" s="15" t="s">
        <v>4070</v>
      </c>
    </row>
    <row r="2567" spans="2:5">
      <c r="B2567" s="15" t="s">
        <v>4061</v>
      </c>
      <c r="C2567" s="15" t="s">
        <v>4062</v>
      </c>
      <c r="D2567" s="15" t="s">
        <v>4071</v>
      </c>
      <c r="E2567" s="15" t="s">
        <v>4072</v>
      </c>
    </row>
    <row r="2568" spans="2:5">
      <c r="B2568" s="15" t="s">
        <v>4061</v>
      </c>
      <c r="C2568" s="15" t="s">
        <v>4062</v>
      </c>
      <c r="D2568" s="15" t="s">
        <v>4073</v>
      </c>
      <c r="E2568" s="15" t="s">
        <v>4074</v>
      </c>
    </row>
    <row r="2569" spans="2:5">
      <c r="B2569" s="15" t="s">
        <v>4061</v>
      </c>
      <c r="C2569" s="15" t="s">
        <v>4062</v>
      </c>
      <c r="D2569" s="15" t="s">
        <v>4075</v>
      </c>
      <c r="E2569" s="15" t="s">
        <v>4076</v>
      </c>
    </row>
    <row r="2570" spans="2:5">
      <c r="B2570" s="15" t="s">
        <v>4061</v>
      </c>
      <c r="C2570" s="15" t="s">
        <v>4062</v>
      </c>
      <c r="D2570" s="15" t="s">
        <v>4077</v>
      </c>
      <c r="E2570" s="15" t="s">
        <v>4078</v>
      </c>
    </row>
    <row r="2571" spans="2:5">
      <c r="B2571" s="15" t="s">
        <v>4061</v>
      </c>
      <c r="C2571" s="15" t="s">
        <v>4062</v>
      </c>
      <c r="D2571" s="15" t="s">
        <v>4079</v>
      </c>
      <c r="E2571" s="15" t="s">
        <v>4080</v>
      </c>
    </row>
    <row r="2572" spans="2:5">
      <c r="B2572" s="15" t="s">
        <v>4061</v>
      </c>
      <c r="C2572" s="15" t="s">
        <v>4062</v>
      </c>
      <c r="D2572" s="15" t="s">
        <v>4081</v>
      </c>
      <c r="E2572" s="15" t="s">
        <v>4082</v>
      </c>
    </row>
    <row r="2573" spans="2:5">
      <c r="B2573" s="15" t="s">
        <v>4061</v>
      </c>
      <c r="C2573" s="15" t="s">
        <v>4062</v>
      </c>
      <c r="D2573" s="15" t="s">
        <v>4083</v>
      </c>
      <c r="E2573" s="15" t="s">
        <v>4084</v>
      </c>
    </row>
    <row r="2574" spans="2:5">
      <c r="B2574" s="15" t="s">
        <v>4061</v>
      </c>
      <c r="C2574" s="15" t="s">
        <v>4062</v>
      </c>
      <c r="D2574" s="15" t="s">
        <v>4085</v>
      </c>
      <c r="E2574" s="15" t="s">
        <v>4086</v>
      </c>
    </row>
    <row r="2575" ht="15.95" spans="2:2">
      <c r="B2575" s="122" t="s">
        <v>4087</v>
      </c>
    </row>
    <row r="2576" spans="2:5">
      <c r="B2576" s="15" t="s">
        <v>4088</v>
      </c>
      <c r="C2576" s="15" t="s">
        <v>4089</v>
      </c>
      <c r="D2576" s="15" t="s">
        <v>770</v>
      </c>
      <c r="E2576" s="15" t="s">
        <v>4090</v>
      </c>
    </row>
    <row r="2577" spans="2:5">
      <c r="B2577" s="15" t="s">
        <v>4088</v>
      </c>
      <c r="C2577" s="15" t="s">
        <v>4089</v>
      </c>
      <c r="D2577" s="15" t="s">
        <v>917</v>
      </c>
      <c r="E2577" s="15" t="s">
        <v>4091</v>
      </c>
    </row>
    <row r="2578" spans="2:5">
      <c r="B2578" s="15" t="s">
        <v>4088</v>
      </c>
      <c r="C2578" s="15" t="s">
        <v>4089</v>
      </c>
      <c r="D2578" s="15" t="s">
        <v>919</v>
      </c>
      <c r="E2578" s="15" t="s">
        <v>4092</v>
      </c>
    </row>
    <row r="2579" spans="2:5">
      <c r="B2579" s="15" t="s">
        <v>4088</v>
      </c>
      <c r="C2579" s="15" t="s">
        <v>4089</v>
      </c>
      <c r="D2579" s="15" t="s">
        <v>937</v>
      </c>
      <c r="E2579" s="15" t="s">
        <v>4093</v>
      </c>
    </row>
    <row r="2580" spans="2:5">
      <c r="B2580" s="15" t="s">
        <v>4088</v>
      </c>
      <c r="C2580" s="15" t="s">
        <v>4089</v>
      </c>
      <c r="D2580" s="15" t="s">
        <v>1143</v>
      </c>
      <c r="E2580" s="15" t="s">
        <v>235</v>
      </c>
    </row>
    <row r="2581" ht="15.95" spans="2:2">
      <c r="B2581" s="122" t="s">
        <v>4094</v>
      </c>
    </row>
    <row r="2582" spans="2:5">
      <c r="B2582" s="15" t="s">
        <v>4095</v>
      </c>
      <c r="C2582" s="15" t="s">
        <v>4095</v>
      </c>
      <c r="D2582" s="15" t="s">
        <v>723</v>
      </c>
      <c r="E2582" s="15" t="s">
        <v>1712</v>
      </c>
    </row>
    <row r="2583" spans="2:5">
      <c r="B2583" s="15" t="s">
        <v>4095</v>
      </c>
      <c r="C2583" s="15" t="s">
        <v>4095</v>
      </c>
      <c r="D2583" s="15" t="s">
        <v>725</v>
      </c>
      <c r="E2583" s="15" t="s">
        <v>4096</v>
      </c>
    </row>
    <row r="2584" spans="2:5">
      <c r="B2584" s="15" t="s">
        <v>4095</v>
      </c>
      <c r="C2584" s="15" t="s">
        <v>4095</v>
      </c>
      <c r="D2584" s="15" t="s">
        <v>727</v>
      </c>
      <c r="E2584" s="15" t="s">
        <v>862</v>
      </c>
    </row>
    <row r="2585" ht="15.95" spans="2:2">
      <c r="B2585" s="122" t="s">
        <v>4097</v>
      </c>
    </row>
    <row r="2586" spans="2:5">
      <c r="B2586" s="15" t="s">
        <v>4098</v>
      </c>
      <c r="C2586" s="15" t="s">
        <v>4099</v>
      </c>
      <c r="D2586" s="15" t="s">
        <v>770</v>
      </c>
      <c r="E2586" s="15" t="s">
        <v>4100</v>
      </c>
    </row>
    <row r="2587" spans="2:5">
      <c r="B2587" s="15" t="s">
        <v>4098</v>
      </c>
      <c r="C2587" s="15" t="s">
        <v>4099</v>
      </c>
      <c r="D2587" s="15" t="s">
        <v>772</v>
      </c>
      <c r="E2587" s="15" t="s">
        <v>4101</v>
      </c>
    </row>
    <row r="2588" spans="2:5">
      <c r="B2588" s="15" t="s">
        <v>4098</v>
      </c>
      <c r="C2588" s="15" t="s">
        <v>4099</v>
      </c>
      <c r="D2588" s="15" t="s">
        <v>774</v>
      </c>
      <c r="E2588" s="15" t="s">
        <v>4102</v>
      </c>
    </row>
    <row r="2589" ht="15.95" spans="2:2">
      <c r="B2589" s="122" t="s">
        <v>4103</v>
      </c>
    </row>
    <row r="2590" spans="2:5">
      <c r="B2590" s="15" t="s">
        <v>4104</v>
      </c>
      <c r="C2590" s="15" t="s">
        <v>819</v>
      </c>
      <c r="D2590" s="15" t="s">
        <v>637</v>
      </c>
      <c r="E2590" s="15" t="s">
        <v>820</v>
      </c>
    </row>
    <row r="2591" spans="2:5">
      <c r="B2591" s="15" t="s">
        <v>4104</v>
      </c>
      <c r="C2591" s="15" t="s">
        <v>819</v>
      </c>
      <c r="D2591" s="15" t="s">
        <v>641</v>
      </c>
      <c r="E2591" s="15" t="s">
        <v>3394</v>
      </c>
    </row>
    <row r="2592" spans="2:5">
      <c r="B2592" s="15" t="s">
        <v>4104</v>
      </c>
      <c r="C2592" s="15" t="s">
        <v>819</v>
      </c>
      <c r="D2592" s="15" t="s">
        <v>643</v>
      </c>
      <c r="E2592" s="15" t="s">
        <v>822</v>
      </c>
    </row>
    <row r="2593" ht="15.95" spans="2:2">
      <c r="B2593" s="122" t="s">
        <v>4105</v>
      </c>
    </row>
    <row r="2594" spans="2:5">
      <c r="B2594" s="15" t="s">
        <v>4106</v>
      </c>
      <c r="C2594" s="15" t="s">
        <v>4106</v>
      </c>
      <c r="D2594" s="15" t="s">
        <v>723</v>
      </c>
      <c r="E2594" s="15" t="s">
        <v>4107</v>
      </c>
    </row>
    <row r="2595" spans="2:5">
      <c r="B2595" s="15" t="s">
        <v>4106</v>
      </c>
      <c r="C2595" s="15" t="s">
        <v>4106</v>
      </c>
      <c r="D2595" s="15" t="s">
        <v>725</v>
      </c>
      <c r="E2595" s="15" t="s">
        <v>4108</v>
      </c>
    </row>
    <row r="2596" spans="2:5">
      <c r="B2596" s="15" t="s">
        <v>4106</v>
      </c>
      <c r="C2596" s="15" t="s">
        <v>4106</v>
      </c>
      <c r="D2596" s="15" t="s">
        <v>727</v>
      </c>
      <c r="E2596" s="15" t="s">
        <v>4109</v>
      </c>
    </row>
    <row r="2597" ht="15.95" spans="2:2">
      <c r="B2597" s="122" t="s">
        <v>4110</v>
      </c>
    </row>
    <row r="2598" spans="2:5">
      <c r="B2598" s="15" t="s">
        <v>4111</v>
      </c>
      <c r="C2598" s="15" t="s">
        <v>4112</v>
      </c>
      <c r="D2598" s="15" t="s">
        <v>635</v>
      </c>
      <c r="E2598" s="15" t="s">
        <v>4113</v>
      </c>
    </row>
    <row r="2599" spans="2:5">
      <c r="B2599" s="15" t="s">
        <v>4111</v>
      </c>
      <c r="C2599" s="15" t="s">
        <v>4112</v>
      </c>
      <c r="D2599" s="15" t="s">
        <v>659</v>
      </c>
      <c r="E2599" s="15" t="s">
        <v>4114</v>
      </c>
    </row>
    <row r="2600" spans="2:5">
      <c r="B2600" s="15" t="s">
        <v>4111</v>
      </c>
      <c r="C2600" s="15" t="s">
        <v>4112</v>
      </c>
      <c r="D2600" s="15" t="s">
        <v>679</v>
      </c>
      <c r="E2600" s="15" t="s">
        <v>4115</v>
      </c>
    </row>
    <row r="2601" spans="2:5">
      <c r="B2601" s="15" t="s">
        <v>4111</v>
      </c>
      <c r="C2601" s="15" t="s">
        <v>4112</v>
      </c>
      <c r="D2601" s="15" t="s">
        <v>4116</v>
      </c>
      <c r="E2601" s="15" t="s">
        <v>4117</v>
      </c>
    </row>
    <row r="2602" ht="15.95" spans="2:2">
      <c r="B2602" s="122" t="s">
        <v>4118</v>
      </c>
    </row>
    <row r="2603" spans="2:5">
      <c r="B2603" s="15" t="s">
        <v>4119</v>
      </c>
      <c r="C2603" s="15" t="s">
        <v>4120</v>
      </c>
      <c r="D2603" s="15" t="s">
        <v>2983</v>
      </c>
      <c r="E2603" s="15" t="s">
        <v>1379</v>
      </c>
    </row>
    <row r="2604" spans="2:5">
      <c r="B2604" s="15" t="s">
        <v>4119</v>
      </c>
      <c r="C2604" s="15" t="s">
        <v>4120</v>
      </c>
      <c r="D2604" s="15" t="s">
        <v>2985</v>
      </c>
      <c r="E2604" s="15" t="s">
        <v>2554</v>
      </c>
    </row>
    <row r="2605" spans="2:5">
      <c r="B2605" s="15" t="s">
        <v>4119</v>
      </c>
      <c r="C2605" s="15" t="s">
        <v>4120</v>
      </c>
      <c r="D2605" s="15" t="s">
        <v>2987</v>
      </c>
      <c r="E2605" s="15" t="s">
        <v>4121</v>
      </c>
    </row>
    <row r="2606" spans="2:5">
      <c r="B2606" s="15" t="s">
        <v>4119</v>
      </c>
      <c r="C2606" s="15" t="s">
        <v>4120</v>
      </c>
      <c r="D2606" s="15" t="s">
        <v>4122</v>
      </c>
      <c r="E2606" s="15" t="s">
        <v>4123</v>
      </c>
    </row>
    <row r="2607" spans="2:5">
      <c r="B2607" s="15" t="s">
        <v>4119</v>
      </c>
      <c r="C2607" s="15" t="s">
        <v>4120</v>
      </c>
      <c r="D2607" s="15" t="s">
        <v>4124</v>
      </c>
      <c r="E2607" s="15" t="s">
        <v>4125</v>
      </c>
    </row>
    <row r="2608" spans="2:5">
      <c r="B2608" s="15" t="s">
        <v>4119</v>
      </c>
      <c r="C2608" s="15" t="s">
        <v>4120</v>
      </c>
      <c r="D2608" s="15" t="s">
        <v>4126</v>
      </c>
      <c r="E2608" s="15" t="s">
        <v>4127</v>
      </c>
    </row>
    <row r="2609" spans="2:5">
      <c r="B2609" s="15" t="s">
        <v>4119</v>
      </c>
      <c r="C2609" s="15" t="s">
        <v>4120</v>
      </c>
      <c r="D2609" s="15" t="s">
        <v>4128</v>
      </c>
      <c r="E2609" s="15" t="s">
        <v>4129</v>
      </c>
    </row>
    <row r="2610" spans="2:5">
      <c r="B2610" s="15" t="s">
        <v>4119</v>
      </c>
      <c r="C2610" s="15" t="s">
        <v>4120</v>
      </c>
      <c r="D2610" s="15" t="s">
        <v>4130</v>
      </c>
      <c r="E2610" s="15" t="s">
        <v>4131</v>
      </c>
    </row>
    <row r="2611" spans="2:5">
      <c r="B2611" s="15" t="s">
        <v>4119</v>
      </c>
      <c r="C2611" s="15" t="s">
        <v>4120</v>
      </c>
      <c r="D2611" s="15" t="s">
        <v>4132</v>
      </c>
      <c r="E2611" s="15" t="s">
        <v>4133</v>
      </c>
    </row>
    <row r="2612" spans="2:5">
      <c r="B2612" s="15" t="s">
        <v>4119</v>
      </c>
      <c r="C2612" s="15" t="s">
        <v>4120</v>
      </c>
      <c r="D2612" s="15" t="s">
        <v>4134</v>
      </c>
      <c r="E2612" s="15" t="s">
        <v>4135</v>
      </c>
    </row>
    <row r="2613" spans="2:5">
      <c r="B2613" s="15" t="s">
        <v>4119</v>
      </c>
      <c r="C2613" s="15" t="s">
        <v>4120</v>
      </c>
      <c r="D2613" s="15" t="s">
        <v>4136</v>
      </c>
      <c r="E2613" s="15" t="s">
        <v>4137</v>
      </c>
    </row>
    <row r="2614" spans="2:5">
      <c r="B2614" s="15" t="s">
        <v>4119</v>
      </c>
      <c r="C2614" s="15" t="s">
        <v>4120</v>
      </c>
      <c r="D2614" s="15" t="s">
        <v>4138</v>
      </c>
      <c r="E2614" s="15" t="s">
        <v>4139</v>
      </c>
    </row>
    <row r="2615" spans="2:5">
      <c r="B2615" s="15" t="s">
        <v>4119</v>
      </c>
      <c r="C2615" s="15" t="s">
        <v>4120</v>
      </c>
      <c r="D2615" s="15" t="s">
        <v>4140</v>
      </c>
      <c r="E2615" s="15" t="s">
        <v>4141</v>
      </c>
    </row>
    <row r="2616" spans="2:5">
      <c r="B2616" s="15" t="s">
        <v>4119</v>
      </c>
      <c r="C2616" s="15" t="s">
        <v>4120</v>
      </c>
      <c r="D2616" s="15" t="s">
        <v>4142</v>
      </c>
      <c r="E2616" s="15" t="s">
        <v>4143</v>
      </c>
    </row>
    <row r="2617" spans="2:5">
      <c r="B2617" s="15" t="s">
        <v>4119</v>
      </c>
      <c r="C2617" s="15" t="s">
        <v>4120</v>
      </c>
      <c r="D2617" s="15" t="s">
        <v>4144</v>
      </c>
      <c r="E2617" s="15" t="s">
        <v>4145</v>
      </c>
    </row>
    <row r="2618" spans="2:5">
      <c r="B2618" s="15" t="s">
        <v>4119</v>
      </c>
      <c r="C2618" s="15" t="s">
        <v>4120</v>
      </c>
      <c r="D2618" s="15" t="s">
        <v>4146</v>
      </c>
      <c r="E2618" s="15" t="s">
        <v>4147</v>
      </c>
    </row>
    <row r="2619" ht="15.95" spans="2:2">
      <c r="B2619" s="122" t="s">
        <v>4148</v>
      </c>
    </row>
    <row r="2620" spans="2:5">
      <c r="B2620" s="15" t="s">
        <v>4149</v>
      </c>
      <c r="C2620" s="15" t="s">
        <v>4150</v>
      </c>
      <c r="D2620" s="15" t="s">
        <v>770</v>
      </c>
      <c r="E2620" s="15" t="s">
        <v>4151</v>
      </c>
    </row>
    <row r="2621" spans="2:5">
      <c r="B2621" s="15" t="s">
        <v>4149</v>
      </c>
      <c r="C2621" s="15" t="s">
        <v>4150</v>
      </c>
      <c r="D2621" s="15" t="s">
        <v>772</v>
      </c>
      <c r="E2621" s="15" t="s">
        <v>4152</v>
      </c>
    </row>
    <row r="2622" spans="2:5">
      <c r="B2622" s="15" t="s">
        <v>4149</v>
      </c>
      <c r="C2622" s="15" t="s">
        <v>4150</v>
      </c>
      <c r="D2622" s="15" t="s">
        <v>774</v>
      </c>
      <c r="E2622" s="15" t="s">
        <v>4153</v>
      </c>
    </row>
    <row r="2623" spans="2:5">
      <c r="B2623" s="15" t="s">
        <v>4149</v>
      </c>
      <c r="C2623" s="15" t="s">
        <v>4150</v>
      </c>
      <c r="D2623" s="15" t="s">
        <v>828</v>
      </c>
      <c r="E2623" s="15" t="s">
        <v>4154</v>
      </c>
    </row>
    <row r="2624" spans="2:5">
      <c r="B2624" s="15" t="s">
        <v>4149</v>
      </c>
      <c r="C2624" s="15" t="s">
        <v>4150</v>
      </c>
      <c r="D2624" s="15" t="s">
        <v>901</v>
      </c>
      <c r="E2624" s="15" t="s">
        <v>4155</v>
      </c>
    </row>
    <row r="2625" spans="2:5">
      <c r="B2625" s="15" t="s">
        <v>4149</v>
      </c>
      <c r="C2625" s="15" t="s">
        <v>4150</v>
      </c>
      <c r="D2625" s="15" t="s">
        <v>776</v>
      </c>
      <c r="E2625" s="15" t="s">
        <v>2956</v>
      </c>
    </row>
    <row r="2626" ht="15.95" spans="2:2">
      <c r="B2626" s="122" t="s">
        <v>4156</v>
      </c>
    </row>
    <row r="2627" spans="2:5">
      <c r="B2627" s="15" t="s">
        <v>4157</v>
      </c>
      <c r="C2627" s="15" t="s">
        <v>4158</v>
      </c>
      <c r="D2627" s="15" t="s">
        <v>770</v>
      </c>
      <c r="E2627" s="15" t="s">
        <v>4159</v>
      </c>
    </row>
    <row r="2628" spans="2:5">
      <c r="B2628" s="15" t="s">
        <v>4157</v>
      </c>
      <c r="C2628" s="15" t="s">
        <v>4158</v>
      </c>
      <c r="D2628" s="15" t="s">
        <v>772</v>
      </c>
      <c r="E2628" s="15" t="s">
        <v>4160</v>
      </c>
    </row>
    <row r="2629" spans="2:5">
      <c r="B2629" s="15" t="s">
        <v>4157</v>
      </c>
      <c r="C2629" s="15" t="s">
        <v>4158</v>
      </c>
      <c r="D2629" s="15" t="s">
        <v>774</v>
      </c>
      <c r="E2629" s="15" t="s">
        <v>4161</v>
      </c>
    </row>
    <row r="2630" spans="2:5">
      <c r="B2630" s="15" t="s">
        <v>4157</v>
      </c>
      <c r="C2630" s="15" t="s">
        <v>4158</v>
      </c>
      <c r="D2630" s="15" t="s">
        <v>828</v>
      </c>
      <c r="E2630" s="15" t="s">
        <v>4162</v>
      </c>
    </row>
    <row r="2631" spans="2:5">
      <c r="B2631" s="15" t="s">
        <v>4157</v>
      </c>
      <c r="C2631" s="15" t="s">
        <v>4158</v>
      </c>
      <c r="D2631" s="15" t="s">
        <v>901</v>
      </c>
      <c r="E2631" s="15" t="s">
        <v>4163</v>
      </c>
    </row>
    <row r="2632" spans="2:5">
      <c r="B2632" s="15" t="s">
        <v>4157</v>
      </c>
      <c r="C2632" s="15" t="s">
        <v>4158</v>
      </c>
      <c r="D2632" s="15" t="s">
        <v>776</v>
      </c>
      <c r="E2632" s="15" t="s">
        <v>4164</v>
      </c>
    </row>
    <row r="2633" spans="2:5">
      <c r="B2633" s="15" t="s">
        <v>4157</v>
      </c>
      <c r="C2633" s="15" t="s">
        <v>4158</v>
      </c>
      <c r="D2633" s="15" t="s">
        <v>1290</v>
      </c>
      <c r="E2633" s="15" t="s">
        <v>4165</v>
      </c>
    </row>
    <row r="2634" spans="2:5">
      <c r="B2634" s="15" t="s">
        <v>4157</v>
      </c>
      <c r="C2634" s="15" t="s">
        <v>4158</v>
      </c>
      <c r="D2634" s="15" t="s">
        <v>1145</v>
      </c>
      <c r="E2634" s="15" t="s">
        <v>235</v>
      </c>
    </row>
    <row r="2635" ht="15.95" spans="2:2">
      <c r="B2635" s="122" t="s">
        <v>4166</v>
      </c>
    </row>
    <row r="2636" spans="2:5">
      <c r="B2636" s="15" t="s">
        <v>4167</v>
      </c>
      <c r="C2636" s="15"/>
      <c r="D2636" s="15" t="s">
        <v>770</v>
      </c>
      <c r="E2636" s="15" t="s">
        <v>4168</v>
      </c>
    </row>
    <row r="2637" spans="2:5">
      <c r="B2637" s="15" t="s">
        <v>4167</v>
      </c>
      <c r="C2637" s="15"/>
      <c r="D2637" s="15" t="s">
        <v>772</v>
      </c>
      <c r="E2637" s="15" t="s">
        <v>4169</v>
      </c>
    </row>
    <row r="2638" spans="2:5">
      <c r="B2638" s="15" t="s">
        <v>4167</v>
      </c>
      <c r="C2638" s="15"/>
      <c r="D2638" s="15" t="s">
        <v>774</v>
      </c>
      <c r="E2638" s="15" t="s">
        <v>4170</v>
      </c>
    </row>
    <row r="2639" ht="15.95" spans="2:2">
      <c r="B2639" s="122" t="s">
        <v>4171</v>
      </c>
    </row>
    <row r="2640" spans="2:5">
      <c r="B2640" s="15" t="s">
        <v>4172</v>
      </c>
      <c r="C2640" s="15" t="s">
        <v>4173</v>
      </c>
      <c r="D2640" s="15" t="s">
        <v>770</v>
      </c>
      <c r="E2640" s="15" t="s">
        <v>4174</v>
      </c>
    </row>
    <row r="2641" spans="2:5">
      <c r="B2641" s="15" t="s">
        <v>4172</v>
      </c>
      <c r="C2641" s="15" t="s">
        <v>4173</v>
      </c>
      <c r="D2641" s="15" t="s">
        <v>772</v>
      </c>
      <c r="E2641" s="15" t="s">
        <v>4175</v>
      </c>
    </row>
    <row r="2642" ht="15.95" spans="2:2">
      <c r="B2642" s="122" t="s">
        <v>4176</v>
      </c>
    </row>
    <row r="2643" spans="2:5">
      <c r="B2643" s="15" t="s">
        <v>4177</v>
      </c>
      <c r="C2643" s="15" t="s">
        <v>4178</v>
      </c>
      <c r="D2643" s="15" t="s">
        <v>933</v>
      </c>
      <c r="E2643" s="15" t="s">
        <v>4179</v>
      </c>
    </row>
    <row r="2644" spans="2:5">
      <c r="B2644" s="15" t="s">
        <v>4177</v>
      </c>
      <c r="C2644" s="15" t="s">
        <v>4178</v>
      </c>
      <c r="D2644" s="15" t="s">
        <v>937</v>
      </c>
      <c r="E2644" s="15" t="s">
        <v>4180</v>
      </c>
    </row>
    <row r="2645" spans="2:5">
      <c r="B2645" s="15" t="s">
        <v>4177</v>
      </c>
      <c r="C2645" s="15" t="s">
        <v>4178</v>
      </c>
      <c r="D2645" s="15" t="s">
        <v>939</v>
      </c>
      <c r="E2645" s="15" t="s">
        <v>4181</v>
      </c>
    </row>
    <row r="2646" spans="2:5">
      <c r="B2646" s="15" t="s">
        <v>4177</v>
      </c>
      <c r="C2646" s="15" t="s">
        <v>4178</v>
      </c>
      <c r="D2646" s="15" t="s">
        <v>941</v>
      </c>
      <c r="E2646" s="15" t="s">
        <v>4182</v>
      </c>
    </row>
    <row r="2647" spans="2:5">
      <c r="B2647" s="15" t="s">
        <v>4177</v>
      </c>
      <c r="C2647" s="15" t="s">
        <v>4178</v>
      </c>
      <c r="D2647" s="15" t="s">
        <v>1007</v>
      </c>
      <c r="E2647" s="15" t="s">
        <v>4183</v>
      </c>
    </row>
    <row r="2648" ht="15.95" spans="2:2">
      <c r="B2648" s="122" t="s">
        <v>4184</v>
      </c>
    </row>
    <row r="2649" spans="2:5">
      <c r="B2649" s="15" t="s">
        <v>4185</v>
      </c>
      <c r="C2649" s="15" t="s">
        <v>4186</v>
      </c>
      <c r="D2649" s="15" t="s">
        <v>1248</v>
      </c>
      <c r="E2649" s="15" t="s">
        <v>4187</v>
      </c>
    </row>
    <row r="2650" spans="2:5">
      <c r="B2650" s="15" t="s">
        <v>4185</v>
      </c>
      <c r="C2650" s="15" t="s">
        <v>4186</v>
      </c>
      <c r="D2650" s="15" t="s">
        <v>4188</v>
      </c>
      <c r="E2650" s="15" t="s">
        <v>4189</v>
      </c>
    </row>
    <row r="2651" spans="2:5">
      <c r="B2651" s="15" t="s">
        <v>4185</v>
      </c>
      <c r="C2651" s="15" t="s">
        <v>4186</v>
      </c>
      <c r="D2651" s="15" t="s">
        <v>4190</v>
      </c>
      <c r="E2651" s="15" t="s">
        <v>4191</v>
      </c>
    </row>
    <row r="2652" spans="2:5">
      <c r="B2652" s="15" t="s">
        <v>4185</v>
      </c>
      <c r="C2652" s="15" t="s">
        <v>4186</v>
      </c>
      <c r="D2652" s="15" t="s">
        <v>4192</v>
      </c>
      <c r="E2652" s="15" t="s">
        <v>4193</v>
      </c>
    </row>
    <row r="2653" spans="2:5">
      <c r="B2653" s="15" t="s">
        <v>4185</v>
      </c>
      <c r="C2653" s="15" t="s">
        <v>4186</v>
      </c>
      <c r="D2653" s="15" t="s">
        <v>4194</v>
      </c>
      <c r="E2653" s="15" t="s">
        <v>1441</v>
      </c>
    </row>
    <row r="2654" spans="2:5">
      <c r="B2654" s="15" t="s">
        <v>4185</v>
      </c>
      <c r="C2654" s="15" t="s">
        <v>4186</v>
      </c>
      <c r="D2654" s="15" t="s">
        <v>4195</v>
      </c>
      <c r="E2654" s="15" t="s">
        <v>4196</v>
      </c>
    </row>
    <row r="2655" spans="2:5">
      <c r="B2655" s="15" t="s">
        <v>4185</v>
      </c>
      <c r="C2655" s="15" t="s">
        <v>4186</v>
      </c>
      <c r="D2655" s="15" t="s">
        <v>4197</v>
      </c>
      <c r="E2655" s="15" t="s">
        <v>1256</v>
      </c>
    </row>
    <row r="2656" spans="2:5">
      <c r="B2656" s="15" t="s">
        <v>4185</v>
      </c>
      <c r="C2656" s="15" t="s">
        <v>4186</v>
      </c>
      <c r="D2656" s="15" t="s">
        <v>4198</v>
      </c>
      <c r="E2656" s="15" t="s">
        <v>4199</v>
      </c>
    </row>
    <row r="2657" spans="2:5">
      <c r="B2657" s="15" t="s">
        <v>4185</v>
      </c>
      <c r="C2657" s="15" t="s">
        <v>4186</v>
      </c>
      <c r="D2657" s="15" t="s">
        <v>4200</v>
      </c>
      <c r="E2657" s="15" t="s">
        <v>4201</v>
      </c>
    </row>
    <row r="2658" spans="2:5">
      <c r="B2658" s="15" t="s">
        <v>4185</v>
      </c>
      <c r="C2658" s="15" t="s">
        <v>4186</v>
      </c>
      <c r="D2658" s="15" t="s">
        <v>4202</v>
      </c>
      <c r="E2658" s="15" t="s">
        <v>4203</v>
      </c>
    </row>
    <row r="2659" ht="15.95" spans="2:2">
      <c r="B2659" s="122" t="s">
        <v>4204</v>
      </c>
    </row>
    <row r="2660" spans="2:5">
      <c r="B2660" s="15" t="s">
        <v>4205</v>
      </c>
      <c r="C2660" s="15" t="s">
        <v>4206</v>
      </c>
      <c r="D2660" s="15" t="s">
        <v>1432</v>
      </c>
      <c r="E2660" s="15" t="s">
        <v>4207</v>
      </c>
    </row>
    <row r="2661" spans="2:5">
      <c r="B2661" s="15" t="s">
        <v>4205</v>
      </c>
      <c r="C2661" s="15" t="s">
        <v>4206</v>
      </c>
      <c r="D2661" s="15" t="s">
        <v>723</v>
      </c>
      <c r="E2661" s="15" t="s">
        <v>4208</v>
      </c>
    </row>
    <row r="2662" ht="15.95" spans="2:2">
      <c r="B2662" s="122" t="s">
        <v>4209</v>
      </c>
    </row>
    <row r="2663" spans="2:5">
      <c r="B2663" s="15" t="s">
        <v>4210</v>
      </c>
      <c r="C2663" s="15" t="s">
        <v>2594</v>
      </c>
      <c r="D2663" s="15" t="s">
        <v>770</v>
      </c>
      <c r="E2663" s="15" t="s">
        <v>4211</v>
      </c>
    </row>
    <row r="2664" spans="2:5">
      <c r="B2664" s="15" t="s">
        <v>4210</v>
      </c>
      <c r="C2664" s="15" t="s">
        <v>2594</v>
      </c>
      <c r="D2664" s="15" t="s">
        <v>772</v>
      </c>
      <c r="E2664" s="15" t="s">
        <v>4212</v>
      </c>
    </row>
    <row r="2665" spans="2:5">
      <c r="B2665" s="15" t="s">
        <v>4210</v>
      </c>
      <c r="C2665" s="15" t="s">
        <v>2594</v>
      </c>
      <c r="D2665" s="15" t="s">
        <v>774</v>
      </c>
      <c r="E2665" s="15" t="s">
        <v>4213</v>
      </c>
    </row>
    <row r="2666" spans="2:5">
      <c r="B2666" s="15" t="s">
        <v>4210</v>
      </c>
      <c r="C2666" s="15" t="s">
        <v>2594</v>
      </c>
      <c r="D2666" s="15" t="s">
        <v>828</v>
      </c>
      <c r="E2666" s="15" t="s">
        <v>2485</v>
      </c>
    </row>
    <row r="2667" spans="2:5">
      <c r="B2667" s="15" t="s">
        <v>4210</v>
      </c>
      <c r="C2667" s="15" t="s">
        <v>2594</v>
      </c>
      <c r="D2667" s="15" t="s">
        <v>901</v>
      </c>
      <c r="E2667" s="15" t="s">
        <v>4214</v>
      </c>
    </row>
    <row r="2668" spans="2:5">
      <c r="B2668" s="15" t="s">
        <v>4210</v>
      </c>
      <c r="C2668" s="15" t="s">
        <v>2594</v>
      </c>
      <c r="D2668" s="15" t="s">
        <v>776</v>
      </c>
      <c r="E2668" s="15" t="s">
        <v>235</v>
      </c>
    </row>
    <row r="2669" ht="15.95" spans="2:2">
      <c r="B2669" s="122" t="s">
        <v>4215</v>
      </c>
    </row>
    <row r="2670" spans="2:5">
      <c r="B2670" s="15" t="s">
        <v>4216</v>
      </c>
      <c r="C2670" s="15" t="s">
        <v>4217</v>
      </c>
      <c r="D2670" s="15" t="s">
        <v>770</v>
      </c>
      <c r="E2670" s="15" t="s">
        <v>4218</v>
      </c>
    </row>
    <row r="2671" spans="2:5">
      <c r="B2671" s="15" t="s">
        <v>4216</v>
      </c>
      <c r="C2671" s="15" t="s">
        <v>4217</v>
      </c>
      <c r="D2671" s="15" t="s">
        <v>772</v>
      </c>
      <c r="E2671" s="15" t="s">
        <v>4219</v>
      </c>
    </row>
    <row r="2672" spans="2:5">
      <c r="B2672" s="15" t="s">
        <v>4216</v>
      </c>
      <c r="C2672" s="15" t="s">
        <v>4217</v>
      </c>
      <c r="D2672" s="15" t="s">
        <v>774</v>
      </c>
      <c r="E2672" s="15" t="s">
        <v>4220</v>
      </c>
    </row>
    <row r="2673" ht="15.95" spans="2:2">
      <c r="B2673" s="122" t="s">
        <v>4221</v>
      </c>
    </row>
    <row r="2674" spans="2:5">
      <c r="B2674" s="15" t="s">
        <v>4222</v>
      </c>
      <c r="C2674" s="15" t="s">
        <v>4223</v>
      </c>
      <c r="D2674" s="15" t="s">
        <v>1267</v>
      </c>
      <c r="E2674" s="15" t="s">
        <v>1268</v>
      </c>
    </row>
    <row r="2675" spans="2:5">
      <c r="B2675" s="15" t="s">
        <v>4222</v>
      </c>
      <c r="C2675" s="15" t="s">
        <v>4223</v>
      </c>
      <c r="D2675" s="15" t="s">
        <v>1269</v>
      </c>
      <c r="E2675" s="15" t="s">
        <v>1270</v>
      </c>
    </row>
    <row r="2676" ht="15.95" spans="2:2">
      <c r="B2676" s="122" t="s">
        <v>4224</v>
      </c>
    </row>
    <row r="2677" spans="2:5">
      <c r="B2677" s="15" t="s">
        <v>4225</v>
      </c>
      <c r="C2677" s="15" t="s">
        <v>4226</v>
      </c>
      <c r="D2677" s="15" t="s">
        <v>917</v>
      </c>
      <c r="E2677" s="15" t="s">
        <v>4227</v>
      </c>
    </row>
    <row r="2678" spans="2:5">
      <c r="B2678" s="15" t="s">
        <v>4225</v>
      </c>
      <c r="C2678" s="15" t="s">
        <v>4226</v>
      </c>
      <c r="D2678" s="15" t="s">
        <v>919</v>
      </c>
      <c r="E2678" s="15" t="s">
        <v>4228</v>
      </c>
    </row>
    <row r="2679" spans="2:5">
      <c r="B2679" s="15" t="s">
        <v>4225</v>
      </c>
      <c r="C2679" s="15" t="s">
        <v>4226</v>
      </c>
      <c r="D2679" s="15" t="s">
        <v>1091</v>
      </c>
      <c r="E2679" s="15" t="s">
        <v>4229</v>
      </c>
    </row>
    <row r="2680" spans="2:5">
      <c r="B2680" s="15" t="s">
        <v>4225</v>
      </c>
      <c r="C2680" s="15" t="s">
        <v>4226</v>
      </c>
      <c r="D2680" s="15" t="s">
        <v>921</v>
      </c>
      <c r="E2680" s="15" t="s">
        <v>4230</v>
      </c>
    </row>
    <row r="2681" spans="2:5">
      <c r="B2681" s="15" t="s">
        <v>4225</v>
      </c>
      <c r="C2681" s="15" t="s">
        <v>4226</v>
      </c>
      <c r="D2681" s="15" t="s">
        <v>923</v>
      </c>
      <c r="E2681" s="15" t="s">
        <v>4231</v>
      </c>
    </row>
    <row r="2682" spans="2:5">
      <c r="B2682" s="15" t="s">
        <v>4225</v>
      </c>
      <c r="C2682" s="15" t="s">
        <v>4226</v>
      </c>
      <c r="D2682" s="15" t="s">
        <v>994</v>
      </c>
      <c r="E2682" s="15" t="s">
        <v>1770</v>
      </c>
    </row>
    <row r="2683" spans="2:5">
      <c r="B2683" s="15" t="s">
        <v>4225</v>
      </c>
      <c r="C2683" s="15" t="s">
        <v>4226</v>
      </c>
      <c r="D2683" s="15" t="s">
        <v>996</v>
      </c>
      <c r="E2683" s="15" t="s">
        <v>1771</v>
      </c>
    </row>
    <row r="2684" spans="2:5">
      <c r="B2684" s="15" t="s">
        <v>4225</v>
      </c>
      <c r="C2684" s="15" t="s">
        <v>4226</v>
      </c>
      <c r="D2684" s="15" t="s">
        <v>998</v>
      </c>
      <c r="E2684" s="15" t="s">
        <v>4232</v>
      </c>
    </row>
    <row r="2685" spans="2:5">
      <c r="B2685" s="15" t="s">
        <v>4225</v>
      </c>
      <c r="C2685" s="15" t="s">
        <v>4226</v>
      </c>
      <c r="D2685" s="15" t="s">
        <v>4233</v>
      </c>
      <c r="E2685" s="15" t="s">
        <v>4234</v>
      </c>
    </row>
    <row r="2686" spans="2:5">
      <c r="B2686" s="15" t="s">
        <v>4225</v>
      </c>
      <c r="C2686" s="15" t="s">
        <v>4226</v>
      </c>
      <c r="D2686" s="15" t="s">
        <v>4235</v>
      </c>
      <c r="E2686" s="15" t="s">
        <v>4236</v>
      </c>
    </row>
    <row r="2687" spans="2:5">
      <c r="B2687" s="15" t="s">
        <v>4225</v>
      </c>
      <c r="C2687" s="15" t="s">
        <v>4226</v>
      </c>
      <c r="D2687" s="15" t="s">
        <v>4237</v>
      </c>
      <c r="E2687" s="15" t="s">
        <v>4238</v>
      </c>
    </row>
    <row r="2688" spans="2:5">
      <c r="B2688" s="15" t="s">
        <v>4225</v>
      </c>
      <c r="C2688" s="15" t="s">
        <v>4226</v>
      </c>
      <c r="D2688" s="15" t="s">
        <v>4239</v>
      </c>
      <c r="E2688" s="15" t="s">
        <v>4240</v>
      </c>
    </row>
    <row r="2689" spans="2:5">
      <c r="B2689" s="15" t="s">
        <v>4225</v>
      </c>
      <c r="C2689" s="15" t="s">
        <v>4226</v>
      </c>
      <c r="D2689" s="15" t="s">
        <v>1001</v>
      </c>
      <c r="E2689" s="15" t="s">
        <v>4241</v>
      </c>
    </row>
    <row r="2690" spans="2:5">
      <c r="B2690" s="15" t="s">
        <v>4225</v>
      </c>
      <c r="C2690" s="15" t="s">
        <v>4226</v>
      </c>
      <c r="D2690" s="15" t="s">
        <v>1003</v>
      </c>
      <c r="E2690" s="15" t="s">
        <v>4242</v>
      </c>
    </row>
    <row r="2691" ht="15.95" spans="2:2">
      <c r="B2691" s="122" t="s">
        <v>4243</v>
      </c>
    </row>
    <row r="2692" spans="2:5">
      <c r="B2692" s="15" t="s">
        <v>4244</v>
      </c>
      <c r="C2692" s="15" t="s">
        <v>4245</v>
      </c>
      <c r="D2692" s="15" t="s">
        <v>770</v>
      </c>
      <c r="E2692" s="15" t="s">
        <v>4246</v>
      </c>
    </row>
    <row r="2693" spans="2:5">
      <c r="B2693" s="15" t="s">
        <v>4244</v>
      </c>
      <c r="C2693" s="15" t="s">
        <v>4245</v>
      </c>
      <c r="D2693" s="15" t="s">
        <v>772</v>
      </c>
      <c r="E2693" s="15" t="s">
        <v>4247</v>
      </c>
    </row>
    <row r="2694" spans="2:5">
      <c r="B2694" s="15" t="s">
        <v>4244</v>
      </c>
      <c r="C2694" s="15" t="s">
        <v>4245</v>
      </c>
      <c r="D2694" s="15" t="s">
        <v>774</v>
      </c>
      <c r="E2694" s="15" t="s">
        <v>4248</v>
      </c>
    </row>
    <row r="2695" spans="2:5">
      <c r="B2695" s="15" t="s">
        <v>4244</v>
      </c>
      <c r="C2695" s="15" t="s">
        <v>4245</v>
      </c>
      <c r="D2695" s="15" t="s">
        <v>828</v>
      </c>
      <c r="E2695" s="15" t="s">
        <v>4249</v>
      </c>
    </row>
    <row r="2696" spans="2:5">
      <c r="B2696" s="15" t="s">
        <v>4244</v>
      </c>
      <c r="C2696" s="15" t="s">
        <v>4245</v>
      </c>
      <c r="D2696" s="15" t="s">
        <v>1145</v>
      </c>
      <c r="E2696" s="15" t="s">
        <v>235</v>
      </c>
    </row>
    <row r="2697" ht="15.95" spans="2:2">
      <c r="B2697" s="122" t="s">
        <v>4250</v>
      </c>
    </row>
    <row r="2698" spans="2:5">
      <c r="B2698" s="15" t="s">
        <v>4251</v>
      </c>
      <c r="C2698" s="15" t="s">
        <v>4251</v>
      </c>
      <c r="D2698" s="15" t="s">
        <v>723</v>
      </c>
      <c r="E2698" s="15" t="s">
        <v>1643</v>
      </c>
    </row>
    <row r="2699" spans="2:5">
      <c r="B2699" s="15" t="s">
        <v>4251</v>
      </c>
      <c r="C2699" s="15" t="s">
        <v>4251</v>
      </c>
      <c r="D2699" s="15" t="s">
        <v>725</v>
      </c>
      <c r="E2699" s="15" t="s">
        <v>862</v>
      </c>
    </row>
    <row r="2700" ht="15.95" spans="2:2">
      <c r="B2700" s="122" t="s">
        <v>4252</v>
      </c>
    </row>
    <row r="2701" spans="2:5">
      <c r="B2701" s="15" t="s">
        <v>4253</v>
      </c>
      <c r="C2701" s="15" t="s">
        <v>4254</v>
      </c>
      <c r="D2701" s="15" t="s">
        <v>4255</v>
      </c>
      <c r="E2701" s="15" t="s">
        <v>4256</v>
      </c>
    </row>
    <row r="2702" spans="2:5">
      <c r="B2702" s="15" t="s">
        <v>4253</v>
      </c>
      <c r="C2702" s="15" t="s">
        <v>4254</v>
      </c>
      <c r="D2702" s="15" t="s">
        <v>4257</v>
      </c>
      <c r="E2702" s="15" t="s">
        <v>4258</v>
      </c>
    </row>
    <row r="2703" spans="2:5">
      <c r="B2703" s="15" t="s">
        <v>4253</v>
      </c>
      <c r="C2703" s="15" t="s">
        <v>4254</v>
      </c>
      <c r="D2703" s="15" t="s">
        <v>4259</v>
      </c>
      <c r="E2703" s="15" t="s">
        <v>4260</v>
      </c>
    </row>
    <row r="2704" spans="2:5">
      <c r="B2704" s="15" t="s">
        <v>4253</v>
      </c>
      <c r="C2704" s="15" t="s">
        <v>4254</v>
      </c>
      <c r="D2704" s="15" t="s">
        <v>4261</v>
      </c>
      <c r="E2704" s="15" t="s">
        <v>4262</v>
      </c>
    </row>
    <row r="2705" spans="2:5">
      <c r="B2705" s="15" t="s">
        <v>4253</v>
      </c>
      <c r="C2705" s="15" t="s">
        <v>4254</v>
      </c>
      <c r="D2705" s="15" t="s">
        <v>4263</v>
      </c>
      <c r="E2705" s="15" t="s">
        <v>3768</v>
      </c>
    </row>
    <row r="2706" spans="2:5">
      <c r="B2706" s="15" t="s">
        <v>4253</v>
      </c>
      <c r="C2706" s="15" t="s">
        <v>4254</v>
      </c>
      <c r="D2706" s="15" t="s">
        <v>3769</v>
      </c>
      <c r="E2706" s="15" t="s">
        <v>3770</v>
      </c>
    </row>
    <row r="2707" spans="2:5">
      <c r="B2707" s="15" t="s">
        <v>4253</v>
      </c>
      <c r="C2707" s="15" t="s">
        <v>4254</v>
      </c>
      <c r="D2707" s="15" t="s">
        <v>3306</v>
      </c>
      <c r="E2707" s="15" t="s">
        <v>3771</v>
      </c>
    </row>
    <row r="2708" ht="15.95" spans="2:2">
      <c r="B2708" s="122" t="s">
        <v>4264</v>
      </c>
    </row>
    <row r="2709" spans="2:5">
      <c r="B2709" s="15" t="s">
        <v>4265</v>
      </c>
      <c r="C2709" s="15" t="s">
        <v>4266</v>
      </c>
      <c r="D2709" s="15" t="s">
        <v>723</v>
      </c>
      <c r="E2709" s="15" t="s">
        <v>1050</v>
      </c>
    </row>
    <row r="2710" spans="2:5">
      <c r="B2710" s="15" t="s">
        <v>4265</v>
      </c>
      <c r="C2710" s="15" t="s">
        <v>4266</v>
      </c>
      <c r="D2710" s="15" t="s">
        <v>725</v>
      </c>
      <c r="E2710" s="15" t="s">
        <v>4267</v>
      </c>
    </row>
    <row r="2711" spans="2:5">
      <c r="B2711" s="15" t="s">
        <v>4265</v>
      </c>
      <c r="C2711" s="15" t="s">
        <v>4266</v>
      </c>
      <c r="D2711" s="15" t="s">
        <v>727</v>
      </c>
      <c r="E2711" s="15" t="s">
        <v>1052</v>
      </c>
    </row>
    <row r="2712" ht="15.95" spans="2:2">
      <c r="B2712" s="122" t="s">
        <v>4268</v>
      </c>
    </row>
    <row r="2713" spans="2:5">
      <c r="B2713" s="15" t="s">
        <v>4269</v>
      </c>
      <c r="C2713" s="15" t="s">
        <v>4270</v>
      </c>
      <c r="D2713" s="15" t="s">
        <v>917</v>
      </c>
      <c r="E2713" s="15" t="s">
        <v>953</v>
      </c>
    </row>
    <row r="2714" spans="2:5">
      <c r="B2714" s="15" t="s">
        <v>4269</v>
      </c>
      <c r="C2714" s="15" t="s">
        <v>4270</v>
      </c>
      <c r="D2714" s="15" t="s">
        <v>919</v>
      </c>
      <c r="E2714" s="15" t="s">
        <v>954</v>
      </c>
    </row>
    <row r="2715" spans="2:5">
      <c r="B2715" s="15" t="s">
        <v>4269</v>
      </c>
      <c r="C2715" s="15" t="s">
        <v>4270</v>
      </c>
      <c r="D2715" s="15" t="s">
        <v>955</v>
      </c>
      <c r="E2715" s="15" t="s">
        <v>956</v>
      </c>
    </row>
    <row r="2716" ht="15.95" spans="2:2">
      <c r="B2716" s="122" t="s">
        <v>4271</v>
      </c>
    </row>
    <row r="2717" spans="2:5">
      <c r="B2717" s="15" t="s">
        <v>4272</v>
      </c>
      <c r="C2717" s="15" t="s">
        <v>4273</v>
      </c>
      <c r="D2717" s="15" t="s">
        <v>723</v>
      </c>
      <c r="E2717" s="15" t="s">
        <v>3061</v>
      </c>
    </row>
    <row r="2718" spans="2:5">
      <c r="B2718" s="15" t="s">
        <v>4272</v>
      </c>
      <c r="C2718" s="15" t="s">
        <v>4273</v>
      </c>
      <c r="D2718" s="15" t="s">
        <v>725</v>
      </c>
      <c r="E2718" s="15" t="s">
        <v>4274</v>
      </c>
    </row>
    <row r="2719" ht="15.95" spans="2:2">
      <c r="B2719" s="122" t="s">
        <v>4275</v>
      </c>
    </row>
    <row r="2720" spans="2:5">
      <c r="B2720" s="15" t="s">
        <v>4276</v>
      </c>
      <c r="C2720" s="15" t="s">
        <v>4277</v>
      </c>
      <c r="D2720" s="15" t="s">
        <v>933</v>
      </c>
      <c r="E2720" s="15" t="s">
        <v>4278</v>
      </c>
    </row>
    <row r="2721" ht="15.95" spans="2:2">
      <c r="B2721" s="122" t="s">
        <v>4279</v>
      </c>
    </row>
    <row r="2722" spans="2:5">
      <c r="B2722" s="15" t="s">
        <v>4280</v>
      </c>
      <c r="C2722" s="15" t="s">
        <v>4280</v>
      </c>
      <c r="D2722" s="15" t="s">
        <v>770</v>
      </c>
      <c r="E2722" s="15" t="s">
        <v>4281</v>
      </c>
    </row>
    <row r="2723" spans="2:5">
      <c r="B2723" s="15" t="s">
        <v>4280</v>
      </c>
      <c r="C2723" s="15" t="s">
        <v>4280</v>
      </c>
      <c r="D2723" s="15" t="s">
        <v>772</v>
      </c>
      <c r="E2723" s="15" t="s">
        <v>4282</v>
      </c>
    </row>
    <row r="2724" spans="2:5">
      <c r="B2724" s="15" t="s">
        <v>4280</v>
      </c>
      <c r="C2724" s="15" t="s">
        <v>4280</v>
      </c>
      <c r="D2724" s="15" t="s">
        <v>774</v>
      </c>
      <c r="E2724" s="15" t="s">
        <v>4283</v>
      </c>
    </row>
    <row r="2725" spans="2:5">
      <c r="B2725" s="15" t="s">
        <v>4280</v>
      </c>
      <c r="C2725" s="15" t="s">
        <v>4280</v>
      </c>
      <c r="D2725" s="15" t="s">
        <v>828</v>
      </c>
      <c r="E2725" s="15" t="s">
        <v>4284</v>
      </c>
    </row>
    <row r="2726" spans="2:5">
      <c r="B2726" s="15" t="s">
        <v>4280</v>
      </c>
      <c r="C2726" s="15" t="s">
        <v>4280</v>
      </c>
      <c r="D2726" s="15" t="s">
        <v>901</v>
      </c>
      <c r="E2726" s="15" t="s">
        <v>4285</v>
      </c>
    </row>
    <row r="2727" spans="2:5">
      <c r="B2727" s="15" t="s">
        <v>4280</v>
      </c>
      <c r="C2727" s="15" t="s">
        <v>4280</v>
      </c>
      <c r="D2727" s="15" t="s">
        <v>776</v>
      </c>
      <c r="E2727" s="15" t="s">
        <v>4286</v>
      </c>
    </row>
    <row r="2728" spans="2:5">
      <c r="B2728" s="15" t="s">
        <v>4280</v>
      </c>
      <c r="C2728" s="15" t="s">
        <v>4280</v>
      </c>
      <c r="D2728" s="15" t="s">
        <v>1290</v>
      </c>
      <c r="E2728" s="15" t="s">
        <v>4287</v>
      </c>
    </row>
    <row r="2729" spans="2:5">
      <c r="B2729" s="15" t="s">
        <v>4280</v>
      </c>
      <c r="C2729" s="15" t="s">
        <v>4280</v>
      </c>
      <c r="D2729" s="15" t="s">
        <v>1409</v>
      </c>
      <c r="E2729" s="15" t="s">
        <v>4288</v>
      </c>
    </row>
    <row r="2730" spans="2:5">
      <c r="B2730" s="15" t="s">
        <v>4280</v>
      </c>
      <c r="C2730" s="15" t="s">
        <v>4280</v>
      </c>
      <c r="D2730" s="15" t="s">
        <v>1411</v>
      </c>
      <c r="E2730" s="15" t="s">
        <v>4289</v>
      </c>
    </row>
    <row r="2731" spans="2:5">
      <c r="B2731" s="15" t="s">
        <v>4280</v>
      </c>
      <c r="C2731" s="15" t="s">
        <v>4280</v>
      </c>
      <c r="D2731" s="15" t="s">
        <v>933</v>
      </c>
      <c r="E2731" s="15" t="s">
        <v>4290</v>
      </c>
    </row>
    <row r="2732" ht="15.95" spans="2:2">
      <c r="B2732" s="122" t="s">
        <v>4291</v>
      </c>
    </row>
    <row r="2733" spans="2:5">
      <c r="B2733" s="15" t="s">
        <v>4292</v>
      </c>
      <c r="C2733" s="15" t="s">
        <v>4293</v>
      </c>
      <c r="D2733" s="15" t="s">
        <v>770</v>
      </c>
      <c r="E2733" s="15" t="s">
        <v>2448</v>
      </c>
    </row>
    <row r="2734" spans="2:5">
      <c r="B2734" s="15" t="s">
        <v>4292</v>
      </c>
      <c r="C2734" s="15" t="s">
        <v>4293</v>
      </c>
      <c r="D2734" s="15" t="s">
        <v>772</v>
      </c>
      <c r="E2734" s="15" t="s">
        <v>4294</v>
      </c>
    </row>
    <row r="2735" spans="2:5">
      <c r="B2735" s="15" t="s">
        <v>4292</v>
      </c>
      <c r="C2735" s="15" t="s">
        <v>4293</v>
      </c>
      <c r="D2735" s="15" t="s">
        <v>774</v>
      </c>
      <c r="E2735" s="15" t="s">
        <v>235</v>
      </c>
    </row>
    <row r="2736" ht="15.95" spans="2:2">
      <c r="B2736" s="122" t="s">
        <v>4295</v>
      </c>
    </row>
    <row r="2737" spans="2:5">
      <c r="B2737" s="15" t="s">
        <v>4296</v>
      </c>
      <c r="C2737" s="15" t="s">
        <v>4297</v>
      </c>
      <c r="D2737" s="15" t="s">
        <v>770</v>
      </c>
      <c r="E2737" s="15" t="s">
        <v>4298</v>
      </c>
    </row>
    <row r="2738" spans="2:5">
      <c r="B2738" s="15" t="s">
        <v>4296</v>
      </c>
      <c r="C2738" s="15" t="s">
        <v>4297</v>
      </c>
      <c r="D2738" s="15" t="s">
        <v>772</v>
      </c>
      <c r="E2738" s="15" t="s">
        <v>4299</v>
      </c>
    </row>
    <row r="2739" spans="2:5">
      <c r="B2739" s="15" t="s">
        <v>4296</v>
      </c>
      <c r="C2739" s="15" t="s">
        <v>4297</v>
      </c>
      <c r="D2739" s="15" t="s">
        <v>774</v>
      </c>
      <c r="E2739" s="15" t="s">
        <v>4300</v>
      </c>
    </row>
    <row r="2740" ht="15.95" spans="2:2">
      <c r="B2740" s="122" t="s">
        <v>4301</v>
      </c>
    </row>
    <row r="2741" spans="2:5">
      <c r="B2741" s="15" t="s">
        <v>4302</v>
      </c>
      <c r="C2741" s="15" t="s">
        <v>4303</v>
      </c>
      <c r="D2741" s="15" t="s">
        <v>770</v>
      </c>
      <c r="E2741" s="15" t="s">
        <v>4304</v>
      </c>
    </row>
    <row r="2742" spans="2:5">
      <c r="B2742" s="15" t="s">
        <v>4302</v>
      </c>
      <c r="C2742" s="15" t="s">
        <v>4303</v>
      </c>
      <c r="D2742" s="15" t="s">
        <v>772</v>
      </c>
      <c r="E2742" s="15" t="s">
        <v>4305</v>
      </c>
    </row>
    <row r="2743" spans="2:5">
      <c r="B2743" s="15" t="s">
        <v>4302</v>
      </c>
      <c r="C2743" s="15" t="s">
        <v>4303</v>
      </c>
      <c r="D2743" s="15" t="s">
        <v>774</v>
      </c>
      <c r="E2743" s="15" t="s">
        <v>4306</v>
      </c>
    </row>
    <row r="2744" spans="2:5">
      <c r="B2744" s="15" t="s">
        <v>4302</v>
      </c>
      <c r="C2744" s="15" t="s">
        <v>4303</v>
      </c>
      <c r="D2744" s="15" t="s">
        <v>828</v>
      </c>
      <c r="E2744" s="15" t="s">
        <v>4307</v>
      </c>
    </row>
    <row r="2745" spans="2:5">
      <c r="B2745" s="15" t="s">
        <v>4302</v>
      </c>
      <c r="C2745" s="15" t="s">
        <v>4303</v>
      </c>
      <c r="D2745" s="15" t="s">
        <v>901</v>
      </c>
      <c r="E2745" s="15" t="s">
        <v>4308</v>
      </c>
    </row>
    <row r="2746" spans="2:5">
      <c r="B2746" s="15" t="s">
        <v>4302</v>
      </c>
      <c r="C2746" s="15" t="s">
        <v>4303</v>
      </c>
      <c r="D2746" s="15" t="s">
        <v>776</v>
      </c>
      <c r="E2746" s="15" t="s">
        <v>4309</v>
      </c>
    </row>
    <row r="2747" spans="2:5">
      <c r="B2747" s="15" t="s">
        <v>4302</v>
      </c>
      <c r="C2747" s="15" t="s">
        <v>4303</v>
      </c>
      <c r="D2747" s="15" t="s">
        <v>1290</v>
      </c>
      <c r="E2747" s="15" t="s">
        <v>4310</v>
      </c>
    </row>
    <row r="2748" spans="2:5">
      <c r="B2748" s="15" t="s">
        <v>4302</v>
      </c>
      <c r="C2748" s="15" t="s">
        <v>4303</v>
      </c>
      <c r="D2748" s="15" t="s">
        <v>1409</v>
      </c>
      <c r="E2748" s="15" t="s">
        <v>4311</v>
      </c>
    </row>
    <row r="2749" spans="2:5">
      <c r="B2749" s="15" t="s">
        <v>4302</v>
      </c>
      <c r="C2749" s="15" t="s">
        <v>4303</v>
      </c>
      <c r="D2749" s="15" t="s">
        <v>1411</v>
      </c>
      <c r="E2749" s="15" t="s">
        <v>4312</v>
      </c>
    </row>
    <row r="2750" spans="2:5">
      <c r="B2750" s="15" t="s">
        <v>4302</v>
      </c>
      <c r="C2750" s="15" t="s">
        <v>4303</v>
      </c>
      <c r="D2750" s="15" t="s">
        <v>933</v>
      </c>
      <c r="E2750" s="15" t="s">
        <v>4313</v>
      </c>
    </row>
    <row r="2751" spans="2:5">
      <c r="B2751" s="15" t="s">
        <v>4302</v>
      </c>
      <c r="C2751" s="15" t="s">
        <v>4303</v>
      </c>
      <c r="D2751" s="15" t="s">
        <v>1143</v>
      </c>
      <c r="E2751" s="15" t="s">
        <v>235</v>
      </c>
    </row>
    <row r="2752" ht="15.95" spans="2:2">
      <c r="B2752" s="122" t="s">
        <v>4314</v>
      </c>
    </row>
    <row r="2753" spans="2:5">
      <c r="B2753" s="15" t="s">
        <v>4315</v>
      </c>
      <c r="C2753" s="15" t="s">
        <v>1859</v>
      </c>
      <c r="D2753" s="15" t="s">
        <v>1432</v>
      </c>
      <c r="E2753" s="15" t="s">
        <v>1861</v>
      </c>
    </row>
    <row r="2754" spans="2:5">
      <c r="B2754" s="15" t="s">
        <v>4315</v>
      </c>
      <c r="C2754" s="15" t="s">
        <v>1859</v>
      </c>
      <c r="D2754" s="15" t="s">
        <v>723</v>
      </c>
      <c r="E2754" s="15" t="s">
        <v>1860</v>
      </c>
    </row>
    <row r="2755" ht="15.95" spans="2:2">
      <c r="B2755" s="122" t="s">
        <v>4316</v>
      </c>
    </row>
    <row r="2756" spans="2:5">
      <c r="B2756" s="15" t="s">
        <v>4317</v>
      </c>
      <c r="C2756" s="15" t="s">
        <v>4317</v>
      </c>
      <c r="D2756" s="15" t="s">
        <v>723</v>
      </c>
      <c r="E2756" s="15" t="s">
        <v>1643</v>
      </c>
    </row>
    <row r="2757" spans="2:5">
      <c r="B2757" s="15" t="s">
        <v>4317</v>
      </c>
      <c r="C2757" s="15" t="s">
        <v>4317</v>
      </c>
      <c r="D2757" s="15" t="s">
        <v>725</v>
      </c>
      <c r="E2757" s="15" t="s">
        <v>862</v>
      </c>
    </row>
    <row r="2758" ht="15.95" spans="2:2">
      <c r="B2758" s="122" t="s">
        <v>4318</v>
      </c>
    </row>
    <row r="2759" spans="2:5">
      <c r="B2759" s="15" t="s">
        <v>4319</v>
      </c>
      <c r="C2759" s="15" t="s">
        <v>4320</v>
      </c>
      <c r="D2759" s="15" t="s">
        <v>635</v>
      </c>
      <c r="E2759" s="15" t="s">
        <v>4321</v>
      </c>
    </row>
    <row r="2760" spans="2:5">
      <c r="B2760" s="15" t="s">
        <v>4319</v>
      </c>
      <c r="C2760" s="15" t="s">
        <v>4320</v>
      </c>
      <c r="D2760" s="15" t="s">
        <v>2972</v>
      </c>
      <c r="E2760" s="15" t="s">
        <v>2128</v>
      </c>
    </row>
    <row r="2761" spans="2:5">
      <c r="B2761" s="15" t="s">
        <v>4319</v>
      </c>
      <c r="C2761" s="15" t="s">
        <v>4320</v>
      </c>
      <c r="D2761" s="15" t="s">
        <v>4322</v>
      </c>
      <c r="E2761" s="15" t="s">
        <v>4323</v>
      </c>
    </row>
    <row r="2762" spans="2:5">
      <c r="B2762" s="15" t="s">
        <v>4319</v>
      </c>
      <c r="C2762" s="15" t="s">
        <v>4320</v>
      </c>
      <c r="D2762" s="15" t="s">
        <v>4324</v>
      </c>
      <c r="E2762" s="15" t="s">
        <v>4325</v>
      </c>
    </row>
    <row r="2763" spans="2:5">
      <c r="B2763" s="15" t="s">
        <v>4319</v>
      </c>
      <c r="C2763" s="15" t="s">
        <v>4320</v>
      </c>
      <c r="D2763" s="15" t="s">
        <v>4326</v>
      </c>
      <c r="E2763" s="15" t="s">
        <v>4327</v>
      </c>
    </row>
    <row r="2764" spans="2:5">
      <c r="B2764" s="15" t="s">
        <v>4319</v>
      </c>
      <c r="C2764" s="15" t="s">
        <v>4320</v>
      </c>
      <c r="D2764" s="15" t="s">
        <v>4328</v>
      </c>
      <c r="E2764" s="15" t="s">
        <v>4329</v>
      </c>
    </row>
    <row r="2765" spans="2:5">
      <c r="B2765" s="15" t="s">
        <v>4319</v>
      </c>
      <c r="C2765" s="15" t="s">
        <v>4320</v>
      </c>
      <c r="D2765" s="15" t="s">
        <v>4330</v>
      </c>
      <c r="E2765" s="15" t="s">
        <v>4331</v>
      </c>
    </row>
    <row r="2766" spans="2:5">
      <c r="B2766" s="15" t="s">
        <v>4319</v>
      </c>
      <c r="C2766" s="15" t="s">
        <v>4320</v>
      </c>
      <c r="D2766" s="15" t="s">
        <v>4332</v>
      </c>
      <c r="E2766" s="15" t="s">
        <v>4333</v>
      </c>
    </row>
    <row r="2767" spans="2:5">
      <c r="B2767" s="15" t="s">
        <v>4319</v>
      </c>
      <c r="C2767" s="15" t="s">
        <v>4320</v>
      </c>
      <c r="D2767" s="15" t="s">
        <v>4334</v>
      </c>
      <c r="E2767" s="15" t="s">
        <v>4335</v>
      </c>
    </row>
    <row r="2768" spans="2:5">
      <c r="B2768" s="15" t="s">
        <v>4319</v>
      </c>
      <c r="C2768" s="15" t="s">
        <v>4320</v>
      </c>
      <c r="D2768" s="15" t="s">
        <v>2978</v>
      </c>
      <c r="E2768" s="15" t="s">
        <v>2130</v>
      </c>
    </row>
    <row r="2769" spans="2:5">
      <c r="B2769" s="15" t="s">
        <v>4319</v>
      </c>
      <c r="C2769" s="15" t="s">
        <v>4320</v>
      </c>
      <c r="D2769" s="15" t="s">
        <v>4336</v>
      </c>
      <c r="E2769" s="15" t="s">
        <v>4337</v>
      </c>
    </row>
    <row r="2770" spans="2:5">
      <c r="B2770" s="15" t="s">
        <v>4319</v>
      </c>
      <c r="C2770" s="15" t="s">
        <v>4320</v>
      </c>
      <c r="D2770" s="15" t="s">
        <v>4338</v>
      </c>
      <c r="E2770" s="15" t="s">
        <v>4339</v>
      </c>
    </row>
    <row r="2771" spans="2:5">
      <c r="B2771" s="15" t="s">
        <v>4319</v>
      </c>
      <c r="C2771" s="15" t="s">
        <v>4320</v>
      </c>
      <c r="D2771" s="15" t="s">
        <v>4340</v>
      </c>
      <c r="E2771" s="15" t="s">
        <v>4341</v>
      </c>
    </row>
    <row r="2772" spans="2:5">
      <c r="B2772" s="15" t="s">
        <v>4319</v>
      </c>
      <c r="C2772" s="15" t="s">
        <v>4320</v>
      </c>
      <c r="D2772" s="15" t="s">
        <v>4342</v>
      </c>
      <c r="E2772" s="15" t="s">
        <v>4343</v>
      </c>
    </row>
    <row r="2773" spans="2:5">
      <c r="B2773" s="15" t="s">
        <v>4319</v>
      </c>
      <c r="C2773" s="15" t="s">
        <v>4320</v>
      </c>
      <c r="D2773" s="15" t="s">
        <v>4344</v>
      </c>
      <c r="E2773" s="15" t="s">
        <v>4345</v>
      </c>
    </row>
    <row r="2774" spans="2:5">
      <c r="B2774" s="15" t="s">
        <v>4319</v>
      </c>
      <c r="C2774" s="15" t="s">
        <v>4320</v>
      </c>
      <c r="D2774" s="15" t="s">
        <v>4346</v>
      </c>
      <c r="E2774" s="15" t="s">
        <v>4347</v>
      </c>
    </row>
    <row r="2775" spans="2:5">
      <c r="B2775" s="15" t="s">
        <v>4319</v>
      </c>
      <c r="C2775" s="15" t="s">
        <v>4320</v>
      </c>
      <c r="D2775" s="15" t="s">
        <v>4348</v>
      </c>
      <c r="E2775" s="15" t="s">
        <v>4349</v>
      </c>
    </row>
    <row r="2776" spans="2:5">
      <c r="B2776" s="15" t="s">
        <v>4319</v>
      </c>
      <c r="C2776" s="15" t="s">
        <v>4320</v>
      </c>
      <c r="D2776" s="15" t="s">
        <v>4350</v>
      </c>
      <c r="E2776" s="15" t="s">
        <v>4351</v>
      </c>
    </row>
    <row r="2777" spans="2:5">
      <c r="B2777" s="15" t="s">
        <v>4319</v>
      </c>
      <c r="C2777" s="15" t="s">
        <v>4320</v>
      </c>
      <c r="D2777" s="15" t="s">
        <v>4352</v>
      </c>
      <c r="E2777" s="15" t="s">
        <v>4353</v>
      </c>
    </row>
    <row r="2778" spans="2:5">
      <c r="B2778" s="15" t="s">
        <v>4319</v>
      </c>
      <c r="C2778" s="15" t="s">
        <v>4320</v>
      </c>
      <c r="D2778" s="15" t="s">
        <v>4354</v>
      </c>
      <c r="E2778" s="15" t="s">
        <v>4355</v>
      </c>
    </row>
    <row r="2779" spans="2:5">
      <c r="B2779" s="15" t="s">
        <v>4319</v>
      </c>
      <c r="C2779" s="15" t="s">
        <v>4320</v>
      </c>
      <c r="D2779" s="15" t="s">
        <v>4356</v>
      </c>
      <c r="E2779" s="15" t="s">
        <v>4357</v>
      </c>
    </row>
    <row r="2780" spans="2:5">
      <c r="B2780" s="15" t="s">
        <v>4319</v>
      </c>
      <c r="C2780" s="15" t="s">
        <v>4320</v>
      </c>
      <c r="D2780" s="15" t="s">
        <v>4358</v>
      </c>
      <c r="E2780" s="15" t="s">
        <v>4333</v>
      </c>
    </row>
    <row r="2781" spans="2:5">
      <c r="B2781" s="15" t="s">
        <v>4319</v>
      </c>
      <c r="C2781" s="15" t="s">
        <v>4320</v>
      </c>
      <c r="D2781" s="15" t="s">
        <v>4359</v>
      </c>
      <c r="E2781" s="15" t="s">
        <v>4360</v>
      </c>
    </row>
    <row r="2782" spans="2:5">
      <c r="B2782" s="15" t="s">
        <v>4319</v>
      </c>
      <c r="C2782" s="15" t="s">
        <v>4320</v>
      </c>
      <c r="D2782" s="15" t="s">
        <v>4361</v>
      </c>
      <c r="E2782" s="15" t="s">
        <v>4362</v>
      </c>
    </row>
    <row r="2783" ht="15.95" spans="2:2">
      <c r="B2783" s="122" t="s">
        <v>4363</v>
      </c>
    </row>
    <row r="2784" spans="2:5">
      <c r="B2784" s="15" t="s">
        <v>4364</v>
      </c>
      <c r="C2784" s="15" t="s">
        <v>4364</v>
      </c>
      <c r="D2784" s="15" t="s">
        <v>723</v>
      </c>
      <c r="E2784" s="15" t="s">
        <v>4365</v>
      </c>
    </row>
    <row r="2785" spans="2:5">
      <c r="B2785" s="15" t="s">
        <v>4364</v>
      </c>
      <c r="C2785" s="15" t="s">
        <v>4364</v>
      </c>
      <c r="D2785" s="15" t="s">
        <v>725</v>
      </c>
      <c r="E2785" s="15" t="s">
        <v>4366</v>
      </c>
    </row>
    <row r="2786" ht="15.95" spans="2:2">
      <c r="B2786" s="122" t="s">
        <v>4367</v>
      </c>
    </row>
    <row r="2787" spans="2:5">
      <c r="B2787" s="15" t="s">
        <v>4368</v>
      </c>
      <c r="C2787" s="15" t="s">
        <v>896</v>
      </c>
      <c r="D2787" s="15" t="s">
        <v>723</v>
      </c>
      <c r="E2787" s="15" t="s">
        <v>2427</v>
      </c>
    </row>
    <row r="2788" spans="2:5">
      <c r="B2788" s="15" t="s">
        <v>4368</v>
      </c>
      <c r="C2788" s="15" t="s">
        <v>896</v>
      </c>
      <c r="D2788" s="15" t="s">
        <v>725</v>
      </c>
      <c r="E2788" s="15" t="s">
        <v>2428</v>
      </c>
    </row>
    <row r="2789" spans="2:5">
      <c r="B2789" s="15" t="s">
        <v>4368</v>
      </c>
      <c r="C2789" s="15" t="s">
        <v>896</v>
      </c>
      <c r="D2789" s="15" t="s">
        <v>727</v>
      </c>
      <c r="E2789" s="15" t="s">
        <v>2429</v>
      </c>
    </row>
    <row r="2790" ht="15.95" spans="2:2">
      <c r="B2790" s="122" t="s">
        <v>4369</v>
      </c>
    </row>
    <row r="2791" spans="2:5">
      <c r="B2791" s="15" t="s">
        <v>4370</v>
      </c>
      <c r="C2791" s="15" t="s">
        <v>4371</v>
      </c>
      <c r="D2791" s="15" t="s">
        <v>635</v>
      </c>
      <c r="E2791" s="15" t="s">
        <v>4372</v>
      </c>
    </row>
    <row r="2792" spans="2:5">
      <c r="B2792" s="15" t="s">
        <v>4370</v>
      </c>
      <c r="C2792" s="15" t="s">
        <v>4371</v>
      </c>
      <c r="D2792" s="15" t="s">
        <v>637</v>
      </c>
      <c r="E2792" s="15" t="s">
        <v>4373</v>
      </c>
    </row>
    <row r="2793" spans="2:5">
      <c r="B2793" s="15" t="s">
        <v>4370</v>
      </c>
      <c r="C2793" s="15" t="s">
        <v>4371</v>
      </c>
      <c r="D2793" s="15" t="s">
        <v>641</v>
      </c>
      <c r="E2793" s="15" t="s">
        <v>4374</v>
      </c>
    </row>
    <row r="2794" spans="2:5">
      <c r="B2794" s="15" t="s">
        <v>4370</v>
      </c>
      <c r="C2794" s="15" t="s">
        <v>4371</v>
      </c>
      <c r="D2794" s="15" t="s">
        <v>647</v>
      </c>
      <c r="E2794" s="15" t="s">
        <v>4375</v>
      </c>
    </row>
    <row r="2795" spans="2:5">
      <c r="B2795" s="15" t="s">
        <v>4370</v>
      </c>
      <c r="C2795" s="15" t="s">
        <v>4371</v>
      </c>
      <c r="D2795" s="15" t="s">
        <v>649</v>
      </c>
      <c r="E2795" s="15" t="s">
        <v>4376</v>
      </c>
    </row>
    <row r="2796" ht="15.95" spans="2:2">
      <c r="B2796" s="122" t="s">
        <v>4377</v>
      </c>
    </row>
    <row r="2797" spans="2:5">
      <c r="B2797" s="15" t="s">
        <v>4378</v>
      </c>
      <c r="C2797" s="15" t="s">
        <v>4378</v>
      </c>
      <c r="D2797" s="15" t="s">
        <v>723</v>
      </c>
      <c r="E2797" s="15" t="s">
        <v>4379</v>
      </c>
    </row>
    <row r="2798" spans="2:5">
      <c r="B2798" s="15" t="s">
        <v>4378</v>
      </c>
      <c r="C2798" s="15" t="s">
        <v>4378</v>
      </c>
      <c r="D2798" s="15" t="s">
        <v>725</v>
      </c>
      <c r="E2798" s="15" t="s">
        <v>4380</v>
      </c>
    </row>
    <row r="2799" spans="2:5">
      <c r="B2799" s="15" t="s">
        <v>4378</v>
      </c>
      <c r="C2799" s="15" t="s">
        <v>4378</v>
      </c>
      <c r="D2799" s="15" t="s">
        <v>727</v>
      </c>
      <c r="E2799" s="15" t="s">
        <v>4381</v>
      </c>
    </row>
    <row r="2800" ht="15.95" spans="2:2">
      <c r="B2800" s="122" t="s">
        <v>4382</v>
      </c>
    </row>
    <row r="2801" spans="2:5">
      <c r="B2801" s="15" t="s">
        <v>4383</v>
      </c>
      <c r="C2801" s="15" t="s">
        <v>4383</v>
      </c>
      <c r="D2801" s="15" t="s">
        <v>770</v>
      </c>
      <c r="E2801" s="15" t="s">
        <v>4384</v>
      </c>
    </row>
    <row r="2802" spans="2:5">
      <c r="B2802" s="15" t="s">
        <v>4383</v>
      </c>
      <c r="C2802" s="15" t="s">
        <v>4383</v>
      </c>
      <c r="D2802" s="15" t="s">
        <v>772</v>
      </c>
      <c r="E2802" s="15" t="s">
        <v>4385</v>
      </c>
    </row>
    <row r="2803" spans="2:5">
      <c r="B2803" s="15" t="s">
        <v>4383</v>
      </c>
      <c r="C2803" s="15" t="s">
        <v>4383</v>
      </c>
      <c r="D2803" s="15" t="s">
        <v>774</v>
      </c>
      <c r="E2803" s="15" t="s">
        <v>4386</v>
      </c>
    </row>
    <row r="2804" spans="2:5">
      <c r="B2804" s="15" t="s">
        <v>4383</v>
      </c>
      <c r="C2804" s="15" t="s">
        <v>4383</v>
      </c>
      <c r="D2804" s="15" t="s">
        <v>828</v>
      </c>
      <c r="E2804" s="15" t="s">
        <v>4387</v>
      </c>
    </row>
    <row r="2805" ht="15.95" spans="2:2">
      <c r="B2805" s="122" t="s">
        <v>4388</v>
      </c>
    </row>
    <row r="2806" spans="2:5">
      <c r="B2806" s="15" t="s">
        <v>4389</v>
      </c>
      <c r="C2806" s="15" t="s">
        <v>3111</v>
      </c>
      <c r="D2806" s="15" t="s">
        <v>770</v>
      </c>
      <c r="E2806" s="15" t="s">
        <v>4390</v>
      </c>
    </row>
    <row r="2807" spans="2:5">
      <c r="B2807" s="15" t="s">
        <v>4389</v>
      </c>
      <c r="C2807" s="15" t="s">
        <v>3111</v>
      </c>
      <c r="D2807" s="15" t="s">
        <v>637</v>
      </c>
      <c r="E2807" s="15" t="s">
        <v>4391</v>
      </c>
    </row>
    <row r="2808" spans="2:5">
      <c r="B2808" s="15" t="s">
        <v>4389</v>
      </c>
      <c r="C2808" s="15" t="s">
        <v>3111</v>
      </c>
      <c r="D2808" s="15" t="s">
        <v>641</v>
      </c>
      <c r="E2808" s="15" t="s">
        <v>4392</v>
      </c>
    </row>
    <row r="2809" spans="2:5">
      <c r="B2809" s="15" t="s">
        <v>4389</v>
      </c>
      <c r="C2809" s="15" t="s">
        <v>3111</v>
      </c>
      <c r="D2809" s="15" t="s">
        <v>643</v>
      </c>
      <c r="E2809" s="15" t="s">
        <v>4393</v>
      </c>
    </row>
    <row r="2810" spans="2:5">
      <c r="B2810" s="15" t="s">
        <v>4389</v>
      </c>
      <c r="C2810" s="15" t="s">
        <v>3111</v>
      </c>
      <c r="D2810" s="15" t="s">
        <v>772</v>
      </c>
      <c r="E2810" s="15" t="s">
        <v>3319</v>
      </c>
    </row>
    <row r="2811" spans="2:5">
      <c r="B2811" s="15" t="s">
        <v>4389</v>
      </c>
      <c r="C2811" s="15" t="s">
        <v>3111</v>
      </c>
      <c r="D2811" s="15" t="s">
        <v>661</v>
      </c>
      <c r="E2811" s="15" t="s">
        <v>4394</v>
      </c>
    </row>
    <row r="2812" spans="2:5">
      <c r="B2812" s="15" t="s">
        <v>4389</v>
      </c>
      <c r="C2812" s="15" t="s">
        <v>3111</v>
      </c>
      <c r="D2812" s="15" t="s">
        <v>663</v>
      </c>
      <c r="E2812" s="15" t="s">
        <v>4395</v>
      </c>
    </row>
    <row r="2813" ht="15.95" spans="2:2">
      <c r="B2813" s="122" t="s">
        <v>4396</v>
      </c>
    </row>
    <row r="2814" spans="2:5">
      <c r="B2814" s="15" t="s">
        <v>4397</v>
      </c>
      <c r="C2814" s="15" t="s">
        <v>4398</v>
      </c>
      <c r="D2814" s="15" t="s">
        <v>723</v>
      </c>
      <c r="E2814" s="15" t="s">
        <v>4399</v>
      </c>
    </row>
    <row r="2815" spans="2:5">
      <c r="B2815" s="15" t="s">
        <v>4397</v>
      </c>
      <c r="C2815" s="15" t="s">
        <v>4398</v>
      </c>
      <c r="D2815" s="15" t="s">
        <v>725</v>
      </c>
      <c r="E2815" s="15" t="s">
        <v>1961</v>
      </c>
    </row>
    <row r="2816" spans="2:5">
      <c r="B2816" s="15" t="s">
        <v>4397</v>
      </c>
      <c r="C2816" s="15" t="s">
        <v>4398</v>
      </c>
      <c r="D2816" s="15" t="s">
        <v>727</v>
      </c>
      <c r="E2816" s="15" t="s">
        <v>4400</v>
      </c>
    </row>
    <row r="2817" ht="15.95" spans="2:2">
      <c r="B2817" s="122" t="s">
        <v>4401</v>
      </c>
    </row>
    <row r="2818" spans="2:5">
      <c r="B2818" s="15" t="s">
        <v>4402</v>
      </c>
      <c r="C2818" s="15" t="s">
        <v>896</v>
      </c>
      <c r="D2818" s="15" t="s">
        <v>723</v>
      </c>
      <c r="E2818" s="15" t="s">
        <v>2563</v>
      </c>
    </row>
    <row r="2819" spans="2:5">
      <c r="B2819" s="15" t="s">
        <v>4402</v>
      </c>
      <c r="C2819" s="15" t="s">
        <v>896</v>
      </c>
      <c r="D2819" s="15" t="s">
        <v>725</v>
      </c>
      <c r="E2819" s="15" t="s">
        <v>2564</v>
      </c>
    </row>
    <row r="2820" spans="2:5">
      <c r="B2820" s="15" t="s">
        <v>4402</v>
      </c>
      <c r="C2820" s="15" t="s">
        <v>896</v>
      </c>
      <c r="D2820" s="15" t="s">
        <v>727</v>
      </c>
      <c r="E2820" s="15" t="s">
        <v>2565</v>
      </c>
    </row>
    <row r="2821" spans="2:5">
      <c r="B2821" s="15" t="s">
        <v>4402</v>
      </c>
      <c r="C2821" s="15" t="s">
        <v>896</v>
      </c>
      <c r="D2821" s="15" t="s">
        <v>729</v>
      </c>
      <c r="E2821" s="15" t="s">
        <v>2566</v>
      </c>
    </row>
    <row r="2822" spans="2:5">
      <c r="B2822" s="15" t="s">
        <v>4402</v>
      </c>
      <c r="C2822" s="15" t="s">
        <v>896</v>
      </c>
      <c r="D2822" s="15" t="s">
        <v>760</v>
      </c>
      <c r="E2822" s="15" t="s">
        <v>2567</v>
      </c>
    </row>
    <row r="2823" ht="15.95" spans="2:2">
      <c r="B2823" s="122" t="s">
        <v>4403</v>
      </c>
    </row>
    <row r="2824" spans="2:5">
      <c r="B2824" s="15" t="s">
        <v>4404</v>
      </c>
      <c r="C2824" s="15" t="s">
        <v>4405</v>
      </c>
      <c r="D2824" s="15" t="s">
        <v>4406</v>
      </c>
      <c r="E2824" s="15" t="s">
        <v>4406</v>
      </c>
    </row>
    <row r="2825" spans="2:5">
      <c r="B2825" s="15" t="s">
        <v>4404</v>
      </c>
      <c r="C2825" s="15" t="s">
        <v>4405</v>
      </c>
      <c r="D2825" s="15" t="s">
        <v>4407</v>
      </c>
      <c r="E2825" s="15" t="s">
        <v>4407</v>
      </c>
    </row>
    <row r="2826" spans="2:5">
      <c r="B2826" s="15" t="s">
        <v>4404</v>
      </c>
      <c r="C2826" s="15" t="s">
        <v>4405</v>
      </c>
      <c r="D2826" s="15" t="s">
        <v>4408</v>
      </c>
      <c r="E2826" s="15" t="s">
        <v>4408</v>
      </c>
    </row>
    <row r="2827" spans="2:5">
      <c r="B2827" s="15" t="s">
        <v>4404</v>
      </c>
      <c r="C2827" s="15" t="s">
        <v>4405</v>
      </c>
      <c r="D2827" s="15" t="s">
        <v>4409</v>
      </c>
      <c r="E2827" s="15" t="s">
        <v>4409</v>
      </c>
    </row>
    <row r="2828" spans="2:5">
      <c r="B2828" s="15" t="s">
        <v>4404</v>
      </c>
      <c r="C2828" s="15" t="s">
        <v>4405</v>
      </c>
      <c r="D2828" s="15" t="s">
        <v>4410</v>
      </c>
      <c r="E2828" s="15" t="s">
        <v>4410</v>
      </c>
    </row>
    <row r="2829" spans="2:5">
      <c r="B2829" s="15" t="s">
        <v>4404</v>
      </c>
      <c r="C2829" s="15" t="s">
        <v>4405</v>
      </c>
      <c r="D2829" s="15" t="s">
        <v>4411</v>
      </c>
      <c r="E2829" s="15" t="s">
        <v>4411</v>
      </c>
    </row>
    <row r="2830" spans="2:5">
      <c r="B2830" s="15" t="s">
        <v>4404</v>
      </c>
      <c r="C2830" s="15" t="s">
        <v>4405</v>
      </c>
      <c r="D2830" s="15" t="s">
        <v>4412</v>
      </c>
      <c r="E2830" s="15" t="s">
        <v>4412</v>
      </c>
    </row>
    <row r="2831" spans="2:5">
      <c r="B2831" s="15" t="s">
        <v>4404</v>
      </c>
      <c r="C2831" s="15" t="s">
        <v>4405</v>
      </c>
      <c r="D2831" s="15" t="s">
        <v>4413</v>
      </c>
      <c r="E2831" s="15" t="s">
        <v>4413</v>
      </c>
    </row>
    <row r="2832" spans="2:5">
      <c r="B2832" s="15" t="s">
        <v>4404</v>
      </c>
      <c r="C2832" s="15" t="s">
        <v>4405</v>
      </c>
      <c r="D2832" s="15" t="s">
        <v>4414</v>
      </c>
      <c r="E2832" s="15" t="s">
        <v>4414</v>
      </c>
    </row>
    <row r="2833" spans="2:5">
      <c r="B2833" s="15" t="s">
        <v>4404</v>
      </c>
      <c r="C2833" s="15" t="s">
        <v>4405</v>
      </c>
      <c r="D2833" s="15" t="s">
        <v>4415</v>
      </c>
      <c r="E2833" s="15" t="s">
        <v>4415</v>
      </c>
    </row>
    <row r="2834" ht="15.95" spans="2:2">
      <c r="B2834" s="122" t="s">
        <v>4416</v>
      </c>
    </row>
    <row r="2835" spans="2:5">
      <c r="B2835" s="15" t="s">
        <v>4417</v>
      </c>
      <c r="C2835" s="15" t="s">
        <v>4417</v>
      </c>
      <c r="D2835" s="15" t="s">
        <v>723</v>
      </c>
      <c r="E2835" s="15" t="s">
        <v>4418</v>
      </c>
    </row>
    <row r="2836" spans="2:5">
      <c r="B2836" s="15" t="s">
        <v>4417</v>
      </c>
      <c r="C2836" s="15" t="s">
        <v>4417</v>
      </c>
      <c r="D2836" s="15" t="s">
        <v>725</v>
      </c>
      <c r="E2836" s="15" t="s">
        <v>1203</v>
      </c>
    </row>
    <row r="2837" spans="2:5">
      <c r="B2837" s="15" t="s">
        <v>4417</v>
      </c>
      <c r="C2837" s="15" t="s">
        <v>4417</v>
      </c>
      <c r="D2837" s="15" t="s">
        <v>727</v>
      </c>
      <c r="E2837" s="15" t="s">
        <v>4419</v>
      </c>
    </row>
    <row r="2838" ht="15.95" spans="2:2">
      <c r="B2838" s="122" t="s">
        <v>4420</v>
      </c>
    </row>
    <row r="2839" spans="2:5">
      <c r="B2839" s="15" t="s">
        <v>4421</v>
      </c>
      <c r="C2839" s="15" t="s">
        <v>4422</v>
      </c>
      <c r="D2839" s="15" t="s">
        <v>770</v>
      </c>
      <c r="E2839" s="15" t="s">
        <v>4423</v>
      </c>
    </row>
    <row r="2840" spans="2:5">
      <c r="B2840" s="15" t="s">
        <v>4421</v>
      </c>
      <c r="C2840" s="15" t="s">
        <v>4422</v>
      </c>
      <c r="D2840" s="15" t="s">
        <v>772</v>
      </c>
      <c r="E2840" s="15" t="s">
        <v>4424</v>
      </c>
    </row>
    <row r="2841" ht="15.95" spans="2:2">
      <c r="B2841" s="122" t="s">
        <v>4425</v>
      </c>
    </row>
    <row r="2842" spans="2:5">
      <c r="B2842" s="15" t="s">
        <v>4426</v>
      </c>
      <c r="C2842" s="15" t="s">
        <v>4426</v>
      </c>
      <c r="D2842" s="15" t="s">
        <v>723</v>
      </c>
      <c r="E2842" s="15" t="s">
        <v>2831</v>
      </c>
    </row>
    <row r="2843" spans="2:5">
      <c r="B2843" s="15" t="s">
        <v>4426</v>
      </c>
      <c r="C2843" s="15" t="s">
        <v>4426</v>
      </c>
      <c r="D2843" s="15" t="s">
        <v>725</v>
      </c>
      <c r="E2843" s="15" t="s">
        <v>2832</v>
      </c>
    </row>
    <row r="2844" ht="15.95" spans="2:2">
      <c r="B2844" s="122" t="s">
        <v>4427</v>
      </c>
    </row>
    <row r="2845" spans="2:5">
      <c r="B2845" s="15" t="s">
        <v>4428</v>
      </c>
      <c r="C2845" s="15" t="s">
        <v>4429</v>
      </c>
      <c r="D2845" s="15" t="s">
        <v>1248</v>
      </c>
      <c r="E2845" s="15" t="s">
        <v>4187</v>
      </c>
    </row>
    <row r="2846" spans="2:5">
      <c r="B2846" s="15" t="s">
        <v>4428</v>
      </c>
      <c r="C2846" s="15" t="s">
        <v>4429</v>
      </c>
      <c r="D2846" s="15" t="s">
        <v>4188</v>
      </c>
      <c r="E2846" s="15" t="s">
        <v>4189</v>
      </c>
    </row>
    <row r="2847" spans="2:5">
      <c r="B2847" s="15" t="s">
        <v>4428</v>
      </c>
      <c r="C2847" s="15" t="s">
        <v>4429</v>
      </c>
      <c r="D2847" s="15" t="s">
        <v>4190</v>
      </c>
      <c r="E2847" s="15" t="s">
        <v>4430</v>
      </c>
    </row>
    <row r="2848" spans="2:5">
      <c r="B2848" s="15" t="s">
        <v>4428</v>
      </c>
      <c r="C2848" s="15" t="s">
        <v>4429</v>
      </c>
      <c r="D2848" s="15" t="s">
        <v>4431</v>
      </c>
      <c r="E2848" s="15" t="s">
        <v>4203</v>
      </c>
    </row>
    <row r="2849" spans="2:5">
      <c r="B2849" s="15" t="s">
        <v>4428</v>
      </c>
      <c r="C2849" s="15" t="s">
        <v>4429</v>
      </c>
      <c r="D2849" s="15" t="s">
        <v>4195</v>
      </c>
      <c r="E2849" s="15" t="s">
        <v>4432</v>
      </c>
    </row>
    <row r="2850" spans="2:5">
      <c r="B2850" s="15" t="s">
        <v>4428</v>
      </c>
      <c r="C2850" s="15" t="s">
        <v>4429</v>
      </c>
      <c r="D2850" s="15" t="s">
        <v>4197</v>
      </c>
      <c r="E2850" s="15" t="s">
        <v>1256</v>
      </c>
    </row>
    <row r="2851" spans="2:5">
      <c r="B2851" s="15" t="s">
        <v>4428</v>
      </c>
      <c r="C2851" s="15" t="s">
        <v>4429</v>
      </c>
      <c r="D2851" s="15" t="s">
        <v>4198</v>
      </c>
      <c r="E2851" s="15" t="s">
        <v>4199</v>
      </c>
    </row>
    <row r="2852" spans="2:5">
      <c r="B2852" s="15" t="s">
        <v>4428</v>
      </c>
      <c r="C2852" s="15" t="s">
        <v>4429</v>
      </c>
      <c r="D2852" s="15" t="s">
        <v>4433</v>
      </c>
      <c r="E2852" s="15" t="s">
        <v>4434</v>
      </c>
    </row>
    <row r="2853" ht="15.95" spans="2:2">
      <c r="B2853" s="122" t="s">
        <v>4435</v>
      </c>
    </row>
    <row r="2854" spans="2:5">
      <c r="B2854" s="15" t="s">
        <v>4436</v>
      </c>
      <c r="C2854" s="15" t="s">
        <v>4437</v>
      </c>
      <c r="D2854" s="15" t="s">
        <v>4438</v>
      </c>
      <c r="E2854" s="15" t="s">
        <v>4439</v>
      </c>
    </row>
    <row r="2855" spans="2:5">
      <c r="B2855" s="15" t="s">
        <v>4436</v>
      </c>
      <c r="C2855" s="15" t="s">
        <v>4437</v>
      </c>
      <c r="D2855" s="15" t="s">
        <v>4440</v>
      </c>
      <c r="E2855" s="15" t="s">
        <v>4441</v>
      </c>
    </row>
    <row r="2856" spans="2:5">
      <c r="B2856" s="15" t="s">
        <v>4436</v>
      </c>
      <c r="C2856" s="15" t="s">
        <v>4437</v>
      </c>
      <c r="D2856" s="15" t="s">
        <v>1418</v>
      </c>
      <c r="E2856" s="15" t="s">
        <v>1418</v>
      </c>
    </row>
    <row r="2857" ht="15.95" spans="2:2">
      <c r="B2857" s="122" t="s">
        <v>4442</v>
      </c>
    </row>
    <row r="2858" spans="2:5">
      <c r="B2858" s="15" t="s">
        <v>4443</v>
      </c>
      <c r="C2858" s="15" t="s">
        <v>896</v>
      </c>
      <c r="D2858" s="15" t="s">
        <v>770</v>
      </c>
      <c r="E2858" s="15" t="s">
        <v>4444</v>
      </c>
    </row>
    <row r="2859" spans="2:5">
      <c r="B2859" s="15" t="s">
        <v>4443</v>
      </c>
      <c r="C2859" s="15" t="s">
        <v>896</v>
      </c>
      <c r="D2859" s="15" t="s">
        <v>772</v>
      </c>
      <c r="E2859" s="15" t="s">
        <v>4445</v>
      </c>
    </row>
    <row r="2860" spans="2:5">
      <c r="B2860" s="15" t="s">
        <v>4443</v>
      </c>
      <c r="C2860" s="15" t="s">
        <v>896</v>
      </c>
      <c r="D2860" s="15" t="s">
        <v>774</v>
      </c>
      <c r="E2860" s="15" t="s">
        <v>4446</v>
      </c>
    </row>
    <row r="2861" spans="2:5">
      <c r="B2861" s="15" t="s">
        <v>4443</v>
      </c>
      <c r="C2861" s="15" t="s">
        <v>896</v>
      </c>
      <c r="D2861" s="15" t="s">
        <v>828</v>
      </c>
      <c r="E2861" s="15" t="s">
        <v>4447</v>
      </c>
    </row>
    <row r="2862" spans="2:5">
      <c r="B2862" s="15" t="s">
        <v>4443</v>
      </c>
      <c r="C2862" s="15" t="s">
        <v>896</v>
      </c>
      <c r="D2862" s="15" t="s">
        <v>901</v>
      </c>
      <c r="E2862" s="15" t="s">
        <v>4448</v>
      </c>
    </row>
    <row r="2863" ht="15.95" spans="2:2">
      <c r="B2863" s="122" t="s">
        <v>4449</v>
      </c>
    </row>
    <row r="2864" spans="2:5">
      <c r="B2864" s="15" t="s">
        <v>4450</v>
      </c>
      <c r="C2864" s="15" t="s">
        <v>4450</v>
      </c>
      <c r="D2864" s="15" t="s">
        <v>723</v>
      </c>
      <c r="E2864" s="15" t="s">
        <v>1201</v>
      </c>
    </row>
    <row r="2865" spans="2:5">
      <c r="B2865" s="15" t="s">
        <v>4450</v>
      </c>
      <c r="C2865" s="15" t="s">
        <v>4450</v>
      </c>
      <c r="D2865" s="15" t="s">
        <v>725</v>
      </c>
      <c r="E2865" s="15" t="s">
        <v>1202</v>
      </c>
    </row>
    <row r="2866" spans="2:5">
      <c r="B2866" s="15" t="s">
        <v>4450</v>
      </c>
      <c r="C2866" s="15" t="s">
        <v>4450</v>
      </c>
      <c r="D2866" s="15" t="s">
        <v>727</v>
      </c>
      <c r="E2866" s="15" t="s">
        <v>1203</v>
      </c>
    </row>
    <row r="2867" spans="2:5">
      <c r="B2867" s="15" t="s">
        <v>4450</v>
      </c>
      <c r="C2867" s="15" t="s">
        <v>4450</v>
      </c>
      <c r="D2867" s="15" t="s">
        <v>729</v>
      </c>
      <c r="E2867" s="15" t="s">
        <v>1936</v>
      </c>
    </row>
    <row r="2868" ht="15.95" spans="2:2">
      <c r="B2868" s="122" t="s">
        <v>4451</v>
      </c>
    </row>
    <row r="2869" spans="2:5">
      <c r="B2869" s="15" t="s">
        <v>4452</v>
      </c>
      <c r="C2869" s="15" t="s">
        <v>390</v>
      </c>
      <c r="D2869" s="15" t="s">
        <v>770</v>
      </c>
      <c r="E2869" s="15" t="s">
        <v>4453</v>
      </c>
    </row>
    <row r="2870" spans="2:5">
      <c r="B2870" s="15" t="s">
        <v>4452</v>
      </c>
      <c r="C2870" s="15" t="s">
        <v>390</v>
      </c>
      <c r="D2870" s="15" t="s">
        <v>772</v>
      </c>
      <c r="E2870" s="15" t="s">
        <v>4454</v>
      </c>
    </row>
    <row r="2871" spans="2:5">
      <c r="B2871" s="15" t="s">
        <v>4452</v>
      </c>
      <c r="C2871" s="15" t="s">
        <v>390</v>
      </c>
      <c r="D2871" s="15" t="s">
        <v>774</v>
      </c>
      <c r="E2871" s="15" t="s">
        <v>4455</v>
      </c>
    </row>
    <row r="2872" ht="15.95" spans="2:2">
      <c r="B2872" s="122" t="s">
        <v>4456</v>
      </c>
    </row>
    <row r="2873" spans="2:5">
      <c r="B2873" s="15" t="s">
        <v>4457</v>
      </c>
      <c r="C2873" s="15" t="s">
        <v>896</v>
      </c>
      <c r="D2873" s="15" t="s">
        <v>770</v>
      </c>
      <c r="E2873" s="15" t="s">
        <v>4458</v>
      </c>
    </row>
    <row r="2874" spans="2:5">
      <c r="B2874" s="15" t="s">
        <v>4457</v>
      </c>
      <c r="C2874" s="15" t="s">
        <v>896</v>
      </c>
      <c r="D2874" s="15" t="s">
        <v>772</v>
      </c>
      <c r="E2874" s="15" t="s">
        <v>4459</v>
      </c>
    </row>
    <row r="2875" spans="2:5">
      <c r="B2875" s="15" t="s">
        <v>4457</v>
      </c>
      <c r="C2875" s="15" t="s">
        <v>896</v>
      </c>
      <c r="D2875" s="15" t="s">
        <v>774</v>
      </c>
      <c r="E2875" s="15" t="s">
        <v>4460</v>
      </c>
    </row>
    <row r="2876" spans="2:5">
      <c r="B2876" s="15" t="s">
        <v>4457</v>
      </c>
      <c r="C2876" s="15" t="s">
        <v>896</v>
      </c>
      <c r="D2876" s="15" t="s">
        <v>828</v>
      </c>
      <c r="E2876" s="15" t="s">
        <v>4461</v>
      </c>
    </row>
    <row r="2877" ht="15.95" spans="2:2">
      <c r="B2877" s="122" t="s">
        <v>4462</v>
      </c>
    </row>
    <row r="2878" spans="2:5">
      <c r="B2878" s="15" t="s">
        <v>4463</v>
      </c>
      <c r="C2878" s="15" t="s">
        <v>4463</v>
      </c>
      <c r="D2878" s="15" t="s">
        <v>723</v>
      </c>
      <c r="E2878" s="15" t="s">
        <v>4464</v>
      </c>
    </row>
    <row r="2879" spans="2:5">
      <c r="B2879" s="15" t="s">
        <v>4463</v>
      </c>
      <c r="C2879" s="15" t="s">
        <v>4463</v>
      </c>
      <c r="D2879" s="15" t="s">
        <v>725</v>
      </c>
      <c r="E2879" s="15" t="s">
        <v>4465</v>
      </c>
    </row>
    <row r="2880" spans="2:5">
      <c r="B2880" s="15" t="s">
        <v>4463</v>
      </c>
      <c r="C2880" s="15" t="s">
        <v>4463</v>
      </c>
      <c r="D2880" s="15" t="s">
        <v>727</v>
      </c>
      <c r="E2880" s="15" t="s">
        <v>4466</v>
      </c>
    </row>
    <row r="2881" spans="2:5">
      <c r="B2881" s="15" t="s">
        <v>4463</v>
      </c>
      <c r="C2881" s="15" t="s">
        <v>4463</v>
      </c>
      <c r="D2881" s="15" t="s">
        <v>729</v>
      </c>
      <c r="E2881" s="15" t="s">
        <v>2812</v>
      </c>
    </row>
    <row r="2882" ht="15.95" spans="2:2">
      <c r="B2882" s="122" t="s">
        <v>4467</v>
      </c>
    </row>
    <row r="2883" spans="2:5">
      <c r="B2883" s="15" t="s">
        <v>4468</v>
      </c>
      <c r="C2883" s="15" t="s">
        <v>896</v>
      </c>
      <c r="D2883" s="15" t="s">
        <v>770</v>
      </c>
      <c r="E2883" s="15" t="s">
        <v>4469</v>
      </c>
    </row>
    <row r="2884" spans="2:5">
      <c r="B2884" s="15" t="s">
        <v>4468</v>
      </c>
      <c r="C2884" s="15" t="s">
        <v>896</v>
      </c>
      <c r="D2884" s="15" t="s">
        <v>772</v>
      </c>
      <c r="E2884" s="15" t="s">
        <v>4470</v>
      </c>
    </row>
    <row r="2885" spans="2:5">
      <c r="B2885" s="15" t="s">
        <v>4468</v>
      </c>
      <c r="C2885" s="15" t="s">
        <v>896</v>
      </c>
      <c r="D2885" s="15" t="s">
        <v>774</v>
      </c>
      <c r="E2885" s="15" t="s">
        <v>4471</v>
      </c>
    </row>
    <row r="2886" spans="2:5">
      <c r="B2886" s="15" t="s">
        <v>4468</v>
      </c>
      <c r="C2886" s="15" t="s">
        <v>896</v>
      </c>
      <c r="D2886" s="15" t="s">
        <v>828</v>
      </c>
      <c r="E2886" s="15" t="s">
        <v>4472</v>
      </c>
    </row>
    <row r="2887" spans="2:5">
      <c r="B2887" s="15" t="s">
        <v>4468</v>
      </c>
      <c r="C2887" s="15" t="s">
        <v>896</v>
      </c>
      <c r="D2887" s="15" t="s">
        <v>901</v>
      </c>
      <c r="E2887" s="15" t="s">
        <v>4473</v>
      </c>
    </row>
    <row r="2888" ht="15.95" spans="2:2">
      <c r="B2888" s="122" t="s">
        <v>4474</v>
      </c>
    </row>
    <row r="2889" spans="2:5">
      <c r="B2889" s="15" t="s">
        <v>4475</v>
      </c>
      <c r="C2889" s="15" t="s">
        <v>896</v>
      </c>
      <c r="D2889" s="15" t="s">
        <v>770</v>
      </c>
      <c r="E2889" s="15" t="s">
        <v>4476</v>
      </c>
    </row>
    <row r="2890" spans="2:5">
      <c r="B2890" s="15" t="s">
        <v>4475</v>
      </c>
      <c r="C2890" s="15" t="s">
        <v>896</v>
      </c>
      <c r="D2890" s="15" t="s">
        <v>772</v>
      </c>
      <c r="E2890" s="15" t="s">
        <v>4477</v>
      </c>
    </row>
    <row r="2891" spans="2:5">
      <c r="B2891" s="15" t="s">
        <v>4475</v>
      </c>
      <c r="C2891" s="15" t="s">
        <v>896</v>
      </c>
      <c r="D2891" s="15" t="s">
        <v>774</v>
      </c>
      <c r="E2891" s="15" t="s">
        <v>4478</v>
      </c>
    </row>
    <row r="2892" spans="2:5">
      <c r="B2892" s="15" t="s">
        <v>4475</v>
      </c>
      <c r="C2892" s="15" t="s">
        <v>896</v>
      </c>
      <c r="D2892" s="15" t="s">
        <v>828</v>
      </c>
      <c r="E2892" s="15" t="s">
        <v>4479</v>
      </c>
    </row>
    <row r="2893" spans="2:5">
      <c r="B2893" s="15" t="s">
        <v>4475</v>
      </c>
      <c r="C2893" s="15" t="s">
        <v>896</v>
      </c>
      <c r="D2893" s="15" t="s">
        <v>901</v>
      </c>
      <c r="E2893" s="15" t="s">
        <v>4480</v>
      </c>
    </row>
    <row r="2894" spans="2:5">
      <c r="B2894" s="15" t="s">
        <v>4475</v>
      </c>
      <c r="C2894" s="15" t="s">
        <v>896</v>
      </c>
      <c r="D2894" s="15" t="s">
        <v>776</v>
      </c>
      <c r="E2894" s="15" t="s">
        <v>235</v>
      </c>
    </row>
    <row r="2895" ht="15.95" spans="2:2">
      <c r="B2895" s="122" t="s">
        <v>4481</v>
      </c>
    </row>
    <row r="2896" spans="2:5">
      <c r="B2896" s="15" t="s">
        <v>4482</v>
      </c>
      <c r="C2896" s="15" t="s">
        <v>4483</v>
      </c>
      <c r="D2896" s="15" t="s">
        <v>770</v>
      </c>
      <c r="E2896" s="15" t="s">
        <v>4484</v>
      </c>
    </row>
    <row r="2897" spans="2:5">
      <c r="B2897" s="15" t="s">
        <v>4482</v>
      </c>
      <c r="C2897" s="15" t="s">
        <v>4483</v>
      </c>
      <c r="D2897" s="15" t="s">
        <v>772</v>
      </c>
      <c r="E2897" s="15" t="s">
        <v>4485</v>
      </c>
    </row>
    <row r="2898" spans="2:5">
      <c r="B2898" s="15" t="s">
        <v>4482</v>
      </c>
      <c r="C2898" s="15" t="s">
        <v>4483</v>
      </c>
      <c r="D2898" s="15" t="s">
        <v>774</v>
      </c>
      <c r="E2898" s="15" t="s">
        <v>4486</v>
      </c>
    </row>
    <row r="2899" spans="2:5">
      <c r="B2899" s="15" t="s">
        <v>4482</v>
      </c>
      <c r="C2899" s="15" t="s">
        <v>4483</v>
      </c>
      <c r="D2899" s="15" t="s">
        <v>828</v>
      </c>
      <c r="E2899" s="15" t="s">
        <v>235</v>
      </c>
    </row>
    <row r="2900" ht="15.95" spans="2:2">
      <c r="B2900" s="122" t="s">
        <v>4487</v>
      </c>
    </row>
    <row r="2901" spans="2:5">
      <c r="B2901" s="15" t="s">
        <v>4488</v>
      </c>
      <c r="C2901" s="15" t="s">
        <v>4489</v>
      </c>
      <c r="D2901" s="15" t="s">
        <v>770</v>
      </c>
      <c r="E2901" s="15" t="s">
        <v>4490</v>
      </c>
    </row>
    <row r="2902" spans="2:5">
      <c r="B2902" s="15" t="s">
        <v>4488</v>
      </c>
      <c r="C2902" s="15" t="s">
        <v>4489</v>
      </c>
      <c r="D2902" s="15" t="s">
        <v>772</v>
      </c>
      <c r="E2902" s="15" t="s">
        <v>907</v>
      </c>
    </row>
    <row r="2903" ht="15.95" spans="2:2">
      <c r="B2903" s="122" t="s">
        <v>4491</v>
      </c>
    </row>
    <row r="2904" spans="2:5">
      <c r="B2904" s="15" t="s">
        <v>4492</v>
      </c>
      <c r="C2904" s="15" t="s">
        <v>4158</v>
      </c>
      <c r="D2904" s="15" t="s">
        <v>770</v>
      </c>
      <c r="E2904" s="15" t="s">
        <v>4493</v>
      </c>
    </row>
    <row r="2905" spans="2:5">
      <c r="B2905" s="15" t="s">
        <v>4492</v>
      </c>
      <c r="C2905" s="15" t="s">
        <v>4158</v>
      </c>
      <c r="D2905" s="15" t="s">
        <v>772</v>
      </c>
      <c r="E2905" s="15" t="s">
        <v>4494</v>
      </c>
    </row>
    <row r="2906" spans="2:5">
      <c r="B2906" s="15" t="s">
        <v>4492</v>
      </c>
      <c r="C2906" s="15" t="s">
        <v>4158</v>
      </c>
      <c r="D2906" s="15" t="s">
        <v>774</v>
      </c>
      <c r="E2906" s="15" t="s">
        <v>4495</v>
      </c>
    </row>
    <row r="2907" spans="2:5">
      <c r="B2907" s="15" t="s">
        <v>4492</v>
      </c>
      <c r="C2907" s="15" t="s">
        <v>4158</v>
      </c>
      <c r="D2907" s="15" t="s">
        <v>828</v>
      </c>
      <c r="E2907" s="15" t="s">
        <v>4496</v>
      </c>
    </row>
    <row r="2908" spans="2:5">
      <c r="B2908" s="15" t="s">
        <v>4492</v>
      </c>
      <c r="C2908" s="15" t="s">
        <v>4158</v>
      </c>
      <c r="D2908" s="15" t="s">
        <v>901</v>
      </c>
      <c r="E2908" s="15" t="s">
        <v>4497</v>
      </c>
    </row>
    <row r="2909" spans="2:5">
      <c r="B2909" s="15" t="s">
        <v>4492</v>
      </c>
      <c r="C2909" s="15" t="s">
        <v>4158</v>
      </c>
      <c r="D2909" s="15" t="s">
        <v>776</v>
      </c>
      <c r="E2909" s="15" t="s">
        <v>4498</v>
      </c>
    </row>
    <row r="2910" ht="15.95" spans="2:2">
      <c r="B2910" s="122" t="s">
        <v>4499</v>
      </c>
    </row>
    <row r="2911" spans="2:5">
      <c r="B2911" s="15" t="s">
        <v>4500</v>
      </c>
      <c r="C2911" s="15" t="s">
        <v>4501</v>
      </c>
      <c r="D2911" s="15" t="s">
        <v>770</v>
      </c>
      <c r="E2911" s="15" t="s">
        <v>4502</v>
      </c>
    </row>
    <row r="2912" spans="2:5">
      <c r="B2912" s="15" t="s">
        <v>4500</v>
      </c>
      <c r="C2912" s="15" t="s">
        <v>4501</v>
      </c>
      <c r="D2912" s="15" t="s">
        <v>772</v>
      </c>
      <c r="E2912" s="15" t="s">
        <v>4503</v>
      </c>
    </row>
    <row r="2913" spans="2:5">
      <c r="B2913" s="15" t="s">
        <v>4500</v>
      </c>
      <c r="C2913" s="15" t="s">
        <v>4501</v>
      </c>
      <c r="D2913" s="15" t="s">
        <v>774</v>
      </c>
      <c r="E2913" s="15" t="s">
        <v>4504</v>
      </c>
    </row>
    <row r="2914" spans="2:5">
      <c r="B2914" s="15" t="s">
        <v>4500</v>
      </c>
      <c r="C2914" s="15" t="s">
        <v>4501</v>
      </c>
      <c r="D2914" s="15" t="s">
        <v>828</v>
      </c>
      <c r="E2914" s="15" t="s">
        <v>3083</v>
      </c>
    </row>
    <row r="2915" spans="2:5">
      <c r="B2915" s="15" t="s">
        <v>4500</v>
      </c>
      <c r="C2915" s="15" t="s">
        <v>4501</v>
      </c>
      <c r="D2915" s="15" t="s">
        <v>901</v>
      </c>
      <c r="E2915" s="15" t="s">
        <v>4505</v>
      </c>
    </row>
    <row r="2916" spans="2:5">
      <c r="B2916" s="15" t="s">
        <v>4500</v>
      </c>
      <c r="C2916" s="15" t="s">
        <v>4501</v>
      </c>
      <c r="D2916" s="15" t="s">
        <v>776</v>
      </c>
      <c r="E2916" s="15" t="s">
        <v>4214</v>
      </c>
    </row>
    <row r="2917" spans="2:5">
      <c r="B2917" s="15" t="s">
        <v>4500</v>
      </c>
      <c r="C2917" s="15" t="s">
        <v>4501</v>
      </c>
      <c r="D2917" s="15" t="s">
        <v>1290</v>
      </c>
      <c r="E2917" s="15" t="s">
        <v>4506</v>
      </c>
    </row>
    <row r="2918" spans="2:5">
      <c r="B2918" s="15" t="s">
        <v>4500</v>
      </c>
      <c r="C2918" s="15" t="s">
        <v>4501</v>
      </c>
      <c r="D2918" s="15" t="s">
        <v>1409</v>
      </c>
      <c r="E2918" s="15" t="s">
        <v>4507</v>
      </c>
    </row>
    <row r="2919" spans="2:5">
      <c r="B2919" s="15" t="s">
        <v>4500</v>
      </c>
      <c r="C2919" s="15" t="s">
        <v>4501</v>
      </c>
      <c r="D2919" s="15" t="s">
        <v>1411</v>
      </c>
      <c r="E2919" s="15" t="s">
        <v>4508</v>
      </c>
    </row>
    <row r="2920" spans="2:5">
      <c r="B2920" s="15" t="s">
        <v>4500</v>
      </c>
      <c r="C2920" s="15" t="s">
        <v>4501</v>
      </c>
      <c r="D2920" s="15" t="s">
        <v>933</v>
      </c>
      <c r="E2920" s="15" t="s">
        <v>4509</v>
      </c>
    </row>
    <row r="2921" ht="15.95" spans="2:2">
      <c r="B2921" s="122" t="s">
        <v>4510</v>
      </c>
    </row>
    <row r="2922" spans="2:5">
      <c r="B2922" s="15" t="s">
        <v>4511</v>
      </c>
      <c r="C2922" s="15" t="s">
        <v>4512</v>
      </c>
      <c r="D2922" s="15" t="s">
        <v>933</v>
      </c>
      <c r="E2922" s="15" t="s">
        <v>4513</v>
      </c>
    </row>
    <row r="2923" spans="2:5">
      <c r="B2923" s="15" t="s">
        <v>4511</v>
      </c>
      <c r="C2923" s="15" t="s">
        <v>4512</v>
      </c>
      <c r="D2923" s="15" t="s">
        <v>937</v>
      </c>
      <c r="E2923" s="15" t="s">
        <v>4514</v>
      </c>
    </row>
    <row r="2924" ht="15.95" spans="2:2">
      <c r="B2924" s="122" t="s">
        <v>4515</v>
      </c>
    </row>
    <row r="2925" spans="2:5">
      <c r="B2925" s="15" t="s">
        <v>4516</v>
      </c>
      <c r="C2925" s="15" t="s">
        <v>4516</v>
      </c>
      <c r="D2925" s="15" t="s">
        <v>770</v>
      </c>
      <c r="E2925" s="15" t="s">
        <v>4517</v>
      </c>
    </row>
    <row r="2926" spans="2:5">
      <c r="B2926" s="15" t="s">
        <v>4516</v>
      </c>
      <c r="C2926" s="15" t="s">
        <v>4516</v>
      </c>
      <c r="D2926" s="15" t="s">
        <v>772</v>
      </c>
      <c r="E2926" s="15" t="s">
        <v>4518</v>
      </c>
    </row>
    <row r="2927" spans="2:5">
      <c r="B2927" s="15" t="s">
        <v>4516</v>
      </c>
      <c r="C2927" s="15" t="s">
        <v>4516</v>
      </c>
      <c r="D2927" s="15" t="s">
        <v>774</v>
      </c>
      <c r="E2927" s="15" t="s">
        <v>4519</v>
      </c>
    </row>
    <row r="2928" spans="2:5">
      <c r="B2928" s="15" t="s">
        <v>4516</v>
      </c>
      <c r="C2928" s="15" t="s">
        <v>4516</v>
      </c>
      <c r="D2928" s="15" t="s">
        <v>828</v>
      </c>
      <c r="E2928" s="15" t="s">
        <v>4520</v>
      </c>
    </row>
    <row r="2929" spans="2:5">
      <c r="B2929" s="15" t="s">
        <v>4516</v>
      </c>
      <c r="C2929" s="15" t="s">
        <v>4516</v>
      </c>
      <c r="D2929" s="15" t="s">
        <v>901</v>
      </c>
      <c r="E2929" s="15" t="s">
        <v>4521</v>
      </c>
    </row>
    <row r="2930" ht="15.95" spans="2:2">
      <c r="B2930" s="122" t="s">
        <v>4522</v>
      </c>
    </row>
    <row r="2931" spans="2:5">
      <c r="B2931" s="15" t="s">
        <v>4523</v>
      </c>
      <c r="C2931" s="15" t="s">
        <v>896</v>
      </c>
      <c r="D2931" s="15" t="s">
        <v>723</v>
      </c>
      <c r="E2931" s="15" t="s">
        <v>1279</v>
      </c>
    </row>
    <row r="2932" spans="2:5">
      <c r="B2932" s="15" t="s">
        <v>4523</v>
      </c>
      <c r="C2932" s="15" t="s">
        <v>896</v>
      </c>
      <c r="D2932" s="15" t="s">
        <v>725</v>
      </c>
      <c r="E2932" s="15" t="s">
        <v>4524</v>
      </c>
    </row>
    <row r="2933" spans="2:5">
      <c r="B2933" s="15" t="s">
        <v>4523</v>
      </c>
      <c r="C2933" s="15" t="s">
        <v>896</v>
      </c>
      <c r="D2933" s="15" t="s">
        <v>727</v>
      </c>
      <c r="E2933" s="15" t="s">
        <v>4525</v>
      </c>
    </row>
    <row r="2934" spans="2:5">
      <c r="B2934" s="15" t="s">
        <v>4523</v>
      </c>
      <c r="C2934" s="15" t="s">
        <v>896</v>
      </c>
      <c r="D2934" s="15" t="s">
        <v>729</v>
      </c>
      <c r="E2934" s="15" t="s">
        <v>4526</v>
      </c>
    </row>
    <row r="2935" ht="15.95" spans="2:2">
      <c r="B2935" s="122" t="s">
        <v>4527</v>
      </c>
    </row>
    <row r="2936" spans="2:5">
      <c r="B2936" s="15" t="s">
        <v>4528</v>
      </c>
      <c r="C2936" s="15"/>
      <c r="D2936" s="15" t="s">
        <v>1267</v>
      </c>
      <c r="E2936" s="15" t="s">
        <v>1355</v>
      </c>
    </row>
    <row r="2937" spans="2:5">
      <c r="B2937" s="15" t="s">
        <v>4528</v>
      </c>
      <c r="C2937" s="15"/>
      <c r="D2937" s="15" t="s">
        <v>1269</v>
      </c>
      <c r="E2937" s="15" t="s">
        <v>1356</v>
      </c>
    </row>
    <row r="2938" ht="15.95" spans="2:2">
      <c r="B2938" s="122" t="s">
        <v>4529</v>
      </c>
    </row>
    <row r="2939" spans="2:5">
      <c r="B2939" s="15" t="s">
        <v>4530</v>
      </c>
      <c r="C2939" s="15" t="s">
        <v>4530</v>
      </c>
      <c r="D2939" s="15" t="s">
        <v>723</v>
      </c>
      <c r="E2939" s="15" t="s">
        <v>1201</v>
      </c>
    </row>
    <row r="2940" spans="2:5">
      <c r="B2940" s="15" t="s">
        <v>4530</v>
      </c>
      <c r="C2940" s="15" t="s">
        <v>4530</v>
      </c>
      <c r="D2940" s="15" t="s">
        <v>725</v>
      </c>
      <c r="E2940" s="15" t="s">
        <v>1202</v>
      </c>
    </row>
    <row r="2941" spans="2:5">
      <c r="B2941" s="15" t="s">
        <v>4530</v>
      </c>
      <c r="C2941" s="15" t="s">
        <v>4530</v>
      </c>
      <c r="D2941" s="15" t="s">
        <v>727</v>
      </c>
      <c r="E2941" s="15" t="s">
        <v>1203</v>
      </c>
    </row>
    <row r="2942" spans="2:5">
      <c r="B2942" s="15" t="s">
        <v>4530</v>
      </c>
      <c r="C2942" s="15" t="s">
        <v>4530</v>
      </c>
      <c r="D2942" s="15" t="s">
        <v>729</v>
      </c>
      <c r="E2942" s="15" t="s">
        <v>1936</v>
      </c>
    </row>
    <row r="2943" ht="15.95" spans="2:2">
      <c r="B2943" s="122" t="s">
        <v>4531</v>
      </c>
    </row>
    <row r="2944" spans="2:5">
      <c r="B2944" s="15" t="s">
        <v>4532</v>
      </c>
      <c r="C2944" s="15" t="s">
        <v>4533</v>
      </c>
      <c r="D2944" s="15" t="s">
        <v>4534</v>
      </c>
      <c r="E2944" s="15" t="s">
        <v>2902</v>
      </c>
    </row>
    <row r="2945" spans="2:5">
      <c r="B2945" s="15" t="s">
        <v>4532</v>
      </c>
      <c r="C2945" s="15" t="s">
        <v>4533</v>
      </c>
      <c r="D2945" s="15" t="s">
        <v>4535</v>
      </c>
      <c r="E2945" s="15" t="s">
        <v>1608</v>
      </c>
    </row>
    <row r="2946" spans="2:5">
      <c r="B2946" s="15" t="s">
        <v>4532</v>
      </c>
      <c r="C2946" s="15" t="s">
        <v>4533</v>
      </c>
      <c r="D2946" s="15" t="s">
        <v>4536</v>
      </c>
      <c r="E2946" s="15" t="s">
        <v>4537</v>
      </c>
    </row>
    <row r="2947" spans="2:5">
      <c r="B2947" s="15" t="s">
        <v>4532</v>
      </c>
      <c r="C2947" s="15" t="s">
        <v>4533</v>
      </c>
      <c r="D2947" s="15" t="s">
        <v>4538</v>
      </c>
      <c r="E2947" s="15" t="s">
        <v>4539</v>
      </c>
    </row>
    <row r="2948" ht="15.95" spans="2:2">
      <c r="B2948" s="122" t="s">
        <v>4540</v>
      </c>
    </row>
    <row r="2949" spans="2:5">
      <c r="B2949" s="15" t="s">
        <v>4541</v>
      </c>
      <c r="C2949" s="15" t="s">
        <v>4541</v>
      </c>
      <c r="D2949" s="15" t="s">
        <v>723</v>
      </c>
      <c r="E2949" s="15" t="s">
        <v>1712</v>
      </c>
    </row>
    <row r="2950" spans="2:5">
      <c r="B2950" s="15" t="s">
        <v>4541</v>
      </c>
      <c r="C2950" s="15" t="s">
        <v>4541</v>
      </c>
      <c r="D2950" s="15" t="s">
        <v>725</v>
      </c>
      <c r="E2950" s="15" t="s">
        <v>1203</v>
      </c>
    </row>
    <row r="2951" spans="2:5">
      <c r="B2951" s="15" t="s">
        <v>4541</v>
      </c>
      <c r="C2951" s="15" t="s">
        <v>4541</v>
      </c>
      <c r="D2951" s="15" t="s">
        <v>727</v>
      </c>
      <c r="E2951" s="15" t="s">
        <v>1713</v>
      </c>
    </row>
    <row r="2952" ht="15.95" spans="2:2">
      <c r="B2952" s="122" t="s">
        <v>4542</v>
      </c>
    </row>
    <row r="2953" spans="2:5">
      <c r="B2953" s="15" t="s">
        <v>4543</v>
      </c>
      <c r="C2953" s="15" t="s">
        <v>4544</v>
      </c>
      <c r="D2953" s="15" t="s">
        <v>2332</v>
      </c>
      <c r="E2953" s="15" t="s">
        <v>4545</v>
      </c>
    </row>
    <row r="2954" spans="2:5">
      <c r="B2954" s="15" t="s">
        <v>4543</v>
      </c>
      <c r="C2954" s="15" t="s">
        <v>4544</v>
      </c>
      <c r="D2954" s="15" t="s">
        <v>2334</v>
      </c>
      <c r="E2954" s="15" t="s">
        <v>4546</v>
      </c>
    </row>
    <row r="2955" spans="2:5">
      <c r="B2955" s="15" t="s">
        <v>4543</v>
      </c>
      <c r="C2955" s="15" t="s">
        <v>4544</v>
      </c>
      <c r="D2955" s="15" t="s">
        <v>4547</v>
      </c>
      <c r="E2955" s="15" t="s">
        <v>4548</v>
      </c>
    </row>
    <row r="2956" spans="2:5">
      <c r="B2956" s="15" t="s">
        <v>4543</v>
      </c>
      <c r="C2956" s="15" t="s">
        <v>4544</v>
      </c>
      <c r="D2956" s="15" t="s">
        <v>4549</v>
      </c>
      <c r="E2956" s="15" t="s">
        <v>4550</v>
      </c>
    </row>
    <row r="2957" ht="15.95" spans="2:2">
      <c r="B2957" s="122" t="s">
        <v>4551</v>
      </c>
    </row>
    <row r="2958" spans="2:5">
      <c r="B2958" s="15" t="s">
        <v>4552</v>
      </c>
      <c r="C2958" s="15" t="s">
        <v>4553</v>
      </c>
      <c r="D2958" s="15" t="s">
        <v>1267</v>
      </c>
      <c r="E2958" s="15" t="s">
        <v>1355</v>
      </c>
    </row>
    <row r="2959" spans="2:5">
      <c r="B2959" s="15" t="s">
        <v>4552</v>
      </c>
      <c r="C2959" s="15" t="s">
        <v>4553</v>
      </c>
      <c r="D2959" s="15" t="s">
        <v>1269</v>
      </c>
      <c r="E2959" s="15" t="s">
        <v>1356</v>
      </c>
    </row>
    <row r="2960" ht="15.95" spans="2:2">
      <c r="B2960" s="122" t="s">
        <v>4554</v>
      </c>
    </row>
    <row r="2961" spans="2:5">
      <c r="B2961" s="15" t="s">
        <v>4555</v>
      </c>
      <c r="C2961" s="15" t="s">
        <v>4556</v>
      </c>
      <c r="D2961" s="15" t="s">
        <v>1432</v>
      </c>
      <c r="E2961" s="15" t="s">
        <v>4557</v>
      </c>
    </row>
    <row r="2962" spans="2:5">
      <c r="B2962" s="15" t="s">
        <v>4555</v>
      </c>
      <c r="C2962" s="15" t="s">
        <v>4556</v>
      </c>
      <c r="D2962" s="15" t="s">
        <v>723</v>
      </c>
      <c r="E2962" s="15" t="s">
        <v>4558</v>
      </c>
    </row>
    <row r="2963" ht="15.95" spans="2:2">
      <c r="B2963" s="122" t="s">
        <v>4559</v>
      </c>
    </row>
    <row r="2964" spans="2:5">
      <c r="B2964" s="15" t="s">
        <v>4560</v>
      </c>
      <c r="C2964" s="15" t="s">
        <v>4561</v>
      </c>
      <c r="D2964" s="15" t="s">
        <v>1432</v>
      </c>
      <c r="E2964" s="15" t="s">
        <v>4562</v>
      </c>
    </row>
    <row r="2965" spans="2:5">
      <c r="B2965" s="15" t="s">
        <v>4560</v>
      </c>
      <c r="C2965" s="15" t="s">
        <v>4561</v>
      </c>
      <c r="D2965" s="15" t="s">
        <v>723</v>
      </c>
      <c r="E2965" s="15" t="s">
        <v>4563</v>
      </c>
    </row>
    <row r="2966" spans="2:5">
      <c r="B2966" s="15" t="s">
        <v>4560</v>
      </c>
      <c r="C2966" s="15" t="s">
        <v>4561</v>
      </c>
      <c r="D2966" s="15" t="s">
        <v>727</v>
      </c>
      <c r="E2966" s="15" t="s">
        <v>4564</v>
      </c>
    </row>
    <row r="2967" spans="2:5">
      <c r="B2967" s="15" t="s">
        <v>4560</v>
      </c>
      <c r="C2967" s="15" t="s">
        <v>4561</v>
      </c>
      <c r="D2967" s="15" t="s">
        <v>729</v>
      </c>
      <c r="E2967" s="15" t="s">
        <v>4565</v>
      </c>
    </row>
    <row r="2968" spans="2:5">
      <c r="B2968" s="15" t="s">
        <v>4560</v>
      </c>
      <c r="C2968" s="15" t="s">
        <v>4561</v>
      </c>
      <c r="D2968" s="15" t="s">
        <v>760</v>
      </c>
      <c r="E2968" s="15" t="s">
        <v>4566</v>
      </c>
    </row>
    <row r="2969" spans="2:5">
      <c r="B2969" s="15" t="s">
        <v>4560</v>
      </c>
      <c r="C2969" s="15" t="s">
        <v>4561</v>
      </c>
      <c r="D2969" s="15" t="s">
        <v>762</v>
      </c>
      <c r="E2969" s="15" t="s">
        <v>4567</v>
      </c>
    </row>
    <row r="2970" spans="2:5">
      <c r="B2970" s="15" t="s">
        <v>4560</v>
      </c>
      <c r="C2970" s="15" t="s">
        <v>4561</v>
      </c>
      <c r="D2970" s="15" t="s">
        <v>764</v>
      </c>
      <c r="E2970" s="15" t="s">
        <v>4568</v>
      </c>
    </row>
    <row r="2971" spans="2:5">
      <c r="B2971" s="15" t="s">
        <v>4560</v>
      </c>
      <c r="C2971" s="15" t="s">
        <v>4561</v>
      </c>
      <c r="D2971" s="15" t="s">
        <v>860</v>
      </c>
      <c r="E2971" s="15" t="s">
        <v>4569</v>
      </c>
    </row>
    <row r="2972" spans="2:5">
      <c r="B2972" s="15" t="s">
        <v>4560</v>
      </c>
      <c r="C2972" s="15" t="s">
        <v>4561</v>
      </c>
      <c r="D2972" s="15" t="s">
        <v>1269</v>
      </c>
      <c r="E2972" s="15" t="s">
        <v>4570</v>
      </c>
    </row>
    <row r="2973" spans="2:5">
      <c r="B2973" s="15" t="s">
        <v>4560</v>
      </c>
      <c r="C2973" s="15" t="s">
        <v>4561</v>
      </c>
      <c r="D2973" s="15" t="s">
        <v>4571</v>
      </c>
      <c r="E2973" s="15" t="s">
        <v>766</v>
      </c>
    </row>
    <row r="2974" ht="15.95" spans="2:2">
      <c r="B2974" s="122" t="s">
        <v>4572</v>
      </c>
    </row>
    <row r="2975" spans="2:5">
      <c r="B2975" s="15" t="s">
        <v>4573</v>
      </c>
      <c r="C2975" s="15" t="s">
        <v>4574</v>
      </c>
      <c r="D2975" s="15" t="s">
        <v>635</v>
      </c>
      <c r="E2975" s="15" t="s">
        <v>636</v>
      </c>
    </row>
    <row r="2976" spans="2:5">
      <c r="B2976" s="15" t="s">
        <v>4573</v>
      </c>
      <c r="C2976" s="15" t="s">
        <v>4574</v>
      </c>
      <c r="D2976" s="15" t="s">
        <v>637</v>
      </c>
      <c r="E2976" s="15" t="s">
        <v>2492</v>
      </c>
    </row>
    <row r="2977" spans="2:5">
      <c r="B2977" s="15" t="s">
        <v>4573</v>
      </c>
      <c r="C2977" s="15" t="s">
        <v>4574</v>
      </c>
      <c r="D2977" s="15" t="s">
        <v>641</v>
      </c>
      <c r="E2977" s="15" t="s">
        <v>3351</v>
      </c>
    </row>
    <row r="2978" spans="2:5">
      <c r="B2978" s="15" t="s">
        <v>4573</v>
      </c>
      <c r="C2978" s="15" t="s">
        <v>4574</v>
      </c>
      <c r="D2978" s="15" t="s">
        <v>643</v>
      </c>
      <c r="E2978" s="15" t="s">
        <v>1991</v>
      </c>
    </row>
    <row r="2979" spans="2:5">
      <c r="B2979" s="15" t="s">
        <v>4573</v>
      </c>
      <c r="C2979" s="15" t="s">
        <v>4574</v>
      </c>
      <c r="D2979" s="15" t="s">
        <v>645</v>
      </c>
      <c r="E2979" s="15" t="s">
        <v>1992</v>
      </c>
    </row>
    <row r="2980" ht="15.95" spans="2:2">
      <c r="B2980" s="122" t="s">
        <v>4575</v>
      </c>
    </row>
    <row r="2981" spans="2:5">
      <c r="B2981" s="15" t="s">
        <v>4576</v>
      </c>
      <c r="C2981" s="15" t="s">
        <v>2211</v>
      </c>
      <c r="D2981" s="15" t="s">
        <v>4577</v>
      </c>
      <c r="E2981" s="15" t="s">
        <v>906</v>
      </c>
    </row>
    <row r="2982" spans="2:5">
      <c r="B2982" s="15" t="s">
        <v>4576</v>
      </c>
      <c r="C2982" s="15" t="s">
        <v>2211</v>
      </c>
      <c r="D2982" s="15" t="s">
        <v>2617</v>
      </c>
      <c r="E2982" s="15" t="s">
        <v>907</v>
      </c>
    </row>
    <row r="2983" ht="15.95" spans="2:2">
      <c r="B2983" s="122" t="s">
        <v>4578</v>
      </c>
    </row>
    <row r="2984" spans="2:5">
      <c r="B2984" s="15" t="s">
        <v>4579</v>
      </c>
      <c r="C2984" s="15" t="s">
        <v>4580</v>
      </c>
      <c r="D2984" s="15" t="s">
        <v>635</v>
      </c>
      <c r="E2984" s="15" t="s">
        <v>4581</v>
      </c>
    </row>
    <row r="2985" spans="2:5">
      <c r="B2985" s="15" t="s">
        <v>4579</v>
      </c>
      <c r="C2985" s="15" t="s">
        <v>4580</v>
      </c>
      <c r="D2985" s="15" t="s">
        <v>659</v>
      </c>
      <c r="E2985" s="15" t="s">
        <v>875</v>
      </c>
    </row>
    <row r="2986" spans="2:5">
      <c r="B2986" s="15" t="s">
        <v>4579</v>
      </c>
      <c r="C2986" s="15" t="s">
        <v>4580</v>
      </c>
      <c r="D2986" s="15" t="s">
        <v>679</v>
      </c>
      <c r="E2986" s="15" t="s">
        <v>878</v>
      </c>
    </row>
    <row r="2987" spans="2:5">
      <c r="B2987" s="15" t="s">
        <v>4579</v>
      </c>
      <c r="C2987" s="15" t="s">
        <v>4580</v>
      </c>
      <c r="D2987" s="15" t="s">
        <v>705</v>
      </c>
      <c r="E2987" s="15" t="s">
        <v>876</v>
      </c>
    </row>
    <row r="2988" spans="2:5">
      <c r="B2988" s="15" t="s">
        <v>4579</v>
      </c>
      <c r="C2988" s="15" t="s">
        <v>4580</v>
      </c>
      <c r="D2988" s="15" t="s">
        <v>709</v>
      </c>
      <c r="E2988" s="15" t="s">
        <v>4582</v>
      </c>
    </row>
    <row r="2989" spans="2:5">
      <c r="B2989" s="15" t="s">
        <v>4579</v>
      </c>
      <c r="C2989" s="15" t="s">
        <v>4580</v>
      </c>
      <c r="D2989" s="15" t="s">
        <v>838</v>
      </c>
      <c r="E2989" s="15" t="s">
        <v>879</v>
      </c>
    </row>
    <row r="2990" ht="15.95" spans="2:2">
      <c r="B2990" s="122" t="s">
        <v>4583</v>
      </c>
    </row>
    <row r="2991" spans="2:5">
      <c r="B2991" s="15" t="s">
        <v>4584</v>
      </c>
      <c r="C2991" s="15" t="s">
        <v>4584</v>
      </c>
      <c r="D2991" s="15" t="s">
        <v>723</v>
      </c>
      <c r="E2991" s="15" t="s">
        <v>4585</v>
      </c>
    </row>
    <row r="2992" spans="2:5">
      <c r="B2992" s="15" t="s">
        <v>4584</v>
      </c>
      <c r="C2992" s="15" t="s">
        <v>4584</v>
      </c>
      <c r="D2992" s="15" t="s">
        <v>725</v>
      </c>
      <c r="E2992" s="15" t="s">
        <v>4586</v>
      </c>
    </row>
    <row r="2993" spans="2:5">
      <c r="B2993" s="15" t="s">
        <v>4584</v>
      </c>
      <c r="C2993" s="15" t="s">
        <v>4584</v>
      </c>
      <c r="D2993" s="15" t="s">
        <v>727</v>
      </c>
      <c r="E2993" s="15" t="s">
        <v>4587</v>
      </c>
    </row>
    <row r="2994" spans="2:5">
      <c r="B2994" s="15" t="s">
        <v>4584</v>
      </c>
      <c r="C2994" s="15" t="s">
        <v>4584</v>
      </c>
      <c r="D2994" s="15" t="s">
        <v>729</v>
      </c>
      <c r="E2994" s="15" t="s">
        <v>4588</v>
      </c>
    </row>
    <row r="2995" spans="2:5">
      <c r="B2995" s="15" t="s">
        <v>4584</v>
      </c>
      <c r="C2995" s="15" t="s">
        <v>4584</v>
      </c>
      <c r="D2995" s="15" t="s">
        <v>760</v>
      </c>
      <c r="E2995" s="15" t="s">
        <v>4589</v>
      </c>
    </row>
    <row r="2996" spans="2:5">
      <c r="B2996" s="15" t="s">
        <v>4584</v>
      </c>
      <c r="C2996" s="15" t="s">
        <v>4584</v>
      </c>
      <c r="D2996" s="15" t="s">
        <v>762</v>
      </c>
      <c r="E2996" s="15" t="s">
        <v>4590</v>
      </c>
    </row>
    <row r="2997" spans="2:5">
      <c r="B2997" s="15" t="s">
        <v>4584</v>
      </c>
      <c r="C2997" s="15" t="s">
        <v>4584</v>
      </c>
      <c r="D2997" s="15" t="s">
        <v>764</v>
      </c>
      <c r="E2997" s="15" t="s">
        <v>4591</v>
      </c>
    </row>
    <row r="2998" ht="15.95" spans="2:2">
      <c r="B2998" s="122" t="s">
        <v>4592</v>
      </c>
    </row>
    <row r="2999" spans="2:5">
      <c r="B2999" s="15" t="s">
        <v>4593</v>
      </c>
      <c r="C2999" s="15" t="s">
        <v>896</v>
      </c>
      <c r="D2999" s="15" t="s">
        <v>770</v>
      </c>
      <c r="E2999" s="15" t="s">
        <v>1343</v>
      </c>
    </row>
    <row r="3000" spans="2:5">
      <c r="B3000" s="15" t="s">
        <v>4593</v>
      </c>
      <c r="C3000" s="15" t="s">
        <v>896</v>
      </c>
      <c r="D3000" s="15" t="s">
        <v>772</v>
      </c>
      <c r="E3000" s="15" t="s">
        <v>1344</v>
      </c>
    </row>
    <row r="3001" spans="2:5">
      <c r="B3001" s="15" t="s">
        <v>4593</v>
      </c>
      <c r="C3001" s="15" t="s">
        <v>896</v>
      </c>
      <c r="D3001" s="15" t="s">
        <v>774</v>
      </c>
      <c r="E3001" s="15" t="s">
        <v>1345</v>
      </c>
    </row>
    <row r="3002" spans="2:5">
      <c r="B3002" s="15" t="s">
        <v>4593</v>
      </c>
      <c r="C3002" s="15" t="s">
        <v>896</v>
      </c>
      <c r="D3002" s="15" t="s">
        <v>828</v>
      </c>
      <c r="E3002" s="15" t="s">
        <v>235</v>
      </c>
    </row>
    <row r="3003" ht="15.95" spans="2:2">
      <c r="B3003" s="122" t="s">
        <v>4594</v>
      </c>
    </row>
    <row r="3004" spans="2:5">
      <c r="B3004" s="15" t="s">
        <v>4595</v>
      </c>
      <c r="C3004" s="15" t="s">
        <v>896</v>
      </c>
      <c r="D3004" s="15" t="s">
        <v>723</v>
      </c>
      <c r="E3004" s="15" t="s">
        <v>4596</v>
      </c>
    </row>
    <row r="3005" spans="2:5">
      <c r="B3005" s="15" t="s">
        <v>4595</v>
      </c>
      <c r="C3005" s="15" t="s">
        <v>896</v>
      </c>
      <c r="D3005" s="15" t="s">
        <v>725</v>
      </c>
      <c r="E3005" s="15" t="s">
        <v>4597</v>
      </c>
    </row>
    <row r="3006" spans="2:5">
      <c r="B3006" s="15" t="s">
        <v>4595</v>
      </c>
      <c r="C3006" s="15" t="s">
        <v>896</v>
      </c>
      <c r="D3006" s="15" t="s">
        <v>727</v>
      </c>
      <c r="E3006" s="15" t="s">
        <v>862</v>
      </c>
    </row>
    <row r="3007" ht="15.95" spans="2:6">
      <c r="B3007" s="122" t="s">
        <v>4598</v>
      </c>
      <c r="F3007" s="2" t="s">
        <v>3039</v>
      </c>
    </row>
    <row r="3008" spans="2:6">
      <c r="B3008" s="46" t="s">
        <v>4599</v>
      </c>
      <c r="C3008" s="46" t="s">
        <v>4600</v>
      </c>
      <c r="D3008" s="46" t="s">
        <v>635</v>
      </c>
      <c r="E3008" s="46" t="s">
        <v>4601</v>
      </c>
      <c r="F3008" s="84" t="s">
        <v>4601</v>
      </c>
    </row>
    <row r="3009" spans="2:6">
      <c r="B3009" s="46" t="s">
        <v>4599</v>
      </c>
      <c r="C3009" s="46" t="s">
        <v>4600</v>
      </c>
      <c r="D3009" s="46" t="s">
        <v>659</v>
      </c>
      <c r="E3009" s="46" t="s">
        <v>4602</v>
      </c>
      <c r="F3009" s="84" t="s">
        <v>4603</v>
      </c>
    </row>
    <row r="3010" ht="16" spans="2:6">
      <c r="B3010" s="46" t="s">
        <v>4599</v>
      </c>
      <c r="C3010" s="46" t="s">
        <v>4600</v>
      </c>
      <c r="D3010" s="46" t="s">
        <v>679</v>
      </c>
      <c r="E3010" s="46" t="s">
        <v>4604</v>
      </c>
      <c r="F3010" s="125" t="s">
        <v>4605</v>
      </c>
    </row>
    <row r="3011" ht="16" spans="2:6">
      <c r="B3011" s="46" t="s">
        <v>4599</v>
      </c>
      <c r="C3011" s="46" t="s">
        <v>4600</v>
      </c>
      <c r="D3011" s="46" t="s">
        <v>705</v>
      </c>
      <c r="E3011" s="46" t="s">
        <v>4606</v>
      </c>
      <c r="F3011" s="125" t="s">
        <v>4607</v>
      </c>
    </row>
    <row r="3012" ht="16" spans="2:6">
      <c r="B3012" s="46" t="s">
        <v>4599</v>
      </c>
      <c r="C3012" s="46" t="s">
        <v>4600</v>
      </c>
      <c r="D3012" s="46" t="s">
        <v>838</v>
      </c>
      <c r="E3012" s="46" t="s">
        <v>3160</v>
      </c>
      <c r="F3012" s="125" t="s">
        <v>4608</v>
      </c>
    </row>
    <row r="3013" ht="16" spans="2:6">
      <c r="B3013" s="46" t="s">
        <v>4599</v>
      </c>
      <c r="C3013" s="46" t="s">
        <v>4600</v>
      </c>
      <c r="D3013" s="46" t="s">
        <v>840</v>
      </c>
      <c r="E3013" s="46" t="s">
        <v>4605</v>
      </c>
      <c r="F3013" s="125" t="s">
        <v>4609</v>
      </c>
    </row>
    <row r="3014" spans="2:5">
      <c r="B3014" s="15" t="s">
        <v>4599</v>
      </c>
      <c r="C3014" s="15" t="s">
        <v>4600</v>
      </c>
      <c r="D3014" s="15" t="s">
        <v>842</v>
      </c>
      <c r="E3014" s="15" t="s">
        <v>4608</v>
      </c>
    </row>
    <row r="3015" spans="2:5">
      <c r="B3015" s="15" t="s">
        <v>4599</v>
      </c>
      <c r="C3015" s="15" t="s">
        <v>4600</v>
      </c>
      <c r="D3015" s="15" t="s">
        <v>844</v>
      </c>
      <c r="E3015" s="15" t="s">
        <v>1540</v>
      </c>
    </row>
    <row r="3016" spans="2:5">
      <c r="B3016" s="15" t="s">
        <v>4599</v>
      </c>
      <c r="C3016" s="15" t="s">
        <v>4600</v>
      </c>
      <c r="D3016" s="15" t="s">
        <v>846</v>
      </c>
      <c r="E3016" s="15" t="s">
        <v>4610</v>
      </c>
    </row>
    <row r="3017" spans="2:5">
      <c r="B3017" s="15" t="s">
        <v>4599</v>
      </c>
      <c r="C3017" s="15" t="s">
        <v>4600</v>
      </c>
      <c r="D3017" s="15" t="s">
        <v>713</v>
      </c>
      <c r="E3017" s="15" t="s">
        <v>3044</v>
      </c>
    </row>
    <row r="3018" spans="2:5">
      <c r="B3018" s="15" t="s">
        <v>4599</v>
      </c>
      <c r="C3018" s="15" t="s">
        <v>4600</v>
      </c>
      <c r="D3018" s="15" t="s">
        <v>849</v>
      </c>
      <c r="E3018" s="15" t="s">
        <v>235</v>
      </c>
    </row>
    <row r="3019" ht="15.95" spans="2:2">
      <c r="B3019" s="122" t="s">
        <v>4611</v>
      </c>
    </row>
    <row r="3020" spans="2:5">
      <c r="B3020" s="15" t="s">
        <v>4612</v>
      </c>
      <c r="C3020" s="15" t="s">
        <v>4613</v>
      </c>
      <c r="D3020" s="15" t="s">
        <v>770</v>
      </c>
      <c r="E3020" s="15" t="s">
        <v>4614</v>
      </c>
    </row>
    <row r="3021" spans="2:5">
      <c r="B3021" s="15" t="s">
        <v>4612</v>
      </c>
      <c r="C3021" s="15" t="s">
        <v>4613</v>
      </c>
      <c r="D3021" s="15" t="s">
        <v>772</v>
      </c>
      <c r="E3021" s="15" t="s">
        <v>4615</v>
      </c>
    </row>
    <row r="3022" spans="2:5">
      <c r="B3022" s="15" t="s">
        <v>4612</v>
      </c>
      <c r="C3022" s="15" t="s">
        <v>4613</v>
      </c>
      <c r="D3022" s="15" t="s">
        <v>774</v>
      </c>
      <c r="E3022" s="15" t="s">
        <v>235</v>
      </c>
    </row>
    <row r="3023" ht="15.95" spans="2:2">
      <c r="B3023" s="122" t="s">
        <v>4616</v>
      </c>
    </row>
    <row r="3024" spans="2:5">
      <c r="B3024" s="15" t="s">
        <v>4617</v>
      </c>
      <c r="C3024" s="15" t="s">
        <v>4618</v>
      </c>
      <c r="D3024" s="15" t="s">
        <v>1432</v>
      </c>
      <c r="E3024" s="15" t="s">
        <v>4619</v>
      </c>
    </row>
    <row r="3025" spans="2:5">
      <c r="B3025" s="15" t="s">
        <v>4617</v>
      </c>
      <c r="C3025" s="15" t="s">
        <v>4618</v>
      </c>
      <c r="D3025" s="15" t="s">
        <v>723</v>
      </c>
      <c r="E3025" s="15" t="s">
        <v>4620</v>
      </c>
    </row>
    <row r="3026" ht="15.95" spans="2:2">
      <c r="B3026" s="122" t="s">
        <v>4621</v>
      </c>
    </row>
    <row r="3027" spans="2:5">
      <c r="B3027" s="15" t="s">
        <v>4622</v>
      </c>
      <c r="C3027" s="15" t="s">
        <v>4623</v>
      </c>
      <c r="D3027" s="15" t="s">
        <v>635</v>
      </c>
      <c r="E3027" s="15" t="s">
        <v>668</v>
      </c>
    </row>
    <row r="3028" spans="2:5">
      <c r="B3028" s="15" t="s">
        <v>4622</v>
      </c>
      <c r="C3028" s="15" t="s">
        <v>4623</v>
      </c>
      <c r="D3028" s="15" t="s">
        <v>659</v>
      </c>
      <c r="E3028" s="15" t="s">
        <v>670</v>
      </c>
    </row>
    <row r="3029" spans="2:5">
      <c r="B3029" s="15" t="s">
        <v>4622</v>
      </c>
      <c r="C3029" s="15" t="s">
        <v>4623</v>
      </c>
      <c r="D3029" s="15" t="s">
        <v>679</v>
      </c>
      <c r="E3029" s="15" t="s">
        <v>672</v>
      </c>
    </row>
    <row r="3030" ht="15.95" spans="2:2">
      <c r="B3030" s="122" t="s">
        <v>4624</v>
      </c>
    </row>
    <row r="3031" spans="2:5">
      <c r="B3031" s="15" t="s">
        <v>4625</v>
      </c>
      <c r="C3031" s="15" t="s">
        <v>4626</v>
      </c>
      <c r="D3031" s="15" t="s">
        <v>770</v>
      </c>
      <c r="E3031" s="15" t="s">
        <v>4627</v>
      </c>
    </row>
    <row r="3032" spans="2:5">
      <c r="B3032" s="15" t="s">
        <v>4625</v>
      </c>
      <c r="C3032" s="15" t="s">
        <v>4626</v>
      </c>
      <c r="D3032" s="15" t="s">
        <v>772</v>
      </c>
      <c r="E3032" s="15" t="s">
        <v>4628</v>
      </c>
    </row>
    <row r="3033" spans="2:5">
      <c r="B3033" s="15" t="s">
        <v>4625</v>
      </c>
      <c r="C3033" s="15" t="s">
        <v>4626</v>
      </c>
      <c r="D3033" s="15" t="s">
        <v>774</v>
      </c>
      <c r="E3033" s="15" t="s">
        <v>235</v>
      </c>
    </row>
    <row r="3034" ht="15.95" spans="2:2">
      <c r="B3034" s="122" t="s">
        <v>4629</v>
      </c>
    </row>
    <row r="3035" spans="2:5">
      <c r="B3035" s="15" t="s">
        <v>4630</v>
      </c>
      <c r="C3035" s="15" t="s">
        <v>4631</v>
      </c>
      <c r="D3035" s="15" t="s">
        <v>770</v>
      </c>
      <c r="E3035" s="15" t="s">
        <v>2232</v>
      </c>
    </row>
    <row r="3036" spans="2:5">
      <c r="B3036" s="15" t="s">
        <v>4630</v>
      </c>
      <c r="C3036" s="15" t="s">
        <v>4631</v>
      </c>
      <c r="D3036" s="15" t="s">
        <v>772</v>
      </c>
      <c r="E3036" s="15" t="s">
        <v>2233</v>
      </c>
    </row>
    <row r="3037" spans="2:5">
      <c r="B3037" s="15" t="s">
        <v>4630</v>
      </c>
      <c r="C3037" s="15" t="s">
        <v>4631</v>
      </c>
      <c r="D3037" s="15" t="s">
        <v>774</v>
      </c>
      <c r="E3037" s="15" t="s">
        <v>2234</v>
      </c>
    </row>
    <row r="3038" spans="2:5">
      <c r="B3038" s="15" t="s">
        <v>4630</v>
      </c>
      <c r="C3038" s="15" t="s">
        <v>4631</v>
      </c>
      <c r="D3038" s="15" t="s">
        <v>828</v>
      </c>
      <c r="E3038" s="15" t="s">
        <v>2235</v>
      </c>
    </row>
    <row r="3039" ht="15.95" spans="2:2">
      <c r="B3039" s="122" t="s">
        <v>4632</v>
      </c>
    </row>
    <row r="3040" spans="2:5">
      <c r="B3040" s="15" t="s">
        <v>4633</v>
      </c>
      <c r="C3040" s="15" t="s">
        <v>896</v>
      </c>
      <c r="D3040" s="15" t="s">
        <v>770</v>
      </c>
      <c r="E3040" s="15" t="s">
        <v>4634</v>
      </c>
    </row>
    <row r="3041" spans="2:5">
      <c r="B3041" s="15" t="s">
        <v>4633</v>
      </c>
      <c r="C3041" s="15" t="s">
        <v>896</v>
      </c>
      <c r="D3041" s="15" t="s">
        <v>772</v>
      </c>
      <c r="E3041" s="15" t="s">
        <v>4635</v>
      </c>
    </row>
    <row r="3042" spans="2:5">
      <c r="B3042" s="15" t="s">
        <v>4633</v>
      </c>
      <c r="C3042" s="15" t="s">
        <v>896</v>
      </c>
      <c r="D3042" s="15" t="s">
        <v>774</v>
      </c>
      <c r="E3042" s="15" t="s">
        <v>4636</v>
      </c>
    </row>
    <row r="3043" spans="2:5">
      <c r="B3043" s="15" t="s">
        <v>4633</v>
      </c>
      <c r="C3043" s="15" t="s">
        <v>896</v>
      </c>
      <c r="D3043" s="15" t="s">
        <v>828</v>
      </c>
      <c r="E3043" s="15" t="s">
        <v>4637</v>
      </c>
    </row>
    <row r="3044" spans="2:5">
      <c r="B3044" s="15" t="s">
        <v>4633</v>
      </c>
      <c r="C3044" s="15" t="s">
        <v>896</v>
      </c>
      <c r="D3044" s="15" t="s">
        <v>901</v>
      </c>
      <c r="E3044" s="15" t="s">
        <v>4638</v>
      </c>
    </row>
    <row r="3045" spans="2:5">
      <c r="B3045" s="15" t="s">
        <v>4633</v>
      </c>
      <c r="C3045" s="15" t="s">
        <v>896</v>
      </c>
      <c r="D3045" s="15" t="s">
        <v>776</v>
      </c>
      <c r="E3045" s="15" t="s">
        <v>4639</v>
      </c>
    </row>
    <row r="3046" spans="2:5">
      <c r="B3046" s="15" t="s">
        <v>4633</v>
      </c>
      <c r="C3046" s="15" t="s">
        <v>896</v>
      </c>
      <c r="D3046" s="15" t="s">
        <v>1290</v>
      </c>
      <c r="E3046" s="15" t="s">
        <v>4640</v>
      </c>
    </row>
    <row r="3047" spans="2:5">
      <c r="B3047" s="15" t="s">
        <v>4633</v>
      </c>
      <c r="C3047" s="15" t="s">
        <v>896</v>
      </c>
      <c r="D3047" s="15" t="s">
        <v>1409</v>
      </c>
      <c r="E3047" s="15" t="s">
        <v>4641</v>
      </c>
    </row>
    <row r="3048" ht="15.95" spans="2:2">
      <c r="B3048" s="122" t="s">
        <v>4642</v>
      </c>
    </row>
    <row r="3049" spans="2:5">
      <c r="B3049" s="15" t="s">
        <v>4643</v>
      </c>
      <c r="C3049" s="15" t="s">
        <v>896</v>
      </c>
      <c r="D3049" s="15" t="s">
        <v>770</v>
      </c>
      <c r="E3049" s="15" t="s">
        <v>1643</v>
      </c>
    </row>
    <row r="3050" spans="2:5">
      <c r="B3050" s="15" t="s">
        <v>4643</v>
      </c>
      <c r="C3050" s="15" t="s">
        <v>896</v>
      </c>
      <c r="D3050" s="15" t="s">
        <v>772</v>
      </c>
      <c r="E3050" s="15" t="s">
        <v>862</v>
      </c>
    </row>
    <row r="3051" ht="15.95" spans="2:2">
      <c r="B3051" s="122" t="s">
        <v>4644</v>
      </c>
    </row>
    <row r="3052" spans="2:5">
      <c r="B3052" s="15" t="s">
        <v>4645</v>
      </c>
      <c r="C3052" s="15" t="s">
        <v>4645</v>
      </c>
      <c r="D3052" s="15" t="s">
        <v>723</v>
      </c>
      <c r="E3052" s="15" t="s">
        <v>4646</v>
      </c>
    </row>
    <row r="3053" spans="2:5">
      <c r="B3053" s="15" t="s">
        <v>4645</v>
      </c>
      <c r="C3053" s="15" t="s">
        <v>4645</v>
      </c>
      <c r="D3053" s="15" t="s">
        <v>725</v>
      </c>
      <c r="E3053" s="15" t="s">
        <v>4647</v>
      </c>
    </row>
    <row r="3054" spans="2:5">
      <c r="B3054" s="15" t="s">
        <v>4645</v>
      </c>
      <c r="C3054" s="15" t="s">
        <v>4645</v>
      </c>
      <c r="D3054" s="15" t="s">
        <v>727</v>
      </c>
      <c r="E3054" s="15" t="s">
        <v>4648</v>
      </c>
    </row>
    <row r="3055" ht="15.95" spans="2:2">
      <c r="B3055" s="122" t="s">
        <v>4649</v>
      </c>
    </row>
    <row r="3056" spans="2:5">
      <c r="B3056" s="15" t="s">
        <v>4650</v>
      </c>
      <c r="C3056" s="15" t="s">
        <v>4651</v>
      </c>
      <c r="D3056" s="15" t="s">
        <v>635</v>
      </c>
      <c r="E3056" s="15" t="s">
        <v>4652</v>
      </c>
    </row>
    <row r="3057" spans="2:5">
      <c r="B3057" s="15" t="s">
        <v>4650</v>
      </c>
      <c r="C3057" s="15" t="s">
        <v>4651</v>
      </c>
      <c r="D3057" s="15" t="s">
        <v>659</v>
      </c>
      <c r="E3057" s="15" t="s">
        <v>4653</v>
      </c>
    </row>
    <row r="3058" ht="15.95" spans="2:2">
      <c r="B3058" s="122" t="s">
        <v>4654</v>
      </c>
    </row>
    <row r="3059" spans="2:5">
      <c r="B3059" s="15" t="s">
        <v>4655</v>
      </c>
      <c r="C3059" s="15" t="s">
        <v>4656</v>
      </c>
      <c r="D3059" s="15" t="s">
        <v>1248</v>
      </c>
      <c r="E3059" s="15" t="s">
        <v>4187</v>
      </c>
    </row>
    <row r="3060" spans="2:5">
      <c r="B3060" s="15" t="s">
        <v>4655</v>
      </c>
      <c r="C3060" s="15" t="s">
        <v>4656</v>
      </c>
      <c r="D3060" s="15" t="s">
        <v>4188</v>
      </c>
      <c r="E3060" s="15" t="s">
        <v>4189</v>
      </c>
    </row>
    <row r="3061" spans="2:5">
      <c r="B3061" s="15" t="s">
        <v>4655</v>
      </c>
      <c r="C3061" s="15" t="s">
        <v>4656</v>
      </c>
      <c r="D3061" s="15" t="s">
        <v>4657</v>
      </c>
      <c r="E3061" s="15" t="s">
        <v>4430</v>
      </c>
    </row>
    <row r="3062" spans="2:5">
      <c r="B3062" s="15" t="s">
        <v>4655</v>
      </c>
      <c r="C3062" s="15" t="s">
        <v>4656</v>
      </c>
      <c r="D3062" s="15" t="s">
        <v>4431</v>
      </c>
      <c r="E3062" s="15" t="s">
        <v>4203</v>
      </c>
    </row>
    <row r="3063" spans="2:5">
      <c r="B3063" s="15" t="s">
        <v>4655</v>
      </c>
      <c r="C3063" s="15" t="s">
        <v>4656</v>
      </c>
      <c r="D3063" s="15" t="s">
        <v>1250</v>
      </c>
      <c r="E3063" s="15" t="s">
        <v>1251</v>
      </c>
    </row>
    <row r="3064" spans="2:5">
      <c r="B3064" s="15" t="s">
        <v>4655</v>
      </c>
      <c r="C3064" s="15" t="s">
        <v>4656</v>
      </c>
      <c r="D3064" s="15" t="s">
        <v>4195</v>
      </c>
      <c r="E3064" s="15" t="s">
        <v>4432</v>
      </c>
    </row>
    <row r="3065" spans="2:5">
      <c r="B3065" s="15" t="s">
        <v>4655</v>
      </c>
      <c r="C3065" s="15" t="s">
        <v>4656</v>
      </c>
      <c r="D3065" s="15" t="s">
        <v>4197</v>
      </c>
      <c r="E3065" s="15" t="s">
        <v>1256</v>
      </c>
    </row>
    <row r="3066" spans="2:5">
      <c r="B3066" s="15" t="s">
        <v>4655</v>
      </c>
      <c r="C3066" s="15" t="s">
        <v>4656</v>
      </c>
      <c r="D3066" s="15" t="s">
        <v>4198</v>
      </c>
      <c r="E3066" s="15" t="s">
        <v>4658</v>
      </c>
    </row>
    <row r="3067" spans="2:5">
      <c r="B3067" s="15" t="s">
        <v>4655</v>
      </c>
      <c r="C3067" s="15" t="s">
        <v>4656</v>
      </c>
      <c r="D3067" s="15" t="s">
        <v>4659</v>
      </c>
      <c r="E3067" s="15" t="s">
        <v>4434</v>
      </c>
    </row>
    <row r="3068" ht="15.95" spans="2:2">
      <c r="B3068" s="122" t="s">
        <v>4660</v>
      </c>
    </row>
    <row r="3069" spans="2:5">
      <c r="B3069" s="15" t="s">
        <v>4661</v>
      </c>
      <c r="C3069" s="15" t="s">
        <v>4662</v>
      </c>
      <c r="D3069" s="15" t="s">
        <v>770</v>
      </c>
      <c r="E3069" s="15" t="s">
        <v>1310</v>
      </c>
    </row>
    <row r="3070" spans="2:5">
      <c r="B3070" s="15" t="s">
        <v>4661</v>
      </c>
      <c r="C3070" s="15" t="s">
        <v>4662</v>
      </c>
      <c r="D3070" s="15" t="s">
        <v>772</v>
      </c>
      <c r="E3070" s="15" t="s">
        <v>4663</v>
      </c>
    </row>
    <row r="3071" spans="2:5">
      <c r="B3071" s="15" t="s">
        <v>4661</v>
      </c>
      <c r="C3071" s="15" t="s">
        <v>4662</v>
      </c>
      <c r="D3071" s="15" t="s">
        <v>774</v>
      </c>
      <c r="E3071" s="15" t="s">
        <v>4664</v>
      </c>
    </row>
    <row r="3072" ht="15.95" spans="2:2">
      <c r="B3072" s="122" t="s">
        <v>4665</v>
      </c>
    </row>
    <row r="3073" spans="2:5">
      <c r="B3073" s="15" t="s">
        <v>4666</v>
      </c>
      <c r="C3073" s="15" t="s">
        <v>1918</v>
      </c>
      <c r="D3073" s="15" t="s">
        <v>1267</v>
      </c>
      <c r="E3073" s="15" t="s">
        <v>1355</v>
      </c>
    </row>
    <row r="3074" spans="2:5">
      <c r="B3074" s="15" t="s">
        <v>4666</v>
      </c>
      <c r="C3074" s="15" t="s">
        <v>1918</v>
      </c>
      <c r="D3074" s="15" t="s">
        <v>1269</v>
      </c>
      <c r="E3074" s="15" t="s">
        <v>1356</v>
      </c>
    </row>
    <row r="3075" spans="2:5">
      <c r="B3075" s="15" t="s">
        <v>4666</v>
      </c>
      <c r="C3075" s="15" t="s">
        <v>1918</v>
      </c>
      <c r="D3075" s="15" t="s">
        <v>1919</v>
      </c>
      <c r="E3075" s="15" t="s">
        <v>1920</v>
      </c>
    </row>
    <row r="3076" ht="15.95" spans="2:2">
      <c r="B3076" s="122" t="s">
        <v>4667</v>
      </c>
    </row>
    <row r="3077" spans="2:5">
      <c r="B3077" s="15" t="s">
        <v>4668</v>
      </c>
      <c r="C3077" s="15" t="s">
        <v>4669</v>
      </c>
      <c r="D3077" s="15" t="s">
        <v>635</v>
      </c>
      <c r="E3077" s="15" t="s">
        <v>2414</v>
      </c>
    </row>
    <row r="3078" spans="2:5">
      <c r="B3078" s="15" t="s">
        <v>4668</v>
      </c>
      <c r="C3078" s="15" t="s">
        <v>4669</v>
      </c>
      <c r="D3078" s="15" t="s">
        <v>659</v>
      </c>
      <c r="E3078" s="15" t="s">
        <v>2415</v>
      </c>
    </row>
    <row r="3079" spans="2:5">
      <c r="B3079" s="15" t="s">
        <v>4668</v>
      </c>
      <c r="C3079" s="15" t="s">
        <v>4669</v>
      </c>
      <c r="D3079" s="15" t="s">
        <v>2416</v>
      </c>
      <c r="E3079" s="15" t="s">
        <v>2417</v>
      </c>
    </row>
    <row r="3080" spans="2:5">
      <c r="B3080" s="15" t="s">
        <v>4668</v>
      </c>
      <c r="C3080" s="15" t="s">
        <v>4669</v>
      </c>
      <c r="D3080" s="15" t="s">
        <v>679</v>
      </c>
      <c r="E3080" s="15" t="s">
        <v>2418</v>
      </c>
    </row>
    <row r="3081" spans="2:5">
      <c r="B3081" s="15" t="s">
        <v>4668</v>
      </c>
      <c r="C3081" s="15" t="s">
        <v>4669</v>
      </c>
      <c r="D3081" s="15" t="s">
        <v>705</v>
      </c>
      <c r="E3081" s="15" t="s">
        <v>4670</v>
      </c>
    </row>
    <row r="3082" ht="15.95" spans="2:2">
      <c r="B3082" s="122" t="s">
        <v>4671</v>
      </c>
    </row>
    <row r="3083" spans="2:5">
      <c r="B3083" s="15" t="s">
        <v>4672</v>
      </c>
      <c r="C3083" s="15" t="s">
        <v>4673</v>
      </c>
      <c r="D3083" s="15" t="s">
        <v>723</v>
      </c>
      <c r="E3083" s="15" t="s">
        <v>4674</v>
      </c>
    </row>
    <row r="3084" spans="2:5">
      <c r="B3084" s="15" t="s">
        <v>4672</v>
      </c>
      <c r="C3084" s="15" t="s">
        <v>4673</v>
      </c>
      <c r="D3084" s="15" t="s">
        <v>725</v>
      </c>
      <c r="E3084" s="15" t="s">
        <v>4675</v>
      </c>
    </row>
    <row r="3085" ht="15.95" spans="2:2">
      <c r="B3085" s="122" t="s">
        <v>4676</v>
      </c>
    </row>
    <row r="3086" spans="2:5">
      <c r="B3086" s="15" t="s">
        <v>4677</v>
      </c>
      <c r="C3086" s="15" t="s">
        <v>4678</v>
      </c>
      <c r="D3086" s="15" t="s">
        <v>4679</v>
      </c>
      <c r="E3086" s="15" t="s">
        <v>4680</v>
      </c>
    </row>
    <row r="3087" spans="2:5">
      <c r="B3087" s="15" t="s">
        <v>4677</v>
      </c>
      <c r="C3087" s="15" t="s">
        <v>4678</v>
      </c>
      <c r="D3087" s="15" t="s">
        <v>1248</v>
      </c>
      <c r="E3087" s="15" t="s">
        <v>4187</v>
      </c>
    </row>
    <row r="3088" spans="2:5">
      <c r="B3088" s="15" t="s">
        <v>4677</v>
      </c>
      <c r="C3088" s="15" t="s">
        <v>4678</v>
      </c>
      <c r="D3088" s="15" t="s">
        <v>4681</v>
      </c>
      <c r="E3088" s="15" t="s">
        <v>4189</v>
      </c>
    </row>
    <row r="3089" spans="2:5">
      <c r="B3089" s="15" t="s">
        <v>4677</v>
      </c>
      <c r="C3089" s="15" t="s">
        <v>4678</v>
      </c>
      <c r="D3089" s="15" t="s">
        <v>4682</v>
      </c>
      <c r="E3089" s="15" t="s">
        <v>4683</v>
      </c>
    </row>
    <row r="3090" spans="2:5">
      <c r="B3090" s="15" t="s">
        <v>4677</v>
      </c>
      <c r="C3090" s="15" t="s">
        <v>4678</v>
      </c>
      <c r="D3090" s="15" t="s">
        <v>4684</v>
      </c>
      <c r="E3090" s="15" t="s">
        <v>4685</v>
      </c>
    </row>
    <row r="3091" spans="2:5">
      <c r="B3091" s="15" t="s">
        <v>4677</v>
      </c>
      <c r="C3091" s="15" t="s">
        <v>4678</v>
      </c>
      <c r="D3091" s="15" t="s">
        <v>4686</v>
      </c>
      <c r="E3091" s="15" t="s">
        <v>1251</v>
      </c>
    </row>
    <row r="3092" spans="2:5">
      <c r="B3092" s="15" t="s">
        <v>4677</v>
      </c>
      <c r="C3092" s="15" t="s">
        <v>4678</v>
      </c>
      <c r="D3092" s="15" t="s">
        <v>4431</v>
      </c>
      <c r="E3092" s="15" t="s">
        <v>4203</v>
      </c>
    </row>
    <row r="3093" spans="2:5">
      <c r="B3093" s="15" t="s">
        <v>4677</v>
      </c>
      <c r="C3093" s="15" t="s">
        <v>4678</v>
      </c>
      <c r="D3093" s="15" t="s">
        <v>4687</v>
      </c>
      <c r="E3093" s="15" t="s">
        <v>4688</v>
      </c>
    </row>
    <row r="3094" spans="2:5">
      <c r="B3094" s="15" t="s">
        <v>4677</v>
      </c>
      <c r="C3094" s="15" t="s">
        <v>4678</v>
      </c>
      <c r="D3094" s="15" t="s">
        <v>4689</v>
      </c>
      <c r="E3094" s="15" t="s">
        <v>4690</v>
      </c>
    </row>
    <row r="3095" spans="2:5">
      <c r="B3095" s="15" t="s">
        <v>4677</v>
      </c>
      <c r="C3095" s="15" t="s">
        <v>4678</v>
      </c>
      <c r="D3095" s="15" t="s">
        <v>4691</v>
      </c>
      <c r="E3095" s="15" t="s">
        <v>4432</v>
      </c>
    </row>
    <row r="3096" spans="2:5">
      <c r="B3096" s="15" t="s">
        <v>4677</v>
      </c>
      <c r="C3096" s="15" t="s">
        <v>4678</v>
      </c>
      <c r="D3096" s="15" t="s">
        <v>4692</v>
      </c>
      <c r="E3096" s="15" t="s">
        <v>4693</v>
      </c>
    </row>
    <row r="3097" spans="2:5">
      <c r="B3097" s="15" t="s">
        <v>4677</v>
      </c>
      <c r="C3097" s="15" t="s">
        <v>4678</v>
      </c>
      <c r="D3097" s="15" t="s">
        <v>4197</v>
      </c>
      <c r="E3097" s="15" t="s">
        <v>1256</v>
      </c>
    </row>
    <row r="3098" spans="2:5">
      <c r="B3098" s="15" t="s">
        <v>4677</v>
      </c>
      <c r="C3098" s="15" t="s">
        <v>4678</v>
      </c>
      <c r="D3098" s="15" t="s">
        <v>4694</v>
      </c>
      <c r="E3098" s="15" t="s">
        <v>4191</v>
      </c>
    </row>
    <row r="3099" spans="2:5">
      <c r="B3099" s="15" t="s">
        <v>4677</v>
      </c>
      <c r="C3099" s="15" t="s">
        <v>4678</v>
      </c>
      <c r="D3099" s="15" t="s">
        <v>4695</v>
      </c>
      <c r="E3099" s="15" t="s">
        <v>4430</v>
      </c>
    </row>
    <row r="3100" spans="2:5">
      <c r="B3100" s="15" t="s">
        <v>4677</v>
      </c>
      <c r="C3100" s="15" t="s">
        <v>4678</v>
      </c>
      <c r="D3100" s="15" t="s">
        <v>4659</v>
      </c>
      <c r="E3100" s="15" t="s">
        <v>4696</v>
      </c>
    </row>
    <row r="3101" spans="2:5">
      <c r="B3101" s="15" t="s">
        <v>4677</v>
      </c>
      <c r="C3101" s="15" t="s">
        <v>4678</v>
      </c>
      <c r="D3101" s="15" t="s">
        <v>4697</v>
      </c>
      <c r="E3101" s="15" t="s">
        <v>4698</v>
      </c>
    </row>
    <row r="3102" spans="2:5">
      <c r="B3102" s="15" t="s">
        <v>4677</v>
      </c>
      <c r="C3102" s="15" t="s">
        <v>4678</v>
      </c>
      <c r="D3102" s="15" t="s">
        <v>4699</v>
      </c>
      <c r="E3102" s="15" t="s">
        <v>4698</v>
      </c>
    </row>
    <row r="3103" spans="2:5">
      <c r="B3103" s="15" t="s">
        <v>4677</v>
      </c>
      <c r="C3103" s="15" t="s">
        <v>4678</v>
      </c>
      <c r="D3103" s="15" t="s">
        <v>4700</v>
      </c>
      <c r="E3103" s="15" t="s">
        <v>4701</v>
      </c>
    </row>
    <row r="3104" spans="2:5">
      <c r="B3104" s="15" t="s">
        <v>4677</v>
      </c>
      <c r="C3104" s="15" t="s">
        <v>4678</v>
      </c>
      <c r="D3104" s="15" t="s">
        <v>4702</v>
      </c>
      <c r="E3104" s="15" t="s">
        <v>4703</v>
      </c>
    </row>
    <row r="3105" spans="2:5">
      <c r="B3105" s="15" t="s">
        <v>4677</v>
      </c>
      <c r="C3105" s="15" t="s">
        <v>4678</v>
      </c>
      <c r="D3105" s="15" t="s">
        <v>4704</v>
      </c>
      <c r="E3105" s="15" t="s">
        <v>4705</v>
      </c>
    </row>
    <row r="3106" spans="2:5">
      <c r="B3106" s="15" t="s">
        <v>4677</v>
      </c>
      <c r="C3106" s="15" t="s">
        <v>4678</v>
      </c>
      <c r="D3106" s="15" t="s">
        <v>1803</v>
      </c>
      <c r="E3106" s="15" t="s">
        <v>4693</v>
      </c>
    </row>
    <row r="3107" ht="15.95" spans="2:2">
      <c r="B3107" s="122" t="s">
        <v>4706</v>
      </c>
    </row>
    <row r="3108" spans="2:5">
      <c r="B3108" s="15" t="s">
        <v>4707</v>
      </c>
      <c r="C3108" s="15" t="s">
        <v>4708</v>
      </c>
      <c r="D3108" s="15" t="s">
        <v>770</v>
      </c>
      <c r="E3108" s="15" t="s">
        <v>4709</v>
      </c>
    </row>
    <row r="3109" spans="2:5">
      <c r="B3109" s="15" t="s">
        <v>4707</v>
      </c>
      <c r="C3109" s="15" t="s">
        <v>4708</v>
      </c>
      <c r="D3109" s="15" t="s">
        <v>772</v>
      </c>
      <c r="E3109" s="15" t="s">
        <v>4710</v>
      </c>
    </row>
    <row r="3110" spans="2:5">
      <c r="B3110" s="15" t="s">
        <v>4707</v>
      </c>
      <c r="C3110" s="15" t="s">
        <v>4708</v>
      </c>
      <c r="D3110" s="15" t="s">
        <v>774</v>
      </c>
      <c r="E3110" s="15" t="s">
        <v>4711</v>
      </c>
    </row>
    <row r="3111" ht="15.95" spans="2:2">
      <c r="B3111" s="122" t="s">
        <v>4712</v>
      </c>
    </row>
    <row r="3112" spans="2:5">
      <c r="B3112" s="15" t="s">
        <v>4713</v>
      </c>
      <c r="C3112" s="15" t="s">
        <v>4713</v>
      </c>
      <c r="D3112" s="15" t="s">
        <v>723</v>
      </c>
      <c r="E3112" s="15" t="s">
        <v>1446</v>
      </c>
    </row>
    <row r="3113" spans="2:5">
      <c r="B3113" s="15" t="s">
        <v>4713</v>
      </c>
      <c r="C3113" s="15" t="s">
        <v>4713</v>
      </c>
      <c r="D3113" s="15" t="s">
        <v>725</v>
      </c>
      <c r="E3113" s="15" t="s">
        <v>1203</v>
      </c>
    </row>
    <row r="3114" spans="2:5">
      <c r="B3114" s="15" t="s">
        <v>4713</v>
      </c>
      <c r="C3114" s="15" t="s">
        <v>4713</v>
      </c>
      <c r="D3114" s="15" t="s">
        <v>727</v>
      </c>
      <c r="E3114" s="15" t="s">
        <v>1447</v>
      </c>
    </row>
    <row r="3115" ht="15.95" spans="2:2">
      <c r="B3115" s="122" t="s">
        <v>4714</v>
      </c>
    </row>
    <row r="3116" spans="2:5">
      <c r="B3116" s="15" t="s">
        <v>4715</v>
      </c>
      <c r="C3116" s="15" t="s">
        <v>896</v>
      </c>
      <c r="D3116" s="15" t="s">
        <v>770</v>
      </c>
      <c r="E3116" s="15" t="s">
        <v>3255</v>
      </c>
    </row>
    <row r="3117" spans="2:5">
      <c r="B3117" s="15" t="s">
        <v>4715</v>
      </c>
      <c r="C3117" s="15" t="s">
        <v>896</v>
      </c>
      <c r="D3117" s="15" t="s">
        <v>772</v>
      </c>
      <c r="E3117" s="15" t="s">
        <v>3256</v>
      </c>
    </row>
    <row r="3118" spans="2:5">
      <c r="B3118" s="15" t="s">
        <v>4715</v>
      </c>
      <c r="C3118" s="15" t="s">
        <v>896</v>
      </c>
      <c r="D3118" s="15" t="s">
        <v>774</v>
      </c>
      <c r="E3118" s="15" t="s">
        <v>3257</v>
      </c>
    </row>
    <row r="3119" spans="2:5">
      <c r="B3119" s="15" t="s">
        <v>4715</v>
      </c>
      <c r="C3119" s="15" t="s">
        <v>896</v>
      </c>
      <c r="D3119" s="15" t="s">
        <v>828</v>
      </c>
      <c r="E3119" s="15" t="s">
        <v>3258</v>
      </c>
    </row>
    <row r="3120" ht="15.95" spans="2:2">
      <c r="B3120" s="122" t="s">
        <v>4716</v>
      </c>
    </row>
    <row r="3121" spans="2:5">
      <c r="B3121" s="15" t="s">
        <v>4717</v>
      </c>
      <c r="C3121" s="15" t="s">
        <v>4718</v>
      </c>
      <c r="D3121" s="15" t="s">
        <v>635</v>
      </c>
      <c r="E3121" s="15" t="s">
        <v>4719</v>
      </c>
    </row>
    <row r="3122" spans="2:5">
      <c r="B3122" s="15" t="s">
        <v>4717</v>
      </c>
      <c r="C3122" s="15" t="s">
        <v>4718</v>
      </c>
      <c r="D3122" s="15" t="s">
        <v>659</v>
      </c>
      <c r="E3122" s="15" t="s">
        <v>4720</v>
      </c>
    </row>
    <row r="3123" spans="2:5">
      <c r="B3123" s="15" t="s">
        <v>4717</v>
      </c>
      <c r="C3123" s="15" t="s">
        <v>4718</v>
      </c>
      <c r="D3123" s="15" t="s">
        <v>679</v>
      </c>
      <c r="E3123" s="15" t="s">
        <v>4721</v>
      </c>
    </row>
    <row r="3124" ht="15.95" spans="2:2">
      <c r="B3124" s="122" t="s">
        <v>4722</v>
      </c>
    </row>
    <row r="3125" spans="2:5">
      <c r="B3125" s="15" t="s">
        <v>4723</v>
      </c>
      <c r="C3125" s="15" t="s">
        <v>4724</v>
      </c>
      <c r="D3125" s="15" t="s">
        <v>723</v>
      </c>
      <c r="E3125" s="15" t="s">
        <v>4725</v>
      </c>
    </row>
    <row r="3126" spans="2:5">
      <c r="B3126" s="15" t="s">
        <v>4723</v>
      </c>
      <c r="C3126" s="15" t="s">
        <v>4724</v>
      </c>
      <c r="D3126" s="15" t="s">
        <v>725</v>
      </c>
      <c r="E3126" s="15" t="s">
        <v>4726</v>
      </c>
    </row>
    <row r="3127" spans="2:5">
      <c r="B3127" s="15" t="s">
        <v>4723</v>
      </c>
      <c r="C3127" s="15" t="s">
        <v>4724</v>
      </c>
      <c r="D3127" s="15" t="s">
        <v>727</v>
      </c>
      <c r="E3127" s="15" t="s">
        <v>4727</v>
      </c>
    </row>
    <row r="3128" ht="15.95" spans="2:2">
      <c r="B3128" s="122" t="s">
        <v>4728</v>
      </c>
    </row>
    <row r="3129" spans="2:5">
      <c r="B3129" s="15" t="s">
        <v>4729</v>
      </c>
      <c r="C3129" s="15" t="s">
        <v>4730</v>
      </c>
      <c r="D3129" s="15" t="s">
        <v>1248</v>
      </c>
      <c r="E3129" s="15" t="s">
        <v>4187</v>
      </c>
    </row>
    <row r="3130" spans="2:5">
      <c r="B3130" s="15" t="s">
        <v>4729</v>
      </c>
      <c r="C3130" s="15" t="s">
        <v>4730</v>
      </c>
      <c r="D3130" s="15" t="s">
        <v>4731</v>
      </c>
      <c r="E3130" s="15" t="s">
        <v>4732</v>
      </c>
    </row>
    <row r="3131" spans="2:5">
      <c r="B3131" s="15" t="s">
        <v>4729</v>
      </c>
      <c r="C3131" s="15" t="s">
        <v>4730</v>
      </c>
      <c r="D3131" s="15" t="s">
        <v>4188</v>
      </c>
      <c r="E3131" s="15" t="s">
        <v>4189</v>
      </c>
    </row>
    <row r="3132" spans="2:5">
      <c r="B3132" s="15" t="s">
        <v>4729</v>
      </c>
      <c r="C3132" s="15" t="s">
        <v>4730</v>
      </c>
      <c r="D3132" s="15" t="s">
        <v>4733</v>
      </c>
      <c r="E3132" s="15" t="s">
        <v>4734</v>
      </c>
    </row>
    <row r="3133" spans="2:5">
      <c r="B3133" s="15" t="s">
        <v>4729</v>
      </c>
      <c r="C3133" s="15" t="s">
        <v>4730</v>
      </c>
      <c r="D3133" s="15" t="s">
        <v>4192</v>
      </c>
      <c r="E3133" s="15" t="s">
        <v>4193</v>
      </c>
    </row>
    <row r="3134" spans="2:5">
      <c r="B3134" s="15" t="s">
        <v>4729</v>
      </c>
      <c r="C3134" s="15" t="s">
        <v>4730</v>
      </c>
      <c r="D3134" s="15" t="s">
        <v>4735</v>
      </c>
      <c r="E3134" s="15" t="s">
        <v>4736</v>
      </c>
    </row>
    <row r="3135" spans="2:5">
      <c r="B3135" s="15" t="s">
        <v>4729</v>
      </c>
      <c r="C3135" s="15" t="s">
        <v>4730</v>
      </c>
      <c r="D3135" s="15" t="s">
        <v>1250</v>
      </c>
      <c r="E3135" s="15" t="s">
        <v>4191</v>
      </c>
    </row>
    <row r="3136" spans="2:5">
      <c r="B3136" s="15" t="s">
        <v>4729</v>
      </c>
      <c r="C3136" s="15" t="s">
        <v>4730</v>
      </c>
      <c r="D3136" s="15" t="s">
        <v>4737</v>
      </c>
      <c r="E3136" s="15" t="s">
        <v>4738</v>
      </c>
    </row>
    <row r="3137" spans="2:5">
      <c r="B3137" s="15" t="s">
        <v>4729</v>
      </c>
      <c r="C3137" s="15" t="s">
        <v>4730</v>
      </c>
      <c r="D3137" s="15" t="s">
        <v>4739</v>
      </c>
      <c r="E3137" s="15" t="s">
        <v>4740</v>
      </c>
    </row>
    <row r="3138" spans="2:5">
      <c r="B3138" s="15" t="s">
        <v>4729</v>
      </c>
      <c r="C3138" s="15" t="s">
        <v>4730</v>
      </c>
      <c r="D3138" s="15" t="s">
        <v>4741</v>
      </c>
      <c r="E3138" s="15" t="s">
        <v>4742</v>
      </c>
    </row>
    <row r="3139" spans="2:5">
      <c r="B3139" s="15" t="s">
        <v>4729</v>
      </c>
      <c r="C3139" s="15" t="s">
        <v>4730</v>
      </c>
      <c r="D3139" s="15" t="s">
        <v>4194</v>
      </c>
      <c r="E3139" s="15" t="s">
        <v>1441</v>
      </c>
    </row>
    <row r="3140" spans="2:5">
      <c r="B3140" s="15" t="s">
        <v>4729</v>
      </c>
      <c r="C3140" s="15" t="s">
        <v>4730</v>
      </c>
      <c r="D3140" s="15" t="s">
        <v>4195</v>
      </c>
      <c r="E3140" s="15" t="s">
        <v>4432</v>
      </c>
    </row>
    <row r="3141" spans="2:5">
      <c r="B3141" s="15" t="s">
        <v>4729</v>
      </c>
      <c r="C3141" s="15" t="s">
        <v>4730</v>
      </c>
      <c r="D3141" s="15" t="s">
        <v>4743</v>
      </c>
      <c r="E3141" s="15" t="s">
        <v>4744</v>
      </c>
    </row>
    <row r="3142" spans="2:5">
      <c r="B3142" s="15" t="s">
        <v>4729</v>
      </c>
      <c r="C3142" s="15" t="s">
        <v>4730</v>
      </c>
      <c r="D3142" s="15" t="s">
        <v>4745</v>
      </c>
      <c r="E3142" s="15" t="s">
        <v>4746</v>
      </c>
    </row>
    <row r="3143" spans="2:5">
      <c r="B3143" s="15" t="s">
        <v>4729</v>
      </c>
      <c r="C3143" s="15" t="s">
        <v>4730</v>
      </c>
      <c r="D3143" s="15" t="s">
        <v>4197</v>
      </c>
      <c r="E3143" s="15" t="s">
        <v>1256</v>
      </c>
    </row>
    <row r="3144" spans="2:5">
      <c r="B3144" s="15" t="s">
        <v>4729</v>
      </c>
      <c r="C3144" s="15" t="s">
        <v>4730</v>
      </c>
      <c r="D3144" s="15" t="s">
        <v>4198</v>
      </c>
      <c r="E3144" s="15" t="s">
        <v>4199</v>
      </c>
    </row>
    <row r="3145" spans="2:5">
      <c r="B3145" s="15" t="s">
        <v>4729</v>
      </c>
      <c r="C3145" s="15" t="s">
        <v>4730</v>
      </c>
      <c r="D3145" s="15" t="s">
        <v>4659</v>
      </c>
      <c r="E3145" s="15" t="s">
        <v>4434</v>
      </c>
    </row>
    <row r="3146" spans="2:5">
      <c r="B3146" s="15" t="s">
        <v>4729</v>
      </c>
      <c r="C3146" s="15" t="s">
        <v>4730</v>
      </c>
      <c r="D3146" s="15" t="s">
        <v>4700</v>
      </c>
      <c r="E3146" s="15" t="s">
        <v>4747</v>
      </c>
    </row>
    <row r="3147" spans="2:5">
      <c r="B3147" s="15" t="s">
        <v>4729</v>
      </c>
      <c r="C3147" s="15" t="s">
        <v>4730</v>
      </c>
      <c r="D3147" s="15" t="s">
        <v>4748</v>
      </c>
      <c r="E3147" s="15" t="s">
        <v>4749</v>
      </c>
    </row>
    <row r="3148" spans="2:5">
      <c r="B3148" s="15" t="s">
        <v>4729</v>
      </c>
      <c r="C3148" s="15" t="s">
        <v>4730</v>
      </c>
      <c r="D3148" s="15" t="s">
        <v>1258</v>
      </c>
      <c r="E3148" s="15" t="s">
        <v>4750</v>
      </c>
    </row>
    <row r="3149" spans="2:5">
      <c r="B3149" s="15" t="s">
        <v>4729</v>
      </c>
      <c r="C3149" s="15" t="s">
        <v>4730</v>
      </c>
      <c r="D3149" s="15" t="s">
        <v>4202</v>
      </c>
      <c r="E3149" s="15" t="s">
        <v>4203</v>
      </c>
    </row>
    <row r="3150" spans="2:5">
      <c r="B3150" s="15" t="s">
        <v>4729</v>
      </c>
      <c r="C3150" s="15" t="s">
        <v>4730</v>
      </c>
      <c r="D3150" s="15" t="s">
        <v>4751</v>
      </c>
      <c r="E3150" s="15" t="s">
        <v>4752</v>
      </c>
    </row>
    <row r="3151" spans="2:5">
      <c r="B3151" s="15" t="s">
        <v>4729</v>
      </c>
      <c r="C3151" s="15" t="s">
        <v>4730</v>
      </c>
      <c r="D3151" s="15" t="s">
        <v>4753</v>
      </c>
      <c r="E3151" s="15" t="s">
        <v>4754</v>
      </c>
    </row>
    <row r="3152" ht="15.95" spans="2:2">
      <c r="B3152" s="122" t="s">
        <v>4755</v>
      </c>
    </row>
    <row r="3153" spans="2:5">
      <c r="B3153" s="15" t="s">
        <v>4756</v>
      </c>
      <c r="C3153" s="15" t="s">
        <v>4757</v>
      </c>
      <c r="D3153" s="15" t="s">
        <v>770</v>
      </c>
      <c r="E3153" s="15" t="s">
        <v>4758</v>
      </c>
    </row>
    <row r="3154" spans="2:5">
      <c r="B3154" s="15" t="s">
        <v>4756</v>
      </c>
      <c r="C3154" s="15" t="s">
        <v>4757</v>
      </c>
      <c r="D3154" s="15" t="s">
        <v>772</v>
      </c>
      <c r="E3154" s="15" t="s">
        <v>4759</v>
      </c>
    </row>
    <row r="3155" ht="15.95" spans="2:2">
      <c r="B3155" s="122" t="s">
        <v>4760</v>
      </c>
    </row>
    <row r="3156" spans="2:5">
      <c r="B3156" s="15" t="s">
        <v>4761</v>
      </c>
      <c r="C3156" s="15" t="s">
        <v>4762</v>
      </c>
      <c r="D3156" s="15" t="s">
        <v>1267</v>
      </c>
      <c r="E3156" s="15" t="s">
        <v>1355</v>
      </c>
    </row>
    <row r="3157" spans="2:5">
      <c r="B3157" s="15" t="s">
        <v>4761</v>
      </c>
      <c r="C3157" s="15" t="s">
        <v>4762</v>
      </c>
      <c r="D3157" s="15" t="s">
        <v>1269</v>
      </c>
      <c r="E3157" s="15" t="s">
        <v>1356</v>
      </c>
    </row>
    <row r="3158" ht="15.95" spans="2:2">
      <c r="B3158" s="122" t="s">
        <v>4763</v>
      </c>
    </row>
    <row r="3159" spans="2:5">
      <c r="B3159" s="15" t="s">
        <v>4764</v>
      </c>
      <c r="C3159" s="15" t="s">
        <v>4764</v>
      </c>
      <c r="D3159" s="15" t="s">
        <v>770</v>
      </c>
      <c r="E3159" s="15" t="s">
        <v>3460</v>
      </c>
    </row>
    <row r="3160" spans="2:5">
      <c r="B3160" s="15" t="s">
        <v>4764</v>
      </c>
      <c r="C3160" s="15" t="s">
        <v>4764</v>
      </c>
      <c r="D3160" s="15" t="s">
        <v>772</v>
      </c>
      <c r="E3160" s="15" t="s">
        <v>3461</v>
      </c>
    </row>
    <row r="3161" spans="2:5">
      <c r="B3161" s="15" t="s">
        <v>4764</v>
      </c>
      <c r="C3161" s="15" t="s">
        <v>4764</v>
      </c>
      <c r="D3161" s="15" t="s">
        <v>774</v>
      </c>
      <c r="E3161" s="15" t="s">
        <v>3462</v>
      </c>
    </row>
    <row r="3162" spans="2:5">
      <c r="B3162" s="15" t="s">
        <v>4764</v>
      </c>
      <c r="C3162" s="15" t="s">
        <v>4764</v>
      </c>
      <c r="D3162" s="15" t="s">
        <v>828</v>
      </c>
      <c r="E3162" s="15" t="s">
        <v>3463</v>
      </c>
    </row>
    <row r="3163" ht="15.95" spans="2:2">
      <c r="B3163" s="122" t="s">
        <v>4765</v>
      </c>
    </row>
    <row r="3164" spans="2:5">
      <c r="B3164" s="15" t="s">
        <v>4766</v>
      </c>
      <c r="C3164" s="15" t="s">
        <v>4767</v>
      </c>
      <c r="D3164" s="15" t="s">
        <v>4768</v>
      </c>
      <c r="E3164" s="15" t="s">
        <v>4769</v>
      </c>
    </row>
    <row r="3165" spans="2:5">
      <c r="B3165" s="15" t="s">
        <v>4766</v>
      </c>
      <c r="C3165" s="15" t="s">
        <v>4767</v>
      </c>
      <c r="D3165" s="15" t="s">
        <v>4770</v>
      </c>
      <c r="E3165" s="15" t="s">
        <v>4769</v>
      </c>
    </row>
    <row r="3166" spans="2:5">
      <c r="B3166" s="15" t="s">
        <v>4766</v>
      </c>
      <c r="C3166" s="15" t="s">
        <v>4767</v>
      </c>
      <c r="D3166" s="15" t="s">
        <v>1248</v>
      </c>
      <c r="E3166" s="15" t="s">
        <v>1249</v>
      </c>
    </row>
    <row r="3167" spans="2:5">
      <c r="B3167" s="15" t="s">
        <v>4766</v>
      </c>
      <c r="C3167" s="15" t="s">
        <v>4767</v>
      </c>
      <c r="D3167" s="15" t="s">
        <v>1250</v>
      </c>
      <c r="E3167" s="15" t="s">
        <v>1251</v>
      </c>
    </row>
    <row r="3168" spans="2:5">
      <c r="B3168" s="15" t="s">
        <v>4766</v>
      </c>
      <c r="C3168" s="15" t="s">
        <v>4767</v>
      </c>
      <c r="D3168" s="15" t="s">
        <v>4771</v>
      </c>
      <c r="E3168" s="15" t="s">
        <v>4772</v>
      </c>
    </row>
    <row r="3169" spans="2:5">
      <c r="B3169" s="15" t="s">
        <v>4766</v>
      </c>
      <c r="C3169" s="15" t="s">
        <v>4767</v>
      </c>
      <c r="D3169" s="15" t="s">
        <v>4773</v>
      </c>
      <c r="E3169" s="15" t="s">
        <v>4774</v>
      </c>
    </row>
    <row r="3170" spans="2:5">
      <c r="B3170" s="15" t="s">
        <v>4766</v>
      </c>
      <c r="C3170" s="15" t="s">
        <v>4767</v>
      </c>
      <c r="D3170" s="15" t="s">
        <v>1253</v>
      </c>
      <c r="E3170" s="15" t="s">
        <v>1254</v>
      </c>
    </row>
    <row r="3171" spans="2:5">
      <c r="B3171" s="15" t="s">
        <v>4766</v>
      </c>
      <c r="C3171" s="15" t="s">
        <v>4767</v>
      </c>
      <c r="D3171" s="15" t="s">
        <v>4775</v>
      </c>
      <c r="E3171" s="15" t="s">
        <v>4776</v>
      </c>
    </row>
    <row r="3172" spans="2:5">
      <c r="B3172" s="15" t="s">
        <v>4766</v>
      </c>
      <c r="C3172" s="15" t="s">
        <v>4767</v>
      </c>
      <c r="D3172" s="15" t="s">
        <v>4777</v>
      </c>
      <c r="E3172" s="15" t="s">
        <v>4778</v>
      </c>
    </row>
    <row r="3173" spans="2:5">
      <c r="B3173" s="15" t="s">
        <v>4766</v>
      </c>
      <c r="C3173" s="15" t="s">
        <v>4767</v>
      </c>
      <c r="D3173" s="15" t="s">
        <v>4779</v>
      </c>
      <c r="E3173" s="15" t="s">
        <v>1256</v>
      </c>
    </row>
    <row r="3174" spans="2:5">
      <c r="B3174" s="15" t="s">
        <v>4766</v>
      </c>
      <c r="C3174" s="15" t="s">
        <v>4767</v>
      </c>
      <c r="D3174" s="15" t="s">
        <v>4198</v>
      </c>
      <c r="E3174" s="15" t="s">
        <v>4658</v>
      </c>
    </row>
    <row r="3175" spans="2:5">
      <c r="B3175" s="15" t="s">
        <v>4766</v>
      </c>
      <c r="C3175" s="15" t="s">
        <v>4767</v>
      </c>
      <c r="D3175" s="15" t="s">
        <v>4780</v>
      </c>
      <c r="E3175" s="15" t="s">
        <v>4781</v>
      </c>
    </row>
    <row r="3176" spans="2:5">
      <c r="B3176" s="15" t="s">
        <v>4766</v>
      </c>
      <c r="C3176" s="15" t="s">
        <v>4767</v>
      </c>
      <c r="D3176" s="15" t="s">
        <v>4433</v>
      </c>
      <c r="E3176" s="15" t="s">
        <v>4434</v>
      </c>
    </row>
    <row r="3177" spans="2:5">
      <c r="B3177" s="15" t="s">
        <v>4766</v>
      </c>
      <c r="C3177" s="15" t="s">
        <v>4767</v>
      </c>
      <c r="D3177" s="15" t="s">
        <v>1258</v>
      </c>
      <c r="E3177" s="15" t="s">
        <v>1259</v>
      </c>
    </row>
    <row r="3178" spans="2:5">
      <c r="B3178" s="15" t="s">
        <v>4766</v>
      </c>
      <c r="C3178" s="15" t="s">
        <v>4767</v>
      </c>
      <c r="D3178" s="15" t="s">
        <v>4782</v>
      </c>
      <c r="E3178" s="15" t="s">
        <v>4783</v>
      </c>
    </row>
    <row r="3179" spans="2:5">
      <c r="B3179" s="15" t="s">
        <v>4766</v>
      </c>
      <c r="C3179" s="15" t="s">
        <v>4767</v>
      </c>
      <c r="D3179" s="15" t="s">
        <v>4202</v>
      </c>
      <c r="E3179" s="15" t="s">
        <v>4203</v>
      </c>
    </row>
    <row r="3180" spans="2:5">
      <c r="B3180" s="15" t="s">
        <v>4766</v>
      </c>
      <c r="C3180" s="15" t="s">
        <v>4767</v>
      </c>
      <c r="D3180" s="15" t="s">
        <v>1803</v>
      </c>
      <c r="E3180" s="15" t="s">
        <v>1804</v>
      </c>
    </row>
    <row r="3181" spans="2:5">
      <c r="B3181" s="15" t="s">
        <v>4766</v>
      </c>
      <c r="C3181" s="15" t="s">
        <v>4767</v>
      </c>
      <c r="D3181" s="15" t="s">
        <v>4784</v>
      </c>
      <c r="E3181" s="15" t="s">
        <v>4434</v>
      </c>
    </row>
    <row r="3182" ht="15.95" spans="2:2">
      <c r="B3182" s="122" t="s">
        <v>4785</v>
      </c>
    </row>
    <row r="3183" spans="2:5">
      <c r="B3183" s="15" t="s">
        <v>4786</v>
      </c>
      <c r="C3183" s="15" t="s">
        <v>4787</v>
      </c>
      <c r="D3183" s="15" t="s">
        <v>1248</v>
      </c>
      <c r="E3183" s="15" t="s">
        <v>1249</v>
      </c>
    </row>
    <row r="3184" spans="2:5">
      <c r="B3184" s="15" t="s">
        <v>4786</v>
      </c>
      <c r="C3184" s="15" t="s">
        <v>4787</v>
      </c>
      <c r="D3184" s="15" t="s">
        <v>4188</v>
      </c>
      <c r="E3184" s="15" t="s">
        <v>4788</v>
      </c>
    </row>
    <row r="3185" spans="2:5">
      <c r="B3185" s="15" t="s">
        <v>4786</v>
      </c>
      <c r="C3185" s="15" t="s">
        <v>4787</v>
      </c>
      <c r="D3185" s="15" t="s">
        <v>1250</v>
      </c>
      <c r="E3185" s="15" t="s">
        <v>1251</v>
      </c>
    </row>
    <row r="3186" spans="2:5">
      <c r="B3186" s="15" t="s">
        <v>4786</v>
      </c>
      <c r="C3186" s="15" t="s">
        <v>4787</v>
      </c>
      <c r="D3186" s="15" t="s">
        <v>4195</v>
      </c>
      <c r="E3186" s="15" t="s">
        <v>4789</v>
      </c>
    </row>
    <row r="3187" spans="2:5">
      <c r="B3187" s="15" t="s">
        <v>4786</v>
      </c>
      <c r="C3187" s="15" t="s">
        <v>4787</v>
      </c>
      <c r="D3187" s="15" t="s">
        <v>4790</v>
      </c>
      <c r="E3187" s="15" t="s">
        <v>4791</v>
      </c>
    </row>
    <row r="3188" spans="2:5">
      <c r="B3188" s="15" t="s">
        <v>4786</v>
      </c>
      <c r="C3188" s="15" t="s">
        <v>4787</v>
      </c>
      <c r="D3188" s="15" t="s">
        <v>4792</v>
      </c>
      <c r="E3188" s="15" t="s">
        <v>4793</v>
      </c>
    </row>
    <row r="3189" spans="2:5">
      <c r="B3189" s="15" t="s">
        <v>4786</v>
      </c>
      <c r="C3189" s="15" t="s">
        <v>4787</v>
      </c>
      <c r="D3189" s="15" t="s">
        <v>4197</v>
      </c>
      <c r="E3189" s="15" t="s">
        <v>1256</v>
      </c>
    </row>
    <row r="3190" spans="2:5">
      <c r="B3190" s="15" t="s">
        <v>4786</v>
      </c>
      <c r="C3190" s="15" t="s">
        <v>4787</v>
      </c>
      <c r="D3190" s="15" t="s">
        <v>4198</v>
      </c>
      <c r="E3190" s="15" t="s">
        <v>4658</v>
      </c>
    </row>
    <row r="3191" spans="2:5">
      <c r="B3191" s="15" t="s">
        <v>4786</v>
      </c>
      <c r="C3191" s="15" t="s">
        <v>4787</v>
      </c>
      <c r="D3191" s="15" t="s">
        <v>4433</v>
      </c>
      <c r="E3191" s="15" t="s">
        <v>4794</v>
      </c>
    </row>
    <row r="3192" spans="2:5">
      <c r="B3192" s="15" t="s">
        <v>4786</v>
      </c>
      <c r="C3192" s="15" t="s">
        <v>4787</v>
      </c>
      <c r="D3192" s="15" t="s">
        <v>4202</v>
      </c>
      <c r="E3192" s="15" t="s">
        <v>4203</v>
      </c>
    </row>
    <row r="3193" spans="2:5">
      <c r="B3193" s="15" t="s">
        <v>4786</v>
      </c>
      <c r="C3193" s="15" t="s">
        <v>4787</v>
      </c>
      <c r="D3193" s="15" t="s">
        <v>4795</v>
      </c>
      <c r="E3193" s="15" t="s">
        <v>4796</v>
      </c>
    </row>
    <row r="3194" spans="2:5">
      <c r="B3194" s="15" t="s">
        <v>4786</v>
      </c>
      <c r="C3194" s="15" t="s">
        <v>4787</v>
      </c>
      <c r="D3194" s="15" t="s">
        <v>4784</v>
      </c>
      <c r="E3194" s="15" t="s">
        <v>4794</v>
      </c>
    </row>
    <row r="3195" spans="2:5">
      <c r="B3195" s="15" t="s">
        <v>4786</v>
      </c>
      <c r="C3195" s="15" t="s">
        <v>4787</v>
      </c>
      <c r="D3195" s="15" t="s">
        <v>4797</v>
      </c>
      <c r="E3195" s="15" t="s">
        <v>4798</v>
      </c>
    </row>
    <row r="3196" ht="15.95" spans="2:2">
      <c r="B3196" s="122" t="s">
        <v>4799</v>
      </c>
    </row>
    <row r="3197" spans="2:5">
      <c r="B3197" s="15" t="s">
        <v>4800</v>
      </c>
      <c r="C3197" s="15" t="s">
        <v>4800</v>
      </c>
      <c r="D3197" s="15" t="s">
        <v>723</v>
      </c>
      <c r="E3197" s="15" t="s">
        <v>4801</v>
      </c>
    </row>
    <row r="3198" spans="2:5">
      <c r="B3198" s="15" t="s">
        <v>4800</v>
      </c>
      <c r="C3198" s="15" t="s">
        <v>4800</v>
      </c>
      <c r="D3198" s="15" t="s">
        <v>725</v>
      </c>
      <c r="E3198" s="15" t="s">
        <v>4802</v>
      </c>
    </row>
    <row r="3199" spans="2:5">
      <c r="B3199" s="15" t="s">
        <v>4800</v>
      </c>
      <c r="C3199" s="15" t="s">
        <v>4800</v>
      </c>
      <c r="D3199" s="15" t="s">
        <v>727</v>
      </c>
      <c r="E3199" s="15" t="s">
        <v>4803</v>
      </c>
    </row>
    <row r="3200" ht="15.95" spans="2:2">
      <c r="B3200" s="122" t="s">
        <v>4804</v>
      </c>
    </row>
    <row r="3201" spans="2:5">
      <c r="B3201" s="15" t="s">
        <v>4805</v>
      </c>
      <c r="C3201" s="15" t="s">
        <v>4806</v>
      </c>
      <c r="D3201" s="15" t="s">
        <v>1248</v>
      </c>
      <c r="E3201" s="15" t="s">
        <v>1249</v>
      </c>
    </row>
    <row r="3202" spans="2:5">
      <c r="B3202" s="15" t="s">
        <v>4805</v>
      </c>
      <c r="C3202" s="15" t="s">
        <v>4806</v>
      </c>
      <c r="D3202" s="15" t="s">
        <v>1250</v>
      </c>
      <c r="E3202" s="15" t="s">
        <v>1251</v>
      </c>
    </row>
    <row r="3203" spans="2:5">
      <c r="B3203" s="15" t="s">
        <v>4805</v>
      </c>
      <c r="C3203" s="15" t="s">
        <v>4806</v>
      </c>
      <c r="D3203" s="15" t="s">
        <v>4197</v>
      </c>
      <c r="E3203" s="15" t="s">
        <v>1256</v>
      </c>
    </row>
    <row r="3204" spans="2:5">
      <c r="B3204" s="15" t="s">
        <v>4805</v>
      </c>
      <c r="C3204" s="15" t="s">
        <v>4806</v>
      </c>
      <c r="D3204" s="15" t="s">
        <v>4807</v>
      </c>
      <c r="E3204" s="15" t="s">
        <v>4808</v>
      </c>
    </row>
    <row r="3205" spans="2:5">
      <c r="B3205" s="15" t="s">
        <v>4805</v>
      </c>
      <c r="C3205" s="15" t="s">
        <v>4806</v>
      </c>
      <c r="D3205" s="15" t="s">
        <v>4433</v>
      </c>
      <c r="E3205" s="15" t="s">
        <v>4794</v>
      </c>
    </row>
    <row r="3206" spans="2:5">
      <c r="B3206" s="15" t="s">
        <v>4805</v>
      </c>
      <c r="C3206" s="15" t="s">
        <v>4806</v>
      </c>
      <c r="D3206" s="15" t="s">
        <v>4202</v>
      </c>
      <c r="E3206" s="15" t="s">
        <v>4203</v>
      </c>
    </row>
    <row r="3207" spans="2:5">
      <c r="B3207" s="15" t="s">
        <v>4805</v>
      </c>
      <c r="C3207" s="15" t="s">
        <v>4806</v>
      </c>
      <c r="D3207" s="15" t="s">
        <v>4784</v>
      </c>
      <c r="E3207" s="15" t="s">
        <v>4794</v>
      </c>
    </row>
    <row r="3208" ht="15.95" spans="2:2">
      <c r="B3208" s="122" t="s">
        <v>4809</v>
      </c>
    </row>
    <row r="3209" spans="2:5">
      <c r="B3209" s="15" t="s">
        <v>4810</v>
      </c>
      <c r="C3209" s="15" t="s">
        <v>4811</v>
      </c>
      <c r="D3209" s="15" t="s">
        <v>770</v>
      </c>
      <c r="E3209" s="15" t="s">
        <v>4812</v>
      </c>
    </row>
    <row r="3210" spans="2:5">
      <c r="B3210" s="15" t="s">
        <v>4810</v>
      </c>
      <c r="C3210" s="15" t="s">
        <v>4811</v>
      </c>
      <c r="D3210" s="15" t="s">
        <v>772</v>
      </c>
      <c r="E3210" s="15" t="s">
        <v>4813</v>
      </c>
    </row>
    <row r="3211" spans="2:5">
      <c r="B3211" s="15" t="s">
        <v>4810</v>
      </c>
      <c r="C3211" s="15" t="s">
        <v>4811</v>
      </c>
      <c r="D3211" s="15" t="s">
        <v>774</v>
      </c>
      <c r="E3211" s="15" t="s">
        <v>4814</v>
      </c>
    </row>
    <row r="3212" spans="2:5">
      <c r="B3212" s="15" t="s">
        <v>4810</v>
      </c>
      <c r="C3212" s="15" t="s">
        <v>4811</v>
      </c>
      <c r="D3212" s="15" t="s">
        <v>828</v>
      </c>
      <c r="E3212" s="15" t="s">
        <v>4815</v>
      </c>
    </row>
    <row r="3213" spans="2:5">
      <c r="B3213" s="15" t="s">
        <v>4810</v>
      </c>
      <c r="C3213" s="15" t="s">
        <v>4811</v>
      </c>
      <c r="D3213" s="15" t="s">
        <v>901</v>
      </c>
      <c r="E3213" s="15" t="s">
        <v>235</v>
      </c>
    </row>
    <row r="3214" spans="2:5">
      <c r="B3214" s="15" t="s">
        <v>4810</v>
      </c>
      <c r="C3214" s="15" t="s">
        <v>4811</v>
      </c>
      <c r="D3214" s="15" t="s">
        <v>776</v>
      </c>
      <c r="E3214" s="15" t="s">
        <v>4816</v>
      </c>
    </row>
    <row r="3215" ht="15.95" spans="2:2">
      <c r="B3215" s="122" t="s">
        <v>4817</v>
      </c>
    </row>
    <row r="3216" spans="2:5">
      <c r="B3216" s="15" t="s">
        <v>4818</v>
      </c>
      <c r="C3216" s="15" t="s">
        <v>4819</v>
      </c>
      <c r="D3216" s="15" t="s">
        <v>4820</v>
      </c>
      <c r="E3216" s="15" t="s">
        <v>4821</v>
      </c>
    </row>
    <row r="3217" spans="2:5">
      <c r="B3217" s="15" t="s">
        <v>4818</v>
      </c>
      <c r="C3217" s="15" t="s">
        <v>4819</v>
      </c>
      <c r="D3217" s="15" t="s">
        <v>4822</v>
      </c>
      <c r="E3217" s="15" t="s">
        <v>4823</v>
      </c>
    </row>
    <row r="3218" spans="2:5">
      <c r="B3218" s="15" t="s">
        <v>4818</v>
      </c>
      <c r="C3218" s="15" t="s">
        <v>4819</v>
      </c>
      <c r="D3218" s="15" t="s">
        <v>4824</v>
      </c>
      <c r="E3218" s="15" t="s">
        <v>4825</v>
      </c>
    </row>
    <row r="3219" spans="2:5">
      <c r="B3219" s="15" t="s">
        <v>4818</v>
      </c>
      <c r="C3219" s="15" t="s">
        <v>4819</v>
      </c>
      <c r="D3219" s="15" t="s">
        <v>4826</v>
      </c>
      <c r="E3219" s="15" t="s">
        <v>4827</v>
      </c>
    </row>
    <row r="3220" spans="2:5">
      <c r="B3220" s="15" t="s">
        <v>4818</v>
      </c>
      <c r="C3220" s="15" t="s">
        <v>4819</v>
      </c>
      <c r="D3220" s="15" t="s">
        <v>4828</v>
      </c>
      <c r="E3220" s="15" t="s">
        <v>4829</v>
      </c>
    </row>
    <row r="3221" spans="2:5">
      <c r="B3221" s="15" t="s">
        <v>4818</v>
      </c>
      <c r="C3221" s="15" t="s">
        <v>4819</v>
      </c>
      <c r="D3221" s="15" t="s">
        <v>4679</v>
      </c>
      <c r="E3221" s="15" t="s">
        <v>4680</v>
      </c>
    </row>
    <row r="3222" spans="2:5">
      <c r="B3222" s="15" t="s">
        <v>4818</v>
      </c>
      <c r="C3222" s="15" t="s">
        <v>4819</v>
      </c>
      <c r="D3222" s="15" t="s">
        <v>1248</v>
      </c>
      <c r="E3222" s="15" t="s">
        <v>1249</v>
      </c>
    </row>
    <row r="3223" spans="2:5">
      <c r="B3223" s="15" t="s">
        <v>4818</v>
      </c>
      <c r="C3223" s="15" t="s">
        <v>4819</v>
      </c>
      <c r="D3223" s="15" t="s">
        <v>4188</v>
      </c>
      <c r="E3223" s="15" t="s">
        <v>4830</v>
      </c>
    </row>
    <row r="3224" spans="2:5">
      <c r="B3224" s="15" t="s">
        <v>4818</v>
      </c>
      <c r="C3224" s="15" t="s">
        <v>4819</v>
      </c>
      <c r="D3224" s="15" t="s">
        <v>4831</v>
      </c>
      <c r="E3224" s="15" t="s">
        <v>4832</v>
      </c>
    </row>
    <row r="3225" spans="2:5">
      <c r="B3225" s="15" t="s">
        <v>4818</v>
      </c>
      <c r="C3225" s="15" t="s">
        <v>4819</v>
      </c>
      <c r="D3225" s="15" t="s">
        <v>4833</v>
      </c>
      <c r="E3225" s="15" t="s">
        <v>4201</v>
      </c>
    </row>
    <row r="3226" spans="2:5">
      <c r="B3226" s="15" t="s">
        <v>4818</v>
      </c>
      <c r="C3226" s="15" t="s">
        <v>4819</v>
      </c>
      <c r="D3226" s="15" t="s">
        <v>1250</v>
      </c>
      <c r="E3226" s="15" t="s">
        <v>1251</v>
      </c>
    </row>
    <row r="3227" spans="2:5">
      <c r="B3227" s="15" t="s">
        <v>4818</v>
      </c>
      <c r="C3227" s="15" t="s">
        <v>4819</v>
      </c>
      <c r="D3227" s="15" t="s">
        <v>4834</v>
      </c>
      <c r="E3227" s="15" t="s">
        <v>4835</v>
      </c>
    </row>
    <row r="3228" spans="2:5">
      <c r="B3228" s="15" t="s">
        <v>4818</v>
      </c>
      <c r="C3228" s="15" t="s">
        <v>4819</v>
      </c>
      <c r="D3228" s="15" t="s">
        <v>4195</v>
      </c>
      <c r="E3228" s="15" t="s">
        <v>4836</v>
      </c>
    </row>
    <row r="3229" spans="2:5">
      <c r="B3229" s="15" t="s">
        <v>4818</v>
      </c>
      <c r="C3229" s="15" t="s">
        <v>4819</v>
      </c>
      <c r="D3229" s="15" t="s">
        <v>4792</v>
      </c>
      <c r="E3229" s="15" t="s">
        <v>4837</v>
      </c>
    </row>
    <row r="3230" spans="2:5">
      <c r="B3230" s="15" t="s">
        <v>4818</v>
      </c>
      <c r="C3230" s="15" t="s">
        <v>4819</v>
      </c>
      <c r="D3230" s="15" t="s">
        <v>4838</v>
      </c>
      <c r="E3230" s="15" t="s">
        <v>4839</v>
      </c>
    </row>
    <row r="3231" spans="2:5">
      <c r="B3231" s="15" t="s">
        <v>4818</v>
      </c>
      <c r="C3231" s="15" t="s">
        <v>4819</v>
      </c>
      <c r="D3231" s="15" t="s">
        <v>4840</v>
      </c>
      <c r="E3231" s="15" t="s">
        <v>4841</v>
      </c>
    </row>
    <row r="3232" spans="2:5">
      <c r="B3232" s="15" t="s">
        <v>4818</v>
      </c>
      <c r="C3232" s="15" t="s">
        <v>4819</v>
      </c>
      <c r="D3232" s="15" t="s">
        <v>4842</v>
      </c>
      <c r="E3232" s="15" t="s">
        <v>4843</v>
      </c>
    </row>
    <row r="3233" spans="2:5">
      <c r="B3233" s="15" t="s">
        <v>4818</v>
      </c>
      <c r="C3233" s="15" t="s">
        <v>4819</v>
      </c>
      <c r="D3233" s="15" t="s">
        <v>4197</v>
      </c>
      <c r="E3233" s="15" t="s">
        <v>1256</v>
      </c>
    </row>
    <row r="3234" spans="2:5">
      <c r="B3234" s="15" t="s">
        <v>4818</v>
      </c>
      <c r="C3234" s="15" t="s">
        <v>4819</v>
      </c>
      <c r="D3234" s="15" t="s">
        <v>4198</v>
      </c>
      <c r="E3234" s="15" t="s">
        <v>4658</v>
      </c>
    </row>
    <row r="3235" spans="2:5">
      <c r="B3235" s="15" t="s">
        <v>4818</v>
      </c>
      <c r="C3235" s="15" t="s">
        <v>4819</v>
      </c>
      <c r="D3235" s="15" t="s">
        <v>4844</v>
      </c>
      <c r="E3235" s="15" t="s">
        <v>4845</v>
      </c>
    </row>
    <row r="3236" spans="2:5">
      <c r="B3236" s="15" t="s">
        <v>4818</v>
      </c>
      <c r="C3236" s="15" t="s">
        <v>4819</v>
      </c>
      <c r="D3236" s="15" t="s">
        <v>4433</v>
      </c>
      <c r="E3236" s="15" t="s">
        <v>4846</v>
      </c>
    </row>
    <row r="3237" spans="2:5">
      <c r="B3237" s="15" t="s">
        <v>4818</v>
      </c>
      <c r="C3237" s="15" t="s">
        <v>4819</v>
      </c>
      <c r="D3237" s="15" t="s">
        <v>4202</v>
      </c>
      <c r="E3237" s="15" t="s">
        <v>4203</v>
      </c>
    </row>
    <row r="3238" spans="2:5">
      <c r="B3238" s="15" t="s">
        <v>4818</v>
      </c>
      <c r="C3238" s="15" t="s">
        <v>4819</v>
      </c>
      <c r="D3238" s="15" t="s">
        <v>4847</v>
      </c>
      <c r="E3238" s="15" t="s">
        <v>4848</v>
      </c>
    </row>
    <row r="3239" spans="2:5">
      <c r="B3239" s="15" t="s">
        <v>4818</v>
      </c>
      <c r="C3239" s="15" t="s">
        <v>4819</v>
      </c>
      <c r="D3239" s="15" t="s">
        <v>4784</v>
      </c>
      <c r="E3239" s="15" t="s">
        <v>4846</v>
      </c>
    </row>
    <row r="3240" ht="15.95" spans="2:2">
      <c r="B3240" s="122" t="s">
        <v>4849</v>
      </c>
    </row>
    <row r="3241" spans="2:5">
      <c r="B3241" s="15" t="s">
        <v>4850</v>
      </c>
      <c r="C3241" s="15" t="s">
        <v>4851</v>
      </c>
      <c r="D3241" s="15" t="s">
        <v>4852</v>
      </c>
      <c r="E3241" s="15" t="s">
        <v>4853</v>
      </c>
    </row>
    <row r="3242" spans="2:5">
      <c r="B3242" s="15" t="s">
        <v>4850</v>
      </c>
      <c r="C3242" s="15" t="s">
        <v>4851</v>
      </c>
      <c r="D3242" s="15" t="s">
        <v>4854</v>
      </c>
      <c r="E3242" s="15" t="s">
        <v>4201</v>
      </c>
    </row>
    <row r="3243" spans="2:5">
      <c r="B3243" s="15" t="s">
        <v>4850</v>
      </c>
      <c r="C3243" s="15" t="s">
        <v>4851</v>
      </c>
      <c r="D3243" s="15" t="s">
        <v>4855</v>
      </c>
      <c r="E3243" s="15" t="s">
        <v>1256</v>
      </c>
    </row>
    <row r="3244" spans="2:5">
      <c r="B3244" s="15" t="s">
        <v>4850</v>
      </c>
      <c r="C3244" s="15" t="s">
        <v>4851</v>
      </c>
      <c r="D3244" s="15" t="s">
        <v>4820</v>
      </c>
      <c r="E3244" s="15" t="s">
        <v>1251</v>
      </c>
    </row>
    <row r="3245" spans="2:5">
      <c r="B3245" s="15" t="s">
        <v>4850</v>
      </c>
      <c r="C3245" s="15" t="s">
        <v>4851</v>
      </c>
      <c r="D3245" s="15" t="s">
        <v>4822</v>
      </c>
      <c r="E3245" s="15" t="s">
        <v>4823</v>
      </c>
    </row>
    <row r="3246" spans="2:5">
      <c r="B3246" s="15" t="s">
        <v>4850</v>
      </c>
      <c r="C3246" s="15" t="s">
        <v>4851</v>
      </c>
      <c r="D3246" s="15" t="s">
        <v>4824</v>
      </c>
      <c r="E3246" s="15" t="s">
        <v>4825</v>
      </c>
    </row>
    <row r="3247" spans="2:5">
      <c r="B3247" s="15" t="s">
        <v>4850</v>
      </c>
      <c r="C3247" s="15" t="s">
        <v>4851</v>
      </c>
      <c r="D3247" s="15" t="s">
        <v>4826</v>
      </c>
      <c r="E3247" s="15" t="s">
        <v>4827</v>
      </c>
    </row>
    <row r="3248" spans="2:5">
      <c r="B3248" s="15" t="s">
        <v>4850</v>
      </c>
      <c r="C3248" s="15" t="s">
        <v>4851</v>
      </c>
      <c r="D3248" s="15" t="s">
        <v>1248</v>
      </c>
      <c r="E3248" s="15" t="s">
        <v>1249</v>
      </c>
    </row>
    <row r="3249" spans="2:5">
      <c r="B3249" s="15" t="s">
        <v>4850</v>
      </c>
      <c r="C3249" s="15" t="s">
        <v>4851</v>
      </c>
      <c r="D3249" s="15" t="s">
        <v>1250</v>
      </c>
      <c r="E3249" s="15" t="s">
        <v>1251</v>
      </c>
    </row>
    <row r="3250" spans="2:5">
      <c r="B3250" s="15" t="s">
        <v>4850</v>
      </c>
      <c r="C3250" s="15" t="s">
        <v>4851</v>
      </c>
      <c r="D3250" s="15" t="s">
        <v>4792</v>
      </c>
      <c r="E3250" s="15" t="s">
        <v>4837</v>
      </c>
    </row>
    <row r="3251" spans="2:5">
      <c r="B3251" s="15" t="s">
        <v>4850</v>
      </c>
      <c r="C3251" s="15" t="s">
        <v>4851</v>
      </c>
      <c r="D3251" s="15" t="s">
        <v>4856</v>
      </c>
      <c r="E3251" s="15" t="s">
        <v>4857</v>
      </c>
    </row>
    <row r="3252" spans="2:5">
      <c r="B3252" s="15" t="s">
        <v>4850</v>
      </c>
      <c r="C3252" s="15" t="s">
        <v>4851</v>
      </c>
      <c r="D3252" s="15" t="s">
        <v>4197</v>
      </c>
      <c r="E3252" s="15" t="s">
        <v>1256</v>
      </c>
    </row>
    <row r="3253" spans="2:5">
      <c r="B3253" s="15" t="s">
        <v>4850</v>
      </c>
      <c r="C3253" s="15" t="s">
        <v>4851</v>
      </c>
      <c r="D3253" s="15" t="s">
        <v>4858</v>
      </c>
      <c r="E3253" s="15" t="s">
        <v>4808</v>
      </c>
    </row>
    <row r="3254" spans="2:5">
      <c r="B3254" s="15" t="s">
        <v>4850</v>
      </c>
      <c r="C3254" s="15" t="s">
        <v>4851</v>
      </c>
      <c r="D3254" s="15" t="s">
        <v>4433</v>
      </c>
      <c r="E3254" s="15" t="s">
        <v>4846</v>
      </c>
    </row>
    <row r="3255" spans="2:5">
      <c r="B3255" s="15" t="s">
        <v>4850</v>
      </c>
      <c r="C3255" s="15" t="s">
        <v>4851</v>
      </c>
      <c r="D3255" s="15" t="s">
        <v>4202</v>
      </c>
      <c r="E3255" s="15" t="s">
        <v>4203</v>
      </c>
    </row>
    <row r="3256" spans="2:5">
      <c r="B3256" s="15" t="s">
        <v>4850</v>
      </c>
      <c r="C3256" s="15" t="s">
        <v>4851</v>
      </c>
      <c r="D3256" s="15" t="s">
        <v>4784</v>
      </c>
      <c r="E3256" s="15" t="s">
        <v>4846</v>
      </c>
    </row>
    <row r="3257" ht="15.95" spans="2:2">
      <c r="B3257" s="122" t="s">
        <v>4859</v>
      </c>
    </row>
    <row r="3258" spans="2:5">
      <c r="B3258" s="15" t="s">
        <v>4860</v>
      </c>
      <c r="C3258" s="15" t="s">
        <v>4861</v>
      </c>
      <c r="D3258" s="15" t="s">
        <v>917</v>
      </c>
      <c r="E3258" s="15" t="s">
        <v>918</v>
      </c>
    </row>
    <row r="3259" spans="2:5">
      <c r="B3259" s="15" t="s">
        <v>4860</v>
      </c>
      <c r="C3259" s="15" t="s">
        <v>4861</v>
      </c>
      <c r="D3259" s="15" t="s">
        <v>919</v>
      </c>
      <c r="E3259" s="15" t="s">
        <v>1837</v>
      </c>
    </row>
    <row r="3260" spans="2:5">
      <c r="B3260" s="15" t="s">
        <v>4860</v>
      </c>
      <c r="C3260" s="15" t="s">
        <v>4861</v>
      </c>
      <c r="D3260" s="15" t="s">
        <v>955</v>
      </c>
      <c r="E3260" s="15" t="s">
        <v>956</v>
      </c>
    </row>
    <row r="3261" spans="2:5">
      <c r="B3261" s="15" t="s">
        <v>4860</v>
      </c>
      <c r="C3261" s="15" t="s">
        <v>4861</v>
      </c>
      <c r="D3261" s="15" t="s">
        <v>1095</v>
      </c>
      <c r="E3261" s="15" t="s">
        <v>1096</v>
      </c>
    </row>
    <row r="3262" ht="15.95" spans="2:2">
      <c r="B3262" s="122" t="s">
        <v>4862</v>
      </c>
    </row>
    <row r="3263" spans="2:5">
      <c r="B3263" s="15" t="s">
        <v>4863</v>
      </c>
      <c r="C3263" s="15" t="s">
        <v>4864</v>
      </c>
      <c r="D3263" s="15" t="s">
        <v>4679</v>
      </c>
      <c r="E3263" s="15" t="s">
        <v>4680</v>
      </c>
    </row>
    <row r="3264" spans="2:5">
      <c r="B3264" s="15" t="s">
        <v>4863</v>
      </c>
      <c r="C3264" s="15" t="s">
        <v>4864</v>
      </c>
      <c r="D3264" s="15" t="s">
        <v>1248</v>
      </c>
      <c r="E3264" s="15" t="s">
        <v>1249</v>
      </c>
    </row>
    <row r="3265" spans="2:5">
      <c r="B3265" s="15" t="s">
        <v>4863</v>
      </c>
      <c r="C3265" s="15" t="s">
        <v>4864</v>
      </c>
      <c r="D3265" s="15" t="s">
        <v>4188</v>
      </c>
      <c r="E3265" s="15" t="s">
        <v>4865</v>
      </c>
    </row>
    <row r="3266" spans="2:5">
      <c r="B3266" s="15" t="s">
        <v>4863</v>
      </c>
      <c r="C3266" s="15" t="s">
        <v>4864</v>
      </c>
      <c r="D3266" s="15" t="s">
        <v>4831</v>
      </c>
      <c r="E3266" s="15" t="s">
        <v>4832</v>
      </c>
    </row>
    <row r="3267" spans="2:5">
      <c r="B3267" s="15" t="s">
        <v>4863</v>
      </c>
      <c r="C3267" s="15" t="s">
        <v>4864</v>
      </c>
      <c r="D3267" s="15" t="s">
        <v>1250</v>
      </c>
      <c r="E3267" s="15" t="s">
        <v>4191</v>
      </c>
    </row>
    <row r="3268" spans="2:5">
      <c r="B3268" s="15" t="s">
        <v>4863</v>
      </c>
      <c r="C3268" s="15" t="s">
        <v>4864</v>
      </c>
      <c r="D3268" s="15" t="s">
        <v>4195</v>
      </c>
      <c r="E3268" s="15" t="s">
        <v>4432</v>
      </c>
    </row>
    <row r="3269" spans="2:5">
      <c r="B3269" s="15" t="s">
        <v>4863</v>
      </c>
      <c r="C3269" s="15" t="s">
        <v>4864</v>
      </c>
      <c r="D3269" s="15" t="s">
        <v>4197</v>
      </c>
      <c r="E3269" s="15" t="s">
        <v>1256</v>
      </c>
    </row>
    <row r="3270" spans="2:5">
      <c r="B3270" s="15" t="s">
        <v>4863</v>
      </c>
      <c r="C3270" s="15" t="s">
        <v>4864</v>
      </c>
      <c r="D3270" s="15" t="s">
        <v>4198</v>
      </c>
      <c r="E3270" s="15" t="s">
        <v>4658</v>
      </c>
    </row>
    <row r="3271" spans="2:5">
      <c r="B3271" s="15" t="s">
        <v>4863</v>
      </c>
      <c r="C3271" s="15" t="s">
        <v>4864</v>
      </c>
      <c r="D3271" s="15" t="s">
        <v>4433</v>
      </c>
      <c r="E3271" s="15" t="s">
        <v>4434</v>
      </c>
    </row>
    <row r="3272" spans="2:5">
      <c r="B3272" s="15" t="s">
        <v>4863</v>
      </c>
      <c r="C3272" s="15" t="s">
        <v>4864</v>
      </c>
      <c r="D3272" s="15" t="s">
        <v>4202</v>
      </c>
      <c r="E3272" s="15" t="s">
        <v>4203</v>
      </c>
    </row>
    <row r="3273" spans="2:5">
      <c r="B3273" s="15" t="s">
        <v>4863</v>
      </c>
      <c r="C3273" s="15" t="s">
        <v>4864</v>
      </c>
      <c r="D3273" s="15" t="s">
        <v>4784</v>
      </c>
      <c r="E3273" s="15" t="s">
        <v>4701</v>
      </c>
    </row>
    <row r="3274" ht="15.95" spans="2:2">
      <c r="B3274" s="122" t="s">
        <v>4866</v>
      </c>
    </row>
    <row r="3275" spans="2:5">
      <c r="B3275" s="15" t="s">
        <v>4867</v>
      </c>
      <c r="C3275" s="15" t="s">
        <v>4868</v>
      </c>
      <c r="D3275" s="15" t="s">
        <v>4679</v>
      </c>
      <c r="E3275" s="15" t="s">
        <v>4680</v>
      </c>
    </row>
    <row r="3276" spans="2:5">
      <c r="B3276" s="15" t="s">
        <v>4867</v>
      </c>
      <c r="C3276" s="15" t="s">
        <v>4868</v>
      </c>
      <c r="D3276" s="15" t="s">
        <v>1248</v>
      </c>
      <c r="E3276" s="15" t="s">
        <v>1249</v>
      </c>
    </row>
    <row r="3277" spans="2:5">
      <c r="B3277" s="15" t="s">
        <v>4867</v>
      </c>
      <c r="C3277" s="15" t="s">
        <v>4868</v>
      </c>
      <c r="D3277" s="15" t="s">
        <v>4188</v>
      </c>
      <c r="E3277" s="15" t="s">
        <v>4189</v>
      </c>
    </row>
    <row r="3278" spans="2:5">
      <c r="B3278" s="15" t="s">
        <v>4867</v>
      </c>
      <c r="C3278" s="15" t="s">
        <v>4868</v>
      </c>
      <c r="D3278" s="15" t="s">
        <v>4831</v>
      </c>
      <c r="E3278" s="15" t="s">
        <v>4832</v>
      </c>
    </row>
    <row r="3279" spans="2:5">
      <c r="B3279" s="15" t="s">
        <v>4867</v>
      </c>
      <c r="C3279" s="15" t="s">
        <v>4868</v>
      </c>
      <c r="D3279" s="15" t="s">
        <v>1250</v>
      </c>
      <c r="E3279" s="15" t="s">
        <v>1251</v>
      </c>
    </row>
    <row r="3280" spans="2:5">
      <c r="B3280" s="15" t="s">
        <v>4867</v>
      </c>
      <c r="C3280" s="15" t="s">
        <v>4868</v>
      </c>
      <c r="D3280" s="15" t="s">
        <v>4195</v>
      </c>
      <c r="E3280" s="15" t="s">
        <v>4432</v>
      </c>
    </row>
    <row r="3281" spans="2:5">
      <c r="B3281" s="15" t="s">
        <v>4867</v>
      </c>
      <c r="C3281" s="15" t="s">
        <v>4868</v>
      </c>
      <c r="D3281" s="15" t="s">
        <v>4692</v>
      </c>
      <c r="E3281" s="15" t="s">
        <v>4693</v>
      </c>
    </row>
    <row r="3282" spans="2:5">
      <c r="B3282" s="15" t="s">
        <v>4867</v>
      </c>
      <c r="C3282" s="15" t="s">
        <v>4868</v>
      </c>
      <c r="D3282" s="15" t="s">
        <v>4197</v>
      </c>
      <c r="E3282" s="15" t="s">
        <v>1256</v>
      </c>
    </row>
    <row r="3283" spans="2:5">
      <c r="B3283" s="15" t="s">
        <v>4867</v>
      </c>
      <c r="C3283" s="15" t="s">
        <v>4868</v>
      </c>
      <c r="D3283" s="15" t="s">
        <v>4694</v>
      </c>
      <c r="E3283" s="15" t="s">
        <v>4191</v>
      </c>
    </row>
    <row r="3284" spans="2:5">
      <c r="B3284" s="15" t="s">
        <v>4867</v>
      </c>
      <c r="C3284" s="15" t="s">
        <v>4868</v>
      </c>
      <c r="D3284" s="15" t="s">
        <v>4697</v>
      </c>
      <c r="E3284" s="15" t="s">
        <v>4698</v>
      </c>
    </row>
    <row r="3285" spans="2:5">
      <c r="B3285" s="15" t="s">
        <v>4867</v>
      </c>
      <c r="C3285" s="15" t="s">
        <v>4868</v>
      </c>
      <c r="D3285" s="15" t="s">
        <v>4700</v>
      </c>
      <c r="E3285" s="15" t="s">
        <v>4701</v>
      </c>
    </row>
    <row r="3286" spans="2:5">
      <c r="B3286" s="15" t="s">
        <v>4867</v>
      </c>
      <c r="C3286" s="15" t="s">
        <v>4868</v>
      </c>
      <c r="D3286" s="15" t="s">
        <v>4202</v>
      </c>
      <c r="E3286" s="15" t="s">
        <v>4203</v>
      </c>
    </row>
    <row r="3287" spans="2:5">
      <c r="B3287" s="15" t="s">
        <v>4867</v>
      </c>
      <c r="C3287" s="15" t="s">
        <v>4868</v>
      </c>
      <c r="D3287" s="15" t="s">
        <v>4784</v>
      </c>
      <c r="E3287" s="15" t="s">
        <v>4434</v>
      </c>
    </row>
    <row r="3288" ht="15.95" spans="2:2">
      <c r="B3288" s="122" t="s">
        <v>4869</v>
      </c>
    </row>
    <row r="3289" spans="2:5">
      <c r="B3289" s="15" t="s">
        <v>4870</v>
      </c>
      <c r="C3289" s="15" t="s">
        <v>4871</v>
      </c>
      <c r="D3289" s="15" t="s">
        <v>1248</v>
      </c>
      <c r="E3289" s="15" t="s">
        <v>1249</v>
      </c>
    </row>
    <row r="3290" spans="2:5">
      <c r="B3290" s="15" t="s">
        <v>4870</v>
      </c>
      <c r="C3290" s="15" t="s">
        <v>4871</v>
      </c>
      <c r="D3290" s="15" t="s">
        <v>4188</v>
      </c>
      <c r="E3290" s="15" t="s">
        <v>4865</v>
      </c>
    </row>
    <row r="3291" spans="2:5">
      <c r="B3291" s="15" t="s">
        <v>4870</v>
      </c>
      <c r="C3291" s="15" t="s">
        <v>4871</v>
      </c>
      <c r="D3291" s="15" t="s">
        <v>4190</v>
      </c>
      <c r="E3291" s="15" t="s">
        <v>4191</v>
      </c>
    </row>
    <row r="3292" spans="2:5">
      <c r="B3292" s="15" t="s">
        <v>4870</v>
      </c>
      <c r="C3292" s="15" t="s">
        <v>4871</v>
      </c>
      <c r="D3292" s="15" t="s">
        <v>4192</v>
      </c>
      <c r="E3292" s="15" t="s">
        <v>4193</v>
      </c>
    </row>
    <row r="3293" spans="2:5">
      <c r="B3293" s="15" t="s">
        <v>4870</v>
      </c>
      <c r="C3293" s="15" t="s">
        <v>4871</v>
      </c>
      <c r="D3293" s="15" t="s">
        <v>4872</v>
      </c>
      <c r="E3293" s="15" t="s">
        <v>4873</v>
      </c>
    </row>
    <row r="3294" spans="2:5">
      <c r="B3294" s="15" t="s">
        <v>4870</v>
      </c>
      <c r="C3294" s="15" t="s">
        <v>4871</v>
      </c>
      <c r="D3294" s="15" t="s">
        <v>4431</v>
      </c>
      <c r="E3294" s="15" t="s">
        <v>4874</v>
      </c>
    </row>
    <row r="3295" spans="2:5">
      <c r="B3295" s="15" t="s">
        <v>4870</v>
      </c>
      <c r="C3295" s="15" t="s">
        <v>4871</v>
      </c>
      <c r="D3295" s="15" t="s">
        <v>1250</v>
      </c>
      <c r="E3295" s="15" t="s">
        <v>4191</v>
      </c>
    </row>
    <row r="3296" spans="2:5">
      <c r="B3296" s="15" t="s">
        <v>4870</v>
      </c>
      <c r="C3296" s="15" t="s">
        <v>4871</v>
      </c>
      <c r="D3296" s="15" t="s">
        <v>4875</v>
      </c>
      <c r="E3296" s="15" t="s">
        <v>2737</v>
      </c>
    </row>
    <row r="3297" spans="2:5">
      <c r="B3297" s="15" t="s">
        <v>4870</v>
      </c>
      <c r="C3297" s="15" t="s">
        <v>4871</v>
      </c>
      <c r="D3297" s="15" t="s">
        <v>4195</v>
      </c>
      <c r="E3297" s="15" t="s">
        <v>4432</v>
      </c>
    </row>
    <row r="3298" spans="2:5">
      <c r="B3298" s="15" t="s">
        <v>4870</v>
      </c>
      <c r="C3298" s="15" t="s">
        <v>4871</v>
      </c>
      <c r="D3298" s="15" t="s">
        <v>4197</v>
      </c>
      <c r="E3298" s="15" t="s">
        <v>1256</v>
      </c>
    </row>
    <row r="3299" spans="2:5">
      <c r="B3299" s="15" t="s">
        <v>4870</v>
      </c>
      <c r="C3299" s="15" t="s">
        <v>4871</v>
      </c>
      <c r="D3299" s="15" t="s">
        <v>4659</v>
      </c>
      <c r="E3299" s="15" t="s">
        <v>4434</v>
      </c>
    </row>
    <row r="3300" spans="2:5">
      <c r="B3300" s="15" t="s">
        <v>4870</v>
      </c>
      <c r="C3300" s="15" t="s">
        <v>4871</v>
      </c>
      <c r="D3300" s="15" t="s">
        <v>4700</v>
      </c>
      <c r="E3300" s="15" t="s">
        <v>4876</v>
      </c>
    </row>
    <row r="3301" spans="2:5">
      <c r="B3301" s="15" t="s">
        <v>4870</v>
      </c>
      <c r="C3301" s="15" t="s">
        <v>4871</v>
      </c>
      <c r="D3301" s="15" t="s">
        <v>4433</v>
      </c>
      <c r="E3301" s="15" t="s">
        <v>4877</v>
      </c>
    </row>
    <row r="3302" spans="2:5">
      <c r="B3302" s="15" t="s">
        <v>4870</v>
      </c>
      <c r="C3302" s="15" t="s">
        <v>4871</v>
      </c>
      <c r="D3302" s="15" t="s">
        <v>4202</v>
      </c>
      <c r="E3302" s="15" t="s">
        <v>4203</v>
      </c>
    </row>
    <row r="3303" spans="2:5">
      <c r="B3303" s="15" t="s">
        <v>4870</v>
      </c>
      <c r="C3303" s="15" t="s">
        <v>4871</v>
      </c>
      <c r="D3303" s="15" t="s">
        <v>4784</v>
      </c>
      <c r="E3303" s="15" t="s">
        <v>4434</v>
      </c>
    </row>
    <row r="3304" ht="15.95" spans="2:2">
      <c r="B3304" s="122" t="s">
        <v>4878</v>
      </c>
    </row>
    <row r="3305" spans="2:5">
      <c r="B3305" s="15" t="s">
        <v>4879</v>
      </c>
      <c r="C3305" s="15" t="s">
        <v>4880</v>
      </c>
      <c r="D3305" s="15" t="s">
        <v>635</v>
      </c>
      <c r="E3305" s="15" t="s">
        <v>4581</v>
      </c>
    </row>
    <row r="3306" spans="2:5">
      <c r="B3306" s="15" t="s">
        <v>4879</v>
      </c>
      <c r="C3306" s="15" t="s">
        <v>4880</v>
      </c>
      <c r="D3306" s="15" t="s">
        <v>659</v>
      </c>
      <c r="E3306" s="15" t="s">
        <v>875</v>
      </c>
    </row>
    <row r="3307" spans="2:5">
      <c r="B3307" s="15" t="s">
        <v>4879</v>
      </c>
      <c r="C3307" s="15" t="s">
        <v>4880</v>
      </c>
      <c r="D3307" s="15" t="s">
        <v>679</v>
      </c>
      <c r="E3307" s="15" t="s">
        <v>878</v>
      </c>
    </row>
    <row r="3308" spans="2:5">
      <c r="B3308" s="15" t="s">
        <v>4879</v>
      </c>
      <c r="C3308" s="15" t="s">
        <v>4880</v>
      </c>
      <c r="D3308" s="15" t="s">
        <v>705</v>
      </c>
      <c r="E3308" s="15" t="s">
        <v>876</v>
      </c>
    </row>
    <row r="3309" spans="2:5">
      <c r="B3309" s="15" t="s">
        <v>4879</v>
      </c>
      <c r="C3309" s="15" t="s">
        <v>4880</v>
      </c>
      <c r="D3309" s="15" t="s">
        <v>709</v>
      </c>
      <c r="E3309" s="15" t="s">
        <v>4582</v>
      </c>
    </row>
    <row r="3310" spans="2:5">
      <c r="B3310" s="15" t="s">
        <v>4879</v>
      </c>
      <c r="C3310" s="15" t="s">
        <v>4880</v>
      </c>
      <c r="D3310" s="15" t="s">
        <v>838</v>
      </c>
      <c r="E3310" s="15" t="s">
        <v>879</v>
      </c>
    </row>
    <row r="3311" ht="15.95" spans="2:2">
      <c r="B3311" s="122" t="s">
        <v>4881</v>
      </c>
    </row>
    <row r="3312" spans="2:5">
      <c r="B3312" s="15" t="s">
        <v>4882</v>
      </c>
      <c r="C3312" s="15" t="s">
        <v>4883</v>
      </c>
      <c r="D3312" s="15" t="s">
        <v>4679</v>
      </c>
      <c r="E3312" s="15" t="s">
        <v>4680</v>
      </c>
    </row>
    <row r="3313" spans="2:5">
      <c r="B3313" s="15" t="s">
        <v>4882</v>
      </c>
      <c r="C3313" s="15" t="s">
        <v>4883</v>
      </c>
      <c r="D3313" s="15" t="s">
        <v>1248</v>
      </c>
      <c r="E3313" s="15" t="s">
        <v>1249</v>
      </c>
    </row>
    <row r="3314" spans="2:5">
      <c r="B3314" s="15" t="s">
        <v>4882</v>
      </c>
      <c r="C3314" s="15" t="s">
        <v>4883</v>
      </c>
      <c r="D3314" s="15" t="s">
        <v>4188</v>
      </c>
      <c r="E3314" s="15" t="s">
        <v>4189</v>
      </c>
    </row>
    <row r="3315" spans="2:5">
      <c r="B3315" s="15" t="s">
        <v>4882</v>
      </c>
      <c r="C3315" s="15" t="s">
        <v>4883</v>
      </c>
      <c r="D3315" s="15" t="s">
        <v>4831</v>
      </c>
      <c r="E3315" s="15" t="s">
        <v>4832</v>
      </c>
    </row>
    <row r="3316" spans="2:5">
      <c r="B3316" s="15" t="s">
        <v>4882</v>
      </c>
      <c r="C3316" s="15" t="s">
        <v>4883</v>
      </c>
      <c r="D3316" s="15" t="s">
        <v>1250</v>
      </c>
      <c r="E3316" s="15" t="s">
        <v>1251</v>
      </c>
    </row>
    <row r="3317" spans="2:5">
      <c r="B3317" s="15" t="s">
        <v>4882</v>
      </c>
      <c r="C3317" s="15" t="s">
        <v>4883</v>
      </c>
      <c r="D3317" s="15" t="s">
        <v>4195</v>
      </c>
      <c r="E3317" s="15" t="s">
        <v>4884</v>
      </c>
    </row>
    <row r="3318" spans="2:5">
      <c r="B3318" s="15" t="s">
        <v>4882</v>
      </c>
      <c r="C3318" s="15" t="s">
        <v>4883</v>
      </c>
      <c r="D3318" s="15" t="s">
        <v>1253</v>
      </c>
      <c r="E3318" s="15" t="s">
        <v>1254</v>
      </c>
    </row>
    <row r="3319" spans="2:5">
      <c r="B3319" s="15" t="s">
        <v>4882</v>
      </c>
      <c r="C3319" s="15" t="s">
        <v>4883</v>
      </c>
      <c r="D3319" s="15" t="s">
        <v>4197</v>
      </c>
      <c r="E3319" s="15" t="s">
        <v>1256</v>
      </c>
    </row>
    <row r="3320" spans="2:5">
      <c r="B3320" s="15" t="s">
        <v>4882</v>
      </c>
      <c r="C3320" s="15" t="s">
        <v>4883</v>
      </c>
      <c r="D3320" s="15" t="s">
        <v>4202</v>
      </c>
      <c r="E3320" s="15" t="s">
        <v>4203</v>
      </c>
    </row>
    <row r="3321" spans="2:5">
      <c r="B3321" s="15" t="s">
        <v>4882</v>
      </c>
      <c r="C3321" s="15" t="s">
        <v>4883</v>
      </c>
      <c r="D3321" s="15" t="s">
        <v>4847</v>
      </c>
      <c r="E3321" s="15" t="s">
        <v>4848</v>
      </c>
    </row>
    <row r="3322" spans="2:5">
      <c r="B3322" s="15" t="s">
        <v>4882</v>
      </c>
      <c r="C3322" s="15" t="s">
        <v>4883</v>
      </c>
      <c r="D3322" s="15" t="s">
        <v>4885</v>
      </c>
      <c r="E3322" s="15" t="s">
        <v>4886</v>
      </c>
    </row>
    <row r="3323" spans="2:5">
      <c r="B3323" s="15" t="s">
        <v>4882</v>
      </c>
      <c r="C3323" s="15" t="s">
        <v>4883</v>
      </c>
      <c r="D3323" s="15" t="s">
        <v>4784</v>
      </c>
      <c r="E3323" s="15" t="s">
        <v>4887</v>
      </c>
    </row>
    <row r="3324" ht="15.95" spans="2:2">
      <c r="B3324" s="122" t="s">
        <v>4888</v>
      </c>
    </row>
    <row r="3325" spans="2:5">
      <c r="B3325" s="15" t="s">
        <v>4889</v>
      </c>
      <c r="C3325" s="15" t="s">
        <v>4890</v>
      </c>
      <c r="D3325" s="15" t="s">
        <v>1248</v>
      </c>
      <c r="E3325" s="15" t="s">
        <v>1249</v>
      </c>
    </row>
    <row r="3326" spans="2:5">
      <c r="B3326" s="15" t="s">
        <v>4889</v>
      </c>
      <c r="C3326" s="15" t="s">
        <v>4890</v>
      </c>
      <c r="D3326" s="15" t="s">
        <v>4188</v>
      </c>
      <c r="E3326" s="15" t="s">
        <v>4891</v>
      </c>
    </row>
    <row r="3327" spans="2:5">
      <c r="B3327" s="15" t="s">
        <v>4889</v>
      </c>
      <c r="C3327" s="15" t="s">
        <v>4890</v>
      </c>
      <c r="D3327" s="15" t="s">
        <v>4686</v>
      </c>
      <c r="E3327" s="15" t="s">
        <v>1251</v>
      </c>
    </row>
    <row r="3328" spans="2:5">
      <c r="B3328" s="15" t="s">
        <v>4889</v>
      </c>
      <c r="C3328" s="15" t="s">
        <v>4890</v>
      </c>
      <c r="D3328" s="15" t="s">
        <v>4892</v>
      </c>
      <c r="E3328" s="15" t="s">
        <v>4893</v>
      </c>
    </row>
    <row r="3329" spans="2:5">
      <c r="B3329" s="15" t="s">
        <v>4889</v>
      </c>
      <c r="C3329" s="15" t="s">
        <v>4890</v>
      </c>
      <c r="D3329" s="15" t="s">
        <v>4431</v>
      </c>
      <c r="E3329" s="15" t="s">
        <v>4203</v>
      </c>
    </row>
    <row r="3330" spans="2:5">
      <c r="B3330" s="15" t="s">
        <v>4889</v>
      </c>
      <c r="C3330" s="15" t="s">
        <v>4890</v>
      </c>
      <c r="D3330" s="15" t="s">
        <v>1250</v>
      </c>
      <c r="E3330" s="15" t="s">
        <v>4430</v>
      </c>
    </row>
    <row r="3331" spans="2:5">
      <c r="B3331" s="15" t="s">
        <v>4889</v>
      </c>
      <c r="C3331" s="15" t="s">
        <v>4890</v>
      </c>
      <c r="D3331" s="15" t="s">
        <v>4894</v>
      </c>
      <c r="E3331" s="15" t="s">
        <v>4895</v>
      </c>
    </row>
    <row r="3332" spans="2:5">
      <c r="B3332" s="15" t="s">
        <v>4889</v>
      </c>
      <c r="C3332" s="15" t="s">
        <v>4890</v>
      </c>
      <c r="D3332" s="15" t="s">
        <v>4691</v>
      </c>
      <c r="E3332" s="15" t="s">
        <v>4896</v>
      </c>
    </row>
    <row r="3333" spans="2:5">
      <c r="B3333" s="15" t="s">
        <v>4889</v>
      </c>
      <c r="C3333" s="15" t="s">
        <v>4890</v>
      </c>
      <c r="D3333" s="15" t="s">
        <v>4197</v>
      </c>
      <c r="E3333" s="15" t="s">
        <v>1256</v>
      </c>
    </row>
    <row r="3334" spans="2:5">
      <c r="B3334" s="15" t="s">
        <v>4889</v>
      </c>
      <c r="C3334" s="15" t="s">
        <v>4890</v>
      </c>
      <c r="D3334" s="15" t="s">
        <v>4198</v>
      </c>
      <c r="E3334" s="15" t="s">
        <v>4187</v>
      </c>
    </row>
    <row r="3335" spans="2:5">
      <c r="B3335" s="15" t="s">
        <v>4889</v>
      </c>
      <c r="C3335" s="15" t="s">
        <v>4890</v>
      </c>
      <c r="D3335" s="15" t="s">
        <v>4433</v>
      </c>
      <c r="E3335" s="15" t="s">
        <v>4696</v>
      </c>
    </row>
    <row r="3336" spans="2:5">
      <c r="B3336" s="15" t="s">
        <v>4889</v>
      </c>
      <c r="C3336" s="15" t="s">
        <v>4890</v>
      </c>
      <c r="D3336" s="15" t="s">
        <v>4784</v>
      </c>
      <c r="E3336" s="15" t="s">
        <v>4434</v>
      </c>
    </row>
    <row r="3337" ht="15.95" spans="2:2">
      <c r="B3337" s="122" t="s">
        <v>4897</v>
      </c>
    </row>
    <row r="3338" spans="2:5">
      <c r="B3338" s="15" t="s">
        <v>4898</v>
      </c>
      <c r="C3338" s="15" t="s">
        <v>4899</v>
      </c>
      <c r="D3338" s="15" t="s">
        <v>4679</v>
      </c>
      <c r="E3338" s="15" t="s">
        <v>4680</v>
      </c>
    </row>
    <row r="3339" spans="2:5">
      <c r="B3339" s="15" t="s">
        <v>4898</v>
      </c>
      <c r="C3339" s="15" t="s">
        <v>4899</v>
      </c>
      <c r="D3339" s="15" t="s">
        <v>1248</v>
      </c>
      <c r="E3339" s="15" t="s">
        <v>1249</v>
      </c>
    </row>
    <row r="3340" spans="2:5">
      <c r="B3340" s="15" t="s">
        <v>4898</v>
      </c>
      <c r="C3340" s="15" t="s">
        <v>4899</v>
      </c>
      <c r="D3340" s="15" t="s">
        <v>4900</v>
      </c>
      <c r="E3340" s="15" t="s">
        <v>4901</v>
      </c>
    </row>
    <row r="3341" spans="2:5">
      <c r="B3341" s="15" t="s">
        <v>4898</v>
      </c>
      <c r="C3341" s="15" t="s">
        <v>4899</v>
      </c>
      <c r="D3341" s="15" t="s">
        <v>4188</v>
      </c>
      <c r="E3341" s="15" t="s">
        <v>4189</v>
      </c>
    </row>
    <row r="3342" spans="2:5">
      <c r="B3342" s="15" t="s">
        <v>4898</v>
      </c>
      <c r="C3342" s="15" t="s">
        <v>4899</v>
      </c>
      <c r="D3342" s="15" t="s">
        <v>4831</v>
      </c>
      <c r="E3342" s="15" t="s">
        <v>4832</v>
      </c>
    </row>
    <row r="3343" spans="2:5">
      <c r="B3343" s="15" t="s">
        <v>4898</v>
      </c>
      <c r="C3343" s="15" t="s">
        <v>4899</v>
      </c>
      <c r="D3343" s="15" t="s">
        <v>4902</v>
      </c>
      <c r="E3343" s="15" t="s">
        <v>4903</v>
      </c>
    </row>
    <row r="3344" spans="2:5">
      <c r="B3344" s="15" t="s">
        <v>4898</v>
      </c>
      <c r="C3344" s="15" t="s">
        <v>4899</v>
      </c>
      <c r="D3344" s="15" t="s">
        <v>1250</v>
      </c>
      <c r="E3344" s="15" t="s">
        <v>4904</v>
      </c>
    </row>
    <row r="3345" spans="2:5">
      <c r="B3345" s="15" t="s">
        <v>4898</v>
      </c>
      <c r="C3345" s="15" t="s">
        <v>4899</v>
      </c>
      <c r="D3345" s="15" t="s">
        <v>4195</v>
      </c>
      <c r="E3345" s="15" t="s">
        <v>4432</v>
      </c>
    </row>
    <row r="3346" spans="2:5">
      <c r="B3346" s="15" t="s">
        <v>4898</v>
      </c>
      <c r="C3346" s="15" t="s">
        <v>4899</v>
      </c>
      <c r="D3346" s="15" t="s">
        <v>4905</v>
      </c>
      <c r="E3346" s="15" t="s">
        <v>4906</v>
      </c>
    </row>
    <row r="3347" spans="2:5">
      <c r="B3347" s="15" t="s">
        <v>4898</v>
      </c>
      <c r="C3347" s="15" t="s">
        <v>4899</v>
      </c>
      <c r="D3347" s="15" t="s">
        <v>4197</v>
      </c>
      <c r="E3347" s="15" t="s">
        <v>1256</v>
      </c>
    </row>
    <row r="3348" spans="2:5">
      <c r="B3348" s="15" t="s">
        <v>4898</v>
      </c>
      <c r="C3348" s="15" t="s">
        <v>4899</v>
      </c>
      <c r="D3348" s="15" t="s">
        <v>4198</v>
      </c>
      <c r="E3348" s="15" t="s">
        <v>4658</v>
      </c>
    </row>
    <row r="3349" spans="2:5">
      <c r="B3349" s="15" t="s">
        <v>4898</v>
      </c>
      <c r="C3349" s="15" t="s">
        <v>4899</v>
      </c>
      <c r="D3349" s="15" t="s">
        <v>4202</v>
      </c>
      <c r="E3349" s="15" t="s">
        <v>4203</v>
      </c>
    </row>
    <row r="3350" spans="2:5">
      <c r="B3350" s="15" t="s">
        <v>4898</v>
      </c>
      <c r="C3350" s="15" t="s">
        <v>4899</v>
      </c>
      <c r="D3350" s="15" t="s">
        <v>4784</v>
      </c>
      <c r="E3350" s="15" t="s">
        <v>4434</v>
      </c>
    </row>
    <row r="3351" ht="15.95" spans="2:2">
      <c r="B3351" s="122" t="s">
        <v>4907</v>
      </c>
    </row>
    <row r="3352" spans="2:5">
      <c r="B3352" s="15" t="s">
        <v>4908</v>
      </c>
      <c r="C3352" s="15" t="s">
        <v>4909</v>
      </c>
      <c r="D3352" s="15" t="s">
        <v>635</v>
      </c>
      <c r="E3352" s="15" t="s">
        <v>4910</v>
      </c>
    </row>
    <row r="3353" spans="2:5">
      <c r="B3353" s="15" t="s">
        <v>4908</v>
      </c>
      <c r="C3353" s="15" t="s">
        <v>4909</v>
      </c>
      <c r="D3353" s="15" t="s">
        <v>659</v>
      </c>
      <c r="E3353" s="15" t="s">
        <v>4911</v>
      </c>
    </row>
    <row r="3354" spans="2:5">
      <c r="B3354" s="15" t="s">
        <v>4908</v>
      </c>
      <c r="C3354" s="15" t="s">
        <v>4909</v>
      </c>
      <c r="D3354" s="15" t="s">
        <v>679</v>
      </c>
      <c r="E3354" s="15" t="s">
        <v>4912</v>
      </c>
    </row>
    <row r="3355" spans="2:5">
      <c r="B3355" s="15" t="s">
        <v>4908</v>
      </c>
      <c r="C3355" s="15" t="s">
        <v>4909</v>
      </c>
      <c r="D3355" s="15" t="s">
        <v>705</v>
      </c>
      <c r="E3355" s="15" t="s">
        <v>4913</v>
      </c>
    </row>
    <row r="3356" ht="15.95" spans="2:2">
      <c r="B3356" s="122" t="s">
        <v>4914</v>
      </c>
    </row>
    <row r="3357" spans="2:5">
      <c r="B3357" s="15" t="s">
        <v>4915</v>
      </c>
      <c r="C3357" s="15" t="s">
        <v>4916</v>
      </c>
      <c r="D3357" s="15" t="s">
        <v>635</v>
      </c>
      <c r="E3357" s="15" t="s">
        <v>4917</v>
      </c>
    </row>
    <row r="3358" spans="2:5">
      <c r="B3358" s="15" t="s">
        <v>4915</v>
      </c>
      <c r="C3358" s="15" t="s">
        <v>4916</v>
      </c>
      <c r="D3358" s="15" t="s">
        <v>659</v>
      </c>
      <c r="E3358" s="15" t="s">
        <v>4918</v>
      </c>
    </row>
    <row r="3359" spans="2:5">
      <c r="B3359" s="15" t="s">
        <v>4915</v>
      </c>
      <c r="C3359" s="15" t="s">
        <v>4916</v>
      </c>
      <c r="D3359" s="15" t="s">
        <v>679</v>
      </c>
      <c r="E3359" s="15" t="s">
        <v>4919</v>
      </c>
    </row>
    <row r="3360" spans="2:5">
      <c r="B3360" s="15" t="s">
        <v>4915</v>
      </c>
      <c r="C3360" s="15" t="s">
        <v>4916</v>
      </c>
      <c r="D3360" s="15" t="s">
        <v>705</v>
      </c>
      <c r="E3360" s="15" t="s">
        <v>4920</v>
      </c>
    </row>
    <row r="3361" spans="2:5">
      <c r="B3361" s="15" t="s">
        <v>4915</v>
      </c>
      <c r="C3361" s="15" t="s">
        <v>4916</v>
      </c>
      <c r="D3361" s="15" t="s">
        <v>709</v>
      </c>
      <c r="E3361" s="15" t="s">
        <v>4921</v>
      </c>
    </row>
    <row r="3362" spans="2:5">
      <c r="B3362" s="15" t="s">
        <v>4915</v>
      </c>
      <c r="C3362" s="15" t="s">
        <v>4916</v>
      </c>
      <c r="D3362" s="15" t="s">
        <v>838</v>
      </c>
      <c r="E3362" s="15" t="s">
        <v>4922</v>
      </c>
    </row>
    <row r="3363" spans="2:5">
      <c r="B3363" s="15" t="s">
        <v>4915</v>
      </c>
      <c r="C3363" s="15" t="s">
        <v>4916</v>
      </c>
      <c r="D3363" s="15" t="s">
        <v>840</v>
      </c>
      <c r="E3363" s="15" t="s">
        <v>4923</v>
      </c>
    </row>
    <row r="3364" spans="2:5">
      <c r="B3364" s="15" t="s">
        <v>4915</v>
      </c>
      <c r="C3364" s="15" t="s">
        <v>4916</v>
      </c>
      <c r="D3364" s="15" t="s">
        <v>842</v>
      </c>
      <c r="E3364" s="15" t="s">
        <v>4924</v>
      </c>
    </row>
    <row r="3365" spans="2:5">
      <c r="B3365" s="15" t="s">
        <v>4915</v>
      </c>
      <c r="C3365" s="15" t="s">
        <v>4916</v>
      </c>
      <c r="D3365" s="15" t="s">
        <v>844</v>
      </c>
      <c r="E3365" s="15" t="s">
        <v>4925</v>
      </c>
    </row>
    <row r="3366" spans="2:5">
      <c r="B3366" s="15" t="s">
        <v>4915</v>
      </c>
      <c r="C3366" s="15" t="s">
        <v>4916</v>
      </c>
      <c r="D3366" s="15" t="s">
        <v>846</v>
      </c>
      <c r="E3366" s="15" t="s">
        <v>4926</v>
      </c>
    </row>
    <row r="3367" spans="2:5">
      <c r="B3367" s="15" t="s">
        <v>4915</v>
      </c>
      <c r="C3367" s="15" t="s">
        <v>4916</v>
      </c>
      <c r="D3367" s="15" t="s">
        <v>713</v>
      </c>
      <c r="E3367" s="15" t="s">
        <v>4927</v>
      </c>
    </row>
    <row r="3368" spans="2:5">
      <c r="B3368" s="15" t="s">
        <v>4915</v>
      </c>
      <c r="C3368" s="15" t="s">
        <v>4916</v>
      </c>
      <c r="D3368" s="15" t="s">
        <v>849</v>
      </c>
      <c r="E3368" s="15" t="s">
        <v>235</v>
      </c>
    </row>
    <row r="3369" ht="15.95" spans="2:2">
      <c r="B3369" s="122" t="s">
        <v>4928</v>
      </c>
    </row>
    <row r="3370" spans="2:5">
      <c r="B3370" s="15" t="s">
        <v>4929</v>
      </c>
      <c r="C3370" s="15" t="s">
        <v>4930</v>
      </c>
      <c r="D3370" s="15" t="s">
        <v>770</v>
      </c>
      <c r="E3370" s="15" t="s">
        <v>4931</v>
      </c>
    </row>
    <row r="3371" spans="2:5">
      <c r="B3371" s="15" t="s">
        <v>4929</v>
      </c>
      <c r="C3371" s="15" t="s">
        <v>4930</v>
      </c>
      <c r="D3371" s="15" t="s">
        <v>772</v>
      </c>
      <c r="E3371" s="15" t="s">
        <v>4932</v>
      </c>
    </row>
    <row r="3372" spans="2:5">
      <c r="B3372" s="15" t="s">
        <v>4929</v>
      </c>
      <c r="C3372" s="15" t="s">
        <v>4930</v>
      </c>
      <c r="D3372" s="15" t="s">
        <v>774</v>
      </c>
      <c r="E3372" s="15" t="s">
        <v>4933</v>
      </c>
    </row>
    <row r="3373" ht="15.95" spans="2:2">
      <c r="B3373" s="122" t="s">
        <v>4934</v>
      </c>
    </row>
    <row r="3374" spans="2:5">
      <c r="B3374" s="15" t="s">
        <v>4935</v>
      </c>
      <c r="C3374" s="15" t="s">
        <v>4936</v>
      </c>
      <c r="D3374" s="15" t="s">
        <v>770</v>
      </c>
      <c r="E3374" s="15" t="s">
        <v>3410</v>
      </c>
    </row>
    <row r="3375" spans="2:5">
      <c r="B3375" s="15" t="s">
        <v>4935</v>
      </c>
      <c r="C3375" s="15" t="s">
        <v>4936</v>
      </c>
      <c r="D3375" s="15" t="s">
        <v>772</v>
      </c>
      <c r="E3375" s="15" t="s">
        <v>1203</v>
      </c>
    </row>
    <row r="3376" spans="2:5">
      <c r="B3376" s="15" t="s">
        <v>4935</v>
      </c>
      <c r="C3376" s="15" t="s">
        <v>4936</v>
      </c>
      <c r="D3376" s="15" t="s">
        <v>774</v>
      </c>
      <c r="E3376" s="15" t="s">
        <v>4937</v>
      </c>
    </row>
    <row r="3377" ht="15.95" spans="2:2">
      <c r="B3377" s="122" t="s">
        <v>4938</v>
      </c>
    </row>
    <row r="3378" spans="2:5">
      <c r="B3378" s="15" t="s">
        <v>4939</v>
      </c>
      <c r="C3378" s="15" t="s">
        <v>4940</v>
      </c>
      <c r="D3378" s="15" t="s">
        <v>635</v>
      </c>
      <c r="E3378" s="15" t="s">
        <v>1814</v>
      </c>
    </row>
    <row r="3379" spans="2:5">
      <c r="B3379" s="15" t="s">
        <v>4939</v>
      </c>
      <c r="C3379" s="15" t="s">
        <v>4940</v>
      </c>
      <c r="D3379" s="15" t="s">
        <v>659</v>
      </c>
      <c r="E3379" s="15" t="s">
        <v>4941</v>
      </c>
    </row>
    <row r="3380" spans="2:5">
      <c r="B3380" s="15" t="s">
        <v>4939</v>
      </c>
      <c r="C3380" s="15" t="s">
        <v>4940</v>
      </c>
      <c r="D3380" s="15" t="s">
        <v>679</v>
      </c>
      <c r="E3380" s="15" t="s">
        <v>4942</v>
      </c>
    </row>
    <row r="3381" spans="2:5">
      <c r="B3381" s="15" t="s">
        <v>4939</v>
      </c>
      <c r="C3381" s="15" t="s">
        <v>4940</v>
      </c>
      <c r="D3381" s="15" t="s">
        <v>705</v>
      </c>
      <c r="E3381" s="15" t="s">
        <v>1816</v>
      </c>
    </row>
    <row r="3382" spans="2:5">
      <c r="B3382" s="15" t="s">
        <v>4939</v>
      </c>
      <c r="C3382" s="15" t="s">
        <v>4940</v>
      </c>
      <c r="D3382" s="15" t="s">
        <v>4943</v>
      </c>
      <c r="E3382" s="15" t="s">
        <v>1903</v>
      </c>
    </row>
    <row r="3383" spans="2:5">
      <c r="B3383" s="15" t="s">
        <v>4939</v>
      </c>
      <c r="C3383" s="15" t="s">
        <v>4940</v>
      </c>
      <c r="D3383" s="15" t="s">
        <v>4944</v>
      </c>
      <c r="E3383" s="15" t="s">
        <v>1904</v>
      </c>
    </row>
    <row r="3384" spans="2:5">
      <c r="B3384" s="15" t="s">
        <v>4939</v>
      </c>
      <c r="C3384" s="15" t="s">
        <v>4940</v>
      </c>
      <c r="D3384" s="15" t="s">
        <v>840</v>
      </c>
      <c r="E3384" s="15" t="s">
        <v>1822</v>
      </c>
    </row>
    <row r="3385" ht="15.95" spans="2:2">
      <c r="B3385" s="122" t="s">
        <v>4945</v>
      </c>
    </row>
    <row r="3386" spans="2:5">
      <c r="B3386" s="15" t="s">
        <v>4946</v>
      </c>
      <c r="C3386" s="15" t="s">
        <v>896</v>
      </c>
      <c r="D3386" s="15" t="s">
        <v>770</v>
      </c>
      <c r="E3386" s="15" t="s">
        <v>4947</v>
      </c>
    </row>
    <row r="3387" spans="2:5">
      <c r="B3387" s="15" t="s">
        <v>4946</v>
      </c>
      <c r="C3387" s="15" t="s">
        <v>896</v>
      </c>
      <c r="D3387" s="15" t="s">
        <v>772</v>
      </c>
      <c r="E3387" s="15" t="s">
        <v>4948</v>
      </c>
    </row>
    <row r="3388" spans="2:5">
      <c r="B3388" s="15" t="s">
        <v>4946</v>
      </c>
      <c r="C3388" s="15" t="s">
        <v>896</v>
      </c>
      <c r="D3388" s="15" t="s">
        <v>774</v>
      </c>
      <c r="E3388" s="15" t="s">
        <v>4949</v>
      </c>
    </row>
    <row r="3389" ht="15.95" spans="2:2">
      <c r="B3389" s="122" t="s">
        <v>4950</v>
      </c>
    </row>
    <row r="3390" spans="2:5">
      <c r="B3390" s="15" t="s">
        <v>4951</v>
      </c>
      <c r="C3390" s="15" t="s">
        <v>4952</v>
      </c>
      <c r="D3390" s="15" t="s">
        <v>770</v>
      </c>
      <c r="E3390" s="15" t="s">
        <v>4953</v>
      </c>
    </row>
    <row r="3391" spans="2:5">
      <c r="B3391" s="15" t="s">
        <v>4951</v>
      </c>
      <c r="C3391" s="15" t="s">
        <v>4952</v>
      </c>
      <c r="D3391" s="15" t="s">
        <v>772</v>
      </c>
      <c r="E3391" s="15" t="s">
        <v>4954</v>
      </c>
    </row>
    <row r="3392" spans="2:5">
      <c r="B3392" s="15" t="s">
        <v>4951</v>
      </c>
      <c r="C3392" s="15" t="s">
        <v>4952</v>
      </c>
      <c r="D3392" s="15" t="s">
        <v>774</v>
      </c>
      <c r="E3392" s="15" t="s">
        <v>4955</v>
      </c>
    </row>
    <row r="3393" spans="2:5">
      <c r="B3393" s="15" t="s">
        <v>4951</v>
      </c>
      <c r="C3393" s="15" t="s">
        <v>4952</v>
      </c>
      <c r="D3393" s="15" t="s">
        <v>828</v>
      </c>
      <c r="E3393" s="15" t="s">
        <v>4956</v>
      </c>
    </row>
    <row r="3394" spans="2:5">
      <c r="B3394" s="15" t="s">
        <v>4951</v>
      </c>
      <c r="C3394" s="15" t="s">
        <v>4952</v>
      </c>
      <c r="D3394" s="15" t="s">
        <v>901</v>
      </c>
      <c r="E3394" s="15" t="s">
        <v>4957</v>
      </c>
    </row>
    <row r="3395" spans="2:5">
      <c r="B3395" s="15" t="s">
        <v>4951</v>
      </c>
      <c r="C3395" s="15" t="s">
        <v>4952</v>
      </c>
      <c r="D3395" s="15" t="s">
        <v>776</v>
      </c>
      <c r="E3395" s="15" t="s">
        <v>4958</v>
      </c>
    </row>
    <row r="3396" spans="2:5">
      <c r="B3396" s="15" t="s">
        <v>4951</v>
      </c>
      <c r="C3396" s="15" t="s">
        <v>4952</v>
      </c>
      <c r="D3396" s="15" t="s">
        <v>1290</v>
      </c>
      <c r="E3396" s="15" t="s">
        <v>4959</v>
      </c>
    </row>
    <row r="3397" ht="15.95" spans="2:2">
      <c r="B3397" s="122" t="s">
        <v>4960</v>
      </c>
    </row>
    <row r="3398" spans="2:5">
      <c r="B3398" s="15" t="s">
        <v>4961</v>
      </c>
      <c r="C3398" s="15"/>
      <c r="D3398" s="15" t="s">
        <v>770</v>
      </c>
      <c r="E3398" s="15" t="s">
        <v>4962</v>
      </c>
    </row>
    <row r="3399" spans="2:5">
      <c r="B3399" s="15" t="s">
        <v>4961</v>
      </c>
      <c r="C3399" s="15"/>
      <c r="D3399" s="15" t="s">
        <v>772</v>
      </c>
      <c r="E3399" s="15" t="s">
        <v>4963</v>
      </c>
    </row>
    <row r="3400" spans="2:5">
      <c r="B3400" s="15" t="s">
        <v>4961</v>
      </c>
      <c r="C3400" s="15"/>
      <c r="D3400" s="15" t="s">
        <v>774</v>
      </c>
      <c r="E3400" s="15" t="s">
        <v>4964</v>
      </c>
    </row>
    <row r="3401" ht="15.95" spans="2:2">
      <c r="B3401" s="122" t="s">
        <v>4965</v>
      </c>
    </row>
    <row r="3402" spans="2:5">
      <c r="B3402" s="15" t="s">
        <v>4966</v>
      </c>
      <c r="C3402" s="15" t="s">
        <v>4967</v>
      </c>
      <c r="D3402" s="15" t="s">
        <v>770</v>
      </c>
      <c r="E3402" s="15" t="s">
        <v>4968</v>
      </c>
    </row>
    <row r="3403" spans="2:5">
      <c r="B3403" s="15" t="s">
        <v>4966</v>
      </c>
      <c r="C3403" s="15" t="s">
        <v>4967</v>
      </c>
      <c r="D3403" s="15" t="s">
        <v>772</v>
      </c>
      <c r="E3403" s="15" t="s">
        <v>4969</v>
      </c>
    </row>
    <row r="3404" spans="2:5">
      <c r="B3404" s="15" t="s">
        <v>4966</v>
      </c>
      <c r="C3404" s="15" t="s">
        <v>4967</v>
      </c>
      <c r="D3404" s="15" t="s">
        <v>774</v>
      </c>
      <c r="E3404" s="15" t="s">
        <v>4970</v>
      </c>
    </row>
    <row r="3405" spans="2:5">
      <c r="B3405" s="15" t="s">
        <v>4966</v>
      </c>
      <c r="C3405" s="15" t="s">
        <v>4967</v>
      </c>
      <c r="D3405" s="15" t="s">
        <v>828</v>
      </c>
      <c r="E3405" s="15" t="s">
        <v>4971</v>
      </c>
    </row>
    <row r="3406" spans="2:5">
      <c r="B3406" s="15" t="s">
        <v>4966</v>
      </c>
      <c r="C3406" s="15" t="s">
        <v>4967</v>
      </c>
      <c r="D3406" s="15" t="s">
        <v>901</v>
      </c>
      <c r="E3406" s="15" t="s">
        <v>4972</v>
      </c>
    </row>
    <row r="3407" ht="15.95" spans="2:2">
      <c r="B3407" s="122" t="s">
        <v>4973</v>
      </c>
    </row>
    <row r="3408" spans="2:5">
      <c r="B3408" s="15" t="s">
        <v>4974</v>
      </c>
      <c r="C3408" s="15" t="s">
        <v>4975</v>
      </c>
      <c r="D3408" s="15" t="s">
        <v>770</v>
      </c>
      <c r="E3408" s="15" t="s">
        <v>4976</v>
      </c>
    </row>
    <row r="3409" spans="2:5">
      <c r="B3409" s="15" t="s">
        <v>4974</v>
      </c>
      <c r="C3409" s="15" t="s">
        <v>4975</v>
      </c>
      <c r="D3409" s="15" t="s">
        <v>772</v>
      </c>
      <c r="E3409" s="15" t="s">
        <v>4977</v>
      </c>
    </row>
    <row r="3410" ht="15.95" spans="2:2">
      <c r="B3410" s="122" t="s">
        <v>4978</v>
      </c>
    </row>
    <row r="3411" spans="2:5">
      <c r="B3411" s="15" t="s">
        <v>4979</v>
      </c>
      <c r="C3411" s="15" t="s">
        <v>4980</v>
      </c>
      <c r="D3411" s="15" t="s">
        <v>2163</v>
      </c>
      <c r="E3411" s="15" t="s">
        <v>4981</v>
      </c>
    </row>
    <row r="3412" spans="2:5">
      <c r="B3412" s="15" t="s">
        <v>4979</v>
      </c>
      <c r="C3412" s="15" t="s">
        <v>4980</v>
      </c>
      <c r="D3412" s="15" t="s">
        <v>2165</v>
      </c>
      <c r="E3412" s="15" t="s">
        <v>4982</v>
      </c>
    </row>
    <row r="3413" spans="2:5">
      <c r="B3413" s="15" t="s">
        <v>4979</v>
      </c>
      <c r="C3413" s="15" t="s">
        <v>4980</v>
      </c>
      <c r="D3413" s="15" t="s">
        <v>2170</v>
      </c>
      <c r="E3413" s="15" t="s">
        <v>4983</v>
      </c>
    </row>
    <row r="3414" spans="2:5">
      <c r="B3414" s="15" t="s">
        <v>4979</v>
      </c>
      <c r="C3414" s="15" t="s">
        <v>4980</v>
      </c>
      <c r="D3414" s="15" t="s">
        <v>992</v>
      </c>
      <c r="E3414" s="15" t="s">
        <v>4984</v>
      </c>
    </row>
    <row r="3415" spans="2:5">
      <c r="B3415" s="15" t="s">
        <v>4979</v>
      </c>
      <c r="C3415" s="15" t="s">
        <v>4980</v>
      </c>
      <c r="D3415" s="15" t="s">
        <v>4985</v>
      </c>
      <c r="E3415" s="15" t="s">
        <v>4986</v>
      </c>
    </row>
    <row r="3416" spans="2:5">
      <c r="B3416" s="15" t="s">
        <v>4979</v>
      </c>
      <c r="C3416" s="15" t="s">
        <v>4980</v>
      </c>
      <c r="D3416" s="15" t="s">
        <v>4987</v>
      </c>
      <c r="E3416" s="15" t="s">
        <v>4988</v>
      </c>
    </row>
    <row r="3417" spans="2:5">
      <c r="B3417" s="15" t="s">
        <v>4979</v>
      </c>
      <c r="C3417" s="15" t="s">
        <v>4980</v>
      </c>
      <c r="D3417" s="15" t="s">
        <v>4989</v>
      </c>
      <c r="E3417" s="15" t="s">
        <v>4990</v>
      </c>
    </row>
    <row r="3418" spans="2:5">
      <c r="B3418" s="15" t="s">
        <v>4979</v>
      </c>
      <c r="C3418" s="15" t="s">
        <v>4980</v>
      </c>
      <c r="D3418" s="15" t="s">
        <v>4991</v>
      </c>
      <c r="E3418" s="15" t="s">
        <v>4992</v>
      </c>
    </row>
    <row r="3419" spans="2:5">
      <c r="B3419" s="15" t="s">
        <v>4979</v>
      </c>
      <c r="C3419" s="15" t="s">
        <v>4980</v>
      </c>
      <c r="D3419" s="15" t="s">
        <v>4993</v>
      </c>
      <c r="E3419" s="15" t="s">
        <v>4994</v>
      </c>
    </row>
    <row r="3420" spans="2:5">
      <c r="B3420" s="15" t="s">
        <v>4979</v>
      </c>
      <c r="C3420" s="15" t="s">
        <v>4980</v>
      </c>
      <c r="D3420" s="15" t="s">
        <v>4995</v>
      </c>
      <c r="E3420" s="15" t="s">
        <v>4996</v>
      </c>
    </row>
    <row r="3421" spans="2:5">
      <c r="B3421" s="15" t="s">
        <v>4979</v>
      </c>
      <c r="C3421" s="15" t="s">
        <v>4980</v>
      </c>
      <c r="D3421" s="15" t="s">
        <v>4997</v>
      </c>
      <c r="E3421" s="15" t="s">
        <v>4998</v>
      </c>
    </row>
    <row r="3422" spans="2:5">
      <c r="B3422" s="15" t="s">
        <v>4979</v>
      </c>
      <c r="C3422" s="15" t="s">
        <v>4980</v>
      </c>
      <c r="D3422" s="15" t="s">
        <v>4999</v>
      </c>
      <c r="E3422" s="15" t="s">
        <v>5000</v>
      </c>
    </row>
    <row r="3423" spans="2:5">
      <c r="B3423" s="15" t="s">
        <v>4979</v>
      </c>
      <c r="C3423" s="15" t="s">
        <v>4980</v>
      </c>
      <c r="D3423" s="15" t="s">
        <v>5001</v>
      </c>
      <c r="E3423" s="15" t="s">
        <v>5002</v>
      </c>
    </row>
    <row r="3424" spans="2:5">
      <c r="B3424" s="15" t="s">
        <v>4979</v>
      </c>
      <c r="C3424" s="15" t="s">
        <v>4980</v>
      </c>
      <c r="D3424" s="15" t="s">
        <v>5003</v>
      </c>
      <c r="E3424" s="15" t="s">
        <v>5004</v>
      </c>
    </row>
    <row r="3425" spans="2:5">
      <c r="B3425" s="15" t="s">
        <v>4979</v>
      </c>
      <c r="C3425" s="15" t="s">
        <v>4980</v>
      </c>
      <c r="D3425" s="15" t="s">
        <v>4233</v>
      </c>
      <c r="E3425" s="15" t="s">
        <v>5005</v>
      </c>
    </row>
    <row r="3426" spans="2:5">
      <c r="B3426" s="15" t="s">
        <v>4979</v>
      </c>
      <c r="C3426" s="15" t="s">
        <v>4980</v>
      </c>
      <c r="D3426" s="15" t="s">
        <v>4235</v>
      </c>
      <c r="E3426" s="15" t="s">
        <v>5006</v>
      </c>
    </row>
    <row r="3427" spans="2:5">
      <c r="B3427" s="15" t="s">
        <v>4979</v>
      </c>
      <c r="C3427" s="15" t="s">
        <v>4980</v>
      </c>
      <c r="D3427" s="15" t="s">
        <v>4237</v>
      </c>
      <c r="E3427" s="15" t="s">
        <v>5007</v>
      </c>
    </row>
    <row r="3428" spans="2:5">
      <c r="B3428" s="15" t="s">
        <v>4979</v>
      </c>
      <c r="C3428" s="15" t="s">
        <v>4980</v>
      </c>
      <c r="D3428" s="15" t="s">
        <v>4239</v>
      </c>
      <c r="E3428" s="15" t="s">
        <v>5008</v>
      </c>
    </row>
    <row r="3429" ht="15.95" spans="2:2">
      <c r="B3429" s="122" t="s">
        <v>5009</v>
      </c>
    </row>
    <row r="3430" spans="2:5">
      <c r="B3430" s="15" t="s">
        <v>5010</v>
      </c>
      <c r="C3430" s="15" t="s">
        <v>5010</v>
      </c>
      <c r="D3430" s="15" t="s">
        <v>770</v>
      </c>
      <c r="E3430" s="15" t="s">
        <v>3066</v>
      </c>
    </row>
    <row r="3431" spans="2:5">
      <c r="B3431" s="15" t="s">
        <v>5010</v>
      </c>
      <c r="C3431" s="15" t="s">
        <v>5010</v>
      </c>
      <c r="D3431" s="15" t="s">
        <v>772</v>
      </c>
      <c r="E3431" s="15" t="s">
        <v>3067</v>
      </c>
    </row>
    <row r="3432" spans="2:5">
      <c r="B3432" s="15" t="s">
        <v>5010</v>
      </c>
      <c r="C3432" s="15" t="s">
        <v>5010</v>
      </c>
      <c r="D3432" s="15" t="s">
        <v>774</v>
      </c>
      <c r="E3432" s="15" t="s">
        <v>3068</v>
      </c>
    </row>
    <row r="3433" spans="2:5">
      <c r="B3433" s="15" t="s">
        <v>5010</v>
      </c>
      <c r="C3433" s="15" t="s">
        <v>5010</v>
      </c>
      <c r="D3433" s="15" t="s">
        <v>828</v>
      </c>
      <c r="E3433" s="15" t="s">
        <v>3069</v>
      </c>
    </row>
    <row r="3434" ht="15.95" spans="2:2">
      <c r="B3434" s="122" t="s">
        <v>5011</v>
      </c>
    </row>
    <row r="3435" spans="2:5">
      <c r="B3435" s="15" t="s">
        <v>5012</v>
      </c>
      <c r="C3435" s="15" t="s">
        <v>5013</v>
      </c>
      <c r="D3435" s="15" t="s">
        <v>1432</v>
      </c>
      <c r="E3435" s="15" t="s">
        <v>5014</v>
      </c>
    </row>
    <row r="3436" spans="2:5">
      <c r="B3436" s="15" t="s">
        <v>5012</v>
      </c>
      <c r="C3436" s="15" t="s">
        <v>5013</v>
      </c>
      <c r="D3436" s="15" t="s">
        <v>723</v>
      </c>
      <c r="E3436" s="15" t="s">
        <v>5015</v>
      </c>
    </row>
    <row r="3437" ht="15.95" spans="2:2">
      <c r="B3437" s="122" t="s">
        <v>5016</v>
      </c>
    </row>
    <row r="3438" spans="2:5">
      <c r="B3438" s="15" t="s">
        <v>5017</v>
      </c>
      <c r="C3438" s="15" t="s">
        <v>5018</v>
      </c>
      <c r="D3438" s="15" t="s">
        <v>770</v>
      </c>
      <c r="E3438" s="15" t="s">
        <v>5019</v>
      </c>
    </row>
    <row r="3439" spans="2:5">
      <c r="B3439" s="15" t="s">
        <v>5017</v>
      </c>
      <c r="C3439" s="15" t="s">
        <v>5018</v>
      </c>
      <c r="D3439" s="15" t="s">
        <v>772</v>
      </c>
      <c r="E3439" s="15" t="s">
        <v>3142</v>
      </c>
    </row>
    <row r="3440" spans="2:5">
      <c r="B3440" s="15" t="s">
        <v>5017</v>
      </c>
      <c r="C3440" s="15" t="s">
        <v>5018</v>
      </c>
      <c r="D3440" s="15" t="s">
        <v>774</v>
      </c>
      <c r="E3440" s="15" t="s">
        <v>235</v>
      </c>
    </row>
    <row r="3441" ht="15.95" spans="2:2">
      <c r="B3441" s="122" t="s">
        <v>5020</v>
      </c>
    </row>
    <row r="3442" spans="2:5">
      <c r="B3442" s="15" t="s">
        <v>5021</v>
      </c>
      <c r="C3442" s="15" t="s">
        <v>3113</v>
      </c>
      <c r="D3442" s="15" t="s">
        <v>770</v>
      </c>
      <c r="E3442" s="15" t="s">
        <v>5022</v>
      </c>
    </row>
    <row r="3443" spans="2:5">
      <c r="B3443" s="15" t="s">
        <v>5021</v>
      </c>
      <c r="C3443" s="15" t="s">
        <v>3113</v>
      </c>
      <c r="D3443" s="15" t="s">
        <v>772</v>
      </c>
      <c r="E3443" s="15" t="s">
        <v>5023</v>
      </c>
    </row>
    <row r="3444" ht="15.95" spans="2:2">
      <c r="B3444" s="122" t="s">
        <v>5024</v>
      </c>
    </row>
    <row r="3445" spans="2:5">
      <c r="B3445" s="15" t="s">
        <v>5025</v>
      </c>
      <c r="C3445" s="15" t="s">
        <v>5025</v>
      </c>
      <c r="D3445" s="15" t="s">
        <v>723</v>
      </c>
      <c r="E3445" s="15" t="s">
        <v>1279</v>
      </c>
    </row>
    <row r="3446" spans="2:5">
      <c r="B3446" s="15" t="s">
        <v>5025</v>
      </c>
      <c r="C3446" s="15" t="s">
        <v>5025</v>
      </c>
      <c r="D3446" s="15" t="s">
        <v>725</v>
      </c>
      <c r="E3446" s="15" t="s">
        <v>4524</v>
      </c>
    </row>
    <row r="3447" spans="2:5">
      <c r="B3447" s="15" t="s">
        <v>5025</v>
      </c>
      <c r="C3447" s="15" t="s">
        <v>5025</v>
      </c>
      <c r="D3447" s="15" t="s">
        <v>727</v>
      </c>
      <c r="E3447" s="15" t="s">
        <v>4525</v>
      </c>
    </row>
    <row r="3448" spans="2:5">
      <c r="B3448" s="15" t="s">
        <v>5025</v>
      </c>
      <c r="C3448" s="15" t="s">
        <v>5025</v>
      </c>
      <c r="D3448" s="15" t="s">
        <v>729</v>
      </c>
      <c r="E3448" s="15" t="s">
        <v>4526</v>
      </c>
    </row>
    <row r="3449" ht="15.95" spans="2:2">
      <c r="B3449" s="122" t="s">
        <v>5026</v>
      </c>
    </row>
    <row r="3450" spans="2:5">
      <c r="B3450" s="15" t="s">
        <v>5027</v>
      </c>
      <c r="C3450" s="15" t="s">
        <v>5027</v>
      </c>
      <c r="D3450" s="15" t="s">
        <v>770</v>
      </c>
      <c r="E3450" s="15" t="s">
        <v>5028</v>
      </c>
    </row>
    <row r="3451" spans="2:5">
      <c r="B3451" s="15" t="s">
        <v>5027</v>
      </c>
      <c r="C3451" s="15" t="s">
        <v>5027</v>
      </c>
      <c r="D3451" s="15" t="s">
        <v>772</v>
      </c>
      <c r="E3451" s="15" t="s">
        <v>5029</v>
      </c>
    </row>
    <row r="3452" spans="2:5">
      <c r="B3452" s="15" t="s">
        <v>5027</v>
      </c>
      <c r="C3452" s="15" t="s">
        <v>5027</v>
      </c>
      <c r="D3452" s="15" t="s">
        <v>774</v>
      </c>
      <c r="E3452" s="15" t="s">
        <v>5030</v>
      </c>
    </row>
    <row r="3453" spans="2:5">
      <c r="B3453" s="15" t="s">
        <v>5027</v>
      </c>
      <c r="C3453" s="15" t="s">
        <v>5027</v>
      </c>
      <c r="D3453" s="15" t="s">
        <v>828</v>
      </c>
      <c r="E3453" s="15" t="s">
        <v>5031</v>
      </c>
    </row>
    <row r="3454" spans="2:5">
      <c r="B3454" s="15" t="s">
        <v>5027</v>
      </c>
      <c r="C3454" s="15" t="s">
        <v>5027</v>
      </c>
      <c r="D3454" s="15" t="s">
        <v>901</v>
      </c>
      <c r="E3454" s="15" t="s">
        <v>5032</v>
      </c>
    </row>
    <row r="3455" ht="15.95" spans="2:2">
      <c r="B3455" s="122" t="s">
        <v>5033</v>
      </c>
    </row>
    <row r="3456" spans="2:5">
      <c r="B3456" s="15" t="s">
        <v>5034</v>
      </c>
      <c r="C3456" s="15" t="s">
        <v>896</v>
      </c>
      <c r="D3456" s="15" t="s">
        <v>770</v>
      </c>
      <c r="E3456" s="15" t="s">
        <v>4464</v>
      </c>
    </row>
    <row r="3457" spans="2:5">
      <c r="B3457" s="15" t="s">
        <v>5034</v>
      </c>
      <c r="C3457" s="15" t="s">
        <v>896</v>
      </c>
      <c r="D3457" s="15" t="s">
        <v>772</v>
      </c>
      <c r="E3457" s="15" t="s">
        <v>4465</v>
      </c>
    </row>
    <row r="3458" spans="2:5">
      <c r="B3458" s="15" t="s">
        <v>5034</v>
      </c>
      <c r="C3458" s="15" t="s">
        <v>896</v>
      </c>
      <c r="D3458" s="15" t="s">
        <v>774</v>
      </c>
      <c r="E3458" s="15" t="s">
        <v>4466</v>
      </c>
    </row>
    <row r="3459" spans="2:5">
      <c r="B3459" s="15" t="s">
        <v>5034</v>
      </c>
      <c r="C3459" s="15" t="s">
        <v>896</v>
      </c>
      <c r="D3459" s="15" t="s">
        <v>828</v>
      </c>
      <c r="E3459" s="15" t="s">
        <v>2812</v>
      </c>
    </row>
    <row r="3460" ht="15.95" spans="2:2">
      <c r="B3460" s="122" t="s">
        <v>5035</v>
      </c>
    </row>
    <row r="3461" spans="2:5">
      <c r="B3461" s="15" t="s">
        <v>5036</v>
      </c>
      <c r="C3461" s="15" t="s">
        <v>5037</v>
      </c>
      <c r="D3461" s="15" t="s">
        <v>770</v>
      </c>
      <c r="E3461" s="15" t="s">
        <v>5038</v>
      </c>
    </row>
    <row r="3462" spans="2:5">
      <c r="B3462" s="15" t="s">
        <v>5036</v>
      </c>
      <c r="C3462" s="15" t="s">
        <v>5037</v>
      </c>
      <c r="D3462" s="15" t="s">
        <v>772</v>
      </c>
      <c r="E3462" s="15" t="s">
        <v>5039</v>
      </c>
    </row>
    <row r="3463" spans="2:5">
      <c r="B3463" s="15" t="s">
        <v>5036</v>
      </c>
      <c r="C3463" s="15" t="s">
        <v>5037</v>
      </c>
      <c r="D3463" s="15" t="s">
        <v>774</v>
      </c>
      <c r="E3463" s="15" t="s">
        <v>1719</v>
      </c>
    </row>
    <row r="3464" ht="15.95" spans="2:2">
      <c r="B3464" s="122" t="s">
        <v>5040</v>
      </c>
    </row>
    <row r="3465" spans="2:5">
      <c r="B3465" s="15" t="s">
        <v>5041</v>
      </c>
      <c r="C3465" s="15" t="s">
        <v>896</v>
      </c>
      <c r="D3465" s="15" t="s">
        <v>723</v>
      </c>
      <c r="E3465" s="15" t="s">
        <v>1712</v>
      </c>
    </row>
    <row r="3466" spans="2:5">
      <c r="B3466" s="15" t="s">
        <v>5041</v>
      </c>
      <c r="C3466" s="15" t="s">
        <v>896</v>
      </c>
      <c r="D3466" s="15" t="s">
        <v>725</v>
      </c>
      <c r="E3466" s="15" t="s">
        <v>4096</v>
      </c>
    </row>
    <row r="3467" spans="2:5">
      <c r="B3467" s="15" t="s">
        <v>5041</v>
      </c>
      <c r="C3467" s="15" t="s">
        <v>896</v>
      </c>
      <c r="D3467" s="15" t="s">
        <v>727</v>
      </c>
      <c r="E3467" s="15" t="s">
        <v>862</v>
      </c>
    </row>
    <row r="3468" ht="15.95" spans="2:2">
      <c r="B3468" s="122" t="s">
        <v>5042</v>
      </c>
    </row>
    <row r="3469" spans="2:5">
      <c r="B3469" s="15" t="s">
        <v>5043</v>
      </c>
      <c r="C3469" s="15" t="s">
        <v>896</v>
      </c>
      <c r="D3469" s="15" t="s">
        <v>770</v>
      </c>
      <c r="E3469" s="15" t="s">
        <v>5044</v>
      </c>
    </row>
    <row r="3470" spans="2:5">
      <c r="B3470" s="15" t="s">
        <v>5043</v>
      </c>
      <c r="C3470" s="15" t="s">
        <v>896</v>
      </c>
      <c r="D3470" s="15" t="s">
        <v>772</v>
      </c>
      <c r="E3470" s="15" t="s">
        <v>5045</v>
      </c>
    </row>
    <row r="3471" spans="2:5">
      <c r="B3471" s="15" t="s">
        <v>5043</v>
      </c>
      <c r="C3471" s="15" t="s">
        <v>896</v>
      </c>
      <c r="D3471" s="15" t="s">
        <v>774</v>
      </c>
      <c r="E3471" s="15" t="s">
        <v>5046</v>
      </c>
    </row>
    <row r="3472" spans="2:5">
      <c r="B3472" s="15" t="s">
        <v>5043</v>
      </c>
      <c r="C3472" s="15" t="s">
        <v>896</v>
      </c>
      <c r="D3472" s="15" t="s">
        <v>828</v>
      </c>
      <c r="E3472" s="15" t="s">
        <v>4568</v>
      </c>
    </row>
    <row r="3473" spans="2:5">
      <c r="B3473" s="15" t="s">
        <v>5043</v>
      </c>
      <c r="C3473" s="15" t="s">
        <v>896</v>
      </c>
      <c r="D3473" s="15" t="s">
        <v>901</v>
      </c>
      <c r="E3473" s="15" t="s">
        <v>948</v>
      </c>
    </row>
    <row r="3474" ht="15.95" spans="2:2">
      <c r="B3474" s="122" t="s">
        <v>5047</v>
      </c>
    </row>
    <row r="3475" spans="2:5">
      <c r="B3475" s="15" t="s">
        <v>5048</v>
      </c>
      <c r="C3475" s="15" t="s">
        <v>5049</v>
      </c>
      <c r="D3475" s="15" t="s">
        <v>770</v>
      </c>
      <c r="E3475" s="15" t="s">
        <v>5050</v>
      </c>
    </row>
    <row r="3476" spans="2:5">
      <c r="B3476" s="15" t="s">
        <v>5048</v>
      </c>
      <c r="C3476" s="15" t="s">
        <v>5049</v>
      </c>
      <c r="D3476" s="15" t="s">
        <v>772</v>
      </c>
      <c r="E3476" s="15" t="s">
        <v>5051</v>
      </c>
    </row>
    <row r="3477" spans="2:5">
      <c r="B3477" s="15" t="s">
        <v>5048</v>
      </c>
      <c r="C3477" s="15" t="s">
        <v>5049</v>
      </c>
      <c r="D3477" s="15" t="s">
        <v>774</v>
      </c>
      <c r="E3477" s="15" t="s">
        <v>5052</v>
      </c>
    </row>
    <row r="3478" spans="2:5">
      <c r="B3478" s="15" t="s">
        <v>5048</v>
      </c>
      <c r="C3478" s="15" t="s">
        <v>5049</v>
      </c>
      <c r="D3478" s="15" t="s">
        <v>828</v>
      </c>
      <c r="E3478" s="15" t="s">
        <v>5053</v>
      </c>
    </row>
    <row r="3479" ht="15.95" spans="2:2">
      <c r="B3479" s="122" t="s">
        <v>5054</v>
      </c>
    </row>
    <row r="3480" spans="2:5">
      <c r="B3480" s="15" t="s">
        <v>5055</v>
      </c>
      <c r="C3480" s="15" t="s">
        <v>5056</v>
      </c>
      <c r="D3480" s="15" t="s">
        <v>770</v>
      </c>
      <c r="E3480" s="15" t="s">
        <v>5057</v>
      </c>
    </row>
    <row r="3481" spans="2:5">
      <c r="B3481" s="15" t="s">
        <v>5055</v>
      </c>
      <c r="C3481" s="15" t="s">
        <v>5056</v>
      </c>
      <c r="D3481" s="15" t="s">
        <v>772</v>
      </c>
      <c r="E3481" s="15" t="s">
        <v>5058</v>
      </c>
    </row>
    <row r="3482" spans="2:5">
      <c r="B3482" s="15" t="s">
        <v>5055</v>
      </c>
      <c r="C3482" s="15" t="s">
        <v>5056</v>
      </c>
      <c r="D3482" s="15" t="s">
        <v>774</v>
      </c>
      <c r="E3482" s="15" t="s">
        <v>5059</v>
      </c>
    </row>
    <row r="3483" spans="2:5">
      <c r="B3483" s="15" t="s">
        <v>5055</v>
      </c>
      <c r="C3483" s="15" t="s">
        <v>5056</v>
      </c>
      <c r="D3483" s="15" t="s">
        <v>828</v>
      </c>
      <c r="E3483" s="15" t="s">
        <v>5060</v>
      </c>
    </row>
    <row r="3484" spans="2:5">
      <c r="B3484" s="15" t="s">
        <v>5055</v>
      </c>
      <c r="C3484" s="15" t="s">
        <v>5056</v>
      </c>
      <c r="D3484" s="15" t="s">
        <v>901</v>
      </c>
      <c r="E3484" s="15" t="s">
        <v>5061</v>
      </c>
    </row>
    <row r="3485" ht="15.95" spans="2:2">
      <c r="B3485" s="122" t="s">
        <v>5062</v>
      </c>
    </row>
    <row r="3486" spans="2:5">
      <c r="B3486" s="15" t="s">
        <v>5063</v>
      </c>
      <c r="C3486" s="15" t="s">
        <v>5064</v>
      </c>
      <c r="D3486" s="15" t="s">
        <v>635</v>
      </c>
      <c r="E3486" s="15" t="s">
        <v>5065</v>
      </c>
    </row>
    <row r="3487" spans="2:5">
      <c r="B3487" s="15" t="s">
        <v>5063</v>
      </c>
      <c r="C3487" s="15" t="s">
        <v>5064</v>
      </c>
      <c r="D3487" s="15" t="s">
        <v>659</v>
      </c>
      <c r="E3487" s="15" t="s">
        <v>5066</v>
      </c>
    </row>
    <row r="3488" spans="2:5">
      <c r="B3488" s="15" t="s">
        <v>5063</v>
      </c>
      <c r="C3488" s="15" t="s">
        <v>5064</v>
      </c>
      <c r="D3488" s="15" t="s">
        <v>679</v>
      </c>
      <c r="E3488" s="15" t="s">
        <v>5067</v>
      </c>
    </row>
    <row r="3489" spans="2:5">
      <c r="B3489" s="15" t="s">
        <v>5063</v>
      </c>
      <c r="C3489" s="15" t="s">
        <v>5064</v>
      </c>
      <c r="D3489" s="15" t="s">
        <v>705</v>
      </c>
      <c r="E3489" s="15" t="s">
        <v>5068</v>
      </c>
    </row>
    <row r="3490" spans="2:5">
      <c r="B3490" s="15" t="s">
        <v>5063</v>
      </c>
      <c r="C3490" s="15" t="s">
        <v>5064</v>
      </c>
      <c r="D3490" s="15" t="s">
        <v>709</v>
      </c>
      <c r="E3490" s="15" t="s">
        <v>5069</v>
      </c>
    </row>
    <row r="3491" spans="2:5">
      <c r="B3491" s="15" t="s">
        <v>5063</v>
      </c>
      <c r="C3491" s="15" t="s">
        <v>5064</v>
      </c>
      <c r="D3491" s="15" t="s">
        <v>838</v>
      </c>
      <c r="E3491" s="15" t="s">
        <v>5070</v>
      </c>
    </row>
    <row r="3492" spans="2:5">
      <c r="B3492" s="15" t="s">
        <v>5063</v>
      </c>
      <c r="C3492" s="15" t="s">
        <v>5064</v>
      </c>
      <c r="D3492" s="15" t="s">
        <v>840</v>
      </c>
      <c r="E3492" s="15" t="s">
        <v>5071</v>
      </c>
    </row>
    <row r="3493" spans="2:5">
      <c r="B3493" s="15" t="s">
        <v>5063</v>
      </c>
      <c r="C3493" s="15" t="s">
        <v>5064</v>
      </c>
      <c r="D3493" s="15" t="s">
        <v>842</v>
      </c>
      <c r="E3493" s="15" t="s">
        <v>5072</v>
      </c>
    </row>
    <row r="3494" ht="15.95" spans="2:2">
      <c r="B3494" s="122" t="s">
        <v>5073</v>
      </c>
    </row>
    <row r="3495" spans="2:5">
      <c r="B3495" s="15" t="s">
        <v>5074</v>
      </c>
      <c r="C3495" s="15" t="s">
        <v>5075</v>
      </c>
      <c r="D3495" s="15" t="s">
        <v>635</v>
      </c>
      <c r="E3495" s="15" t="s">
        <v>1814</v>
      </c>
    </row>
    <row r="3496" spans="2:5">
      <c r="B3496" s="15" t="s">
        <v>5074</v>
      </c>
      <c r="C3496" s="15" t="s">
        <v>5075</v>
      </c>
      <c r="D3496" s="15" t="s">
        <v>659</v>
      </c>
      <c r="E3496" s="15" t="s">
        <v>1822</v>
      </c>
    </row>
    <row r="3497" ht="15.95" spans="2:2">
      <c r="B3497" s="122" t="s">
        <v>5076</v>
      </c>
    </row>
    <row r="3498" spans="2:5">
      <c r="B3498" s="15" t="s">
        <v>5077</v>
      </c>
      <c r="C3498" s="15" t="s">
        <v>5078</v>
      </c>
      <c r="D3498" s="15" t="s">
        <v>770</v>
      </c>
      <c r="E3498" s="15" t="s">
        <v>5079</v>
      </c>
    </row>
    <row r="3499" ht="15.95" spans="2:2">
      <c r="B3499" s="122" t="s">
        <v>5080</v>
      </c>
    </row>
    <row r="3500" spans="2:5">
      <c r="B3500" s="15" t="s">
        <v>802</v>
      </c>
      <c r="C3500" s="15" t="s">
        <v>802</v>
      </c>
      <c r="D3500" s="15" t="s">
        <v>723</v>
      </c>
      <c r="E3500" s="15" t="s">
        <v>5081</v>
      </c>
    </row>
    <row r="3501" spans="2:5">
      <c r="B3501" s="15" t="s">
        <v>802</v>
      </c>
      <c r="C3501" s="15" t="s">
        <v>802</v>
      </c>
      <c r="D3501" s="15" t="s">
        <v>725</v>
      </c>
      <c r="E3501" s="15" t="s">
        <v>5082</v>
      </c>
    </row>
    <row r="3502" spans="2:5">
      <c r="B3502" s="15" t="s">
        <v>802</v>
      </c>
      <c r="C3502" s="15" t="s">
        <v>802</v>
      </c>
      <c r="D3502" s="15" t="s">
        <v>727</v>
      </c>
      <c r="E3502" s="15" t="s">
        <v>5083</v>
      </c>
    </row>
    <row r="3503" ht="15.95" spans="2:2">
      <c r="B3503" s="122" t="s">
        <v>5084</v>
      </c>
    </row>
    <row r="3504" spans="2:5">
      <c r="B3504" s="15" t="s">
        <v>5085</v>
      </c>
      <c r="C3504" s="15" t="s">
        <v>5085</v>
      </c>
      <c r="D3504" s="15" t="s">
        <v>723</v>
      </c>
      <c r="E3504" s="15" t="s">
        <v>2654</v>
      </c>
    </row>
    <row r="3505" spans="2:5">
      <c r="B3505" s="15" t="s">
        <v>5085</v>
      </c>
      <c r="C3505" s="15" t="s">
        <v>5085</v>
      </c>
      <c r="D3505" s="15" t="s">
        <v>725</v>
      </c>
      <c r="E3505" s="15" t="s">
        <v>3239</v>
      </c>
    </row>
    <row r="3506" spans="2:5">
      <c r="B3506" s="15" t="s">
        <v>5085</v>
      </c>
      <c r="C3506" s="15" t="s">
        <v>5085</v>
      </c>
      <c r="D3506" s="15" t="s">
        <v>727</v>
      </c>
      <c r="E3506" s="15" t="s">
        <v>3517</v>
      </c>
    </row>
    <row r="3507" spans="2:5">
      <c r="B3507" s="15" t="s">
        <v>5085</v>
      </c>
      <c r="C3507" s="15" t="s">
        <v>5085</v>
      </c>
      <c r="D3507" s="15" t="s">
        <v>729</v>
      </c>
      <c r="E3507" s="15" t="s">
        <v>2658</v>
      </c>
    </row>
    <row r="3508" spans="2:5">
      <c r="B3508" s="15" t="s">
        <v>5085</v>
      </c>
      <c r="C3508" s="15" t="s">
        <v>5085</v>
      </c>
      <c r="D3508" s="15" t="s">
        <v>760</v>
      </c>
      <c r="E3508" s="15" t="s">
        <v>2659</v>
      </c>
    </row>
    <row r="3509" spans="2:5">
      <c r="B3509" s="15" t="s">
        <v>5085</v>
      </c>
      <c r="C3509" s="15" t="s">
        <v>5085</v>
      </c>
      <c r="D3509" s="15" t="s">
        <v>762</v>
      </c>
      <c r="E3509" s="15" t="s">
        <v>235</v>
      </c>
    </row>
    <row r="3510" spans="2:5">
      <c r="B3510" s="15" t="s">
        <v>5085</v>
      </c>
      <c r="C3510" s="15" t="s">
        <v>5085</v>
      </c>
      <c r="D3510" s="15" t="s">
        <v>764</v>
      </c>
      <c r="E3510" s="15" t="s">
        <v>3240</v>
      </c>
    </row>
    <row r="3511" ht="15.95" spans="2:2">
      <c r="B3511" s="122" t="s">
        <v>5086</v>
      </c>
    </row>
    <row r="3512" spans="2:5">
      <c r="B3512" s="15" t="s">
        <v>5087</v>
      </c>
      <c r="C3512" s="15" t="s">
        <v>5088</v>
      </c>
      <c r="D3512" s="15" t="s">
        <v>635</v>
      </c>
      <c r="E3512" s="15" t="s">
        <v>1960</v>
      </c>
    </row>
    <row r="3513" spans="2:5">
      <c r="B3513" s="15" t="s">
        <v>5087</v>
      </c>
      <c r="C3513" s="15" t="s">
        <v>5088</v>
      </c>
      <c r="D3513" s="15" t="s">
        <v>659</v>
      </c>
      <c r="E3513" s="15" t="s">
        <v>1203</v>
      </c>
    </row>
    <row r="3514" spans="2:5">
      <c r="B3514" s="15" t="s">
        <v>5087</v>
      </c>
      <c r="C3514" s="15" t="s">
        <v>5088</v>
      </c>
      <c r="D3514" s="15" t="s">
        <v>679</v>
      </c>
      <c r="E3514" s="15" t="s">
        <v>1962</v>
      </c>
    </row>
    <row r="3515" ht="15.95" spans="2:2">
      <c r="B3515" s="122" t="s">
        <v>5089</v>
      </c>
    </row>
    <row r="3516" spans="2:5">
      <c r="B3516" s="15" t="s">
        <v>5090</v>
      </c>
      <c r="C3516" s="15" t="s">
        <v>5091</v>
      </c>
      <c r="D3516" s="15" t="s">
        <v>770</v>
      </c>
      <c r="E3516" s="15" t="s">
        <v>5092</v>
      </c>
    </row>
    <row r="3517" spans="2:5">
      <c r="B3517" s="15" t="s">
        <v>5090</v>
      </c>
      <c r="C3517" s="15" t="s">
        <v>5091</v>
      </c>
      <c r="D3517" s="15" t="s">
        <v>772</v>
      </c>
      <c r="E3517" s="15" t="s">
        <v>5093</v>
      </c>
    </row>
    <row r="3518" spans="2:5">
      <c r="B3518" s="15" t="s">
        <v>5090</v>
      </c>
      <c r="C3518" s="15" t="s">
        <v>5091</v>
      </c>
      <c r="D3518" s="15" t="s">
        <v>774</v>
      </c>
      <c r="E3518" s="15" t="s">
        <v>5094</v>
      </c>
    </row>
    <row r="3519" spans="2:5">
      <c r="B3519" s="15" t="s">
        <v>5090</v>
      </c>
      <c r="C3519" s="15" t="s">
        <v>5091</v>
      </c>
      <c r="D3519" s="15" t="s">
        <v>828</v>
      </c>
      <c r="E3519" s="15" t="s">
        <v>5095</v>
      </c>
    </row>
    <row r="3520" spans="2:5">
      <c r="B3520" s="15" t="s">
        <v>5090</v>
      </c>
      <c r="C3520" s="15" t="s">
        <v>5091</v>
      </c>
      <c r="D3520" s="15" t="s">
        <v>901</v>
      </c>
      <c r="E3520" s="15" t="s">
        <v>5096</v>
      </c>
    </row>
    <row r="3521" spans="2:5">
      <c r="B3521" s="15" t="s">
        <v>5090</v>
      </c>
      <c r="C3521" s="15" t="s">
        <v>5091</v>
      </c>
      <c r="D3521" s="15" t="s">
        <v>776</v>
      </c>
      <c r="E3521" s="15" t="s">
        <v>5097</v>
      </c>
    </row>
    <row r="3522" spans="2:5">
      <c r="B3522" s="15" t="s">
        <v>5090</v>
      </c>
      <c r="C3522" s="15" t="s">
        <v>5091</v>
      </c>
      <c r="D3522" s="15" t="s">
        <v>1290</v>
      </c>
      <c r="E3522" s="15" t="s">
        <v>5098</v>
      </c>
    </row>
    <row r="3523" spans="2:5">
      <c r="B3523" s="15" t="s">
        <v>5090</v>
      </c>
      <c r="C3523" s="15" t="s">
        <v>5091</v>
      </c>
      <c r="D3523" s="15" t="s">
        <v>1409</v>
      </c>
      <c r="E3523" s="15" t="s">
        <v>5099</v>
      </c>
    </row>
    <row r="3524" spans="2:5">
      <c r="B3524" s="15" t="s">
        <v>5090</v>
      </c>
      <c r="C3524" s="15" t="s">
        <v>5091</v>
      </c>
      <c r="D3524" s="15" t="s">
        <v>1411</v>
      </c>
      <c r="E3524" s="15" t="s">
        <v>5100</v>
      </c>
    </row>
    <row r="3525" spans="2:5">
      <c r="B3525" s="15" t="s">
        <v>5090</v>
      </c>
      <c r="C3525" s="15" t="s">
        <v>5091</v>
      </c>
      <c r="D3525" s="15" t="s">
        <v>933</v>
      </c>
      <c r="E3525" s="15" t="s">
        <v>5101</v>
      </c>
    </row>
    <row r="3526" ht="15.95" spans="2:2">
      <c r="B3526" s="122" t="s">
        <v>5102</v>
      </c>
    </row>
    <row r="3527" spans="2:5">
      <c r="B3527" s="15" t="s">
        <v>5103</v>
      </c>
      <c r="C3527" s="15" t="s">
        <v>5104</v>
      </c>
      <c r="D3527" s="15" t="s">
        <v>635</v>
      </c>
      <c r="E3527" s="15" t="s">
        <v>5105</v>
      </c>
    </row>
    <row r="3528" spans="2:5">
      <c r="B3528" s="15" t="s">
        <v>5103</v>
      </c>
      <c r="C3528" s="15" t="s">
        <v>5104</v>
      </c>
      <c r="D3528" s="15" t="s">
        <v>659</v>
      </c>
      <c r="E3528" s="15" t="s">
        <v>1209</v>
      </c>
    </row>
    <row r="3529" spans="2:5">
      <c r="B3529" s="15" t="s">
        <v>5103</v>
      </c>
      <c r="C3529" s="15" t="s">
        <v>5104</v>
      </c>
      <c r="D3529" s="15" t="s">
        <v>679</v>
      </c>
      <c r="E3529" s="15" t="s">
        <v>5106</v>
      </c>
    </row>
    <row r="3530" ht="15.95" spans="2:2">
      <c r="B3530" s="122" t="s">
        <v>5107</v>
      </c>
    </row>
    <row r="3531" spans="2:5">
      <c r="B3531" s="15" t="s">
        <v>5108</v>
      </c>
      <c r="C3531" s="15" t="s">
        <v>5109</v>
      </c>
      <c r="D3531" s="15" t="s">
        <v>1267</v>
      </c>
      <c r="E3531" s="15" t="s">
        <v>1355</v>
      </c>
    </row>
    <row r="3532" spans="2:5">
      <c r="B3532" s="15" t="s">
        <v>5108</v>
      </c>
      <c r="C3532" s="15" t="s">
        <v>5109</v>
      </c>
      <c r="D3532" s="15" t="s">
        <v>1269</v>
      </c>
      <c r="E3532" s="15" t="s">
        <v>1356</v>
      </c>
    </row>
    <row r="3533" spans="2:5">
      <c r="B3533" s="15" t="s">
        <v>5108</v>
      </c>
      <c r="C3533" s="15" t="s">
        <v>5109</v>
      </c>
      <c r="D3533" s="15" t="s">
        <v>1919</v>
      </c>
      <c r="E3533" s="15" t="s">
        <v>1920</v>
      </c>
    </row>
    <row r="3534" ht="15.95" spans="2:2">
      <c r="B3534" s="122" t="s">
        <v>5110</v>
      </c>
    </row>
    <row r="3535" spans="2:5">
      <c r="B3535" s="15" t="s">
        <v>5111</v>
      </c>
      <c r="C3535" s="15" t="s">
        <v>5111</v>
      </c>
      <c r="D3535" s="15" t="s">
        <v>723</v>
      </c>
      <c r="E3535" s="15" t="s">
        <v>4646</v>
      </c>
    </row>
    <row r="3536" spans="2:5">
      <c r="B3536" s="15" t="s">
        <v>5111</v>
      </c>
      <c r="C3536" s="15" t="s">
        <v>5111</v>
      </c>
      <c r="D3536" s="15" t="s">
        <v>725</v>
      </c>
      <c r="E3536" s="15" t="s">
        <v>4647</v>
      </c>
    </row>
    <row r="3537" spans="2:5">
      <c r="B3537" s="15" t="s">
        <v>5111</v>
      </c>
      <c r="C3537" s="15" t="s">
        <v>5111</v>
      </c>
      <c r="D3537" s="15" t="s">
        <v>727</v>
      </c>
      <c r="E3537" s="15" t="s">
        <v>4648</v>
      </c>
    </row>
    <row r="3538" ht="15.95" spans="2:2">
      <c r="B3538" s="122" t="s">
        <v>5112</v>
      </c>
    </row>
    <row r="3539" spans="2:5">
      <c r="B3539" s="15" t="s">
        <v>5113</v>
      </c>
      <c r="C3539" s="15" t="s">
        <v>5114</v>
      </c>
      <c r="D3539" s="15" t="s">
        <v>770</v>
      </c>
      <c r="E3539" s="15" t="s">
        <v>5115</v>
      </c>
    </row>
    <row r="3540" spans="2:5">
      <c r="B3540" s="15" t="s">
        <v>5113</v>
      </c>
      <c r="C3540" s="15" t="s">
        <v>5114</v>
      </c>
      <c r="D3540" s="15" t="s">
        <v>772</v>
      </c>
      <c r="E3540" s="15" t="s">
        <v>5116</v>
      </c>
    </row>
    <row r="3541" spans="2:5">
      <c r="B3541" s="15" t="s">
        <v>5113</v>
      </c>
      <c r="C3541" s="15" t="s">
        <v>5114</v>
      </c>
      <c r="D3541" s="15" t="s">
        <v>1378</v>
      </c>
      <c r="E3541" s="15" t="s">
        <v>5117</v>
      </c>
    </row>
    <row r="3542" spans="2:5">
      <c r="B3542" s="15" t="s">
        <v>5113</v>
      </c>
      <c r="C3542" s="15" t="s">
        <v>5114</v>
      </c>
      <c r="D3542" s="15" t="s">
        <v>1380</v>
      </c>
      <c r="E3542" s="15" t="s">
        <v>5118</v>
      </c>
    </row>
    <row r="3543" spans="2:5">
      <c r="B3543" s="15" t="s">
        <v>5113</v>
      </c>
      <c r="C3543" s="15" t="s">
        <v>5114</v>
      </c>
      <c r="D3543" s="15" t="s">
        <v>774</v>
      </c>
      <c r="E3543" s="15" t="s">
        <v>5119</v>
      </c>
    </row>
    <row r="3544" spans="2:5">
      <c r="B3544" s="15" t="s">
        <v>5113</v>
      </c>
      <c r="C3544" s="15" t="s">
        <v>5114</v>
      </c>
      <c r="D3544" s="15" t="s">
        <v>1384</v>
      </c>
      <c r="E3544" s="15" t="s">
        <v>5117</v>
      </c>
    </row>
    <row r="3545" spans="2:5">
      <c r="B3545" s="15" t="s">
        <v>5113</v>
      </c>
      <c r="C3545" s="15" t="s">
        <v>5114</v>
      </c>
      <c r="D3545" s="15" t="s">
        <v>1391</v>
      </c>
      <c r="E3545" s="15" t="s">
        <v>5118</v>
      </c>
    </row>
    <row r="3546" spans="2:5">
      <c r="B3546" s="15" t="s">
        <v>5113</v>
      </c>
      <c r="C3546" s="15" t="s">
        <v>5114</v>
      </c>
      <c r="D3546" s="15" t="s">
        <v>828</v>
      </c>
      <c r="E3546" s="15" t="s">
        <v>1412</v>
      </c>
    </row>
    <row r="3547" ht="15.95" spans="2:2">
      <c r="B3547" s="122" t="s">
        <v>5120</v>
      </c>
    </row>
    <row r="3548" spans="2:5">
      <c r="B3548" s="15" t="s">
        <v>5121</v>
      </c>
      <c r="C3548" s="15" t="s">
        <v>5121</v>
      </c>
      <c r="D3548" s="15" t="s">
        <v>770</v>
      </c>
      <c r="E3548" s="15" t="s">
        <v>1189</v>
      </c>
    </row>
    <row r="3549" spans="2:5">
      <c r="B3549" s="15" t="s">
        <v>5121</v>
      </c>
      <c r="C3549" s="15" t="s">
        <v>5121</v>
      </c>
      <c r="D3549" s="15" t="s">
        <v>772</v>
      </c>
      <c r="E3549" s="15" t="s">
        <v>1190</v>
      </c>
    </row>
    <row r="3550" spans="2:5">
      <c r="B3550" s="15" t="s">
        <v>5121</v>
      </c>
      <c r="C3550" s="15" t="s">
        <v>5121</v>
      </c>
      <c r="D3550" s="15" t="s">
        <v>774</v>
      </c>
      <c r="E3550" s="15" t="s">
        <v>1191</v>
      </c>
    </row>
    <row r="3551" spans="2:5">
      <c r="B3551" s="15" t="s">
        <v>5121</v>
      </c>
      <c r="C3551" s="15" t="s">
        <v>5121</v>
      </c>
      <c r="D3551" s="15" t="s">
        <v>828</v>
      </c>
      <c r="E3551" s="15" t="s">
        <v>1192</v>
      </c>
    </row>
    <row r="3552" ht="15.95" spans="2:2">
      <c r="B3552" s="122" t="s">
        <v>5122</v>
      </c>
    </row>
    <row r="3553" spans="2:5">
      <c r="B3553" s="15" t="s">
        <v>5123</v>
      </c>
      <c r="C3553" s="15" t="s">
        <v>5124</v>
      </c>
      <c r="D3553" s="15" t="s">
        <v>1267</v>
      </c>
      <c r="E3553" s="15" t="s">
        <v>1268</v>
      </c>
    </row>
    <row r="3554" spans="2:5">
      <c r="B3554" s="15" t="s">
        <v>5123</v>
      </c>
      <c r="C3554" s="15" t="s">
        <v>5124</v>
      </c>
      <c r="D3554" s="15" t="s">
        <v>1269</v>
      </c>
      <c r="E3554" s="15" t="s">
        <v>1270</v>
      </c>
    </row>
    <row r="3555" spans="2:5">
      <c r="B3555" s="15" t="s">
        <v>5123</v>
      </c>
      <c r="C3555" s="15" t="s">
        <v>5124</v>
      </c>
      <c r="D3555" s="15" t="s">
        <v>1919</v>
      </c>
      <c r="E3555" s="15" t="s">
        <v>1920</v>
      </c>
    </row>
    <row r="3556" ht="15.95" spans="2:2">
      <c r="B3556" s="122" t="s">
        <v>5125</v>
      </c>
    </row>
    <row r="3557" spans="2:5">
      <c r="B3557" s="15" t="s">
        <v>5126</v>
      </c>
      <c r="C3557" s="15" t="s">
        <v>5126</v>
      </c>
      <c r="D3557" s="15" t="s">
        <v>770</v>
      </c>
      <c r="E3557" s="15" t="s">
        <v>4444</v>
      </c>
    </row>
    <row r="3558" spans="2:5">
      <c r="B3558" s="15" t="s">
        <v>5126</v>
      </c>
      <c r="C3558" s="15" t="s">
        <v>5126</v>
      </c>
      <c r="D3558" s="15" t="s">
        <v>772</v>
      </c>
      <c r="E3558" s="15" t="s">
        <v>4445</v>
      </c>
    </row>
    <row r="3559" spans="2:5">
      <c r="B3559" s="15" t="s">
        <v>5126</v>
      </c>
      <c r="C3559" s="15" t="s">
        <v>5126</v>
      </c>
      <c r="D3559" s="15" t="s">
        <v>774</v>
      </c>
      <c r="E3559" s="15" t="s">
        <v>4446</v>
      </c>
    </row>
    <row r="3560" spans="2:5">
      <c r="B3560" s="15" t="s">
        <v>5126</v>
      </c>
      <c r="C3560" s="15" t="s">
        <v>5126</v>
      </c>
      <c r="D3560" s="15" t="s">
        <v>828</v>
      </c>
      <c r="E3560" s="15" t="s">
        <v>4447</v>
      </c>
    </row>
    <row r="3561" spans="2:5">
      <c r="B3561" s="15" t="s">
        <v>5126</v>
      </c>
      <c r="C3561" s="15" t="s">
        <v>5126</v>
      </c>
      <c r="D3561" s="15" t="s">
        <v>901</v>
      </c>
      <c r="E3561" s="15" t="s">
        <v>4448</v>
      </c>
    </row>
    <row r="3562" ht="15.95" spans="2:2">
      <c r="B3562" s="122" t="s">
        <v>5127</v>
      </c>
    </row>
    <row r="3563" spans="2:5">
      <c r="B3563" s="15" t="s">
        <v>5128</v>
      </c>
      <c r="C3563" s="15" t="s">
        <v>5129</v>
      </c>
      <c r="D3563" s="15" t="s">
        <v>770</v>
      </c>
      <c r="E3563" s="15" t="s">
        <v>5130</v>
      </c>
    </row>
    <row r="3564" spans="2:5">
      <c r="B3564" s="15" t="s">
        <v>5128</v>
      </c>
      <c r="C3564" s="15" t="s">
        <v>5129</v>
      </c>
      <c r="D3564" s="15" t="s">
        <v>772</v>
      </c>
      <c r="E3564" s="15" t="s">
        <v>5131</v>
      </c>
    </row>
    <row r="3565" spans="2:5">
      <c r="B3565" s="15" t="s">
        <v>5128</v>
      </c>
      <c r="C3565" s="15" t="s">
        <v>5129</v>
      </c>
      <c r="D3565" s="15" t="s">
        <v>774</v>
      </c>
      <c r="E3565" s="15" t="s">
        <v>5132</v>
      </c>
    </row>
    <row r="3566" spans="2:5">
      <c r="B3566" s="15" t="s">
        <v>5128</v>
      </c>
      <c r="C3566" s="15" t="s">
        <v>5129</v>
      </c>
      <c r="D3566" s="15" t="s">
        <v>828</v>
      </c>
      <c r="E3566" s="15" t="s">
        <v>5133</v>
      </c>
    </row>
    <row r="3567" spans="2:5">
      <c r="B3567" s="15" t="s">
        <v>5128</v>
      </c>
      <c r="C3567" s="15" t="s">
        <v>5129</v>
      </c>
      <c r="D3567" s="15" t="s">
        <v>901</v>
      </c>
      <c r="E3567" s="15" t="s">
        <v>5134</v>
      </c>
    </row>
    <row r="3568" spans="2:5">
      <c r="B3568" s="15" t="s">
        <v>5128</v>
      </c>
      <c r="C3568" s="15" t="s">
        <v>5129</v>
      </c>
      <c r="D3568" s="15" t="s">
        <v>776</v>
      </c>
      <c r="E3568" s="15" t="s">
        <v>5135</v>
      </c>
    </row>
    <row r="3569" spans="2:5">
      <c r="B3569" s="15" t="s">
        <v>5128</v>
      </c>
      <c r="C3569" s="15" t="s">
        <v>5129</v>
      </c>
      <c r="D3569" s="15" t="s">
        <v>1290</v>
      </c>
      <c r="E3569" s="15" t="s">
        <v>5136</v>
      </c>
    </row>
    <row r="3570" spans="2:5">
      <c r="B3570" s="15" t="s">
        <v>5128</v>
      </c>
      <c r="C3570" s="15" t="s">
        <v>5129</v>
      </c>
      <c r="D3570" s="15" t="s">
        <v>1409</v>
      </c>
      <c r="E3570" s="15" t="s">
        <v>5137</v>
      </c>
    </row>
    <row r="3571" spans="2:5">
      <c r="B3571" s="15" t="s">
        <v>5128</v>
      </c>
      <c r="C3571" s="15" t="s">
        <v>5129</v>
      </c>
      <c r="D3571" s="15" t="s">
        <v>1411</v>
      </c>
      <c r="E3571" s="15" t="s">
        <v>5138</v>
      </c>
    </row>
    <row r="3572" spans="2:5">
      <c r="B3572" s="15" t="s">
        <v>5128</v>
      </c>
      <c r="C3572" s="15" t="s">
        <v>5129</v>
      </c>
      <c r="D3572" s="15" t="s">
        <v>933</v>
      </c>
      <c r="E3572" s="15" t="s">
        <v>5139</v>
      </c>
    </row>
    <row r="3573" spans="2:5">
      <c r="B3573" s="15" t="s">
        <v>5128</v>
      </c>
      <c r="C3573" s="15" t="s">
        <v>5129</v>
      </c>
      <c r="D3573" s="15" t="s">
        <v>1059</v>
      </c>
      <c r="E3573" s="15" t="s">
        <v>5140</v>
      </c>
    </row>
    <row r="3574" spans="2:5">
      <c r="B3574" s="15" t="s">
        <v>5128</v>
      </c>
      <c r="C3574" s="15" t="s">
        <v>5129</v>
      </c>
      <c r="D3574" s="15" t="s">
        <v>1061</v>
      </c>
      <c r="E3574" s="15" t="s">
        <v>5141</v>
      </c>
    </row>
    <row r="3575" spans="2:5">
      <c r="B3575" s="15" t="s">
        <v>5128</v>
      </c>
      <c r="C3575" s="15" t="s">
        <v>5129</v>
      </c>
      <c r="D3575" s="15" t="s">
        <v>1063</v>
      </c>
      <c r="E3575" s="15" t="s">
        <v>5142</v>
      </c>
    </row>
    <row r="3576" spans="2:5">
      <c r="B3576" s="15" t="s">
        <v>5128</v>
      </c>
      <c r="C3576" s="15" t="s">
        <v>5129</v>
      </c>
      <c r="D3576" s="15" t="s">
        <v>1145</v>
      </c>
      <c r="E3576" s="15" t="s">
        <v>235</v>
      </c>
    </row>
    <row r="3577" ht="15.95" spans="2:2">
      <c r="B3577" s="122" t="s">
        <v>5143</v>
      </c>
    </row>
    <row r="3578" spans="2:5">
      <c r="B3578" s="15" t="s">
        <v>5144</v>
      </c>
      <c r="C3578" s="15" t="s">
        <v>5145</v>
      </c>
      <c r="D3578" s="15" t="s">
        <v>780</v>
      </c>
      <c r="E3578" s="15" t="s">
        <v>4159</v>
      </c>
    </row>
    <row r="3579" spans="2:5">
      <c r="B3579" s="15" t="s">
        <v>5144</v>
      </c>
      <c r="C3579" s="15" t="s">
        <v>5145</v>
      </c>
      <c r="D3579" s="15" t="s">
        <v>3040</v>
      </c>
      <c r="E3579" s="15" t="s">
        <v>4160</v>
      </c>
    </row>
    <row r="3580" spans="2:5">
      <c r="B3580" s="15" t="s">
        <v>5144</v>
      </c>
      <c r="C3580" s="15" t="s">
        <v>5145</v>
      </c>
      <c r="D3580" s="15" t="s">
        <v>1372</v>
      </c>
      <c r="E3580" s="15" t="s">
        <v>4162</v>
      </c>
    </row>
    <row r="3581" spans="2:5">
      <c r="B3581" s="15" t="s">
        <v>5144</v>
      </c>
      <c r="C3581" s="15" t="s">
        <v>5145</v>
      </c>
      <c r="D3581" s="15" t="s">
        <v>3147</v>
      </c>
      <c r="E3581" s="15" t="s">
        <v>4163</v>
      </c>
    </row>
    <row r="3582" spans="2:5">
      <c r="B3582" s="15" t="s">
        <v>5144</v>
      </c>
      <c r="C3582" s="15" t="s">
        <v>5145</v>
      </c>
      <c r="D3582" s="15" t="s">
        <v>3149</v>
      </c>
      <c r="E3582" s="15" t="s">
        <v>4164</v>
      </c>
    </row>
    <row r="3583" spans="2:5">
      <c r="B3583" s="15" t="s">
        <v>5144</v>
      </c>
      <c r="C3583" s="15" t="s">
        <v>5145</v>
      </c>
      <c r="D3583" s="15" t="s">
        <v>5146</v>
      </c>
      <c r="E3583" s="15" t="s">
        <v>235</v>
      </c>
    </row>
    <row r="3584" ht="15.95" spans="2:2">
      <c r="B3584" s="122" t="s">
        <v>5147</v>
      </c>
    </row>
    <row r="3585" spans="2:5">
      <c r="B3585" s="15" t="s">
        <v>5148</v>
      </c>
      <c r="C3585" s="15" t="s">
        <v>5149</v>
      </c>
      <c r="D3585" s="15" t="s">
        <v>770</v>
      </c>
      <c r="E3585" s="15" t="s">
        <v>2554</v>
      </c>
    </row>
    <row r="3586" spans="2:5">
      <c r="B3586" s="15" t="s">
        <v>5148</v>
      </c>
      <c r="C3586" s="15" t="s">
        <v>5149</v>
      </c>
      <c r="D3586" s="15" t="s">
        <v>772</v>
      </c>
      <c r="E3586" s="15" t="s">
        <v>2553</v>
      </c>
    </row>
    <row r="3587" spans="2:5">
      <c r="B3587" s="15" t="s">
        <v>5148</v>
      </c>
      <c r="C3587" s="15" t="s">
        <v>5149</v>
      </c>
      <c r="D3587" s="15" t="s">
        <v>774</v>
      </c>
      <c r="E3587" s="15" t="s">
        <v>2555</v>
      </c>
    </row>
    <row r="3588" spans="2:5">
      <c r="B3588" s="15" t="s">
        <v>5148</v>
      </c>
      <c r="C3588" s="15" t="s">
        <v>5149</v>
      </c>
      <c r="D3588" s="15" t="s">
        <v>828</v>
      </c>
      <c r="E3588" s="15" t="s">
        <v>235</v>
      </c>
    </row>
    <row r="3589" ht="15.95" spans="2:2">
      <c r="B3589" s="122" t="s">
        <v>5150</v>
      </c>
    </row>
    <row r="3590" spans="2:5">
      <c r="B3590" s="15" t="s">
        <v>5151</v>
      </c>
      <c r="C3590" s="15" t="s">
        <v>5152</v>
      </c>
      <c r="D3590" s="15" t="s">
        <v>770</v>
      </c>
      <c r="E3590" s="15" t="s">
        <v>5153</v>
      </c>
    </row>
    <row r="3591" spans="2:5">
      <c r="B3591" s="15" t="s">
        <v>5151</v>
      </c>
      <c r="C3591" s="15" t="s">
        <v>5152</v>
      </c>
      <c r="D3591" s="15" t="s">
        <v>772</v>
      </c>
      <c r="E3591" s="15" t="s">
        <v>5154</v>
      </c>
    </row>
    <row r="3592" spans="2:5">
      <c r="B3592" s="15" t="s">
        <v>5151</v>
      </c>
      <c r="C3592" s="15" t="s">
        <v>5152</v>
      </c>
      <c r="D3592" s="15" t="s">
        <v>774</v>
      </c>
      <c r="E3592" s="15" t="s">
        <v>5155</v>
      </c>
    </row>
    <row r="3593" spans="2:5">
      <c r="B3593" s="15" t="s">
        <v>5151</v>
      </c>
      <c r="C3593" s="15" t="s">
        <v>5152</v>
      </c>
      <c r="D3593" s="15" t="s">
        <v>828</v>
      </c>
      <c r="E3593" s="15" t="s">
        <v>5156</v>
      </c>
    </row>
    <row r="3594" spans="2:5">
      <c r="B3594" s="15" t="s">
        <v>5151</v>
      </c>
      <c r="C3594" s="15" t="s">
        <v>5152</v>
      </c>
      <c r="D3594" s="15" t="s">
        <v>901</v>
      </c>
      <c r="E3594" s="15" t="s">
        <v>5157</v>
      </c>
    </row>
    <row r="3595" spans="2:5">
      <c r="B3595" s="15" t="s">
        <v>5151</v>
      </c>
      <c r="C3595" s="15" t="s">
        <v>5152</v>
      </c>
      <c r="D3595" s="15" t="s">
        <v>776</v>
      </c>
      <c r="E3595" s="15" t="s">
        <v>5158</v>
      </c>
    </row>
    <row r="3596" spans="2:5">
      <c r="B3596" s="15" t="s">
        <v>5151</v>
      </c>
      <c r="C3596" s="15" t="s">
        <v>5152</v>
      </c>
      <c r="D3596" s="15" t="s">
        <v>1290</v>
      </c>
      <c r="E3596" s="15" t="s">
        <v>5159</v>
      </c>
    </row>
    <row r="3597" spans="2:5">
      <c r="B3597" s="15" t="s">
        <v>5151</v>
      </c>
      <c r="C3597" s="15" t="s">
        <v>5152</v>
      </c>
      <c r="D3597" s="15" t="s">
        <v>1409</v>
      </c>
      <c r="E3597" s="15" t="s">
        <v>5160</v>
      </c>
    </row>
    <row r="3598" spans="2:5">
      <c r="B3598" s="15" t="s">
        <v>5151</v>
      </c>
      <c r="C3598" s="15" t="s">
        <v>5152</v>
      </c>
      <c r="D3598" s="15" t="s">
        <v>1411</v>
      </c>
      <c r="E3598" s="15" t="s">
        <v>5161</v>
      </c>
    </row>
    <row r="3599" ht="15.95" spans="2:2">
      <c r="B3599" s="122" t="s">
        <v>5162</v>
      </c>
    </row>
    <row r="3600" spans="2:5">
      <c r="B3600" s="15" t="s">
        <v>5163</v>
      </c>
      <c r="C3600" s="15"/>
      <c r="D3600" s="15" t="s">
        <v>770</v>
      </c>
      <c r="E3600" s="15" t="s">
        <v>5164</v>
      </c>
    </row>
    <row r="3601" spans="2:5">
      <c r="B3601" s="15" t="s">
        <v>5163</v>
      </c>
      <c r="C3601" s="15"/>
      <c r="D3601" s="15" t="s">
        <v>772</v>
      </c>
      <c r="E3601" s="15" t="s">
        <v>5165</v>
      </c>
    </row>
    <row r="3602" spans="2:5">
      <c r="B3602" s="15" t="s">
        <v>5163</v>
      </c>
      <c r="C3602" s="15"/>
      <c r="D3602" s="15" t="s">
        <v>774</v>
      </c>
      <c r="E3602" s="15" t="s">
        <v>5166</v>
      </c>
    </row>
    <row r="3603" spans="2:5">
      <c r="B3603" s="15" t="s">
        <v>5163</v>
      </c>
      <c r="C3603" s="15"/>
      <c r="D3603" s="15" t="s">
        <v>828</v>
      </c>
      <c r="E3603" s="15" t="s">
        <v>5167</v>
      </c>
    </row>
    <row r="3604" spans="2:5">
      <c r="B3604" s="15" t="s">
        <v>5163</v>
      </c>
      <c r="C3604" s="15"/>
      <c r="D3604" s="15" t="s">
        <v>901</v>
      </c>
      <c r="E3604" s="15" t="s">
        <v>5168</v>
      </c>
    </row>
    <row r="3605" spans="2:5">
      <c r="B3605" s="15" t="s">
        <v>5163</v>
      </c>
      <c r="C3605" s="15"/>
      <c r="D3605" s="15" t="s">
        <v>1143</v>
      </c>
      <c r="E3605" s="15" t="s">
        <v>235</v>
      </c>
    </row>
    <row r="3606" ht="15.95" spans="2:2">
      <c r="B3606" s="122" t="s">
        <v>5169</v>
      </c>
    </row>
    <row r="3607" spans="2:5">
      <c r="B3607" s="15" t="s">
        <v>5170</v>
      </c>
      <c r="C3607" s="15" t="s">
        <v>5170</v>
      </c>
      <c r="D3607" s="15" t="s">
        <v>770</v>
      </c>
      <c r="E3607" s="15" t="s">
        <v>4476</v>
      </c>
    </row>
    <row r="3608" spans="2:5">
      <c r="B3608" s="15" t="s">
        <v>5170</v>
      </c>
      <c r="C3608" s="15" t="s">
        <v>5170</v>
      </c>
      <c r="D3608" s="15" t="s">
        <v>772</v>
      </c>
      <c r="E3608" s="15" t="s">
        <v>4477</v>
      </c>
    </row>
    <row r="3609" spans="2:5">
      <c r="B3609" s="15" t="s">
        <v>5170</v>
      </c>
      <c r="C3609" s="15" t="s">
        <v>5170</v>
      </c>
      <c r="D3609" s="15" t="s">
        <v>774</v>
      </c>
      <c r="E3609" s="15" t="s">
        <v>4478</v>
      </c>
    </row>
    <row r="3610" spans="2:5">
      <c r="B3610" s="15" t="s">
        <v>5170</v>
      </c>
      <c r="C3610" s="15" t="s">
        <v>5170</v>
      </c>
      <c r="D3610" s="15" t="s">
        <v>828</v>
      </c>
      <c r="E3610" s="15" t="s">
        <v>4479</v>
      </c>
    </row>
    <row r="3611" spans="2:5">
      <c r="B3611" s="15" t="s">
        <v>5170</v>
      </c>
      <c r="C3611" s="15" t="s">
        <v>5170</v>
      </c>
      <c r="D3611" s="15" t="s">
        <v>901</v>
      </c>
      <c r="E3611" s="15" t="s">
        <v>4480</v>
      </c>
    </row>
    <row r="3612" spans="2:5">
      <c r="B3612" s="15" t="s">
        <v>5170</v>
      </c>
      <c r="C3612" s="15" t="s">
        <v>5170</v>
      </c>
      <c r="D3612" s="15" t="s">
        <v>776</v>
      </c>
      <c r="E3612" s="15" t="s">
        <v>235</v>
      </c>
    </row>
    <row r="3613" ht="15.95" spans="2:2">
      <c r="B3613" s="122" t="s">
        <v>5171</v>
      </c>
    </row>
    <row r="3614" spans="2:5">
      <c r="B3614" s="15" t="s">
        <v>5172</v>
      </c>
      <c r="C3614" s="15" t="s">
        <v>5173</v>
      </c>
      <c r="D3614" s="15" t="s">
        <v>635</v>
      </c>
      <c r="E3614" s="15" t="s">
        <v>5174</v>
      </c>
    </row>
    <row r="3615" spans="2:5">
      <c r="B3615" s="15" t="s">
        <v>5172</v>
      </c>
      <c r="C3615" s="15" t="s">
        <v>5173</v>
      </c>
      <c r="D3615" s="15" t="s">
        <v>659</v>
      </c>
      <c r="E3615" s="15" t="s">
        <v>5175</v>
      </c>
    </row>
    <row r="3616" spans="2:5">
      <c r="B3616" s="15" t="s">
        <v>5172</v>
      </c>
      <c r="C3616" s="15" t="s">
        <v>5173</v>
      </c>
      <c r="D3616" s="15" t="s">
        <v>679</v>
      </c>
      <c r="E3616" s="15" t="s">
        <v>5176</v>
      </c>
    </row>
    <row r="3617" spans="2:5">
      <c r="B3617" s="15" t="s">
        <v>5172</v>
      </c>
      <c r="C3617" s="15" t="s">
        <v>5173</v>
      </c>
      <c r="D3617" s="15" t="s">
        <v>705</v>
      </c>
      <c r="E3617" s="15" t="s">
        <v>5177</v>
      </c>
    </row>
    <row r="3618" spans="2:5">
      <c r="B3618" s="15" t="s">
        <v>5172</v>
      </c>
      <c r="C3618" s="15" t="s">
        <v>5173</v>
      </c>
      <c r="D3618" s="15" t="s">
        <v>709</v>
      </c>
      <c r="E3618" s="15" t="s">
        <v>5178</v>
      </c>
    </row>
    <row r="3619" spans="2:5">
      <c r="B3619" s="15" t="s">
        <v>5172</v>
      </c>
      <c r="C3619" s="15" t="s">
        <v>5173</v>
      </c>
      <c r="D3619" s="15" t="s">
        <v>838</v>
      </c>
      <c r="E3619" s="15" t="s">
        <v>5179</v>
      </c>
    </row>
    <row r="3620" ht="15.95" spans="2:2">
      <c r="B3620" s="122" t="s">
        <v>5180</v>
      </c>
    </row>
    <row r="3621" spans="2:5">
      <c r="B3621" s="15" t="s">
        <v>5181</v>
      </c>
      <c r="C3621" s="15" t="s">
        <v>5182</v>
      </c>
      <c r="D3621" s="15" t="s">
        <v>770</v>
      </c>
      <c r="E3621" s="15" t="s">
        <v>5183</v>
      </c>
    </row>
    <row r="3622" spans="2:5">
      <c r="B3622" s="15" t="s">
        <v>5181</v>
      </c>
      <c r="C3622" s="15" t="s">
        <v>5182</v>
      </c>
      <c r="D3622" s="15" t="s">
        <v>772</v>
      </c>
      <c r="E3622" s="15" t="s">
        <v>1274</v>
      </c>
    </row>
    <row r="3623" spans="2:5">
      <c r="B3623" s="15" t="s">
        <v>5181</v>
      </c>
      <c r="C3623" s="15" t="s">
        <v>5182</v>
      </c>
      <c r="D3623" s="15" t="s">
        <v>774</v>
      </c>
      <c r="E3623" s="15" t="s">
        <v>2448</v>
      </c>
    </row>
    <row r="3624" spans="2:5">
      <c r="B3624" s="15" t="s">
        <v>5181</v>
      </c>
      <c r="C3624" s="15" t="s">
        <v>5182</v>
      </c>
      <c r="D3624" s="15" t="s">
        <v>828</v>
      </c>
      <c r="E3624" s="15" t="s">
        <v>5184</v>
      </c>
    </row>
    <row r="3625" ht="15.95" spans="2:2">
      <c r="B3625" s="122" t="s">
        <v>5185</v>
      </c>
    </row>
    <row r="3626" spans="2:5">
      <c r="B3626" s="15" t="s">
        <v>5186</v>
      </c>
      <c r="C3626" s="15" t="s">
        <v>5187</v>
      </c>
      <c r="D3626" s="15" t="s">
        <v>933</v>
      </c>
      <c r="E3626" s="15" t="s">
        <v>5188</v>
      </c>
    </row>
    <row r="3627" spans="2:5">
      <c r="B3627" s="15" t="s">
        <v>5186</v>
      </c>
      <c r="C3627" s="15" t="s">
        <v>5187</v>
      </c>
      <c r="D3627" s="15" t="s">
        <v>5189</v>
      </c>
      <c r="E3627" s="15" t="s">
        <v>5190</v>
      </c>
    </row>
    <row r="3628" spans="2:5">
      <c r="B3628" s="15" t="s">
        <v>5186</v>
      </c>
      <c r="C3628" s="15" t="s">
        <v>5187</v>
      </c>
      <c r="D3628" s="15" t="s">
        <v>5191</v>
      </c>
      <c r="E3628" s="15" t="s">
        <v>5192</v>
      </c>
    </row>
    <row r="3629" spans="2:5">
      <c r="B3629" s="15" t="s">
        <v>5186</v>
      </c>
      <c r="C3629" s="15" t="s">
        <v>5187</v>
      </c>
      <c r="D3629" s="15" t="s">
        <v>937</v>
      </c>
      <c r="E3629" s="15" t="s">
        <v>5193</v>
      </c>
    </row>
    <row r="3630" spans="2:5">
      <c r="B3630" s="15" t="s">
        <v>5186</v>
      </c>
      <c r="C3630" s="15" t="s">
        <v>5187</v>
      </c>
      <c r="D3630" s="15" t="s">
        <v>5194</v>
      </c>
      <c r="E3630" s="15" t="s">
        <v>5195</v>
      </c>
    </row>
    <row r="3631" spans="2:5">
      <c r="B3631" s="15" t="s">
        <v>5186</v>
      </c>
      <c r="C3631" s="15" t="s">
        <v>5187</v>
      </c>
      <c r="D3631" s="15" t="s">
        <v>5196</v>
      </c>
      <c r="E3631" s="15" t="s">
        <v>5197</v>
      </c>
    </row>
    <row r="3632" spans="2:5">
      <c r="B3632" s="15" t="s">
        <v>5186</v>
      </c>
      <c r="C3632" s="15" t="s">
        <v>5187</v>
      </c>
      <c r="D3632" s="15" t="s">
        <v>5198</v>
      </c>
      <c r="E3632" s="15" t="s">
        <v>5199</v>
      </c>
    </row>
    <row r="3633" spans="2:5">
      <c r="B3633" s="15" t="s">
        <v>5186</v>
      </c>
      <c r="C3633" s="15" t="s">
        <v>5187</v>
      </c>
      <c r="D3633" s="15" t="s">
        <v>5200</v>
      </c>
      <c r="E3633" s="15" t="s">
        <v>5201</v>
      </c>
    </row>
    <row r="3634" spans="2:5">
      <c r="B3634" s="15" t="s">
        <v>5186</v>
      </c>
      <c r="C3634" s="15" t="s">
        <v>5187</v>
      </c>
      <c r="D3634" s="15" t="s">
        <v>939</v>
      </c>
      <c r="E3634" s="15" t="s">
        <v>5202</v>
      </c>
    </row>
    <row r="3635" spans="2:5">
      <c r="B3635" s="15" t="s">
        <v>5186</v>
      </c>
      <c r="C3635" s="15" t="s">
        <v>5187</v>
      </c>
      <c r="D3635" s="15" t="s">
        <v>5203</v>
      </c>
      <c r="E3635" s="15" t="s">
        <v>5204</v>
      </c>
    </row>
    <row r="3636" spans="2:5">
      <c r="B3636" s="15" t="s">
        <v>5186</v>
      </c>
      <c r="C3636" s="15" t="s">
        <v>5187</v>
      </c>
      <c r="D3636" s="15" t="s">
        <v>5205</v>
      </c>
      <c r="E3636" s="15" t="s">
        <v>5206</v>
      </c>
    </row>
    <row r="3637" spans="2:5">
      <c r="B3637" s="15" t="s">
        <v>5186</v>
      </c>
      <c r="C3637" s="15" t="s">
        <v>5187</v>
      </c>
      <c r="D3637" s="15" t="s">
        <v>5207</v>
      </c>
      <c r="E3637" s="15" t="s">
        <v>5208</v>
      </c>
    </row>
    <row r="3638" spans="2:5">
      <c r="B3638" s="15" t="s">
        <v>5186</v>
      </c>
      <c r="C3638" s="15" t="s">
        <v>5187</v>
      </c>
      <c r="D3638" s="15" t="s">
        <v>941</v>
      </c>
      <c r="E3638" s="15" t="s">
        <v>5209</v>
      </c>
    </row>
    <row r="3639" spans="2:5">
      <c r="B3639" s="15" t="s">
        <v>5186</v>
      </c>
      <c r="C3639" s="15" t="s">
        <v>5187</v>
      </c>
      <c r="D3639" s="15" t="s">
        <v>5210</v>
      </c>
      <c r="E3639" s="15" t="s">
        <v>2116</v>
      </c>
    </row>
    <row r="3640" spans="2:5">
      <c r="B3640" s="15" t="s">
        <v>5186</v>
      </c>
      <c r="C3640" s="15" t="s">
        <v>5187</v>
      </c>
      <c r="D3640" s="15" t="s">
        <v>1007</v>
      </c>
      <c r="E3640" s="15" t="s">
        <v>5211</v>
      </c>
    </row>
    <row r="3641" spans="2:5">
      <c r="B3641" s="15" t="s">
        <v>5186</v>
      </c>
      <c r="C3641" s="15" t="s">
        <v>5187</v>
      </c>
      <c r="D3641" s="15" t="s">
        <v>1013</v>
      </c>
      <c r="E3641" s="15" t="s">
        <v>2118</v>
      </c>
    </row>
    <row r="3642" spans="2:5">
      <c r="B3642" s="15" t="s">
        <v>5186</v>
      </c>
      <c r="C3642" s="15" t="s">
        <v>5187</v>
      </c>
      <c r="D3642" s="15" t="s">
        <v>5212</v>
      </c>
      <c r="E3642" s="15" t="s">
        <v>2120</v>
      </c>
    </row>
    <row r="3643" spans="2:5">
      <c r="B3643" s="15" t="s">
        <v>5186</v>
      </c>
      <c r="C3643" s="15" t="s">
        <v>5187</v>
      </c>
      <c r="D3643" s="15" t="s">
        <v>5213</v>
      </c>
      <c r="E3643" s="15" t="s">
        <v>2122</v>
      </c>
    </row>
    <row r="3644" spans="2:5">
      <c r="B3644" s="15" t="s">
        <v>5186</v>
      </c>
      <c r="C3644" s="15" t="s">
        <v>5187</v>
      </c>
      <c r="D3644" s="15" t="s">
        <v>5214</v>
      </c>
      <c r="E3644" s="15" t="s">
        <v>2124</v>
      </c>
    </row>
    <row r="3645" ht="15.95" spans="2:2">
      <c r="B3645" s="122" t="s">
        <v>5215</v>
      </c>
    </row>
    <row r="3646" spans="2:5">
      <c r="B3646" s="15" t="s">
        <v>5216</v>
      </c>
      <c r="C3646" s="15" t="s">
        <v>896</v>
      </c>
      <c r="D3646" s="15" t="s">
        <v>770</v>
      </c>
      <c r="E3646" s="15" t="s">
        <v>5217</v>
      </c>
    </row>
    <row r="3647" spans="2:5">
      <c r="B3647" s="15" t="s">
        <v>5216</v>
      </c>
      <c r="C3647" s="15" t="s">
        <v>896</v>
      </c>
      <c r="D3647" s="15" t="s">
        <v>772</v>
      </c>
      <c r="E3647" s="15" t="s">
        <v>5218</v>
      </c>
    </row>
    <row r="3648" spans="2:5">
      <c r="B3648" s="15" t="s">
        <v>5216</v>
      </c>
      <c r="C3648" s="15" t="s">
        <v>896</v>
      </c>
      <c r="D3648" s="15" t="s">
        <v>774</v>
      </c>
      <c r="E3648" s="15" t="s">
        <v>5219</v>
      </c>
    </row>
    <row r="3649" spans="2:5">
      <c r="B3649" s="15" t="s">
        <v>5216</v>
      </c>
      <c r="C3649" s="15" t="s">
        <v>896</v>
      </c>
      <c r="D3649" s="15" t="s">
        <v>828</v>
      </c>
      <c r="E3649" s="15" t="s">
        <v>5220</v>
      </c>
    </row>
    <row r="3650" spans="2:5">
      <c r="B3650" s="15" t="s">
        <v>5216</v>
      </c>
      <c r="C3650" s="15" t="s">
        <v>896</v>
      </c>
      <c r="D3650" s="15" t="s">
        <v>901</v>
      </c>
      <c r="E3650" s="15" t="s">
        <v>235</v>
      </c>
    </row>
    <row r="3651" ht="15.95" spans="2:2">
      <c r="B3651" s="122" t="s">
        <v>5221</v>
      </c>
    </row>
    <row r="3652" spans="2:5">
      <c r="B3652" s="15" t="s">
        <v>5222</v>
      </c>
      <c r="C3652" s="15" t="s">
        <v>5223</v>
      </c>
      <c r="D3652" s="15" t="s">
        <v>770</v>
      </c>
      <c r="E3652" s="15" t="s">
        <v>5224</v>
      </c>
    </row>
    <row r="3653" spans="2:5">
      <c r="B3653" s="15" t="s">
        <v>5222</v>
      </c>
      <c r="C3653" s="15" t="s">
        <v>5223</v>
      </c>
      <c r="D3653" s="15" t="s">
        <v>772</v>
      </c>
      <c r="E3653" s="15" t="s">
        <v>2476</v>
      </c>
    </row>
    <row r="3654" spans="2:5">
      <c r="B3654" s="15" t="s">
        <v>5222</v>
      </c>
      <c r="C3654" s="15" t="s">
        <v>5223</v>
      </c>
      <c r="D3654" s="15" t="s">
        <v>774</v>
      </c>
      <c r="E3654" s="15" t="s">
        <v>5225</v>
      </c>
    </row>
    <row r="3655" spans="2:5">
      <c r="B3655" s="15" t="s">
        <v>5222</v>
      </c>
      <c r="C3655" s="15" t="s">
        <v>5223</v>
      </c>
      <c r="D3655" s="15" t="s">
        <v>828</v>
      </c>
      <c r="E3655" s="15" t="s">
        <v>5226</v>
      </c>
    </row>
    <row r="3656" spans="2:5">
      <c r="B3656" s="15" t="s">
        <v>5222</v>
      </c>
      <c r="C3656" s="15" t="s">
        <v>5223</v>
      </c>
      <c r="D3656" s="15" t="s">
        <v>901</v>
      </c>
      <c r="E3656" s="15" t="s">
        <v>5227</v>
      </c>
    </row>
    <row r="3657" spans="2:5">
      <c r="B3657" s="15" t="s">
        <v>5222</v>
      </c>
      <c r="C3657" s="15" t="s">
        <v>5223</v>
      </c>
      <c r="D3657" s="15" t="s">
        <v>776</v>
      </c>
      <c r="E3657" s="15" t="s">
        <v>5228</v>
      </c>
    </row>
    <row r="3658" spans="2:5">
      <c r="B3658" s="15" t="s">
        <v>5222</v>
      </c>
      <c r="C3658" s="15" t="s">
        <v>5223</v>
      </c>
      <c r="D3658" s="15" t="s">
        <v>1290</v>
      </c>
      <c r="E3658" s="15" t="s">
        <v>235</v>
      </c>
    </row>
    <row r="3659" ht="15.95" spans="2:2">
      <c r="B3659" s="122" t="s">
        <v>5229</v>
      </c>
    </row>
    <row r="3660" spans="2:5">
      <c r="B3660" s="15" t="s">
        <v>5230</v>
      </c>
      <c r="C3660" s="15" t="s">
        <v>5231</v>
      </c>
      <c r="D3660" s="15" t="s">
        <v>917</v>
      </c>
      <c r="E3660" s="15" t="s">
        <v>1930</v>
      </c>
    </row>
    <row r="3661" spans="2:5">
      <c r="B3661" s="15" t="s">
        <v>5230</v>
      </c>
      <c r="C3661" s="15" t="s">
        <v>5231</v>
      </c>
      <c r="D3661" s="15" t="s">
        <v>919</v>
      </c>
      <c r="E3661" s="15" t="s">
        <v>954</v>
      </c>
    </row>
    <row r="3662" spans="2:5">
      <c r="B3662" s="15" t="s">
        <v>5230</v>
      </c>
      <c r="C3662" s="15" t="s">
        <v>5231</v>
      </c>
      <c r="D3662" s="15" t="s">
        <v>921</v>
      </c>
      <c r="E3662" s="15" t="s">
        <v>5232</v>
      </c>
    </row>
    <row r="3663" spans="2:5">
      <c r="B3663" s="15" t="s">
        <v>5230</v>
      </c>
      <c r="C3663" s="15" t="s">
        <v>5231</v>
      </c>
      <c r="D3663" s="15" t="s">
        <v>923</v>
      </c>
      <c r="E3663" s="15" t="s">
        <v>1932</v>
      </c>
    </row>
    <row r="3664" ht="15.95" spans="2:2">
      <c r="B3664" s="122" t="s">
        <v>5233</v>
      </c>
    </row>
    <row r="3665" spans="2:5">
      <c r="B3665" s="15" t="s">
        <v>5234</v>
      </c>
      <c r="C3665" s="15" t="s">
        <v>5234</v>
      </c>
      <c r="D3665" s="15" t="s">
        <v>770</v>
      </c>
      <c r="E3665" s="15" t="s">
        <v>3778</v>
      </c>
    </row>
    <row r="3666" spans="2:5">
      <c r="B3666" s="15" t="s">
        <v>5234</v>
      </c>
      <c r="C3666" s="15" t="s">
        <v>5234</v>
      </c>
      <c r="D3666" s="15" t="s">
        <v>772</v>
      </c>
      <c r="E3666" s="15" t="s">
        <v>3779</v>
      </c>
    </row>
    <row r="3667" spans="2:5">
      <c r="B3667" s="15" t="s">
        <v>5234</v>
      </c>
      <c r="C3667" s="15" t="s">
        <v>5234</v>
      </c>
      <c r="D3667" s="15" t="s">
        <v>774</v>
      </c>
      <c r="E3667" s="15" t="s">
        <v>3780</v>
      </c>
    </row>
    <row r="3668" ht="15.95" spans="2:2">
      <c r="B3668" s="122" t="s">
        <v>5235</v>
      </c>
    </row>
    <row r="3669" spans="2:5">
      <c r="B3669" s="15" t="s">
        <v>5236</v>
      </c>
      <c r="C3669" s="15" t="s">
        <v>5236</v>
      </c>
      <c r="D3669" s="15" t="s">
        <v>770</v>
      </c>
      <c r="E3669" s="15" t="s">
        <v>1525</v>
      </c>
    </row>
    <row r="3670" spans="2:5">
      <c r="B3670" s="15" t="s">
        <v>5236</v>
      </c>
      <c r="C3670" s="15" t="s">
        <v>5236</v>
      </c>
      <c r="D3670" s="15" t="s">
        <v>772</v>
      </c>
      <c r="E3670" s="15" t="s">
        <v>1526</v>
      </c>
    </row>
    <row r="3671" spans="2:5">
      <c r="B3671" s="15" t="s">
        <v>5236</v>
      </c>
      <c r="C3671" s="15" t="s">
        <v>5236</v>
      </c>
      <c r="D3671" s="15" t="s">
        <v>774</v>
      </c>
      <c r="E3671" s="15" t="s">
        <v>1527</v>
      </c>
    </row>
    <row r="3672" spans="2:5">
      <c r="B3672" s="15" t="s">
        <v>5236</v>
      </c>
      <c r="C3672" s="15" t="s">
        <v>5236</v>
      </c>
      <c r="D3672" s="15" t="s">
        <v>828</v>
      </c>
      <c r="E3672" s="15" t="s">
        <v>1102</v>
      </c>
    </row>
    <row r="3673" spans="2:5">
      <c r="B3673" s="15" t="s">
        <v>5236</v>
      </c>
      <c r="C3673" s="15" t="s">
        <v>5236</v>
      </c>
      <c r="D3673" s="15" t="s">
        <v>901</v>
      </c>
      <c r="E3673" s="15" t="s">
        <v>4448</v>
      </c>
    </row>
    <row r="3674" ht="15.95" spans="2:2">
      <c r="B3674" s="122" t="s">
        <v>5237</v>
      </c>
    </row>
    <row r="3675" spans="2:5">
      <c r="B3675" s="15" t="s">
        <v>5238</v>
      </c>
      <c r="C3675" s="15" t="s">
        <v>4544</v>
      </c>
      <c r="D3675" s="15" t="s">
        <v>725</v>
      </c>
      <c r="E3675" s="15" t="s">
        <v>4545</v>
      </c>
    </row>
    <row r="3676" spans="2:5">
      <c r="B3676" s="15" t="s">
        <v>5238</v>
      </c>
      <c r="C3676" s="15" t="s">
        <v>4544</v>
      </c>
      <c r="D3676" s="15" t="s">
        <v>727</v>
      </c>
      <c r="E3676" s="15" t="s">
        <v>4546</v>
      </c>
    </row>
    <row r="3677" spans="2:5">
      <c r="B3677" s="15" t="s">
        <v>5238</v>
      </c>
      <c r="C3677" s="15" t="s">
        <v>4544</v>
      </c>
      <c r="D3677" s="15" t="s">
        <v>729</v>
      </c>
      <c r="E3677" s="15" t="s">
        <v>4548</v>
      </c>
    </row>
    <row r="3678" spans="2:5">
      <c r="B3678" s="15" t="s">
        <v>5238</v>
      </c>
      <c r="C3678" s="15" t="s">
        <v>4544</v>
      </c>
      <c r="D3678" s="15" t="s">
        <v>760</v>
      </c>
      <c r="E3678" s="15" t="s">
        <v>4550</v>
      </c>
    </row>
    <row r="3679" spans="2:5">
      <c r="B3679" s="15" t="s">
        <v>5238</v>
      </c>
      <c r="C3679" s="15" t="s">
        <v>4544</v>
      </c>
      <c r="D3679" s="15" t="s">
        <v>765</v>
      </c>
      <c r="E3679" s="15" t="s">
        <v>235</v>
      </c>
    </row>
    <row r="3680" ht="15.95" spans="2:2">
      <c r="B3680" s="122" t="s">
        <v>5239</v>
      </c>
    </row>
    <row r="3681" spans="2:5">
      <c r="B3681" s="15" t="s">
        <v>5240</v>
      </c>
      <c r="C3681" s="15" t="s">
        <v>5241</v>
      </c>
      <c r="D3681" s="15" t="s">
        <v>5242</v>
      </c>
      <c r="E3681" s="15" t="s">
        <v>5242</v>
      </c>
    </row>
    <row r="3682" spans="2:5">
      <c r="B3682" s="15" t="s">
        <v>5240</v>
      </c>
      <c r="C3682" s="15" t="s">
        <v>5241</v>
      </c>
      <c r="D3682" s="15" t="s">
        <v>942</v>
      </c>
      <c r="E3682" s="15" t="s">
        <v>942</v>
      </c>
    </row>
    <row r="3683" ht="15.95" spans="2:2">
      <c r="B3683" s="122" t="s">
        <v>5243</v>
      </c>
    </row>
    <row r="3684" spans="2:5">
      <c r="B3684" s="15" t="s">
        <v>5244</v>
      </c>
      <c r="C3684" s="15" t="s">
        <v>5245</v>
      </c>
      <c r="D3684" s="15" t="s">
        <v>785</v>
      </c>
      <c r="E3684" s="15" t="s">
        <v>1814</v>
      </c>
    </row>
    <row r="3685" spans="2:5">
      <c r="B3685" s="15" t="s">
        <v>5244</v>
      </c>
      <c r="C3685" s="15" t="s">
        <v>5245</v>
      </c>
      <c r="D3685" s="15" t="s">
        <v>787</v>
      </c>
      <c r="E3685" s="15" t="s">
        <v>1815</v>
      </c>
    </row>
    <row r="3686" spans="2:5">
      <c r="B3686" s="15" t="s">
        <v>5244</v>
      </c>
      <c r="C3686" s="15" t="s">
        <v>5245</v>
      </c>
      <c r="D3686" s="15" t="s">
        <v>789</v>
      </c>
      <c r="E3686" s="15" t="s">
        <v>1816</v>
      </c>
    </row>
    <row r="3687" spans="2:5">
      <c r="B3687" s="15" t="s">
        <v>5244</v>
      </c>
      <c r="C3687" s="15" t="s">
        <v>5245</v>
      </c>
      <c r="D3687" s="15" t="s">
        <v>5246</v>
      </c>
      <c r="E3687" s="15" t="s">
        <v>1817</v>
      </c>
    </row>
    <row r="3688" spans="2:5">
      <c r="B3688" s="15" t="s">
        <v>5244</v>
      </c>
      <c r="C3688" s="15" t="s">
        <v>5245</v>
      </c>
      <c r="D3688" s="15" t="s">
        <v>5247</v>
      </c>
      <c r="E3688" s="15" t="s">
        <v>1821</v>
      </c>
    </row>
    <row r="3689" spans="2:5">
      <c r="B3689" s="15" t="s">
        <v>5244</v>
      </c>
      <c r="C3689" s="15" t="s">
        <v>5245</v>
      </c>
      <c r="D3689" s="15" t="s">
        <v>5248</v>
      </c>
      <c r="E3689" s="15" t="s">
        <v>1818</v>
      </c>
    </row>
    <row r="3690" spans="2:5">
      <c r="B3690" s="15" t="s">
        <v>5244</v>
      </c>
      <c r="C3690" s="15" t="s">
        <v>5245</v>
      </c>
      <c r="D3690" s="15" t="s">
        <v>5249</v>
      </c>
      <c r="E3690" s="15" t="s">
        <v>1819</v>
      </c>
    </row>
    <row r="3691" spans="2:5">
      <c r="B3691" s="15" t="s">
        <v>5244</v>
      </c>
      <c r="C3691" s="15" t="s">
        <v>5245</v>
      </c>
      <c r="D3691" s="15" t="s">
        <v>791</v>
      </c>
      <c r="E3691" s="15" t="s">
        <v>1822</v>
      </c>
    </row>
    <row r="3692" ht="15.95" spans="2:2">
      <c r="B3692" s="122" t="s">
        <v>5250</v>
      </c>
    </row>
    <row r="3693" spans="2:5">
      <c r="B3693" s="15" t="s">
        <v>5251</v>
      </c>
      <c r="C3693" s="15" t="s">
        <v>896</v>
      </c>
      <c r="D3693" s="15" t="s">
        <v>770</v>
      </c>
      <c r="E3693" s="15" t="s">
        <v>5252</v>
      </c>
    </row>
    <row r="3694" spans="2:5">
      <c r="B3694" s="15" t="s">
        <v>5251</v>
      </c>
      <c r="C3694" s="15" t="s">
        <v>896</v>
      </c>
      <c r="D3694" s="15" t="s">
        <v>772</v>
      </c>
      <c r="E3694" s="15" t="s">
        <v>5253</v>
      </c>
    </row>
    <row r="3695" spans="2:5">
      <c r="B3695" s="15" t="s">
        <v>5251</v>
      </c>
      <c r="C3695" s="15" t="s">
        <v>896</v>
      </c>
      <c r="D3695" s="15" t="s">
        <v>774</v>
      </c>
      <c r="E3695" s="15" t="s">
        <v>5254</v>
      </c>
    </row>
    <row r="3696" spans="2:5">
      <c r="B3696" s="15" t="s">
        <v>5251</v>
      </c>
      <c r="C3696" s="15" t="s">
        <v>896</v>
      </c>
      <c r="D3696" s="15" t="s">
        <v>828</v>
      </c>
      <c r="E3696" s="15" t="s">
        <v>5255</v>
      </c>
    </row>
    <row r="3697" spans="2:5">
      <c r="B3697" s="15" t="s">
        <v>5251</v>
      </c>
      <c r="C3697" s="15" t="s">
        <v>896</v>
      </c>
      <c r="D3697" s="15" t="s">
        <v>901</v>
      </c>
      <c r="E3697" s="15" t="s">
        <v>5256</v>
      </c>
    </row>
    <row r="3698" ht="15.95" spans="2:2">
      <c r="B3698" s="122" t="s">
        <v>5257</v>
      </c>
    </row>
    <row r="3699" spans="2:5">
      <c r="B3699" s="15" t="s">
        <v>5258</v>
      </c>
      <c r="C3699" s="15" t="s">
        <v>3726</v>
      </c>
      <c r="D3699" s="15" t="s">
        <v>770</v>
      </c>
      <c r="E3699" s="15" t="s">
        <v>1600</v>
      </c>
    </row>
    <row r="3700" spans="2:5">
      <c r="B3700" s="15" t="s">
        <v>5258</v>
      </c>
      <c r="C3700" s="15" t="s">
        <v>3726</v>
      </c>
      <c r="D3700" s="15" t="s">
        <v>772</v>
      </c>
      <c r="E3700" s="15" t="s">
        <v>1599</v>
      </c>
    </row>
    <row r="3701" ht="15.95" spans="2:2">
      <c r="B3701" s="122" t="s">
        <v>5259</v>
      </c>
    </row>
    <row r="3702" spans="2:5">
      <c r="B3702" s="15" t="s">
        <v>5260</v>
      </c>
      <c r="C3702" s="15" t="s">
        <v>1923</v>
      </c>
      <c r="D3702" s="15" t="s">
        <v>770</v>
      </c>
      <c r="E3702" s="15" t="s">
        <v>1924</v>
      </c>
    </row>
    <row r="3703" spans="2:5">
      <c r="B3703" s="15" t="s">
        <v>5260</v>
      </c>
      <c r="C3703" s="15" t="s">
        <v>1923</v>
      </c>
      <c r="D3703" s="15" t="s">
        <v>772</v>
      </c>
      <c r="E3703" s="15" t="s">
        <v>1925</v>
      </c>
    </row>
    <row r="3704" spans="2:5">
      <c r="B3704" s="15" t="s">
        <v>5260</v>
      </c>
      <c r="C3704" s="15" t="s">
        <v>1923</v>
      </c>
      <c r="D3704" s="15" t="s">
        <v>774</v>
      </c>
      <c r="E3704" s="15" t="s">
        <v>1926</v>
      </c>
    </row>
    <row r="3705" ht="15.95" spans="2:2">
      <c r="B3705" s="122" t="s">
        <v>5261</v>
      </c>
    </row>
    <row r="3706" spans="2:5">
      <c r="B3706" s="15" t="s">
        <v>5262</v>
      </c>
      <c r="C3706" s="15" t="s">
        <v>5263</v>
      </c>
      <c r="D3706" s="15" t="s">
        <v>770</v>
      </c>
      <c r="E3706" s="15" t="s">
        <v>5264</v>
      </c>
    </row>
    <row r="3707" spans="2:5">
      <c r="B3707" s="15" t="s">
        <v>5262</v>
      </c>
      <c r="C3707" s="15" t="s">
        <v>5263</v>
      </c>
      <c r="D3707" s="15" t="s">
        <v>772</v>
      </c>
      <c r="E3707" s="15" t="s">
        <v>5265</v>
      </c>
    </row>
    <row r="3708" spans="2:5">
      <c r="B3708" s="15" t="s">
        <v>5262</v>
      </c>
      <c r="C3708" s="15" t="s">
        <v>5263</v>
      </c>
      <c r="D3708" s="15" t="s">
        <v>774</v>
      </c>
      <c r="E3708" s="15" t="s">
        <v>5266</v>
      </c>
    </row>
    <row r="3709" spans="2:5">
      <c r="B3709" s="15" t="s">
        <v>5262</v>
      </c>
      <c r="C3709" s="15" t="s">
        <v>5263</v>
      </c>
      <c r="D3709" s="15" t="s">
        <v>828</v>
      </c>
      <c r="E3709" s="15" t="s">
        <v>5267</v>
      </c>
    </row>
    <row r="3710" ht="15.95" spans="2:2">
      <c r="B3710" s="122" t="s">
        <v>5268</v>
      </c>
    </row>
    <row r="3711" spans="2:5">
      <c r="B3711" s="15" t="s">
        <v>5269</v>
      </c>
      <c r="C3711" s="15" t="s">
        <v>896</v>
      </c>
      <c r="D3711" s="15" t="s">
        <v>770</v>
      </c>
      <c r="E3711" s="15" t="s">
        <v>5270</v>
      </c>
    </row>
    <row r="3712" spans="2:5">
      <c r="B3712" s="15" t="s">
        <v>5269</v>
      </c>
      <c r="C3712" s="15" t="s">
        <v>896</v>
      </c>
      <c r="D3712" s="15" t="s">
        <v>772</v>
      </c>
      <c r="E3712" s="15" t="s">
        <v>5271</v>
      </c>
    </row>
    <row r="3713" spans="2:5">
      <c r="B3713" s="15" t="s">
        <v>5269</v>
      </c>
      <c r="C3713" s="15" t="s">
        <v>896</v>
      </c>
      <c r="D3713" s="15" t="s">
        <v>774</v>
      </c>
      <c r="E3713" s="15" t="s">
        <v>5272</v>
      </c>
    </row>
    <row r="3714" spans="2:5">
      <c r="B3714" s="15" t="s">
        <v>5269</v>
      </c>
      <c r="C3714" s="15" t="s">
        <v>896</v>
      </c>
      <c r="D3714" s="15" t="s">
        <v>828</v>
      </c>
      <c r="E3714" s="15" t="s">
        <v>5273</v>
      </c>
    </row>
    <row r="3715" ht="15.95" spans="2:2">
      <c r="B3715" s="122" t="s">
        <v>5274</v>
      </c>
    </row>
    <row r="3716" spans="2:5">
      <c r="B3716" s="15" t="s">
        <v>5275</v>
      </c>
      <c r="C3716" s="15" t="s">
        <v>5276</v>
      </c>
      <c r="D3716" s="15" t="s">
        <v>635</v>
      </c>
      <c r="E3716" s="15" t="s">
        <v>5277</v>
      </c>
    </row>
    <row r="3717" spans="2:5">
      <c r="B3717" s="15" t="s">
        <v>5275</v>
      </c>
      <c r="C3717" s="15" t="s">
        <v>5276</v>
      </c>
      <c r="D3717" s="15" t="s">
        <v>659</v>
      </c>
      <c r="E3717" s="15" t="s">
        <v>5278</v>
      </c>
    </row>
    <row r="3718" ht="15.95" spans="2:2">
      <c r="B3718" s="122" t="s">
        <v>5279</v>
      </c>
    </row>
    <row r="3719" spans="2:5">
      <c r="B3719" s="15" t="s">
        <v>5280</v>
      </c>
      <c r="C3719" s="15"/>
      <c r="D3719" s="15" t="s">
        <v>770</v>
      </c>
      <c r="E3719" s="15" t="s">
        <v>5281</v>
      </c>
    </row>
    <row r="3720" spans="2:5">
      <c r="B3720" s="15" t="s">
        <v>5280</v>
      </c>
      <c r="C3720" s="15"/>
      <c r="D3720" s="15" t="s">
        <v>772</v>
      </c>
      <c r="E3720" s="15" t="s">
        <v>5282</v>
      </c>
    </row>
    <row r="3721" spans="2:5">
      <c r="B3721" s="15" t="s">
        <v>5280</v>
      </c>
      <c r="C3721" s="15"/>
      <c r="D3721" s="15" t="s">
        <v>774</v>
      </c>
      <c r="E3721" s="15" t="s">
        <v>5283</v>
      </c>
    </row>
    <row r="3722" spans="2:5">
      <c r="B3722" s="15" t="s">
        <v>5280</v>
      </c>
      <c r="C3722" s="15"/>
      <c r="D3722" s="15" t="s">
        <v>1143</v>
      </c>
      <c r="E3722" s="15" t="s">
        <v>235</v>
      </c>
    </row>
    <row r="3723" ht="15.95" spans="2:2">
      <c r="B3723" s="122" t="s">
        <v>5284</v>
      </c>
    </row>
    <row r="3724" spans="2:5">
      <c r="B3724" s="15" t="s">
        <v>5285</v>
      </c>
      <c r="C3724" s="15" t="s">
        <v>5286</v>
      </c>
      <c r="D3724" s="15" t="s">
        <v>5287</v>
      </c>
      <c r="E3724" s="15" t="s">
        <v>5288</v>
      </c>
    </row>
    <row r="3725" spans="2:5">
      <c r="B3725" s="15" t="s">
        <v>5285</v>
      </c>
      <c r="C3725" s="15" t="s">
        <v>5286</v>
      </c>
      <c r="D3725" s="15" t="s">
        <v>5289</v>
      </c>
      <c r="E3725" s="15" t="s">
        <v>5290</v>
      </c>
    </row>
    <row r="3726" spans="2:5">
      <c r="B3726" s="15" t="s">
        <v>5285</v>
      </c>
      <c r="C3726" s="15" t="s">
        <v>5286</v>
      </c>
      <c r="D3726" s="15" t="s">
        <v>1592</v>
      </c>
      <c r="E3726" s="15" t="s">
        <v>5291</v>
      </c>
    </row>
    <row r="3727" ht="15.95" spans="2:2">
      <c r="B3727" s="122" t="s">
        <v>5292</v>
      </c>
    </row>
    <row r="3728" spans="2:5">
      <c r="B3728" s="15" t="s">
        <v>5293</v>
      </c>
      <c r="C3728" s="15" t="s">
        <v>5294</v>
      </c>
      <c r="D3728" s="15" t="s">
        <v>917</v>
      </c>
      <c r="E3728" s="15" t="s">
        <v>953</v>
      </c>
    </row>
    <row r="3729" spans="2:5">
      <c r="B3729" s="15" t="s">
        <v>5293</v>
      </c>
      <c r="C3729" s="15" t="s">
        <v>5294</v>
      </c>
      <c r="D3729" s="15" t="s">
        <v>919</v>
      </c>
      <c r="E3729" s="15" t="s">
        <v>954</v>
      </c>
    </row>
    <row r="3730" spans="2:5">
      <c r="B3730" s="15" t="s">
        <v>5293</v>
      </c>
      <c r="C3730" s="15" t="s">
        <v>5294</v>
      </c>
      <c r="D3730" s="15" t="s">
        <v>955</v>
      </c>
      <c r="E3730" s="15" t="s">
        <v>956</v>
      </c>
    </row>
    <row r="3731" ht="15.95" spans="2:2">
      <c r="B3731" s="122" t="s">
        <v>5295</v>
      </c>
    </row>
    <row r="3732" spans="2:5">
      <c r="B3732" s="15" t="s">
        <v>5296</v>
      </c>
      <c r="C3732" s="15" t="s">
        <v>5297</v>
      </c>
      <c r="D3732" s="15" t="s">
        <v>723</v>
      </c>
      <c r="E3732" s="15" t="s">
        <v>5298</v>
      </c>
    </row>
    <row r="3733" spans="2:5">
      <c r="B3733" s="15" t="s">
        <v>5296</v>
      </c>
      <c r="C3733" s="15" t="s">
        <v>5297</v>
      </c>
      <c r="D3733" s="15" t="s">
        <v>725</v>
      </c>
      <c r="E3733" s="15" t="s">
        <v>5299</v>
      </c>
    </row>
    <row r="3734" spans="2:5">
      <c r="B3734" s="15" t="s">
        <v>5296</v>
      </c>
      <c r="C3734" s="15" t="s">
        <v>5297</v>
      </c>
      <c r="D3734" s="15" t="s">
        <v>727</v>
      </c>
      <c r="E3734" s="15" t="s">
        <v>5300</v>
      </c>
    </row>
    <row r="3735" ht="15.95" spans="2:2">
      <c r="B3735" s="122" t="s">
        <v>5301</v>
      </c>
    </row>
    <row r="3736" spans="2:5">
      <c r="B3736" s="15" t="s">
        <v>5302</v>
      </c>
      <c r="C3736" s="15" t="s">
        <v>819</v>
      </c>
      <c r="D3736" s="15" t="s">
        <v>637</v>
      </c>
      <c r="E3736" s="15" t="s">
        <v>820</v>
      </c>
    </row>
    <row r="3737" spans="2:5">
      <c r="B3737" s="15" t="s">
        <v>5302</v>
      </c>
      <c r="C3737" s="15" t="s">
        <v>819</v>
      </c>
      <c r="D3737" s="15" t="s">
        <v>641</v>
      </c>
      <c r="E3737" s="15" t="s">
        <v>3394</v>
      </c>
    </row>
    <row r="3738" spans="2:5">
      <c r="B3738" s="15" t="s">
        <v>5302</v>
      </c>
      <c r="C3738" s="15" t="s">
        <v>819</v>
      </c>
      <c r="D3738" s="15" t="s">
        <v>643</v>
      </c>
      <c r="E3738" s="15" t="s">
        <v>822</v>
      </c>
    </row>
    <row r="3739" ht="15.95" spans="2:2">
      <c r="B3739" s="122" t="s">
        <v>5303</v>
      </c>
    </row>
    <row r="3740" spans="2:5">
      <c r="B3740" s="15" t="s">
        <v>5304</v>
      </c>
      <c r="C3740" s="15" t="s">
        <v>4158</v>
      </c>
      <c r="D3740" s="15" t="s">
        <v>5305</v>
      </c>
      <c r="E3740" s="15" t="s">
        <v>5306</v>
      </c>
    </row>
    <row r="3741" spans="2:5">
      <c r="B3741" s="15" t="s">
        <v>5304</v>
      </c>
      <c r="C3741" s="15" t="s">
        <v>4158</v>
      </c>
      <c r="D3741" s="15" t="s">
        <v>5307</v>
      </c>
      <c r="E3741" s="15" t="s">
        <v>5308</v>
      </c>
    </row>
    <row r="3742" spans="2:5">
      <c r="B3742" s="15" t="s">
        <v>5304</v>
      </c>
      <c r="C3742" s="15" t="s">
        <v>4158</v>
      </c>
      <c r="D3742" s="15" t="s">
        <v>5309</v>
      </c>
      <c r="E3742" s="15" t="s">
        <v>5310</v>
      </c>
    </row>
    <row r="3743" spans="2:5">
      <c r="B3743" s="15" t="s">
        <v>5304</v>
      </c>
      <c r="C3743" s="15" t="s">
        <v>4158</v>
      </c>
      <c r="D3743" s="15" t="s">
        <v>5311</v>
      </c>
      <c r="E3743" s="15" t="s">
        <v>5312</v>
      </c>
    </row>
    <row r="3744" spans="2:5">
      <c r="B3744" s="15" t="s">
        <v>5304</v>
      </c>
      <c r="C3744" s="15" t="s">
        <v>4158</v>
      </c>
      <c r="D3744" s="15" t="s">
        <v>5313</v>
      </c>
      <c r="E3744" s="15" t="s">
        <v>5314</v>
      </c>
    </row>
    <row r="3745" ht="15.95" spans="2:2">
      <c r="B3745" s="122" t="s">
        <v>5315</v>
      </c>
    </row>
    <row r="3746" spans="2:5">
      <c r="B3746" s="15" t="s">
        <v>5316</v>
      </c>
      <c r="C3746" s="15" t="s">
        <v>5317</v>
      </c>
      <c r="D3746" s="15" t="s">
        <v>917</v>
      </c>
      <c r="E3746" s="15" t="s">
        <v>918</v>
      </c>
    </row>
    <row r="3747" spans="2:5">
      <c r="B3747" s="15" t="s">
        <v>5316</v>
      </c>
      <c r="C3747" s="15" t="s">
        <v>5317</v>
      </c>
      <c r="D3747" s="15" t="s">
        <v>919</v>
      </c>
      <c r="E3747" s="15" t="s">
        <v>920</v>
      </c>
    </row>
    <row r="3748" spans="2:5">
      <c r="B3748" s="15" t="s">
        <v>5316</v>
      </c>
      <c r="C3748" s="15" t="s">
        <v>5317</v>
      </c>
      <c r="D3748" s="15" t="s">
        <v>1091</v>
      </c>
      <c r="E3748" s="15" t="s">
        <v>922</v>
      </c>
    </row>
    <row r="3749" ht="15.95" spans="2:2">
      <c r="B3749" s="122" t="s">
        <v>5318</v>
      </c>
    </row>
    <row r="3750" spans="2:5">
      <c r="B3750" s="15" t="s">
        <v>5319</v>
      </c>
      <c r="C3750" s="15" t="s">
        <v>896</v>
      </c>
      <c r="D3750" s="15" t="s">
        <v>770</v>
      </c>
      <c r="E3750" s="15" t="s">
        <v>5320</v>
      </c>
    </row>
    <row r="3751" spans="2:5">
      <c r="B3751" s="15" t="s">
        <v>5319</v>
      </c>
      <c r="C3751" s="15" t="s">
        <v>896</v>
      </c>
      <c r="D3751" s="15" t="s">
        <v>772</v>
      </c>
      <c r="E3751" s="15" t="s">
        <v>5321</v>
      </c>
    </row>
    <row r="3752" spans="2:5">
      <c r="B3752" s="15" t="s">
        <v>5319</v>
      </c>
      <c r="C3752" s="15" t="s">
        <v>896</v>
      </c>
      <c r="D3752" s="15" t="s">
        <v>774</v>
      </c>
      <c r="E3752" s="15" t="s">
        <v>5322</v>
      </c>
    </row>
    <row r="3753" ht="15.95" spans="2:2">
      <c r="B3753" s="122" t="s">
        <v>5323</v>
      </c>
    </row>
    <row r="3754" spans="2:5">
      <c r="B3754" s="15" t="s">
        <v>5324</v>
      </c>
      <c r="C3754" s="15" t="s">
        <v>5325</v>
      </c>
      <c r="D3754" s="15" t="s">
        <v>635</v>
      </c>
      <c r="E3754" s="15" t="s">
        <v>636</v>
      </c>
    </row>
    <row r="3755" spans="2:5">
      <c r="B3755" s="15" t="s">
        <v>5324</v>
      </c>
      <c r="C3755" s="15" t="s">
        <v>5325</v>
      </c>
      <c r="D3755" s="15" t="s">
        <v>637</v>
      </c>
      <c r="E3755" s="15" t="s">
        <v>2492</v>
      </c>
    </row>
    <row r="3756" spans="2:5">
      <c r="B3756" s="15" t="s">
        <v>5324</v>
      </c>
      <c r="C3756" s="15" t="s">
        <v>5325</v>
      </c>
      <c r="D3756" s="15" t="s">
        <v>641</v>
      </c>
      <c r="E3756" s="15" t="s">
        <v>1989</v>
      </c>
    </row>
    <row r="3757" spans="2:5">
      <c r="B3757" s="15" t="s">
        <v>5324</v>
      </c>
      <c r="C3757" s="15" t="s">
        <v>5325</v>
      </c>
      <c r="D3757" s="15" t="s">
        <v>643</v>
      </c>
      <c r="E3757" s="15" t="s">
        <v>5326</v>
      </c>
    </row>
    <row r="3758" spans="2:5">
      <c r="B3758" s="15" t="s">
        <v>5324</v>
      </c>
      <c r="C3758" s="15" t="s">
        <v>5325</v>
      </c>
      <c r="D3758" s="15" t="s">
        <v>645</v>
      </c>
      <c r="E3758" s="15" t="s">
        <v>5327</v>
      </c>
    </row>
    <row r="3759" spans="2:5">
      <c r="B3759" s="15" t="s">
        <v>5324</v>
      </c>
      <c r="C3759" s="15" t="s">
        <v>5325</v>
      </c>
      <c r="D3759" s="15" t="s">
        <v>647</v>
      </c>
      <c r="E3759" s="15" t="s">
        <v>1996</v>
      </c>
    </row>
    <row r="3760" spans="2:5">
      <c r="B3760" s="15" t="s">
        <v>5324</v>
      </c>
      <c r="C3760" s="15" t="s">
        <v>5325</v>
      </c>
      <c r="D3760" s="15" t="s">
        <v>649</v>
      </c>
      <c r="E3760" s="15" t="s">
        <v>1997</v>
      </c>
    </row>
    <row r="3761" spans="2:5">
      <c r="B3761" s="15" t="s">
        <v>5324</v>
      </c>
      <c r="C3761" s="15" t="s">
        <v>5325</v>
      </c>
      <c r="D3761" s="15" t="s">
        <v>653</v>
      </c>
      <c r="E3761" s="15" t="s">
        <v>2011</v>
      </c>
    </row>
    <row r="3762" spans="2:5">
      <c r="B3762" s="15" t="s">
        <v>5324</v>
      </c>
      <c r="C3762" s="15" t="s">
        <v>5325</v>
      </c>
      <c r="D3762" s="15" t="s">
        <v>655</v>
      </c>
      <c r="E3762" s="15" t="s">
        <v>2013</v>
      </c>
    </row>
    <row r="3763" spans="2:5">
      <c r="B3763" s="15" t="s">
        <v>5324</v>
      </c>
      <c r="C3763" s="15" t="s">
        <v>5325</v>
      </c>
      <c r="D3763" s="15" t="s">
        <v>657</v>
      </c>
      <c r="E3763" s="15" t="s">
        <v>656</v>
      </c>
    </row>
    <row r="3764" spans="2:5">
      <c r="B3764" s="15" t="s">
        <v>5324</v>
      </c>
      <c r="C3764" s="15" t="s">
        <v>5325</v>
      </c>
      <c r="D3764" s="15" t="s">
        <v>1998</v>
      </c>
      <c r="E3764" s="15" t="s">
        <v>658</v>
      </c>
    </row>
    <row r="3765" spans="2:5">
      <c r="B3765" s="15" t="s">
        <v>5324</v>
      </c>
      <c r="C3765" s="15" t="s">
        <v>5325</v>
      </c>
      <c r="D3765" s="15" t="s">
        <v>659</v>
      </c>
      <c r="E3765" s="15" t="s">
        <v>660</v>
      </c>
    </row>
    <row r="3766" spans="2:5">
      <c r="B3766" s="15" t="s">
        <v>5324</v>
      </c>
      <c r="C3766" s="15" t="s">
        <v>5325</v>
      </c>
      <c r="D3766" s="15" t="s">
        <v>661</v>
      </c>
      <c r="E3766" s="15" t="s">
        <v>2017</v>
      </c>
    </row>
    <row r="3767" spans="2:5">
      <c r="B3767" s="15" t="s">
        <v>5324</v>
      </c>
      <c r="C3767" s="15" t="s">
        <v>5325</v>
      </c>
      <c r="D3767" s="15" t="s">
        <v>663</v>
      </c>
      <c r="E3767" s="15" t="s">
        <v>664</v>
      </c>
    </row>
    <row r="3768" spans="2:5">
      <c r="B3768" s="15" t="s">
        <v>5324</v>
      </c>
      <c r="C3768" s="15" t="s">
        <v>5325</v>
      </c>
      <c r="D3768" s="15" t="s">
        <v>665</v>
      </c>
      <c r="E3768" s="15" t="s">
        <v>666</v>
      </c>
    </row>
    <row r="3769" spans="2:5">
      <c r="B3769" s="15" t="s">
        <v>5324</v>
      </c>
      <c r="C3769" s="15" t="s">
        <v>5325</v>
      </c>
      <c r="D3769" s="15" t="s">
        <v>667</v>
      </c>
      <c r="E3769" s="15" t="s">
        <v>668</v>
      </c>
    </row>
    <row r="3770" spans="2:5">
      <c r="B3770" s="15" t="s">
        <v>5324</v>
      </c>
      <c r="C3770" s="15" t="s">
        <v>5325</v>
      </c>
      <c r="D3770" s="15" t="s">
        <v>669</v>
      </c>
      <c r="E3770" s="15" t="s">
        <v>670</v>
      </c>
    </row>
    <row r="3771" spans="2:5">
      <c r="B3771" s="15" t="s">
        <v>5324</v>
      </c>
      <c r="C3771" s="15" t="s">
        <v>5325</v>
      </c>
      <c r="D3771" s="15" t="s">
        <v>671</v>
      </c>
      <c r="E3771" s="15" t="s">
        <v>672</v>
      </c>
    </row>
    <row r="3772" spans="2:5">
      <c r="B3772" s="15" t="s">
        <v>5324</v>
      </c>
      <c r="C3772" s="15" t="s">
        <v>5325</v>
      </c>
      <c r="D3772" s="15" t="s">
        <v>673</v>
      </c>
      <c r="E3772" s="15" t="s">
        <v>674</v>
      </c>
    </row>
    <row r="3773" spans="2:5">
      <c r="B3773" s="15" t="s">
        <v>5324</v>
      </c>
      <c r="C3773" s="15" t="s">
        <v>5325</v>
      </c>
      <c r="D3773" s="15" t="s">
        <v>675</v>
      </c>
      <c r="E3773" s="15" t="s">
        <v>676</v>
      </c>
    </row>
    <row r="3774" spans="2:5">
      <c r="B3774" s="15" t="s">
        <v>5324</v>
      </c>
      <c r="C3774" s="15" t="s">
        <v>5325</v>
      </c>
      <c r="D3774" s="15" t="s">
        <v>677</v>
      </c>
      <c r="E3774" s="15" t="s">
        <v>678</v>
      </c>
    </row>
    <row r="3775" spans="2:5">
      <c r="B3775" s="15" t="s">
        <v>5324</v>
      </c>
      <c r="C3775" s="15" t="s">
        <v>5325</v>
      </c>
      <c r="D3775" s="15" t="s">
        <v>679</v>
      </c>
      <c r="E3775" s="15" t="s">
        <v>710</v>
      </c>
    </row>
    <row r="3776" spans="2:5">
      <c r="B3776" s="15" t="s">
        <v>5324</v>
      </c>
      <c r="C3776" s="15" t="s">
        <v>5325</v>
      </c>
      <c r="D3776" s="15" t="s">
        <v>681</v>
      </c>
      <c r="E3776" s="15" t="s">
        <v>712</v>
      </c>
    </row>
    <row r="3777" spans="2:5">
      <c r="B3777" s="15" t="s">
        <v>5324</v>
      </c>
      <c r="C3777" s="15" t="s">
        <v>5325</v>
      </c>
      <c r="D3777" s="15" t="s">
        <v>705</v>
      </c>
      <c r="E3777" s="15" t="s">
        <v>5328</v>
      </c>
    </row>
    <row r="3778" spans="2:5">
      <c r="B3778" s="15" t="s">
        <v>5324</v>
      </c>
      <c r="C3778" s="15" t="s">
        <v>5325</v>
      </c>
      <c r="D3778" s="15" t="s">
        <v>707</v>
      </c>
      <c r="E3778" s="15" t="s">
        <v>706</v>
      </c>
    </row>
    <row r="3779" spans="2:5">
      <c r="B3779" s="15" t="s">
        <v>5324</v>
      </c>
      <c r="C3779" s="15" t="s">
        <v>5325</v>
      </c>
      <c r="D3779" s="15" t="s">
        <v>713</v>
      </c>
      <c r="E3779" s="15" t="s">
        <v>714</v>
      </c>
    </row>
    <row r="3780" spans="2:5">
      <c r="B3780" s="15" t="s">
        <v>5324</v>
      </c>
      <c r="C3780" s="15" t="s">
        <v>5325</v>
      </c>
      <c r="D3780" s="15" t="s">
        <v>715</v>
      </c>
      <c r="E3780" s="15" t="s">
        <v>716</v>
      </c>
    </row>
    <row r="3781" spans="2:5">
      <c r="B3781" s="15" t="s">
        <v>5324</v>
      </c>
      <c r="C3781" s="15" t="s">
        <v>5325</v>
      </c>
      <c r="D3781" s="15" t="s">
        <v>717</v>
      </c>
      <c r="E3781" s="15" t="s">
        <v>718</v>
      </c>
    </row>
    <row r="3782" spans="2:5">
      <c r="B3782" s="15" t="s">
        <v>5324</v>
      </c>
      <c r="C3782" s="15" t="s">
        <v>5325</v>
      </c>
      <c r="D3782" s="15" t="s">
        <v>719</v>
      </c>
      <c r="E3782" s="15" t="s">
        <v>720</v>
      </c>
    </row>
    <row r="3783" ht="15.95" spans="2:2">
      <c r="B3783" s="122" t="s">
        <v>5329</v>
      </c>
    </row>
    <row r="3784" spans="2:5">
      <c r="B3784" s="15" t="s">
        <v>5330</v>
      </c>
      <c r="C3784" s="15" t="s">
        <v>5331</v>
      </c>
      <c r="D3784" s="15" t="s">
        <v>723</v>
      </c>
      <c r="E3784" s="15" t="s">
        <v>906</v>
      </c>
    </row>
    <row r="3785" spans="2:5">
      <c r="B3785" s="15" t="s">
        <v>5330</v>
      </c>
      <c r="C3785" s="15" t="s">
        <v>5331</v>
      </c>
      <c r="D3785" s="15" t="s">
        <v>725</v>
      </c>
      <c r="E3785" s="15" t="s">
        <v>907</v>
      </c>
    </row>
    <row r="3786" spans="2:5">
      <c r="B3786" s="15" t="s">
        <v>5330</v>
      </c>
      <c r="C3786" s="15" t="s">
        <v>5331</v>
      </c>
      <c r="D3786" s="15" t="s">
        <v>727</v>
      </c>
      <c r="E3786" s="15" t="s">
        <v>2560</v>
      </c>
    </row>
    <row r="3787" spans="2:5">
      <c r="B3787" s="15" t="s">
        <v>5330</v>
      </c>
      <c r="C3787" s="15" t="s">
        <v>5331</v>
      </c>
      <c r="D3787" s="15" t="s">
        <v>729</v>
      </c>
      <c r="E3787" s="15" t="s">
        <v>2306</v>
      </c>
    </row>
    <row r="3788" ht="15.95" spans="2:2">
      <c r="B3788" s="122" t="s">
        <v>5332</v>
      </c>
    </row>
    <row r="3789" spans="2:5">
      <c r="B3789" s="15" t="s">
        <v>5333</v>
      </c>
      <c r="C3789" s="15" t="s">
        <v>5333</v>
      </c>
      <c r="D3789" s="15" t="s">
        <v>770</v>
      </c>
      <c r="E3789" s="15" t="s">
        <v>5334</v>
      </c>
    </row>
    <row r="3790" spans="2:5">
      <c r="B3790" s="15" t="s">
        <v>5333</v>
      </c>
      <c r="C3790" s="15" t="s">
        <v>5333</v>
      </c>
      <c r="D3790" s="15" t="s">
        <v>772</v>
      </c>
      <c r="E3790" s="15" t="s">
        <v>5335</v>
      </c>
    </row>
    <row r="3791" spans="2:5">
      <c r="B3791" s="15" t="s">
        <v>5333</v>
      </c>
      <c r="C3791" s="15" t="s">
        <v>5333</v>
      </c>
      <c r="D3791" s="15" t="s">
        <v>774</v>
      </c>
      <c r="E3791" s="15" t="s">
        <v>5336</v>
      </c>
    </row>
    <row r="3792" spans="2:5">
      <c r="B3792" s="15" t="s">
        <v>5333</v>
      </c>
      <c r="C3792" s="15" t="s">
        <v>5333</v>
      </c>
      <c r="D3792" s="15" t="s">
        <v>828</v>
      </c>
      <c r="E3792" s="15" t="s">
        <v>5337</v>
      </c>
    </row>
    <row r="3793" spans="2:5">
      <c r="B3793" s="15" t="s">
        <v>5333</v>
      </c>
      <c r="C3793" s="15" t="s">
        <v>5333</v>
      </c>
      <c r="D3793" s="15" t="s">
        <v>901</v>
      </c>
      <c r="E3793" s="15" t="s">
        <v>5338</v>
      </c>
    </row>
    <row r="3794" ht="15.95" spans="2:2">
      <c r="B3794" s="122" t="s">
        <v>5339</v>
      </c>
    </row>
    <row r="3795" spans="2:5">
      <c r="B3795" s="15" t="s">
        <v>5340</v>
      </c>
      <c r="C3795" s="15" t="s">
        <v>5341</v>
      </c>
      <c r="D3795" s="15" t="s">
        <v>917</v>
      </c>
      <c r="E3795" s="15" t="s">
        <v>953</v>
      </c>
    </row>
    <row r="3796" spans="2:5">
      <c r="B3796" s="15" t="s">
        <v>5340</v>
      </c>
      <c r="C3796" s="15" t="s">
        <v>5341</v>
      </c>
      <c r="D3796" s="15" t="s">
        <v>919</v>
      </c>
      <c r="E3796" s="15" t="s">
        <v>954</v>
      </c>
    </row>
    <row r="3797" spans="2:5">
      <c r="B3797" s="15" t="s">
        <v>5340</v>
      </c>
      <c r="C3797" s="15" t="s">
        <v>5341</v>
      </c>
      <c r="D3797" s="15" t="s">
        <v>955</v>
      </c>
      <c r="E3797" s="15" t="s">
        <v>956</v>
      </c>
    </row>
    <row r="3798" ht="15.95" spans="2:2">
      <c r="B3798" s="122" t="s">
        <v>5342</v>
      </c>
    </row>
    <row r="3799" spans="2:5">
      <c r="B3799" s="15" t="s">
        <v>5343</v>
      </c>
      <c r="C3799" s="15" t="s">
        <v>5344</v>
      </c>
      <c r="D3799" s="15" t="s">
        <v>5345</v>
      </c>
      <c r="E3799" s="15" t="s">
        <v>5346</v>
      </c>
    </row>
    <row r="3800" spans="2:5">
      <c r="B3800" s="15" t="s">
        <v>5343</v>
      </c>
      <c r="C3800" s="15" t="s">
        <v>5344</v>
      </c>
      <c r="D3800" s="15" t="s">
        <v>785</v>
      </c>
      <c r="E3800" s="15" t="s">
        <v>4227</v>
      </c>
    </row>
    <row r="3801" spans="2:5">
      <c r="B3801" s="15" t="s">
        <v>5343</v>
      </c>
      <c r="C3801" s="15" t="s">
        <v>5344</v>
      </c>
      <c r="D3801" s="15" t="s">
        <v>787</v>
      </c>
      <c r="E3801" s="15" t="s">
        <v>5347</v>
      </c>
    </row>
    <row r="3802" spans="2:5">
      <c r="B3802" s="15" t="s">
        <v>5343</v>
      </c>
      <c r="C3802" s="15" t="s">
        <v>5344</v>
      </c>
      <c r="D3802" s="15" t="s">
        <v>789</v>
      </c>
      <c r="E3802" s="15" t="s">
        <v>5348</v>
      </c>
    </row>
    <row r="3803" spans="2:5">
      <c r="B3803" s="15" t="s">
        <v>5343</v>
      </c>
      <c r="C3803" s="15" t="s">
        <v>5344</v>
      </c>
      <c r="D3803" s="15" t="s">
        <v>791</v>
      </c>
      <c r="E3803" s="15" t="s">
        <v>4230</v>
      </c>
    </row>
    <row r="3804" spans="2:5">
      <c r="B3804" s="15" t="s">
        <v>5343</v>
      </c>
      <c r="C3804" s="15" t="s">
        <v>5344</v>
      </c>
      <c r="D3804" s="15" t="s">
        <v>793</v>
      </c>
      <c r="E3804" s="15" t="s">
        <v>5349</v>
      </c>
    </row>
    <row r="3805" spans="2:5">
      <c r="B3805" s="15" t="s">
        <v>5343</v>
      </c>
      <c r="C3805" s="15" t="s">
        <v>5344</v>
      </c>
      <c r="D3805" s="15" t="s">
        <v>795</v>
      </c>
      <c r="E3805" s="15" t="s">
        <v>5350</v>
      </c>
    </row>
    <row r="3806" spans="2:5">
      <c r="B3806" s="15" t="s">
        <v>5343</v>
      </c>
      <c r="C3806" s="15" t="s">
        <v>5344</v>
      </c>
      <c r="D3806" s="15" t="s">
        <v>797</v>
      </c>
      <c r="E3806" s="15" t="s">
        <v>5351</v>
      </c>
    </row>
    <row r="3807" spans="2:5">
      <c r="B3807" s="15" t="s">
        <v>5343</v>
      </c>
      <c r="C3807" s="15" t="s">
        <v>5344</v>
      </c>
      <c r="D3807" s="15" t="s">
        <v>805</v>
      </c>
      <c r="E3807" s="15" t="s">
        <v>5352</v>
      </c>
    </row>
    <row r="3808" spans="2:5">
      <c r="B3808" s="15" t="s">
        <v>5343</v>
      </c>
      <c r="C3808" s="15" t="s">
        <v>5344</v>
      </c>
      <c r="D3808" s="15" t="s">
        <v>5353</v>
      </c>
      <c r="E3808" s="15" t="s">
        <v>1771</v>
      </c>
    </row>
    <row r="3809" spans="2:5">
      <c r="B3809" s="15" t="s">
        <v>5343</v>
      </c>
      <c r="C3809" s="15" t="s">
        <v>5344</v>
      </c>
      <c r="D3809" s="15" t="s">
        <v>5354</v>
      </c>
      <c r="E3809" s="15" t="s">
        <v>5355</v>
      </c>
    </row>
    <row r="3810" spans="2:5">
      <c r="B3810" s="15" t="s">
        <v>5343</v>
      </c>
      <c r="C3810" s="15" t="s">
        <v>5344</v>
      </c>
      <c r="D3810" s="15" t="s">
        <v>5356</v>
      </c>
      <c r="E3810" s="15" t="s">
        <v>5357</v>
      </c>
    </row>
    <row r="3811" spans="2:5">
      <c r="B3811" s="15" t="s">
        <v>5343</v>
      </c>
      <c r="C3811" s="15" t="s">
        <v>5344</v>
      </c>
      <c r="D3811" s="15" t="s">
        <v>5358</v>
      </c>
      <c r="E3811" s="15" t="s">
        <v>5359</v>
      </c>
    </row>
    <row r="3812" spans="2:5">
      <c r="B3812" s="15" t="s">
        <v>5343</v>
      </c>
      <c r="C3812" s="15" t="s">
        <v>5344</v>
      </c>
      <c r="D3812" s="15" t="s">
        <v>5360</v>
      </c>
      <c r="E3812" s="15" t="s">
        <v>794</v>
      </c>
    </row>
    <row r="3813" ht="15.95" spans="2:2">
      <c r="B3813" s="122" t="s">
        <v>5361</v>
      </c>
    </row>
    <row r="3814" spans="2:5">
      <c r="B3814" s="15" t="s">
        <v>5362</v>
      </c>
      <c r="C3814" s="15" t="s">
        <v>5363</v>
      </c>
      <c r="D3814" s="15" t="s">
        <v>770</v>
      </c>
      <c r="E3814" s="15" t="s">
        <v>5364</v>
      </c>
    </row>
    <row r="3815" spans="2:5">
      <c r="B3815" s="15" t="s">
        <v>5362</v>
      </c>
      <c r="C3815" s="15" t="s">
        <v>5363</v>
      </c>
      <c r="D3815" s="15" t="s">
        <v>772</v>
      </c>
      <c r="E3815" s="15" t="s">
        <v>5365</v>
      </c>
    </row>
    <row r="3816" spans="2:5">
      <c r="B3816" s="15" t="s">
        <v>5362</v>
      </c>
      <c r="C3816" s="15" t="s">
        <v>5363</v>
      </c>
      <c r="D3816" s="15" t="s">
        <v>774</v>
      </c>
      <c r="E3816" s="15" t="s">
        <v>5366</v>
      </c>
    </row>
    <row r="3817" spans="2:5">
      <c r="B3817" s="15" t="s">
        <v>5362</v>
      </c>
      <c r="C3817" s="15" t="s">
        <v>5363</v>
      </c>
      <c r="D3817" s="15" t="s">
        <v>828</v>
      </c>
      <c r="E3817" s="15" t="s">
        <v>5367</v>
      </c>
    </row>
    <row r="3818" spans="2:5">
      <c r="B3818" s="15" t="s">
        <v>5362</v>
      </c>
      <c r="C3818" s="15" t="s">
        <v>5363</v>
      </c>
      <c r="D3818" s="15" t="s">
        <v>901</v>
      </c>
      <c r="E3818" s="15" t="s">
        <v>5368</v>
      </c>
    </row>
    <row r="3819" ht="15.95" spans="2:2">
      <c r="B3819" s="122" t="s">
        <v>5369</v>
      </c>
    </row>
    <row r="3820" spans="2:5">
      <c r="B3820" s="15" t="s">
        <v>5370</v>
      </c>
      <c r="C3820" s="15" t="s">
        <v>5371</v>
      </c>
      <c r="D3820" s="15" t="s">
        <v>770</v>
      </c>
      <c r="E3820" s="15" t="s">
        <v>5372</v>
      </c>
    </row>
    <row r="3821" spans="2:5">
      <c r="B3821" s="15" t="s">
        <v>5370</v>
      </c>
      <c r="C3821" s="15" t="s">
        <v>5371</v>
      </c>
      <c r="D3821" s="15" t="s">
        <v>772</v>
      </c>
      <c r="E3821" s="15" t="s">
        <v>2732</v>
      </c>
    </row>
    <row r="3822" spans="2:5">
      <c r="B3822" s="15" t="s">
        <v>5370</v>
      </c>
      <c r="C3822" s="15" t="s">
        <v>5371</v>
      </c>
      <c r="D3822" s="15" t="s">
        <v>774</v>
      </c>
      <c r="E3822" s="15" t="s">
        <v>2734</v>
      </c>
    </row>
    <row r="3823" ht="15.95" spans="2:2">
      <c r="B3823" s="122" t="s">
        <v>5373</v>
      </c>
    </row>
    <row r="3824" spans="2:5">
      <c r="B3824" s="15" t="s">
        <v>5374</v>
      </c>
      <c r="C3824" s="15" t="s">
        <v>896</v>
      </c>
      <c r="D3824" s="15" t="s">
        <v>723</v>
      </c>
      <c r="E3824" s="15" t="s">
        <v>5375</v>
      </c>
    </row>
    <row r="3825" spans="2:5">
      <c r="B3825" s="15" t="s">
        <v>5374</v>
      </c>
      <c r="C3825" s="15" t="s">
        <v>896</v>
      </c>
      <c r="D3825" s="15" t="s">
        <v>725</v>
      </c>
      <c r="E3825" s="15" t="s">
        <v>5376</v>
      </c>
    </row>
    <row r="3826" spans="2:5">
      <c r="B3826" s="15" t="s">
        <v>5374</v>
      </c>
      <c r="C3826" s="15" t="s">
        <v>896</v>
      </c>
      <c r="D3826" s="15" t="s">
        <v>727</v>
      </c>
      <c r="E3826" s="15" t="s">
        <v>5377</v>
      </c>
    </row>
    <row r="3827" spans="2:5">
      <c r="B3827" s="15" t="s">
        <v>5374</v>
      </c>
      <c r="C3827" s="15" t="s">
        <v>896</v>
      </c>
      <c r="D3827" s="15" t="s">
        <v>729</v>
      </c>
      <c r="E3827" s="15" t="s">
        <v>5378</v>
      </c>
    </row>
    <row r="3828" spans="2:5">
      <c r="B3828" s="15" t="s">
        <v>5374</v>
      </c>
      <c r="C3828" s="15" t="s">
        <v>896</v>
      </c>
      <c r="D3828" s="15" t="s">
        <v>760</v>
      </c>
      <c r="E3828" s="15" t="s">
        <v>5379</v>
      </c>
    </row>
    <row r="3829" ht="15.95" spans="2:2">
      <c r="B3829" s="122" t="s">
        <v>5380</v>
      </c>
    </row>
    <row r="3830" spans="2:5">
      <c r="B3830" s="15" t="s">
        <v>5381</v>
      </c>
      <c r="C3830" s="15" t="s">
        <v>5382</v>
      </c>
      <c r="D3830" s="15" t="s">
        <v>917</v>
      </c>
      <c r="E3830" s="15" t="s">
        <v>953</v>
      </c>
    </row>
    <row r="3831" spans="2:5">
      <c r="B3831" s="15" t="s">
        <v>5381</v>
      </c>
      <c r="C3831" s="15" t="s">
        <v>5382</v>
      </c>
      <c r="D3831" s="15" t="s">
        <v>919</v>
      </c>
      <c r="E3831" s="15" t="s">
        <v>954</v>
      </c>
    </row>
    <row r="3832" spans="2:5">
      <c r="B3832" s="15" t="s">
        <v>5381</v>
      </c>
      <c r="C3832" s="15" t="s">
        <v>5382</v>
      </c>
      <c r="D3832" s="15" t="s">
        <v>955</v>
      </c>
      <c r="E3832" s="15" t="s">
        <v>956</v>
      </c>
    </row>
    <row r="3833" ht="15.95" spans="2:2">
      <c r="B3833" s="122" t="s">
        <v>5383</v>
      </c>
    </row>
    <row r="3834" spans="2:5">
      <c r="B3834" s="15" t="s">
        <v>5384</v>
      </c>
      <c r="C3834" s="15" t="s">
        <v>5385</v>
      </c>
      <c r="D3834" s="15" t="s">
        <v>635</v>
      </c>
      <c r="E3834" s="15" t="s">
        <v>5386</v>
      </c>
    </row>
    <row r="3835" spans="2:5">
      <c r="B3835" s="15" t="s">
        <v>5384</v>
      </c>
      <c r="C3835" s="15" t="s">
        <v>5385</v>
      </c>
      <c r="D3835" s="15" t="s">
        <v>659</v>
      </c>
      <c r="E3835" s="15" t="s">
        <v>5387</v>
      </c>
    </row>
    <row r="3836" spans="2:5">
      <c r="B3836" s="15" t="s">
        <v>5384</v>
      </c>
      <c r="C3836" s="15" t="s">
        <v>5385</v>
      </c>
      <c r="D3836" s="15" t="s">
        <v>679</v>
      </c>
      <c r="E3836" s="15" t="s">
        <v>5388</v>
      </c>
    </row>
    <row r="3837" ht="15.95" spans="2:2">
      <c r="B3837" s="122" t="s">
        <v>5389</v>
      </c>
    </row>
    <row r="3838" spans="2:5">
      <c r="B3838" s="15" t="s">
        <v>5390</v>
      </c>
      <c r="C3838" s="15" t="s">
        <v>5391</v>
      </c>
      <c r="D3838" s="15" t="s">
        <v>723</v>
      </c>
      <c r="E3838" s="15" t="s">
        <v>5392</v>
      </c>
    </row>
    <row r="3839" spans="2:5">
      <c r="B3839" s="15" t="s">
        <v>5390</v>
      </c>
      <c r="C3839" s="15" t="s">
        <v>5391</v>
      </c>
      <c r="D3839" s="15" t="s">
        <v>725</v>
      </c>
      <c r="E3839" s="15" t="s">
        <v>5393</v>
      </c>
    </row>
    <row r="3840" ht="15.95" spans="2:2">
      <c r="B3840" s="122" t="s">
        <v>5394</v>
      </c>
    </row>
    <row r="3841" spans="2:5">
      <c r="B3841" s="15" t="s">
        <v>5395</v>
      </c>
      <c r="C3841" s="15" t="s">
        <v>5396</v>
      </c>
      <c r="D3841" s="15" t="s">
        <v>635</v>
      </c>
      <c r="E3841" s="15" t="s">
        <v>5397</v>
      </c>
    </row>
    <row r="3842" spans="2:5">
      <c r="B3842" s="15" t="s">
        <v>5395</v>
      </c>
      <c r="C3842" s="15" t="s">
        <v>5396</v>
      </c>
      <c r="D3842" s="15" t="s">
        <v>659</v>
      </c>
      <c r="E3842" s="15" t="s">
        <v>2216</v>
      </c>
    </row>
    <row r="3843" ht="15.95" spans="2:2">
      <c r="B3843" s="122" t="s">
        <v>5398</v>
      </c>
    </row>
    <row r="3844" spans="2:5">
      <c r="B3844" s="15" t="s">
        <v>5399</v>
      </c>
      <c r="C3844" s="15" t="s">
        <v>5400</v>
      </c>
      <c r="D3844" s="15" t="s">
        <v>770</v>
      </c>
      <c r="E3844" s="15" t="s">
        <v>5401</v>
      </c>
    </row>
    <row r="3845" spans="2:5">
      <c r="B3845" s="15" t="s">
        <v>5399</v>
      </c>
      <c r="C3845" s="15" t="s">
        <v>5400</v>
      </c>
      <c r="D3845" s="15" t="s">
        <v>772</v>
      </c>
      <c r="E3845" s="15" t="s">
        <v>5402</v>
      </c>
    </row>
    <row r="3846" ht="15.95" spans="2:2">
      <c r="B3846" s="122" t="s">
        <v>5403</v>
      </c>
    </row>
    <row r="3847" spans="2:5">
      <c r="B3847" s="15" t="s">
        <v>5404</v>
      </c>
      <c r="C3847" s="15" t="s">
        <v>3318</v>
      </c>
      <c r="D3847" s="15" t="s">
        <v>635</v>
      </c>
      <c r="E3847" s="15" t="s">
        <v>2973</v>
      </c>
    </row>
    <row r="3848" spans="2:5">
      <c r="B3848" s="15" t="s">
        <v>5404</v>
      </c>
      <c r="C3848" s="15" t="s">
        <v>3318</v>
      </c>
      <c r="D3848" s="15" t="s">
        <v>637</v>
      </c>
      <c r="E3848" s="15" t="s">
        <v>2973</v>
      </c>
    </row>
    <row r="3849" spans="2:5">
      <c r="B3849" s="15" t="s">
        <v>5404</v>
      </c>
      <c r="C3849" s="15" t="s">
        <v>3318</v>
      </c>
      <c r="D3849" s="15" t="s">
        <v>641</v>
      </c>
      <c r="E3849" s="15" t="s">
        <v>2973</v>
      </c>
    </row>
    <row r="3850" spans="2:5">
      <c r="B3850" s="15" t="s">
        <v>5404</v>
      </c>
      <c r="C3850" s="15" t="s">
        <v>3318</v>
      </c>
      <c r="D3850" s="15" t="s">
        <v>659</v>
      </c>
      <c r="E3850" s="15" t="s">
        <v>2971</v>
      </c>
    </row>
    <row r="3851" spans="2:5">
      <c r="B3851" s="15" t="s">
        <v>5404</v>
      </c>
      <c r="C3851" s="15" t="s">
        <v>3318</v>
      </c>
      <c r="D3851" s="15" t="s">
        <v>661</v>
      </c>
      <c r="E3851" s="15" t="s">
        <v>2971</v>
      </c>
    </row>
    <row r="3852" spans="2:5">
      <c r="B3852" s="15" t="s">
        <v>5404</v>
      </c>
      <c r="C3852" s="15" t="s">
        <v>3318</v>
      </c>
      <c r="D3852" s="15" t="s">
        <v>663</v>
      </c>
      <c r="E3852" s="15" t="s">
        <v>2971</v>
      </c>
    </row>
    <row r="3853" ht="15.95" spans="2:2">
      <c r="B3853" s="122" t="s">
        <v>5405</v>
      </c>
    </row>
    <row r="3854" spans="2:5">
      <c r="B3854" s="15" t="s">
        <v>5406</v>
      </c>
      <c r="C3854" s="15" t="s">
        <v>5407</v>
      </c>
      <c r="D3854" s="15" t="s">
        <v>723</v>
      </c>
      <c r="E3854" s="15" t="s">
        <v>5408</v>
      </c>
    </row>
    <row r="3855" spans="2:5">
      <c r="B3855" s="15" t="s">
        <v>5406</v>
      </c>
      <c r="C3855" s="15" t="s">
        <v>5407</v>
      </c>
      <c r="D3855" s="15" t="s">
        <v>725</v>
      </c>
      <c r="E3855" s="15" t="s">
        <v>5409</v>
      </c>
    </row>
    <row r="3856" spans="2:5">
      <c r="B3856" s="15" t="s">
        <v>5406</v>
      </c>
      <c r="C3856" s="15" t="s">
        <v>5407</v>
      </c>
      <c r="D3856" s="15" t="s">
        <v>727</v>
      </c>
      <c r="E3856" s="15" t="s">
        <v>5410</v>
      </c>
    </row>
    <row r="3857" ht="15.95" spans="2:2">
      <c r="B3857" s="122" t="s">
        <v>5411</v>
      </c>
    </row>
    <row r="3858" spans="2:5">
      <c r="B3858" s="15" t="s">
        <v>5412</v>
      </c>
      <c r="C3858" s="15" t="s">
        <v>5413</v>
      </c>
      <c r="D3858" s="15" t="s">
        <v>785</v>
      </c>
      <c r="E3858" s="15" t="s">
        <v>5414</v>
      </c>
    </row>
    <row r="3859" spans="2:5">
      <c r="B3859" s="15" t="s">
        <v>5412</v>
      </c>
      <c r="C3859" s="15" t="s">
        <v>5413</v>
      </c>
      <c r="D3859" s="15" t="s">
        <v>787</v>
      </c>
      <c r="E3859" s="15" t="s">
        <v>5415</v>
      </c>
    </row>
    <row r="3860" ht="15.95" spans="2:2">
      <c r="B3860" s="122" t="s">
        <v>5416</v>
      </c>
    </row>
    <row r="3861" spans="2:5">
      <c r="B3861" s="15" t="s">
        <v>5417</v>
      </c>
      <c r="C3861" s="15" t="s">
        <v>896</v>
      </c>
      <c r="D3861" s="15" t="s">
        <v>770</v>
      </c>
      <c r="E3861" s="15" t="s">
        <v>5418</v>
      </c>
    </row>
    <row r="3862" spans="2:5">
      <c r="B3862" s="15" t="s">
        <v>5417</v>
      </c>
      <c r="C3862" s="15" t="s">
        <v>896</v>
      </c>
      <c r="D3862" s="15" t="s">
        <v>772</v>
      </c>
      <c r="E3862" s="15" t="s">
        <v>5419</v>
      </c>
    </row>
    <row r="3863" spans="2:5">
      <c r="B3863" s="15" t="s">
        <v>5417</v>
      </c>
      <c r="C3863" s="15" t="s">
        <v>896</v>
      </c>
      <c r="D3863" s="15" t="s">
        <v>774</v>
      </c>
      <c r="E3863" s="15" t="s">
        <v>5420</v>
      </c>
    </row>
    <row r="3864" spans="2:5">
      <c r="B3864" s="15" t="s">
        <v>5417</v>
      </c>
      <c r="C3864" s="15" t="s">
        <v>896</v>
      </c>
      <c r="D3864" s="15" t="s">
        <v>828</v>
      </c>
      <c r="E3864" s="15" t="s">
        <v>5421</v>
      </c>
    </row>
    <row r="3865" spans="2:5">
      <c r="B3865" s="15" t="s">
        <v>5417</v>
      </c>
      <c r="C3865" s="15" t="s">
        <v>896</v>
      </c>
      <c r="D3865" s="15" t="s">
        <v>901</v>
      </c>
      <c r="E3865" s="15" t="s">
        <v>5422</v>
      </c>
    </row>
    <row r="3866" spans="2:5">
      <c r="B3866" s="15" t="s">
        <v>5417</v>
      </c>
      <c r="C3866" s="15" t="s">
        <v>896</v>
      </c>
      <c r="D3866" s="15" t="s">
        <v>776</v>
      </c>
      <c r="E3866" s="15" t="s">
        <v>5423</v>
      </c>
    </row>
    <row r="3867" ht="15.95" spans="2:2">
      <c r="B3867" s="122" t="s">
        <v>5424</v>
      </c>
    </row>
    <row r="3868" spans="2:5">
      <c r="B3868" s="15" t="s">
        <v>5425</v>
      </c>
      <c r="C3868" s="15" t="s">
        <v>5425</v>
      </c>
      <c r="D3868" s="15" t="s">
        <v>723</v>
      </c>
      <c r="E3868" s="15" t="s">
        <v>5426</v>
      </c>
    </row>
    <row r="3869" spans="2:5">
      <c r="B3869" s="15" t="s">
        <v>5425</v>
      </c>
      <c r="C3869" s="15" t="s">
        <v>5425</v>
      </c>
      <c r="D3869" s="15" t="s">
        <v>725</v>
      </c>
      <c r="E3869" s="15" t="s">
        <v>5427</v>
      </c>
    </row>
    <row r="3870" spans="2:5">
      <c r="B3870" s="15" t="s">
        <v>5425</v>
      </c>
      <c r="C3870" s="15" t="s">
        <v>5425</v>
      </c>
      <c r="D3870" s="15" t="s">
        <v>727</v>
      </c>
      <c r="E3870" s="15" t="s">
        <v>5428</v>
      </c>
    </row>
    <row r="3871" spans="2:5">
      <c r="B3871" s="15" t="s">
        <v>5425</v>
      </c>
      <c r="C3871" s="15" t="s">
        <v>5425</v>
      </c>
      <c r="D3871" s="15" t="s">
        <v>729</v>
      </c>
      <c r="E3871" s="15" t="s">
        <v>235</v>
      </c>
    </row>
    <row r="3872" ht="15.95" spans="2:2">
      <c r="B3872" s="122" t="s">
        <v>5429</v>
      </c>
    </row>
    <row r="3873" spans="2:5">
      <c r="B3873" s="15" t="s">
        <v>5430</v>
      </c>
      <c r="C3873" s="15" t="s">
        <v>5430</v>
      </c>
      <c r="D3873" s="15" t="s">
        <v>770</v>
      </c>
      <c r="E3873" s="15" t="s">
        <v>5431</v>
      </c>
    </row>
    <row r="3874" spans="2:5">
      <c r="B3874" s="15" t="s">
        <v>5430</v>
      </c>
      <c r="C3874" s="15" t="s">
        <v>5430</v>
      </c>
      <c r="D3874" s="15" t="s">
        <v>772</v>
      </c>
      <c r="E3874" s="15" t="s">
        <v>4445</v>
      </c>
    </row>
    <row r="3875" spans="2:5">
      <c r="B3875" s="15" t="s">
        <v>5430</v>
      </c>
      <c r="C3875" s="15" t="s">
        <v>5430</v>
      </c>
      <c r="D3875" s="15" t="s">
        <v>774</v>
      </c>
      <c r="E3875" s="15" t="s">
        <v>5432</v>
      </c>
    </row>
    <row r="3876" spans="2:5">
      <c r="B3876" s="15" t="s">
        <v>5430</v>
      </c>
      <c r="C3876" s="15" t="s">
        <v>5430</v>
      </c>
      <c r="D3876" s="15" t="s">
        <v>828</v>
      </c>
      <c r="E3876" s="15" t="s">
        <v>4447</v>
      </c>
    </row>
    <row r="3877" spans="2:5">
      <c r="B3877" s="15" t="s">
        <v>5430</v>
      </c>
      <c r="C3877" s="15" t="s">
        <v>5430</v>
      </c>
      <c r="D3877" s="15" t="s">
        <v>901</v>
      </c>
      <c r="E3877" s="15" t="s">
        <v>4448</v>
      </c>
    </row>
    <row r="3878" ht="15.95" spans="2:2">
      <c r="B3878" s="122" t="s">
        <v>5433</v>
      </c>
    </row>
    <row r="3879" spans="2:5">
      <c r="B3879" s="15" t="s">
        <v>5434</v>
      </c>
      <c r="C3879" s="15" t="s">
        <v>5434</v>
      </c>
      <c r="D3879" s="15" t="s">
        <v>723</v>
      </c>
      <c r="E3879" s="15" t="s">
        <v>1446</v>
      </c>
    </row>
    <row r="3880" spans="2:5">
      <c r="B3880" s="15" t="s">
        <v>5434</v>
      </c>
      <c r="C3880" s="15" t="s">
        <v>5434</v>
      </c>
      <c r="D3880" s="15" t="s">
        <v>725</v>
      </c>
      <c r="E3880" s="15" t="s">
        <v>1203</v>
      </c>
    </row>
    <row r="3881" spans="2:5">
      <c r="B3881" s="15" t="s">
        <v>5434</v>
      </c>
      <c r="C3881" s="15" t="s">
        <v>5434</v>
      </c>
      <c r="D3881" s="15" t="s">
        <v>727</v>
      </c>
      <c r="E3881" s="15" t="s">
        <v>1447</v>
      </c>
    </row>
    <row r="3882" ht="15.95" spans="2:2">
      <c r="B3882" s="122" t="s">
        <v>5435</v>
      </c>
    </row>
    <row r="3883" spans="2:5">
      <c r="B3883" s="15" t="s">
        <v>5436</v>
      </c>
      <c r="C3883" s="15" t="s">
        <v>5436</v>
      </c>
      <c r="D3883" s="15" t="s">
        <v>770</v>
      </c>
      <c r="E3883" s="15" t="s">
        <v>3229</v>
      </c>
    </row>
    <row r="3884" spans="2:5">
      <c r="B3884" s="15" t="s">
        <v>5436</v>
      </c>
      <c r="C3884" s="15" t="s">
        <v>5436</v>
      </c>
      <c r="D3884" s="15" t="s">
        <v>772</v>
      </c>
      <c r="E3884" s="15" t="s">
        <v>3230</v>
      </c>
    </row>
    <row r="3885" spans="2:5">
      <c r="B3885" s="15" t="s">
        <v>5436</v>
      </c>
      <c r="C3885" s="15" t="s">
        <v>5436</v>
      </c>
      <c r="D3885" s="15" t="s">
        <v>774</v>
      </c>
      <c r="E3885" s="15" t="s">
        <v>3231</v>
      </c>
    </row>
    <row r="3886" spans="2:5">
      <c r="B3886" s="15" t="s">
        <v>5436</v>
      </c>
      <c r="C3886" s="15" t="s">
        <v>5436</v>
      </c>
      <c r="D3886" s="15" t="s">
        <v>828</v>
      </c>
      <c r="E3886" s="15" t="s">
        <v>3232</v>
      </c>
    </row>
    <row r="3887" ht="15.95" spans="2:2">
      <c r="B3887" s="122" t="s">
        <v>5437</v>
      </c>
    </row>
    <row r="3888" spans="2:5">
      <c r="B3888" s="15" t="s">
        <v>5438</v>
      </c>
      <c r="C3888" s="15" t="s">
        <v>896</v>
      </c>
      <c r="D3888" s="15" t="s">
        <v>770</v>
      </c>
      <c r="E3888" s="15" t="s">
        <v>1713</v>
      </c>
    </row>
    <row r="3889" spans="2:5">
      <c r="B3889" s="15" t="s">
        <v>5438</v>
      </c>
      <c r="C3889" s="15" t="s">
        <v>896</v>
      </c>
      <c r="D3889" s="15" t="s">
        <v>772</v>
      </c>
      <c r="E3889" s="15" t="s">
        <v>1712</v>
      </c>
    </row>
    <row r="3890" ht="15.95" spans="2:2">
      <c r="B3890" s="122" t="s">
        <v>5439</v>
      </c>
    </row>
    <row r="3891" spans="2:5">
      <c r="B3891" s="15" t="s">
        <v>5440</v>
      </c>
      <c r="C3891" s="15" t="s">
        <v>5440</v>
      </c>
      <c r="D3891" s="15" t="s">
        <v>723</v>
      </c>
      <c r="E3891" s="15" t="s">
        <v>5441</v>
      </c>
    </row>
    <row r="3892" spans="2:5">
      <c r="B3892" s="15" t="s">
        <v>5440</v>
      </c>
      <c r="C3892" s="15" t="s">
        <v>5440</v>
      </c>
      <c r="D3892" s="15" t="s">
        <v>725</v>
      </c>
      <c r="E3892" s="15" t="s">
        <v>5442</v>
      </c>
    </row>
    <row r="3893" ht="15.95" spans="2:2">
      <c r="B3893" s="122" t="s">
        <v>5443</v>
      </c>
    </row>
    <row r="3894" spans="2:5">
      <c r="B3894" s="15" t="s">
        <v>5444</v>
      </c>
      <c r="C3894" s="15" t="s">
        <v>5445</v>
      </c>
      <c r="D3894" s="15" t="s">
        <v>5446</v>
      </c>
      <c r="E3894" s="15" t="s">
        <v>4439</v>
      </c>
    </row>
    <row r="3895" spans="2:5">
      <c r="B3895" s="15" t="s">
        <v>5444</v>
      </c>
      <c r="C3895" s="15" t="s">
        <v>5445</v>
      </c>
      <c r="D3895" s="15" t="s">
        <v>5447</v>
      </c>
      <c r="E3895" s="15" t="s">
        <v>4441</v>
      </c>
    </row>
    <row r="3896" spans="2:5">
      <c r="B3896" s="15" t="s">
        <v>5444</v>
      </c>
      <c r="C3896" s="15" t="s">
        <v>5445</v>
      </c>
      <c r="D3896" s="15" t="s">
        <v>5448</v>
      </c>
      <c r="E3896" s="15" t="s">
        <v>5449</v>
      </c>
    </row>
    <row r="3897" ht="15.95" spans="2:2">
      <c r="B3897" s="122" t="s">
        <v>5450</v>
      </c>
    </row>
    <row r="3898" spans="2:5">
      <c r="B3898" s="15" t="s">
        <v>5451</v>
      </c>
      <c r="C3898" s="15" t="s">
        <v>5451</v>
      </c>
      <c r="D3898" s="15" t="s">
        <v>770</v>
      </c>
      <c r="E3898" s="15" t="s">
        <v>3801</v>
      </c>
    </row>
    <row r="3899" spans="2:5">
      <c r="B3899" s="15" t="s">
        <v>5451</v>
      </c>
      <c r="C3899" s="15" t="s">
        <v>5451</v>
      </c>
      <c r="D3899" s="15" t="s">
        <v>772</v>
      </c>
      <c r="E3899" s="15" t="s">
        <v>3802</v>
      </c>
    </row>
    <row r="3900" spans="2:5">
      <c r="B3900" s="15" t="s">
        <v>5451</v>
      </c>
      <c r="C3900" s="15" t="s">
        <v>5451</v>
      </c>
      <c r="D3900" s="15" t="s">
        <v>774</v>
      </c>
      <c r="E3900" s="15" t="s">
        <v>5452</v>
      </c>
    </row>
    <row r="3901" spans="2:5">
      <c r="B3901" s="15" t="s">
        <v>5451</v>
      </c>
      <c r="C3901" s="15" t="s">
        <v>5451</v>
      </c>
      <c r="D3901" s="15" t="s">
        <v>828</v>
      </c>
      <c r="E3901" s="15" t="s">
        <v>235</v>
      </c>
    </row>
    <row r="3902" ht="15.95" spans="2:2">
      <c r="B3902" s="122" t="s">
        <v>5453</v>
      </c>
    </row>
    <row r="3903" spans="2:5">
      <c r="B3903" s="15" t="s">
        <v>5454</v>
      </c>
      <c r="C3903" s="15" t="s">
        <v>5455</v>
      </c>
      <c r="D3903" s="15" t="s">
        <v>635</v>
      </c>
      <c r="E3903" s="15" t="s">
        <v>5456</v>
      </c>
    </row>
    <row r="3904" spans="2:5">
      <c r="B3904" s="15" t="s">
        <v>5454</v>
      </c>
      <c r="C3904" s="15" t="s">
        <v>5455</v>
      </c>
      <c r="D3904" s="15" t="s">
        <v>659</v>
      </c>
      <c r="E3904" s="15" t="s">
        <v>5457</v>
      </c>
    </row>
    <row r="3905" ht="15.95" spans="2:2">
      <c r="B3905" s="122" t="s">
        <v>5458</v>
      </c>
    </row>
    <row r="3906" spans="2:5">
      <c r="B3906" s="15" t="s">
        <v>5459</v>
      </c>
      <c r="C3906" s="15" t="s">
        <v>5460</v>
      </c>
      <c r="D3906" s="15" t="s">
        <v>770</v>
      </c>
      <c r="E3906" s="15" t="s">
        <v>5461</v>
      </c>
    </row>
    <row r="3907" spans="2:5">
      <c r="B3907" s="15" t="s">
        <v>5459</v>
      </c>
      <c r="C3907" s="15" t="s">
        <v>5460</v>
      </c>
      <c r="D3907" s="15" t="s">
        <v>772</v>
      </c>
      <c r="E3907" s="15" t="s">
        <v>5462</v>
      </c>
    </row>
    <row r="3908" ht="15.95" spans="2:2">
      <c r="B3908" s="122" t="s">
        <v>5463</v>
      </c>
    </row>
    <row r="3909" spans="2:5">
      <c r="B3909" s="15" t="s">
        <v>5464</v>
      </c>
      <c r="C3909" s="15" t="s">
        <v>5465</v>
      </c>
      <c r="D3909" s="15" t="s">
        <v>1432</v>
      </c>
      <c r="E3909" s="15" t="s">
        <v>5466</v>
      </c>
    </row>
    <row r="3910" spans="2:5">
      <c r="B3910" s="15" t="s">
        <v>5464</v>
      </c>
      <c r="C3910" s="15" t="s">
        <v>5465</v>
      </c>
      <c r="D3910" s="15" t="s">
        <v>723</v>
      </c>
      <c r="E3910" s="15" t="s">
        <v>5467</v>
      </c>
    </row>
    <row r="3911" spans="2:5">
      <c r="B3911" s="15" t="s">
        <v>5464</v>
      </c>
      <c r="C3911" s="15" t="s">
        <v>5465</v>
      </c>
      <c r="D3911" s="15" t="s">
        <v>725</v>
      </c>
      <c r="E3911" s="15" t="s">
        <v>5468</v>
      </c>
    </row>
    <row r="3912" spans="2:5">
      <c r="B3912" s="15" t="s">
        <v>5464</v>
      </c>
      <c r="C3912" s="15" t="s">
        <v>5465</v>
      </c>
      <c r="D3912" s="15" t="s">
        <v>727</v>
      </c>
      <c r="E3912" s="15" t="s">
        <v>5469</v>
      </c>
    </row>
    <row r="3913" spans="2:5">
      <c r="B3913" s="15" t="s">
        <v>5464</v>
      </c>
      <c r="C3913" s="15" t="s">
        <v>5465</v>
      </c>
      <c r="D3913" s="15" t="s">
        <v>729</v>
      </c>
      <c r="E3913" s="15" t="s">
        <v>5470</v>
      </c>
    </row>
    <row r="3914" ht="15.95" spans="2:2">
      <c r="B3914" s="122" t="s">
        <v>5471</v>
      </c>
    </row>
    <row r="3915" spans="2:5">
      <c r="B3915" s="15" t="s">
        <v>5472</v>
      </c>
      <c r="C3915" s="15" t="s">
        <v>5473</v>
      </c>
      <c r="D3915" s="15" t="s">
        <v>635</v>
      </c>
      <c r="E3915" s="15" t="s">
        <v>5474</v>
      </c>
    </row>
    <row r="3916" spans="2:5">
      <c r="B3916" s="15" t="s">
        <v>5472</v>
      </c>
      <c r="C3916" s="15" t="s">
        <v>5473</v>
      </c>
      <c r="D3916" s="15" t="s">
        <v>659</v>
      </c>
      <c r="E3916" s="15" t="s">
        <v>1450</v>
      </c>
    </row>
    <row r="3917" spans="2:5">
      <c r="B3917" s="15" t="s">
        <v>5472</v>
      </c>
      <c r="C3917" s="15" t="s">
        <v>5473</v>
      </c>
      <c r="D3917" s="15" t="s">
        <v>679</v>
      </c>
      <c r="E3917" s="15" t="s">
        <v>5475</v>
      </c>
    </row>
    <row r="3918" ht="15.95" spans="2:2">
      <c r="B3918" s="122" t="s">
        <v>5476</v>
      </c>
    </row>
    <row r="3919" spans="2:5">
      <c r="B3919" s="15" t="s">
        <v>5477</v>
      </c>
      <c r="C3919" s="15" t="s">
        <v>5478</v>
      </c>
      <c r="D3919" s="15" t="s">
        <v>5479</v>
      </c>
      <c r="E3919" s="15" t="s">
        <v>5480</v>
      </c>
    </row>
    <row r="3920" spans="2:5">
      <c r="B3920" s="15" t="s">
        <v>5477</v>
      </c>
      <c r="C3920" s="15" t="s">
        <v>5478</v>
      </c>
      <c r="D3920" s="15" t="s">
        <v>5481</v>
      </c>
      <c r="E3920" s="15" t="s">
        <v>5482</v>
      </c>
    </row>
    <row r="3921" spans="2:5">
      <c r="B3921" s="15" t="s">
        <v>5477</v>
      </c>
      <c r="C3921" s="15" t="s">
        <v>5478</v>
      </c>
      <c r="D3921" s="15" t="s">
        <v>5483</v>
      </c>
      <c r="E3921" s="15" t="s">
        <v>5484</v>
      </c>
    </row>
    <row r="3922" spans="2:5">
      <c r="B3922" s="15" t="s">
        <v>5477</v>
      </c>
      <c r="C3922" s="15" t="s">
        <v>5478</v>
      </c>
      <c r="D3922" s="15" t="s">
        <v>5485</v>
      </c>
      <c r="E3922" s="15" t="s">
        <v>5486</v>
      </c>
    </row>
    <row r="3923" spans="2:5">
      <c r="B3923" s="15" t="s">
        <v>5477</v>
      </c>
      <c r="C3923" s="15" t="s">
        <v>5478</v>
      </c>
      <c r="D3923" s="15" t="s">
        <v>5487</v>
      </c>
      <c r="E3923" s="15" t="s">
        <v>5488</v>
      </c>
    </row>
    <row r="3924" spans="2:5">
      <c r="B3924" s="15" t="s">
        <v>5477</v>
      </c>
      <c r="C3924" s="15" t="s">
        <v>5478</v>
      </c>
      <c r="D3924" s="15" t="s">
        <v>5489</v>
      </c>
      <c r="E3924" s="15" t="s">
        <v>5490</v>
      </c>
    </row>
    <row r="3925" ht="15.95" spans="2:2">
      <c r="B3925" s="122" t="s">
        <v>5491</v>
      </c>
    </row>
    <row r="3926" spans="2:5">
      <c r="B3926" s="15" t="s">
        <v>5492</v>
      </c>
      <c r="C3926" s="15" t="s">
        <v>896</v>
      </c>
      <c r="D3926" s="15" t="s">
        <v>770</v>
      </c>
      <c r="E3926" s="15" t="s">
        <v>1450</v>
      </c>
    </row>
    <row r="3927" spans="2:5">
      <c r="B3927" s="15" t="s">
        <v>5492</v>
      </c>
      <c r="C3927" s="15" t="s">
        <v>896</v>
      </c>
      <c r="D3927" s="15" t="s">
        <v>772</v>
      </c>
      <c r="E3927" s="15" t="s">
        <v>1451</v>
      </c>
    </row>
    <row r="3928" spans="2:5">
      <c r="B3928" s="15" t="s">
        <v>5492</v>
      </c>
      <c r="C3928" s="15" t="s">
        <v>896</v>
      </c>
      <c r="D3928" s="15" t="s">
        <v>774</v>
      </c>
      <c r="E3928" s="15" t="s">
        <v>1452</v>
      </c>
    </row>
    <row r="3929" ht="15.95" spans="2:2">
      <c r="B3929" s="122" t="s">
        <v>5493</v>
      </c>
    </row>
    <row r="3930" spans="2:5">
      <c r="B3930" s="15" t="s">
        <v>5494</v>
      </c>
      <c r="C3930" s="15" t="s">
        <v>5494</v>
      </c>
      <c r="D3930" s="15" t="s">
        <v>723</v>
      </c>
      <c r="E3930" s="15" t="s">
        <v>1201</v>
      </c>
    </row>
    <row r="3931" spans="2:5">
      <c r="B3931" s="15" t="s">
        <v>5494</v>
      </c>
      <c r="C3931" s="15" t="s">
        <v>5494</v>
      </c>
      <c r="D3931" s="15" t="s">
        <v>725</v>
      </c>
      <c r="E3931" s="15" t="s">
        <v>1202</v>
      </c>
    </row>
    <row r="3932" spans="2:5">
      <c r="B3932" s="15" t="s">
        <v>5494</v>
      </c>
      <c r="C3932" s="15" t="s">
        <v>5494</v>
      </c>
      <c r="D3932" s="15" t="s">
        <v>727</v>
      </c>
      <c r="E3932" s="15" t="s">
        <v>1203</v>
      </c>
    </row>
    <row r="3933" spans="2:5">
      <c r="B3933" s="15" t="s">
        <v>5494</v>
      </c>
      <c r="C3933" s="15" t="s">
        <v>5494</v>
      </c>
      <c r="D3933" s="15" t="s">
        <v>729</v>
      </c>
      <c r="E3933" s="15" t="s">
        <v>1936</v>
      </c>
    </row>
    <row r="3934" ht="15.95" spans="2:2">
      <c r="B3934" s="122" t="s">
        <v>5495</v>
      </c>
    </row>
    <row r="3935" spans="2:5">
      <c r="B3935" s="15" t="s">
        <v>5496</v>
      </c>
      <c r="C3935" s="15" t="s">
        <v>5497</v>
      </c>
      <c r="D3935" s="15" t="s">
        <v>770</v>
      </c>
      <c r="E3935" s="15" t="s">
        <v>5498</v>
      </c>
    </row>
    <row r="3936" spans="2:5">
      <c r="B3936" s="15" t="s">
        <v>5496</v>
      </c>
      <c r="C3936" s="15" t="s">
        <v>5497</v>
      </c>
      <c r="D3936" s="15" t="s">
        <v>772</v>
      </c>
      <c r="E3936" s="15" t="s">
        <v>5499</v>
      </c>
    </row>
    <row r="3937" spans="2:5">
      <c r="B3937" s="15" t="s">
        <v>5496</v>
      </c>
      <c r="C3937" s="15" t="s">
        <v>5497</v>
      </c>
      <c r="D3937" s="15" t="s">
        <v>774</v>
      </c>
      <c r="E3937" s="15" t="s">
        <v>5500</v>
      </c>
    </row>
    <row r="3938" spans="2:5">
      <c r="B3938" s="15" t="s">
        <v>5496</v>
      </c>
      <c r="C3938" s="15" t="s">
        <v>5497</v>
      </c>
      <c r="D3938" s="15" t="s">
        <v>828</v>
      </c>
      <c r="E3938" s="15" t="s">
        <v>5501</v>
      </c>
    </row>
    <row r="3939" spans="2:5">
      <c r="B3939" s="15" t="s">
        <v>5496</v>
      </c>
      <c r="C3939" s="15" t="s">
        <v>5497</v>
      </c>
      <c r="D3939" s="15" t="s">
        <v>901</v>
      </c>
      <c r="E3939" s="15" t="s">
        <v>5502</v>
      </c>
    </row>
    <row r="3940" spans="2:5">
      <c r="B3940" s="15" t="s">
        <v>5496</v>
      </c>
      <c r="C3940" s="15" t="s">
        <v>5497</v>
      </c>
      <c r="D3940" s="15" t="s">
        <v>776</v>
      </c>
      <c r="E3940" s="15" t="s">
        <v>5503</v>
      </c>
    </row>
    <row r="3941" spans="2:5">
      <c r="B3941" s="15" t="s">
        <v>5496</v>
      </c>
      <c r="C3941" s="15" t="s">
        <v>5497</v>
      </c>
      <c r="D3941" s="15" t="s">
        <v>1290</v>
      </c>
      <c r="E3941" s="15" t="s">
        <v>5504</v>
      </c>
    </row>
    <row r="3942" spans="2:5">
      <c r="B3942" s="15" t="s">
        <v>5496</v>
      </c>
      <c r="C3942" s="15" t="s">
        <v>5497</v>
      </c>
      <c r="D3942" s="15" t="s">
        <v>1409</v>
      </c>
      <c r="E3942" s="15" t="s">
        <v>5505</v>
      </c>
    </row>
    <row r="3943" spans="2:5">
      <c r="B3943" s="15" t="s">
        <v>5496</v>
      </c>
      <c r="C3943" s="15" t="s">
        <v>5497</v>
      </c>
      <c r="D3943" s="15" t="s">
        <v>1411</v>
      </c>
      <c r="E3943" s="15" t="s">
        <v>5506</v>
      </c>
    </row>
    <row r="3944" ht="15.95" spans="2:2">
      <c r="B3944" s="122" t="s">
        <v>5507</v>
      </c>
    </row>
    <row r="3945" spans="2:5">
      <c r="B3945" s="15" t="s">
        <v>5508</v>
      </c>
      <c r="C3945" s="15" t="s">
        <v>5509</v>
      </c>
      <c r="D3945" s="15" t="s">
        <v>770</v>
      </c>
      <c r="E3945" s="15" t="s">
        <v>5510</v>
      </c>
    </row>
    <row r="3946" spans="2:5">
      <c r="B3946" s="15" t="s">
        <v>5508</v>
      </c>
      <c r="C3946" s="15" t="s">
        <v>5509</v>
      </c>
      <c r="D3946" s="15" t="s">
        <v>772</v>
      </c>
      <c r="E3946" s="15" t="s">
        <v>5511</v>
      </c>
    </row>
    <row r="3947" spans="2:5">
      <c r="B3947" s="15" t="s">
        <v>5508</v>
      </c>
      <c r="C3947" s="15" t="s">
        <v>5509</v>
      </c>
      <c r="D3947" s="15" t="s">
        <v>774</v>
      </c>
      <c r="E3947" s="15" t="s">
        <v>5512</v>
      </c>
    </row>
    <row r="3948" spans="2:5">
      <c r="B3948" s="15" t="s">
        <v>5508</v>
      </c>
      <c r="C3948" s="15" t="s">
        <v>5509</v>
      </c>
      <c r="D3948" s="15" t="s">
        <v>828</v>
      </c>
      <c r="E3948" s="15" t="s">
        <v>5513</v>
      </c>
    </row>
    <row r="3949" spans="2:5">
      <c r="B3949" s="15" t="s">
        <v>5508</v>
      </c>
      <c r="C3949" s="15" t="s">
        <v>5509</v>
      </c>
      <c r="D3949" s="15" t="s">
        <v>901</v>
      </c>
      <c r="E3949" s="15" t="s">
        <v>5514</v>
      </c>
    </row>
    <row r="3950" spans="2:5">
      <c r="B3950" s="15" t="s">
        <v>5508</v>
      </c>
      <c r="C3950" s="15" t="s">
        <v>5509</v>
      </c>
      <c r="D3950" s="15" t="s">
        <v>776</v>
      </c>
      <c r="E3950" s="15" t="s">
        <v>1083</v>
      </c>
    </row>
    <row r="3951" spans="2:5">
      <c r="B3951" s="15" t="s">
        <v>5508</v>
      </c>
      <c r="C3951" s="15" t="s">
        <v>5509</v>
      </c>
      <c r="D3951" s="15" t="s">
        <v>1290</v>
      </c>
      <c r="E3951" s="15" t="s">
        <v>5515</v>
      </c>
    </row>
    <row r="3952" spans="2:5">
      <c r="B3952" s="15" t="s">
        <v>5508</v>
      </c>
      <c r="C3952" s="15" t="s">
        <v>5509</v>
      </c>
      <c r="D3952" s="15" t="s">
        <v>1409</v>
      </c>
      <c r="E3952" s="15" t="s">
        <v>5516</v>
      </c>
    </row>
    <row r="3953" spans="2:5">
      <c r="B3953" s="15" t="s">
        <v>5508</v>
      </c>
      <c r="C3953" s="15" t="s">
        <v>5509</v>
      </c>
      <c r="D3953" s="15" t="s">
        <v>1411</v>
      </c>
      <c r="E3953" s="15" t="s">
        <v>5517</v>
      </c>
    </row>
    <row r="3954" spans="2:5">
      <c r="B3954" s="15" t="s">
        <v>5508</v>
      </c>
      <c r="C3954" s="15" t="s">
        <v>5509</v>
      </c>
      <c r="D3954" s="15" t="s">
        <v>933</v>
      </c>
      <c r="E3954" s="15" t="s">
        <v>5518</v>
      </c>
    </row>
    <row r="3955" spans="2:5">
      <c r="B3955" s="15" t="s">
        <v>5508</v>
      </c>
      <c r="C3955" s="15" t="s">
        <v>5509</v>
      </c>
      <c r="D3955" s="15" t="s">
        <v>1059</v>
      </c>
      <c r="E3955" s="15" t="s">
        <v>0</v>
      </c>
    </row>
    <row r="3956" spans="2:5">
      <c r="B3956" s="15" t="s">
        <v>5508</v>
      </c>
      <c r="C3956" s="15" t="s">
        <v>5509</v>
      </c>
      <c r="D3956" s="15" t="s">
        <v>1061</v>
      </c>
      <c r="E3956" s="15" t="s">
        <v>235</v>
      </c>
    </row>
    <row r="3957" ht="15.95" spans="2:2">
      <c r="B3957" s="122" t="s">
        <v>5519</v>
      </c>
    </row>
    <row r="3958" spans="2:5">
      <c r="B3958" s="15" t="s">
        <v>5520</v>
      </c>
      <c r="C3958" s="15" t="s">
        <v>5521</v>
      </c>
      <c r="D3958" s="15" t="s">
        <v>635</v>
      </c>
      <c r="E3958" s="15" t="s">
        <v>4161</v>
      </c>
    </row>
    <row r="3959" spans="2:5">
      <c r="B3959" s="15" t="s">
        <v>5520</v>
      </c>
      <c r="C3959" s="15" t="s">
        <v>5521</v>
      </c>
      <c r="D3959" s="15" t="s">
        <v>659</v>
      </c>
      <c r="E3959" s="15" t="s">
        <v>5522</v>
      </c>
    </row>
    <row r="3960" spans="2:5">
      <c r="B3960" s="15" t="s">
        <v>5520</v>
      </c>
      <c r="C3960" s="15" t="s">
        <v>5521</v>
      </c>
      <c r="D3960" s="15" t="s">
        <v>679</v>
      </c>
      <c r="E3960" s="15" t="s">
        <v>948</v>
      </c>
    </row>
    <row r="3961" ht="15.95" spans="2:2">
      <c r="B3961" s="122" t="s">
        <v>5523</v>
      </c>
    </row>
    <row r="3962" spans="2:5">
      <c r="B3962" s="15" t="s">
        <v>5524</v>
      </c>
      <c r="C3962" s="15" t="s">
        <v>5286</v>
      </c>
      <c r="D3962" s="15" t="s">
        <v>5287</v>
      </c>
      <c r="E3962" s="15" t="s">
        <v>5288</v>
      </c>
    </row>
    <row r="3963" spans="2:5">
      <c r="B3963" s="15" t="s">
        <v>5524</v>
      </c>
      <c r="C3963" s="15" t="s">
        <v>5286</v>
      </c>
      <c r="D3963" s="15" t="s">
        <v>5289</v>
      </c>
      <c r="E3963" s="15" t="s">
        <v>5290</v>
      </c>
    </row>
    <row r="3964" spans="2:5">
      <c r="B3964" s="15" t="s">
        <v>5524</v>
      </c>
      <c r="C3964" s="15" t="s">
        <v>5286</v>
      </c>
      <c r="D3964" s="15" t="s">
        <v>1592</v>
      </c>
      <c r="E3964" s="15" t="s">
        <v>5291</v>
      </c>
    </row>
    <row r="3965" ht="15.95" spans="2:2">
      <c r="B3965" s="122" t="s">
        <v>5525</v>
      </c>
    </row>
    <row r="3966" spans="2:5">
      <c r="B3966" s="15" t="s">
        <v>5526</v>
      </c>
      <c r="C3966" s="15" t="s">
        <v>5527</v>
      </c>
      <c r="D3966" s="15" t="s">
        <v>3834</v>
      </c>
      <c r="E3966" s="15" t="s">
        <v>3835</v>
      </c>
    </row>
    <row r="3967" spans="2:5">
      <c r="B3967" s="15" t="s">
        <v>5526</v>
      </c>
      <c r="C3967" s="15" t="s">
        <v>5527</v>
      </c>
      <c r="D3967" s="15" t="s">
        <v>3836</v>
      </c>
      <c r="E3967" s="15" t="s">
        <v>3837</v>
      </c>
    </row>
    <row r="3968" spans="2:5">
      <c r="B3968" s="15" t="s">
        <v>5526</v>
      </c>
      <c r="C3968" s="15" t="s">
        <v>5527</v>
      </c>
      <c r="D3968" s="15" t="s">
        <v>3839</v>
      </c>
      <c r="E3968" s="15" t="s">
        <v>3840</v>
      </c>
    </row>
    <row r="3969" spans="2:5">
      <c r="B3969" s="15" t="s">
        <v>5526</v>
      </c>
      <c r="C3969" s="15" t="s">
        <v>5527</v>
      </c>
      <c r="D3969" s="15" t="s">
        <v>3772</v>
      </c>
      <c r="E3969" s="15" t="s">
        <v>3773</v>
      </c>
    </row>
    <row r="3970" spans="2:5">
      <c r="B3970" s="15" t="s">
        <v>5526</v>
      </c>
      <c r="C3970" s="15" t="s">
        <v>5527</v>
      </c>
      <c r="D3970" s="15" t="s">
        <v>3841</v>
      </c>
      <c r="E3970" s="15" t="s">
        <v>3842</v>
      </c>
    </row>
    <row r="3971" spans="2:5">
      <c r="B3971" s="15" t="s">
        <v>5526</v>
      </c>
      <c r="C3971" s="15" t="s">
        <v>5527</v>
      </c>
      <c r="D3971" s="15" t="s">
        <v>3843</v>
      </c>
      <c r="E3971" s="15" t="s">
        <v>3844</v>
      </c>
    </row>
    <row r="3972" ht="15.95" spans="2:2">
      <c r="B3972" s="122" t="s">
        <v>5528</v>
      </c>
    </row>
    <row r="3973" spans="2:5">
      <c r="B3973" s="15" t="s">
        <v>5529</v>
      </c>
      <c r="C3973" s="15" t="s">
        <v>2151</v>
      </c>
      <c r="D3973" s="15" t="s">
        <v>1432</v>
      </c>
      <c r="E3973" s="15" t="s">
        <v>5530</v>
      </c>
    </row>
    <row r="3974" spans="2:5">
      <c r="B3974" s="15" t="s">
        <v>5529</v>
      </c>
      <c r="C3974" s="15" t="s">
        <v>2151</v>
      </c>
      <c r="D3974" s="15" t="s">
        <v>723</v>
      </c>
      <c r="E3974" s="15" t="s">
        <v>5531</v>
      </c>
    </row>
    <row r="3975" spans="2:5">
      <c r="B3975" s="15" t="s">
        <v>5529</v>
      </c>
      <c r="C3975" s="15" t="s">
        <v>2151</v>
      </c>
      <c r="D3975" s="15" t="s">
        <v>725</v>
      </c>
      <c r="E3975" s="15" t="s">
        <v>5532</v>
      </c>
    </row>
    <row r="3976" spans="2:5">
      <c r="B3976" s="15" t="s">
        <v>5529</v>
      </c>
      <c r="C3976" s="15" t="s">
        <v>2151</v>
      </c>
      <c r="D3976" s="15" t="s">
        <v>5533</v>
      </c>
      <c r="E3976" s="15" t="s">
        <v>5534</v>
      </c>
    </row>
    <row r="3977" ht="15.95" spans="2:2">
      <c r="B3977" s="122" t="s">
        <v>5535</v>
      </c>
    </row>
    <row r="3978" spans="2:5">
      <c r="B3978" s="15" t="s">
        <v>5536</v>
      </c>
      <c r="C3978" s="15" t="s">
        <v>896</v>
      </c>
      <c r="D3978" s="15" t="s">
        <v>723</v>
      </c>
      <c r="E3978" s="15" t="s">
        <v>1980</v>
      </c>
    </row>
    <row r="3979" spans="2:5">
      <c r="B3979" s="15" t="s">
        <v>5536</v>
      </c>
      <c r="C3979" s="15" t="s">
        <v>896</v>
      </c>
      <c r="D3979" s="15" t="s">
        <v>725</v>
      </c>
      <c r="E3979" s="15" t="s">
        <v>1981</v>
      </c>
    </row>
    <row r="3980" spans="2:5">
      <c r="B3980" s="15" t="s">
        <v>5536</v>
      </c>
      <c r="C3980" s="15" t="s">
        <v>896</v>
      </c>
      <c r="D3980" s="15" t="s">
        <v>727</v>
      </c>
      <c r="E3980" s="15" t="s">
        <v>1982</v>
      </c>
    </row>
    <row r="3981" spans="2:5">
      <c r="B3981" s="15" t="s">
        <v>5536</v>
      </c>
      <c r="C3981" s="15" t="s">
        <v>896</v>
      </c>
      <c r="D3981" s="15" t="s">
        <v>729</v>
      </c>
      <c r="E3981" s="15" t="s">
        <v>1983</v>
      </c>
    </row>
    <row r="3982" spans="2:5">
      <c r="B3982" s="15" t="s">
        <v>5536</v>
      </c>
      <c r="C3982" s="15" t="s">
        <v>896</v>
      </c>
      <c r="D3982" s="15" t="s">
        <v>760</v>
      </c>
      <c r="E3982" s="15" t="s">
        <v>1984</v>
      </c>
    </row>
    <row r="3983" ht="15.95" spans="2:2">
      <c r="B3983" s="122" t="s">
        <v>5537</v>
      </c>
    </row>
    <row r="3984" spans="2:5">
      <c r="B3984" s="15" t="s">
        <v>5538</v>
      </c>
      <c r="C3984" s="15" t="s">
        <v>5539</v>
      </c>
      <c r="D3984" s="15" t="s">
        <v>635</v>
      </c>
      <c r="E3984" s="15" t="s">
        <v>5540</v>
      </c>
    </row>
    <row r="3985" spans="2:5">
      <c r="B3985" s="15" t="s">
        <v>5538</v>
      </c>
      <c r="C3985" s="15" t="s">
        <v>5539</v>
      </c>
      <c r="D3985" s="15" t="s">
        <v>659</v>
      </c>
      <c r="E3985" s="15" t="s">
        <v>5541</v>
      </c>
    </row>
    <row r="3986" spans="2:5">
      <c r="B3986" s="15" t="s">
        <v>5538</v>
      </c>
      <c r="C3986" s="15" t="s">
        <v>5539</v>
      </c>
      <c r="D3986" s="15" t="s">
        <v>679</v>
      </c>
      <c r="E3986" s="15" t="s">
        <v>5542</v>
      </c>
    </row>
    <row r="3987" spans="2:5">
      <c r="B3987" s="15" t="s">
        <v>5538</v>
      </c>
      <c r="C3987" s="15" t="s">
        <v>5539</v>
      </c>
      <c r="D3987" s="15" t="s">
        <v>705</v>
      </c>
      <c r="E3987" s="15" t="s">
        <v>5543</v>
      </c>
    </row>
    <row r="3988" spans="2:5">
      <c r="B3988" s="15" t="s">
        <v>5538</v>
      </c>
      <c r="C3988" s="15" t="s">
        <v>5539</v>
      </c>
      <c r="D3988" s="15" t="s">
        <v>709</v>
      </c>
      <c r="E3988" s="15" t="s">
        <v>5544</v>
      </c>
    </row>
    <row r="3989" spans="2:5">
      <c r="B3989" s="15" t="s">
        <v>5538</v>
      </c>
      <c r="C3989" s="15" t="s">
        <v>5539</v>
      </c>
      <c r="D3989" s="15" t="s">
        <v>838</v>
      </c>
      <c r="E3989" s="15" t="s">
        <v>5545</v>
      </c>
    </row>
    <row r="3990" spans="2:5">
      <c r="B3990" s="15" t="s">
        <v>5538</v>
      </c>
      <c r="C3990" s="15" t="s">
        <v>5539</v>
      </c>
      <c r="D3990" s="15" t="s">
        <v>840</v>
      </c>
      <c r="E3990" s="15" t="s">
        <v>5546</v>
      </c>
    </row>
    <row r="3991" spans="2:5">
      <c r="B3991" s="15" t="s">
        <v>5538</v>
      </c>
      <c r="C3991" s="15" t="s">
        <v>5539</v>
      </c>
      <c r="D3991" s="15" t="s">
        <v>842</v>
      </c>
      <c r="E3991" s="15" t="s">
        <v>5547</v>
      </c>
    </row>
    <row r="3992" spans="2:5">
      <c r="B3992" s="15" t="s">
        <v>5538</v>
      </c>
      <c r="C3992" s="15" t="s">
        <v>5539</v>
      </c>
      <c r="D3992" s="15" t="s">
        <v>844</v>
      </c>
      <c r="E3992" s="15" t="s">
        <v>5548</v>
      </c>
    </row>
    <row r="3993" spans="2:5">
      <c r="B3993" s="15" t="s">
        <v>5538</v>
      </c>
      <c r="C3993" s="15" t="s">
        <v>5539</v>
      </c>
      <c r="D3993" s="15" t="s">
        <v>846</v>
      </c>
      <c r="E3993" s="15" t="s">
        <v>5549</v>
      </c>
    </row>
    <row r="3994" spans="2:5">
      <c r="B3994" s="15" t="s">
        <v>5538</v>
      </c>
      <c r="C3994" s="15" t="s">
        <v>5539</v>
      </c>
      <c r="D3994" s="15" t="s">
        <v>713</v>
      </c>
      <c r="E3994" s="15" t="s">
        <v>5550</v>
      </c>
    </row>
    <row r="3995" spans="2:5">
      <c r="B3995" s="15" t="s">
        <v>5538</v>
      </c>
      <c r="C3995" s="15" t="s">
        <v>5539</v>
      </c>
      <c r="D3995" s="15" t="s">
        <v>849</v>
      </c>
      <c r="E3995" s="15" t="s">
        <v>5551</v>
      </c>
    </row>
    <row r="3996" spans="2:5">
      <c r="B3996" s="15" t="s">
        <v>5538</v>
      </c>
      <c r="C3996" s="15" t="s">
        <v>5539</v>
      </c>
      <c r="D3996" s="15" t="s">
        <v>851</v>
      </c>
      <c r="E3996" s="15" t="s">
        <v>5552</v>
      </c>
    </row>
    <row r="3997" spans="2:5">
      <c r="B3997" s="15" t="s">
        <v>5538</v>
      </c>
      <c r="C3997" s="15" t="s">
        <v>5539</v>
      </c>
      <c r="D3997" s="15" t="s">
        <v>853</v>
      </c>
      <c r="E3997" s="15" t="s">
        <v>960</v>
      </c>
    </row>
    <row r="3998" spans="2:5">
      <c r="B3998" s="15" t="s">
        <v>5538</v>
      </c>
      <c r="C3998" s="15" t="s">
        <v>5539</v>
      </c>
      <c r="D3998" s="15" t="s">
        <v>855</v>
      </c>
      <c r="E3998" s="15" t="s">
        <v>5553</v>
      </c>
    </row>
    <row r="3999" spans="2:5">
      <c r="B3999" s="15" t="s">
        <v>5538</v>
      </c>
      <c r="C3999" s="15" t="s">
        <v>5539</v>
      </c>
      <c r="D3999" s="15" t="s">
        <v>857</v>
      </c>
      <c r="E3999" s="15" t="s">
        <v>5554</v>
      </c>
    </row>
    <row r="4000" spans="2:5">
      <c r="B4000" s="15" t="s">
        <v>5538</v>
      </c>
      <c r="C4000" s="15" t="s">
        <v>5539</v>
      </c>
      <c r="D4000" s="15" t="s">
        <v>859</v>
      </c>
      <c r="E4000" s="15" t="s">
        <v>5555</v>
      </c>
    </row>
    <row r="4001" spans="2:5">
      <c r="B4001" s="15" t="s">
        <v>5538</v>
      </c>
      <c r="C4001" s="15" t="s">
        <v>5539</v>
      </c>
      <c r="D4001" s="15" t="s">
        <v>861</v>
      </c>
      <c r="E4001" s="15" t="s">
        <v>5556</v>
      </c>
    </row>
    <row r="4002" spans="2:5">
      <c r="B4002" s="15" t="s">
        <v>5538</v>
      </c>
      <c r="C4002" s="15" t="s">
        <v>5539</v>
      </c>
      <c r="D4002" s="15" t="s">
        <v>5557</v>
      </c>
      <c r="E4002" s="15" t="s">
        <v>5558</v>
      </c>
    </row>
    <row r="4003" spans="2:5">
      <c r="B4003" s="15" t="s">
        <v>5538</v>
      </c>
      <c r="C4003" s="15" t="s">
        <v>5539</v>
      </c>
      <c r="D4003" s="15" t="s">
        <v>5559</v>
      </c>
      <c r="E4003" s="15" t="s">
        <v>5560</v>
      </c>
    </row>
    <row r="4004" spans="2:5">
      <c r="B4004" s="15" t="s">
        <v>5538</v>
      </c>
      <c r="C4004" s="15" t="s">
        <v>5539</v>
      </c>
      <c r="D4004" s="15" t="s">
        <v>5561</v>
      </c>
      <c r="E4004" s="15" t="s">
        <v>5562</v>
      </c>
    </row>
    <row r="4005" spans="2:5">
      <c r="B4005" s="15" t="s">
        <v>5538</v>
      </c>
      <c r="C4005" s="15" t="s">
        <v>5539</v>
      </c>
      <c r="D4005" s="15" t="s">
        <v>5563</v>
      </c>
      <c r="E4005" s="15" t="s">
        <v>5564</v>
      </c>
    </row>
    <row r="4006" spans="2:5">
      <c r="B4006" s="15" t="s">
        <v>5538</v>
      </c>
      <c r="C4006" s="15" t="s">
        <v>5539</v>
      </c>
      <c r="D4006" s="15" t="s">
        <v>5565</v>
      </c>
      <c r="E4006" s="15" t="s">
        <v>5566</v>
      </c>
    </row>
    <row r="4007" spans="2:5">
      <c r="B4007" s="15" t="s">
        <v>5538</v>
      </c>
      <c r="C4007" s="15" t="s">
        <v>5539</v>
      </c>
      <c r="D4007" s="15" t="s">
        <v>5567</v>
      </c>
      <c r="E4007" s="15" t="s">
        <v>5568</v>
      </c>
    </row>
    <row r="4008" spans="2:5">
      <c r="B4008" s="15" t="s">
        <v>5538</v>
      </c>
      <c r="C4008" s="15" t="s">
        <v>5539</v>
      </c>
      <c r="D4008" s="15" t="s">
        <v>5569</v>
      </c>
      <c r="E4008" s="15" t="s">
        <v>5570</v>
      </c>
    </row>
    <row r="4009" spans="2:5">
      <c r="B4009" s="15" t="s">
        <v>5538</v>
      </c>
      <c r="C4009" s="15" t="s">
        <v>5539</v>
      </c>
      <c r="D4009" s="15" t="s">
        <v>5571</v>
      </c>
      <c r="E4009" s="15" t="s">
        <v>5572</v>
      </c>
    </row>
    <row r="4010" spans="2:5">
      <c r="B4010" s="15" t="s">
        <v>5538</v>
      </c>
      <c r="C4010" s="15" t="s">
        <v>5539</v>
      </c>
      <c r="D4010" s="15" t="s">
        <v>5573</v>
      </c>
      <c r="E4010" s="15" t="s">
        <v>5574</v>
      </c>
    </row>
    <row r="4011" spans="2:5">
      <c r="B4011" s="15" t="s">
        <v>5538</v>
      </c>
      <c r="C4011" s="15" t="s">
        <v>5539</v>
      </c>
      <c r="D4011" s="15" t="s">
        <v>5575</v>
      </c>
      <c r="E4011" s="15" t="s">
        <v>5576</v>
      </c>
    </row>
    <row r="4012" spans="2:5">
      <c r="B4012" s="15" t="s">
        <v>5538</v>
      </c>
      <c r="C4012" s="15" t="s">
        <v>5539</v>
      </c>
      <c r="D4012" s="15" t="s">
        <v>5577</v>
      </c>
      <c r="E4012" s="15" t="s">
        <v>5578</v>
      </c>
    </row>
    <row r="4013" spans="2:5">
      <c r="B4013" s="15" t="s">
        <v>5538</v>
      </c>
      <c r="C4013" s="15" t="s">
        <v>5539</v>
      </c>
      <c r="D4013" s="15" t="s">
        <v>5579</v>
      </c>
      <c r="E4013" s="15" t="s">
        <v>5580</v>
      </c>
    </row>
    <row r="4014" spans="2:5">
      <c r="B4014" s="15" t="s">
        <v>5538</v>
      </c>
      <c r="C4014" s="15" t="s">
        <v>5539</v>
      </c>
      <c r="D4014" s="15" t="s">
        <v>5581</v>
      </c>
      <c r="E4014" s="15" t="s">
        <v>5582</v>
      </c>
    </row>
    <row r="4015" spans="2:5">
      <c r="B4015" s="15" t="s">
        <v>5538</v>
      </c>
      <c r="C4015" s="15" t="s">
        <v>5539</v>
      </c>
      <c r="D4015" s="15" t="s">
        <v>5583</v>
      </c>
      <c r="E4015" s="15" t="s">
        <v>5584</v>
      </c>
    </row>
    <row r="4016" spans="2:5">
      <c r="B4016" s="15" t="s">
        <v>5538</v>
      </c>
      <c r="C4016" s="15" t="s">
        <v>5539</v>
      </c>
      <c r="D4016" s="15" t="s">
        <v>5585</v>
      </c>
      <c r="E4016" s="15" t="s">
        <v>5586</v>
      </c>
    </row>
    <row r="4017" spans="2:5">
      <c r="B4017" s="15" t="s">
        <v>5538</v>
      </c>
      <c r="C4017" s="15" t="s">
        <v>5539</v>
      </c>
      <c r="D4017" s="15" t="s">
        <v>5587</v>
      </c>
      <c r="E4017" s="15" t="s">
        <v>5588</v>
      </c>
    </row>
    <row r="4018" spans="2:5">
      <c r="B4018" s="15" t="s">
        <v>5538</v>
      </c>
      <c r="C4018" s="15" t="s">
        <v>5539</v>
      </c>
      <c r="D4018" s="15" t="s">
        <v>5589</v>
      </c>
      <c r="E4018" s="15" t="s">
        <v>5590</v>
      </c>
    </row>
    <row r="4019" spans="2:5">
      <c r="B4019" s="15" t="s">
        <v>5538</v>
      </c>
      <c r="C4019" s="15" t="s">
        <v>5539</v>
      </c>
      <c r="D4019" s="15" t="s">
        <v>5591</v>
      </c>
      <c r="E4019" s="15" t="s">
        <v>2555</v>
      </c>
    </row>
    <row r="4020" spans="2:5">
      <c r="B4020" s="15" t="s">
        <v>5538</v>
      </c>
      <c r="C4020" s="15" t="s">
        <v>5539</v>
      </c>
      <c r="D4020" s="15" t="s">
        <v>5592</v>
      </c>
      <c r="E4020" s="15" t="s">
        <v>5593</v>
      </c>
    </row>
    <row r="4021" spans="2:5">
      <c r="B4021" s="15" t="s">
        <v>5538</v>
      </c>
      <c r="C4021" s="15" t="s">
        <v>5539</v>
      </c>
      <c r="D4021" s="15" t="s">
        <v>5594</v>
      </c>
      <c r="E4021" s="15" t="s">
        <v>5595</v>
      </c>
    </row>
    <row r="4022" spans="2:5">
      <c r="B4022" s="15" t="s">
        <v>5538</v>
      </c>
      <c r="C4022" s="15" t="s">
        <v>5539</v>
      </c>
      <c r="D4022" s="15" t="s">
        <v>5596</v>
      </c>
      <c r="E4022" s="15" t="s">
        <v>235</v>
      </c>
    </row>
    <row r="4023" ht="15.95" spans="2:2">
      <c r="B4023" s="122" t="s">
        <v>5597</v>
      </c>
    </row>
    <row r="4024" spans="2:5">
      <c r="B4024" s="15" t="s">
        <v>5598</v>
      </c>
      <c r="C4024" s="15" t="s">
        <v>5599</v>
      </c>
      <c r="D4024" s="15" t="s">
        <v>635</v>
      </c>
      <c r="E4024" s="15" t="s">
        <v>5600</v>
      </c>
    </row>
    <row r="4025" spans="2:5">
      <c r="B4025" s="15" t="s">
        <v>5598</v>
      </c>
      <c r="C4025" s="15" t="s">
        <v>5599</v>
      </c>
      <c r="D4025" s="15" t="s">
        <v>659</v>
      </c>
      <c r="E4025" s="15" t="s">
        <v>5601</v>
      </c>
    </row>
    <row r="4026" ht="15.95" spans="2:2">
      <c r="B4026" s="122" t="s">
        <v>5602</v>
      </c>
    </row>
    <row r="4027" spans="2:5">
      <c r="B4027" s="15" t="s">
        <v>5603</v>
      </c>
      <c r="C4027" s="15" t="s">
        <v>5604</v>
      </c>
      <c r="D4027" s="15" t="s">
        <v>770</v>
      </c>
      <c r="E4027" s="15" t="s">
        <v>5605</v>
      </c>
    </row>
    <row r="4028" spans="2:5">
      <c r="B4028" s="15" t="s">
        <v>5603</v>
      </c>
      <c r="C4028" s="15" t="s">
        <v>5604</v>
      </c>
      <c r="D4028" s="15" t="s">
        <v>772</v>
      </c>
      <c r="E4028" s="15" t="s">
        <v>5606</v>
      </c>
    </row>
    <row r="4029" ht="15.95" spans="2:2">
      <c r="B4029" s="122" t="s">
        <v>5607</v>
      </c>
    </row>
    <row r="4030" spans="2:5">
      <c r="B4030" s="15" t="s">
        <v>5608</v>
      </c>
      <c r="C4030" s="15" t="s">
        <v>896</v>
      </c>
      <c r="D4030" s="15" t="s">
        <v>770</v>
      </c>
      <c r="E4030" s="15" t="s">
        <v>4384</v>
      </c>
    </row>
    <row r="4031" spans="2:5">
      <c r="B4031" s="15" t="s">
        <v>5608</v>
      </c>
      <c r="C4031" s="15" t="s">
        <v>896</v>
      </c>
      <c r="D4031" s="15" t="s">
        <v>772</v>
      </c>
      <c r="E4031" s="15" t="s">
        <v>4385</v>
      </c>
    </row>
    <row r="4032" spans="2:5">
      <c r="B4032" s="15" t="s">
        <v>5608</v>
      </c>
      <c r="C4032" s="15" t="s">
        <v>896</v>
      </c>
      <c r="D4032" s="15" t="s">
        <v>774</v>
      </c>
      <c r="E4032" s="15" t="s">
        <v>4386</v>
      </c>
    </row>
    <row r="4033" spans="2:5">
      <c r="B4033" s="15" t="s">
        <v>5608</v>
      </c>
      <c r="C4033" s="15" t="s">
        <v>896</v>
      </c>
      <c r="D4033" s="15" t="s">
        <v>828</v>
      </c>
      <c r="E4033" s="15" t="s">
        <v>4387</v>
      </c>
    </row>
    <row r="4034" ht="15.95" spans="2:2">
      <c r="B4034" s="122" t="s">
        <v>5609</v>
      </c>
    </row>
    <row r="4035" spans="2:5">
      <c r="B4035" s="15" t="s">
        <v>5610</v>
      </c>
      <c r="C4035" s="15" t="s">
        <v>5611</v>
      </c>
      <c r="D4035" s="15" t="s">
        <v>770</v>
      </c>
      <c r="E4035" s="15" t="s">
        <v>5612</v>
      </c>
    </row>
    <row r="4036" spans="2:5">
      <c r="B4036" s="15" t="s">
        <v>5610</v>
      </c>
      <c r="C4036" s="15" t="s">
        <v>5611</v>
      </c>
      <c r="D4036" s="15" t="s">
        <v>772</v>
      </c>
      <c r="E4036" s="15" t="s">
        <v>4109</v>
      </c>
    </row>
    <row r="4037" ht="15.95" spans="2:2">
      <c r="B4037" s="122" t="s">
        <v>5613</v>
      </c>
    </row>
    <row r="4038" spans="2:5">
      <c r="B4038" s="15" t="s">
        <v>5614</v>
      </c>
      <c r="C4038" s="15" t="s">
        <v>5614</v>
      </c>
      <c r="D4038" s="15" t="s">
        <v>723</v>
      </c>
      <c r="E4038" s="15" t="s">
        <v>5615</v>
      </c>
    </row>
    <row r="4039" spans="2:5">
      <c r="B4039" s="15" t="s">
        <v>5614</v>
      </c>
      <c r="C4039" s="15" t="s">
        <v>5614</v>
      </c>
      <c r="D4039" s="15" t="s">
        <v>725</v>
      </c>
      <c r="E4039" s="15" t="s">
        <v>5616</v>
      </c>
    </row>
    <row r="4040" spans="2:5">
      <c r="B4040" s="15" t="s">
        <v>5614</v>
      </c>
      <c r="C4040" s="15" t="s">
        <v>5614</v>
      </c>
      <c r="D4040" s="15" t="s">
        <v>727</v>
      </c>
      <c r="E4040" s="15" t="s">
        <v>5617</v>
      </c>
    </row>
    <row r="4041" spans="2:5">
      <c r="B4041" s="15" t="s">
        <v>5614</v>
      </c>
      <c r="C4041" s="15" t="s">
        <v>5614</v>
      </c>
      <c r="D4041" s="15" t="s">
        <v>729</v>
      </c>
      <c r="E4041" s="15" t="s">
        <v>5618</v>
      </c>
    </row>
    <row r="4042" spans="2:5">
      <c r="B4042" s="15" t="s">
        <v>5614</v>
      </c>
      <c r="C4042" s="15" t="s">
        <v>5614</v>
      </c>
      <c r="D4042" s="15" t="s">
        <v>760</v>
      </c>
      <c r="E4042" s="15" t="s">
        <v>1432</v>
      </c>
    </row>
    <row r="4043" ht="15.95" spans="2:2">
      <c r="B4043" s="122" t="s">
        <v>5619</v>
      </c>
    </row>
    <row r="4044" spans="2:5">
      <c r="B4044" s="15" t="s">
        <v>5620</v>
      </c>
      <c r="C4044" s="15" t="s">
        <v>5620</v>
      </c>
      <c r="D4044" s="15" t="s">
        <v>770</v>
      </c>
      <c r="E4044" s="15" t="s">
        <v>5621</v>
      </c>
    </row>
    <row r="4045" spans="2:5">
      <c r="B4045" s="15" t="s">
        <v>5620</v>
      </c>
      <c r="C4045" s="15" t="s">
        <v>5620</v>
      </c>
      <c r="D4045" s="15" t="s">
        <v>772</v>
      </c>
      <c r="E4045" s="15" t="s">
        <v>5622</v>
      </c>
    </row>
    <row r="4046" spans="2:5">
      <c r="B4046" s="15" t="s">
        <v>5620</v>
      </c>
      <c r="C4046" s="15" t="s">
        <v>5620</v>
      </c>
      <c r="D4046" s="15" t="s">
        <v>774</v>
      </c>
      <c r="E4046" s="15" t="s">
        <v>5623</v>
      </c>
    </row>
    <row r="4047" spans="2:5">
      <c r="B4047" s="15" t="s">
        <v>5620</v>
      </c>
      <c r="C4047" s="15" t="s">
        <v>5620</v>
      </c>
      <c r="D4047" s="15" t="s">
        <v>828</v>
      </c>
      <c r="E4047" s="15" t="s">
        <v>5032</v>
      </c>
    </row>
    <row r="4048" ht="15.95" spans="2:2">
      <c r="B4048" s="122" t="s">
        <v>5624</v>
      </c>
    </row>
    <row r="4049" spans="2:5">
      <c r="B4049" s="15" t="s">
        <v>5625</v>
      </c>
      <c r="C4049" s="15" t="s">
        <v>5625</v>
      </c>
      <c r="D4049" s="15" t="s">
        <v>770</v>
      </c>
      <c r="E4049" s="15" t="s">
        <v>5626</v>
      </c>
    </row>
    <row r="4050" spans="2:5">
      <c r="B4050" s="15" t="s">
        <v>5625</v>
      </c>
      <c r="C4050" s="15" t="s">
        <v>5625</v>
      </c>
      <c r="D4050" s="15" t="s">
        <v>772</v>
      </c>
      <c r="E4050" s="15" t="s">
        <v>5627</v>
      </c>
    </row>
    <row r="4051" spans="2:5">
      <c r="B4051" s="15" t="s">
        <v>5625</v>
      </c>
      <c r="C4051" s="15" t="s">
        <v>5625</v>
      </c>
      <c r="D4051" s="15" t="s">
        <v>774</v>
      </c>
      <c r="E4051" s="15" t="s">
        <v>5628</v>
      </c>
    </row>
    <row r="4052" spans="2:5">
      <c r="B4052" s="15" t="s">
        <v>5625</v>
      </c>
      <c r="C4052" s="15" t="s">
        <v>5625</v>
      </c>
      <c r="D4052" s="15" t="s">
        <v>828</v>
      </c>
      <c r="E4052" s="15" t="s">
        <v>5629</v>
      </c>
    </row>
    <row r="4053" spans="2:5">
      <c r="B4053" s="15" t="s">
        <v>5625</v>
      </c>
      <c r="C4053" s="15" t="s">
        <v>5625</v>
      </c>
      <c r="D4053" s="15" t="s">
        <v>901</v>
      </c>
      <c r="E4053" s="15" t="s">
        <v>5630</v>
      </c>
    </row>
    <row r="4054" ht="15.95" spans="2:2">
      <c r="B4054" s="122" t="s">
        <v>5631</v>
      </c>
    </row>
    <row r="4055" spans="2:5">
      <c r="B4055" s="15" t="s">
        <v>5632</v>
      </c>
      <c r="C4055" s="15" t="s">
        <v>5633</v>
      </c>
      <c r="D4055" s="15" t="s">
        <v>785</v>
      </c>
      <c r="E4055" s="15" t="s">
        <v>5634</v>
      </c>
    </row>
    <row r="4056" spans="2:5">
      <c r="B4056" s="15" t="s">
        <v>5632</v>
      </c>
      <c r="C4056" s="15" t="s">
        <v>5633</v>
      </c>
      <c r="D4056" s="15" t="s">
        <v>787</v>
      </c>
      <c r="E4056" s="15" t="s">
        <v>5635</v>
      </c>
    </row>
    <row r="4057" spans="2:5">
      <c r="B4057" s="15" t="s">
        <v>5632</v>
      </c>
      <c r="C4057" s="15" t="s">
        <v>5633</v>
      </c>
      <c r="D4057" s="15" t="s">
        <v>789</v>
      </c>
      <c r="E4057" s="15" t="s">
        <v>5636</v>
      </c>
    </row>
    <row r="4058" spans="2:5">
      <c r="B4058" s="15" t="s">
        <v>5632</v>
      </c>
      <c r="C4058" s="15" t="s">
        <v>5633</v>
      </c>
      <c r="D4058" s="15" t="s">
        <v>791</v>
      </c>
      <c r="E4058" s="15" t="s">
        <v>5637</v>
      </c>
    </row>
    <row r="4059" spans="2:5">
      <c r="B4059" s="15" t="s">
        <v>5632</v>
      </c>
      <c r="C4059" s="15" t="s">
        <v>5633</v>
      </c>
      <c r="D4059" s="15" t="s">
        <v>793</v>
      </c>
      <c r="E4059" s="15" t="s">
        <v>5638</v>
      </c>
    </row>
    <row r="4060" ht="15.95" spans="2:2">
      <c r="B4060" s="122" t="s">
        <v>5639</v>
      </c>
    </row>
    <row r="4061" spans="2:5">
      <c r="B4061" s="15" t="s">
        <v>5640</v>
      </c>
      <c r="C4061" s="15" t="s">
        <v>5641</v>
      </c>
      <c r="D4061" s="15" t="s">
        <v>5642</v>
      </c>
      <c r="E4061" s="15" t="s">
        <v>3061</v>
      </c>
    </row>
    <row r="4062" spans="2:5">
      <c r="B4062" s="15" t="s">
        <v>5640</v>
      </c>
      <c r="C4062" s="15" t="s">
        <v>5641</v>
      </c>
      <c r="D4062" s="15" t="s">
        <v>5643</v>
      </c>
      <c r="E4062" s="15" t="s">
        <v>3062</v>
      </c>
    </row>
    <row r="4063" spans="2:5">
      <c r="B4063" s="15" t="s">
        <v>5640</v>
      </c>
      <c r="C4063" s="15" t="s">
        <v>5641</v>
      </c>
      <c r="D4063" s="15" t="s">
        <v>5644</v>
      </c>
      <c r="E4063" s="15" t="s">
        <v>5645</v>
      </c>
    </row>
    <row r="4064" spans="2:5">
      <c r="B4064" s="15" t="s">
        <v>5640</v>
      </c>
      <c r="C4064" s="15" t="s">
        <v>5641</v>
      </c>
      <c r="D4064" s="15" t="s">
        <v>5646</v>
      </c>
      <c r="E4064" s="15" t="s">
        <v>5647</v>
      </c>
    </row>
    <row r="4065" ht="15.95" spans="2:2">
      <c r="B4065" s="122" t="s">
        <v>5648</v>
      </c>
    </row>
    <row r="4066" spans="2:5">
      <c r="B4066" s="15" t="s">
        <v>5649</v>
      </c>
      <c r="C4066" s="15" t="s">
        <v>5649</v>
      </c>
      <c r="D4066" s="15" t="s">
        <v>5594</v>
      </c>
      <c r="E4066" s="15" t="s">
        <v>2560</v>
      </c>
    </row>
    <row r="4067" spans="2:5">
      <c r="B4067" s="15" t="s">
        <v>5649</v>
      </c>
      <c r="C4067" s="15" t="s">
        <v>5649</v>
      </c>
      <c r="D4067" s="15" t="s">
        <v>5596</v>
      </c>
      <c r="E4067" s="15" t="s">
        <v>5650</v>
      </c>
    </row>
    <row r="4068" spans="2:5">
      <c r="B4068" s="15" t="s">
        <v>5649</v>
      </c>
      <c r="C4068" s="15" t="s">
        <v>5649</v>
      </c>
      <c r="D4068" s="15" t="s">
        <v>5651</v>
      </c>
      <c r="E4068" s="15" t="s">
        <v>5652</v>
      </c>
    </row>
    <row r="4069" spans="2:5">
      <c r="B4069" s="15" t="s">
        <v>5649</v>
      </c>
      <c r="C4069" s="15" t="s">
        <v>5649</v>
      </c>
      <c r="D4069" s="15" t="s">
        <v>5653</v>
      </c>
      <c r="E4069" s="15" t="s">
        <v>5654</v>
      </c>
    </row>
    <row r="4070" spans="2:5">
      <c r="B4070" s="15" t="s">
        <v>5649</v>
      </c>
      <c r="C4070" s="15" t="s">
        <v>5649</v>
      </c>
      <c r="D4070" s="15" t="s">
        <v>5655</v>
      </c>
      <c r="E4070" s="15" t="s">
        <v>5656</v>
      </c>
    </row>
    <row r="4071" spans="2:5">
      <c r="B4071" s="15" t="s">
        <v>5649</v>
      </c>
      <c r="C4071" s="15" t="s">
        <v>5649</v>
      </c>
      <c r="D4071" s="15" t="s">
        <v>5657</v>
      </c>
      <c r="E4071" s="15" t="s">
        <v>5658</v>
      </c>
    </row>
    <row r="4072" ht="15.95" spans="2:2">
      <c r="B4072" s="122" t="s">
        <v>5659</v>
      </c>
    </row>
    <row r="4073" spans="2:5">
      <c r="B4073" s="15" t="s">
        <v>5660</v>
      </c>
      <c r="C4073" s="15" t="s">
        <v>5661</v>
      </c>
      <c r="D4073" s="15" t="s">
        <v>723</v>
      </c>
      <c r="E4073" s="15" t="s">
        <v>5662</v>
      </c>
    </row>
    <row r="4074" spans="2:5">
      <c r="B4074" s="15" t="s">
        <v>5660</v>
      </c>
      <c r="C4074" s="15" t="s">
        <v>5661</v>
      </c>
      <c r="D4074" s="15" t="s">
        <v>933</v>
      </c>
      <c r="E4074" s="15" t="s">
        <v>5663</v>
      </c>
    </row>
    <row r="4075" spans="2:5">
      <c r="B4075" s="15" t="s">
        <v>5660</v>
      </c>
      <c r="C4075" s="15" t="s">
        <v>5661</v>
      </c>
      <c r="D4075" s="15" t="s">
        <v>1059</v>
      </c>
      <c r="E4075" s="15" t="s">
        <v>5664</v>
      </c>
    </row>
    <row r="4076" spans="2:5">
      <c r="B4076" s="15" t="s">
        <v>5660</v>
      </c>
      <c r="C4076" s="15" t="s">
        <v>5661</v>
      </c>
      <c r="D4076" s="15" t="s">
        <v>1061</v>
      </c>
      <c r="E4076" s="15" t="s">
        <v>5665</v>
      </c>
    </row>
    <row r="4077" spans="2:5">
      <c r="B4077" s="15" t="s">
        <v>5660</v>
      </c>
      <c r="C4077" s="15" t="s">
        <v>5661</v>
      </c>
      <c r="D4077" s="15" t="s">
        <v>1063</v>
      </c>
      <c r="E4077" s="15" t="s">
        <v>5666</v>
      </c>
    </row>
    <row r="4078" spans="2:5">
      <c r="B4078" s="15" t="s">
        <v>5660</v>
      </c>
      <c r="C4078" s="15" t="s">
        <v>5661</v>
      </c>
      <c r="D4078" s="15" t="s">
        <v>1065</v>
      </c>
      <c r="E4078" s="15" t="s">
        <v>5667</v>
      </c>
    </row>
    <row r="4079" spans="2:5">
      <c r="B4079" s="15" t="s">
        <v>5660</v>
      </c>
      <c r="C4079" s="15" t="s">
        <v>5661</v>
      </c>
      <c r="D4079" s="15" t="s">
        <v>935</v>
      </c>
      <c r="E4079" s="15" t="s">
        <v>5668</v>
      </c>
    </row>
    <row r="4080" spans="2:5">
      <c r="B4080" s="15" t="s">
        <v>5660</v>
      </c>
      <c r="C4080" s="15" t="s">
        <v>5661</v>
      </c>
      <c r="D4080" s="15" t="s">
        <v>1068</v>
      </c>
      <c r="E4080" s="15" t="s">
        <v>5669</v>
      </c>
    </row>
    <row r="4081" spans="2:5">
      <c r="B4081" s="15" t="s">
        <v>5660</v>
      </c>
      <c r="C4081" s="15" t="s">
        <v>5661</v>
      </c>
      <c r="D4081" s="15" t="s">
        <v>1070</v>
      </c>
      <c r="E4081" s="15" t="s">
        <v>5670</v>
      </c>
    </row>
    <row r="4082" spans="2:5">
      <c r="B4082" s="15" t="s">
        <v>5660</v>
      </c>
      <c r="C4082" s="15" t="s">
        <v>5661</v>
      </c>
      <c r="D4082" s="15" t="s">
        <v>1072</v>
      </c>
      <c r="E4082" s="15" t="s">
        <v>5671</v>
      </c>
    </row>
    <row r="4083" spans="2:5">
      <c r="B4083" s="15" t="s">
        <v>5660</v>
      </c>
      <c r="C4083" s="15" t="s">
        <v>5661</v>
      </c>
      <c r="D4083" s="15" t="s">
        <v>1074</v>
      </c>
      <c r="E4083" s="15" t="s">
        <v>5672</v>
      </c>
    </row>
    <row r="4084" spans="2:5">
      <c r="B4084" s="15" t="s">
        <v>5660</v>
      </c>
      <c r="C4084" s="15" t="s">
        <v>5661</v>
      </c>
      <c r="D4084" s="15" t="s">
        <v>725</v>
      </c>
      <c r="E4084" s="15" t="s">
        <v>5673</v>
      </c>
    </row>
    <row r="4085" spans="2:5">
      <c r="B4085" s="15" t="s">
        <v>5660</v>
      </c>
      <c r="C4085" s="15" t="s">
        <v>5661</v>
      </c>
      <c r="D4085" s="15" t="s">
        <v>937</v>
      </c>
      <c r="E4085" s="15" t="s">
        <v>5674</v>
      </c>
    </row>
    <row r="4086" spans="2:5">
      <c r="B4086" s="15" t="s">
        <v>5660</v>
      </c>
      <c r="C4086" s="15" t="s">
        <v>5661</v>
      </c>
      <c r="D4086" s="15" t="s">
        <v>727</v>
      </c>
      <c r="E4086" s="15" t="s">
        <v>5675</v>
      </c>
    </row>
    <row r="4087" spans="2:5">
      <c r="B4087" s="15" t="s">
        <v>5660</v>
      </c>
      <c r="C4087" s="15" t="s">
        <v>5661</v>
      </c>
      <c r="D4087" s="15" t="s">
        <v>729</v>
      </c>
      <c r="E4087" s="15" t="s">
        <v>5676</v>
      </c>
    </row>
    <row r="4088" spans="2:5">
      <c r="B4088" s="15" t="s">
        <v>5660</v>
      </c>
      <c r="C4088" s="15" t="s">
        <v>5661</v>
      </c>
      <c r="D4088" s="15" t="s">
        <v>760</v>
      </c>
      <c r="E4088" s="15" t="s">
        <v>5677</v>
      </c>
    </row>
    <row r="4089" spans="2:5">
      <c r="B4089" s="15" t="s">
        <v>5660</v>
      </c>
      <c r="C4089" s="15" t="s">
        <v>5661</v>
      </c>
      <c r="D4089" s="15" t="s">
        <v>762</v>
      </c>
      <c r="E4089" s="15" t="s">
        <v>5678</v>
      </c>
    </row>
    <row r="4090" spans="2:5">
      <c r="B4090" s="15" t="s">
        <v>5660</v>
      </c>
      <c r="C4090" s="15" t="s">
        <v>5661</v>
      </c>
      <c r="D4090" s="15" t="s">
        <v>764</v>
      </c>
      <c r="E4090" s="15" t="s">
        <v>5679</v>
      </c>
    </row>
    <row r="4091" spans="2:5">
      <c r="B4091" s="15" t="s">
        <v>5660</v>
      </c>
      <c r="C4091" s="15" t="s">
        <v>5661</v>
      </c>
      <c r="D4091" s="15" t="s">
        <v>1587</v>
      </c>
      <c r="E4091" s="15" t="s">
        <v>5680</v>
      </c>
    </row>
    <row r="4092" spans="2:5">
      <c r="B4092" s="15" t="s">
        <v>5660</v>
      </c>
      <c r="C4092" s="15" t="s">
        <v>5661</v>
      </c>
      <c r="D4092" s="15" t="s">
        <v>765</v>
      </c>
      <c r="E4092" s="15" t="s">
        <v>5681</v>
      </c>
    </row>
    <row r="4093" spans="2:5">
      <c r="B4093" s="15" t="s">
        <v>5660</v>
      </c>
      <c r="C4093" s="15" t="s">
        <v>5661</v>
      </c>
      <c r="D4093" s="15" t="s">
        <v>5682</v>
      </c>
      <c r="E4093" s="15" t="s">
        <v>5683</v>
      </c>
    </row>
    <row r="4094" ht="15.95" spans="2:2">
      <c r="B4094" s="122" t="s">
        <v>5684</v>
      </c>
    </row>
    <row r="4095" spans="2:5">
      <c r="B4095" s="15" t="s">
        <v>5685</v>
      </c>
      <c r="C4095" s="15" t="s">
        <v>5686</v>
      </c>
      <c r="D4095" s="15" t="s">
        <v>770</v>
      </c>
      <c r="E4095" s="15" t="s">
        <v>1439</v>
      </c>
    </row>
    <row r="4096" spans="2:5">
      <c r="B4096" s="15" t="s">
        <v>5685</v>
      </c>
      <c r="C4096" s="15" t="s">
        <v>5686</v>
      </c>
      <c r="D4096" s="15" t="s">
        <v>772</v>
      </c>
      <c r="E4096" s="15" t="s">
        <v>5687</v>
      </c>
    </row>
    <row r="4097" spans="2:5">
      <c r="B4097" s="15" t="s">
        <v>5685</v>
      </c>
      <c r="C4097" s="15" t="s">
        <v>5686</v>
      </c>
      <c r="D4097" s="15" t="s">
        <v>774</v>
      </c>
      <c r="E4097" s="15" t="s">
        <v>5688</v>
      </c>
    </row>
    <row r="4098" spans="2:5">
      <c r="B4098" s="15" t="s">
        <v>5685</v>
      </c>
      <c r="C4098" s="15" t="s">
        <v>5686</v>
      </c>
      <c r="D4098" s="15" t="s">
        <v>828</v>
      </c>
      <c r="E4098" s="15" t="s">
        <v>5689</v>
      </c>
    </row>
    <row r="4099" spans="2:5">
      <c r="B4099" s="15" t="s">
        <v>5685</v>
      </c>
      <c r="C4099" s="15" t="s">
        <v>5686</v>
      </c>
      <c r="D4099" s="15" t="s">
        <v>901</v>
      </c>
      <c r="E4099" s="15" t="s">
        <v>5690</v>
      </c>
    </row>
    <row r="4100" ht="15.95" spans="2:2">
      <c r="B4100" s="122" t="s">
        <v>5691</v>
      </c>
    </row>
    <row r="4101" spans="2:5">
      <c r="B4101" s="15" t="s">
        <v>5692</v>
      </c>
      <c r="C4101" s="15" t="s">
        <v>5693</v>
      </c>
      <c r="D4101" s="15" t="s">
        <v>1162</v>
      </c>
      <c r="E4101" s="15" t="s">
        <v>1150</v>
      </c>
    </row>
    <row r="4102" spans="2:5">
      <c r="B4102" s="15" t="s">
        <v>5692</v>
      </c>
      <c r="C4102" s="15" t="s">
        <v>5693</v>
      </c>
      <c r="D4102" s="15" t="s">
        <v>1163</v>
      </c>
      <c r="E4102" s="15" t="s">
        <v>1152</v>
      </c>
    </row>
    <row r="4103" spans="2:5">
      <c r="B4103" s="15" t="s">
        <v>5692</v>
      </c>
      <c r="C4103" s="15" t="s">
        <v>5693</v>
      </c>
      <c r="D4103" s="15" t="s">
        <v>1164</v>
      </c>
      <c r="E4103" s="15" t="s">
        <v>1165</v>
      </c>
    </row>
    <row r="4104" spans="2:5">
      <c r="B4104" s="15" t="s">
        <v>5692</v>
      </c>
      <c r="C4104" s="15" t="s">
        <v>5693</v>
      </c>
      <c r="D4104" s="15" t="s">
        <v>1166</v>
      </c>
      <c r="E4104" s="15" t="s">
        <v>1167</v>
      </c>
    </row>
    <row r="4105" spans="2:5">
      <c r="B4105" s="15" t="s">
        <v>5692</v>
      </c>
      <c r="C4105" s="15" t="s">
        <v>5693</v>
      </c>
      <c r="D4105" s="15" t="s">
        <v>1168</v>
      </c>
      <c r="E4105" s="15" t="s">
        <v>235</v>
      </c>
    </row>
    <row r="4106" ht="15.95" spans="2:2">
      <c r="B4106" s="122" t="s">
        <v>5694</v>
      </c>
    </row>
    <row r="4107" spans="2:5">
      <c r="B4107" s="15" t="s">
        <v>5695</v>
      </c>
      <c r="C4107" s="15" t="s">
        <v>5696</v>
      </c>
      <c r="D4107" s="15" t="s">
        <v>5697</v>
      </c>
      <c r="E4107" s="15" t="s">
        <v>5698</v>
      </c>
    </row>
    <row r="4108" spans="2:5">
      <c r="B4108" s="15" t="s">
        <v>5695</v>
      </c>
      <c r="C4108" s="15" t="s">
        <v>5696</v>
      </c>
      <c r="D4108" s="15" t="s">
        <v>5699</v>
      </c>
      <c r="E4108" s="15" t="s">
        <v>5700</v>
      </c>
    </row>
    <row r="4109" spans="2:5">
      <c r="B4109" s="15" t="s">
        <v>5695</v>
      </c>
      <c r="C4109" s="15" t="s">
        <v>5696</v>
      </c>
      <c r="D4109" s="15" t="s">
        <v>5701</v>
      </c>
      <c r="E4109" s="15" t="s">
        <v>5702</v>
      </c>
    </row>
    <row r="4110" spans="2:5">
      <c r="B4110" s="15" t="s">
        <v>5695</v>
      </c>
      <c r="C4110" s="15" t="s">
        <v>5696</v>
      </c>
      <c r="D4110" s="15" t="s">
        <v>5703</v>
      </c>
      <c r="E4110" s="15" t="s">
        <v>5704</v>
      </c>
    </row>
    <row r="4111" ht="15.95" spans="2:2">
      <c r="B4111" s="122" t="s">
        <v>5705</v>
      </c>
    </row>
    <row r="4112" spans="2:5">
      <c r="B4112" s="15" t="s">
        <v>5706</v>
      </c>
      <c r="C4112" s="15" t="s">
        <v>5706</v>
      </c>
      <c r="D4112" s="15" t="s">
        <v>723</v>
      </c>
      <c r="E4112" s="15" t="s">
        <v>5707</v>
      </c>
    </row>
    <row r="4113" spans="2:5">
      <c r="B4113" s="15" t="s">
        <v>5706</v>
      </c>
      <c r="C4113" s="15" t="s">
        <v>5706</v>
      </c>
      <c r="D4113" s="15" t="s">
        <v>725</v>
      </c>
      <c r="E4113" s="15" t="s">
        <v>5708</v>
      </c>
    </row>
    <row r="4114" spans="2:5">
      <c r="B4114" s="15" t="s">
        <v>5706</v>
      </c>
      <c r="C4114" s="15" t="s">
        <v>5706</v>
      </c>
      <c r="D4114" s="15" t="s">
        <v>727</v>
      </c>
      <c r="E4114" s="15" t="s">
        <v>5709</v>
      </c>
    </row>
    <row r="4115" spans="2:5">
      <c r="B4115" s="15" t="s">
        <v>5706</v>
      </c>
      <c r="C4115" s="15" t="s">
        <v>5706</v>
      </c>
      <c r="D4115" s="15" t="s">
        <v>729</v>
      </c>
      <c r="E4115" s="15" t="s">
        <v>5710</v>
      </c>
    </row>
    <row r="4116" spans="2:5">
      <c r="B4116" s="15" t="s">
        <v>5706</v>
      </c>
      <c r="C4116" s="15" t="s">
        <v>5706</v>
      </c>
      <c r="D4116" s="15" t="s">
        <v>760</v>
      </c>
      <c r="E4116" s="15" t="s">
        <v>5711</v>
      </c>
    </row>
    <row r="4117" ht="15.95" spans="2:2">
      <c r="B4117" s="122" t="s">
        <v>5712</v>
      </c>
    </row>
    <row r="4118" spans="2:5">
      <c r="B4118" s="15" t="s">
        <v>5713</v>
      </c>
      <c r="C4118" s="15" t="s">
        <v>5713</v>
      </c>
      <c r="D4118" s="15" t="s">
        <v>723</v>
      </c>
      <c r="E4118" s="15" t="s">
        <v>4469</v>
      </c>
    </row>
    <row r="4119" spans="2:5">
      <c r="B4119" s="15" t="s">
        <v>5713</v>
      </c>
      <c r="C4119" s="15" t="s">
        <v>5713</v>
      </c>
      <c r="D4119" s="15" t="s">
        <v>725</v>
      </c>
      <c r="E4119" s="15" t="s">
        <v>4470</v>
      </c>
    </row>
    <row r="4120" spans="2:5">
      <c r="B4120" s="15" t="s">
        <v>5713</v>
      </c>
      <c r="C4120" s="15" t="s">
        <v>5713</v>
      </c>
      <c r="D4120" s="15" t="s">
        <v>727</v>
      </c>
      <c r="E4120" s="15" t="s">
        <v>4471</v>
      </c>
    </row>
    <row r="4121" spans="2:5">
      <c r="B4121" s="15" t="s">
        <v>5713</v>
      </c>
      <c r="C4121" s="15" t="s">
        <v>5713</v>
      </c>
      <c r="D4121" s="15" t="s">
        <v>729</v>
      </c>
      <c r="E4121" s="15" t="s">
        <v>4472</v>
      </c>
    </row>
    <row r="4122" spans="2:5">
      <c r="B4122" s="15" t="s">
        <v>5713</v>
      </c>
      <c r="C4122" s="15" t="s">
        <v>5713</v>
      </c>
      <c r="D4122" s="15" t="s">
        <v>760</v>
      </c>
      <c r="E4122" s="15" t="s">
        <v>5714</v>
      </c>
    </row>
    <row r="4123" ht="15.95" spans="2:2">
      <c r="B4123" s="122" t="s">
        <v>5715</v>
      </c>
    </row>
    <row r="4124" spans="2:5">
      <c r="B4124" s="15" t="s">
        <v>5716</v>
      </c>
      <c r="C4124" s="15" t="s">
        <v>5717</v>
      </c>
      <c r="D4124" s="15" t="s">
        <v>5718</v>
      </c>
      <c r="E4124" s="15" t="s">
        <v>5719</v>
      </c>
    </row>
    <row r="4125" spans="2:5">
      <c r="B4125" s="15" t="s">
        <v>5716</v>
      </c>
      <c r="C4125" s="15" t="s">
        <v>5717</v>
      </c>
      <c r="D4125" s="15" t="s">
        <v>5720</v>
      </c>
      <c r="E4125" s="15" t="s">
        <v>5721</v>
      </c>
    </row>
    <row r="4126" spans="2:5">
      <c r="B4126" s="15" t="s">
        <v>5716</v>
      </c>
      <c r="C4126" s="15" t="s">
        <v>5717</v>
      </c>
      <c r="D4126" s="15" t="s">
        <v>5722</v>
      </c>
      <c r="E4126" s="15" t="s">
        <v>5723</v>
      </c>
    </row>
    <row r="4127" spans="2:5">
      <c r="B4127" s="15" t="s">
        <v>5716</v>
      </c>
      <c r="C4127" s="15" t="s">
        <v>5717</v>
      </c>
      <c r="D4127" s="15" t="s">
        <v>5724</v>
      </c>
      <c r="E4127" s="15" t="s">
        <v>5725</v>
      </c>
    </row>
    <row r="4128" spans="2:5">
      <c r="B4128" s="15" t="s">
        <v>5716</v>
      </c>
      <c r="C4128" s="15" t="s">
        <v>5717</v>
      </c>
      <c r="D4128" s="15" t="s">
        <v>5726</v>
      </c>
      <c r="E4128" s="15" t="s">
        <v>5727</v>
      </c>
    </row>
    <row r="4129" spans="2:5">
      <c r="B4129" s="15" t="s">
        <v>5716</v>
      </c>
      <c r="C4129" s="15" t="s">
        <v>5717</v>
      </c>
      <c r="D4129" s="15" t="s">
        <v>5728</v>
      </c>
      <c r="E4129" s="15" t="s">
        <v>5729</v>
      </c>
    </row>
    <row r="4130" spans="2:5">
      <c r="B4130" s="15" t="s">
        <v>5716</v>
      </c>
      <c r="C4130" s="15" t="s">
        <v>5717</v>
      </c>
      <c r="D4130" s="15" t="s">
        <v>5730</v>
      </c>
      <c r="E4130" s="15" t="s">
        <v>5731</v>
      </c>
    </row>
    <row r="4131" spans="2:5">
      <c r="B4131" s="15" t="s">
        <v>5716</v>
      </c>
      <c r="C4131" s="15" t="s">
        <v>5717</v>
      </c>
      <c r="D4131" s="15" t="s">
        <v>5732</v>
      </c>
      <c r="E4131" s="15" t="s">
        <v>5733</v>
      </c>
    </row>
    <row r="4132" ht="15.95" spans="2:2">
      <c r="B4132" s="122" t="s">
        <v>5734</v>
      </c>
    </row>
    <row r="4133" spans="2:5">
      <c r="B4133" s="15" t="s">
        <v>5735</v>
      </c>
      <c r="C4133" s="15" t="s">
        <v>5736</v>
      </c>
      <c r="D4133" s="15" t="s">
        <v>933</v>
      </c>
      <c r="E4133" s="15" t="s">
        <v>5737</v>
      </c>
    </row>
    <row r="4134" spans="2:5">
      <c r="B4134" s="15" t="s">
        <v>5735</v>
      </c>
      <c r="C4134" s="15" t="s">
        <v>5736</v>
      </c>
      <c r="D4134" s="15" t="s">
        <v>937</v>
      </c>
      <c r="E4134" s="15" t="s">
        <v>5738</v>
      </c>
    </row>
    <row r="4135" spans="2:5">
      <c r="B4135" s="15" t="s">
        <v>5735</v>
      </c>
      <c r="C4135" s="15" t="s">
        <v>5736</v>
      </c>
      <c r="D4135" s="15" t="s">
        <v>939</v>
      </c>
      <c r="E4135" s="15" t="s">
        <v>5739</v>
      </c>
    </row>
    <row r="4136" ht="15.95" spans="2:2">
      <c r="B4136" s="122" t="s">
        <v>5740</v>
      </c>
    </row>
    <row r="4137" spans="2:5">
      <c r="B4137" s="15" t="s">
        <v>5741</v>
      </c>
      <c r="C4137" s="15" t="s">
        <v>896</v>
      </c>
      <c r="D4137" s="15" t="s">
        <v>770</v>
      </c>
      <c r="E4137" s="15" t="s">
        <v>4464</v>
      </c>
    </row>
    <row r="4138" spans="2:5">
      <c r="B4138" s="15" t="s">
        <v>5741</v>
      </c>
      <c r="C4138" s="15" t="s">
        <v>896</v>
      </c>
      <c r="D4138" s="15" t="s">
        <v>772</v>
      </c>
      <c r="E4138" s="15" t="s">
        <v>4465</v>
      </c>
    </row>
    <row r="4139" spans="2:5">
      <c r="B4139" s="15" t="s">
        <v>5741</v>
      </c>
      <c r="C4139" s="15" t="s">
        <v>896</v>
      </c>
      <c r="D4139" s="15" t="s">
        <v>774</v>
      </c>
      <c r="E4139" s="15" t="s">
        <v>4466</v>
      </c>
    </row>
    <row r="4140" spans="2:5">
      <c r="B4140" s="15" t="s">
        <v>5741</v>
      </c>
      <c r="C4140" s="15" t="s">
        <v>896</v>
      </c>
      <c r="D4140" s="15" t="s">
        <v>828</v>
      </c>
      <c r="E4140" s="15" t="s">
        <v>5742</v>
      </c>
    </row>
    <row r="4141" spans="2:5">
      <c r="B4141" s="15" t="s">
        <v>5741</v>
      </c>
      <c r="C4141" s="15" t="s">
        <v>896</v>
      </c>
      <c r="D4141" s="15" t="s">
        <v>901</v>
      </c>
      <c r="E4141" s="15" t="s">
        <v>5743</v>
      </c>
    </row>
    <row r="4142" ht="15.95" spans="2:2">
      <c r="B4142" s="122" t="s">
        <v>5744</v>
      </c>
    </row>
    <row r="4143" spans="2:5">
      <c r="B4143" s="15" t="s">
        <v>5745</v>
      </c>
      <c r="C4143" s="15" t="s">
        <v>5746</v>
      </c>
      <c r="D4143" s="15" t="s">
        <v>635</v>
      </c>
      <c r="E4143" s="15" t="s">
        <v>5747</v>
      </c>
    </row>
    <row r="4144" spans="2:5">
      <c r="B4144" s="15" t="s">
        <v>5745</v>
      </c>
      <c r="C4144" s="15" t="s">
        <v>5746</v>
      </c>
      <c r="D4144" s="15" t="s">
        <v>659</v>
      </c>
      <c r="E4144" s="15" t="s">
        <v>5748</v>
      </c>
    </row>
    <row r="4145" spans="2:5">
      <c r="B4145" s="15" t="s">
        <v>5745</v>
      </c>
      <c r="C4145" s="15" t="s">
        <v>5746</v>
      </c>
      <c r="D4145" s="15" t="s">
        <v>679</v>
      </c>
      <c r="E4145" s="15" t="s">
        <v>5749</v>
      </c>
    </row>
    <row r="4146" spans="2:5">
      <c r="B4146" s="15" t="s">
        <v>5745</v>
      </c>
      <c r="C4146" s="15" t="s">
        <v>5746</v>
      </c>
      <c r="D4146" s="15" t="s">
        <v>705</v>
      </c>
      <c r="E4146" s="15" t="s">
        <v>5750</v>
      </c>
    </row>
    <row r="4147" spans="2:5">
      <c r="B4147" s="15" t="s">
        <v>5745</v>
      </c>
      <c r="C4147" s="15" t="s">
        <v>5746</v>
      </c>
      <c r="D4147" s="15" t="s">
        <v>709</v>
      </c>
      <c r="E4147" s="15" t="s">
        <v>5751</v>
      </c>
    </row>
    <row r="4148" spans="2:5">
      <c r="B4148" s="15" t="s">
        <v>5745</v>
      </c>
      <c r="C4148" s="15" t="s">
        <v>5746</v>
      </c>
      <c r="D4148" s="15" t="s">
        <v>838</v>
      </c>
      <c r="E4148" s="15" t="s">
        <v>1521</v>
      </c>
    </row>
    <row r="4149" spans="2:5">
      <c r="B4149" s="15" t="s">
        <v>5745</v>
      </c>
      <c r="C4149" s="15" t="s">
        <v>5746</v>
      </c>
      <c r="D4149" s="15" t="s">
        <v>840</v>
      </c>
      <c r="E4149" s="15" t="s">
        <v>5752</v>
      </c>
    </row>
    <row r="4150" spans="2:5">
      <c r="B4150" s="15" t="s">
        <v>5745</v>
      </c>
      <c r="C4150" s="15" t="s">
        <v>5746</v>
      </c>
      <c r="D4150" s="15" t="s">
        <v>842</v>
      </c>
      <c r="E4150" s="15" t="s">
        <v>5753</v>
      </c>
    </row>
    <row r="4151" spans="2:5">
      <c r="B4151" s="15" t="s">
        <v>5745</v>
      </c>
      <c r="C4151" s="15" t="s">
        <v>5746</v>
      </c>
      <c r="D4151" s="15" t="s">
        <v>844</v>
      </c>
      <c r="E4151" s="15" t="s">
        <v>5754</v>
      </c>
    </row>
    <row r="4152" spans="2:5">
      <c r="B4152" s="15" t="s">
        <v>5745</v>
      </c>
      <c r="C4152" s="15" t="s">
        <v>5746</v>
      </c>
      <c r="D4152" s="15" t="s">
        <v>846</v>
      </c>
      <c r="E4152" s="15" t="s">
        <v>5755</v>
      </c>
    </row>
    <row r="4153" spans="2:5">
      <c r="B4153" s="15" t="s">
        <v>5745</v>
      </c>
      <c r="C4153" s="15" t="s">
        <v>5746</v>
      </c>
      <c r="D4153" s="15" t="s">
        <v>713</v>
      </c>
      <c r="E4153" s="15" t="s">
        <v>5756</v>
      </c>
    </row>
    <row r="4154" ht="15.95" spans="2:2">
      <c r="B4154" s="122" t="s">
        <v>5757</v>
      </c>
    </row>
    <row r="4155" spans="2:5">
      <c r="B4155" s="15" t="s">
        <v>5758</v>
      </c>
      <c r="C4155" s="15" t="s">
        <v>5759</v>
      </c>
      <c r="D4155" s="15" t="s">
        <v>5760</v>
      </c>
      <c r="E4155" s="15" t="s">
        <v>5761</v>
      </c>
    </row>
    <row r="4156" spans="2:5">
      <c r="B4156" s="15" t="s">
        <v>5758</v>
      </c>
      <c r="C4156" s="15" t="s">
        <v>5759</v>
      </c>
      <c r="D4156" s="15" t="s">
        <v>5762</v>
      </c>
      <c r="E4156" s="15" t="s">
        <v>4230</v>
      </c>
    </row>
    <row r="4157" spans="2:5">
      <c r="B4157" s="15" t="s">
        <v>5758</v>
      </c>
      <c r="C4157" s="15" t="s">
        <v>5759</v>
      </c>
      <c r="D4157" s="15" t="s">
        <v>5763</v>
      </c>
      <c r="E4157" s="15" t="s">
        <v>5764</v>
      </c>
    </row>
    <row r="4158" spans="2:5">
      <c r="B4158" s="15" t="s">
        <v>5758</v>
      </c>
      <c r="C4158" s="15" t="s">
        <v>5759</v>
      </c>
      <c r="D4158" s="15" t="s">
        <v>5765</v>
      </c>
      <c r="E4158" s="15" t="s">
        <v>5766</v>
      </c>
    </row>
    <row r="4159" spans="2:5">
      <c r="B4159" s="15" t="s">
        <v>5758</v>
      </c>
      <c r="C4159" s="15" t="s">
        <v>5759</v>
      </c>
      <c r="D4159" s="15" t="s">
        <v>5767</v>
      </c>
      <c r="E4159" s="15" t="s">
        <v>5768</v>
      </c>
    </row>
    <row r="4160" spans="2:5">
      <c r="B4160" s="15" t="s">
        <v>5758</v>
      </c>
      <c r="C4160" s="15" t="s">
        <v>5759</v>
      </c>
      <c r="D4160" s="15" t="s">
        <v>5769</v>
      </c>
      <c r="E4160" s="15" t="s">
        <v>5770</v>
      </c>
    </row>
    <row r="4161" spans="2:5">
      <c r="B4161" s="15" t="s">
        <v>5758</v>
      </c>
      <c r="C4161" s="15" t="s">
        <v>5759</v>
      </c>
      <c r="D4161" s="15" t="s">
        <v>5771</v>
      </c>
      <c r="E4161" s="15" t="s">
        <v>5772</v>
      </c>
    </row>
    <row r="4162" spans="2:5">
      <c r="B4162" s="15" t="s">
        <v>5758</v>
      </c>
      <c r="C4162" s="15" t="s">
        <v>5759</v>
      </c>
      <c r="D4162" s="15" t="s">
        <v>5773</v>
      </c>
      <c r="E4162" s="15" t="s">
        <v>5774</v>
      </c>
    </row>
    <row r="4163" spans="2:5">
      <c r="B4163" s="15" t="s">
        <v>5758</v>
      </c>
      <c r="C4163" s="15" t="s">
        <v>5759</v>
      </c>
      <c r="D4163" s="15" t="s">
        <v>5775</v>
      </c>
      <c r="E4163" s="15" t="s">
        <v>5776</v>
      </c>
    </row>
    <row r="4164" ht="15.95" spans="2:2">
      <c r="B4164" s="122" t="s">
        <v>5777</v>
      </c>
    </row>
    <row r="4165" spans="2:5">
      <c r="B4165" s="15" t="s">
        <v>5778</v>
      </c>
      <c r="C4165" s="15" t="s">
        <v>5778</v>
      </c>
      <c r="D4165" s="15" t="s">
        <v>723</v>
      </c>
      <c r="E4165" s="15" t="s">
        <v>5044</v>
      </c>
    </row>
    <row r="4166" spans="2:5">
      <c r="B4166" s="15" t="s">
        <v>5778</v>
      </c>
      <c r="C4166" s="15" t="s">
        <v>5778</v>
      </c>
      <c r="D4166" s="15" t="s">
        <v>725</v>
      </c>
      <c r="E4166" s="15" t="s">
        <v>5045</v>
      </c>
    </row>
    <row r="4167" spans="2:5">
      <c r="B4167" s="15" t="s">
        <v>5778</v>
      </c>
      <c r="C4167" s="15" t="s">
        <v>5778</v>
      </c>
      <c r="D4167" s="15" t="s">
        <v>727</v>
      </c>
      <c r="E4167" s="15" t="s">
        <v>5046</v>
      </c>
    </row>
    <row r="4168" spans="2:5">
      <c r="B4168" s="15" t="s">
        <v>5778</v>
      </c>
      <c r="C4168" s="15" t="s">
        <v>5778</v>
      </c>
      <c r="D4168" s="15" t="s">
        <v>729</v>
      </c>
      <c r="E4168" s="15" t="s">
        <v>4568</v>
      </c>
    </row>
    <row r="4169" spans="2:5">
      <c r="B4169" s="15" t="s">
        <v>5778</v>
      </c>
      <c r="C4169" s="15" t="s">
        <v>5778</v>
      </c>
      <c r="D4169" s="15" t="s">
        <v>760</v>
      </c>
      <c r="E4169" s="15" t="s">
        <v>948</v>
      </c>
    </row>
    <row r="4170" ht="15.95" spans="2:2">
      <c r="B4170" s="122" t="s">
        <v>5779</v>
      </c>
    </row>
    <row r="4171" spans="2:5">
      <c r="B4171" s="15" t="s">
        <v>5780</v>
      </c>
      <c r="C4171" s="15" t="s">
        <v>5781</v>
      </c>
      <c r="D4171" s="15" t="s">
        <v>635</v>
      </c>
      <c r="E4171" s="15" t="s">
        <v>5782</v>
      </c>
    </row>
    <row r="4172" spans="2:5">
      <c r="B4172" s="15" t="s">
        <v>5780</v>
      </c>
      <c r="C4172" s="15" t="s">
        <v>5781</v>
      </c>
      <c r="D4172" s="15" t="s">
        <v>637</v>
      </c>
      <c r="E4172" s="15" t="s">
        <v>1814</v>
      </c>
    </row>
    <row r="4173" spans="2:5">
      <c r="B4173" s="15" t="s">
        <v>5780</v>
      </c>
      <c r="C4173" s="15" t="s">
        <v>5781</v>
      </c>
      <c r="D4173" s="15" t="s">
        <v>641</v>
      </c>
      <c r="E4173" s="15" t="s">
        <v>5783</v>
      </c>
    </row>
    <row r="4174" spans="2:5">
      <c r="B4174" s="15" t="s">
        <v>5780</v>
      </c>
      <c r="C4174" s="15" t="s">
        <v>5781</v>
      </c>
      <c r="D4174" s="15" t="s">
        <v>643</v>
      </c>
      <c r="E4174" s="15" t="s">
        <v>5784</v>
      </c>
    </row>
    <row r="4175" spans="2:5">
      <c r="B4175" s="15" t="s">
        <v>5780</v>
      </c>
      <c r="C4175" s="15" t="s">
        <v>5781</v>
      </c>
      <c r="D4175" s="15" t="s">
        <v>645</v>
      </c>
      <c r="E4175" s="15" t="s">
        <v>5785</v>
      </c>
    </row>
    <row r="4176" spans="2:5">
      <c r="B4176" s="15" t="s">
        <v>5780</v>
      </c>
      <c r="C4176" s="15" t="s">
        <v>5781</v>
      </c>
      <c r="D4176" s="15" t="s">
        <v>659</v>
      </c>
      <c r="E4176" s="15" t="s">
        <v>5786</v>
      </c>
    </row>
    <row r="4177" spans="2:5">
      <c r="B4177" s="15" t="s">
        <v>5780</v>
      </c>
      <c r="C4177" s="15" t="s">
        <v>5781</v>
      </c>
      <c r="D4177" s="15" t="s">
        <v>679</v>
      </c>
      <c r="E4177" s="15" t="s">
        <v>5787</v>
      </c>
    </row>
    <row r="4178" spans="2:5">
      <c r="B4178" s="15" t="s">
        <v>5780</v>
      </c>
      <c r="C4178" s="15" t="s">
        <v>5781</v>
      </c>
      <c r="D4178" s="15" t="s">
        <v>681</v>
      </c>
      <c r="E4178" s="15" t="s">
        <v>5788</v>
      </c>
    </row>
    <row r="4179" spans="2:5">
      <c r="B4179" s="15" t="s">
        <v>5780</v>
      </c>
      <c r="C4179" s="15" t="s">
        <v>5781</v>
      </c>
      <c r="D4179" s="15" t="s">
        <v>683</v>
      </c>
      <c r="E4179" s="15" t="s">
        <v>5789</v>
      </c>
    </row>
    <row r="4180" spans="2:5">
      <c r="B4180" s="15" t="s">
        <v>5780</v>
      </c>
      <c r="C4180" s="15" t="s">
        <v>5781</v>
      </c>
      <c r="D4180" s="15" t="s">
        <v>705</v>
      </c>
      <c r="E4180" s="15" t="s">
        <v>167</v>
      </c>
    </row>
    <row r="4181" ht="15.95" spans="2:2">
      <c r="B4181" s="122" t="s">
        <v>5790</v>
      </c>
    </row>
    <row r="4182" spans="2:5">
      <c r="B4182" s="15" t="s">
        <v>5791</v>
      </c>
      <c r="C4182" s="15" t="s">
        <v>5792</v>
      </c>
      <c r="D4182" s="15" t="s">
        <v>933</v>
      </c>
      <c r="E4182" s="15" t="s">
        <v>4218</v>
      </c>
    </row>
    <row r="4183" spans="2:5">
      <c r="B4183" s="15" t="s">
        <v>5791</v>
      </c>
      <c r="C4183" s="15" t="s">
        <v>5792</v>
      </c>
      <c r="D4183" s="15" t="s">
        <v>937</v>
      </c>
      <c r="E4183" s="15" t="s">
        <v>5793</v>
      </c>
    </row>
    <row r="4184" spans="2:5">
      <c r="B4184" s="15" t="s">
        <v>5791</v>
      </c>
      <c r="C4184" s="15" t="s">
        <v>5792</v>
      </c>
      <c r="D4184" s="15" t="s">
        <v>939</v>
      </c>
      <c r="E4184" s="15" t="s">
        <v>5794</v>
      </c>
    </row>
    <row r="4185" ht="15.95" spans="2:2">
      <c r="B4185" s="122" t="s">
        <v>5795</v>
      </c>
    </row>
    <row r="4186" spans="2:5">
      <c r="B4186" s="15" t="s">
        <v>5796</v>
      </c>
      <c r="C4186" s="15" t="s">
        <v>5797</v>
      </c>
      <c r="D4186" s="15" t="s">
        <v>5798</v>
      </c>
      <c r="E4186" s="15" t="s">
        <v>5799</v>
      </c>
    </row>
    <row r="4187" spans="2:5">
      <c r="B4187" s="15" t="s">
        <v>5796</v>
      </c>
      <c r="C4187" s="15" t="s">
        <v>5797</v>
      </c>
      <c r="D4187" s="15" t="s">
        <v>5800</v>
      </c>
      <c r="E4187" s="15" t="s">
        <v>5801</v>
      </c>
    </row>
    <row r="4188" ht="15.95" spans="2:2">
      <c r="B4188" s="122" t="s">
        <v>5802</v>
      </c>
    </row>
    <row r="4189" spans="2:5">
      <c r="B4189" s="15" t="s">
        <v>5803</v>
      </c>
      <c r="C4189" s="15" t="s">
        <v>5803</v>
      </c>
      <c r="D4189" s="15" t="s">
        <v>723</v>
      </c>
      <c r="E4189" s="15" t="s">
        <v>5375</v>
      </c>
    </row>
    <row r="4190" spans="2:5">
      <c r="B4190" s="15" t="s">
        <v>5803</v>
      </c>
      <c r="C4190" s="15" t="s">
        <v>5803</v>
      </c>
      <c r="D4190" s="15" t="s">
        <v>725</v>
      </c>
      <c r="E4190" s="15" t="s">
        <v>5376</v>
      </c>
    </row>
    <row r="4191" spans="2:5">
      <c r="B4191" s="15" t="s">
        <v>5803</v>
      </c>
      <c r="C4191" s="15" t="s">
        <v>5803</v>
      </c>
      <c r="D4191" s="15" t="s">
        <v>727</v>
      </c>
      <c r="E4191" s="15" t="s">
        <v>5377</v>
      </c>
    </row>
    <row r="4192" spans="2:5">
      <c r="B4192" s="15" t="s">
        <v>5803</v>
      </c>
      <c r="C4192" s="15" t="s">
        <v>5803</v>
      </c>
      <c r="D4192" s="15" t="s">
        <v>729</v>
      </c>
      <c r="E4192" s="15" t="s">
        <v>5378</v>
      </c>
    </row>
    <row r="4193" spans="2:5">
      <c r="B4193" s="15" t="s">
        <v>5803</v>
      </c>
      <c r="C4193" s="15" t="s">
        <v>5803</v>
      </c>
      <c r="D4193" s="15" t="s">
        <v>760</v>
      </c>
      <c r="E4193" s="15" t="s">
        <v>5379</v>
      </c>
    </row>
    <row r="4194" ht="15.95" spans="2:2">
      <c r="B4194" s="122" t="s">
        <v>5804</v>
      </c>
    </row>
    <row r="4195" spans="2:5">
      <c r="B4195" s="15" t="s">
        <v>5805</v>
      </c>
      <c r="C4195" s="15" t="s">
        <v>896</v>
      </c>
      <c r="D4195" s="15" t="s">
        <v>723</v>
      </c>
      <c r="E4195" s="15" t="s">
        <v>5806</v>
      </c>
    </row>
    <row r="4196" spans="2:5">
      <c r="B4196" s="15" t="s">
        <v>5805</v>
      </c>
      <c r="C4196" s="15" t="s">
        <v>896</v>
      </c>
      <c r="D4196" s="15" t="s">
        <v>725</v>
      </c>
      <c r="E4196" s="15" t="s">
        <v>5807</v>
      </c>
    </row>
    <row r="4197" spans="2:5">
      <c r="B4197" s="15" t="s">
        <v>5805</v>
      </c>
      <c r="C4197" s="15" t="s">
        <v>896</v>
      </c>
      <c r="D4197" s="15" t="s">
        <v>727</v>
      </c>
      <c r="E4197" s="15" t="s">
        <v>5808</v>
      </c>
    </row>
    <row r="4198" spans="2:5">
      <c r="B4198" s="15" t="s">
        <v>5805</v>
      </c>
      <c r="C4198" s="15" t="s">
        <v>896</v>
      </c>
      <c r="D4198" s="15" t="s">
        <v>729</v>
      </c>
      <c r="E4198" s="15" t="s">
        <v>5809</v>
      </c>
    </row>
    <row r="4199" spans="2:5">
      <c r="B4199" s="15" t="s">
        <v>5805</v>
      </c>
      <c r="C4199" s="15" t="s">
        <v>896</v>
      </c>
      <c r="D4199" s="15" t="s">
        <v>760</v>
      </c>
      <c r="E4199" s="15" t="s">
        <v>5810</v>
      </c>
    </row>
    <row r="4200" ht="15.95" spans="2:2">
      <c r="B4200" s="122" t="s">
        <v>5811</v>
      </c>
    </row>
    <row r="4201" spans="2:5">
      <c r="B4201" s="15" t="s">
        <v>3346</v>
      </c>
      <c r="C4201" s="15" t="s">
        <v>3346</v>
      </c>
      <c r="D4201" s="15" t="s">
        <v>723</v>
      </c>
      <c r="E4201" s="15" t="s">
        <v>5812</v>
      </c>
    </row>
    <row r="4202" spans="2:5">
      <c r="B4202" s="15" t="s">
        <v>3346</v>
      </c>
      <c r="C4202" s="15" t="s">
        <v>3346</v>
      </c>
      <c r="D4202" s="15" t="s">
        <v>725</v>
      </c>
      <c r="E4202" s="15" t="s">
        <v>235</v>
      </c>
    </row>
    <row r="4203" ht="15.95" spans="2:2">
      <c r="B4203" s="122" t="s">
        <v>5813</v>
      </c>
    </row>
    <row r="4204" spans="2:5">
      <c r="B4204" s="15" t="s">
        <v>5814</v>
      </c>
      <c r="C4204" s="15" t="s">
        <v>5815</v>
      </c>
      <c r="D4204" s="15" t="s">
        <v>723</v>
      </c>
      <c r="E4204" s="15" t="s">
        <v>5816</v>
      </c>
    </row>
    <row r="4205" spans="2:5">
      <c r="B4205" s="15" t="s">
        <v>5814</v>
      </c>
      <c r="C4205" s="15" t="s">
        <v>5815</v>
      </c>
      <c r="D4205" s="15" t="s">
        <v>725</v>
      </c>
      <c r="E4205" s="15" t="s">
        <v>5817</v>
      </c>
    </row>
    <row r="4206" ht="15.95" spans="2:2">
      <c r="B4206" s="122" t="s">
        <v>5818</v>
      </c>
    </row>
    <row r="4207" spans="2:5">
      <c r="B4207" s="15" t="s">
        <v>5819</v>
      </c>
      <c r="C4207" s="15" t="s">
        <v>5819</v>
      </c>
      <c r="D4207" s="15" t="s">
        <v>723</v>
      </c>
      <c r="E4207" s="15" t="s">
        <v>5820</v>
      </c>
    </row>
    <row r="4208" spans="2:5">
      <c r="B4208" s="15" t="s">
        <v>5819</v>
      </c>
      <c r="C4208" s="15" t="s">
        <v>5819</v>
      </c>
      <c r="D4208" s="15" t="s">
        <v>725</v>
      </c>
      <c r="E4208" s="15" t="s">
        <v>5821</v>
      </c>
    </row>
    <row r="4209" spans="2:5">
      <c r="B4209" s="15" t="s">
        <v>5819</v>
      </c>
      <c r="C4209" s="15" t="s">
        <v>5819</v>
      </c>
      <c r="D4209" s="15" t="s">
        <v>727</v>
      </c>
      <c r="E4209" s="15" t="s">
        <v>5822</v>
      </c>
    </row>
    <row r="4210" ht="15.95" spans="2:2">
      <c r="B4210" s="122" t="s">
        <v>5823</v>
      </c>
    </row>
    <row r="4211" spans="2:5">
      <c r="B4211" s="15" t="s">
        <v>5824</v>
      </c>
      <c r="C4211" s="15" t="s">
        <v>5825</v>
      </c>
      <c r="D4211" s="15" t="s">
        <v>1432</v>
      </c>
      <c r="E4211" s="15" t="s">
        <v>5826</v>
      </c>
    </row>
    <row r="4212" spans="2:5">
      <c r="B4212" s="15" t="s">
        <v>5824</v>
      </c>
      <c r="C4212" s="15" t="s">
        <v>5825</v>
      </c>
      <c r="D4212" s="15" t="s">
        <v>723</v>
      </c>
      <c r="E4212" s="15" t="s">
        <v>5827</v>
      </c>
    </row>
    <row r="4213" spans="2:5">
      <c r="B4213" s="15" t="s">
        <v>5824</v>
      </c>
      <c r="C4213" s="15" t="s">
        <v>5825</v>
      </c>
      <c r="D4213" s="15" t="s">
        <v>725</v>
      </c>
      <c r="E4213" s="15" t="s">
        <v>5828</v>
      </c>
    </row>
    <row r="4214" ht="15.95" spans="2:2">
      <c r="B4214" s="122" t="s">
        <v>5829</v>
      </c>
    </row>
    <row r="4215" spans="2:5">
      <c r="B4215" s="15" t="s">
        <v>5830</v>
      </c>
      <c r="C4215" s="15" t="s">
        <v>5831</v>
      </c>
      <c r="D4215" s="15" t="s">
        <v>1432</v>
      </c>
      <c r="E4215" s="15" t="s">
        <v>2560</v>
      </c>
    </row>
    <row r="4216" spans="2:5">
      <c r="B4216" s="15" t="s">
        <v>5830</v>
      </c>
      <c r="C4216" s="15" t="s">
        <v>5831</v>
      </c>
      <c r="D4216" s="15" t="s">
        <v>723</v>
      </c>
      <c r="E4216" s="15" t="s">
        <v>906</v>
      </c>
    </row>
    <row r="4217" spans="2:5">
      <c r="B4217" s="15" t="s">
        <v>5830</v>
      </c>
      <c r="C4217" s="15" t="s">
        <v>5831</v>
      </c>
      <c r="D4217" s="15" t="s">
        <v>725</v>
      </c>
      <c r="E4217" s="15" t="s">
        <v>5832</v>
      </c>
    </row>
    <row r="4218" spans="2:5">
      <c r="B4218" s="15" t="s">
        <v>5830</v>
      </c>
      <c r="C4218" s="15" t="s">
        <v>5831</v>
      </c>
      <c r="D4218" s="15" t="s">
        <v>727</v>
      </c>
      <c r="E4218" s="15" t="s">
        <v>2212</v>
      </c>
    </row>
    <row r="4219" ht="15.95" spans="2:2">
      <c r="B4219" s="122" t="s">
        <v>5833</v>
      </c>
    </row>
    <row r="4220" spans="2:5">
      <c r="B4220" s="15" t="s">
        <v>5834</v>
      </c>
      <c r="C4220" s="15"/>
      <c r="D4220" s="15" t="s">
        <v>917</v>
      </c>
      <c r="E4220" s="15" t="s">
        <v>953</v>
      </c>
    </row>
    <row r="4221" spans="2:5">
      <c r="B4221" s="15" t="s">
        <v>5834</v>
      </c>
      <c r="C4221" s="15"/>
      <c r="D4221" s="15" t="s">
        <v>919</v>
      </c>
      <c r="E4221" s="15" t="s">
        <v>954</v>
      </c>
    </row>
    <row r="4222" spans="2:5">
      <c r="B4222" s="15" t="s">
        <v>5834</v>
      </c>
      <c r="C4222" s="15"/>
      <c r="D4222" s="15" t="s">
        <v>955</v>
      </c>
      <c r="E4222" s="15" t="s">
        <v>956</v>
      </c>
    </row>
    <row r="4223" ht="15.95" spans="2:2">
      <c r="B4223" s="122" t="s">
        <v>5835</v>
      </c>
    </row>
    <row r="4224" spans="2:5">
      <c r="B4224" s="15" t="s">
        <v>5836</v>
      </c>
      <c r="C4224" s="15" t="s">
        <v>5837</v>
      </c>
      <c r="D4224" s="15" t="s">
        <v>770</v>
      </c>
      <c r="E4224" s="15" t="s">
        <v>5838</v>
      </c>
    </row>
    <row r="4225" spans="2:5">
      <c r="B4225" s="15" t="s">
        <v>5836</v>
      </c>
      <c r="C4225" s="15" t="s">
        <v>5837</v>
      </c>
      <c r="D4225" s="15" t="s">
        <v>2972</v>
      </c>
      <c r="E4225" s="15" t="s">
        <v>5839</v>
      </c>
    </row>
    <row r="4226" spans="2:5">
      <c r="B4226" s="15" t="s">
        <v>5836</v>
      </c>
      <c r="C4226" s="15" t="s">
        <v>5837</v>
      </c>
      <c r="D4226" s="15" t="s">
        <v>2978</v>
      </c>
      <c r="E4226" s="15" t="s">
        <v>5840</v>
      </c>
    </row>
    <row r="4227" spans="2:5">
      <c r="B4227" s="15" t="s">
        <v>5836</v>
      </c>
      <c r="C4227" s="15" t="s">
        <v>5837</v>
      </c>
      <c r="D4227" s="15" t="s">
        <v>4361</v>
      </c>
      <c r="E4227" s="15" t="s">
        <v>5841</v>
      </c>
    </row>
    <row r="4228" spans="2:5">
      <c r="B4228" s="15" t="s">
        <v>5836</v>
      </c>
      <c r="C4228" s="15" t="s">
        <v>5837</v>
      </c>
      <c r="D4228" s="15" t="s">
        <v>5842</v>
      </c>
      <c r="E4228" s="15" t="s">
        <v>5843</v>
      </c>
    </row>
    <row r="4229" spans="2:5">
      <c r="B4229" s="15" t="s">
        <v>5836</v>
      </c>
      <c r="C4229" s="15" t="s">
        <v>5837</v>
      </c>
      <c r="D4229" s="15" t="s">
        <v>772</v>
      </c>
      <c r="E4229" s="15" t="s">
        <v>5844</v>
      </c>
    </row>
    <row r="4230" spans="2:5">
      <c r="B4230" s="15" t="s">
        <v>5836</v>
      </c>
      <c r="C4230" s="15" t="s">
        <v>5837</v>
      </c>
      <c r="D4230" s="15" t="s">
        <v>2983</v>
      </c>
      <c r="E4230" s="15" t="s">
        <v>5839</v>
      </c>
    </row>
    <row r="4231" spans="2:5">
      <c r="B4231" s="15" t="s">
        <v>5836</v>
      </c>
      <c r="C4231" s="15" t="s">
        <v>5837</v>
      </c>
      <c r="D4231" s="15" t="s">
        <v>2985</v>
      </c>
      <c r="E4231" s="15" t="s">
        <v>5840</v>
      </c>
    </row>
    <row r="4232" spans="2:5">
      <c r="B4232" s="15" t="s">
        <v>5836</v>
      </c>
      <c r="C4232" s="15" t="s">
        <v>5837</v>
      </c>
      <c r="D4232" s="15" t="s">
        <v>2987</v>
      </c>
      <c r="E4232" s="15" t="s">
        <v>5841</v>
      </c>
    </row>
    <row r="4233" spans="2:5">
      <c r="B4233" s="15" t="s">
        <v>5836</v>
      </c>
      <c r="C4233" s="15" t="s">
        <v>5837</v>
      </c>
      <c r="D4233" s="15" t="s">
        <v>4122</v>
      </c>
      <c r="E4233" s="15" t="s">
        <v>5843</v>
      </c>
    </row>
    <row r="4234" ht="15.95" spans="2:2">
      <c r="B4234" s="122" t="s">
        <v>5845</v>
      </c>
    </row>
    <row r="4235" spans="2:5">
      <c r="B4235" s="15" t="s">
        <v>5846</v>
      </c>
      <c r="C4235" s="15" t="s">
        <v>5847</v>
      </c>
      <c r="D4235" s="15" t="s">
        <v>635</v>
      </c>
      <c r="E4235" s="15" t="s">
        <v>5848</v>
      </c>
    </row>
    <row r="4236" spans="2:5">
      <c r="B4236" s="15" t="s">
        <v>5846</v>
      </c>
      <c r="C4236" s="15" t="s">
        <v>5847</v>
      </c>
      <c r="D4236" s="15" t="s">
        <v>659</v>
      </c>
      <c r="E4236" s="15" t="s">
        <v>5849</v>
      </c>
    </row>
    <row r="4237" spans="2:5">
      <c r="B4237" s="15" t="s">
        <v>5846</v>
      </c>
      <c r="C4237" s="15" t="s">
        <v>5847</v>
      </c>
      <c r="D4237" s="15" t="s">
        <v>679</v>
      </c>
      <c r="E4237" s="15" t="s">
        <v>5850</v>
      </c>
    </row>
    <row r="4238" spans="2:5">
      <c r="B4238" s="15" t="s">
        <v>5846</v>
      </c>
      <c r="C4238" s="15" t="s">
        <v>5847</v>
      </c>
      <c r="D4238" s="15" t="s">
        <v>705</v>
      </c>
      <c r="E4238" s="15" t="s">
        <v>5851</v>
      </c>
    </row>
    <row r="4239" spans="2:5">
      <c r="B4239" s="15" t="s">
        <v>5846</v>
      </c>
      <c r="C4239" s="15" t="s">
        <v>5847</v>
      </c>
      <c r="D4239" s="15" t="s">
        <v>709</v>
      </c>
      <c r="E4239" s="15" t="s">
        <v>235</v>
      </c>
    </row>
    <row r="4240" ht="15.95" spans="2:2">
      <c r="B4240" s="122" t="s">
        <v>5852</v>
      </c>
    </row>
    <row r="4241" spans="2:5">
      <c r="B4241" s="15" t="s">
        <v>5853</v>
      </c>
      <c r="C4241" s="15" t="s">
        <v>5854</v>
      </c>
      <c r="D4241" s="15" t="s">
        <v>635</v>
      </c>
      <c r="E4241" s="15" t="s">
        <v>5855</v>
      </c>
    </row>
    <row r="4242" spans="2:5">
      <c r="B4242" s="15" t="s">
        <v>5853</v>
      </c>
      <c r="C4242" s="15" t="s">
        <v>5854</v>
      </c>
      <c r="D4242" s="15" t="s">
        <v>659</v>
      </c>
      <c r="E4242" s="15" t="s">
        <v>5856</v>
      </c>
    </row>
    <row r="4243" spans="2:5">
      <c r="B4243" s="15" t="s">
        <v>5853</v>
      </c>
      <c r="C4243" s="15" t="s">
        <v>5854</v>
      </c>
      <c r="D4243" s="15" t="s">
        <v>679</v>
      </c>
      <c r="E4243" s="15" t="s">
        <v>5857</v>
      </c>
    </row>
    <row r="4244" spans="2:5">
      <c r="B4244" s="15" t="s">
        <v>5853</v>
      </c>
      <c r="C4244" s="15" t="s">
        <v>5854</v>
      </c>
      <c r="D4244" s="15" t="s">
        <v>705</v>
      </c>
      <c r="E4244" s="15" t="s">
        <v>5858</v>
      </c>
    </row>
    <row r="4245" spans="2:5">
      <c r="B4245" s="15" t="s">
        <v>5853</v>
      </c>
      <c r="C4245" s="15" t="s">
        <v>5854</v>
      </c>
      <c r="D4245" s="15" t="s">
        <v>709</v>
      </c>
      <c r="E4245" s="15" t="s">
        <v>5859</v>
      </c>
    </row>
    <row r="4246" spans="2:5">
      <c r="B4246" s="15" t="s">
        <v>5853</v>
      </c>
      <c r="C4246" s="15" t="s">
        <v>5854</v>
      </c>
      <c r="D4246" s="15" t="s">
        <v>838</v>
      </c>
      <c r="E4246" s="15" t="s">
        <v>948</v>
      </c>
    </row>
    <row r="4247" ht="15.95" spans="2:2">
      <c r="B4247" s="122" t="s">
        <v>5860</v>
      </c>
    </row>
    <row r="4248" spans="2:5">
      <c r="B4248" s="15" t="s">
        <v>5861</v>
      </c>
      <c r="C4248" s="15" t="s">
        <v>896</v>
      </c>
      <c r="D4248" s="15" t="s">
        <v>770</v>
      </c>
      <c r="E4248" s="15" t="s">
        <v>5862</v>
      </c>
    </row>
    <row r="4249" spans="2:5">
      <c r="B4249" s="15" t="s">
        <v>5861</v>
      </c>
      <c r="C4249" s="15" t="s">
        <v>896</v>
      </c>
      <c r="D4249" s="15" t="s">
        <v>772</v>
      </c>
      <c r="E4249" s="15" t="s">
        <v>5863</v>
      </c>
    </row>
    <row r="4250" spans="2:5">
      <c r="B4250" s="15" t="s">
        <v>5861</v>
      </c>
      <c r="C4250" s="15" t="s">
        <v>896</v>
      </c>
      <c r="D4250" s="15" t="s">
        <v>774</v>
      </c>
      <c r="E4250" s="15" t="s">
        <v>5864</v>
      </c>
    </row>
    <row r="4251" spans="2:5">
      <c r="B4251" s="15" t="s">
        <v>5861</v>
      </c>
      <c r="C4251" s="15" t="s">
        <v>896</v>
      </c>
      <c r="D4251" s="15" t="s">
        <v>828</v>
      </c>
      <c r="E4251" s="15" t="s">
        <v>5865</v>
      </c>
    </row>
    <row r="4252" ht="15.95" spans="2:2">
      <c r="B4252" s="122" t="s">
        <v>5866</v>
      </c>
    </row>
    <row r="4253" spans="2:5">
      <c r="B4253" s="15" t="s">
        <v>5867</v>
      </c>
      <c r="C4253" s="15" t="s">
        <v>5868</v>
      </c>
      <c r="D4253" s="15" t="s">
        <v>770</v>
      </c>
      <c r="E4253" s="15" t="s">
        <v>5869</v>
      </c>
    </row>
    <row r="4254" spans="2:5">
      <c r="B4254" s="15" t="s">
        <v>5867</v>
      </c>
      <c r="C4254" s="15" t="s">
        <v>5868</v>
      </c>
      <c r="D4254" s="15" t="s">
        <v>772</v>
      </c>
      <c r="E4254" s="15" t="s">
        <v>5870</v>
      </c>
    </row>
    <row r="4255" spans="2:5">
      <c r="B4255" s="15" t="s">
        <v>5867</v>
      </c>
      <c r="C4255" s="15" t="s">
        <v>5868</v>
      </c>
      <c r="D4255" s="15" t="s">
        <v>774</v>
      </c>
      <c r="E4255" s="15" t="s">
        <v>5871</v>
      </c>
    </row>
    <row r="4256" ht="15.95" spans="2:2">
      <c r="B4256" s="122" t="s">
        <v>5872</v>
      </c>
    </row>
    <row r="4257" spans="2:5">
      <c r="B4257" s="15" t="s">
        <v>5873</v>
      </c>
      <c r="C4257" s="15" t="s">
        <v>5874</v>
      </c>
      <c r="D4257" s="15" t="s">
        <v>723</v>
      </c>
      <c r="E4257" s="15" t="s">
        <v>5875</v>
      </c>
    </row>
    <row r="4258" spans="2:5">
      <c r="B4258" s="15" t="s">
        <v>5873</v>
      </c>
      <c r="C4258" s="15" t="s">
        <v>5874</v>
      </c>
      <c r="D4258" s="15" t="s">
        <v>725</v>
      </c>
      <c r="E4258" s="15" t="s">
        <v>5876</v>
      </c>
    </row>
    <row r="4259" spans="2:5">
      <c r="B4259" s="15" t="s">
        <v>5873</v>
      </c>
      <c r="C4259" s="15" t="s">
        <v>5874</v>
      </c>
      <c r="D4259" s="15" t="s">
        <v>727</v>
      </c>
      <c r="E4259" s="15" t="s">
        <v>5877</v>
      </c>
    </row>
    <row r="4260" spans="2:5">
      <c r="B4260" s="15" t="s">
        <v>5873</v>
      </c>
      <c r="C4260" s="15" t="s">
        <v>5874</v>
      </c>
      <c r="D4260" s="15" t="s">
        <v>729</v>
      </c>
      <c r="E4260" s="15" t="s">
        <v>5878</v>
      </c>
    </row>
    <row r="4261" spans="2:5">
      <c r="B4261" s="15" t="s">
        <v>5873</v>
      </c>
      <c r="C4261" s="15" t="s">
        <v>5874</v>
      </c>
      <c r="D4261" s="15" t="s">
        <v>760</v>
      </c>
      <c r="E4261" s="15" t="s">
        <v>5879</v>
      </c>
    </row>
    <row r="4262" ht="15.95" spans="2:2">
      <c r="B4262" s="122" t="s">
        <v>5880</v>
      </c>
    </row>
    <row r="4263" spans="2:5">
      <c r="B4263" s="15" t="s">
        <v>5881</v>
      </c>
      <c r="C4263" s="15" t="s">
        <v>5882</v>
      </c>
      <c r="D4263" s="15" t="s">
        <v>770</v>
      </c>
      <c r="E4263" s="15" t="s">
        <v>5883</v>
      </c>
    </row>
    <row r="4264" spans="2:5">
      <c r="B4264" s="15" t="s">
        <v>5881</v>
      </c>
      <c r="C4264" s="15" t="s">
        <v>5882</v>
      </c>
      <c r="D4264" s="15" t="s">
        <v>772</v>
      </c>
      <c r="E4264" s="15" t="s">
        <v>5884</v>
      </c>
    </row>
    <row r="4265" ht="15.95" spans="2:2">
      <c r="B4265" s="122" t="s">
        <v>5885</v>
      </c>
    </row>
    <row r="4266" spans="2:5">
      <c r="B4266" s="15" t="s">
        <v>5886</v>
      </c>
      <c r="C4266" s="15" t="s">
        <v>4584</v>
      </c>
      <c r="D4266" s="15" t="s">
        <v>846</v>
      </c>
      <c r="E4266" s="15" t="s">
        <v>5887</v>
      </c>
    </row>
    <row r="4267" spans="2:5">
      <c r="B4267" s="15" t="s">
        <v>5886</v>
      </c>
      <c r="C4267" s="15" t="s">
        <v>4584</v>
      </c>
      <c r="D4267" s="15" t="s">
        <v>5888</v>
      </c>
      <c r="E4267" s="15" t="s">
        <v>1694</v>
      </c>
    </row>
    <row r="4268" spans="2:5">
      <c r="B4268" s="15" t="s">
        <v>5886</v>
      </c>
      <c r="C4268" s="15" t="s">
        <v>4584</v>
      </c>
      <c r="D4268" s="15" t="s">
        <v>5889</v>
      </c>
      <c r="E4268" s="15" t="s">
        <v>1695</v>
      </c>
    </row>
    <row r="4269" spans="2:5">
      <c r="B4269" s="15" t="s">
        <v>5886</v>
      </c>
      <c r="C4269" s="15" t="s">
        <v>4584</v>
      </c>
      <c r="D4269" s="15" t="s">
        <v>5890</v>
      </c>
      <c r="E4269" s="15" t="s">
        <v>5891</v>
      </c>
    </row>
    <row r="4270" spans="2:5">
      <c r="B4270" s="15" t="s">
        <v>5886</v>
      </c>
      <c r="C4270" s="15" t="s">
        <v>4584</v>
      </c>
      <c r="D4270" s="15" t="s">
        <v>5892</v>
      </c>
      <c r="E4270" s="15" t="s">
        <v>5893</v>
      </c>
    </row>
    <row r="4271" spans="2:5">
      <c r="B4271" s="15" t="s">
        <v>5886</v>
      </c>
      <c r="C4271" s="15" t="s">
        <v>4584</v>
      </c>
      <c r="D4271" s="15" t="s">
        <v>5894</v>
      </c>
      <c r="E4271" s="15" t="s">
        <v>3456</v>
      </c>
    </row>
    <row r="4272" spans="2:5">
      <c r="B4272" s="15" t="s">
        <v>5886</v>
      </c>
      <c r="C4272" s="15" t="s">
        <v>4584</v>
      </c>
      <c r="D4272" s="15" t="s">
        <v>5895</v>
      </c>
      <c r="E4272" s="15" t="s">
        <v>5896</v>
      </c>
    </row>
    <row r="4273" spans="2:5">
      <c r="B4273" s="15" t="s">
        <v>5886</v>
      </c>
      <c r="C4273" s="15" t="s">
        <v>4584</v>
      </c>
      <c r="D4273" s="15" t="s">
        <v>5897</v>
      </c>
      <c r="E4273" s="15" t="s">
        <v>5898</v>
      </c>
    </row>
    <row r="4274" spans="2:5">
      <c r="B4274" s="15" t="s">
        <v>5886</v>
      </c>
      <c r="C4274" s="15" t="s">
        <v>4584</v>
      </c>
      <c r="D4274" s="15" t="s">
        <v>5899</v>
      </c>
      <c r="E4274" s="15" t="s">
        <v>5900</v>
      </c>
    </row>
    <row r="4275" spans="2:5">
      <c r="B4275" s="15" t="s">
        <v>5886</v>
      </c>
      <c r="C4275" s="15" t="s">
        <v>4584</v>
      </c>
      <c r="D4275" s="15" t="s">
        <v>5901</v>
      </c>
      <c r="E4275" s="15" t="s">
        <v>5902</v>
      </c>
    </row>
    <row r="4276" spans="2:5">
      <c r="B4276" s="15" t="s">
        <v>5886</v>
      </c>
      <c r="C4276" s="15" t="s">
        <v>4584</v>
      </c>
      <c r="D4276" s="15" t="s">
        <v>5903</v>
      </c>
      <c r="E4276" s="15" t="s">
        <v>3232</v>
      </c>
    </row>
    <row r="4277" spans="2:5">
      <c r="B4277" s="15" t="s">
        <v>5886</v>
      </c>
      <c r="C4277" s="15" t="s">
        <v>4584</v>
      </c>
      <c r="D4277" s="15" t="s">
        <v>5559</v>
      </c>
      <c r="E4277" s="15" t="s">
        <v>5904</v>
      </c>
    </row>
    <row r="4278" spans="2:5">
      <c r="B4278" s="15" t="s">
        <v>5886</v>
      </c>
      <c r="C4278" s="15" t="s">
        <v>4584</v>
      </c>
      <c r="D4278" s="15" t="s">
        <v>5905</v>
      </c>
      <c r="E4278" s="15" t="s">
        <v>5906</v>
      </c>
    </row>
    <row r="4279" spans="2:5">
      <c r="B4279" s="15" t="s">
        <v>5886</v>
      </c>
      <c r="C4279" s="15" t="s">
        <v>4584</v>
      </c>
      <c r="D4279" s="15" t="s">
        <v>5907</v>
      </c>
      <c r="E4279" s="15" t="s">
        <v>5908</v>
      </c>
    </row>
    <row r="4280" spans="2:5">
      <c r="B4280" s="15" t="s">
        <v>5886</v>
      </c>
      <c r="C4280" s="15" t="s">
        <v>4584</v>
      </c>
      <c r="D4280" s="15" t="s">
        <v>5909</v>
      </c>
      <c r="E4280" s="15" t="s">
        <v>5910</v>
      </c>
    </row>
    <row r="4281" spans="2:5">
      <c r="B4281" s="15" t="s">
        <v>5886</v>
      </c>
      <c r="C4281" s="15" t="s">
        <v>4584</v>
      </c>
      <c r="D4281" s="15" t="s">
        <v>5911</v>
      </c>
      <c r="E4281" s="15" t="s">
        <v>5912</v>
      </c>
    </row>
    <row r="4282" spans="2:5">
      <c r="B4282" s="15" t="s">
        <v>5886</v>
      </c>
      <c r="C4282" s="15" t="s">
        <v>4584</v>
      </c>
      <c r="D4282" s="15" t="s">
        <v>5913</v>
      </c>
      <c r="E4282" s="15" t="s">
        <v>5914</v>
      </c>
    </row>
    <row r="4283" spans="2:5">
      <c r="B4283" s="15" t="s">
        <v>5886</v>
      </c>
      <c r="C4283" s="15" t="s">
        <v>4584</v>
      </c>
      <c r="D4283" s="15" t="s">
        <v>5915</v>
      </c>
      <c r="E4283" s="15" t="s">
        <v>5916</v>
      </c>
    </row>
    <row r="4284" spans="2:5">
      <c r="B4284" s="15" t="s">
        <v>5886</v>
      </c>
      <c r="C4284" s="15" t="s">
        <v>4584</v>
      </c>
      <c r="D4284" s="15" t="s">
        <v>5917</v>
      </c>
      <c r="E4284" s="15" t="s">
        <v>5918</v>
      </c>
    </row>
    <row r="4285" spans="2:5">
      <c r="B4285" s="15" t="s">
        <v>5886</v>
      </c>
      <c r="C4285" s="15" t="s">
        <v>4584</v>
      </c>
      <c r="D4285" s="15" t="s">
        <v>5919</v>
      </c>
      <c r="E4285" s="15" t="s">
        <v>5920</v>
      </c>
    </row>
    <row r="4286" spans="2:5">
      <c r="B4286" s="15" t="s">
        <v>5886</v>
      </c>
      <c r="C4286" s="15" t="s">
        <v>4584</v>
      </c>
      <c r="D4286" s="15" t="s">
        <v>5921</v>
      </c>
      <c r="E4286" s="15" t="s">
        <v>5922</v>
      </c>
    </row>
    <row r="4287" spans="2:5">
      <c r="B4287" s="15" t="s">
        <v>5886</v>
      </c>
      <c r="C4287" s="15" t="s">
        <v>4584</v>
      </c>
      <c r="D4287" s="15" t="s">
        <v>5923</v>
      </c>
      <c r="E4287" s="15" t="s">
        <v>5924</v>
      </c>
    </row>
    <row r="4288" spans="2:5">
      <c r="B4288" s="15" t="s">
        <v>5886</v>
      </c>
      <c r="C4288" s="15" t="s">
        <v>4584</v>
      </c>
      <c r="D4288" s="15" t="s">
        <v>5925</v>
      </c>
      <c r="E4288" s="15" t="s">
        <v>5926</v>
      </c>
    </row>
    <row r="4289" spans="2:5">
      <c r="B4289" s="15" t="s">
        <v>5886</v>
      </c>
      <c r="C4289" s="15" t="s">
        <v>4584</v>
      </c>
      <c r="D4289" s="15" t="s">
        <v>5927</v>
      </c>
      <c r="E4289" s="15" t="s">
        <v>5928</v>
      </c>
    </row>
    <row r="4290" spans="2:5">
      <c r="B4290" s="15" t="s">
        <v>5886</v>
      </c>
      <c r="C4290" s="15" t="s">
        <v>4584</v>
      </c>
      <c r="D4290" s="15" t="s">
        <v>5592</v>
      </c>
      <c r="E4290" s="15" t="s">
        <v>5929</v>
      </c>
    </row>
    <row r="4291" spans="2:5">
      <c r="B4291" s="15" t="s">
        <v>5886</v>
      </c>
      <c r="C4291" s="15" t="s">
        <v>4584</v>
      </c>
      <c r="D4291" s="15" t="s">
        <v>5930</v>
      </c>
      <c r="E4291" s="15" t="s">
        <v>5931</v>
      </c>
    </row>
    <row r="4292" spans="2:5">
      <c r="B4292" s="15" t="s">
        <v>5886</v>
      </c>
      <c r="C4292" s="15" t="s">
        <v>4584</v>
      </c>
      <c r="D4292" s="15" t="s">
        <v>5932</v>
      </c>
      <c r="E4292" s="15" t="s">
        <v>5933</v>
      </c>
    </row>
    <row r="4293" spans="2:5">
      <c r="B4293" s="15" t="s">
        <v>5886</v>
      </c>
      <c r="C4293" s="15" t="s">
        <v>4584</v>
      </c>
      <c r="D4293" s="15" t="s">
        <v>5934</v>
      </c>
      <c r="E4293" s="15" t="s">
        <v>5935</v>
      </c>
    </row>
    <row r="4294" spans="2:5">
      <c r="B4294" s="15" t="s">
        <v>5886</v>
      </c>
      <c r="C4294" s="15" t="s">
        <v>4584</v>
      </c>
      <c r="D4294" s="15" t="s">
        <v>5936</v>
      </c>
      <c r="E4294" s="15" t="s">
        <v>5937</v>
      </c>
    </row>
    <row r="4295" spans="2:5">
      <c r="B4295" s="15" t="s">
        <v>5886</v>
      </c>
      <c r="C4295" s="15" t="s">
        <v>4584</v>
      </c>
      <c r="D4295" s="15" t="s">
        <v>5938</v>
      </c>
      <c r="E4295" s="15" t="s">
        <v>5939</v>
      </c>
    </row>
    <row r="4296" spans="2:5">
      <c r="B4296" s="15" t="s">
        <v>5886</v>
      </c>
      <c r="C4296" s="15" t="s">
        <v>4584</v>
      </c>
      <c r="D4296" s="15" t="s">
        <v>5940</v>
      </c>
      <c r="E4296" s="15" t="s">
        <v>5941</v>
      </c>
    </row>
    <row r="4297" spans="2:5">
      <c r="B4297" s="15" t="s">
        <v>5886</v>
      </c>
      <c r="C4297" s="15" t="s">
        <v>4584</v>
      </c>
      <c r="D4297" s="15" t="s">
        <v>5942</v>
      </c>
      <c r="E4297" s="15" t="s">
        <v>5943</v>
      </c>
    </row>
    <row r="4298" ht="15.95" spans="2:2">
      <c r="B4298" s="122" t="s">
        <v>5944</v>
      </c>
    </row>
    <row r="4299" spans="2:5">
      <c r="B4299" s="15" t="s">
        <v>5945</v>
      </c>
      <c r="C4299" s="15" t="s">
        <v>896</v>
      </c>
      <c r="D4299" s="15" t="s">
        <v>770</v>
      </c>
      <c r="E4299" s="15" t="s">
        <v>2393</v>
      </c>
    </row>
    <row r="4300" spans="2:5">
      <c r="B4300" s="15" t="s">
        <v>5945</v>
      </c>
      <c r="C4300" s="15" t="s">
        <v>896</v>
      </c>
      <c r="D4300" s="15" t="s">
        <v>772</v>
      </c>
      <c r="E4300" s="15" t="s">
        <v>2394</v>
      </c>
    </row>
    <row r="4301" spans="2:5">
      <c r="B4301" s="15" t="s">
        <v>5945</v>
      </c>
      <c r="C4301" s="15" t="s">
        <v>896</v>
      </c>
      <c r="D4301" s="15" t="s">
        <v>774</v>
      </c>
      <c r="E4301" s="15" t="s">
        <v>2395</v>
      </c>
    </row>
    <row r="4302" spans="2:5">
      <c r="B4302" s="15" t="s">
        <v>5945</v>
      </c>
      <c r="C4302" s="15" t="s">
        <v>896</v>
      </c>
      <c r="D4302" s="15" t="s">
        <v>828</v>
      </c>
      <c r="E4302" s="15" t="s">
        <v>2396</v>
      </c>
    </row>
    <row r="4303" ht="15.95" spans="2:2">
      <c r="B4303" s="122" t="s">
        <v>5946</v>
      </c>
    </row>
    <row r="4304" spans="2:5">
      <c r="B4304" s="15" t="s">
        <v>5947</v>
      </c>
      <c r="C4304" s="15" t="s">
        <v>5948</v>
      </c>
      <c r="D4304" s="15" t="s">
        <v>770</v>
      </c>
      <c r="E4304" s="15" t="s">
        <v>5949</v>
      </c>
    </row>
    <row r="4305" spans="2:5">
      <c r="B4305" s="15" t="s">
        <v>5947</v>
      </c>
      <c r="C4305" s="15" t="s">
        <v>5948</v>
      </c>
      <c r="D4305" s="15" t="s">
        <v>772</v>
      </c>
      <c r="E4305" s="15" t="s">
        <v>5950</v>
      </c>
    </row>
    <row r="4306" spans="2:5">
      <c r="B4306" s="15" t="s">
        <v>5947</v>
      </c>
      <c r="C4306" s="15" t="s">
        <v>5948</v>
      </c>
      <c r="D4306" s="15" t="s">
        <v>774</v>
      </c>
      <c r="E4306" s="15" t="s">
        <v>5951</v>
      </c>
    </row>
    <row r="4307" spans="2:5">
      <c r="B4307" s="15" t="s">
        <v>5947</v>
      </c>
      <c r="C4307" s="15" t="s">
        <v>5948</v>
      </c>
      <c r="D4307" s="15" t="s">
        <v>828</v>
      </c>
      <c r="E4307" s="15" t="s">
        <v>5952</v>
      </c>
    </row>
    <row r="4308" spans="2:5">
      <c r="B4308" s="15" t="s">
        <v>5947</v>
      </c>
      <c r="C4308" s="15" t="s">
        <v>5948</v>
      </c>
      <c r="D4308" s="15" t="s">
        <v>901</v>
      </c>
      <c r="E4308" s="15" t="s">
        <v>5953</v>
      </c>
    </row>
    <row r="4309" spans="2:5">
      <c r="B4309" s="15" t="s">
        <v>5947</v>
      </c>
      <c r="C4309" s="15" t="s">
        <v>5948</v>
      </c>
      <c r="D4309" s="15" t="s">
        <v>776</v>
      </c>
      <c r="E4309" s="15" t="s">
        <v>5954</v>
      </c>
    </row>
    <row r="4310" spans="2:5">
      <c r="B4310" s="15" t="s">
        <v>5947</v>
      </c>
      <c r="C4310" s="15" t="s">
        <v>5948</v>
      </c>
      <c r="D4310" s="15" t="s">
        <v>1290</v>
      </c>
      <c r="E4310" s="15" t="s">
        <v>5955</v>
      </c>
    </row>
    <row r="4311" spans="2:5">
      <c r="B4311" s="15" t="s">
        <v>5947</v>
      </c>
      <c r="C4311" s="15" t="s">
        <v>5948</v>
      </c>
      <c r="D4311" s="15" t="s">
        <v>1409</v>
      </c>
      <c r="E4311" s="15" t="s">
        <v>5956</v>
      </c>
    </row>
    <row r="4312" ht="15.95" spans="2:2">
      <c r="B4312" s="122" t="s">
        <v>5957</v>
      </c>
    </row>
    <row r="4313" spans="2:5">
      <c r="B4313" s="15" t="s">
        <v>3345</v>
      </c>
      <c r="C4313" s="15" t="s">
        <v>3345</v>
      </c>
      <c r="D4313" s="15" t="s">
        <v>723</v>
      </c>
      <c r="E4313" s="15" t="s">
        <v>2394</v>
      </c>
    </row>
    <row r="4314" spans="2:5">
      <c r="B4314" s="15" t="s">
        <v>3345</v>
      </c>
      <c r="C4314" s="15" t="s">
        <v>3345</v>
      </c>
      <c r="D4314" s="15" t="s">
        <v>725</v>
      </c>
      <c r="E4314" s="15" t="s">
        <v>5958</v>
      </c>
    </row>
    <row r="4315" spans="2:5">
      <c r="B4315" s="15" t="s">
        <v>3345</v>
      </c>
      <c r="C4315" s="15" t="s">
        <v>3345</v>
      </c>
      <c r="D4315" s="15" t="s">
        <v>727</v>
      </c>
      <c r="E4315" s="15" t="s">
        <v>235</v>
      </c>
    </row>
    <row r="4316" ht="15.95" spans="2:2">
      <c r="B4316" s="122" t="s">
        <v>5959</v>
      </c>
    </row>
    <row r="4317" spans="2:5">
      <c r="B4317" s="15" t="s">
        <v>5960</v>
      </c>
      <c r="C4317" s="15"/>
      <c r="D4317" s="15" t="s">
        <v>1267</v>
      </c>
      <c r="E4317" s="15" t="s">
        <v>1355</v>
      </c>
    </row>
    <row r="4318" spans="2:5">
      <c r="B4318" s="15" t="s">
        <v>5960</v>
      </c>
      <c r="C4318" s="15"/>
      <c r="D4318" s="15" t="s">
        <v>1269</v>
      </c>
      <c r="E4318" s="15" t="s">
        <v>1356</v>
      </c>
    </row>
    <row r="4319" ht="15.95" spans="2:2">
      <c r="B4319" s="122" t="s">
        <v>5961</v>
      </c>
    </row>
    <row r="4320" spans="2:5">
      <c r="B4320" s="15" t="s">
        <v>5962</v>
      </c>
      <c r="C4320" s="15" t="s">
        <v>5963</v>
      </c>
      <c r="D4320" s="15" t="s">
        <v>917</v>
      </c>
      <c r="E4320" s="15" t="s">
        <v>953</v>
      </c>
    </row>
    <row r="4321" spans="2:5">
      <c r="B4321" s="15" t="s">
        <v>5962</v>
      </c>
      <c r="C4321" s="15" t="s">
        <v>5963</v>
      </c>
      <c r="D4321" s="15" t="s">
        <v>919</v>
      </c>
      <c r="E4321" s="15" t="s">
        <v>2583</v>
      </c>
    </row>
    <row r="4322" spans="2:5">
      <c r="B4322" s="15" t="s">
        <v>5962</v>
      </c>
      <c r="C4322" s="15" t="s">
        <v>5963</v>
      </c>
      <c r="D4322" s="15" t="s">
        <v>921</v>
      </c>
      <c r="E4322" s="15" t="s">
        <v>2584</v>
      </c>
    </row>
    <row r="4323" spans="2:5">
      <c r="B4323" s="15" t="s">
        <v>5962</v>
      </c>
      <c r="C4323" s="15" t="s">
        <v>5963</v>
      </c>
      <c r="D4323" s="15" t="s">
        <v>923</v>
      </c>
      <c r="E4323" s="15" t="s">
        <v>5964</v>
      </c>
    </row>
    <row r="4324" ht="15.95" spans="2:2">
      <c r="B4324" s="122" t="s">
        <v>5965</v>
      </c>
    </row>
    <row r="4325" spans="2:5">
      <c r="B4325" s="15" t="s">
        <v>5966</v>
      </c>
      <c r="C4325" s="15" t="s">
        <v>5967</v>
      </c>
      <c r="D4325" s="15" t="s">
        <v>725</v>
      </c>
      <c r="E4325" s="15" t="s">
        <v>5968</v>
      </c>
    </row>
    <row r="4326" spans="2:5">
      <c r="B4326" s="15" t="s">
        <v>5966</v>
      </c>
      <c r="C4326" s="15" t="s">
        <v>5967</v>
      </c>
      <c r="D4326" s="15" t="s">
        <v>839</v>
      </c>
      <c r="E4326" s="15" t="s">
        <v>5969</v>
      </c>
    </row>
    <row r="4327" spans="2:5">
      <c r="B4327" s="15" t="s">
        <v>5966</v>
      </c>
      <c r="C4327" s="15" t="s">
        <v>5967</v>
      </c>
      <c r="D4327" s="15" t="s">
        <v>856</v>
      </c>
      <c r="E4327" s="15" t="s">
        <v>5970</v>
      </c>
    </row>
    <row r="4328" spans="2:5">
      <c r="B4328" s="15" t="s">
        <v>5966</v>
      </c>
      <c r="C4328" s="15" t="s">
        <v>5967</v>
      </c>
      <c r="D4328" s="15" t="s">
        <v>5971</v>
      </c>
      <c r="E4328" s="15" t="s">
        <v>5972</v>
      </c>
    </row>
    <row r="4329" spans="2:5">
      <c r="B4329" s="15" t="s">
        <v>5966</v>
      </c>
      <c r="C4329" s="15" t="s">
        <v>5967</v>
      </c>
      <c r="D4329" s="15" t="s">
        <v>5973</v>
      </c>
      <c r="E4329" s="15" t="s">
        <v>5974</v>
      </c>
    </row>
    <row r="4330" ht="15.95" spans="2:2">
      <c r="B4330" s="122" t="s">
        <v>5975</v>
      </c>
    </row>
    <row r="4331" spans="2:5">
      <c r="B4331" s="15" t="s">
        <v>5976</v>
      </c>
      <c r="C4331" s="15" t="s">
        <v>5977</v>
      </c>
      <c r="D4331" s="15" t="s">
        <v>635</v>
      </c>
      <c r="E4331" s="15" t="s">
        <v>5978</v>
      </c>
    </row>
    <row r="4332" spans="2:5">
      <c r="B4332" s="15" t="s">
        <v>5976</v>
      </c>
      <c r="C4332" s="15" t="s">
        <v>5977</v>
      </c>
      <c r="D4332" s="15" t="s">
        <v>659</v>
      </c>
      <c r="E4332" s="15" t="s">
        <v>5979</v>
      </c>
    </row>
    <row r="4333" spans="2:5">
      <c r="B4333" s="15" t="s">
        <v>5976</v>
      </c>
      <c r="C4333" s="15" t="s">
        <v>5977</v>
      </c>
      <c r="D4333" s="15" t="s">
        <v>679</v>
      </c>
      <c r="E4333" s="15" t="s">
        <v>5980</v>
      </c>
    </row>
    <row r="4334" ht="15.95" spans="2:2">
      <c r="B4334" s="122" t="s">
        <v>5981</v>
      </c>
    </row>
    <row r="4335" spans="2:5">
      <c r="B4335" s="15" t="s">
        <v>5982</v>
      </c>
      <c r="C4335" s="15" t="s">
        <v>5982</v>
      </c>
      <c r="D4335" s="15" t="s">
        <v>723</v>
      </c>
      <c r="E4335" s="15" t="s">
        <v>5983</v>
      </c>
    </row>
    <row r="4336" spans="2:5">
      <c r="B4336" s="15" t="s">
        <v>5982</v>
      </c>
      <c r="C4336" s="15" t="s">
        <v>5982</v>
      </c>
      <c r="D4336" s="15" t="s">
        <v>725</v>
      </c>
      <c r="E4336" s="15" t="s">
        <v>5984</v>
      </c>
    </row>
    <row r="4337" spans="2:5">
      <c r="B4337" s="15" t="s">
        <v>5982</v>
      </c>
      <c r="C4337" s="15" t="s">
        <v>5982</v>
      </c>
      <c r="D4337" s="15" t="s">
        <v>727</v>
      </c>
      <c r="E4337" s="15" t="s">
        <v>5985</v>
      </c>
    </row>
    <row r="4338" ht="15.95" spans="2:2">
      <c r="B4338" s="122" t="s">
        <v>5986</v>
      </c>
    </row>
    <row r="4339" spans="2:5">
      <c r="B4339" s="15" t="s">
        <v>5987</v>
      </c>
      <c r="C4339" s="15" t="s">
        <v>5988</v>
      </c>
      <c r="D4339" s="15" t="s">
        <v>770</v>
      </c>
      <c r="E4339" s="15" t="s">
        <v>5989</v>
      </c>
    </row>
    <row r="4340" spans="2:5">
      <c r="B4340" s="15" t="s">
        <v>5987</v>
      </c>
      <c r="C4340" s="15" t="s">
        <v>5988</v>
      </c>
      <c r="D4340" s="15" t="s">
        <v>772</v>
      </c>
      <c r="E4340" s="15" t="s">
        <v>5990</v>
      </c>
    </row>
    <row r="4341" spans="2:5">
      <c r="B4341" s="15" t="s">
        <v>5987</v>
      </c>
      <c r="C4341" s="15" t="s">
        <v>5988</v>
      </c>
      <c r="D4341" s="15" t="s">
        <v>774</v>
      </c>
      <c r="E4341" s="15" t="s">
        <v>4958</v>
      </c>
    </row>
    <row r="4342" spans="2:5">
      <c r="B4342" s="15" t="s">
        <v>5987</v>
      </c>
      <c r="C4342" s="15" t="s">
        <v>5988</v>
      </c>
      <c r="D4342" s="15" t="s">
        <v>828</v>
      </c>
      <c r="E4342" s="15" t="s">
        <v>4959</v>
      </c>
    </row>
    <row r="4343" ht="15.95" spans="2:2">
      <c r="B4343" s="122" t="s">
        <v>5991</v>
      </c>
    </row>
    <row r="4344" spans="2:5">
      <c r="B4344" s="15" t="s">
        <v>5992</v>
      </c>
      <c r="C4344" s="15" t="s">
        <v>5992</v>
      </c>
      <c r="D4344" s="15" t="s">
        <v>723</v>
      </c>
      <c r="E4344" s="15" t="s">
        <v>5993</v>
      </c>
    </row>
    <row r="4345" spans="2:5">
      <c r="B4345" s="15" t="s">
        <v>5992</v>
      </c>
      <c r="C4345" s="15" t="s">
        <v>5992</v>
      </c>
      <c r="D4345" s="15" t="s">
        <v>725</v>
      </c>
      <c r="E4345" s="15" t="s">
        <v>5994</v>
      </c>
    </row>
    <row r="4346" spans="2:5">
      <c r="B4346" s="15" t="s">
        <v>5992</v>
      </c>
      <c r="C4346" s="15" t="s">
        <v>5992</v>
      </c>
      <c r="D4346" s="15" t="s">
        <v>727</v>
      </c>
      <c r="E4346" s="15" t="s">
        <v>5995</v>
      </c>
    </row>
    <row r="4347" spans="2:5">
      <c r="B4347" s="15" t="s">
        <v>5992</v>
      </c>
      <c r="C4347" s="15" t="s">
        <v>5992</v>
      </c>
      <c r="D4347" s="15" t="s">
        <v>729</v>
      </c>
      <c r="E4347" s="15" t="s">
        <v>5996</v>
      </c>
    </row>
    <row r="4348" spans="2:5">
      <c r="B4348" s="15" t="s">
        <v>5992</v>
      </c>
      <c r="C4348" s="15" t="s">
        <v>5992</v>
      </c>
      <c r="D4348" s="15" t="s">
        <v>760</v>
      </c>
      <c r="E4348" s="15" t="s">
        <v>5997</v>
      </c>
    </row>
    <row r="4349" spans="2:5">
      <c r="B4349" s="15" t="s">
        <v>5992</v>
      </c>
      <c r="C4349" s="15" t="s">
        <v>5992</v>
      </c>
      <c r="D4349" s="15" t="s">
        <v>762</v>
      </c>
      <c r="E4349" s="15" t="s">
        <v>5998</v>
      </c>
    </row>
    <row r="4350" ht="15.95" spans="2:2">
      <c r="B4350" s="122" t="s">
        <v>5999</v>
      </c>
    </row>
    <row r="4351" spans="2:5">
      <c r="B4351" s="15" t="s">
        <v>6000</v>
      </c>
      <c r="C4351" s="15" t="s">
        <v>6001</v>
      </c>
      <c r="D4351" s="15" t="s">
        <v>1267</v>
      </c>
      <c r="E4351" s="15" t="s">
        <v>1268</v>
      </c>
    </row>
    <row r="4352" spans="2:5">
      <c r="B4352" s="15" t="s">
        <v>6000</v>
      </c>
      <c r="C4352" s="15" t="s">
        <v>6001</v>
      </c>
      <c r="D4352" s="15" t="s">
        <v>1269</v>
      </c>
      <c r="E4352" s="15" t="s">
        <v>1270</v>
      </c>
    </row>
    <row r="4353" ht="15.95" spans="2:2">
      <c r="B4353" s="122" t="s">
        <v>6002</v>
      </c>
    </row>
    <row r="4354" spans="2:5">
      <c r="B4354" s="15" t="s">
        <v>6003</v>
      </c>
      <c r="C4354" s="15" t="s">
        <v>6003</v>
      </c>
      <c r="D4354" s="15" t="s">
        <v>723</v>
      </c>
      <c r="E4354" s="15" t="s">
        <v>1201</v>
      </c>
    </row>
    <row r="4355" spans="2:5">
      <c r="B4355" s="15" t="s">
        <v>6003</v>
      </c>
      <c r="C4355" s="15" t="s">
        <v>6003</v>
      </c>
      <c r="D4355" s="15" t="s">
        <v>725</v>
      </c>
      <c r="E4355" s="15" t="s">
        <v>1202</v>
      </c>
    </row>
    <row r="4356" spans="2:5">
      <c r="B4356" s="15" t="s">
        <v>6003</v>
      </c>
      <c r="C4356" s="15" t="s">
        <v>6003</v>
      </c>
      <c r="D4356" s="15" t="s">
        <v>727</v>
      </c>
      <c r="E4356" s="15" t="s">
        <v>1203</v>
      </c>
    </row>
    <row r="4357" spans="2:5">
      <c r="B4357" s="15" t="s">
        <v>6003</v>
      </c>
      <c r="C4357" s="15" t="s">
        <v>6003</v>
      </c>
      <c r="D4357" s="15" t="s">
        <v>729</v>
      </c>
      <c r="E4357" s="15" t="s">
        <v>1936</v>
      </c>
    </row>
    <row r="4358" ht="15.95" spans="2:2">
      <c r="B4358" s="122" t="s">
        <v>6004</v>
      </c>
    </row>
    <row r="4359" spans="2:5">
      <c r="B4359" s="15" t="s">
        <v>6005</v>
      </c>
      <c r="C4359" s="15" t="s">
        <v>6006</v>
      </c>
      <c r="D4359" s="15" t="s">
        <v>635</v>
      </c>
      <c r="E4359" s="15" t="s">
        <v>6007</v>
      </c>
    </row>
    <row r="4360" spans="2:5">
      <c r="B4360" s="15" t="s">
        <v>6005</v>
      </c>
      <c r="C4360" s="15" t="s">
        <v>6006</v>
      </c>
      <c r="D4360" s="15" t="s">
        <v>659</v>
      </c>
      <c r="E4360" s="15" t="s">
        <v>6008</v>
      </c>
    </row>
    <row r="4361" spans="2:5">
      <c r="B4361" s="15" t="s">
        <v>6005</v>
      </c>
      <c r="C4361" s="15" t="s">
        <v>6006</v>
      </c>
      <c r="D4361" s="15" t="s">
        <v>679</v>
      </c>
      <c r="E4361" s="15" t="s">
        <v>6009</v>
      </c>
    </row>
    <row r="4362" spans="2:5">
      <c r="B4362" s="15" t="s">
        <v>6005</v>
      </c>
      <c r="C4362" s="15" t="s">
        <v>6006</v>
      </c>
      <c r="D4362" s="15" t="s">
        <v>705</v>
      </c>
      <c r="E4362" s="15" t="s">
        <v>6010</v>
      </c>
    </row>
    <row r="4363" spans="2:5">
      <c r="B4363" s="15" t="s">
        <v>6005</v>
      </c>
      <c r="C4363" s="15" t="s">
        <v>6006</v>
      </c>
      <c r="D4363" s="15" t="s">
        <v>709</v>
      </c>
      <c r="E4363" s="15" t="s">
        <v>6011</v>
      </c>
    </row>
    <row r="4364" spans="2:5">
      <c r="B4364" s="15" t="s">
        <v>6005</v>
      </c>
      <c r="C4364" s="15" t="s">
        <v>6006</v>
      </c>
      <c r="D4364" s="15" t="s">
        <v>838</v>
      </c>
      <c r="E4364" s="15" t="s">
        <v>2292</v>
      </c>
    </row>
    <row r="4365" spans="2:5">
      <c r="B4365" s="15" t="s">
        <v>6005</v>
      </c>
      <c r="C4365" s="15" t="s">
        <v>6006</v>
      </c>
      <c r="D4365" s="15" t="s">
        <v>840</v>
      </c>
      <c r="E4365" s="15" t="s">
        <v>6012</v>
      </c>
    </row>
    <row r="4366" ht="15.95" spans="2:2">
      <c r="B4366" s="122" t="s">
        <v>6013</v>
      </c>
    </row>
    <row r="4367" spans="2:5">
      <c r="B4367" s="15" t="s">
        <v>6014</v>
      </c>
      <c r="C4367" s="15" t="s">
        <v>6015</v>
      </c>
      <c r="D4367" s="15" t="s">
        <v>635</v>
      </c>
      <c r="E4367" s="15" t="s">
        <v>2633</v>
      </c>
    </row>
    <row r="4368" spans="2:5">
      <c r="B4368" s="15" t="s">
        <v>6014</v>
      </c>
      <c r="C4368" s="15" t="s">
        <v>6015</v>
      </c>
      <c r="D4368" s="15" t="s">
        <v>637</v>
      </c>
      <c r="E4368" s="15" t="s">
        <v>638</v>
      </c>
    </row>
    <row r="4369" spans="2:5">
      <c r="B4369" s="15" t="s">
        <v>6014</v>
      </c>
      <c r="C4369" s="15" t="s">
        <v>6015</v>
      </c>
      <c r="D4369" s="15" t="s">
        <v>639</v>
      </c>
      <c r="E4369" s="15" t="s">
        <v>2634</v>
      </c>
    </row>
    <row r="4370" spans="2:5">
      <c r="B4370" s="15" t="s">
        <v>6014</v>
      </c>
      <c r="C4370" s="15" t="s">
        <v>6015</v>
      </c>
      <c r="D4370" s="15" t="s">
        <v>643</v>
      </c>
      <c r="E4370" s="15" t="s">
        <v>648</v>
      </c>
    </row>
    <row r="4371" spans="2:5">
      <c r="B4371" s="15" t="s">
        <v>6014</v>
      </c>
      <c r="C4371" s="15" t="s">
        <v>6015</v>
      </c>
      <c r="D4371" s="15" t="s">
        <v>645</v>
      </c>
      <c r="E4371" s="15" t="s">
        <v>650</v>
      </c>
    </row>
    <row r="4372" spans="2:5">
      <c r="B4372" s="15" t="s">
        <v>6014</v>
      </c>
      <c r="C4372" s="15" t="s">
        <v>6015</v>
      </c>
      <c r="D4372" s="15" t="s">
        <v>6016</v>
      </c>
      <c r="E4372" s="15" t="s">
        <v>644</v>
      </c>
    </row>
    <row r="4373" spans="2:5">
      <c r="B4373" s="15" t="s">
        <v>6014</v>
      </c>
      <c r="C4373" s="15" t="s">
        <v>6015</v>
      </c>
      <c r="D4373" s="15" t="s">
        <v>6017</v>
      </c>
      <c r="E4373" s="15" t="s">
        <v>6018</v>
      </c>
    </row>
    <row r="4374" spans="2:5">
      <c r="B4374" s="15" t="s">
        <v>6014</v>
      </c>
      <c r="C4374" s="15" t="s">
        <v>6015</v>
      </c>
      <c r="D4374" s="15" t="s">
        <v>6019</v>
      </c>
      <c r="E4374" s="15" t="s">
        <v>6020</v>
      </c>
    </row>
    <row r="4375" spans="2:5">
      <c r="B4375" s="15" t="s">
        <v>6014</v>
      </c>
      <c r="C4375" s="15" t="s">
        <v>6015</v>
      </c>
      <c r="D4375" s="15" t="s">
        <v>6021</v>
      </c>
      <c r="E4375" s="15" t="s">
        <v>6022</v>
      </c>
    </row>
    <row r="4376" spans="2:5">
      <c r="B4376" s="15" t="s">
        <v>6014</v>
      </c>
      <c r="C4376" s="15" t="s">
        <v>6015</v>
      </c>
      <c r="D4376" s="15" t="s">
        <v>6023</v>
      </c>
      <c r="E4376" s="15" t="s">
        <v>6024</v>
      </c>
    </row>
    <row r="4377" spans="2:5">
      <c r="B4377" s="15" t="s">
        <v>6014</v>
      </c>
      <c r="C4377" s="15" t="s">
        <v>6015</v>
      </c>
      <c r="D4377" s="15" t="s">
        <v>6025</v>
      </c>
      <c r="E4377" s="15" t="s">
        <v>6026</v>
      </c>
    </row>
    <row r="4378" spans="2:5">
      <c r="B4378" s="15" t="s">
        <v>6014</v>
      </c>
      <c r="C4378" s="15" t="s">
        <v>6015</v>
      </c>
      <c r="D4378" s="15" t="s">
        <v>6027</v>
      </c>
      <c r="E4378" s="15" t="s">
        <v>6028</v>
      </c>
    </row>
    <row r="4379" spans="2:5">
      <c r="B4379" s="15" t="s">
        <v>6014</v>
      </c>
      <c r="C4379" s="15" t="s">
        <v>6015</v>
      </c>
      <c r="D4379" s="15" t="s">
        <v>679</v>
      </c>
      <c r="E4379" s="15" t="s">
        <v>6029</v>
      </c>
    </row>
    <row r="4380" spans="2:5">
      <c r="B4380" s="15" t="s">
        <v>6014</v>
      </c>
      <c r="C4380" s="15" t="s">
        <v>6015</v>
      </c>
      <c r="D4380" s="15" t="s">
        <v>681</v>
      </c>
      <c r="E4380" s="15" t="s">
        <v>2017</v>
      </c>
    </row>
    <row r="4381" spans="2:5">
      <c r="B4381" s="15" t="s">
        <v>6014</v>
      </c>
      <c r="C4381" s="15" t="s">
        <v>6015</v>
      </c>
      <c r="D4381" s="15" t="s">
        <v>683</v>
      </c>
      <c r="E4381" s="15" t="s">
        <v>680</v>
      </c>
    </row>
    <row r="4382" spans="2:5">
      <c r="B4382" s="15" t="s">
        <v>6014</v>
      </c>
      <c r="C4382" s="15" t="s">
        <v>6015</v>
      </c>
      <c r="D4382" s="15" t="s">
        <v>1045</v>
      </c>
      <c r="E4382" s="15" t="s">
        <v>6030</v>
      </c>
    </row>
    <row r="4383" spans="2:5">
      <c r="B4383" s="15" t="s">
        <v>6014</v>
      </c>
      <c r="C4383" s="15" t="s">
        <v>6015</v>
      </c>
      <c r="D4383" s="15" t="s">
        <v>1046</v>
      </c>
      <c r="E4383" s="15" t="s">
        <v>6031</v>
      </c>
    </row>
    <row r="4384" spans="2:5">
      <c r="B4384" s="15" t="s">
        <v>6014</v>
      </c>
      <c r="C4384" s="15" t="s">
        <v>6015</v>
      </c>
      <c r="D4384" s="15" t="s">
        <v>6032</v>
      </c>
      <c r="E4384" s="15" t="s">
        <v>6033</v>
      </c>
    </row>
    <row r="4385" spans="2:5">
      <c r="B4385" s="15" t="s">
        <v>6014</v>
      </c>
      <c r="C4385" s="15" t="s">
        <v>6015</v>
      </c>
      <c r="D4385" s="15" t="s">
        <v>6034</v>
      </c>
      <c r="E4385" s="15" t="s">
        <v>3370</v>
      </c>
    </row>
    <row r="4386" spans="2:5">
      <c r="B4386" s="15" t="s">
        <v>6014</v>
      </c>
      <c r="C4386" s="15" t="s">
        <v>6015</v>
      </c>
      <c r="D4386" s="15" t="s">
        <v>6035</v>
      </c>
      <c r="E4386" s="15" t="s">
        <v>3372</v>
      </c>
    </row>
    <row r="4387" spans="2:5">
      <c r="B4387" s="15" t="s">
        <v>6014</v>
      </c>
      <c r="C4387" s="15" t="s">
        <v>6015</v>
      </c>
      <c r="D4387" s="15" t="s">
        <v>6036</v>
      </c>
      <c r="E4387" s="15" t="s">
        <v>6037</v>
      </c>
    </row>
    <row r="4388" spans="2:5">
      <c r="B4388" s="15" t="s">
        <v>6014</v>
      </c>
      <c r="C4388" s="15" t="s">
        <v>6015</v>
      </c>
      <c r="D4388" s="15" t="s">
        <v>6038</v>
      </c>
      <c r="E4388" s="15" t="s">
        <v>698</v>
      </c>
    </row>
    <row r="4389" spans="2:5">
      <c r="B4389" s="15" t="s">
        <v>6014</v>
      </c>
      <c r="C4389" s="15" t="s">
        <v>6015</v>
      </c>
      <c r="D4389" s="15" t="s">
        <v>6039</v>
      </c>
      <c r="E4389" s="15" t="s">
        <v>6040</v>
      </c>
    </row>
    <row r="4390" spans="2:5">
      <c r="B4390" s="15" t="s">
        <v>6014</v>
      </c>
      <c r="C4390" s="15" t="s">
        <v>6015</v>
      </c>
      <c r="D4390" s="15" t="s">
        <v>6041</v>
      </c>
      <c r="E4390" s="15" t="s">
        <v>6042</v>
      </c>
    </row>
    <row r="4391" spans="2:5">
      <c r="B4391" s="15" t="s">
        <v>6014</v>
      </c>
      <c r="C4391" s="15" t="s">
        <v>6015</v>
      </c>
      <c r="D4391" s="15" t="s">
        <v>6043</v>
      </c>
      <c r="E4391" s="15" t="s">
        <v>6044</v>
      </c>
    </row>
    <row r="4392" spans="2:5">
      <c r="B4392" s="15" t="s">
        <v>6014</v>
      </c>
      <c r="C4392" s="15" t="s">
        <v>6015</v>
      </c>
      <c r="D4392" s="15" t="s">
        <v>705</v>
      </c>
      <c r="E4392" s="15" t="s">
        <v>6045</v>
      </c>
    </row>
    <row r="4393" spans="2:5">
      <c r="B4393" s="15" t="s">
        <v>6014</v>
      </c>
      <c r="C4393" s="15" t="s">
        <v>6015</v>
      </c>
      <c r="D4393" s="15" t="s">
        <v>709</v>
      </c>
      <c r="E4393" s="15" t="s">
        <v>6046</v>
      </c>
    </row>
    <row r="4394" spans="2:5">
      <c r="B4394" s="15" t="s">
        <v>6014</v>
      </c>
      <c r="C4394" s="15" t="s">
        <v>6015</v>
      </c>
      <c r="D4394" s="15" t="s">
        <v>711</v>
      </c>
      <c r="E4394" s="15" t="s">
        <v>6047</v>
      </c>
    </row>
    <row r="4395" spans="2:5">
      <c r="B4395" s="15" t="s">
        <v>6014</v>
      </c>
      <c r="C4395" s="15" t="s">
        <v>6015</v>
      </c>
      <c r="D4395" s="15" t="s">
        <v>2042</v>
      </c>
      <c r="E4395" s="15" t="s">
        <v>6048</v>
      </c>
    </row>
    <row r="4396" spans="2:5">
      <c r="B4396" s="15" t="s">
        <v>6014</v>
      </c>
      <c r="C4396" s="15" t="s">
        <v>6015</v>
      </c>
      <c r="D4396" s="15" t="s">
        <v>3385</v>
      </c>
      <c r="E4396" s="15" t="s">
        <v>3383</v>
      </c>
    </row>
    <row r="4397" spans="2:5">
      <c r="B4397" s="15" t="s">
        <v>6014</v>
      </c>
      <c r="C4397" s="15" t="s">
        <v>6015</v>
      </c>
      <c r="D4397" s="15" t="s">
        <v>838</v>
      </c>
      <c r="E4397" s="15" t="s">
        <v>6049</v>
      </c>
    </row>
    <row r="4398" spans="2:5">
      <c r="B4398" s="15" t="s">
        <v>6014</v>
      </c>
      <c r="C4398" s="15" t="s">
        <v>6015</v>
      </c>
      <c r="D4398" s="15" t="s">
        <v>2044</v>
      </c>
      <c r="E4398" s="15" t="s">
        <v>3376</v>
      </c>
    </row>
    <row r="4399" spans="2:5">
      <c r="B4399" s="15" t="s">
        <v>6014</v>
      </c>
      <c r="C4399" s="15" t="s">
        <v>6015</v>
      </c>
      <c r="D4399" s="15" t="s">
        <v>2045</v>
      </c>
      <c r="E4399" s="15" t="s">
        <v>2033</v>
      </c>
    </row>
    <row r="4400" spans="2:5">
      <c r="B4400" s="15" t="s">
        <v>6014</v>
      </c>
      <c r="C4400" s="15" t="s">
        <v>6015</v>
      </c>
      <c r="D4400" s="15" t="s">
        <v>2047</v>
      </c>
      <c r="E4400" s="15" t="s">
        <v>2035</v>
      </c>
    </row>
    <row r="4401" spans="2:5">
      <c r="B4401" s="15" t="s">
        <v>6014</v>
      </c>
      <c r="C4401" s="15" t="s">
        <v>6015</v>
      </c>
      <c r="D4401" s="15" t="s">
        <v>6050</v>
      </c>
      <c r="E4401" s="15" t="s">
        <v>2037</v>
      </c>
    </row>
    <row r="4402" spans="2:5">
      <c r="B4402" s="15" t="s">
        <v>6014</v>
      </c>
      <c r="C4402" s="15" t="s">
        <v>6015</v>
      </c>
      <c r="D4402" s="15" t="s">
        <v>6051</v>
      </c>
      <c r="E4402" s="15" t="s">
        <v>2039</v>
      </c>
    </row>
    <row r="4403" spans="2:5">
      <c r="B4403" s="15" t="s">
        <v>6014</v>
      </c>
      <c r="C4403" s="15" t="s">
        <v>6015</v>
      </c>
      <c r="D4403" s="15" t="s">
        <v>6052</v>
      </c>
      <c r="E4403" s="15" t="s">
        <v>3382</v>
      </c>
    </row>
    <row r="4404" spans="2:5">
      <c r="B4404" s="15" t="s">
        <v>6014</v>
      </c>
      <c r="C4404" s="15" t="s">
        <v>6015</v>
      </c>
      <c r="D4404" s="15" t="s">
        <v>6053</v>
      </c>
      <c r="E4404" s="15" t="s">
        <v>652</v>
      </c>
    </row>
    <row r="4405" spans="2:5">
      <c r="B4405" s="15" t="s">
        <v>6014</v>
      </c>
      <c r="C4405" s="15" t="s">
        <v>6015</v>
      </c>
      <c r="D4405" s="15" t="s">
        <v>840</v>
      </c>
      <c r="E4405" s="15" t="s">
        <v>2043</v>
      </c>
    </row>
    <row r="4406" spans="2:5">
      <c r="B4406" s="15" t="s">
        <v>6014</v>
      </c>
      <c r="C4406" s="15" t="s">
        <v>6015</v>
      </c>
      <c r="D4406" s="15" t="s">
        <v>842</v>
      </c>
      <c r="E4406" s="15" t="s">
        <v>3384</v>
      </c>
    </row>
    <row r="4407" spans="2:5">
      <c r="B4407" s="15" t="s">
        <v>6014</v>
      </c>
      <c r="C4407" s="15" t="s">
        <v>6015</v>
      </c>
      <c r="D4407" s="15" t="s">
        <v>2075</v>
      </c>
      <c r="E4407" s="15" t="s">
        <v>2057</v>
      </c>
    </row>
    <row r="4408" spans="2:5">
      <c r="B4408" s="15" t="s">
        <v>6014</v>
      </c>
      <c r="C4408" s="15" t="s">
        <v>6015</v>
      </c>
      <c r="D4408" s="15" t="s">
        <v>844</v>
      </c>
      <c r="E4408" s="15" t="s">
        <v>6054</v>
      </c>
    </row>
    <row r="4409" spans="2:5">
      <c r="B4409" s="15" t="s">
        <v>6014</v>
      </c>
      <c r="C4409" s="15" t="s">
        <v>6015</v>
      </c>
      <c r="D4409" s="15" t="s">
        <v>846</v>
      </c>
      <c r="E4409" s="15" t="s">
        <v>2048</v>
      </c>
    </row>
    <row r="4410" spans="2:5">
      <c r="B4410" s="15" t="s">
        <v>6014</v>
      </c>
      <c r="C4410" s="15" t="s">
        <v>6015</v>
      </c>
      <c r="D4410" s="15" t="s">
        <v>6055</v>
      </c>
      <c r="E4410" s="15" t="s">
        <v>3404</v>
      </c>
    </row>
    <row r="4411" spans="2:5">
      <c r="B4411" s="15" t="s">
        <v>6014</v>
      </c>
      <c r="C4411" s="15" t="s">
        <v>6015</v>
      </c>
      <c r="D4411" s="15" t="s">
        <v>6056</v>
      </c>
      <c r="E4411" s="15" t="s">
        <v>6057</v>
      </c>
    </row>
    <row r="4412" spans="2:5">
      <c r="B4412" s="15" t="s">
        <v>6014</v>
      </c>
      <c r="C4412" s="15" t="s">
        <v>6015</v>
      </c>
      <c r="D4412" s="15" t="s">
        <v>713</v>
      </c>
      <c r="E4412" s="15" t="s">
        <v>714</v>
      </c>
    </row>
    <row r="4413" spans="2:5">
      <c r="B4413" s="15" t="s">
        <v>6014</v>
      </c>
      <c r="C4413" s="15" t="s">
        <v>6015</v>
      </c>
      <c r="D4413" s="15" t="s">
        <v>715</v>
      </c>
      <c r="E4413" s="15" t="s">
        <v>716</v>
      </c>
    </row>
    <row r="4414" spans="2:5">
      <c r="B4414" s="15" t="s">
        <v>6014</v>
      </c>
      <c r="C4414" s="15" t="s">
        <v>6015</v>
      </c>
      <c r="D4414" s="15" t="s">
        <v>717</v>
      </c>
      <c r="E4414" s="15" t="s">
        <v>718</v>
      </c>
    </row>
    <row r="4415" spans="2:5">
      <c r="B4415" s="15" t="s">
        <v>6014</v>
      </c>
      <c r="C4415" s="15" t="s">
        <v>6015</v>
      </c>
      <c r="D4415" s="15" t="s">
        <v>719</v>
      </c>
      <c r="E4415" s="15" t="s">
        <v>720</v>
      </c>
    </row>
    <row r="4416" ht="15.95" spans="2:2">
      <c r="B4416" s="122" t="s">
        <v>6058</v>
      </c>
    </row>
    <row r="4417" spans="2:5">
      <c r="B4417" s="15" t="s">
        <v>6059</v>
      </c>
      <c r="C4417" s="15" t="s">
        <v>6060</v>
      </c>
      <c r="D4417" s="15" t="s">
        <v>1267</v>
      </c>
      <c r="E4417" s="15" t="s">
        <v>1355</v>
      </c>
    </row>
    <row r="4418" spans="2:5">
      <c r="B4418" s="15" t="s">
        <v>6059</v>
      </c>
      <c r="C4418" s="15" t="s">
        <v>6060</v>
      </c>
      <c r="D4418" s="15" t="s">
        <v>1269</v>
      </c>
      <c r="E4418" s="15" t="s">
        <v>1356</v>
      </c>
    </row>
    <row r="4419" ht="15.95" spans="2:2">
      <c r="B4419" s="122" t="s">
        <v>6061</v>
      </c>
    </row>
    <row r="4420" spans="2:5">
      <c r="B4420" s="15" t="s">
        <v>6062</v>
      </c>
      <c r="C4420" s="15" t="s">
        <v>6063</v>
      </c>
      <c r="D4420" s="15" t="s">
        <v>770</v>
      </c>
      <c r="E4420" s="15" t="s">
        <v>1201</v>
      </c>
    </row>
    <row r="4421" spans="2:5">
      <c r="B4421" s="15" t="s">
        <v>6062</v>
      </c>
      <c r="C4421" s="15" t="s">
        <v>6063</v>
      </c>
      <c r="D4421" s="15" t="s">
        <v>772</v>
      </c>
      <c r="E4421" s="15" t="s">
        <v>1203</v>
      </c>
    </row>
    <row r="4422" spans="2:5">
      <c r="B4422" s="15" t="s">
        <v>6062</v>
      </c>
      <c r="C4422" s="15" t="s">
        <v>6063</v>
      </c>
      <c r="D4422" s="15" t="s">
        <v>774</v>
      </c>
      <c r="E4422" s="15" t="s">
        <v>3413</v>
      </c>
    </row>
    <row r="4423" ht="15.95" spans="2:2">
      <c r="B4423" s="122" t="s">
        <v>6064</v>
      </c>
    </row>
    <row r="4424" spans="2:5">
      <c r="B4424" s="15" t="s">
        <v>6065</v>
      </c>
      <c r="C4424" s="15" t="s">
        <v>879</v>
      </c>
      <c r="D4424" s="15" t="s">
        <v>770</v>
      </c>
      <c r="E4424" s="15" t="s">
        <v>6066</v>
      </c>
    </row>
    <row r="4425" spans="2:5">
      <c r="B4425" s="15" t="s">
        <v>6065</v>
      </c>
      <c r="C4425" s="15" t="s">
        <v>879</v>
      </c>
      <c r="D4425" s="15" t="s">
        <v>772</v>
      </c>
      <c r="E4425" s="15" t="s">
        <v>6067</v>
      </c>
    </row>
    <row r="4426" spans="2:5">
      <c r="B4426" s="15" t="s">
        <v>6065</v>
      </c>
      <c r="C4426" s="15" t="s">
        <v>879</v>
      </c>
      <c r="D4426" s="15" t="s">
        <v>774</v>
      </c>
      <c r="E4426" s="15" t="s">
        <v>6068</v>
      </c>
    </row>
    <row r="4427" spans="2:5">
      <c r="B4427" s="15" t="s">
        <v>6065</v>
      </c>
      <c r="C4427" s="15" t="s">
        <v>879</v>
      </c>
      <c r="D4427" s="15" t="s">
        <v>828</v>
      </c>
      <c r="E4427" s="15" t="s">
        <v>6069</v>
      </c>
    </row>
    <row r="4428" spans="2:5">
      <c r="B4428" s="15" t="s">
        <v>6065</v>
      </c>
      <c r="C4428" s="15" t="s">
        <v>879</v>
      </c>
      <c r="D4428" s="15" t="s">
        <v>901</v>
      </c>
      <c r="E4428" s="15" t="s">
        <v>6070</v>
      </c>
    </row>
    <row r="4429" ht="15.95" spans="2:2">
      <c r="B4429" s="122" t="s">
        <v>6071</v>
      </c>
    </row>
    <row r="4430" spans="2:5">
      <c r="B4430" s="15" t="s">
        <v>6072</v>
      </c>
      <c r="C4430" s="15" t="s">
        <v>6073</v>
      </c>
      <c r="D4430" s="15" t="s">
        <v>770</v>
      </c>
      <c r="E4430" s="15" t="s">
        <v>6074</v>
      </c>
    </row>
    <row r="4431" spans="2:5">
      <c r="B4431" s="15" t="s">
        <v>6072</v>
      </c>
      <c r="C4431" s="15" t="s">
        <v>6073</v>
      </c>
      <c r="D4431" s="15" t="s">
        <v>772</v>
      </c>
      <c r="E4431" s="15" t="s">
        <v>6075</v>
      </c>
    </row>
    <row r="4432" spans="2:5">
      <c r="B4432" s="15" t="s">
        <v>6072</v>
      </c>
      <c r="C4432" s="15" t="s">
        <v>6073</v>
      </c>
      <c r="D4432" s="15" t="s">
        <v>774</v>
      </c>
      <c r="E4432" s="15" t="s">
        <v>6076</v>
      </c>
    </row>
    <row r="4433" spans="2:5">
      <c r="B4433" s="15" t="s">
        <v>6072</v>
      </c>
      <c r="C4433" s="15" t="s">
        <v>6073</v>
      </c>
      <c r="D4433" s="15" t="s">
        <v>828</v>
      </c>
      <c r="E4433" s="15" t="s">
        <v>6077</v>
      </c>
    </row>
    <row r="4434" spans="2:5">
      <c r="B4434" s="15" t="s">
        <v>6072</v>
      </c>
      <c r="C4434" s="15" t="s">
        <v>6073</v>
      </c>
      <c r="D4434" s="15" t="s">
        <v>901</v>
      </c>
      <c r="E4434" s="15" t="s">
        <v>6078</v>
      </c>
    </row>
    <row r="4435" ht="15.95" spans="2:2">
      <c r="B4435" s="122" t="s">
        <v>6079</v>
      </c>
    </row>
    <row r="4436" spans="2:5">
      <c r="B4436" s="15" t="s">
        <v>6080</v>
      </c>
      <c r="C4436" s="15" t="s">
        <v>6081</v>
      </c>
      <c r="D4436" s="15" t="s">
        <v>635</v>
      </c>
      <c r="E4436" s="15" t="s">
        <v>6082</v>
      </c>
    </row>
    <row r="4437" spans="2:5">
      <c r="B4437" s="15" t="s">
        <v>6080</v>
      </c>
      <c r="C4437" s="15" t="s">
        <v>6081</v>
      </c>
      <c r="D4437" s="15" t="s">
        <v>659</v>
      </c>
      <c r="E4437" s="15" t="s">
        <v>6083</v>
      </c>
    </row>
    <row r="4438" spans="2:5">
      <c r="B4438" s="15" t="s">
        <v>6080</v>
      </c>
      <c r="C4438" s="15" t="s">
        <v>6081</v>
      </c>
      <c r="D4438" s="15" t="s">
        <v>661</v>
      </c>
      <c r="E4438" s="15" t="s">
        <v>6084</v>
      </c>
    </row>
    <row r="4439" spans="2:5">
      <c r="B4439" s="15" t="s">
        <v>6080</v>
      </c>
      <c r="C4439" s="15" t="s">
        <v>6081</v>
      </c>
      <c r="D4439" s="15" t="s">
        <v>663</v>
      </c>
      <c r="E4439" s="15" t="s">
        <v>6085</v>
      </c>
    </row>
    <row r="4440" spans="2:5">
      <c r="B4440" s="15" t="s">
        <v>6080</v>
      </c>
      <c r="C4440" s="15" t="s">
        <v>6081</v>
      </c>
      <c r="D4440" s="15" t="s">
        <v>665</v>
      </c>
      <c r="E4440" s="15" t="s">
        <v>6086</v>
      </c>
    </row>
    <row r="4441" ht="15.95" spans="2:2">
      <c r="B4441" s="122" t="s">
        <v>6087</v>
      </c>
    </row>
    <row r="4442" spans="2:5">
      <c r="B4442" s="15" t="s">
        <v>6088</v>
      </c>
      <c r="C4442" s="15" t="s">
        <v>6089</v>
      </c>
      <c r="D4442" s="15" t="s">
        <v>635</v>
      </c>
      <c r="E4442" s="15" t="s">
        <v>6090</v>
      </c>
    </row>
    <row r="4443" spans="2:5">
      <c r="B4443" s="15" t="s">
        <v>6088</v>
      </c>
      <c r="C4443" s="15" t="s">
        <v>6089</v>
      </c>
      <c r="D4443" s="15" t="s">
        <v>637</v>
      </c>
      <c r="E4443" s="15" t="s">
        <v>6091</v>
      </c>
    </row>
    <row r="4444" spans="2:5">
      <c r="B4444" s="15" t="s">
        <v>6088</v>
      </c>
      <c r="C4444" s="15" t="s">
        <v>6089</v>
      </c>
      <c r="D4444" s="15" t="s">
        <v>641</v>
      </c>
      <c r="E4444" s="15" t="s">
        <v>6092</v>
      </c>
    </row>
    <row r="4445" spans="2:5">
      <c r="B4445" s="15" t="s">
        <v>6088</v>
      </c>
      <c r="C4445" s="15" t="s">
        <v>6089</v>
      </c>
      <c r="D4445" s="15" t="s">
        <v>659</v>
      </c>
      <c r="E4445" s="15" t="s">
        <v>6093</v>
      </c>
    </row>
    <row r="4446" spans="2:5">
      <c r="B4446" s="15" t="s">
        <v>6088</v>
      </c>
      <c r="C4446" s="15" t="s">
        <v>6089</v>
      </c>
      <c r="D4446" s="15" t="s">
        <v>661</v>
      </c>
      <c r="E4446" s="15" t="s">
        <v>6093</v>
      </c>
    </row>
    <row r="4447" ht="15.95" spans="2:2">
      <c r="B4447" s="122" t="s">
        <v>6094</v>
      </c>
    </row>
    <row r="4448" spans="2:5">
      <c r="B4448" s="15" t="s">
        <v>6095</v>
      </c>
      <c r="C4448" s="15" t="s">
        <v>6096</v>
      </c>
      <c r="D4448" s="15" t="s">
        <v>635</v>
      </c>
      <c r="E4448" s="15" t="s">
        <v>6097</v>
      </c>
    </row>
    <row r="4449" spans="2:5">
      <c r="B4449" s="15" t="s">
        <v>6095</v>
      </c>
      <c r="C4449" s="15" t="s">
        <v>6096</v>
      </c>
      <c r="D4449" s="15" t="s">
        <v>659</v>
      </c>
      <c r="E4449" s="15" t="s">
        <v>1617</v>
      </c>
    </row>
    <row r="4450" spans="2:5">
      <c r="B4450" s="15" t="s">
        <v>6095</v>
      </c>
      <c r="C4450" s="15" t="s">
        <v>6096</v>
      </c>
      <c r="D4450" s="15" t="s">
        <v>679</v>
      </c>
      <c r="E4450" s="15" t="s">
        <v>6098</v>
      </c>
    </row>
    <row r="4451" spans="2:5">
      <c r="B4451" s="15" t="s">
        <v>6095</v>
      </c>
      <c r="C4451" s="15" t="s">
        <v>6096</v>
      </c>
      <c r="D4451" s="15" t="s">
        <v>838</v>
      </c>
      <c r="E4451" s="15" t="s">
        <v>6099</v>
      </c>
    </row>
    <row r="4452" ht="15.95" spans="2:2">
      <c r="B4452" s="122" t="s">
        <v>6100</v>
      </c>
    </row>
    <row r="4453" spans="2:5">
      <c r="B4453" s="15" t="s">
        <v>6101</v>
      </c>
      <c r="C4453" s="15" t="s">
        <v>6101</v>
      </c>
      <c r="D4453" s="15" t="s">
        <v>635</v>
      </c>
      <c r="E4453" s="15" t="s">
        <v>1814</v>
      </c>
    </row>
    <row r="4454" spans="2:5">
      <c r="B4454" s="15" t="s">
        <v>6101</v>
      </c>
      <c r="C4454" s="15" t="s">
        <v>6101</v>
      </c>
      <c r="D4454" s="15" t="s">
        <v>659</v>
      </c>
      <c r="E4454" s="15" t="s">
        <v>714</v>
      </c>
    </row>
    <row r="4455" spans="2:5">
      <c r="B4455" s="15" t="s">
        <v>6101</v>
      </c>
      <c r="C4455" s="15" t="s">
        <v>6101</v>
      </c>
      <c r="D4455" s="15" t="s">
        <v>661</v>
      </c>
      <c r="E4455" s="15" t="s">
        <v>6102</v>
      </c>
    </row>
    <row r="4456" spans="2:5">
      <c r="B4456" s="15" t="s">
        <v>6101</v>
      </c>
      <c r="C4456" s="15" t="s">
        <v>6101</v>
      </c>
      <c r="D4456" s="15" t="s">
        <v>663</v>
      </c>
      <c r="E4456" s="15" t="s">
        <v>6103</v>
      </c>
    </row>
    <row r="4457" spans="2:5">
      <c r="B4457" s="15" t="s">
        <v>6101</v>
      </c>
      <c r="C4457" s="15" t="s">
        <v>6101</v>
      </c>
      <c r="D4457" s="15" t="s">
        <v>679</v>
      </c>
      <c r="E4457" s="15" t="s">
        <v>6104</v>
      </c>
    </row>
    <row r="4458" ht="15.95" spans="2:2">
      <c r="B4458" s="122" t="s">
        <v>6105</v>
      </c>
    </row>
    <row r="4459" spans="2:5">
      <c r="B4459" s="15" t="s">
        <v>6106</v>
      </c>
      <c r="C4459" s="15" t="s">
        <v>6107</v>
      </c>
      <c r="D4459" s="15" t="s">
        <v>635</v>
      </c>
      <c r="E4459" s="15" t="s">
        <v>6108</v>
      </c>
    </row>
    <row r="4460" spans="2:5">
      <c r="B4460" s="15" t="s">
        <v>6106</v>
      </c>
      <c r="C4460" s="15" t="s">
        <v>6107</v>
      </c>
      <c r="D4460" s="15" t="s">
        <v>659</v>
      </c>
      <c r="E4460" s="15" t="s">
        <v>6109</v>
      </c>
    </row>
    <row r="4461" spans="2:5">
      <c r="B4461" s="15" t="s">
        <v>6106</v>
      </c>
      <c r="C4461" s="15" t="s">
        <v>6107</v>
      </c>
      <c r="D4461" s="15" t="s">
        <v>679</v>
      </c>
      <c r="E4461" s="15" t="s">
        <v>6110</v>
      </c>
    </row>
    <row r="4462" spans="2:5">
      <c r="B4462" s="15" t="s">
        <v>6106</v>
      </c>
      <c r="C4462" s="15" t="s">
        <v>6107</v>
      </c>
      <c r="D4462" s="15" t="s">
        <v>705</v>
      </c>
      <c r="E4462" s="15" t="s">
        <v>6111</v>
      </c>
    </row>
    <row r="4463" ht="15.95" spans="2:2">
      <c r="B4463" s="122" t="s">
        <v>6112</v>
      </c>
    </row>
    <row r="4464" spans="2:5">
      <c r="B4464" s="15" t="s">
        <v>6113</v>
      </c>
      <c r="C4464" s="15" t="s">
        <v>6114</v>
      </c>
      <c r="D4464" s="15" t="s">
        <v>770</v>
      </c>
      <c r="E4464" s="15" t="s">
        <v>2528</v>
      </c>
    </row>
    <row r="4465" spans="2:5">
      <c r="B4465" s="15" t="s">
        <v>6113</v>
      </c>
      <c r="C4465" s="15" t="s">
        <v>6114</v>
      </c>
      <c r="D4465" s="15" t="s">
        <v>772</v>
      </c>
      <c r="E4465" s="15" t="s">
        <v>6115</v>
      </c>
    </row>
    <row r="4466" ht="15.95" spans="2:2">
      <c r="B4466" s="122" t="s">
        <v>6116</v>
      </c>
    </row>
    <row r="4467" spans="2:5">
      <c r="B4467" s="15" t="s">
        <v>6117</v>
      </c>
      <c r="C4467" s="15" t="s">
        <v>6118</v>
      </c>
      <c r="D4467" s="15" t="s">
        <v>635</v>
      </c>
      <c r="E4467" s="15" t="s">
        <v>1814</v>
      </c>
    </row>
    <row r="4468" spans="2:5">
      <c r="B4468" s="15" t="s">
        <v>6117</v>
      </c>
      <c r="C4468" s="15" t="s">
        <v>6118</v>
      </c>
      <c r="D4468" s="15" t="s">
        <v>659</v>
      </c>
      <c r="E4468" s="15" t="s">
        <v>6119</v>
      </c>
    </row>
    <row r="4469" spans="2:5">
      <c r="B4469" s="15" t="s">
        <v>6117</v>
      </c>
      <c r="C4469" s="15" t="s">
        <v>6118</v>
      </c>
      <c r="D4469" s="15" t="s">
        <v>679</v>
      </c>
      <c r="E4469" s="15" t="s">
        <v>5755</v>
      </c>
    </row>
    <row r="4470" ht="15.95" spans="2:2">
      <c r="B4470" s="122" t="s">
        <v>6120</v>
      </c>
    </row>
    <row r="4471" spans="2:5">
      <c r="B4471" s="15" t="s">
        <v>6121</v>
      </c>
      <c r="C4471" s="15" t="s">
        <v>6121</v>
      </c>
      <c r="D4471" s="15" t="s">
        <v>723</v>
      </c>
      <c r="E4471" s="15" t="s">
        <v>1279</v>
      </c>
    </row>
    <row r="4472" spans="2:5">
      <c r="B4472" s="15" t="s">
        <v>6121</v>
      </c>
      <c r="C4472" s="15" t="s">
        <v>6121</v>
      </c>
      <c r="D4472" s="15" t="s">
        <v>725</v>
      </c>
      <c r="E4472" s="15" t="s">
        <v>6122</v>
      </c>
    </row>
    <row r="4473" spans="2:5">
      <c r="B4473" s="15" t="s">
        <v>6121</v>
      </c>
      <c r="C4473" s="15" t="s">
        <v>6121</v>
      </c>
      <c r="D4473" s="15" t="s">
        <v>727</v>
      </c>
      <c r="E4473" s="15" t="s">
        <v>6123</v>
      </c>
    </row>
    <row r="4474" spans="2:5">
      <c r="B4474" s="15" t="s">
        <v>6121</v>
      </c>
      <c r="C4474" s="15" t="s">
        <v>6121</v>
      </c>
      <c r="D4474" s="15" t="s">
        <v>729</v>
      </c>
      <c r="E4474" s="15" t="s">
        <v>4525</v>
      </c>
    </row>
    <row r="4475" spans="2:5">
      <c r="B4475" s="15" t="s">
        <v>6121</v>
      </c>
      <c r="C4475" s="15" t="s">
        <v>6121</v>
      </c>
      <c r="D4475" s="15" t="s">
        <v>760</v>
      </c>
      <c r="E4475" s="15" t="s">
        <v>4526</v>
      </c>
    </row>
    <row r="4476" ht="15.95" spans="2:2">
      <c r="B4476" s="122" t="s">
        <v>6124</v>
      </c>
    </row>
    <row r="4477" spans="2:5">
      <c r="B4477" s="15" t="s">
        <v>6125</v>
      </c>
      <c r="C4477" s="15" t="s">
        <v>6125</v>
      </c>
      <c r="D4477" s="15" t="s">
        <v>723</v>
      </c>
      <c r="E4477" s="15" t="s">
        <v>6126</v>
      </c>
    </row>
    <row r="4478" spans="2:5">
      <c r="B4478" s="15" t="s">
        <v>6125</v>
      </c>
      <c r="C4478" s="15" t="s">
        <v>6125</v>
      </c>
      <c r="D4478" s="15" t="s">
        <v>725</v>
      </c>
      <c r="E4478" s="15" t="s">
        <v>6127</v>
      </c>
    </row>
    <row r="4479" spans="2:5">
      <c r="B4479" s="15" t="s">
        <v>6125</v>
      </c>
      <c r="C4479" s="15" t="s">
        <v>6125</v>
      </c>
      <c r="D4479" s="15" t="s">
        <v>727</v>
      </c>
      <c r="E4479" s="15" t="s">
        <v>6128</v>
      </c>
    </row>
    <row r="4480" spans="2:5">
      <c r="B4480" s="15" t="s">
        <v>6125</v>
      </c>
      <c r="C4480" s="15" t="s">
        <v>6125</v>
      </c>
      <c r="D4480" s="15" t="s">
        <v>729</v>
      </c>
      <c r="E4480" s="15" t="s">
        <v>235</v>
      </c>
    </row>
    <row r="4481" ht="15.95" spans="2:2">
      <c r="B4481" s="122" t="s">
        <v>6129</v>
      </c>
    </row>
    <row r="4482" spans="2:5">
      <c r="B4482" s="15" t="s">
        <v>6130</v>
      </c>
      <c r="C4482" s="15" t="s">
        <v>896</v>
      </c>
      <c r="D4482" s="15" t="s">
        <v>770</v>
      </c>
      <c r="E4482" s="15" t="s">
        <v>6131</v>
      </c>
    </row>
    <row r="4483" spans="2:5">
      <c r="B4483" s="15" t="s">
        <v>6130</v>
      </c>
      <c r="C4483" s="15" t="s">
        <v>896</v>
      </c>
      <c r="D4483" s="15" t="s">
        <v>772</v>
      </c>
      <c r="E4483" s="15" t="s">
        <v>6132</v>
      </c>
    </row>
    <row r="4484" spans="2:5">
      <c r="B4484" s="15" t="s">
        <v>6130</v>
      </c>
      <c r="C4484" s="15" t="s">
        <v>896</v>
      </c>
      <c r="D4484" s="15" t="s">
        <v>774</v>
      </c>
      <c r="E4484" s="15" t="s">
        <v>6133</v>
      </c>
    </row>
    <row r="4485" ht="15.95" spans="2:2">
      <c r="B4485" s="122" t="s">
        <v>6134</v>
      </c>
    </row>
    <row r="4486" spans="2:5">
      <c r="B4486" s="15" t="s">
        <v>6135</v>
      </c>
      <c r="C4486" s="15" t="s">
        <v>896</v>
      </c>
      <c r="D4486" s="15" t="s">
        <v>770</v>
      </c>
      <c r="E4486" s="15" t="s">
        <v>6136</v>
      </c>
    </row>
    <row r="4487" spans="2:5">
      <c r="B4487" s="15" t="s">
        <v>6135</v>
      </c>
      <c r="C4487" s="15" t="s">
        <v>896</v>
      </c>
      <c r="D4487" s="15" t="s">
        <v>772</v>
      </c>
      <c r="E4487" s="15" t="s">
        <v>6137</v>
      </c>
    </row>
    <row r="4488" spans="2:5">
      <c r="B4488" s="15" t="s">
        <v>6135</v>
      </c>
      <c r="C4488" s="15" t="s">
        <v>896</v>
      </c>
      <c r="D4488" s="15" t="s">
        <v>774</v>
      </c>
      <c r="E4488" s="15" t="s">
        <v>6138</v>
      </c>
    </row>
    <row r="4489" spans="2:5">
      <c r="B4489" s="15" t="s">
        <v>6135</v>
      </c>
      <c r="C4489" s="15" t="s">
        <v>896</v>
      </c>
      <c r="D4489" s="15" t="s">
        <v>828</v>
      </c>
      <c r="E4489" s="15" t="s">
        <v>6139</v>
      </c>
    </row>
    <row r="4490" spans="2:5">
      <c r="B4490" s="15" t="s">
        <v>6135</v>
      </c>
      <c r="C4490" s="15" t="s">
        <v>896</v>
      </c>
      <c r="D4490" s="15" t="s">
        <v>901</v>
      </c>
      <c r="E4490" s="15" t="s">
        <v>6140</v>
      </c>
    </row>
    <row r="4491" ht="15.95" spans="2:2">
      <c r="B4491" s="122" t="s">
        <v>6141</v>
      </c>
    </row>
    <row r="4492" spans="2:5">
      <c r="B4492" s="15" t="s">
        <v>6142</v>
      </c>
      <c r="C4492" s="15" t="s">
        <v>2193</v>
      </c>
      <c r="D4492" s="15" t="s">
        <v>770</v>
      </c>
      <c r="E4492" s="15" t="s">
        <v>6143</v>
      </c>
    </row>
    <row r="4493" spans="2:5">
      <c r="B4493" s="15" t="s">
        <v>6142</v>
      </c>
      <c r="C4493" s="15" t="s">
        <v>2193</v>
      </c>
      <c r="D4493" s="15" t="s">
        <v>772</v>
      </c>
      <c r="E4493" s="15" t="s">
        <v>6144</v>
      </c>
    </row>
    <row r="4494" spans="2:5">
      <c r="B4494" s="15" t="s">
        <v>6142</v>
      </c>
      <c r="C4494" s="15" t="s">
        <v>2193</v>
      </c>
      <c r="D4494" s="15" t="s">
        <v>774</v>
      </c>
      <c r="E4494" s="15" t="s">
        <v>6145</v>
      </c>
    </row>
    <row r="4495" ht="15.95" spans="2:2">
      <c r="B4495" s="122" t="s">
        <v>6146</v>
      </c>
    </row>
    <row r="4496" spans="2:5">
      <c r="B4496" s="15" t="s">
        <v>6147</v>
      </c>
      <c r="C4496" s="15" t="s">
        <v>6148</v>
      </c>
      <c r="D4496" s="15" t="s">
        <v>770</v>
      </c>
      <c r="E4496" s="15" t="s">
        <v>2994</v>
      </c>
    </row>
    <row r="4497" spans="2:5">
      <c r="B4497" s="15" t="s">
        <v>6147</v>
      </c>
      <c r="C4497" s="15" t="s">
        <v>6148</v>
      </c>
      <c r="D4497" s="15" t="s">
        <v>772</v>
      </c>
      <c r="E4497" s="15" t="s">
        <v>2992</v>
      </c>
    </row>
    <row r="4498" spans="2:5">
      <c r="B4498" s="15" t="s">
        <v>6147</v>
      </c>
      <c r="C4498" s="15" t="s">
        <v>6148</v>
      </c>
      <c r="D4498" s="15" t="s">
        <v>774</v>
      </c>
      <c r="E4498" s="15" t="s">
        <v>2993</v>
      </c>
    </row>
    <row r="4499" ht="15.95" spans="2:2">
      <c r="B4499" s="122" t="s">
        <v>6149</v>
      </c>
    </row>
    <row r="4500" spans="2:5">
      <c r="B4500" s="15" t="s">
        <v>6150</v>
      </c>
      <c r="C4500" s="15" t="s">
        <v>832</v>
      </c>
      <c r="D4500" s="15" t="s">
        <v>635</v>
      </c>
      <c r="E4500" s="15" t="s">
        <v>833</v>
      </c>
    </row>
    <row r="4501" spans="2:5">
      <c r="B4501" s="15" t="s">
        <v>6150</v>
      </c>
      <c r="C4501" s="15" t="s">
        <v>832</v>
      </c>
      <c r="D4501" s="15" t="s">
        <v>659</v>
      </c>
      <c r="E4501" s="15" t="s">
        <v>835</v>
      </c>
    </row>
    <row r="4502" spans="2:5">
      <c r="B4502" s="15" t="s">
        <v>6150</v>
      </c>
      <c r="C4502" s="15" t="s">
        <v>832</v>
      </c>
      <c r="D4502" s="15" t="s">
        <v>679</v>
      </c>
      <c r="E4502" s="15" t="s">
        <v>839</v>
      </c>
    </row>
    <row r="4503" spans="2:5">
      <c r="B4503" s="15" t="s">
        <v>6150</v>
      </c>
      <c r="C4503" s="15" t="s">
        <v>832</v>
      </c>
      <c r="D4503" s="15" t="s">
        <v>705</v>
      </c>
      <c r="E4503" s="15" t="s">
        <v>845</v>
      </c>
    </row>
    <row r="4504" spans="2:5">
      <c r="B4504" s="15" t="s">
        <v>6150</v>
      </c>
      <c r="C4504" s="15" t="s">
        <v>832</v>
      </c>
      <c r="D4504" s="15" t="s">
        <v>709</v>
      </c>
      <c r="E4504" s="15" t="s">
        <v>850</v>
      </c>
    </row>
    <row r="4505" spans="2:5">
      <c r="B4505" s="15" t="s">
        <v>6150</v>
      </c>
      <c r="C4505" s="15" t="s">
        <v>832</v>
      </c>
      <c r="D4505" s="15" t="s">
        <v>838</v>
      </c>
      <c r="E4505" s="15" t="s">
        <v>856</v>
      </c>
    </row>
    <row r="4506" spans="2:5">
      <c r="B4506" s="15" t="s">
        <v>6150</v>
      </c>
      <c r="C4506" s="15" t="s">
        <v>832</v>
      </c>
      <c r="D4506" s="15" t="s">
        <v>840</v>
      </c>
      <c r="E4506" s="15" t="s">
        <v>6151</v>
      </c>
    </row>
    <row r="4507" spans="2:5">
      <c r="B4507" s="15" t="s">
        <v>6150</v>
      </c>
      <c r="C4507" s="15" t="s">
        <v>832</v>
      </c>
      <c r="D4507" s="15" t="s">
        <v>842</v>
      </c>
      <c r="E4507" s="15" t="s">
        <v>6152</v>
      </c>
    </row>
    <row r="4508" spans="2:5">
      <c r="B4508" s="15" t="s">
        <v>6150</v>
      </c>
      <c r="C4508" s="15" t="s">
        <v>832</v>
      </c>
      <c r="D4508" s="15" t="s">
        <v>844</v>
      </c>
      <c r="E4508" s="15" t="s">
        <v>2546</v>
      </c>
    </row>
    <row r="4509" spans="2:5">
      <c r="B4509" s="15" t="s">
        <v>6150</v>
      </c>
      <c r="C4509" s="15" t="s">
        <v>832</v>
      </c>
      <c r="D4509" s="15" t="s">
        <v>846</v>
      </c>
      <c r="E4509" s="15" t="s">
        <v>2547</v>
      </c>
    </row>
    <row r="4510" spans="2:5">
      <c r="B4510" s="15" t="s">
        <v>6150</v>
      </c>
      <c r="C4510" s="15" t="s">
        <v>832</v>
      </c>
      <c r="D4510" s="15" t="s">
        <v>839</v>
      </c>
      <c r="E4510" s="15" t="s">
        <v>839</v>
      </c>
    </row>
    <row r="4511" spans="2:5">
      <c r="B4511" s="15" t="s">
        <v>6150</v>
      </c>
      <c r="C4511" s="15" t="s">
        <v>832</v>
      </c>
      <c r="D4511" s="15" t="s">
        <v>835</v>
      </c>
      <c r="E4511" s="15" t="s">
        <v>835</v>
      </c>
    </row>
    <row r="4512" spans="2:5">
      <c r="B4512" s="15" t="s">
        <v>6150</v>
      </c>
      <c r="C4512" s="15" t="s">
        <v>832</v>
      </c>
      <c r="D4512" s="15" t="s">
        <v>833</v>
      </c>
      <c r="E4512" s="15" t="s">
        <v>833</v>
      </c>
    </row>
    <row r="4513" spans="2:5">
      <c r="B4513" s="15" t="s">
        <v>6150</v>
      </c>
      <c r="C4513" s="15" t="s">
        <v>832</v>
      </c>
      <c r="D4513" s="15" t="s">
        <v>856</v>
      </c>
      <c r="E4513" s="15" t="s">
        <v>856</v>
      </c>
    </row>
    <row r="4514" spans="2:5">
      <c r="B4514" s="15" t="s">
        <v>6150</v>
      </c>
      <c r="C4514" s="15" t="s">
        <v>832</v>
      </c>
      <c r="D4514" s="15" t="s">
        <v>850</v>
      </c>
      <c r="E4514" s="15" t="s">
        <v>850</v>
      </c>
    </row>
    <row r="4515" spans="2:5">
      <c r="B4515" s="15" t="s">
        <v>6150</v>
      </c>
      <c r="C4515" s="15" t="s">
        <v>832</v>
      </c>
      <c r="D4515" s="15" t="s">
        <v>845</v>
      </c>
      <c r="E4515" s="15" t="s">
        <v>845</v>
      </c>
    </row>
    <row r="4516" spans="2:5">
      <c r="B4516" s="15" t="s">
        <v>6150</v>
      </c>
      <c r="C4516" s="15" t="s">
        <v>832</v>
      </c>
      <c r="D4516" s="15" t="s">
        <v>2546</v>
      </c>
      <c r="E4516" s="15" t="s">
        <v>2546</v>
      </c>
    </row>
    <row r="4517" spans="2:5">
      <c r="B4517" s="15" t="s">
        <v>6150</v>
      </c>
      <c r="C4517" s="15" t="s">
        <v>832</v>
      </c>
      <c r="D4517" s="15" t="s">
        <v>6152</v>
      </c>
      <c r="E4517" s="15" t="s">
        <v>6152</v>
      </c>
    </row>
    <row r="4518" spans="2:5">
      <c r="B4518" s="15" t="s">
        <v>6150</v>
      </c>
      <c r="C4518" s="15" t="s">
        <v>832</v>
      </c>
      <c r="D4518" s="15" t="s">
        <v>6151</v>
      </c>
      <c r="E4518" s="15" t="s">
        <v>6151</v>
      </c>
    </row>
    <row r="4519" spans="2:5">
      <c r="B4519" s="15" t="s">
        <v>6150</v>
      </c>
      <c r="C4519" s="15" t="s">
        <v>832</v>
      </c>
      <c r="D4519" s="15" t="s">
        <v>2547</v>
      </c>
      <c r="E4519" s="15" t="s">
        <v>2547</v>
      </c>
    </row>
    <row r="4520" ht="15.95" spans="2:2">
      <c r="B4520" s="122" t="s">
        <v>6153</v>
      </c>
    </row>
    <row r="4521" spans="2:5">
      <c r="B4521" s="15" t="s">
        <v>6154</v>
      </c>
      <c r="C4521" s="15" t="s">
        <v>6155</v>
      </c>
      <c r="D4521" s="15" t="s">
        <v>770</v>
      </c>
      <c r="E4521" s="15" t="s">
        <v>2447</v>
      </c>
    </row>
    <row r="4522" spans="2:5">
      <c r="B4522" s="15" t="s">
        <v>6154</v>
      </c>
      <c r="C4522" s="15" t="s">
        <v>6155</v>
      </c>
      <c r="D4522" s="15" t="s">
        <v>772</v>
      </c>
      <c r="E4522" s="15" t="s">
        <v>6156</v>
      </c>
    </row>
    <row r="4523" spans="2:5">
      <c r="B4523" s="15" t="s">
        <v>6154</v>
      </c>
      <c r="C4523" s="15" t="s">
        <v>6155</v>
      </c>
      <c r="D4523" s="15" t="s">
        <v>774</v>
      </c>
      <c r="E4523" s="15" t="s">
        <v>2448</v>
      </c>
    </row>
    <row r="4524" ht="15.95" spans="2:2">
      <c r="B4524" s="122" t="s">
        <v>6157</v>
      </c>
    </row>
    <row r="4525" spans="2:5">
      <c r="B4525" s="15" t="s">
        <v>6158</v>
      </c>
      <c r="C4525" s="15" t="s">
        <v>6159</v>
      </c>
      <c r="D4525" s="15" t="s">
        <v>770</v>
      </c>
      <c r="E4525" s="15" t="s">
        <v>6160</v>
      </c>
    </row>
    <row r="4526" spans="2:5">
      <c r="B4526" s="15" t="s">
        <v>6158</v>
      </c>
      <c r="C4526" s="15" t="s">
        <v>6159</v>
      </c>
      <c r="D4526" s="15" t="s">
        <v>772</v>
      </c>
      <c r="E4526" s="15" t="s">
        <v>6161</v>
      </c>
    </row>
    <row r="4527" spans="2:5">
      <c r="B4527" s="15" t="s">
        <v>6158</v>
      </c>
      <c r="C4527" s="15" t="s">
        <v>6159</v>
      </c>
      <c r="D4527" s="15" t="s">
        <v>774</v>
      </c>
      <c r="E4527" s="15" t="s">
        <v>6162</v>
      </c>
    </row>
    <row r="4528" spans="2:5">
      <c r="B4528" s="15" t="s">
        <v>6158</v>
      </c>
      <c r="C4528" s="15" t="s">
        <v>6159</v>
      </c>
      <c r="D4528" s="15" t="s">
        <v>828</v>
      </c>
      <c r="E4528" s="15" t="s">
        <v>4990</v>
      </c>
    </row>
    <row r="4529" spans="2:5">
      <c r="B4529" s="15" t="s">
        <v>6158</v>
      </c>
      <c r="C4529" s="15" t="s">
        <v>6159</v>
      </c>
      <c r="D4529" s="15" t="s">
        <v>901</v>
      </c>
      <c r="E4529" s="15" t="s">
        <v>235</v>
      </c>
    </row>
    <row r="4530" ht="15.95" spans="2:2">
      <c r="B4530" s="122" t="s">
        <v>6163</v>
      </c>
    </row>
    <row r="4531" spans="2:5">
      <c r="B4531" s="15" t="s">
        <v>6164</v>
      </c>
      <c r="C4531" s="15" t="s">
        <v>6165</v>
      </c>
      <c r="D4531" s="15" t="s">
        <v>770</v>
      </c>
      <c r="E4531" s="15" t="s">
        <v>6166</v>
      </c>
    </row>
    <row r="4532" spans="2:5">
      <c r="B4532" s="15" t="s">
        <v>6164</v>
      </c>
      <c r="C4532" s="15" t="s">
        <v>6165</v>
      </c>
      <c r="D4532" s="15" t="s">
        <v>772</v>
      </c>
      <c r="E4532" s="15" t="s">
        <v>6167</v>
      </c>
    </row>
    <row r="4533" ht="15.95" spans="2:2">
      <c r="B4533" s="122" t="s">
        <v>6168</v>
      </c>
    </row>
    <row r="4534" spans="2:5">
      <c r="B4534" s="15" t="s">
        <v>6169</v>
      </c>
      <c r="C4534" s="15" t="s">
        <v>6170</v>
      </c>
      <c r="D4534" s="15" t="s">
        <v>770</v>
      </c>
      <c r="E4534" s="15" t="s">
        <v>6171</v>
      </c>
    </row>
    <row r="4535" spans="2:5">
      <c r="B4535" s="15" t="s">
        <v>6169</v>
      </c>
      <c r="C4535" s="15" t="s">
        <v>6170</v>
      </c>
      <c r="D4535" s="15" t="s">
        <v>772</v>
      </c>
      <c r="E4535" s="15" t="s">
        <v>6172</v>
      </c>
    </row>
    <row r="4536" spans="2:5">
      <c r="B4536" s="15" t="s">
        <v>6169</v>
      </c>
      <c r="C4536" s="15" t="s">
        <v>6170</v>
      </c>
      <c r="D4536" s="15" t="s">
        <v>774</v>
      </c>
      <c r="E4536" s="15" t="s">
        <v>6173</v>
      </c>
    </row>
    <row r="4537" ht="15.95" spans="2:2">
      <c r="B4537" s="122" t="s">
        <v>6174</v>
      </c>
    </row>
    <row r="4538" spans="2:5">
      <c r="B4538" s="15" t="s">
        <v>6175</v>
      </c>
      <c r="C4538" s="15" t="s">
        <v>6176</v>
      </c>
      <c r="D4538" s="15" t="s">
        <v>917</v>
      </c>
      <c r="E4538" s="15" t="s">
        <v>953</v>
      </c>
    </row>
    <row r="4539" spans="2:5">
      <c r="B4539" s="15" t="s">
        <v>6175</v>
      </c>
      <c r="C4539" s="15" t="s">
        <v>6176</v>
      </c>
      <c r="D4539" s="15" t="s">
        <v>919</v>
      </c>
      <c r="E4539" s="15" t="s">
        <v>954</v>
      </c>
    </row>
    <row r="4540" spans="2:5">
      <c r="B4540" s="15" t="s">
        <v>6175</v>
      </c>
      <c r="C4540" s="15" t="s">
        <v>6176</v>
      </c>
      <c r="D4540" s="15" t="s">
        <v>955</v>
      </c>
      <c r="E4540" s="15" t="s">
        <v>956</v>
      </c>
    </row>
    <row r="4541" ht="15.95" spans="2:2">
      <c r="B4541" s="122" t="s">
        <v>6177</v>
      </c>
    </row>
    <row r="4542" spans="2:5">
      <c r="B4542" s="15" t="s">
        <v>6178</v>
      </c>
      <c r="C4542" s="15" t="s">
        <v>896</v>
      </c>
      <c r="D4542" s="15" t="s">
        <v>770</v>
      </c>
      <c r="E4542" s="15" t="s">
        <v>5081</v>
      </c>
    </row>
    <row r="4543" spans="2:5">
      <c r="B4543" s="15" t="s">
        <v>6178</v>
      </c>
      <c r="C4543" s="15" t="s">
        <v>896</v>
      </c>
      <c r="D4543" s="15" t="s">
        <v>772</v>
      </c>
      <c r="E4543" s="15" t="s">
        <v>6179</v>
      </c>
    </row>
    <row r="4544" spans="2:5">
      <c r="B4544" s="15" t="s">
        <v>6178</v>
      </c>
      <c r="C4544" s="15" t="s">
        <v>896</v>
      </c>
      <c r="D4544" s="15" t="s">
        <v>774</v>
      </c>
      <c r="E4544" s="15" t="s">
        <v>5083</v>
      </c>
    </row>
    <row r="4545" ht="15.95" spans="2:2">
      <c r="B4545" s="122" t="s">
        <v>6180</v>
      </c>
    </row>
    <row r="4546" spans="2:5">
      <c r="B4546" s="15" t="s">
        <v>6181</v>
      </c>
      <c r="C4546" s="15" t="s">
        <v>6181</v>
      </c>
      <c r="D4546" s="15" t="s">
        <v>770</v>
      </c>
      <c r="E4546" s="15" t="s">
        <v>6182</v>
      </c>
    </row>
    <row r="4547" spans="2:5">
      <c r="B4547" s="15" t="s">
        <v>6181</v>
      </c>
      <c r="C4547" s="15" t="s">
        <v>6181</v>
      </c>
      <c r="D4547" s="15" t="s">
        <v>772</v>
      </c>
      <c r="E4547" s="15" t="s">
        <v>6183</v>
      </c>
    </row>
    <row r="4548" spans="2:5">
      <c r="B4548" s="15" t="s">
        <v>6181</v>
      </c>
      <c r="C4548" s="15" t="s">
        <v>6181</v>
      </c>
      <c r="D4548" s="15" t="s">
        <v>774</v>
      </c>
      <c r="E4548" s="15" t="s">
        <v>6184</v>
      </c>
    </row>
    <row r="4549" spans="2:5">
      <c r="B4549" s="15" t="s">
        <v>6181</v>
      </c>
      <c r="C4549" s="15" t="s">
        <v>6181</v>
      </c>
      <c r="D4549" s="15" t="s">
        <v>828</v>
      </c>
      <c r="E4549" s="15" t="s">
        <v>6185</v>
      </c>
    </row>
    <row r="4550" ht="15.95" spans="2:2">
      <c r="B4550" s="122" t="s">
        <v>6186</v>
      </c>
    </row>
    <row r="4551" spans="2:5">
      <c r="B4551" s="15" t="s">
        <v>6187</v>
      </c>
      <c r="C4551" s="15" t="s">
        <v>6188</v>
      </c>
      <c r="D4551" s="15" t="s">
        <v>770</v>
      </c>
      <c r="E4551" s="15" t="s">
        <v>6189</v>
      </c>
    </row>
    <row r="4552" spans="2:5">
      <c r="B4552" s="15" t="s">
        <v>6187</v>
      </c>
      <c r="C4552" s="15" t="s">
        <v>6188</v>
      </c>
      <c r="D4552" s="15" t="s">
        <v>772</v>
      </c>
      <c r="E4552" s="15" t="s">
        <v>6190</v>
      </c>
    </row>
    <row r="4553" spans="2:5">
      <c r="B4553" s="15" t="s">
        <v>6187</v>
      </c>
      <c r="C4553" s="15" t="s">
        <v>6188</v>
      </c>
      <c r="D4553" s="15" t="s">
        <v>774</v>
      </c>
      <c r="E4553" s="15" t="s">
        <v>6191</v>
      </c>
    </row>
    <row r="4554" spans="2:5">
      <c r="B4554" s="15" t="s">
        <v>6187</v>
      </c>
      <c r="C4554" s="15" t="s">
        <v>6188</v>
      </c>
      <c r="D4554" s="15" t="s">
        <v>828</v>
      </c>
      <c r="E4554" s="15" t="s">
        <v>6192</v>
      </c>
    </row>
    <row r="4555" spans="2:5">
      <c r="B4555" s="15" t="s">
        <v>6187</v>
      </c>
      <c r="C4555" s="15" t="s">
        <v>6188</v>
      </c>
      <c r="D4555" s="15" t="s">
        <v>901</v>
      </c>
      <c r="E4555" s="15" t="s">
        <v>6193</v>
      </c>
    </row>
    <row r="4556" spans="2:5">
      <c r="B4556" s="15" t="s">
        <v>6187</v>
      </c>
      <c r="C4556" s="15" t="s">
        <v>6188</v>
      </c>
      <c r="D4556" s="15" t="s">
        <v>776</v>
      </c>
      <c r="E4556" s="15" t="s">
        <v>6194</v>
      </c>
    </row>
    <row r="4557" spans="2:5">
      <c r="B4557" s="15" t="s">
        <v>6187</v>
      </c>
      <c r="C4557" s="15" t="s">
        <v>6188</v>
      </c>
      <c r="D4557" s="15" t="s">
        <v>1290</v>
      </c>
      <c r="E4557" s="15" t="s">
        <v>6195</v>
      </c>
    </row>
    <row r="4558" spans="2:5">
      <c r="B4558" s="15" t="s">
        <v>6187</v>
      </c>
      <c r="C4558" s="15" t="s">
        <v>6188</v>
      </c>
      <c r="D4558" s="15" t="s">
        <v>1409</v>
      </c>
      <c r="E4558" s="15" t="s">
        <v>6196</v>
      </c>
    </row>
    <row r="4559" spans="2:5">
      <c r="B4559" s="15" t="s">
        <v>6187</v>
      </c>
      <c r="C4559" s="15" t="s">
        <v>6188</v>
      </c>
      <c r="D4559" s="15" t="s">
        <v>1411</v>
      </c>
      <c r="E4559" s="15" t="s">
        <v>6197</v>
      </c>
    </row>
    <row r="4560" spans="2:5">
      <c r="B4560" s="15" t="s">
        <v>6187</v>
      </c>
      <c r="C4560" s="15" t="s">
        <v>6188</v>
      </c>
      <c r="D4560" s="15" t="s">
        <v>933</v>
      </c>
      <c r="E4560" s="15" t="s">
        <v>6198</v>
      </c>
    </row>
    <row r="4561" spans="2:5">
      <c r="B4561" s="15" t="s">
        <v>6187</v>
      </c>
      <c r="C4561" s="15" t="s">
        <v>6188</v>
      </c>
      <c r="D4561" s="15" t="s">
        <v>846</v>
      </c>
      <c r="E4561" s="15" t="s">
        <v>6199</v>
      </c>
    </row>
    <row r="4562" spans="2:5">
      <c r="B4562" s="15" t="s">
        <v>6187</v>
      </c>
      <c r="C4562" s="15" t="s">
        <v>6188</v>
      </c>
      <c r="D4562" s="15" t="s">
        <v>1555</v>
      </c>
      <c r="E4562" s="15" t="s">
        <v>6200</v>
      </c>
    </row>
    <row r="4563" spans="2:5">
      <c r="B4563" s="15" t="s">
        <v>6187</v>
      </c>
      <c r="C4563" s="15" t="s">
        <v>6188</v>
      </c>
      <c r="D4563" s="15" t="s">
        <v>1557</v>
      </c>
      <c r="E4563" s="15" t="s">
        <v>6201</v>
      </c>
    </row>
    <row r="4564" spans="2:5">
      <c r="B4564" s="15" t="s">
        <v>6187</v>
      </c>
      <c r="C4564" s="15" t="s">
        <v>6188</v>
      </c>
      <c r="D4564" s="15" t="s">
        <v>1559</v>
      </c>
      <c r="E4564" s="15" t="s">
        <v>6202</v>
      </c>
    </row>
    <row r="4565" spans="2:5">
      <c r="B4565" s="15" t="s">
        <v>6187</v>
      </c>
      <c r="C4565" s="15" t="s">
        <v>6188</v>
      </c>
      <c r="D4565" s="15" t="s">
        <v>1561</v>
      </c>
      <c r="E4565" s="15" t="s">
        <v>6203</v>
      </c>
    </row>
    <row r="4566" spans="2:5">
      <c r="B4566" s="15" t="s">
        <v>6187</v>
      </c>
      <c r="C4566" s="15" t="s">
        <v>6188</v>
      </c>
      <c r="D4566" s="15" t="s">
        <v>1563</v>
      </c>
      <c r="E4566" s="15" t="s">
        <v>6204</v>
      </c>
    </row>
    <row r="4567" spans="2:5">
      <c r="B4567" s="15" t="s">
        <v>6187</v>
      </c>
      <c r="C4567" s="15" t="s">
        <v>6188</v>
      </c>
      <c r="D4567" s="15" t="s">
        <v>6205</v>
      </c>
      <c r="E4567" s="15" t="s">
        <v>6206</v>
      </c>
    </row>
    <row r="4568" spans="2:5">
      <c r="B4568" s="15" t="s">
        <v>6187</v>
      </c>
      <c r="C4568" s="15" t="s">
        <v>6188</v>
      </c>
      <c r="D4568" s="15" t="s">
        <v>6207</v>
      </c>
      <c r="E4568" s="15" t="s">
        <v>6208</v>
      </c>
    </row>
    <row r="4569" spans="2:5">
      <c r="B4569" s="15" t="s">
        <v>6187</v>
      </c>
      <c r="C4569" s="15" t="s">
        <v>6188</v>
      </c>
      <c r="D4569" s="15" t="s">
        <v>6209</v>
      </c>
      <c r="E4569" s="15" t="s">
        <v>6210</v>
      </c>
    </row>
    <row r="4570" spans="2:5">
      <c r="B4570" s="15" t="s">
        <v>6187</v>
      </c>
      <c r="C4570" s="15" t="s">
        <v>6188</v>
      </c>
      <c r="D4570" s="15" t="s">
        <v>6211</v>
      </c>
      <c r="E4570" s="15" t="s">
        <v>6212</v>
      </c>
    </row>
    <row r="4571" spans="2:5">
      <c r="B4571" s="15" t="s">
        <v>6187</v>
      </c>
      <c r="C4571" s="15" t="s">
        <v>6188</v>
      </c>
      <c r="D4571" s="15" t="s">
        <v>1059</v>
      </c>
      <c r="E4571" s="15" t="s">
        <v>272</v>
      </c>
    </row>
    <row r="4572" spans="2:5">
      <c r="B4572" s="15" t="s">
        <v>6187</v>
      </c>
      <c r="C4572" s="15" t="s">
        <v>6188</v>
      </c>
      <c r="D4572" s="15" t="s">
        <v>713</v>
      </c>
      <c r="E4572" s="15" t="s">
        <v>6213</v>
      </c>
    </row>
    <row r="4573" spans="2:5">
      <c r="B4573" s="15" t="s">
        <v>6187</v>
      </c>
      <c r="C4573" s="15" t="s">
        <v>6188</v>
      </c>
      <c r="D4573" s="15" t="s">
        <v>6214</v>
      </c>
      <c r="E4573" s="15" t="s">
        <v>6215</v>
      </c>
    </row>
    <row r="4574" spans="2:5">
      <c r="B4574" s="15" t="s">
        <v>6187</v>
      </c>
      <c r="C4574" s="15" t="s">
        <v>6188</v>
      </c>
      <c r="D4574" s="15" t="s">
        <v>6216</v>
      </c>
      <c r="E4574" s="15" t="s">
        <v>6217</v>
      </c>
    </row>
    <row r="4575" spans="2:5">
      <c r="B4575" s="15" t="s">
        <v>6187</v>
      </c>
      <c r="C4575" s="15" t="s">
        <v>6188</v>
      </c>
      <c r="D4575" s="15" t="s">
        <v>6218</v>
      </c>
      <c r="E4575" s="15" t="s">
        <v>6219</v>
      </c>
    </row>
    <row r="4576" spans="2:5">
      <c r="B4576" s="15" t="s">
        <v>6187</v>
      </c>
      <c r="C4576" s="15" t="s">
        <v>6188</v>
      </c>
      <c r="D4576" s="15" t="s">
        <v>6220</v>
      </c>
      <c r="E4576" s="15" t="s">
        <v>6221</v>
      </c>
    </row>
    <row r="4577" spans="2:5">
      <c r="B4577" s="15" t="s">
        <v>6187</v>
      </c>
      <c r="C4577" s="15" t="s">
        <v>6188</v>
      </c>
      <c r="D4577" s="15" t="s">
        <v>6222</v>
      </c>
      <c r="E4577" s="15" t="s">
        <v>6223</v>
      </c>
    </row>
    <row r="4578" spans="2:5">
      <c r="B4578" s="15" t="s">
        <v>6187</v>
      </c>
      <c r="C4578" s="15" t="s">
        <v>6188</v>
      </c>
      <c r="D4578" s="15" t="s">
        <v>6224</v>
      </c>
      <c r="E4578" s="15" t="s">
        <v>6225</v>
      </c>
    </row>
    <row r="4579" spans="2:5">
      <c r="B4579" s="15" t="s">
        <v>6187</v>
      </c>
      <c r="C4579" s="15" t="s">
        <v>6188</v>
      </c>
      <c r="D4579" s="15" t="s">
        <v>6226</v>
      </c>
      <c r="E4579" s="15" t="s">
        <v>6227</v>
      </c>
    </row>
    <row r="4580" spans="2:5">
      <c r="B4580" s="15" t="s">
        <v>6187</v>
      </c>
      <c r="C4580" s="15" t="s">
        <v>6188</v>
      </c>
      <c r="D4580" s="15" t="s">
        <v>6228</v>
      </c>
      <c r="E4580" s="15" t="s">
        <v>6229</v>
      </c>
    </row>
    <row r="4581" spans="2:5">
      <c r="B4581" s="15" t="s">
        <v>6187</v>
      </c>
      <c r="C4581" s="15" t="s">
        <v>6188</v>
      </c>
      <c r="D4581" s="15" t="s">
        <v>6230</v>
      </c>
      <c r="E4581" s="15" t="s">
        <v>6231</v>
      </c>
    </row>
    <row r="4582" spans="2:5">
      <c r="B4582" s="15" t="s">
        <v>6187</v>
      </c>
      <c r="C4582" s="15" t="s">
        <v>6188</v>
      </c>
      <c r="D4582" s="15" t="s">
        <v>1061</v>
      </c>
      <c r="E4582" s="15" t="s">
        <v>6232</v>
      </c>
    </row>
    <row r="4583" spans="2:5">
      <c r="B4583" s="15" t="s">
        <v>6187</v>
      </c>
      <c r="C4583" s="15" t="s">
        <v>6188</v>
      </c>
      <c r="D4583" s="15" t="s">
        <v>849</v>
      </c>
      <c r="E4583" s="15" t="s">
        <v>6233</v>
      </c>
    </row>
    <row r="4584" spans="2:5">
      <c r="B4584" s="15" t="s">
        <v>6187</v>
      </c>
      <c r="C4584" s="15" t="s">
        <v>6188</v>
      </c>
      <c r="D4584" s="15" t="s">
        <v>6234</v>
      </c>
      <c r="E4584" s="15" t="s">
        <v>6235</v>
      </c>
    </row>
    <row r="4585" spans="2:5">
      <c r="B4585" s="15" t="s">
        <v>6187</v>
      </c>
      <c r="C4585" s="15" t="s">
        <v>6188</v>
      </c>
      <c r="D4585" s="15" t="s">
        <v>6236</v>
      </c>
      <c r="E4585" s="15" t="s">
        <v>6237</v>
      </c>
    </row>
    <row r="4586" spans="2:5">
      <c r="B4586" s="15" t="s">
        <v>6187</v>
      </c>
      <c r="C4586" s="15" t="s">
        <v>6188</v>
      </c>
      <c r="D4586" s="15" t="s">
        <v>6238</v>
      </c>
      <c r="E4586" s="15" t="s">
        <v>6239</v>
      </c>
    </row>
    <row r="4587" spans="2:5">
      <c r="B4587" s="15" t="s">
        <v>6187</v>
      </c>
      <c r="C4587" s="15" t="s">
        <v>6188</v>
      </c>
      <c r="D4587" s="15" t="s">
        <v>6240</v>
      </c>
      <c r="E4587" s="15" t="s">
        <v>6241</v>
      </c>
    </row>
    <row r="4588" spans="2:5">
      <c r="B4588" s="15" t="s">
        <v>6187</v>
      </c>
      <c r="C4588" s="15" t="s">
        <v>6188</v>
      </c>
      <c r="D4588" s="15" t="s">
        <v>6242</v>
      </c>
      <c r="E4588" s="15" t="s">
        <v>6243</v>
      </c>
    </row>
    <row r="4589" spans="2:5">
      <c r="B4589" s="15" t="s">
        <v>6187</v>
      </c>
      <c r="C4589" s="15" t="s">
        <v>6188</v>
      </c>
      <c r="D4589" s="15" t="s">
        <v>6244</v>
      </c>
      <c r="E4589" s="15" t="s">
        <v>6245</v>
      </c>
    </row>
    <row r="4590" spans="2:5">
      <c r="B4590" s="15" t="s">
        <v>6187</v>
      </c>
      <c r="C4590" s="15" t="s">
        <v>6188</v>
      </c>
      <c r="D4590" s="15" t="s">
        <v>6246</v>
      </c>
      <c r="E4590" s="15" t="s">
        <v>6247</v>
      </c>
    </row>
    <row r="4591" spans="2:5">
      <c r="B4591" s="15" t="s">
        <v>6187</v>
      </c>
      <c r="C4591" s="15" t="s">
        <v>6188</v>
      </c>
      <c r="D4591" s="15" t="s">
        <v>6248</v>
      </c>
      <c r="E4591" s="15" t="s">
        <v>6249</v>
      </c>
    </row>
    <row r="4592" spans="2:5">
      <c r="B4592" s="15" t="s">
        <v>6187</v>
      </c>
      <c r="C4592" s="15" t="s">
        <v>6188</v>
      </c>
      <c r="D4592" s="15" t="s">
        <v>6250</v>
      </c>
      <c r="E4592" s="15" t="s">
        <v>6251</v>
      </c>
    </row>
    <row r="4593" spans="2:5">
      <c r="B4593" s="15" t="s">
        <v>6187</v>
      </c>
      <c r="C4593" s="15" t="s">
        <v>6188</v>
      </c>
      <c r="D4593" s="15" t="s">
        <v>1063</v>
      </c>
      <c r="E4593" s="15" t="s">
        <v>6252</v>
      </c>
    </row>
    <row r="4594" spans="2:5">
      <c r="B4594" s="15" t="s">
        <v>6187</v>
      </c>
      <c r="C4594" s="15" t="s">
        <v>6188</v>
      </c>
      <c r="D4594" s="15" t="s">
        <v>851</v>
      </c>
      <c r="E4594" s="15" t="s">
        <v>6253</v>
      </c>
    </row>
    <row r="4595" spans="2:5">
      <c r="B4595" s="15" t="s">
        <v>6187</v>
      </c>
      <c r="C4595" s="15" t="s">
        <v>6188</v>
      </c>
      <c r="D4595" s="15" t="s">
        <v>6254</v>
      </c>
      <c r="E4595" s="15" t="s">
        <v>6255</v>
      </c>
    </row>
    <row r="4596" spans="2:5">
      <c r="B4596" s="15" t="s">
        <v>6187</v>
      </c>
      <c r="C4596" s="15" t="s">
        <v>6188</v>
      </c>
      <c r="D4596" s="15" t="s">
        <v>6256</v>
      </c>
      <c r="E4596" s="15" t="s">
        <v>6257</v>
      </c>
    </row>
    <row r="4597" spans="2:5">
      <c r="B4597" s="15" t="s">
        <v>6187</v>
      </c>
      <c r="C4597" s="15" t="s">
        <v>6188</v>
      </c>
      <c r="D4597" s="15" t="s">
        <v>6258</v>
      </c>
      <c r="E4597" s="15" t="s">
        <v>6259</v>
      </c>
    </row>
    <row r="4598" spans="2:5">
      <c r="B4598" s="15" t="s">
        <v>6187</v>
      </c>
      <c r="C4598" s="15" t="s">
        <v>6188</v>
      </c>
      <c r="D4598" s="15" t="s">
        <v>6260</v>
      </c>
      <c r="E4598" s="15" t="s">
        <v>6261</v>
      </c>
    </row>
    <row r="4599" spans="2:5">
      <c r="B4599" s="15" t="s">
        <v>6187</v>
      </c>
      <c r="C4599" s="15" t="s">
        <v>6188</v>
      </c>
      <c r="D4599" s="15" t="s">
        <v>2204</v>
      </c>
      <c r="E4599" s="15" t="s">
        <v>6262</v>
      </c>
    </row>
    <row r="4600" spans="2:5">
      <c r="B4600" s="15" t="s">
        <v>6187</v>
      </c>
      <c r="C4600" s="15" t="s">
        <v>6188</v>
      </c>
      <c r="D4600" s="15" t="s">
        <v>6263</v>
      </c>
      <c r="E4600" s="15" t="s">
        <v>6264</v>
      </c>
    </row>
    <row r="4601" spans="2:5">
      <c r="B4601" s="15" t="s">
        <v>6187</v>
      </c>
      <c r="C4601" s="15" t="s">
        <v>6188</v>
      </c>
      <c r="D4601" s="15" t="s">
        <v>6265</v>
      </c>
      <c r="E4601" s="15" t="s">
        <v>6266</v>
      </c>
    </row>
    <row r="4602" spans="2:5">
      <c r="B4602" s="15" t="s">
        <v>6187</v>
      </c>
      <c r="C4602" s="15" t="s">
        <v>6188</v>
      </c>
      <c r="D4602" s="15" t="s">
        <v>6267</v>
      </c>
      <c r="E4602" s="15" t="s">
        <v>6268</v>
      </c>
    </row>
    <row r="4603" spans="2:5">
      <c r="B4603" s="15" t="s">
        <v>6187</v>
      </c>
      <c r="C4603" s="15" t="s">
        <v>6188</v>
      </c>
      <c r="D4603" s="15" t="s">
        <v>6269</v>
      </c>
      <c r="E4603" s="15" t="s">
        <v>6270</v>
      </c>
    </row>
    <row r="4604" spans="2:5">
      <c r="B4604" s="15" t="s">
        <v>6187</v>
      </c>
      <c r="C4604" s="15" t="s">
        <v>6188</v>
      </c>
      <c r="D4604" s="15" t="s">
        <v>1065</v>
      </c>
      <c r="E4604" s="15" t="s">
        <v>6271</v>
      </c>
    </row>
    <row r="4605" spans="2:5">
      <c r="B4605" s="15" t="s">
        <v>6187</v>
      </c>
      <c r="C4605" s="15" t="s">
        <v>6188</v>
      </c>
      <c r="D4605" s="15" t="s">
        <v>853</v>
      </c>
      <c r="E4605" s="15" t="s">
        <v>6272</v>
      </c>
    </row>
    <row r="4606" spans="2:5">
      <c r="B4606" s="15" t="s">
        <v>6187</v>
      </c>
      <c r="C4606" s="15" t="s">
        <v>6188</v>
      </c>
      <c r="D4606" s="15" t="s">
        <v>6273</v>
      </c>
      <c r="E4606" s="15" t="s">
        <v>6274</v>
      </c>
    </row>
    <row r="4607" spans="2:5">
      <c r="B4607" s="15" t="s">
        <v>6187</v>
      </c>
      <c r="C4607" s="15" t="s">
        <v>6188</v>
      </c>
      <c r="D4607" s="15" t="s">
        <v>6275</v>
      </c>
      <c r="E4607" s="15" t="s">
        <v>6276</v>
      </c>
    </row>
    <row r="4608" spans="2:5">
      <c r="B4608" s="15" t="s">
        <v>6187</v>
      </c>
      <c r="C4608" s="15" t="s">
        <v>6188</v>
      </c>
      <c r="D4608" s="15" t="s">
        <v>6277</v>
      </c>
      <c r="E4608" s="15" t="s">
        <v>6278</v>
      </c>
    </row>
    <row r="4609" spans="2:5">
      <c r="B4609" s="15" t="s">
        <v>6187</v>
      </c>
      <c r="C4609" s="15" t="s">
        <v>6188</v>
      </c>
      <c r="D4609" s="15" t="s">
        <v>6279</v>
      </c>
      <c r="E4609" s="15" t="s">
        <v>6280</v>
      </c>
    </row>
    <row r="4610" spans="2:5">
      <c r="B4610" s="15" t="s">
        <v>6187</v>
      </c>
      <c r="C4610" s="15" t="s">
        <v>6188</v>
      </c>
      <c r="D4610" s="15" t="s">
        <v>6281</v>
      </c>
      <c r="E4610" s="15" t="s">
        <v>6282</v>
      </c>
    </row>
    <row r="4611" spans="2:5">
      <c r="B4611" s="15" t="s">
        <v>6187</v>
      </c>
      <c r="C4611" s="15" t="s">
        <v>6188</v>
      </c>
      <c r="D4611" s="15" t="s">
        <v>6283</v>
      </c>
      <c r="E4611" s="15" t="s">
        <v>6284</v>
      </c>
    </row>
    <row r="4612" spans="2:5">
      <c r="B4612" s="15" t="s">
        <v>6187</v>
      </c>
      <c r="C4612" s="15" t="s">
        <v>6188</v>
      </c>
      <c r="D4612" s="15" t="s">
        <v>6285</v>
      </c>
      <c r="E4612" s="15" t="s">
        <v>6286</v>
      </c>
    </row>
    <row r="4613" spans="2:5">
      <c r="B4613" s="15" t="s">
        <v>6187</v>
      </c>
      <c r="C4613" s="15" t="s">
        <v>6188</v>
      </c>
      <c r="D4613" s="15" t="s">
        <v>6287</v>
      </c>
      <c r="E4613" s="15" t="s">
        <v>6288</v>
      </c>
    </row>
    <row r="4614" spans="2:5">
      <c r="B4614" s="15" t="s">
        <v>6187</v>
      </c>
      <c r="C4614" s="15" t="s">
        <v>6188</v>
      </c>
      <c r="D4614" s="15" t="s">
        <v>6289</v>
      </c>
      <c r="E4614" s="15" t="s">
        <v>6290</v>
      </c>
    </row>
    <row r="4615" spans="2:5">
      <c r="B4615" s="15" t="s">
        <v>6187</v>
      </c>
      <c r="C4615" s="15" t="s">
        <v>6188</v>
      </c>
      <c r="D4615" s="15" t="s">
        <v>935</v>
      </c>
      <c r="E4615" s="15" t="s">
        <v>273</v>
      </c>
    </row>
    <row r="4616" spans="2:5">
      <c r="B4616" s="15" t="s">
        <v>6187</v>
      </c>
      <c r="C4616" s="15" t="s">
        <v>6188</v>
      </c>
      <c r="D4616" s="15" t="s">
        <v>855</v>
      </c>
      <c r="E4616" s="15" t="s">
        <v>6291</v>
      </c>
    </row>
    <row r="4617" spans="2:5">
      <c r="B4617" s="15" t="s">
        <v>6187</v>
      </c>
      <c r="C4617" s="15" t="s">
        <v>6188</v>
      </c>
      <c r="D4617" s="15" t="s">
        <v>6292</v>
      </c>
      <c r="E4617" s="15" t="s">
        <v>6293</v>
      </c>
    </row>
    <row r="4618" spans="2:5">
      <c r="B4618" s="15" t="s">
        <v>6187</v>
      </c>
      <c r="C4618" s="15" t="s">
        <v>6188</v>
      </c>
      <c r="D4618" s="15" t="s">
        <v>6294</v>
      </c>
      <c r="E4618" s="15" t="s">
        <v>6295</v>
      </c>
    </row>
    <row r="4619" spans="2:5">
      <c r="B4619" s="15" t="s">
        <v>6187</v>
      </c>
      <c r="C4619" s="15" t="s">
        <v>6188</v>
      </c>
      <c r="D4619" s="15" t="s">
        <v>6296</v>
      </c>
      <c r="E4619" s="15" t="s">
        <v>6297</v>
      </c>
    </row>
    <row r="4620" spans="2:5">
      <c r="B4620" s="15" t="s">
        <v>6187</v>
      </c>
      <c r="C4620" s="15" t="s">
        <v>6188</v>
      </c>
      <c r="D4620" s="15" t="s">
        <v>6298</v>
      </c>
      <c r="E4620" s="15" t="s">
        <v>6299</v>
      </c>
    </row>
    <row r="4621" spans="2:5">
      <c r="B4621" s="15" t="s">
        <v>6187</v>
      </c>
      <c r="C4621" s="15" t="s">
        <v>6188</v>
      </c>
      <c r="D4621" s="15" t="s">
        <v>6300</v>
      </c>
      <c r="E4621" s="15" t="s">
        <v>6301</v>
      </c>
    </row>
    <row r="4622" spans="2:5">
      <c r="B4622" s="15" t="s">
        <v>6187</v>
      </c>
      <c r="C4622" s="15" t="s">
        <v>6188</v>
      </c>
      <c r="D4622" s="15" t="s">
        <v>6302</v>
      </c>
      <c r="E4622" s="15" t="s">
        <v>6303</v>
      </c>
    </row>
    <row r="4623" spans="2:5">
      <c r="B4623" s="15" t="s">
        <v>6187</v>
      </c>
      <c r="C4623" s="15" t="s">
        <v>6188</v>
      </c>
      <c r="D4623" s="15" t="s">
        <v>6304</v>
      </c>
      <c r="E4623" s="15" t="s">
        <v>6305</v>
      </c>
    </row>
    <row r="4624" spans="2:5">
      <c r="B4624" s="15" t="s">
        <v>6187</v>
      </c>
      <c r="C4624" s="15" t="s">
        <v>6188</v>
      </c>
      <c r="D4624" s="15" t="s">
        <v>6306</v>
      </c>
      <c r="E4624" s="15" t="s">
        <v>6307</v>
      </c>
    </row>
    <row r="4625" spans="2:5">
      <c r="B4625" s="15" t="s">
        <v>6187</v>
      </c>
      <c r="C4625" s="15" t="s">
        <v>6188</v>
      </c>
      <c r="D4625" s="15" t="s">
        <v>6308</v>
      </c>
      <c r="E4625" s="15" t="s">
        <v>6309</v>
      </c>
    </row>
    <row r="4626" spans="2:5">
      <c r="B4626" s="15" t="s">
        <v>6187</v>
      </c>
      <c r="C4626" s="15" t="s">
        <v>6188</v>
      </c>
      <c r="D4626" s="15" t="s">
        <v>1068</v>
      </c>
      <c r="E4626" s="15" t="s">
        <v>6310</v>
      </c>
    </row>
    <row r="4627" spans="2:5">
      <c r="B4627" s="15" t="s">
        <v>6187</v>
      </c>
      <c r="C4627" s="15" t="s">
        <v>6188</v>
      </c>
      <c r="D4627" s="15" t="s">
        <v>857</v>
      </c>
      <c r="E4627" s="15" t="s">
        <v>6311</v>
      </c>
    </row>
    <row r="4628" spans="2:5">
      <c r="B4628" s="15" t="s">
        <v>6187</v>
      </c>
      <c r="C4628" s="15" t="s">
        <v>6188</v>
      </c>
      <c r="D4628" s="15" t="s">
        <v>6312</v>
      </c>
      <c r="E4628" s="15" t="s">
        <v>6313</v>
      </c>
    </row>
    <row r="4629" spans="2:5">
      <c r="B4629" s="15" t="s">
        <v>6187</v>
      </c>
      <c r="C4629" s="15" t="s">
        <v>6188</v>
      </c>
      <c r="D4629" s="15" t="s">
        <v>1070</v>
      </c>
      <c r="E4629" s="15" t="s">
        <v>6314</v>
      </c>
    </row>
    <row r="4630" spans="2:5">
      <c r="B4630" s="15" t="s">
        <v>6187</v>
      </c>
      <c r="C4630" s="15" t="s">
        <v>6188</v>
      </c>
      <c r="D4630" s="15" t="s">
        <v>1072</v>
      </c>
      <c r="E4630" s="15" t="s">
        <v>6315</v>
      </c>
    </row>
    <row r="4631" spans="2:5">
      <c r="B4631" s="15" t="s">
        <v>6187</v>
      </c>
      <c r="C4631" s="15" t="s">
        <v>6188</v>
      </c>
      <c r="D4631" s="15" t="s">
        <v>1074</v>
      </c>
      <c r="E4631" s="15" t="s">
        <v>6316</v>
      </c>
    </row>
    <row r="4632" spans="2:5">
      <c r="B4632" s="15" t="s">
        <v>6187</v>
      </c>
      <c r="C4632" s="15" t="s">
        <v>6188</v>
      </c>
      <c r="D4632" s="15" t="s">
        <v>937</v>
      </c>
      <c r="E4632" s="15" t="s">
        <v>6317</v>
      </c>
    </row>
    <row r="4633" spans="2:5">
      <c r="B4633" s="15" t="s">
        <v>6187</v>
      </c>
      <c r="C4633" s="15" t="s">
        <v>6188</v>
      </c>
      <c r="D4633" s="15" t="s">
        <v>2101</v>
      </c>
      <c r="E4633" s="15" t="s">
        <v>6318</v>
      </c>
    </row>
    <row r="4634" spans="2:5">
      <c r="B4634" s="15" t="s">
        <v>6187</v>
      </c>
      <c r="C4634" s="15" t="s">
        <v>6188</v>
      </c>
      <c r="D4634" s="15" t="s">
        <v>2103</v>
      </c>
      <c r="E4634" s="15" t="s">
        <v>6319</v>
      </c>
    </row>
    <row r="4635" spans="2:5">
      <c r="B4635" s="15" t="s">
        <v>6187</v>
      </c>
      <c r="C4635" s="15" t="s">
        <v>6188</v>
      </c>
      <c r="D4635" s="15" t="s">
        <v>2105</v>
      </c>
      <c r="E4635" s="15" t="s">
        <v>6320</v>
      </c>
    </row>
    <row r="4636" spans="2:5">
      <c r="B4636" s="15" t="s">
        <v>6187</v>
      </c>
      <c r="C4636" s="15" t="s">
        <v>6188</v>
      </c>
      <c r="D4636" s="15" t="s">
        <v>2107</v>
      </c>
      <c r="E4636" s="15" t="s">
        <v>6321</v>
      </c>
    </row>
    <row r="4637" spans="2:5">
      <c r="B4637" s="15" t="s">
        <v>6187</v>
      </c>
      <c r="C4637" s="15" t="s">
        <v>6188</v>
      </c>
      <c r="D4637" s="15" t="s">
        <v>1626</v>
      </c>
      <c r="E4637" s="15" t="s">
        <v>6322</v>
      </c>
    </row>
    <row r="4638" spans="2:5">
      <c r="B4638" s="15" t="s">
        <v>6187</v>
      </c>
      <c r="C4638" s="15" t="s">
        <v>6188</v>
      </c>
      <c r="D4638" s="15" t="s">
        <v>6323</v>
      </c>
      <c r="E4638" s="15" t="s">
        <v>6324</v>
      </c>
    </row>
    <row r="4639" spans="2:5">
      <c r="B4639" s="15" t="s">
        <v>6187</v>
      </c>
      <c r="C4639" s="15" t="s">
        <v>6188</v>
      </c>
      <c r="D4639" s="15" t="s">
        <v>6325</v>
      </c>
      <c r="E4639" s="15" t="s">
        <v>6326</v>
      </c>
    </row>
    <row r="4640" spans="2:5">
      <c r="B4640" s="15" t="s">
        <v>6187</v>
      </c>
      <c r="C4640" s="15" t="s">
        <v>6188</v>
      </c>
      <c r="D4640" s="15" t="s">
        <v>6327</v>
      </c>
      <c r="E4640" s="15" t="s">
        <v>6328</v>
      </c>
    </row>
    <row r="4641" spans="2:5">
      <c r="B4641" s="15" t="s">
        <v>6187</v>
      </c>
      <c r="C4641" s="15" t="s">
        <v>6188</v>
      </c>
      <c r="D4641" s="15" t="s">
        <v>6329</v>
      </c>
      <c r="E4641" s="15" t="s">
        <v>6330</v>
      </c>
    </row>
    <row r="4642" spans="2:5">
      <c r="B4642" s="15" t="s">
        <v>6187</v>
      </c>
      <c r="C4642" s="15" t="s">
        <v>6188</v>
      </c>
      <c r="D4642" s="15" t="s">
        <v>939</v>
      </c>
      <c r="E4642" s="15" t="s">
        <v>6331</v>
      </c>
    </row>
    <row r="4643" spans="2:5">
      <c r="B4643" s="15" t="s">
        <v>6187</v>
      </c>
      <c r="C4643" s="15" t="s">
        <v>6188</v>
      </c>
      <c r="D4643" s="15" t="s">
        <v>2110</v>
      </c>
      <c r="E4643" s="15" t="s">
        <v>6332</v>
      </c>
    </row>
    <row r="4644" spans="2:5">
      <c r="B4644" s="15" t="s">
        <v>6187</v>
      </c>
      <c r="C4644" s="15" t="s">
        <v>6188</v>
      </c>
      <c r="D4644" s="15" t="s">
        <v>2112</v>
      </c>
      <c r="E4644" s="15" t="s">
        <v>6333</v>
      </c>
    </row>
    <row r="4645" spans="2:5">
      <c r="B4645" s="15" t="s">
        <v>6187</v>
      </c>
      <c r="C4645" s="15" t="s">
        <v>6188</v>
      </c>
      <c r="D4645" s="15" t="s">
        <v>6334</v>
      </c>
      <c r="E4645" s="15" t="s">
        <v>6335</v>
      </c>
    </row>
    <row r="4646" spans="2:5">
      <c r="B4646" s="15" t="s">
        <v>6187</v>
      </c>
      <c r="C4646" s="15" t="s">
        <v>6188</v>
      </c>
      <c r="D4646" s="15" t="s">
        <v>6336</v>
      </c>
      <c r="E4646" s="15" t="s">
        <v>6337</v>
      </c>
    </row>
    <row r="4647" spans="2:5">
      <c r="B4647" s="15" t="s">
        <v>6187</v>
      </c>
      <c r="C4647" s="15" t="s">
        <v>6188</v>
      </c>
      <c r="D4647" s="15" t="s">
        <v>6338</v>
      </c>
      <c r="E4647" s="15" t="s">
        <v>6339</v>
      </c>
    </row>
    <row r="4648" spans="2:5">
      <c r="B4648" s="15" t="s">
        <v>6187</v>
      </c>
      <c r="C4648" s="15" t="s">
        <v>6188</v>
      </c>
      <c r="D4648" s="15" t="s">
        <v>6340</v>
      </c>
      <c r="E4648" s="15" t="s">
        <v>6341</v>
      </c>
    </row>
    <row r="4649" spans="2:5">
      <c r="B4649" s="15" t="s">
        <v>6187</v>
      </c>
      <c r="C4649" s="15" t="s">
        <v>6188</v>
      </c>
      <c r="D4649" s="15" t="s">
        <v>6342</v>
      </c>
      <c r="E4649" s="15" t="s">
        <v>6343</v>
      </c>
    </row>
    <row r="4650" spans="2:5">
      <c r="B4650" s="15" t="s">
        <v>6187</v>
      </c>
      <c r="C4650" s="15" t="s">
        <v>6188</v>
      </c>
      <c r="D4650" s="15" t="s">
        <v>6344</v>
      </c>
      <c r="E4650" s="15" t="s">
        <v>6345</v>
      </c>
    </row>
    <row r="4651" spans="2:5">
      <c r="B4651" s="15" t="s">
        <v>6187</v>
      </c>
      <c r="C4651" s="15" t="s">
        <v>6188</v>
      </c>
      <c r="D4651" s="15" t="s">
        <v>6346</v>
      </c>
      <c r="E4651" s="15" t="s">
        <v>6347</v>
      </c>
    </row>
    <row r="4652" spans="2:5">
      <c r="B4652" s="15" t="s">
        <v>6187</v>
      </c>
      <c r="C4652" s="15" t="s">
        <v>6188</v>
      </c>
      <c r="D4652" s="15" t="s">
        <v>941</v>
      </c>
      <c r="E4652" s="15" t="s">
        <v>6348</v>
      </c>
    </row>
    <row r="4653" spans="2:5">
      <c r="B4653" s="15" t="s">
        <v>6187</v>
      </c>
      <c r="C4653" s="15" t="s">
        <v>6188</v>
      </c>
      <c r="D4653" s="15" t="s">
        <v>6349</v>
      </c>
      <c r="E4653" s="15" t="s">
        <v>6350</v>
      </c>
    </row>
    <row r="4654" spans="2:5">
      <c r="B4654" s="15" t="s">
        <v>6187</v>
      </c>
      <c r="C4654" s="15" t="s">
        <v>6188</v>
      </c>
      <c r="D4654" s="15" t="s">
        <v>6351</v>
      </c>
      <c r="E4654" s="15" t="s">
        <v>6352</v>
      </c>
    </row>
    <row r="4655" spans="2:5">
      <c r="B4655" s="15" t="s">
        <v>6187</v>
      </c>
      <c r="C4655" s="15" t="s">
        <v>6188</v>
      </c>
      <c r="D4655" s="15" t="s">
        <v>6353</v>
      </c>
      <c r="E4655" s="15" t="s">
        <v>6354</v>
      </c>
    </row>
    <row r="4656" spans="2:5">
      <c r="B4656" s="15" t="s">
        <v>6187</v>
      </c>
      <c r="C4656" s="15" t="s">
        <v>6188</v>
      </c>
      <c r="D4656" s="15" t="s">
        <v>6355</v>
      </c>
      <c r="E4656" s="15" t="s">
        <v>6356</v>
      </c>
    </row>
    <row r="4657" spans="2:5">
      <c r="B4657" s="15" t="s">
        <v>6187</v>
      </c>
      <c r="C4657" s="15" t="s">
        <v>6188</v>
      </c>
      <c r="D4657" s="15" t="s">
        <v>6357</v>
      </c>
      <c r="E4657" s="15" t="s">
        <v>6358</v>
      </c>
    </row>
    <row r="4658" spans="2:5">
      <c r="B4658" s="15" t="s">
        <v>6187</v>
      </c>
      <c r="C4658" s="15" t="s">
        <v>6188</v>
      </c>
      <c r="D4658" s="15" t="s">
        <v>6359</v>
      </c>
      <c r="E4658" s="15" t="s">
        <v>6360</v>
      </c>
    </row>
    <row r="4659" spans="2:5">
      <c r="B4659" s="15" t="s">
        <v>6187</v>
      </c>
      <c r="C4659" s="15" t="s">
        <v>6188</v>
      </c>
      <c r="D4659" s="15" t="s">
        <v>6361</v>
      </c>
      <c r="E4659" s="15" t="s">
        <v>6362</v>
      </c>
    </row>
    <row r="4660" spans="2:5">
      <c r="B4660" s="15" t="s">
        <v>6187</v>
      </c>
      <c r="C4660" s="15" t="s">
        <v>6188</v>
      </c>
      <c r="D4660" s="15" t="s">
        <v>6363</v>
      </c>
      <c r="E4660" s="15" t="s">
        <v>6364</v>
      </c>
    </row>
    <row r="4661" spans="2:5">
      <c r="B4661" s="15" t="s">
        <v>6187</v>
      </c>
      <c r="C4661" s="15" t="s">
        <v>6188</v>
      </c>
      <c r="D4661" s="15" t="s">
        <v>6365</v>
      </c>
      <c r="E4661" s="15" t="s">
        <v>6366</v>
      </c>
    </row>
    <row r="4662" spans="2:5">
      <c r="B4662" s="15" t="s">
        <v>6187</v>
      </c>
      <c r="C4662" s="15" t="s">
        <v>6188</v>
      </c>
      <c r="D4662" s="15" t="s">
        <v>1007</v>
      </c>
      <c r="E4662" s="15" t="s">
        <v>6367</v>
      </c>
    </row>
    <row r="4663" spans="2:5">
      <c r="B4663" s="15" t="s">
        <v>6187</v>
      </c>
      <c r="C4663" s="15" t="s">
        <v>6188</v>
      </c>
      <c r="D4663" s="15" t="s">
        <v>6368</v>
      </c>
      <c r="E4663" s="15" t="s">
        <v>6369</v>
      </c>
    </row>
    <row r="4664" spans="2:5">
      <c r="B4664" s="15" t="s">
        <v>6187</v>
      </c>
      <c r="C4664" s="15" t="s">
        <v>6188</v>
      </c>
      <c r="D4664" s="15" t="s">
        <v>6370</v>
      </c>
      <c r="E4664" s="15" t="s">
        <v>6371</v>
      </c>
    </row>
    <row r="4665" spans="2:5">
      <c r="B4665" s="15" t="s">
        <v>6187</v>
      </c>
      <c r="C4665" s="15" t="s">
        <v>6188</v>
      </c>
      <c r="D4665" s="15" t="s">
        <v>6372</v>
      </c>
      <c r="E4665" s="15" t="s">
        <v>6373</v>
      </c>
    </row>
    <row r="4666" spans="2:5">
      <c r="B4666" s="15" t="s">
        <v>6187</v>
      </c>
      <c r="C4666" s="15" t="s">
        <v>6188</v>
      </c>
      <c r="D4666" s="15" t="s">
        <v>6374</v>
      </c>
      <c r="E4666" s="15" t="s">
        <v>6375</v>
      </c>
    </row>
    <row r="4667" spans="2:5">
      <c r="B4667" s="15" t="s">
        <v>6187</v>
      </c>
      <c r="C4667" s="15" t="s">
        <v>6188</v>
      </c>
      <c r="D4667" s="15" t="s">
        <v>6376</v>
      </c>
      <c r="E4667" s="15" t="s">
        <v>6377</v>
      </c>
    </row>
    <row r="4668" spans="2:5">
      <c r="B4668" s="15" t="s">
        <v>6187</v>
      </c>
      <c r="C4668" s="15" t="s">
        <v>6188</v>
      </c>
      <c r="D4668" s="15" t="s">
        <v>6378</v>
      </c>
      <c r="E4668" s="15" t="s">
        <v>6379</v>
      </c>
    </row>
    <row r="4669" spans="2:5">
      <c r="B4669" s="15" t="s">
        <v>6187</v>
      </c>
      <c r="C4669" s="15" t="s">
        <v>6188</v>
      </c>
      <c r="D4669" s="15" t="s">
        <v>6380</v>
      </c>
      <c r="E4669" s="15" t="s">
        <v>6381</v>
      </c>
    </row>
    <row r="4670" spans="2:5">
      <c r="B4670" s="15" t="s">
        <v>6187</v>
      </c>
      <c r="C4670" s="15" t="s">
        <v>6188</v>
      </c>
      <c r="D4670" s="15" t="s">
        <v>6382</v>
      </c>
      <c r="E4670" s="15" t="s">
        <v>6383</v>
      </c>
    </row>
    <row r="4671" spans="2:5">
      <c r="B4671" s="15" t="s">
        <v>6187</v>
      </c>
      <c r="C4671" s="15" t="s">
        <v>6188</v>
      </c>
      <c r="D4671" s="15" t="s">
        <v>6384</v>
      </c>
      <c r="E4671" s="15" t="s">
        <v>6385</v>
      </c>
    </row>
    <row r="4672" spans="2:5">
      <c r="B4672" s="15" t="s">
        <v>6187</v>
      </c>
      <c r="C4672" s="15" t="s">
        <v>6188</v>
      </c>
      <c r="D4672" s="15" t="s">
        <v>1139</v>
      </c>
      <c r="E4672" s="15" t="s">
        <v>6386</v>
      </c>
    </row>
    <row r="4673" spans="2:5">
      <c r="B4673" s="15" t="s">
        <v>6187</v>
      </c>
      <c r="C4673" s="15" t="s">
        <v>6188</v>
      </c>
      <c r="D4673" s="15" t="s">
        <v>2127</v>
      </c>
      <c r="E4673" s="15" t="s">
        <v>6387</v>
      </c>
    </row>
    <row r="4674" spans="2:5">
      <c r="B4674" s="15" t="s">
        <v>6187</v>
      </c>
      <c r="C4674" s="15" t="s">
        <v>6188</v>
      </c>
      <c r="D4674" s="15" t="s">
        <v>2129</v>
      </c>
      <c r="E4674" s="15" t="s">
        <v>6388</v>
      </c>
    </row>
    <row r="4675" spans="2:5">
      <c r="B4675" s="15" t="s">
        <v>6187</v>
      </c>
      <c r="C4675" s="15" t="s">
        <v>6188</v>
      </c>
      <c r="D4675" s="15" t="s">
        <v>6389</v>
      </c>
      <c r="E4675" s="15" t="s">
        <v>6390</v>
      </c>
    </row>
    <row r="4676" spans="2:5">
      <c r="B4676" s="15" t="s">
        <v>6187</v>
      </c>
      <c r="C4676" s="15" t="s">
        <v>6188</v>
      </c>
      <c r="D4676" s="15" t="s">
        <v>6391</v>
      </c>
      <c r="E4676" s="15" t="s">
        <v>6392</v>
      </c>
    </row>
    <row r="4677" spans="2:5">
      <c r="B4677" s="15" t="s">
        <v>6187</v>
      </c>
      <c r="C4677" s="15" t="s">
        <v>6188</v>
      </c>
      <c r="D4677" s="15" t="s">
        <v>6393</v>
      </c>
      <c r="E4677" s="15" t="s">
        <v>6394</v>
      </c>
    </row>
    <row r="4678" spans="2:5">
      <c r="B4678" s="15" t="s">
        <v>6187</v>
      </c>
      <c r="C4678" s="15" t="s">
        <v>6188</v>
      </c>
      <c r="D4678" s="15" t="s">
        <v>6395</v>
      </c>
      <c r="E4678" s="15" t="s">
        <v>6396</v>
      </c>
    </row>
    <row r="4679" spans="2:5">
      <c r="B4679" s="15" t="s">
        <v>6187</v>
      </c>
      <c r="C4679" s="15" t="s">
        <v>6188</v>
      </c>
      <c r="D4679" s="15" t="s">
        <v>6397</v>
      </c>
      <c r="E4679" s="15" t="s">
        <v>6398</v>
      </c>
    </row>
    <row r="4680" spans="2:5">
      <c r="B4680" s="15" t="s">
        <v>6187</v>
      </c>
      <c r="C4680" s="15" t="s">
        <v>6188</v>
      </c>
      <c r="D4680" s="15" t="s">
        <v>6399</v>
      </c>
      <c r="E4680" s="15" t="s">
        <v>6400</v>
      </c>
    </row>
    <row r="4681" spans="2:5">
      <c r="B4681" s="15" t="s">
        <v>6187</v>
      </c>
      <c r="C4681" s="15" t="s">
        <v>6188</v>
      </c>
      <c r="D4681" s="15" t="s">
        <v>6401</v>
      </c>
      <c r="E4681" s="15" t="s">
        <v>6402</v>
      </c>
    </row>
    <row r="4682" spans="2:5">
      <c r="B4682" s="15" t="s">
        <v>6187</v>
      </c>
      <c r="C4682" s="15" t="s">
        <v>6188</v>
      </c>
      <c r="D4682" s="15" t="s">
        <v>1140</v>
      </c>
      <c r="E4682" s="15" t="s">
        <v>6403</v>
      </c>
    </row>
    <row r="4683" spans="2:5">
      <c r="B4683" s="15" t="s">
        <v>6187</v>
      </c>
      <c r="C4683" s="15" t="s">
        <v>6188</v>
      </c>
      <c r="D4683" s="15" t="s">
        <v>6404</v>
      </c>
      <c r="E4683" s="15" t="s">
        <v>6405</v>
      </c>
    </row>
    <row r="4684" spans="2:5">
      <c r="B4684" s="15" t="s">
        <v>6187</v>
      </c>
      <c r="C4684" s="15" t="s">
        <v>6188</v>
      </c>
      <c r="D4684" s="15" t="s">
        <v>6406</v>
      </c>
      <c r="E4684" s="15" t="s">
        <v>6407</v>
      </c>
    </row>
    <row r="4685" spans="2:5">
      <c r="B4685" s="15" t="s">
        <v>6187</v>
      </c>
      <c r="C4685" s="15" t="s">
        <v>6188</v>
      </c>
      <c r="D4685" s="15" t="s">
        <v>6408</v>
      </c>
      <c r="E4685" s="15" t="s">
        <v>6409</v>
      </c>
    </row>
    <row r="4686" spans="2:5">
      <c r="B4686" s="15" t="s">
        <v>6187</v>
      </c>
      <c r="C4686" s="15" t="s">
        <v>6188</v>
      </c>
      <c r="D4686" s="15" t="s">
        <v>6410</v>
      </c>
      <c r="E4686" s="15" t="s">
        <v>6411</v>
      </c>
    </row>
    <row r="4687" spans="2:5">
      <c r="B4687" s="15" t="s">
        <v>6187</v>
      </c>
      <c r="C4687" s="15" t="s">
        <v>6188</v>
      </c>
      <c r="D4687" s="15" t="s">
        <v>6412</v>
      </c>
      <c r="E4687" s="15" t="s">
        <v>6413</v>
      </c>
    </row>
    <row r="4688" spans="2:5">
      <c r="B4688" s="15" t="s">
        <v>6187</v>
      </c>
      <c r="C4688" s="15" t="s">
        <v>6188</v>
      </c>
      <c r="D4688" s="15" t="s">
        <v>6414</v>
      </c>
      <c r="E4688" s="15" t="s">
        <v>6415</v>
      </c>
    </row>
    <row r="4689" spans="2:5">
      <c r="B4689" s="15" t="s">
        <v>6187</v>
      </c>
      <c r="C4689" s="15" t="s">
        <v>6188</v>
      </c>
      <c r="D4689" s="15" t="s">
        <v>6416</v>
      </c>
      <c r="E4689" s="15" t="s">
        <v>6417</v>
      </c>
    </row>
    <row r="4690" spans="2:5">
      <c r="B4690" s="15" t="s">
        <v>6187</v>
      </c>
      <c r="C4690" s="15" t="s">
        <v>6188</v>
      </c>
      <c r="D4690" s="15" t="s">
        <v>6418</v>
      </c>
      <c r="E4690" s="15" t="s">
        <v>6419</v>
      </c>
    </row>
    <row r="4691" spans="2:5">
      <c r="B4691" s="15" t="s">
        <v>6187</v>
      </c>
      <c r="C4691" s="15" t="s">
        <v>6188</v>
      </c>
      <c r="D4691" s="15" t="s">
        <v>6420</v>
      </c>
      <c r="E4691" s="15" t="s">
        <v>6421</v>
      </c>
    </row>
    <row r="4692" spans="2:5">
      <c r="B4692" s="15" t="s">
        <v>6187</v>
      </c>
      <c r="C4692" s="15" t="s">
        <v>6188</v>
      </c>
      <c r="D4692" s="15" t="s">
        <v>1141</v>
      </c>
      <c r="E4692" s="15" t="s">
        <v>6422</v>
      </c>
    </row>
    <row r="4693" spans="2:5">
      <c r="B4693" s="15" t="s">
        <v>6187</v>
      </c>
      <c r="C4693" s="15" t="s">
        <v>6188</v>
      </c>
      <c r="D4693" s="15" t="s">
        <v>6423</v>
      </c>
      <c r="E4693" s="15" t="s">
        <v>6424</v>
      </c>
    </row>
    <row r="4694" spans="2:5">
      <c r="B4694" s="15" t="s">
        <v>6187</v>
      </c>
      <c r="C4694" s="15" t="s">
        <v>6188</v>
      </c>
      <c r="D4694" s="15" t="s">
        <v>6425</v>
      </c>
      <c r="E4694" s="15" t="s">
        <v>6426</v>
      </c>
    </row>
    <row r="4695" spans="2:5">
      <c r="B4695" s="15" t="s">
        <v>6187</v>
      </c>
      <c r="C4695" s="15" t="s">
        <v>6188</v>
      </c>
      <c r="D4695" s="15" t="s">
        <v>6427</v>
      </c>
      <c r="E4695" s="15" t="s">
        <v>6428</v>
      </c>
    </row>
    <row r="4696" spans="2:5">
      <c r="B4696" s="15" t="s">
        <v>6187</v>
      </c>
      <c r="C4696" s="15" t="s">
        <v>6188</v>
      </c>
      <c r="D4696" s="15" t="s">
        <v>6429</v>
      </c>
      <c r="E4696" s="15" t="s">
        <v>6430</v>
      </c>
    </row>
    <row r="4697" spans="2:5">
      <c r="B4697" s="15" t="s">
        <v>6187</v>
      </c>
      <c r="C4697" s="15" t="s">
        <v>6188</v>
      </c>
      <c r="D4697" s="15" t="s">
        <v>6431</v>
      </c>
      <c r="E4697" s="15" t="s">
        <v>6432</v>
      </c>
    </row>
    <row r="4698" spans="2:5">
      <c r="B4698" s="15" t="s">
        <v>6187</v>
      </c>
      <c r="C4698" s="15" t="s">
        <v>6188</v>
      </c>
      <c r="D4698" s="15" t="s">
        <v>6433</v>
      </c>
      <c r="E4698" s="15" t="s">
        <v>6434</v>
      </c>
    </row>
    <row r="4699" spans="2:5">
      <c r="B4699" s="15" t="s">
        <v>6187</v>
      </c>
      <c r="C4699" s="15" t="s">
        <v>6188</v>
      </c>
      <c r="D4699" s="15" t="s">
        <v>6435</v>
      </c>
      <c r="E4699" s="15" t="s">
        <v>6436</v>
      </c>
    </row>
    <row r="4700" spans="2:5">
      <c r="B4700" s="15" t="s">
        <v>6187</v>
      </c>
      <c r="C4700" s="15" t="s">
        <v>6188</v>
      </c>
      <c r="D4700" s="15" t="s">
        <v>6437</v>
      </c>
      <c r="E4700" s="15" t="s">
        <v>6438</v>
      </c>
    </row>
    <row r="4701" spans="2:5">
      <c r="B4701" s="15" t="s">
        <v>6187</v>
      </c>
      <c r="C4701" s="15" t="s">
        <v>6188</v>
      </c>
      <c r="D4701" s="15" t="s">
        <v>6439</v>
      </c>
      <c r="E4701" s="15" t="s">
        <v>6440</v>
      </c>
    </row>
    <row r="4702" spans="2:5">
      <c r="B4702" s="15" t="s">
        <v>6187</v>
      </c>
      <c r="C4702" s="15" t="s">
        <v>6188</v>
      </c>
      <c r="D4702" s="15" t="s">
        <v>1143</v>
      </c>
      <c r="E4702" s="15" t="s">
        <v>6441</v>
      </c>
    </row>
    <row r="4703" spans="2:5">
      <c r="B4703" s="15" t="s">
        <v>6187</v>
      </c>
      <c r="C4703" s="15" t="s">
        <v>6188</v>
      </c>
      <c r="D4703" s="15" t="s">
        <v>2134</v>
      </c>
      <c r="E4703" s="15" t="s">
        <v>6442</v>
      </c>
    </row>
    <row r="4704" spans="2:5">
      <c r="B4704" s="15" t="s">
        <v>6187</v>
      </c>
      <c r="C4704" s="15" t="s">
        <v>6188</v>
      </c>
      <c r="D4704" s="15" t="s">
        <v>2136</v>
      </c>
      <c r="E4704" s="15" t="s">
        <v>6443</v>
      </c>
    </row>
    <row r="4705" spans="2:5">
      <c r="B4705" s="15" t="s">
        <v>6187</v>
      </c>
      <c r="C4705" s="15" t="s">
        <v>6188</v>
      </c>
      <c r="D4705" s="15" t="s">
        <v>2138</v>
      </c>
      <c r="E4705" s="15" t="s">
        <v>293</v>
      </c>
    </row>
    <row r="4706" spans="2:5">
      <c r="B4706" s="15" t="s">
        <v>6187</v>
      </c>
      <c r="C4706" s="15" t="s">
        <v>6188</v>
      </c>
      <c r="D4706" s="15" t="s">
        <v>2140</v>
      </c>
      <c r="E4706" s="15" t="s">
        <v>6444</v>
      </c>
    </row>
    <row r="4707" spans="2:5">
      <c r="B4707" s="15" t="s">
        <v>6187</v>
      </c>
      <c r="C4707" s="15" t="s">
        <v>6188</v>
      </c>
      <c r="D4707" s="15" t="s">
        <v>6445</v>
      </c>
      <c r="E4707" s="15" t="s">
        <v>294</v>
      </c>
    </row>
    <row r="4708" spans="2:5">
      <c r="B4708" s="15" t="s">
        <v>6187</v>
      </c>
      <c r="C4708" s="15" t="s">
        <v>6188</v>
      </c>
      <c r="D4708" s="15" t="s">
        <v>6446</v>
      </c>
      <c r="E4708" s="15" t="s">
        <v>6447</v>
      </c>
    </row>
    <row r="4709" spans="2:5">
      <c r="B4709" s="15" t="s">
        <v>6187</v>
      </c>
      <c r="C4709" s="15" t="s">
        <v>6188</v>
      </c>
      <c r="D4709" s="15" t="s">
        <v>6448</v>
      </c>
      <c r="E4709" s="15" t="s">
        <v>6449</v>
      </c>
    </row>
    <row r="4710" spans="2:5">
      <c r="B4710" s="15" t="s">
        <v>6187</v>
      </c>
      <c r="C4710" s="15" t="s">
        <v>6188</v>
      </c>
      <c r="D4710" s="15" t="s">
        <v>6450</v>
      </c>
      <c r="E4710" s="15" t="s">
        <v>6451</v>
      </c>
    </row>
    <row r="4711" spans="2:5">
      <c r="B4711" s="15" t="s">
        <v>6187</v>
      </c>
      <c r="C4711" s="15" t="s">
        <v>6188</v>
      </c>
      <c r="D4711" s="15" t="s">
        <v>1145</v>
      </c>
      <c r="E4711" s="15" t="s">
        <v>6452</v>
      </c>
    </row>
    <row r="4712" ht="15.95" spans="2:2">
      <c r="B4712" s="122" t="s">
        <v>6453</v>
      </c>
    </row>
    <row r="4713" spans="2:5">
      <c r="B4713" s="15" t="s">
        <v>6454</v>
      </c>
      <c r="C4713" s="15" t="s">
        <v>6454</v>
      </c>
      <c r="D4713" s="15" t="s">
        <v>770</v>
      </c>
      <c r="E4713" s="15" t="s">
        <v>5270</v>
      </c>
    </row>
    <row r="4714" spans="2:5">
      <c r="B4714" s="15" t="s">
        <v>6454</v>
      </c>
      <c r="C4714" s="15" t="s">
        <v>6454</v>
      </c>
      <c r="D4714" s="15" t="s">
        <v>772</v>
      </c>
      <c r="E4714" s="15" t="s">
        <v>5271</v>
      </c>
    </row>
    <row r="4715" spans="2:5">
      <c r="B4715" s="15" t="s">
        <v>6454</v>
      </c>
      <c r="C4715" s="15" t="s">
        <v>6454</v>
      </c>
      <c r="D4715" s="15" t="s">
        <v>774</v>
      </c>
      <c r="E4715" s="15" t="s">
        <v>5272</v>
      </c>
    </row>
    <row r="4716" spans="2:5">
      <c r="B4716" s="15" t="s">
        <v>6454</v>
      </c>
      <c r="C4716" s="15" t="s">
        <v>6454</v>
      </c>
      <c r="D4716" s="15" t="s">
        <v>828</v>
      </c>
      <c r="E4716" s="15" t="s">
        <v>5273</v>
      </c>
    </row>
    <row r="4717" ht="15.95" spans="2:2">
      <c r="B4717" s="122" t="s">
        <v>6455</v>
      </c>
    </row>
    <row r="4718" spans="2:5">
      <c r="B4718" s="15" t="s">
        <v>6456</v>
      </c>
      <c r="C4718" s="15"/>
      <c r="D4718" s="15" t="s">
        <v>1267</v>
      </c>
      <c r="E4718" s="15" t="s">
        <v>1355</v>
      </c>
    </row>
    <row r="4719" spans="2:5">
      <c r="B4719" s="15" t="s">
        <v>6456</v>
      </c>
      <c r="C4719" s="15"/>
      <c r="D4719" s="15" t="s">
        <v>1269</v>
      </c>
      <c r="E4719" s="15" t="s">
        <v>1356</v>
      </c>
    </row>
    <row r="4720" ht="15.95" spans="2:2">
      <c r="B4720" s="122" t="s">
        <v>6457</v>
      </c>
    </row>
    <row r="4721" spans="2:5">
      <c r="B4721" s="15" t="s">
        <v>6458</v>
      </c>
      <c r="C4721" s="15" t="s">
        <v>6459</v>
      </c>
      <c r="D4721" s="15" t="s">
        <v>770</v>
      </c>
      <c r="E4721" s="15" t="s">
        <v>6460</v>
      </c>
    </row>
    <row r="4722" spans="2:5">
      <c r="B4722" s="15" t="s">
        <v>6458</v>
      </c>
      <c r="C4722" s="15" t="s">
        <v>6459</v>
      </c>
      <c r="D4722" s="15" t="s">
        <v>772</v>
      </c>
      <c r="E4722" s="15" t="s">
        <v>6461</v>
      </c>
    </row>
    <row r="4723" ht="15.95" spans="2:2">
      <c r="B4723" s="122" t="s">
        <v>6462</v>
      </c>
    </row>
    <row r="4724" spans="2:5">
      <c r="B4724" s="15" t="s">
        <v>6463</v>
      </c>
      <c r="C4724" s="15" t="s">
        <v>6464</v>
      </c>
      <c r="D4724" s="15" t="s">
        <v>635</v>
      </c>
      <c r="E4724" s="15" t="s">
        <v>1814</v>
      </c>
    </row>
    <row r="4725" spans="2:5">
      <c r="B4725" s="15" t="s">
        <v>6463</v>
      </c>
      <c r="C4725" s="15" t="s">
        <v>6464</v>
      </c>
      <c r="D4725" s="15" t="s">
        <v>6465</v>
      </c>
      <c r="E4725" s="15" t="s">
        <v>6466</v>
      </c>
    </row>
    <row r="4726" spans="2:5">
      <c r="B4726" s="15" t="s">
        <v>6463</v>
      </c>
      <c r="C4726" s="15" t="s">
        <v>6464</v>
      </c>
      <c r="D4726" s="15" t="s">
        <v>6467</v>
      </c>
      <c r="E4726" s="15" t="s">
        <v>5789</v>
      </c>
    </row>
    <row r="4727" spans="2:5">
      <c r="B4727" s="15" t="s">
        <v>6463</v>
      </c>
      <c r="C4727" s="15" t="s">
        <v>6464</v>
      </c>
      <c r="D4727" s="15" t="s">
        <v>3587</v>
      </c>
      <c r="E4727" s="15" t="s">
        <v>6468</v>
      </c>
    </row>
    <row r="4728" spans="2:5">
      <c r="B4728" s="15" t="s">
        <v>6463</v>
      </c>
      <c r="C4728" s="15" t="s">
        <v>6464</v>
      </c>
      <c r="D4728" s="15" t="s">
        <v>6469</v>
      </c>
      <c r="E4728" s="15" t="s">
        <v>6470</v>
      </c>
    </row>
    <row r="4729" spans="2:5">
      <c r="B4729" s="15" t="s">
        <v>6463</v>
      </c>
      <c r="C4729" s="15" t="s">
        <v>6464</v>
      </c>
      <c r="D4729" s="15" t="s">
        <v>6471</v>
      </c>
      <c r="E4729" s="15" t="s">
        <v>1903</v>
      </c>
    </row>
    <row r="4730" spans="2:5">
      <c r="B4730" s="15" t="s">
        <v>6463</v>
      </c>
      <c r="C4730" s="15" t="s">
        <v>6464</v>
      </c>
      <c r="D4730" s="15" t="s">
        <v>6472</v>
      </c>
      <c r="E4730" s="15" t="s">
        <v>1904</v>
      </c>
    </row>
    <row r="4731" ht="15.95" spans="2:2">
      <c r="B4731" s="122" t="s">
        <v>6473</v>
      </c>
    </row>
    <row r="4732" spans="2:5">
      <c r="B4732" s="15" t="s">
        <v>6474</v>
      </c>
      <c r="C4732" s="15" t="s">
        <v>6475</v>
      </c>
      <c r="D4732" s="15" t="s">
        <v>770</v>
      </c>
      <c r="E4732" s="15" t="s">
        <v>5306</v>
      </c>
    </row>
    <row r="4733" spans="2:5">
      <c r="B4733" s="15" t="s">
        <v>6474</v>
      </c>
      <c r="C4733" s="15" t="s">
        <v>6475</v>
      </c>
      <c r="D4733" s="15" t="s">
        <v>774</v>
      </c>
      <c r="E4733" s="15" t="s">
        <v>5314</v>
      </c>
    </row>
    <row r="4734" spans="2:5">
      <c r="B4734" s="15" t="s">
        <v>6474</v>
      </c>
      <c r="C4734" s="15" t="s">
        <v>6475</v>
      </c>
      <c r="D4734" s="15" t="s">
        <v>776</v>
      </c>
      <c r="E4734" s="15" t="s">
        <v>5310</v>
      </c>
    </row>
    <row r="4735" ht="15.95" spans="2:2">
      <c r="B4735" s="122" t="s">
        <v>6476</v>
      </c>
    </row>
    <row r="4736" spans="2:5">
      <c r="B4736" s="15" t="s">
        <v>6477</v>
      </c>
      <c r="C4736" s="15" t="s">
        <v>6478</v>
      </c>
      <c r="D4736" s="15" t="s">
        <v>4188</v>
      </c>
      <c r="E4736" s="15" t="s">
        <v>4189</v>
      </c>
    </row>
    <row r="4737" spans="2:5">
      <c r="B4737" s="15" t="s">
        <v>6477</v>
      </c>
      <c r="C4737" s="15" t="s">
        <v>6478</v>
      </c>
      <c r="D4737" s="15" t="s">
        <v>6479</v>
      </c>
      <c r="E4737" s="15" t="s">
        <v>6480</v>
      </c>
    </row>
    <row r="4738" spans="2:5">
      <c r="B4738" s="15" t="s">
        <v>6477</v>
      </c>
      <c r="C4738" s="15" t="s">
        <v>6478</v>
      </c>
      <c r="D4738" s="15" t="s">
        <v>4686</v>
      </c>
      <c r="E4738" s="15" t="s">
        <v>4430</v>
      </c>
    </row>
    <row r="4739" spans="2:5">
      <c r="B4739" s="15" t="s">
        <v>6477</v>
      </c>
      <c r="C4739" s="15" t="s">
        <v>6478</v>
      </c>
      <c r="D4739" s="15" t="s">
        <v>4431</v>
      </c>
      <c r="E4739" s="15" t="s">
        <v>4203</v>
      </c>
    </row>
    <row r="4740" spans="2:5">
      <c r="B4740" s="15" t="s">
        <v>6477</v>
      </c>
      <c r="C4740" s="15" t="s">
        <v>6478</v>
      </c>
      <c r="D4740" s="15" t="s">
        <v>4743</v>
      </c>
      <c r="E4740" s="15" t="s">
        <v>4432</v>
      </c>
    </row>
    <row r="4741" spans="2:5">
      <c r="B4741" s="15" t="s">
        <v>6477</v>
      </c>
      <c r="C4741" s="15" t="s">
        <v>6478</v>
      </c>
      <c r="D4741" s="15" t="s">
        <v>4197</v>
      </c>
      <c r="E4741" s="15" t="s">
        <v>1256</v>
      </c>
    </row>
    <row r="4742" ht="15.95" spans="2:2">
      <c r="B4742" s="122" t="s">
        <v>6481</v>
      </c>
    </row>
    <row r="4743" spans="2:5">
      <c r="B4743" s="15" t="s">
        <v>6482</v>
      </c>
      <c r="C4743" s="15" t="s">
        <v>6483</v>
      </c>
      <c r="D4743" s="15" t="s">
        <v>1432</v>
      </c>
      <c r="E4743" s="15" t="s">
        <v>1170</v>
      </c>
    </row>
    <row r="4744" spans="2:5">
      <c r="B4744" s="15" t="s">
        <v>6482</v>
      </c>
      <c r="C4744" s="15" t="s">
        <v>6483</v>
      </c>
      <c r="D4744" s="15" t="s">
        <v>723</v>
      </c>
      <c r="E4744" s="15" t="s">
        <v>6484</v>
      </c>
    </row>
    <row r="4745" spans="2:5">
      <c r="B4745" s="15" t="s">
        <v>6482</v>
      </c>
      <c r="C4745" s="15" t="s">
        <v>6483</v>
      </c>
      <c r="D4745" s="15" t="s">
        <v>725</v>
      </c>
      <c r="E4745" s="15" t="s">
        <v>6485</v>
      </c>
    </row>
    <row r="4746" spans="2:5">
      <c r="B4746" s="15" t="s">
        <v>6482</v>
      </c>
      <c r="C4746" s="15" t="s">
        <v>6483</v>
      </c>
      <c r="D4746" s="15" t="s">
        <v>727</v>
      </c>
      <c r="E4746" s="15" t="s">
        <v>1172</v>
      </c>
    </row>
    <row r="4747" spans="2:5">
      <c r="B4747" s="15" t="s">
        <v>6482</v>
      </c>
      <c r="C4747" s="15" t="s">
        <v>6483</v>
      </c>
      <c r="D4747" s="15" t="s">
        <v>729</v>
      </c>
      <c r="E4747" s="15" t="s">
        <v>1174</v>
      </c>
    </row>
    <row r="4748" spans="2:5">
      <c r="B4748" s="15" t="s">
        <v>6482</v>
      </c>
      <c r="C4748" s="15" t="s">
        <v>6483</v>
      </c>
      <c r="D4748" s="15" t="s">
        <v>760</v>
      </c>
      <c r="E4748" s="15" t="s">
        <v>1178</v>
      </c>
    </row>
    <row r="4749" spans="2:5">
      <c r="B4749" s="15" t="s">
        <v>6482</v>
      </c>
      <c r="C4749" s="15" t="s">
        <v>6483</v>
      </c>
      <c r="D4749" s="15" t="s">
        <v>762</v>
      </c>
      <c r="E4749" s="15" t="s">
        <v>1180</v>
      </c>
    </row>
    <row r="4750" spans="2:5">
      <c r="B4750" s="15" t="s">
        <v>6482</v>
      </c>
      <c r="C4750" s="15" t="s">
        <v>6483</v>
      </c>
      <c r="D4750" s="15" t="s">
        <v>764</v>
      </c>
      <c r="E4750" s="15" t="s">
        <v>6486</v>
      </c>
    </row>
    <row r="4751" spans="2:5">
      <c r="B4751" s="15" t="s">
        <v>6482</v>
      </c>
      <c r="C4751" s="15" t="s">
        <v>6483</v>
      </c>
      <c r="D4751" s="15" t="s">
        <v>1587</v>
      </c>
      <c r="E4751" s="15" t="s">
        <v>1182</v>
      </c>
    </row>
    <row r="4752" spans="2:5">
      <c r="B4752" s="15" t="s">
        <v>6482</v>
      </c>
      <c r="C4752" s="15" t="s">
        <v>6483</v>
      </c>
      <c r="D4752" s="15" t="s">
        <v>765</v>
      </c>
      <c r="E4752" s="15" t="s">
        <v>1176</v>
      </c>
    </row>
    <row r="4753" ht="15.95" spans="2:2">
      <c r="B4753" s="122" t="s">
        <v>6487</v>
      </c>
    </row>
    <row r="4754" spans="2:5">
      <c r="B4754" s="15" t="s">
        <v>6488</v>
      </c>
      <c r="C4754" s="15" t="s">
        <v>6489</v>
      </c>
      <c r="D4754" s="15" t="s">
        <v>770</v>
      </c>
      <c r="E4754" s="15" t="s">
        <v>6490</v>
      </c>
    </row>
    <row r="4755" spans="2:5">
      <c r="B4755" s="15" t="s">
        <v>6488</v>
      </c>
      <c r="C4755" s="15" t="s">
        <v>6489</v>
      </c>
      <c r="D4755" s="15" t="s">
        <v>772</v>
      </c>
      <c r="E4755" s="15" t="s">
        <v>6491</v>
      </c>
    </row>
    <row r="4756" ht="15.95" spans="2:2">
      <c r="B4756" s="122" t="s">
        <v>6492</v>
      </c>
    </row>
    <row r="4757" spans="2:5">
      <c r="B4757" s="15" t="s">
        <v>6493</v>
      </c>
      <c r="C4757" s="15" t="s">
        <v>6494</v>
      </c>
      <c r="D4757" s="15" t="s">
        <v>1432</v>
      </c>
      <c r="E4757" s="15" t="s">
        <v>6495</v>
      </c>
    </row>
    <row r="4758" spans="2:5">
      <c r="B4758" s="15" t="s">
        <v>6493</v>
      </c>
      <c r="C4758" s="15" t="s">
        <v>6494</v>
      </c>
      <c r="D4758" s="15" t="s">
        <v>723</v>
      </c>
      <c r="E4758" s="15" t="s">
        <v>6496</v>
      </c>
    </row>
    <row r="4759" ht="15.95" spans="2:2">
      <c r="B4759" s="122" t="s">
        <v>6497</v>
      </c>
    </row>
    <row r="4760" spans="2:5">
      <c r="B4760" s="15" t="s">
        <v>6498</v>
      </c>
      <c r="C4760" s="15"/>
      <c r="D4760" s="15" t="s">
        <v>1267</v>
      </c>
      <c r="E4760" s="15" t="s">
        <v>1355</v>
      </c>
    </row>
    <row r="4761" spans="2:5">
      <c r="B4761" s="15" t="s">
        <v>6498</v>
      </c>
      <c r="C4761" s="15"/>
      <c r="D4761" s="15" t="s">
        <v>1269</v>
      </c>
      <c r="E4761" s="15" t="s">
        <v>1356</v>
      </c>
    </row>
    <row r="4762" ht="15.95" spans="2:2">
      <c r="B4762" s="122" t="s">
        <v>6499</v>
      </c>
    </row>
    <row r="4763" spans="2:5">
      <c r="B4763" s="15" t="s">
        <v>6500</v>
      </c>
      <c r="C4763" s="15" t="s">
        <v>6501</v>
      </c>
      <c r="D4763" s="15" t="s">
        <v>635</v>
      </c>
      <c r="E4763" s="15" t="s">
        <v>6502</v>
      </c>
    </row>
    <row r="4764" spans="2:5">
      <c r="B4764" s="15" t="s">
        <v>6500</v>
      </c>
      <c r="C4764" s="15" t="s">
        <v>6501</v>
      </c>
      <c r="D4764" s="15" t="s">
        <v>659</v>
      </c>
      <c r="E4764" s="15" t="s">
        <v>6503</v>
      </c>
    </row>
    <row r="4765" ht="15.95" spans="2:2">
      <c r="B4765" s="122" t="s">
        <v>6504</v>
      </c>
    </row>
    <row r="4766" spans="2:5">
      <c r="B4766" s="15" t="s">
        <v>6505</v>
      </c>
      <c r="C4766" s="15" t="s">
        <v>6506</v>
      </c>
      <c r="D4766" s="15" t="s">
        <v>770</v>
      </c>
      <c r="E4766" s="15" t="s">
        <v>6507</v>
      </c>
    </row>
    <row r="4767" spans="2:5">
      <c r="B4767" s="15" t="s">
        <v>6505</v>
      </c>
      <c r="C4767" s="15" t="s">
        <v>6506</v>
      </c>
      <c r="D4767" s="15" t="s">
        <v>772</v>
      </c>
      <c r="E4767" s="15" t="s">
        <v>6508</v>
      </c>
    </row>
    <row r="4768" spans="2:5">
      <c r="B4768" s="15" t="s">
        <v>6505</v>
      </c>
      <c r="C4768" s="15" t="s">
        <v>6506</v>
      </c>
      <c r="D4768" s="15" t="s">
        <v>774</v>
      </c>
      <c r="E4768" s="15" t="s">
        <v>6509</v>
      </c>
    </row>
    <row r="4769" ht="15.95" spans="2:2">
      <c r="B4769" s="122" t="s">
        <v>6510</v>
      </c>
    </row>
    <row r="4770" spans="2:5">
      <c r="B4770" s="15" t="s">
        <v>6511</v>
      </c>
      <c r="C4770" s="15" t="s">
        <v>6512</v>
      </c>
      <c r="D4770" s="15" t="s">
        <v>917</v>
      </c>
      <c r="E4770" s="15" t="s">
        <v>953</v>
      </c>
    </row>
    <row r="4771" spans="2:5">
      <c r="B4771" s="15" t="s">
        <v>6511</v>
      </c>
      <c r="C4771" s="15" t="s">
        <v>6512</v>
      </c>
      <c r="D4771" s="15" t="s">
        <v>919</v>
      </c>
      <c r="E4771" s="15" t="s">
        <v>954</v>
      </c>
    </row>
    <row r="4772" spans="2:5">
      <c r="B4772" s="15" t="s">
        <v>6511</v>
      </c>
      <c r="C4772" s="15" t="s">
        <v>6512</v>
      </c>
      <c r="D4772" s="15" t="s">
        <v>955</v>
      </c>
      <c r="E4772" s="15" t="s">
        <v>956</v>
      </c>
    </row>
    <row r="4773" ht="15.95" spans="2:2">
      <c r="B4773" s="122" t="s">
        <v>6513</v>
      </c>
    </row>
    <row r="4774" spans="2:5">
      <c r="B4774" s="15" t="s">
        <v>6514</v>
      </c>
      <c r="C4774" s="15" t="s">
        <v>6515</v>
      </c>
      <c r="D4774" s="15" t="s">
        <v>770</v>
      </c>
      <c r="E4774" s="15" t="s">
        <v>6516</v>
      </c>
    </row>
    <row r="4775" spans="2:5">
      <c r="B4775" s="15" t="s">
        <v>6514</v>
      </c>
      <c r="C4775" s="15" t="s">
        <v>6515</v>
      </c>
      <c r="D4775" s="15" t="s">
        <v>772</v>
      </c>
      <c r="E4775" s="15" t="s">
        <v>1203</v>
      </c>
    </row>
    <row r="4776" spans="2:5">
      <c r="B4776" s="15" t="s">
        <v>6514</v>
      </c>
      <c r="C4776" s="15" t="s">
        <v>6515</v>
      </c>
      <c r="D4776" s="15" t="s">
        <v>774</v>
      </c>
      <c r="E4776" s="15" t="s">
        <v>3413</v>
      </c>
    </row>
    <row r="4777" ht="15.95" spans="2:2">
      <c r="B4777" s="122" t="s">
        <v>6517</v>
      </c>
    </row>
    <row r="4778" spans="2:5">
      <c r="B4778" s="15" t="s">
        <v>6518</v>
      </c>
      <c r="C4778" s="15" t="s">
        <v>6519</v>
      </c>
      <c r="D4778" s="15" t="s">
        <v>1432</v>
      </c>
      <c r="E4778" s="15" t="s">
        <v>1439</v>
      </c>
    </row>
    <row r="4779" spans="2:5">
      <c r="B4779" s="15" t="s">
        <v>6518</v>
      </c>
      <c r="C4779" s="15" t="s">
        <v>6519</v>
      </c>
      <c r="D4779" s="15" t="s">
        <v>723</v>
      </c>
      <c r="E4779" s="15" t="s">
        <v>6520</v>
      </c>
    </row>
    <row r="4780" spans="2:5">
      <c r="B4780" s="15" t="s">
        <v>6518</v>
      </c>
      <c r="C4780" s="15" t="s">
        <v>6519</v>
      </c>
      <c r="D4780" s="15" t="s">
        <v>725</v>
      </c>
      <c r="E4780" s="15" t="s">
        <v>6521</v>
      </c>
    </row>
    <row r="4781" spans="2:5">
      <c r="B4781" s="15" t="s">
        <v>6518</v>
      </c>
      <c r="C4781" s="15" t="s">
        <v>6519</v>
      </c>
      <c r="D4781" s="15" t="s">
        <v>727</v>
      </c>
      <c r="E4781" s="15" t="s">
        <v>6522</v>
      </c>
    </row>
    <row r="4782" spans="2:5">
      <c r="B4782" s="15" t="s">
        <v>6518</v>
      </c>
      <c r="C4782" s="15" t="s">
        <v>6519</v>
      </c>
      <c r="D4782" s="15" t="s">
        <v>729</v>
      </c>
      <c r="E4782" s="15" t="s">
        <v>6523</v>
      </c>
    </row>
    <row r="4783" spans="2:5">
      <c r="B4783" s="15" t="s">
        <v>6518</v>
      </c>
      <c r="C4783" s="15" t="s">
        <v>6519</v>
      </c>
      <c r="D4783" s="15" t="s">
        <v>760</v>
      </c>
      <c r="E4783" s="15" t="s">
        <v>6524</v>
      </c>
    </row>
    <row r="4784" spans="2:5">
      <c r="B4784" s="15" t="s">
        <v>6518</v>
      </c>
      <c r="C4784" s="15" t="s">
        <v>6519</v>
      </c>
      <c r="D4784" s="15" t="s">
        <v>762</v>
      </c>
      <c r="E4784" s="15" t="s">
        <v>6525</v>
      </c>
    </row>
    <row r="4785" ht="15.95" spans="2:2">
      <c r="B4785" s="122" t="s">
        <v>6526</v>
      </c>
    </row>
    <row r="4786" spans="2:5">
      <c r="B4786" s="15" t="s">
        <v>6527</v>
      </c>
      <c r="C4786" s="15" t="s">
        <v>6528</v>
      </c>
      <c r="D4786" s="15" t="s">
        <v>770</v>
      </c>
      <c r="E4786" s="15" t="s">
        <v>6529</v>
      </c>
    </row>
    <row r="4787" spans="2:5">
      <c r="B4787" s="15" t="s">
        <v>6527</v>
      </c>
      <c r="C4787" s="15" t="s">
        <v>6528</v>
      </c>
      <c r="D4787" s="15" t="s">
        <v>772</v>
      </c>
      <c r="E4787" s="15" t="s">
        <v>6530</v>
      </c>
    </row>
    <row r="4788" spans="2:5">
      <c r="B4788" s="15" t="s">
        <v>6527</v>
      </c>
      <c r="C4788" s="15" t="s">
        <v>6528</v>
      </c>
      <c r="D4788" s="15" t="s">
        <v>774</v>
      </c>
      <c r="E4788" s="15" t="s">
        <v>6531</v>
      </c>
    </row>
    <row r="4789" ht="15.95" spans="2:2">
      <c r="B4789" s="122" t="s">
        <v>6532</v>
      </c>
    </row>
    <row r="4790" spans="2:5">
      <c r="B4790" s="15" t="s">
        <v>6533</v>
      </c>
      <c r="C4790" s="15" t="s">
        <v>1089</v>
      </c>
      <c r="D4790" s="15" t="s">
        <v>933</v>
      </c>
      <c r="E4790" s="15" t="s">
        <v>2585</v>
      </c>
    </row>
    <row r="4791" spans="2:5">
      <c r="B4791" s="15" t="s">
        <v>6533</v>
      </c>
      <c r="C4791" s="15" t="s">
        <v>1089</v>
      </c>
      <c r="D4791" s="15" t="s">
        <v>917</v>
      </c>
      <c r="E4791" s="15" t="s">
        <v>918</v>
      </c>
    </row>
    <row r="4792" spans="2:5">
      <c r="B4792" s="15" t="s">
        <v>6533</v>
      </c>
      <c r="C4792" s="15" t="s">
        <v>1089</v>
      </c>
      <c r="D4792" s="15" t="s">
        <v>919</v>
      </c>
      <c r="E4792" s="15" t="s">
        <v>1090</v>
      </c>
    </row>
    <row r="4793" spans="2:5">
      <c r="B4793" s="15" t="s">
        <v>6533</v>
      </c>
      <c r="C4793" s="15" t="s">
        <v>1089</v>
      </c>
      <c r="D4793" s="15" t="s">
        <v>1091</v>
      </c>
      <c r="E4793" s="15" t="s">
        <v>1092</v>
      </c>
    </row>
    <row r="4794" spans="2:5">
      <c r="B4794" s="15" t="s">
        <v>6533</v>
      </c>
      <c r="C4794" s="15" t="s">
        <v>1089</v>
      </c>
      <c r="D4794" s="15" t="s">
        <v>921</v>
      </c>
      <c r="E4794" s="15" t="s">
        <v>1093</v>
      </c>
    </row>
    <row r="4795" spans="2:5">
      <c r="B4795" s="15" t="s">
        <v>6533</v>
      </c>
      <c r="C4795" s="15" t="s">
        <v>1089</v>
      </c>
      <c r="D4795" s="15" t="s">
        <v>923</v>
      </c>
      <c r="E4795" s="15" t="s">
        <v>1094</v>
      </c>
    </row>
    <row r="4796" spans="2:5">
      <c r="B4796" s="15" t="s">
        <v>6533</v>
      </c>
      <c r="C4796" s="15" t="s">
        <v>1089</v>
      </c>
      <c r="D4796" s="15" t="s">
        <v>1095</v>
      </c>
      <c r="E4796" s="15" t="s">
        <v>1096</v>
      </c>
    </row>
    <row r="4797" ht="15.95" spans="2:2">
      <c r="B4797" s="122" t="s">
        <v>6534</v>
      </c>
    </row>
    <row r="4798" spans="2:5">
      <c r="B4798" s="15" t="s">
        <v>6535</v>
      </c>
      <c r="C4798" s="15" t="s">
        <v>6536</v>
      </c>
      <c r="D4798" s="15" t="s">
        <v>770</v>
      </c>
      <c r="E4798" s="15" t="s">
        <v>6537</v>
      </c>
    </row>
    <row r="4799" spans="2:5">
      <c r="B4799" s="15" t="s">
        <v>6535</v>
      </c>
      <c r="C4799" s="15" t="s">
        <v>6536</v>
      </c>
      <c r="D4799" s="15" t="s">
        <v>772</v>
      </c>
      <c r="E4799" s="15" t="s">
        <v>6538</v>
      </c>
    </row>
    <row r="4800" spans="2:5">
      <c r="B4800" s="15" t="s">
        <v>6535</v>
      </c>
      <c r="C4800" s="15" t="s">
        <v>6536</v>
      </c>
      <c r="D4800" s="15" t="s">
        <v>774</v>
      </c>
      <c r="E4800" s="15" t="s">
        <v>235</v>
      </c>
    </row>
    <row r="4801" ht="15.95" spans="2:2">
      <c r="B4801" s="122" t="s">
        <v>6539</v>
      </c>
    </row>
    <row r="4802" spans="2:5">
      <c r="B4802" s="15" t="s">
        <v>6540</v>
      </c>
      <c r="C4802" s="15" t="s">
        <v>6541</v>
      </c>
      <c r="D4802" s="15" t="s">
        <v>635</v>
      </c>
      <c r="E4802" s="15" t="s">
        <v>6542</v>
      </c>
    </row>
    <row r="4803" spans="2:5">
      <c r="B4803" s="15" t="s">
        <v>6540</v>
      </c>
      <c r="C4803" s="15" t="s">
        <v>6541</v>
      </c>
      <c r="D4803" s="15" t="s">
        <v>659</v>
      </c>
      <c r="E4803" s="15" t="s">
        <v>867</v>
      </c>
    </row>
    <row r="4804" ht="15.95" spans="2:2">
      <c r="B4804" s="122" t="s">
        <v>6543</v>
      </c>
    </row>
    <row r="4805" spans="2:5">
      <c r="B4805" s="15" t="s">
        <v>6544</v>
      </c>
      <c r="C4805" s="15" t="s">
        <v>6544</v>
      </c>
      <c r="D4805" s="15" t="s">
        <v>725</v>
      </c>
      <c r="E4805" s="15" t="s">
        <v>6545</v>
      </c>
    </row>
    <row r="4806" spans="2:5">
      <c r="B4806" s="15" t="s">
        <v>6544</v>
      </c>
      <c r="C4806" s="15" t="s">
        <v>6544</v>
      </c>
      <c r="D4806" s="15" t="s">
        <v>727</v>
      </c>
      <c r="E4806" s="15" t="s">
        <v>6546</v>
      </c>
    </row>
    <row r="4807" spans="2:5">
      <c r="B4807" s="15" t="s">
        <v>6544</v>
      </c>
      <c r="C4807" s="15" t="s">
        <v>6544</v>
      </c>
      <c r="D4807" s="15" t="s">
        <v>729</v>
      </c>
      <c r="E4807" s="15" t="s">
        <v>6547</v>
      </c>
    </row>
    <row r="4808" spans="2:5">
      <c r="B4808" s="15" t="s">
        <v>6544</v>
      </c>
      <c r="C4808" s="15" t="s">
        <v>6544</v>
      </c>
      <c r="D4808" s="15" t="s">
        <v>760</v>
      </c>
      <c r="E4808" s="15" t="s">
        <v>6548</v>
      </c>
    </row>
    <row r="4809" spans="2:5">
      <c r="B4809" s="15" t="s">
        <v>6544</v>
      </c>
      <c r="C4809" s="15" t="s">
        <v>6544</v>
      </c>
      <c r="D4809" s="15" t="s">
        <v>762</v>
      </c>
      <c r="E4809" s="15" t="s">
        <v>6549</v>
      </c>
    </row>
    <row r="4810" spans="2:5">
      <c r="B4810" s="15" t="s">
        <v>6544</v>
      </c>
      <c r="C4810" s="15" t="s">
        <v>6544</v>
      </c>
      <c r="D4810" s="15" t="s">
        <v>764</v>
      </c>
      <c r="E4810" s="15" t="s">
        <v>6550</v>
      </c>
    </row>
    <row r="4811" spans="2:5">
      <c r="B4811" s="15" t="s">
        <v>6544</v>
      </c>
      <c r="C4811" s="15" t="s">
        <v>6544</v>
      </c>
      <c r="D4811" s="15" t="s">
        <v>1587</v>
      </c>
      <c r="E4811" s="15" t="s">
        <v>235</v>
      </c>
    </row>
    <row r="4812" ht="15.95" spans="2:2">
      <c r="B4812" s="122" t="s">
        <v>6551</v>
      </c>
    </row>
    <row r="4813" spans="2:5">
      <c r="B4813" s="15" t="s">
        <v>6552</v>
      </c>
      <c r="C4813" s="15" t="s">
        <v>6553</v>
      </c>
      <c r="D4813" s="15" t="s">
        <v>635</v>
      </c>
      <c r="E4813" s="15" t="s">
        <v>6554</v>
      </c>
    </row>
    <row r="4814" spans="2:5">
      <c r="B4814" s="15" t="s">
        <v>6552</v>
      </c>
      <c r="C4814" s="15" t="s">
        <v>6553</v>
      </c>
      <c r="D4814" s="15" t="s">
        <v>659</v>
      </c>
      <c r="E4814" s="15" t="s">
        <v>6555</v>
      </c>
    </row>
    <row r="4815" ht="15.95" spans="2:2">
      <c r="B4815" s="122" t="s">
        <v>6556</v>
      </c>
    </row>
    <row r="4816" spans="2:5">
      <c r="B4816" s="15" t="s">
        <v>6557</v>
      </c>
      <c r="C4816" s="15" t="s">
        <v>6557</v>
      </c>
      <c r="D4816" s="15" t="s">
        <v>723</v>
      </c>
      <c r="E4816" s="15" t="s">
        <v>1201</v>
      </c>
    </row>
    <row r="4817" spans="2:5">
      <c r="B4817" s="15" t="s">
        <v>6557</v>
      </c>
      <c r="C4817" s="15" t="s">
        <v>6557</v>
      </c>
      <c r="D4817" s="15" t="s">
        <v>725</v>
      </c>
      <c r="E4817" s="15" t="s">
        <v>1203</v>
      </c>
    </row>
    <row r="4818" spans="2:5">
      <c r="B4818" s="15" t="s">
        <v>6557</v>
      </c>
      <c r="C4818" s="15" t="s">
        <v>6557</v>
      </c>
      <c r="D4818" s="15" t="s">
        <v>727</v>
      </c>
      <c r="E4818" s="15" t="s">
        <v>3413</v>
      </c>
    </row>
    <row r="4819" ht="15.95" spans="2:2">
      <c r="B4819" s="122" t="s">
        <v>6558</v>
      </c>
    </row>
    <row r="4820" spans="2:5">
      <c r="B4820" s="15" t="s">
        <v>6559</v>
      </c>
      <c r="C4820" s="15" t="s">
        <v>3540</v>
      </c>
      <c r="D4820" s="15" t="s">
        <v>770</v>
      </c>
      <c r="E4820" s="15" t="s">
        <v>3541</v>
      </c>
    </row>
    <row r="4821" spans="2:5">
      <c r="B4821" s="15" t="s">
        <v>6559</v>
      </c>
      <c r="C4821" s="15" t="s">
        <v>3540</v>
      </c>
      <c r="D4821" s="15" t="s">
        <v>772</v>
      </c>
      <c r="E4821" s="15" t="s">
        <v>3542</v>
      </c>
    </row>
    <row r="4822" spans="2:5">
      <c r="B4822" s="15" t="s">
        <v>6559</v>
      </c>
      <c r="C4822" s="15" t="s">
        <v>3540</v>
      </c>
      <c r="D4822" s="15" t="s">
        <v>774</v>
      </c>
      <c r="E4822" s="15" t="s">
        <v>3543</v>
      </c>
    </row>
    <row r="4823" ht="15.95" spans="2:2">
      <c r="B4823" s="122" t="s">
        <v>6560</v>
      </c>
    </row>
    <row r="4824" spans="2:5">
      <c r="B4824" s="15" t="s">
        <v>6561</v>
      </c>
      <c r="C4824" s="15" t="s">
        <v>6562</v>
      </c>
      <c r="D4824" s="15" t="s">
        <v>785</v>
      </c>
      <c r="E4824" s="15" t="s">
        <v>1814</v>
      </c>
    </row>
    <row r="4825" spans="2:5">
      <c r="B4825" s="15" t="s">
        <v>6561</v>
      </c>
      <c r="C4825" s="15" t="s">
        <v>6562</v>
      </c>
      <c r="D4825" s="15" t="s">
        <v>787</v>
      </c>
      <c r="E4825" s="15" t="s">
        <v>6468</v>
      </c>
    </row>
    <row r="4826" spans="2:5">
      <c r="B4826" s="15" t="s">
        <v>6561</v>
      </c>
      <c r="C4826" s="15" t="s">
        <v>6562</v>
      </c>
      <c r="D4826" s="15" t="s">
        <v>789</v>
      </c>
      <c r="E4826" s="15" t="s">
        <v>6563</v>
      </c>
    </row>
    <row r="4827" spans="2:5">
      <c r="B4827" s="15" t="s">
        <v>6561</v>
      </c>
      <c r="C4827" s="15" t="s">
        <v>6562</v>
      </c>
      <c r="D4827" s="15" t="s">
        <v>791</v>
      </c>
      <c r="E4827" s="15" t="s">
        <v>6564</v>
      </c>
    </row>
    <row r="4828" spans="2:5">
      <c r="B4828" s="15" t="s">
        <v>6561</v>
      </c>
      <c r="C4828" s="15" t="s">
        <v>6562</v>
      </c>
      <c r="D4828" s="15" t="s">
        <v>793</v>
      </c>
      <c r="E4828" s="15" t="s">
        <v>1815</v>
      </c>
    </row>
    <row r="4829" spans="2:5">
      <c r="B4829" s="15" t="s">
        <v>6561</v>
      </c>
      <c r="C4829" s="15" t="s">
        <v>6562</v>
      </c>
      <c r="D4829" s="15" t="s">
        <v>795</v>
      </c>
      <c r="E4829" s="15" t="s">
        <v>1816</v>
      </c>
    </row>
    <row r="4830" spans="2:5">
      <c r="B4830" s="15" t="s">
        <v>6561</v>
      </c>
      <c r="C4830" s="15" t="s">
        <v>6562</v>
      </c>
      <c r="D4830" s="15" t="s">
        <v>6565</v>
      </c>
      <c r="E4830" s="15" t="s">
        <v>1817</v>
      </c>
    </row>
    <row r="4831" spans="2:5">
      <c r="B4831" s="15" t="s">
        <v>6561</v>
      </c>
      <c r="C4831" s="15" t="s">
        <v>6562</v>
      </c>
      <c r="D4831" s="15" t="s">
        <v>6566</v>
      </c>
      <c r="E4831" s="15" t="s">
        <v>1821</v>
      </c>
    </row>
    <row r="4832" spans="2:5">
      <c r="B4832" s="15" t="s">
        <v>6561</v>
      </c>
      <c r="C4832" s="15" t="s">
        <v>6562</v>
      </c>
      <c r="D4832" s="15" t="s">
        <v>6567</v>
      </c>
      <c r="E4832" s="15" t="s">
        <v>1818</v>
      </c>
    </row>
    <row r="4833" spans="2:5">
      <c r="B4833" s="15" t="s">
        <v>6561</v>
      </c>
      <c r="C4833" s="15" t="s">
        <v>6562</v>
      </c>
      <c r="D4833" s="15" t="s">
        <v>6568</v>
      </c>
      <c r="E4833" s="15" t="s">
        <v>1819</v>
      </c>
    </row>
    <row r="4834" spans="2:5">
      <c r="B4834" s="15" t="s">
        <v>6561</v>
      </c>
      <c r="C4834" s="15" t="s">
        <v>6562</v>
      </c>
      <c r="D4834" s="15" t="s">
        <v>797</v>
      </c>
      <c r="E4834" s="15" t="s">
        <v>1822</v>
      </c>
    </row>
    <row r="4835" spans="2:5">
      <c r="B4835" s="15" t="s">
        <v>6561</v>
      </c>
      <c r="C4835" s="15" t="s">
        <v>6562</v>
      </c>
      <c r="D4835" s="15" t="s">
        <v>805</v>
      </c>
      <c r="E4835" s="15" t="s">
        <v>6569</v>
      </c>
    </row>
    <row r="4836" spans="2:5">
      <c r="B4836" s="15" t="s">
        <v>6561</v>
      </c>
      <c r="C4836" s="15" t="s">
        <v>6562</v>
      </c>
      <c r="D4836" s="15" t="s">
        <v>5353</v>
      </c>
      <c r="E4836" s="15" t="s">
        <v>6570</v>
      </c>
    </row>
    <row r="4837" ht="15.95" spans="2:2">
      <c r="B4837" s="122" t="s">
        <v>6571</v>
      </c>
    </row>
    <row r="4838" spans="2:5">
      <c r="B4838" s="15" t="s">
        <v>6572</v>
      </c>
      <c r="C4838" s="15" t="s">
        <v>6573</v>
      </c>
      <c r="D4838" s="15" t="s">
        <v>770</v>
      </c>
      <c r="E4838" s="15" t="s">
        <v>2394</v>
      </c>
    </row>
    <row r="4839" spans="2:5">
      <c r="B4839" s="15" t="s">
        <v>6572</v>
      </c>
      <c r="C4839" s="15" t="s">
        <v>6573</v>
      </c>
      <c r="D4839" s="15" t="s">
        <v>772</v>
      </c>
      <c r="E4839" s="15" t="s">
        <v>2395</v>
      </c>
    </row>
    <row r="4840" spans="2:5">
      <c r="B4840" s="15" t="s">
        <v>6572</v>
      </c>
      <c r="C4840" s="15" t="s">
        <v>6573</v>
      </c>
      <c r="D4840" s="15" t="s">
        <v>774</v>
      </c>
      <c r="E4840" s="15" t="s">
        <v>3334</v>
      </c>
    </row>
    <row r="4841" spans="2:5">
      <c r="B4841" s="15" t="s">
        <v>6572</v>
      </c>
      <c r="C4841" s="15" t="s">
        <v>6573</v>
      </c>
      <c r="D4841" s="15" t="s">
        <v>828</v>
      </c>
      <c r="E4841" s="15" t="s">
        <v>6574</v>
      </c>
    </row>
    <row r="4842" spans="2:5">
      <c r="B4842" s="15" t="s">
        <v>6572</v>
      </c>
      <c r="C4842" s="15" t="s">
        <v>6573</v>
      </c>
      <c r="D4842" s="15" t="s">
        <v>901</v>
      </c>
      <c r="E4842" s="15" t="s">
        <v>6575</v>
      </c>
    </row>
    <row r="4843" spans="2:5">
      <c r="B4843" s="15" t="s">
        <v>6572</v>
      </c>
      <c r="C4843" s="15" t="s">
        <v>6573</v>
      </c>
      <c r="D4843" s="15" t="s">
        <v>776</v>
      </c>
      <c r="E4843" s="15" t="s">
        <v>6576</v>
      </c>
    </row>
    <row r="4844" spans="2:5">
      <c r="B4844" s="15" t="s">
        <v>6572</v>
      </c>
      <c r="C4844" s="15" t="s">
        <v>6573</v>
      </c>
      <c r="D4844" s="15" t="s">
        <v>1290</v>
      </c>
      <c r="E4844" s="15" t="s">
        <v>6577</v>
      </c>
    </row>
    <row r="4845" spans="2:5">
      <c r="B4845" s="15" t="s">
        <v>6572</v>
      </c>
      <c r="C4845" s="15" t="s">
        <v>6573</v>
      </c>
      <c r="D4845" s="15" t="s">
        <v>1409</v>
      </c>
      <c r="E4845" s="15" t="s">
        <v>6578</v>
      </c>
    </row>
    <row r="4846" spans="2:5">
      <c r="B4846" s="15" t="s">
        <v>6572</v>
      </c>
      <c r="C4846" s="15" t="s">
        <v>6573</v>
      </c>
      <c r="D4846" s="15" t="s">
        <v>1411</v>
      </c>
      <c r="E4846" s="15" t="s">
        <v>6579</v>
      </c>
    </row>
    <row r="4847" spans="2:5">
      <c r="B4847" s="15" t="s">
        <v>6572</v>
      </c>
      <c r="C4847" s="15" t="s">
        <v>6573</v>
      </c>
      <c r="D4847" s="15" t="s">
        <v>933</v>
      </c>
      <c r="E4847" s="15" t="s">
        <v>6580</v>
      </c>
    </row>
    <row r="4848" ht="15.95" spans="2:2">
      <c r="B4848" s="122" t="s">
        <v>6581</v>
      </c>
    </row>
    <row r="4849" spans="2:5">
      <c r="B4849" s="15" t="s">
        <v>6582</v>
      </c>
      <c r="C4849" s="15" t="s">
        <v>6583</v>
      </c>
      <c r="D4849" s="15" t="s">
        <v>723</v>
      </c>
      <c r="E4849" s="15" t="s">
        <v>6584</v>
      </c>
    </row>
    <row r="4850" spans="2:5">
      <c r="B4850" s="15" t="s">
        <v>6582</v>
      </c>
      <c r="C4850" s="15" t="s">
        <v>6583</v>
      </c>
      <c r="D4850" s="15" t="s">
        <v>6585</v>
      </c>
      <c r="E4850" s="15" t="s">
        <v>6586</v>
      </c>
    </row>
    <row r="4851" spans="2:5">
      <c r="B4851" s="15" t="s">
        <v>6582</v>
      </c>
      <c r="C4851" s="15" t="s">
        <v>6583</v>
      </c>
      <c r="D4851" s="15" t="s">
        <v>6587</v>
      </c>
      <c r="E4851" s="15" t="s">
        <v>6588</v>
      </c>
    </row>
    <row r="4852" spans="2:5">
      <c r="B4852" s="15" t="s">
        <v>6582</v>
      </c>
      <c r="C4852" s="15" t="s">
        <v>6583</v>
      </c>
      <c r="D4852" s="15" t="s">
        <v>6589</v>
      </c>
      <c r="E4852" s="15" t="s">
        <v>6590</v>
      </c>
    </row>
    <row r="4853" spans="2:5">
      <c r="B4853" s="15" t="s">
        <v>6582</v>
      </c>
      <c r="C4853" s="15" t="s">
        <v>6583</v>
      </c>
      <c r="D4853" s="15" t="s">
        <v>6591</v>
      </c>
      <c r="E4853" s="15" t="s">
        <v>6592</v>
      </c>
    </row>
    <row r="4854" spans="2:5">
      <c r="B4854" s="15" t="s">
        <v>6582</v>
      </c>
      <c r="C4854" s="15" t="s">
        <v>6583</v>
      </c>
      <c r="D4854" s="15" t="s">
        <v>6593</v>
      </c>
      <c r="E4854" s="15" t="s">
        <v>6594</v>
      </c>
    </row>
    <row r="4855" spans="2:5">
      <c r="B4855" s="15" t="s">
        <v>6582</v>
      </c>
      <c r="C4855" s="15" t="s">
        <v>6583</v>
      </c>
      <c r="D4855" s="15" t="s">
        <v>6595</v>
      </c>
      <c r="E4855" s="15" t="s">
        <v>6596</v>
      </c>
    </row>
    <row r="4856" ht="15.95" spans="2:2">
      <c r="B4856" s="122" t="s">
        <v>6597</v>
      </c>
    </row>
    <row r="4857" spans="2:5">
      <c r="B4857" s="15" t="s">
        <v>6598</v>
      </c>
      <c r="C4857" s="15" t="s">
        <v>6599</v>
      </c>
      <c r="D4857" s="15" t="s">
        <v>635</v>
      </c>
      <c r="E4857" s="15" t="s">
        <v>6600</v>
      </c>
    </row>
    <row r="4858" spans="2:5">
      <c r="B4858" s="15" t="s">
        <v>6598</v>
      </c>
      <c r="C4858" s="15" t="s">
        <v>6599</v>
      </c>
      <c r="D4858" s="15" t="s">
        <v>659</v>
      </c>
      <c r="E4858" s="15" t="s">
        <v>6601</v>
      </c>
    </row>
    <row r="4859" spans="2:5">
      <c r="B4859" s="15" t="s">
        <v>6598</v>
      </c>
      <c r="C4859" s="15" t="s">
        <v>6599</v>
      </c>
      <c r="D4859" s="15" t="s">
        <v>661</v>
      </c>
      <c r="E4859" s="15" t="s">
        <v>6602</v>
      </c>
    </row>
    <row r="4860" spans="2:5">
      <c r="B4860" s="15" t="s">
        <v>6598</v>
      </c>
      <c r="C4860" s="15" t="s">
        <v>6599</v>
      </c>
      <c r="D4860" s="15" t="s">
        <v>663</v>
      </c>
      <c r="E4860" s="15" t="s">
        <v>6603</v>
      </c>
    </row>
    <row r="4861" spans="2:5">
      <c r="B4861" s="15" t="s">
        <v>6598</v>
      </c>
      <c r="C4861" s="15" t="s">
        <v>6599</v>
      </c>
      <c r="D4861" s="15" t="s">
        <v>665</v>
      </c>
      <c r="E4861" s="15" t="s">
        <v>2460</v>
      </c>
    </row>
    <row r="4862" spans="2:5">
      <c r="B4862" s="15" t="s">
        <v>6598</v>
      </c>
      <c r="C4862" s="15" t="s">
        <v>6599</v>
      </c>
      <c r="D4862" s="15" t="s">
        <v>705</v>
      </c>
      <c r="E4862" s="15" t="s">
        <v>6604</v>
      </c>
    </row>
    <row r="4863" spans="2:5">
      <c r="B4863" s="15" t="s">
        <v>6598</v>
      </c>
      <c r="C4863" s="15" t="s">
        <v>6599</v>
      </c>
      <c r="D4863" s="15" t="s">
        <v>709</v>
      </c>
      <c r="E4863" s="15" t="s">
        <v>6605</v>
      </c>
    </row>
    <row r="4864" ht="15.95" spans="2:2">
      <c r="B4864" s="122" t="s">
        <v>6606</v>
      </c>
    </row>
    <row r="4865" spans="2:5">
      <c r="B4865" s="15" t="s">
        <v>6607</v>
      </c>
      <c r="C4865" s="15" t="s">
        <v>6608</v>
      </c>
      <c r="D4865" s="15" t="s">
        <v>770</v>
      </c>
      <c r="E4865" s="15" t="s">
        <v>5306</v>
      </c>
    </row>
    <row r="4866" spans="2:5">
      <c r="B4866" s="15" t="s">
        <v>6607</v>
      </c>
      <c r="C4866" s="15" t="s">
        <v>6608</v>
      </c>
      <c r="D4866" s="15" t="s">
        <v>2332</v>
      </c>
      <c r="E4866" s="15" t="s">
        <v>4545</v>
      </c>
    </row>
    <row r="4867" spans="2:5">
      <c r="B4867" s="15" t="s">
        <v>6607</v>
      </c>
      <c r="C4867" s="15" t="s">
        <v>6608</v>
      </c>
      <c r="D4867" s="15" t="s">
        <v>2334</v>
      </c>
      <c r="E4867" s="15" t="s">
        <v>6609</v>
      </c>
    </row>
    <row r="4868" spans="2:5">
      <c r="B4868" s="15" t="s">
        <v>6607</v>
      </c>
      <c r="C4868" s="15" t="s">
        <v>6608</v>
      </c>
      <c r="D4868" s="15" t="s">
        <v>774</v>
      </c>
      <c r="E4868" s="15" t="s">
        <v>5314</v>
      </c>
    </row>
    <row r="4869" spans="2:5">
      <c r="B4869" s="15" t="s">
        <v>6607</v>
      </c>
      <c r="C4869" s="15" t="s">
        <v>6608</v>
      </c>
      <c r="D4869" s="15" t="s">
        <v>6610</v>
      </c>
      <c r="E4869" s="15" t="s">
        <v>5314</v>
      </c>
    </row>
    <row r="4870" spans="2:5">
      <c r="B4870" s="15" t="s">
        <v>6607</v>
      </c>
      <c r="C4870" s="15" t="s">
        <v>6608</v>
      </c>
      <c r="D4870" s="15" t="s">
        <v>6611</v>
      </c>
      <c r="E4870" s="15" t="s">
        <v>5941</v>
      </c>
    </row>
    <row r="4871" ht="15.95" spans="2:2">
      <c r="B4871" s="122" t="s">
        <v>6612</v>
      </c>
    </row>
    <row r="4872" spans="2:5">
      <c r="B4872" s="15" t="s">
        <v>6613</v>
      </c>
      <c r="C4872" s="15" t="s">
        <v>6613</v>
      </c>
      <c r="D4872" s="15" t="s">
        <v>723</v>
      </c>
      <c r="E4872" s="15" t="s">
        <v>6614</v>
      </c>
    </row>
    <row r="4873" spans="2:5">
      <c r="B4873" s="15" t="s">
        <v>6613</v>
      </c>
      <c r="C4873" s="15" t="s">
        <v>6613</v>
      </c>
      <c r="D4873" s="15" t="s">
        <v>725</v>
      </c>
      <c r="E4873" s="15" t="s">
        <v>6615</v>
      </c>
    </row>
    <row r="4874" ht="15.95" spans="2:2">
      <c r="B4874" s="122" t="s">
        <v>6616</v>
      </c>
    </row>
    <row r="4875" spans="2:5">
      <c r="B4875" s="15" t="s">
        <v>6617</v>
      </c>
      <c r="C4875" s="15" t="s">
        <v>6618</v>
      </c>
      <c r="D4875" s="15" t="s">
        <v>6619</v>
      </c>
      <c r="E4875" s="15" t="s">
        <v>6620</v>
      </c>
    </row>
    <row r="4876" spans="2:5">
      <c r="B4876" s="15" t="s">
        <v>6617</v>
      </c>
      <c r="C4876" s="15" t="s">
        <v>6618</v>
      </c>
      <c r="D4876" s="15" t="s">
        <v>6621</v>
      </c>
      <c r="E4876" s="15" t="s">
        <v>6622</v>
      </c>
    </row>
    <row r="4877" spans="2:5">
      <c r="B4877" s="15" t="s">
        <v>6617</v>
      </c>
      <c r="C4877" s="15" t="s">
        <v>6618</v>
      </c>
      <c r="D4877" s="15" t="s">
        <v>6623</v>
      </c>
      <c r="E4877" s="15" t="s">
        <v>6624</v>
      </c>
    </row>
    <row r="4878" spans="2:5">
      <c r="B4878" s="15" t="s">
        <v>6617</v>
      </c>
      <c r="C4878" s="15" t="s">
        <v>6618</v>
      </c>
      <c r="D4878" s="15" t="s">
        <v>6625</v>
      </c>
      <c r="E4878" s="15" t="s">
        <v>6626</v>
      </c>
    </row>
    <row r="4879" spans="2:5">
      <c r="B4879" s="15" t="s">
        <v>6617</v>
      </c>
      <c r="C4879" s="15" t="s">
        <v>6618</v>
      </c>
      <c r="D4879" s="15" t="s">
        <v>6627</v>
      </c>
      <c r="E4879" s="15" t="s">
        <v>6628</v>
      </c>
    </row>
    <row r="4880" spans="2:5">
      <c r="B4880" s="15" t="s">
        <v>6617</v>
      </c>
      <c r="C4880" s="15" t="s">
        <v>6618</v>
      </c>
      <c r="D4880" s="15" t="s">
        <v>6629</v>
      </c>
      <c r="E4880" s="15" t="s">
        <v>6630</v>
      </c>
    </row>
    <row r="4881" spans="2:5">
      <c r="B4881" s="15" t="s">
        <v>6617</v>
      </c>
      <c r="C4881" s="15" t="s">
        <v>6618</v>
      </c>
      <c r="D4881" s="15" t="s">
        <v>6631</v>
      </c>
      <c r="E4881" s="15" t="s">
        <v>6632</v>
      </c>
    </row>
    <row r="4882" spans="2:5">
      <c r="B4882" s="15" t="s">
        <v>6617</v>
      </c>
      <c r="C4882" s="15" t="s">
        <v>6618</v>
      </c>
      <c r="D4882" s="15" t="s">
        <v>6633</v>
      </c>
      <c r="E4882" s="15" t="s">
        <v>6634</v>
      </c>
    </row>
    <row r="4883" spans="2:5">
      <c r="B4883" s="15" t="s">
        <v>6617</v>
      </c>
      <c r="C4883" s="15" t="s">
        <v>6618</v>
      </c>
      <c r="D4883" s="15" t="s">
        <v>6635</v>
      </c>
      <c r="E4883" s="15" t="s">
        <v>6636</v>
      </c>
    </row>
    <row r="4884" spans="2:5">
      <c r="B4884" s="15" t="s">
        <v>6617</v>
      </c>
      <c r="C4884" s="15" t="s">
        <v>6618</v>
      </c>
      <c r="D4884" s="15" t="s">
        <v>6637</v>
      </c>
      <c r="E4884" s="15" t="s">
        <v>6638</v>
      </c>
    </row>
    <row r="4885" spans="2:5">
      <c r="B4885" s="15" t="s">
        <v>6617</v>
      </c>
      <c r="C4885" s="15" t="s">
        <v>6618</v>
      </c>
      <c r="D4885" s="15" t="s">
        <v>6639</v>
      </c>
      <c r="E4885" s="15" t="s">
        <v>6640</v>
      </c>
    </row>
    <row r="4886" spans="2:5">
      <c r="B4886" s="15" t="s">
        <v>6617</v>
      </c>
      <c r="C4886" s="15" t="s">
        <v>6618</v>
      </c>
      <c r="D4886" s="15" t="s">
        <v>6641</v>
      </c>
      <c r="E4886" s="15" t="s">
        <v>235</v>
      </c>
    </row>
    <row r="4887" ht="15.95" spans="2:2">
      <c r="B4887" s="122" t="s">
        <v>6642</v>
      </c>
    </row>
    <row r="4888" spans="2:5">
      <c r="B4888" s="15" t="s">
        <v>6643</v>
      </c>
      <c r="C4888" s="15" t="s">
        <v>6644</v>
      </c>
      <c r="D4888" s="15" t="s">
        <v>785</v>
      </c>
      <c r="E4888" s="15" t="s">
        <v>786</v>
      </c>
    </row>
    <row r="4889" spans="2:5">
      <c r="B4889" s="15" t="s">
        <v>6643</v>
      </c>
      <c r="C4889" s="15" t="s">
        <v>6644</v>
      </c>
      <c r="D4889" s="15" t="s">
        <v>787</v>
      </c>
      <c r="E4889" s="15" t="s">
        <v>792</v>
      </c>
    </row>
    <row r="4890" spans="2:5">
      <c r="B4890" s="15" t="s">
        <v>6643</v>
      </c>
      <c r="C4890" s="15" t="s">
        <v>6644</v>
      </c>
      <c r="D4890" s="15" t="s">
        <v>789</v>
      </c>
      <c r="E4890" s="15" t="s">
        <v>6645</v>
      </c>
    </row>
    <row r="4891" spans="2:5">
      <c r="B4891" s="15" t="s">
        <v>6643</v>
      </c>
      <c r="C4891" s="15" t="s">
        <v>6644</v>
      </c>
      <c r="D4891" s="15" t="s">
        <v>791</v>
      </c>
      <c r="E4891" s="15" t="s">
        <v>6646</v>
      </c>
    </row>
    <row r="4892" spans="2:5">
      <c r="B4892" s="15" t="s">
        <v>6643</v>
      </c>
      <c r="C4892" s="15" t="s">
        <v>6644</v>
      </c>
      <c r="D4892" s="15" t="s">
        <v>793</v>
      </c>
      <c r="E4892" s="15" t="s">
        <v>6647</v>
      </c>
    </row>
    <row r="4893" spans="2:5">
      <c r="B4893" s="15" t="s">
        <v>6643</v>
      </c>
      <c r="C4893" s="15" t="s">
        <v>6644</v>
      </c>
      <c r="D4893" s="15" t="s">
        <v>795</v>
      </c>
      <c r="E4893" s="15" t="s">
        <v>6648</v>
      </c>
    </row>
    <row r="4894" spans="2:5">
      <c r="B4894" s="15" t="s">
        <v>6643</v>
      </c>
      <c r="C4894" s="15" t="s">
        <v>6644</v>
      </c>
      <c r="D4894" s="15" t="s">
        <v>797</v>
      </c>
      <c r="E4894" s="15" t="s">
        <v>6649</v>
      </c>
    </row>
    <row r="4895" spans="2:5">
      <c r="B4895" s="15" t="s">
        <v>6643</v>
      </c>
      <c r="C4895" s="15" t="s">
        <v>6644</v>
      </c>
      <c r="D4895" s="15" t="s">
        <v>805</v>
      </c>
      <c r="E4895" s="15" t="s">
        <v>6650</v>
      </c>
    </row>
    <row r="4896" spans="2:5">
      <c r="B4896" s="15" t="s">
        <v>6643</v>
      </c>
      <c r="C4896" s="15" t="s">
        <v>6644</v>
      </c>
      <c r="D4896" s="15" t="s">
        <v>5353</v>
      </c>
      <c r="E4896" s="15" t="s">
        <v>6651</v>
      </c>
    </row>
    <row r="4897" spans="2:5">
      <c r="B4897" s="15" t="s">
        <v>6643</v>
      </c>
      <c r="C4897" s="15" t="s">
        <v>6644</v>
      </c>
      <c r="D4897" s="15" t="s">
        <v>3037</v>
      </c>
      <c r="E4897" s="15" t="s">
        <v>790</v>
      </c>
    </row>
    <row r="4898" spans="2:5">
      <c r="B4898" s="15" t="s">
        <v>6643</v>
      </c>
      <c r="C4898" s="15" t="s">
        <v>6644</v>
      </c>
      <c r="D4898" s="15" t="s">
        <v>2332</v>
      </c>
      <c r="E4898" s="15" t="s">
        <v>788</v>
      </c>
    </row>
    <row r="4899" spans="2:5">
      <c r="B4899" s="15" t="s">
        <v>6643</v>
      </c>
      <c r="C4899" s="15" t="s">
        <v>6644</v>
      </c>
      <c r="D4899" s="15" t="s">
        <v>2334</v>
      </c>
      <c r="E4899" s="15" t="s">
        <v>798</v>
      </c>
    </row>
    <row r="4900" spans="2:5">
      <c r="B4900" s="15" t="s">
        <v>6643</v>
      </c>
      <c r="C4900" s="15" t="s">
        <v>6644</v>
      </c>
      <c r="D4900" s="15" t="s">
        <v>6652</v>
      </c>
      <c r="E4900" s="15" t="s">
        <v>800</v>
      </c>
    </row>
    <row r="4901" spans="2:5">
      <c r="B4901" s="15" t="s">
        <v>6643</v>
      </c>
      <c r="C4901" s="15" t="s">
        <v>6644</v>
      </c>
      <c r="D4901" s="15" t="s">
        <v>6653</v>
      </c>
      <c r="E4901" s="15" t="s">
        <v>802</v>
      </c>
    </row>
    <row r="4902" spans="2:5">
      <c r="B4902" s="15" t="s">
        <v>6643</v>
      </c>
      <c r="C4902" s="15" t="s">
        <v>6644</v>
      </c>
      <c r="D4902" s="15" t="s">
        <v>6654</v>
      </c>
      <c r="E4902" s="15" t="s">
        <v>6655</v>
      </c>
    </row>
    <row r="4903" spans="2:5">
      <c r="B4903" s="15" t="s">
        <v>6643</v>
      </c>
      <c r="C4903" s="15" t="s">
        <v>6644</v>
      </c>
      <c r="D4903" s="15" t="s">
        <v>6656</v>
      </c>
      <c r="E4903" s="15" t="s">
        <v>804</v>
      </c>
    </row>
    <row r="4904" ht="15.95" spans="2:2">
      <c r="B4904" s="122" t="s">
        <v>6657</v>
      </c>
    </row>
    <row r="4905" spans="2:5">
      <c r="B4905" s="15" t="s">
        <v>6658</v>
      </c>
      <c r="C4905" s="15" t="s">
        <v>6659</v>
      </c>
      <c r="D4905" s="15" t="s">
        <v>770</v>
      </c>
      <c r="E4905" s="15" t="s">
        <v>3206</v>
      </c>
    </row>
    <row r="4906" spans="2:5">
      <c r="B4906" s="15" t="s">
        <v>6658</v>
      </c>
      <c r="C4906" s="15" t="s">
        <v>6659</v>
      </c>
      <c r="D4906" s="15" t="s">
        <v>635</v>
      </c>
      <c r="E4906" s="15" t="s">
        <v>6660</v>
      </c>
    </row>
    <row r="4907" spans="2:5">
      <c r="B4907" s="15" t="s">
        <v>6658</v>
      </c>
      <c r="C4907" s="15" t="s">
        <v>6659</v>
      </c>
      <c r="D4907" s="15" t="s">
        <v>772</v>
      </c>
      <c r="E4907" s="15" t="s">
        <v>4601</v>
      </c>
    </row>
    <row r="4908" spans="2:5">
      <c r="B4908" s="15" t="s">
        <v>6658</v>
      </c>
      <c r="C4908" s="15" t="s">
        <v>6659</v>
      </c>
      <c r="D4908" s="15" t="s">
        <v>659</v>
      </c>
      <c r="E4908" s="15" t="s">
        <v>6661</v>
      </c>
    </row>
    <row r="4909" spans="2:5">
      <c r="B4909" s="15" t="s">
        <v>6658</v>
      </c>
      <c r="C4909" s="15" t="s">
        <v>6659</v>
      </c>
      <c r="D4909" s="15" t="s">
        <v>774</v>
      </c>
      <c r="E4909" s="15" t="s">
        <v>4607</v>
      </c>
    </row>
    <row r="4910" spans="2:5">
      <c r="B4910" s="15" t="s">
        <v>6658</v>
      </c>
      <c r="C4910" s="15" t="s">
        <v>6659</v>
      </c>
      <c r="D4910" s="15" t="s">
        <v>679</v>
      </c>
      <c r="E4910" s="15" t="s">
        <v>5658</v>
      </c>
    </row>
    <row r="4911" spans="2:5">
      <c r="B4911" s="15" t="s">
        <v>6658</v>
      </c>
      <c r="C4911" s="15" t="s">
        <v>6659</v>
      </c>
      <c r="D4911" s="15" t="s">
        <v>828</v>
      </c>
      <c r="E4911" s="15" t="s">
        <v>6662</v>
      </c>
    </row>
    <row r="4912" ht="15.95" spans="2:2">
      <c r="B4912" s="122" t="s">
        <v>6663</v>
      </c>
    </row>
    <row r="4913" spans="2:5">
      <c r="B4913" s="15" t="s">
        <v>6664</v>
      </c>
      <c r="C4913" s="15" t="s">
        <v>6665</v>
      </c>
      <c r="D4913" s="15" t="s">
        <v>770</v>
      </c>
      <c r="E4913" s="15" t="s">
        <v>6666</v>
      </c>
    </row>
    <row r="4914" spans="2:5">
      <c r="B4914" s="15" t="s">
        <v>6664</v>
      </c>
      <c r="C4914" s="15" t="s">
        <v>6665</v>
      </c>
      <c r="D4914" s="15" t="s">
        <v>780</v>
      </c>
      <c r="E4914" s="15" t="s">
        <v>6666</v>
      </c>
    </row>
    <row r="4915" spans="2:5">
      <c r="B4915" s="15" t="s">
        <v>6664</v>
      </c>
      <c r="C4915" s="15" t="s">
        <v>6665</v>
      </c>
      <c r="D4915" s="15" t="s">
        <v>772</v>
      </c>
      <c r="E4915" s="15" t="s">
        <v>6667</v>
      </c>
    </row>
    <row r="4916" ht="15.95" spans="2:2">
      <c r="B4916" s="122" t="s">
        <v>6668</v>
      </c>
    </row>
    <row r="4917" spans="2:5">
      <c r="B4917" s="15" t="s">
        <v>6669</v>
      </c>
      <c r="C4917" s="15" t="s">
        <v>6669</v>
      </c>
      <c r="D4917" s="15" t="s">
        <v>723</v>
      </c>
      <c r="E4917" s="15" t="s">
        <v>1450</v>
      </c>
    </row>
    <row r="4918" spans="2:5">
      <c r="B4918" s="15" t="s">
        <v>6669</v>
      </c>
      <c r="C4918" s="15" t="s">
        <v>6669</v>
      </c>
      <c r="D4918" s="15" t="s">
        <v>725</v>
      </c>
      <c r="E4918" s="15" t="s">
        <v>1451</v>
      </c>
    </row>
    <row r="4919" spans="2:5">
      <c r="B4919" s="15" t="s">
        <v>6669</v>
      </c>
      <c r="C4919" s="15" t="s">
        <v>6669</v>
      </c>
      <c r="D4919" s="15" t="s">
        <v>727</v>
      </c>
      <c r="E4919" s="15" t="s">
        <v>1452</v>
      </c>
    </row>
    <row r="4920" ht="15.95" spans="2:2">
      <c r="B4920" s="122" t="s">
        <v>6670</v>
      </c>
    </row>
    <row r="4921" spans="2:5">
      <c r="B4921" s="15" t="s">
        <v>1859</v>
      </c>
      <c r="C4921" s="15" t="s">
        <v>1859</v>
      </c>
      <c r="D4921" s="15" t="s">
        <v>723</v>
      </c>
      <c r="E4921" s="15" t="s">
        <v>1860</v>
      </c>
    </row>
    <row r="4922" spans="2:5">
      <c r="B4922" s="15" t="s">
        <v>1859</v>
      </c>
      <c r="C4922" s="15" t="s">
        <v>1859</v>
      </c>
      <c r="D4922" s="15" t="s">
        <v>725</v>
      </c>
      <c r="E4922" s="15" t="s">
        <v>1861</v>
      </c>
    </row>
    <row r="4923" ht="15.95" spans="2:2">
      <c r="B4923" s="122" t="s">
        <v>6671</v>
      </c>
    </row>
    <row r="4924" spans="2:5">
      <c r="B4924" s="15" t="s">
        <v>6672</v>
      </c>
      <c r="C4924" s="15" t="s">
        <v>6673</v>
      </c>
      <c r="D4924" s="15" t="s">
        <v>2615</v>
      </c>
      <c r="E4924" s="15" t="s">
        <v>6674</v>
      </c>
    </row>
    <row r="4925" spans="2:5">
      <c r="B4925" s="15" t="s">
        <v>6672</v>
      </c>
      <c r="C4925" s="15" t="s">
        <v>6673</v>
      </c>
      <c r="D4925" s="15" t="s">
        <v>6675</v>
      </c>
      <c r="E4925" s="15" t="s">
        <v>2212</v>
      </c>
    </row>
    <row r="4926" spans="2:5">
      <c r="B4926" s="15" t="s">
        <v>6672</v>
      </c>
      <c r="C4926" s="15" t="s">
        <v>6673</v>
      </c>
      <c r="D4926" s="15" t="s">
        <v>6676</v>
      </c>
      <c r="E4926" s="15" t="s">
        <v>6677</v>
      </c>
    </row>
    <row r="4927" ht="15.95" spans="2:2">
      <c r="B4927" s="122" t="s">
        <v>6678</v>
      </c>
    </row>
    <row r="4928" spans="2:5">
      <c r="B4928" s="15" t="s">
        <v>6679</v>
      </c>
      <c r="C4928" s="15" t="s">
        <v>6680</v>
      </c>
      <c r="D4928" s="15" t="s">
        <v>6681</v>
      </c>
      <c r="E4928" s="15" t="s">
        <v>6682</v>
      </c>
    </row>
    <row r="4929" spans="2:5">
      <c r="B4929" s="15" t="s">
        <v>6679</v>
      </c>
      <c r="C4929" s="15" t="s">
        <v>6680</v>
      </c>
      <c r="D4929" s="15" t="s">
        <v>1790</v>
      </c>
      <c r="E4929" s="15" t="s">
        <v>6683</v>
      </c>
    </row>
    <row r="4930" spans="2:5">
      <c r="B4930" s="15" t="s">
        <v>6679</v>
      </c>
      <c r="C4930" s="15" t="s">
        <v>6680</v>
      </c>
      <c r="D4930" s="15" t="s">
        <v>1791</v>
      </c>
      <c r="E4930" s="15" t="s">
        <v>1792</v>
      </c>
    </row>
    <row r="4931" spans="2:5">
      <c r="B4931" s="15" t="s">
        <v>6679</v>
      </c>
      <c r="C4931" s="15" t="s">
        <v>6680</v>
      </c>
      <c r="D4931" s="15" t="s">
        <v>1793</v>
      </c>
      <c r="E4931" s="15" t="s">
        <v>1794</v>
      </c>
    </row>
    <row r="4932" spans="2:5">
      <c r="B4932" s="15" t="s">
        <v>6679</v>
      </c>
      <c r="C4932" s="15" t="s">
        <v>6680</v>
      </c>
      <c r="D4932" s="15" t="s">
        <v>6684</v>
      </c>
      <c r="E4932" s="15" t="s">
        <v>6685</v>
      </c>
    </row>
    <row r="4933" spans="2:5">
      <c r="B4933" s="15" t="s">
        <v>6679</v>
      </c>
      <c r="C4933" s="15" t="s">
        <v>6680</v>
      </c>
      <c r="D4933" s="15" t="s">
        <v>1799</v>
      </c>
      <c r="E4933" s="15" t="s">
        <v>6686</v>
      </c>
    </row>
    <row r="4934" spans="2:5">
      <c r="B4934" s="15" t="s">
        <v>6679</v>
      </c>
      <c r="C4934" s="15" t="s">
        <v>6680</v>
      </c>
      <c r="D4934" s="15" t="s">
        <v>4782</v>
      </c>
      <c r="E4934" s="15" t="s">
        <v>6687</v>
      </c>
    </row>
    <row r="4935" ht="15.95" spans="2:2">
      <c r="B4935" s="122" t="s">
        <v>6688</v>
      </c>
    </row>
    <row r="4936" spans="2:5">
      <c r="B4936" s="15" t="s">
        <v>6689</v>
      </c>
      <c r="C4936" s="15" t="s">
        <v>6690</v>
      </c>
      <c r="D4936" s="15" t="s">
        <v>1432</v>
      </c>
      <c r="E4936" s="15" t="s">
        <v>6691</v>
      </c>
    </row>
    <row r="4937" spans="2:5">
      <c r="B4937" s="15" t="s">
        <v>6689</v>
      </c>
      <c r="C4937" s="15" t="s">
        <v>6690</v>
      </c>
      <c r="D4937" s="15" t="s">
        <v>723</v>
      </c>
      <c r="E4937" s="15" t="s">
        <v>906</v>
      </c>
    </row>
    <row r="4938" spans="2:5">
      <c r="B4938" s="15" t="s">
        <v>6689</v>
      </c>
      <c r="C4938" s="15" t="s">
        <v>6690</v>
      </c>
      <c r="D4938" s="15" t="s">
        <v>725</v>
      </c>
      <c r="E4938" s="15" t="s">
        <v>5658</v>
      </c>
    </row>
    <row r="4939" ht="15.95" spans="2:2">
      <c r="B4939" s="122" t="s">
        <v>6692</v>
      </c>
    </row>
    <row r="4940" spans="2:5">
      <c r="B4940" s="15" t="s">
        <v>6693</v>
      </c>
      <c r="C4940" s="15" t="s">
        <v>1987</v>
      </c>
      <c r="D4940" s="15" t="s">
        <v>635</v>
      </c>
      <c r="E4940" s="15" t="s">
        <v>636</v>
      </c>
    </row>
    <row r="4941" spans="2:5">
      <c r="B4941" s="15" t="s">
        <v>6693</v>
      </c>
      <c r="C4941" s="15" t="s">
        <v>1987</v>
      </c>
      <c r="D4941" s="15" t="s">
        <v>637</v>
      </c>
      <c r="E4941" s="15" t="s">
        <v>1988</v>
      </c>
    </row>
    <row r="4942" spans="2:5">
      <c r="B4942" s="15" t="s">
        <v>6693</v>
      </c>
      <c r="C4942" s="15" t="s">
        <v>1987</v>
      </c>
      <c r="D4942" s="15" t="s">
        <v>641</v>
      </c>
      <c r="E4942" s="15" t="s">
        <v>1989</v>
      </c>
    </row>
    <row r="4943" spans="2:5">
      <c r="B4943" s="15" t="s">
        <v>6693</v>
      </c>
      <c r="C4943" s="15" t="s">
        <v>1987</v>
      </c>
      <c r="D4943" s="15" t="s">
        <v>643</v>
      </c>
      <c r="E4943" s="15" t="s">
        <v>5326</v>
      </c>
    </row>
    <row r="4944" spans="2:5">
      <c r="B4944" s="15" t="s">
        <v>6693</v>
      </c>
      <c r="C4944" s="15" t="s">
        <v>1987</v>
      </c>
      <c r="D4944" s="15" t="s">
        <v>645</v>
      </c>
      <c r="E4944" s="15" t="s">
        <v>5327</v>
      </c>
    </row>
    <row r="4945" spans="2:5">
      <c r="B4945" s="15" t="s">
        <v>6693</v>
      </c>
      <c r="C4945" s="15" t="s">
        <v>1987</v>
      </c>
      <c r="D4945" s="15" t="s">
        <v>647</v>
      </c>
      <c r="E4945" s="15" t="s">
        <v>1996</v>
      </c>
    </row>
    <row r="4946" spans="2:5">
      <c r="B4946" s="15" t="s">
        <v>6693</v>
      </c>
      <c r="C4946" s="15" t="s">
        <v>1987</v>
      </c>
      <c r="D4946" s="15" t="s">
        <v>649</v>
      </c>
      <c r="E4946" s="15" t="s">
        <v>1997</v>
      </c>
    </row>
    <row r="4947" spans="2:5">
      <c r="B4947" s="15" t="s">
        <v>6693</v>
      </c>
      <c r="C4947" s="15" t="s">
        <v>1987</v>
      </c>
      <c r="D4947" s="15" t="s">
        <v>651</v>
      </c>
      <c r="E4947" s="15" t="s">
        <v>2009</v>
      </c>
    </row>
    <row r="4948" spans="2:5">
      <c r="B4948" s="15" t="s">
        <v>6693</v>
      </c>
      <c r="C4948" s="15" t="s">
        <v>1987</v>
      </c>
      <c r="D4948" s="15" t="s">
        <v>653</v>
      </c>
      <c r="E4948" s="15" t="s">
        <v>2011</v>
      </c>
    </row>
    <row r="4949" spans="2:5">
      <c r="B4949" s="15" t="s">
        <v>6693</v>
      </c>
      <c r="C4949" s="15" t="s">
        <v>1987</v>
      </c>
      <c r="D4949" s="15" t="s">
        <v>655</v>
      </c>
      <c r="E4949" s="15" t="s">
        <v>2013</v>
      </c>
    </row>
    <row r="4950" spans="2:5">
      <c r="B4950" s="15" t="s">
        <v>6693</v>
      </c>
      <c r="C4950" s="15" t="s">
        <v>1987</v>
      </c>
      <c r="D4950" s="15" t="s">
        <v>657</v>
      </c>
      <c r="E4950" s="15" t="s">
        <v>6694</v>
      </c>
    </row>
    <row r="4951" spans="2:5">
      <c r="B4951" s="15" t="s">
        <v>6693</v>
      </c>
      <c r="C4951" s="15" t="s">
        <v>1987</v>
      </c>
      <c r="D4951" s="15" t="s">
        <v>1998</v>
      </c>
      <c r="E4951" s="15" t="s">
        <v>656</v>
      </c>
    </row>
    <row r="4952" spans="2:5">
      <c r="B4952" s="15" t="s">
        <v>6693</v>
      </c>
      <c r="C4952" s="15" t="s">
        <v>1987</v>
      </c>
      <c r="D4952" s="15" t="s">
        <v>2010</v>
      </c>
      <c r="E4952" s="15" t="s">
        <v>658</v>
      </c>
    </row>
    <row r="4953" spans="2:5">
      <c r="B4953" s="15" t="s">
        <v>6693</v>
      </c>
      <c r="C4953" s="15" t="s">
        <v>1987</v>
      </c>
      <c r="D4953" s="15" t="s">
        <v>659</v>
      </c>
      <c r="E4953" s="15" t="s">
        <v>660</v>
      </c>
    </row>
    <row r="4954" spans="2:5">
      <c r="B4954" s="15" t="s">
        <v>6693</v>
      </c>
      <c r="C4954" s="15" t="s">
        <v>1987</v>
      </c>
      <c r="D4954" s="15" t="s">
        <v>661</v>
      </c>
      <c r="E4954" s="15" t="s">
        <v>662</v>
      </c>
    </row>
    <row r="4955" spans="2:5">
      <c r="B4955" s="15" t="s">
        <v>6693</v>
      </c>
      <c r="C4955" s="15" t="s">
        <v>1987</v>
      </c>
      <c r="D4955" s="15" t="s">
        <v>663</v>
      </c>
      <c r="E4955" s="15" t="s">
        <v>664</v>
      </c>
    </row>
    <row r="4956" spans="2:5">
      <c r="B4956" s="15" t="s">
        <v>6693</v>
      </c>
      <c r="C4956" s="15" t="s">
        <v>1987</v>
      </c>
      <c r="D4956" s="15" t="s">
        <v>665</v>
      </c>
      <c r="E4956" s="15" t="s">
        <v>666</v>
      </c>
    </row>
    <row r="4957" spans="2:5">
      <c r="B4957" s="15" t="s">
        <v>6693</v>
      </c>
      <c r="C4957" s="15" t="s">
        <v>1987</v>
      </c>
      <c r="D4957" s="15" t="s">
        <v>667</v>
      </c>
      <c r="E4957" s="15" t="s">
        <v>668</v>
      </c>
    </row>
    <row r="4958" spans="2:5">
      <c r="B4958" s="15" t="s">
        <v>6693</v>
      </c>
      <c r="C4958" s="15" t="s">
        <v>1987</v>
      </c>
      <c r="D4958" s="15" t="s">
        <v>669</v>
      </c>
      <c r="E4958" s="15" t="s">
        <v>670</v>
      </c>
    </row>
    <row r="4959" spans="2:5">
      <c r="B4959" s="15" t="s">
        <v>6693</v>
      </c>
      <c r="C4959" s="15" t="s">
        <v>1987</v>
      </c>
      <c r="D4959" s="15" t="s">
        <v>671</v>
      </c>
      <c r="E4959" s="15" t="s">
        <v>672</v>
      </c>
    </row>
    <row r="4960" spans="2:5">
      <c r="B4960" s="15" t="s">
        <v>6693</v>
      </c>
      <c r="C4960" s="15" t="s">
        <v>1987</v>
      </c>
      <c r="D4960" s="15" t="s">
        <v>673</v>
      </c>
      <c r="E4960" s="15" t="s">
        <v>674</v>
      </c>
    </row>
    <row r="4961" spans="2:5">
      <c r="B4961" s="15" t="s">
        <v>6693</v>
      </c>
      <c r="C4961" s="15" t="s">
        <v>1987</v>
      </c>
      <c r="D4961" s="15" t="s">
        <v>675</v>
      </c>
      <c r="E4961" s="15" t="s">
        <v>676</v>
      </c>
    </row>
    <row r="4962" spans="2:5">
      <c r="B4962" s="15" t="s">
        <v>6693</v>
      </c>
      <c r="C4962" s="15" t="s">
        <v>1987</v>
      </c>
      <c r="D4962" s="15" t="s">
        <v>677</v>
      </c>
      <c r="E4962" s="15" t="s">
        <v>678</v>
      </c>
    </row>
    <row r="4963" spans="2:5">
      <c r="B4963" s="15" t="s">
        <v>6693</v>
      </c>
      <c r="C4963" s="15" t="s">
        <v>1987</v>
      </c>
      <c r="D4963" s="15" t="s">
        <v>679</v>
      </c>
      <c r="E4963" s="15" t="s">
        <v>1999</v>
      </c>
    </row>
    <row r="4964" spans="2:5">
      <c r="B4964" s="15" t="s">
        <v>6693</v>
      </c>
      <c r="C4964" s="15" t="s">
        <v>1987</v>
      </c>
      <c r="D4964" s="15" t="s">
        <v>681</v>
      </c>
      <c r="E4964" s="15" t="s">
        <v>6695</v>
      </c>
    </row>
    <row r="4965" spans="2:5">
      <c r="B4965" s="15" t="s">
        <v>6693</v>
      </c>
      <c r="C4965" s="15" t="s">
        <v>1987</v>
      </c>
      <c r="D4965" s="15" t="s">
        <v>683</v>
      </c>
      <c r="E4965" s="15" t="s">
        <v>6696</v>
      </c>
    </row>
    <row r="4966" spans="2:5">
      <c r="B4966" s="15" t="s">
        <v>6693</v>
      </c>
      <c r="C4966" s="15" t="s">
        <v>1987</v>
      </c>
      <c r="D4966" s="15" t="s">
        <v>685</v>
      </c>
      <c r="E4966" s="15" t="s">
        <v>6697</v>
      </c>
    </row>
    <row r="4967" spans="2:5">
      <c r="B4967" s="15" t="s">
        <v>6693</v>
      </c>
      <c r="C4967" s="15" t="s">
        <v>1987</v>
      </c>
      <c r="D4967" s="15" t="s">
        <v>687</v>
      </c>
      <c r="E4967" s="15" t="s">
        <v>2007</v>
      </c>
    </row>
    <row r="4968" spans="2:5">
      <c r="B4968" s="15" t="s">
        <v>6693</v>
      </c>
      <c r="C4968" s="15" t="s">
        <v>1987</v>
      </c>
      <c r="D4968" s="15" t="s">
        <v>705</v>
      </c>
      <c r="E4968" s="15" t="s">
        <v>6698</v>
      </c>
    </row>
    <row r="4969" spans="2:5">
      <c r="B4969" s="15" t="s">
        <v>6693</v>
      </c>
      <c r="C4969" s="15" t="s">
        <v>1987</v>
      </c>
      <c r="D4969" s="15" t="s">
        <v>707</v>
      </c>
      <c r="E4969" s="15" t="s">
        <v>6699</v>
      </c>
    </row>
    <row r="4970" spans="2:5">
      <c r="B4970" s="15" t="s">
        <v>6693</v>
      </c>
      <c r="C4970" s="15" t="s">
        <v>1987</v>
      </c>
      <c r="D4970" s="15" t="s">
        <v>709</v>
      </c>
      <c r="E4970" s="15" t="s">
        <v>5328</v>
      </c>
    </row>
    <row r="4971" spans="2:5">
      <c r="B4971" s="15" t="s">
        <v>6693</v>
      </c>
      <c r="C4971" s="15" t="s">
        <v>1987</v>
      </c>
      <c r="D4971" s="15" t="s">
        <v>711</v>
      </c>
      <c r="E4971" s="15" t="s">
        <v>706</v>
      </c>
    </row>
    <row r="4972" spans="2:5">
      <c r="B4972" s="15" t="s">
        <v>6693</v>
      </c>
      <c r="C4972" s="15" t="s">
        <v>1987</v>
      </c>
      <c r="D4972" s="15" t="s">
        <v>838</v>
      </c>
      <c r="E4972" s="15" t="s">
        <v>710</v>
      </c>
    </row>
    <row r="4973" spans="2:5">
      <c r="B4973" s="15" t="s">
        <v>6693</v>
      </c>
      <c r="C4973" s="15" t="s">
        <v>1987</v>
      </c>
      <c r="D4973" s="15" t="s">
        <v>2044</v>
      </c>
      <c r="E4973" s="15" t="s">
        <v>712</v>
      </c>
    </row>
    <row r="4974" spans="2:5">
      <c r="B4974" s="15" t="s">
        <v>6693</v>
      </c>
      <c r="C4974" s="15" t="s">
        <v>1987</v>
      </c>
      <c r="D4974" s="15" t="s">
        <v>2047</v>
      </c>
      <c r="E4974" s="15" t="s">
        <v>2050</v>
      </c>
    </row>
    <row r="4975" spans="2:5">
      <c r="B4975" s="15" t="s">
        <v>6693</v>
      </c>
      <c r="C4975" s="15" t="s">
        <v>1987</v>
      </c>
      <c r="D4975" s="15" t="s">
        <v>6050</v>
      </c>
      <c r="E4975" s="15" t="s">
        <v>2052</v>
      </c>
    </row>
    <row r="4976" spans="2:5">
      <c r="B4976" s="15" t="s">
        <v>6693</v>
      </c>
      <c r="C4976" s="15" t="s">
        <v>1987</v>
      </c>
      <c r="D4976" s="15" t="s">
        <v>6051</v>
      </c>
      <c r="E4976" s="15" t="s">
        <v>2054</v>
      </c>
    </row>
    <row r="4977" spans="2:5">
      <c r="B4977" s="15" t="s">
        <v>6693</v>
      </c>
      <c r="C4977" s="15" t="s">
        <v>1987</v>
      </c>
      <c r="D4977" s="15" t="s">
        <v>713</v>
      </c>
      <c r="E4977" s="15" t="s">
        <v>714</v>
      </c>
    </row>
    <row r="4978" spans="2:5">
      <c r="B4978" s="15" t="s">
        <v>6693</v>
      </c>
      <c r="C4978" s="15" t="s">
        <v>1987</v>
      </c>
      <c r="D4978" s="15" t="s">
        <v>715</v>
      </c>
      <c r="E4978" s="15" t="s">
        <v>716</v>
      </c>
    </row>
    <row r="4979" spans="2:5">
      <c r="B4979" s="15" t="s">
        <v>6693</v>
      </c>
      <c r="C4979" s="15" t="s">
        <v>1987</v>
      </c>
      <c r="D4979" s="15" t="s">
        <v>717</v>
      </c>
      <c r="E4979" s="15" t="s">
        <v>718</v>
      </c>
    </row>
    <row r="4980" spans="2:5">
      <c r="B4980" s="15" t="s">
        <v>6693</v>
      </c>
      <c r="C4980" s="15" t="s">
        <v>1987</v>
      </c>
      <c r="D4980" s="15" t="s">
        <v>719</v>
      </c>
      <c r="E4980" s="15" t="s">
        <v>720</v>
      </c>
    </row>
    <row r="4981" spans="2:5">
      <c r="B4981" s="15" t="s">
        <v>6693</v>
      </c>
      <c r="C4981" s="15" t="s">
        <v>1987</v>
      </c>
      <c r="D4981" s="15" t="s">
        <v>5559</v>
      </c>
      <c r="E4981" s="15" t="s">
        <v>6700</v>
      </c>
    </row>
    <row r="4982" spans="2:5">
      <c r="B4982" s="15" t="s">
        <v>6693</v>
      </c>
      <c r="C4982" s="15" t="s">
        <v>1987</v>
      </c>
      <c r="D4982" s="15" t="s">
        <v>6701</v>
      </c>
      <c r="E4982" s="15" t="s">
        <v>6702</v>
      </c>
    </row>
    <row r="4983" spans="2:5">
      <c r="B4983" s="15" t="s">
        <v>6693</v>
      </c>
      <c r="C4983" s="15" t="s">
        <v>1987</v>
      </c>
      <c r="D4983" s="15" t="s">
        <v>6703</v>
      </c>
      <c r="E4983" s="15" t="s">
        <v>6704</v>
      </c>
    </row>
    <row r="4984" spans="2:5">
      <c r="B4984" s="15" t="s">
        <v>6693</v>
      </c>
      <c r="C4984" s="15" t="s">
        <v>1987</v>
      </c>
      <c r="D4984" s="15" t="s">
        <v>6705</v>
      </c>
      <c r="E4984" s="15" t="s">
        <v>6706</v>
      </c>
    </row>
    <row r="4985" spans="2:5">
      <c r="B4985" s="15" t="s">
        <v>6693</v>
      </c>
      <c r="C4985" s="15" t="s">
        <v>1987</v>
      </c>
      <c r="D4985" s="15" t="s">
        <v>6707</v>
      </c>
      <c r="E4985" s="15" t="s">
        <v>2011</v>
      </c>
    </row>
    <row r="4986" spans="2:5">
      <c r="B4986" s="15" t="s">
        <v>6693</v>
      </c>
      <c r="C4986" s="15" t="s">
        <v>1987</v>
      </c>
      <c r="D4986" s="15" t="s">
        <v>6708</v>
      </c>
      <c r="E4986" s="15" t="s">
        <v>6709</v>
      </c>
    </row>
    <row r="4987" spans="2:5">
      <c r="B4987" s="15" t="s">
        <v>6693</v>
      </c>
      <c r="C4987" s="15" t="s">
        <v>1987</v>
      </c>
      <c r="D4987" s="15" t="s">
        <v>6710</v>
      </c>
      <c r="E4987" s="15" t="s">
        <v>6711</v>
      </c>
    </row>
    <row r="4988" spans="2:5">
      <c r="B4988" s="15" t="s">
        <v>6693</v>
      </c>
      <c r="C4988" s="15" t="s">
        <v>1987</v>
      </c>
      <c r="D4988" s="15" t="s">
        <v>6712</v>
      </c>
      <c r="E4988" s="15" t="s">
        <v>6713</v>
      </c>
    </row>
    <row r="4989" spans="2:5">
      <c r="B4989" s="15" t="s">
        <v>6693</v>
      </c>
      <c r="C4989" s="15" t="s">
        <v>1987</v>
      </c>
      <c r="D4989" s="15" t="s">
        <v>6714</v>
      </c>
      <c r="E4989" s="15" t="s">
        <v>6715</v>
      </c>
    </row>
    <row r="4990" spans="2:5">
      <c r="B4990" s="15" t="s">
        <v>6693</v>
      </c>
      <c r="C4990" s="15" t="s">
        <v>1987</v>
      </c>
      <c r="D4990" s="15" t="s">
        <v>6716</v>
      </c>
      <c r="E4990" s="15" t="s">
        <v>6717</v>
      </c>
    </row>
    <row r="4991" spans="2:5">
      <c r="B4991" s="15" t="s">
        <v>6693</v>
      </c>
      <c r="C4991" s="15" t="s">
        <v>1987</v>
      </c>
      <c r="D4991" s="15" t="s">
        <v>6718</v>
      </c>
      <c r="E4991" s="15" t="s">
        <v>6719</v>
      </c>
    </row>
    <row r="4992" spans="2:5">
      <c r="B4992" s="15" t="s">
        <v>6693</v>
      </c>
      <c r="C4992" s="15" t="s">
        <v>1987</v>
      </c>
      <c r="D4992" s="15" t="s">
        <v>5561</v>
      </c>
      <c r="E4992" s="15" t="s">
        <v>6720</v>
      </c>
    </row>
    <row r="4993" spans="2:5">
      <c r="B4993" s="15" t="s">
        <v>6693</v>
      </c>
      <c r="C4993" s="15" t="s">
        <v>1987</v>
      </c>
      <c r="D4993" s="15" t="s">
        <v>6721</v>
      </c>
      <c r="E4993" s="15" t="s">
        <v>6720</v>
      </c>
    </row>
    <row r="4994" ht="15.95" spans="2:2">
      <c r="B4994" s="122" t="s">
        <v>6722</v>
      </c>
    </row>
    <row r="4995" spans="2:5">
      <c r="B4995" s="15" t="s">
        <v>6723</v>
      </c>
      <c r="C4995" s="15" t="s">
        <v>6724</v>
      </c>
      <c r="D4995" s="15" t="s">
        <v>723</v>
      </c>
      <c r="E4995" s="15" t="s">
        <v>1599</v>
      </c>
    </row>
    <row r="4996" spans="2:5">
      <c r="B4996" s="15" t="s">
        <v>6723</v>
      </c>
      <c r="C4996" s="15" t="s">
        <v>6724</v>
      </c>
      <c r="D4996" s="15" t="s">
        <v>725</v>
      </c>
      <c r="E4996" s="15" t="s">
        <v>1873</v>
      </c>
    </row>
    <row r="4997" spans="2:5">
      <c r="B4997" s="15" t="s">
        <v>6723</v>
      </c>
      <c r="C4997" s="15" t="s">
        <v>6724</v>
      </c>
      <c r="D4997" s="15" t="s">
        <v>727</v>
      </c>
      <c r="E4997" s="15" t="s">
        <v>3729</v>
      </c>
    </row>
    <row r="4998" spans="2:5">
      <c r="B4998" s="15" t="s">
        <v>6723</v>
      </c>
      <c r="C4998" s="15" t="s">
        <v>6724</v>
      </c>
      <c r="D4998" s="15" t="s">
        <v>729</v>
      </c>
      <c r="E4998" s="15" t="s">
        <v>1872</v>
      </c>
    </row>
    <row r="4999" spans="2:5">
      <c r="B4999" s="15" t="s">
        <v>6723</v>
      </c>
      <c r="C4999" s="15" t="s">
        <v>6724</v>
      </c>
      <c r="D4999" s="15" t="s">
        <v>760</v>
      </c>
      <c r="E4999" s="15" t="s">
        <v>1597</v>
      </c>
    </row>
    <row r="5000" spans="2:5">
      <c r="B5000" s="15" t="s">
        <v>6723</v>
      </c>
      <c r="C5000" s="15" t="s">
        <v>6724</v>
      </c>
      <c r="D5000" s="15" t="s">
        <v>762</v>
      </c>
      <c r="E5000" s="15" t="s">
        <v>6725</v>
      </c>
    </row>
    <row r="5001" spans="2:5">
      <c r="B5001" s="15" t="s">
        <v>6723</v>
      </c>
      <c r="C5001" s="15" t="s">
        <v>6724</v>
      </c>
      <c r="D5001" s="15" t="s">
        <v>764</v>
      </c>
      <c r="E5001" s="15" t="s">
        <v>3732</v>
      </c>
    </row>
    <row r="5002" spans="2:5">
      <c r="B5002" s="15" t="s">
        <v>6723</v>
      </c>
      <c r="C5002" s="15" t="s">
        <v>6724</v>
      </c>
      <c r="D5002" s="15" t="s">
        <v>1587</v>
      </c>
      <c r="E5002" s="15" t="s">
        <v>6726</v>
      </c>
    </row>
    <row r="5003" ht="15.95" spans="2:2">
      <c r="B5003" s="122" t="s">
        <v>6727</v>
      </c>
    </row>
    <row r="5004" spans="2:5">
      <c r="B5004" s="15" t="s">
        <v>6728</v>
      </c>
      <c r="C5004" s="15" t="s">
        <v>6729</v>
      </c>
      <c r="D5004" s="15" t="s">
        <v>770</v>
      </c>
      <c r="E5004" s="15" t="s">
        <v>6730</v>
      </c>
    </row>
    <row r="5005" spans="2:5">
      <c r="B5005" s="15" t="s">
        <v>6728</v>
      </c>
      <c r="C5005" s="15" t="s">
        <v>6729</v>
      </c>
      <c r="D5005" s="15" t="s">
        <v>772</v>
      </c>
      <c r="E5005" s="15" t="s">
        <v>6731</v>
      </c>
    </row>
    <row r="5006" spans="2:5">
      <c r="B5006" s="15" t="s">
        <v>6728</v>
      </c>
      <c r="C5006" s="15" t="s">
        <v>6729</v>
      </c>
      <c r="D5006" s="15" t="s">
        <v>1143</v>
      </c>
      <c r="E5006" s="15" t="s">
        <v>235</v>
      </c>
    </row>
    <row r="5007" ht="15.95" spans="2:2">
      <c r="B5007" s="122" t="s">
        <v>6732</v>
      </c>
    </row>
    <row r="5008" spans="2:5">
      <c r="B5008" s="15" t="s">
        <v>6733</v>
      </c>
      <c r="C5008" s="15" t="s">
        <v>6734</v>
      </c>
      <c r="D5008" s="15" t="s">
        <v>6735</v>
      </c>
      <c r="E5008" s="15" t="s">
        <v>6736</v>
      </c>
    </row>
    <row r="5009" spans="2:5">
      <c r="B5009" s="15" t="s">
        <v>6733</v>
      </c>
      <c r="C5009" s="15" t="s">
        <v>6734</v>
      </c>
      <c r="D5009" s="15" t="s">
        <v>6737</v>
      </c>
      <c r="E5009" s="15" t="s">
        <v>6738</v>
      </c>
    </row>
    <row r="5010" spans="2:5">
      <c r="B5010" s="15" t="s">
        <v>6733</v>
      </c>
      <c r="C5010" s="15" t="s">
        <v>6734</v>
      </c>
      <c r="D5010" s="15" t="s">
        <v>6739</v>
      </c>
      <c r="E5010" s="15" t="s">
        <v>6740</v>
      </c>
    </row>
    <row r="5011" spans="2:5">
      <c r="B5011" s="15" t="s">
        <v>6733</v>
      </c>
      <c r="C5011" s="15" t="s">
        <v>6734</v>
      </c>
      <c r="D5011" s="15" t="s">
        <v>6741</v>
      </c>
      <c r="E5011" s="15" t="s">
        <v>6742</v>
      </c>
    </row>
    <row r="5012" ht="15.95" spans="2:2">
      <c r="B5012" s="122" t="s">
        <v>6743</v>
      </c>
    </row>
    <row r="5013" spans="2:5">
      <c r="B5013" s="15" t="s">
        <v>6744</v>
      </c>
      <c r="C5013" s="15" t="s">
        <v>6745</v>
      </c>
      <c r="D5013" s="15" t="s">
        <v>1372</v>
      </c>
      <c r="E5013" s="15" t="s">
        <v>6746</v>
      </c>
    </row>
    <row r="5014" spans="2:5">
      <c r="B5014" s="15" t="s">
        <v>6744</v>
      </c>
      <c r="C5014" s="15" t="s">
        <v>6745</v>
      </c>
      <c r="D5014" s="15" t="s">
        <v>1384</v>
      </c>
      <c r="E5014" s="15" t="s">
        <v>6747</v>
      </c>
    </row>
    <row r="5015" spans="2:5">
      <c r="B5015" s="15" t="s">
        <v>6744</v>
      </c>
      <c r="C5015" s="15" t="s">
        <v>6745</v>
      </c>
      <c r="D5015" s="15" t="s">
        <v>1391</v>
      </c>
      <c r="E5015" s="15" t="s">
        <v>6748</v>
      </c>
    </row>
    <row r="5016" spans="2:5">
      <c r="B5016" s="15" t="s">
        <v>6744</v>
      </c>
      <c r="C5016" s="15" t="s">
        <v>6745</v>
      </c>
      <c r="D5016" s="15" t="s">
        <v>1395</v>
      </c>
      <c r="E5016" s="15" t="s">
        <v>6749</v>
      </c>
    </row>
    <row r="5017" spans="2:5">
      <c r="B5017" s="15" t="s">
        <v>6744</v>
      </c>
      <c r="C5017" s="15" t="s">
        <v>6745</v>
      </c>
      <c r="D5017" s="15" t="s">
        <v>1397</v>
      </c>
      <c r="E5017" s="15" t="s">
        <v>6750</v>
      </c>
    </row>
    <row r="5018" spans="2:5">
      <c r="B5018" s="15" t="s">
        <v>6744</v>
      </c>
      <c r="C5018" s="15" t="s">
        <v>6745</v>
      </c>
      <c r="D5018" s="15" t="s">
        <v>1399</v>
      </c>
      <c r="E5018" s="15" t="s">
        <v>6751</v>
      </c>
    </row>
    <row r="5019" spans="2:5">
      <c r="B5019" s="15" t="s">
        <v>6744</v>
      </c>
      <c r="C5019" s="15" t="s">
        <v>6745</v>
      </c>
      <c r="D5019" s="15" t="s">
        <v>1401</v>
      </c>
      <c r="E5019" s="15" t="s">
        <v>235</v>
      </c>
    </row>
    <row r="5020" ht="15.95" spans="2:2">
      <c r="B5020" s="122" t="s">
        <v>6752</v>
      </c>
    </row>
    <row r="5021" spans="2:5">
      <c r="B5021" s="15" t="s">
        <v>6753</v>
      </c>
      <c r="C5021" s="15" t="s">
        <v>6753</v>
      </c>
      <c r="D5021" s="15" t="s">
        <v>723</v>
      </c>
      <c r="E5021" s="15" t="s">
        <v>6754</v>
      </c>
    </row>
    <row r="5022" spans="2:5">
      <c r="B5022" s="15" t="s">
        <v>6753</v>
      </c>
      <c r="C5022" s="15" t="s">
        <v>6753</v>
      </c>
      <c r="D5022" s="15" t="s">
        <v>725</v>
      </c>
      <c r="E5022" s="15" t="s">
        <v>6755</v>
      </c>
    </row>
    <row r="5023" spans="2:5">
      <c r="B5023" s="15" t="s">
        <v>6753</v>
      </c>
      <c r="C5023" s="15" t="s">
        <v>6753</v>
      </c>
      <c r="D5023" s="15" t="s">
        <v>727</v>
      </c>
      <c r="E5023" s="15" t="s">
        <v>6756</v>
      </c>
    </row>
    <row r="5024" ht="15.95" spans="2:2">
      <c r="B5024" s="122" t="s">
        <v>6757</v>
      </c>
    </row>
    <row r="5025" spans="2:5">
      <c r="B5025" s="15" t="s">
        <v>6758</v>
      </c>
      <c r="C5025" s="15" t="s">
        <v>6759</v>
      </c>
      <c r="D5025" s="15" t="s">
        <v>1267</v>
      </c>
      <c r="E5025" s="15" t="s">
        <v>1355</v>
      </c>
    </row>
    <row r="5026" spans="2:5">
      <c r="B5026" s="15" t="s">
        <v>6758</v>
      </c>
      <c r="C5026" s="15" t="s">
        <v>6759</v>
      </c>
      <c r="D5026" s="15" t="s">
        <v>1269</v>
      </c>
      <c r="E5026" s="15" t="s">
        <v>1356</v>
      </c>
    </row>
    <row r="5027" spans="2:5">
      <c r="B5027" s="15" t="s">
        <v>6758</v>
      </c>
      <c r="C5027" s="15" t="s">
        <v>6759</v>
      </c>
      <c r="D5027" s="15" t="s">
        <v>1919</v>
      </c>
      <c r="E5027" s="15" t="s">
        <v>1920</v>
      </c>
    </row>
    <row r="5028" ht="15.95" spans="2:2">
      <c r="B5028" s="122" t="s">
        <v>6760</v>
      </c>
    </row>
    <row r="5029" spans="2:5">
      <c r="B5029" s="15" t="s">
        <v>6761</v>
      </c>
      <c r="C5029" s="15" t="s">
        <v>6761</v>
      </c>
      <c r="D5029" s="15" t="s">
        <v>723</v>
      </c>
      <c r="E5029" s="15" t="s">
        <v>6762</v>
      </c>
    </row>
    <row r="5030" spans="2:5">
      <c r="B5030" s="15" t="s">
        <v>6761</v>
      </c>
      <c r="C5030" s="15" t="s">
        <v>6761</v>
      </c>
      <c r="D5030" s="15" t="s">
        <v>725</v>
      </c>
      <c r="E5030" s="15" t="s">
        <v>6763</v>
      </c>
    </row>
    <row r="5031" spans="2:5">
      <c r="B5031" s="15" t="s">
        <v>6761</v>
      </c>
      <c r="C5031" s="15" t="s">
        <v>6761</v>
      </c>
      <c r="D5031" s="15" t="s">
        <v>727</v>
      </c>
      <c r="E5031" s="15" t="s">
        <v>6764</v>
      </c>
    </row>
    <row r="5032" spans="2:5">
      <c r="B5032" s="15" t="s">
        <v>6761</v>
      </c>
      <c r="C5032" s="15" t="s">
        <v>6761</v>
      </c>
      <c r="D5032" s="15" t="s">
        <v>729</v>
      </c>
      <c r="E5032" s="15" t="s">
        <v>6765</v>
      </c>
    </row>
    <row r="5033" ht="15.95" spans="2:2">
      <c r="B5033" s="122" t="s">
        <v>6766</v>
      </c>
    </row>
    <row r="5034" spans="2:5">
      <c r="B5034" s="15" t="s">
        <v>6767</v>
      </c>
      <c r="C5034" s="15" t="s">
        <v>896</v>
      </c>
      <c r="D5034" s="15" t="s">
        <v>723</v>
      </c>
      <c r="E5034" s="15" t="s">
        <v>6768</v>
      </c>
    </row>
    <row r="5035" spans="2:5">
      <c r="B5035" s="15" t="s">
        <v>6767</v>
      </c>
      <c r="C5035" s="15" t="s">
        <v>896</v>
      </c>
      <c r="D5035" s="15" t="s">
        <v>725</v>
      </c>
      <c r="E5035" s="15" t="s">
        <v>3454</v>
      </c>
    </row>
    <row r="5036" spans="2:5">
      <c r="B5036" s="15" t="s">
        <v>6767</v>
      </c>
      <c r="C5036" s="15" t="s">
        <v>896</v>
      </c>
      <c r="D5036" s="15" t="s">
        <v>727</v>
      </c>
      <c r="E5036" s="15" t="s">
        <v>3455</v>
      </c>
    </row>
    <row r="5037" spans="2:5">
      <c r="B5037" s="15" t="s">
        <v>6767</v>
      </c>
      <c r="C5037" s="15" t="s">
        <v>896</v>
      </c>
      <c r="D5037" s="15" t="s">
        <v>729</v>
      </c>
      <c r="E5037" s="15" t="s">
        <v>3456</v>
      </c>
    </row>
    <row r="5038" spans="2:5">
      <c r="B5038" s="15" t="s">
        <v>6767</v>
      </c>
      <c r="C5038" s="15" t="s">
        <v>896</v>
      </c>
      <c r="D5038" s="15" t="s">
        <v>760</v>
      </c>
      <c r="E5038" s="15" t="s">
        <v>3457</v>
      </c>
    </row>
    <row r="5039" spans="2:5">
      <c r="B5039" s="15" t="s">
        <v>6767</v>
      </c>
      <c r="C5039" s="15" t="s">
        <v>896</v>
      </c>
      <c r="D5039" s="15" t="s">
        <v>762</v>
      </c>
      <c r="E5039" s="15" t="s">
        <v>235</v>
      </c>
    </row>
    <row r="5040" ht="15.95" spans="2:2">
      <c r="B5040" s="122" t="s">
        <v>6769</v>
      </c>
    </row>
    <row r="5041" spans="2:5">
      <c r="B5041" s="15" t="s">
        <v>6770</v>
      </c>
      <c r="C5041" s="15" t="s">
        <v>6771</v>
      </c>
      <c r="D5041" s="15" t="s">
        <v>917</v>
      </c>
      <c r="E5041" s="15" t="s">
        <v>953</v>
      </c>
    </row>
    <row r="5042" spans="2:5">
      <c r="B5042" s="15" t="s">
        <v>6770</v>
      </c>
      <c r="C5042" s="15" t="s">
        <v>6771</v>
      </c>
      <c r="D5042" s="15" t="s">
        <v>919</v>
      </c>
      <c r="E5042" s="15" t="s">
        <v>954</v>
      </c>
    </row>
    <row r="5043" spans="2:5">
      <c r="B5043" s="15" t="s">
        <v>6770</v>
      </c>
      <c r="C5043" s="15" t="s">
        <v>6771</v>
      </c>
      <c r="D5043" s="15" t="s">
        <v>955</v>
      </c>
      <c r="E5043" s="15" t="s">
        <v>956</v>
      </c>
    </row>
    <row r="5044" ht="15.95" spans="2:2">
      <c r="B5044" s="122" t="s">
        <v>6772</v>
      </c>
    </row>
    <row r="5045" spans="2:5">
      <c r="B5045" s="15" t="s">
        <v>6773</v>
      </c>
      <c r="C5045" s="15" t="s">
        <v>6774</v>
      </c>
      <c r="D5045" s="15" t="s">
        <v>723</v>
      </c>
      <c r="E5045" s="15" t="s">
        <v>6775</v>
      </c>
    </row>
    <row r="5046" spans="2:5">
      <c r="B5046" s="15" t="s">
        <v>6773</v>
      </c>
      <c r="C5046" s="15" t="s">
        <v>6774</v>
      </c>
      <c r="D5046" s="15" t="s">
        <v>725</v>
      </c>
      <c r="E5046" s="15" t="s">
        <v>6776</v>
      </c>
    </row>
    <row r="5047" spans="2:5">
      <c r="B5047" s="15" t="s">
        <v>6773</v>
      </c>
      <c r="C5047" s="15" t="s">
        <v>6774</v>
      </c>
      <c r="D5047" s="15" t="s">
        <v>727</v>
      </c>
      <c r="E5047" s="15" t="s">
        <v>6777</v>
      </c>
    </row>
    <row r="5048" spans="2:5">
      <c r="B5048" s="15" t="s">
        <v>6773</v>
      </c>
      <c r="C5048" s="15" t="s">
        <v>6774</v>
      </c>
      <c r="D5048" s="15" t="s">
        <v>729</v>
      </c>
      <c r="E5048" s="15" t="s">
        <v>235</v>
      </c>
    </row>
    <row r="5049" ht="15.95" spans="2:2">
      <c r="B5049" s="122" t="s">
        <v>6778</v>
      </c>
    </row>
    <row r="5050" spans="2:5">
      <c r="B5050" s="15" t="s">
        <v>6779</v>
      </c>
      <c r="C5050" s="15" t="s">
        <v>6780</v>
      </c>
      <c r="D5050" s="15" t="s">
        <v>635</v>
      </c>
      <c r="E5050" s="15" t="s">
        <v>4373</v>
      </c>
    </row>
    <row r="5051" spans="2:5">
      <c r="B5051" s="15" t="s">
        <v>6779</v>
      </c>
      <c r="C5051" s="15" t="s">
        <v>6780</v>
      </c>
      <c r="D5051" s="15" t="s">
        <v>659</v>
      </c>
      <c r="E5051" s="15" t="s">
        <v>4374</v>
      </c>
    </row>
    <row r="5052" spans="2:5">
      <c r="B5052" s="15" t="s">
        <v>6779</v>
      </c>
      <c r="C5052" s="15" t="s">
        <v>6780</v>
      </c>
      <c r="D5052" s="15" t="s">
        <v>679</v>
      </c>
      <c r="E5052" s="15" t="s">
        <v>6781</v>
      </c>
    </row>
    <row r="5053" spans="2:5">
      <c r="B5053" s="15" t="s">
        <v>6779</v>
      </c>
      <c r="C5053" s="15" t="s">
        <v>6780</v>
      </c>
      <c r="D5053" s="15" t="s">
        <v>3450</v>
      </c>
      <c r="E5053" s="15" t="s">
        <v>6782</v>
      </c>
    </row>
    <row r="5054" spans="2:5">
      <c r="B5054" s="15" t="s">
        <v>6779</v>
      </c>
      <c r="C5054" s="15" t="s">
        <v>6780</v>
      </c>
      <c r="D5054" s="15" t="s">
        <v>1820</v>
      </c>
      <c r="E5054" s="15" t="s">
        <v>6783</v>
      </c>
    </row>
    <row r="5055" ht="15.95" spans="2:2">
      <c r="B5055" s="122" t="s">
        <v>6784</v>
      </c>
    </row>
    <row r="5056" spans="2:5">
      <c r="B5056" s="15" t="s">
        <v>6785</v>
      </c>
      <c r="C5056" s="15" t="s">
        <v>6786</v>
      </c>
      <c r="D5056" s="15" t="s">
        <v>770</v>
      </c>
      <c r="E5056" s="15" t="s">
        <v>6787</v>
      </c>
    </row>
    <row r="5057" spans="2:5">
      <c r="B5057" s="15" t="s">
        <v>6785</v>
      </c>
      <c r="C5057" s="15" t="s">
        <v>6786</v>
      </c>
      <c r="D5057" s="15" t="s">
        <v>772</v>
      </c>
      <c r="E5057" s="15" t="s">
        <v>6788</v>
      </c>
    </row>
    <row r="5058" spans="2:5">
      <c r="B5058" s="15" t="s">
        <v>6785</v>
      </c>
      <c r="C5058" s="15" t="s">
        <v>6786</v>
      </c>
      <c r="D5058" s="15" t="s">
        <v>774</v>
      </c>
      <c r="E5058" s="15" t="s">
        <v>6789</v>
      </c>
    </row>
    <row r="5059" ht="15.95" spans="2:2">
      <c r="B5059" s="122" t="s">
        <v>6790</v>
      </c>
    </row>
    <row r="5060" spans="2:5">
      <c r="B5060" s="15" t="s">
        <v>6791</v>
      </c>
      <c r="C5060" s="15" t="s">
        <v>1148</v>
      </c>
      <c r="D5060" s="15" t="s">
        <v>1149</v>
      </c>
      <c r="E5060" s="15" t="s">
        <v>1150</v>
      </c>
    </row>
    <row r="5061" spans="2:5">
      <c r="B5061" s="15" t="s">
        <v>6791</v>
      </c>
      <c r="C5061" s="15" t="s">
        <v>1148</v>
      </c>
      <c r="D5061" s="15" t="s">
        <v>1151</v>
      </c>
      <c r="E5061" s="15" t="s">
        <v>1152</v>
      </c>
    </row>
    <row r="5062" spans="2:5">
      <c r="B5062" s="15" t="s">
        <v>6791</v>
      </c>
      <c r="C5062" s="15" t="s">
        <v>1148</v>
      </c>
      <c r="D5062" s="15" t="s">
        <v>1153</v>
      </c>
      <c r="E5062" s="15" t="s">
        <v>1154</v>
      </c>
    </row>
    <row r="5063" spans="2:5">
      <c r="B5063" s="15" t="s">
        <v>6791</v>
      </c>
      <c r="C5063" s="15" t="s">
        <v>1148</v>
      </c>
      <c r="D5063" s="15" t="s">
        <v>1155</v>
      </c>
      <c r="E5063" s="15" t="s">
        <v>1156</v>
      </c>
    </row>
    <row r="5064" spans="2:5">
      <c r="B5064" s="15" t="s">
        <v>6791</v>
      </c>
      <c r="C5064" s="15" t="s">
        <v>1148</v>
      </c>
      <c r="D5064" s="15" t="s">
        <v>1157</v>
      </c>
      <c r="E5064" s="15" t="s">
        <v>1158</v>
      </c>
    </row>
    <row r="5065" spans="2:5">
      <c r="B5065" s="15" t="s">
        <v>6791</v>
      </c>
      <c r="C5065" s="15" t="s">
        <v>1148</v>
      </c>
      <c r="D5065" s="15" t="s">
        <v>1159</v>
      </c>
      <c r="E5065" s="15" t="s">
        <v>1160</v>
      </c>
    </row>
    <row r="5066" spans="2:5">
      <c r="B5066" s="15" t="s">
        <v>6791</v>
      </c>
      <c r="C5066" s="15" t="s">
        <v>1148</v>
      </c>
      <c r="D5066" s="15" t="s">
        <v>1161</v>
      </c>
      <c r="E5066" s="15" t="s">
        <v>235</v>
      </c>
    </row>
    <row r="5067" spans="2:5">
      <c r="B5067" s="15" t="s">
        <v>6791</v>
      </c>
      <c r="C5067" s="15" t="s">
        <v>1148</v>
      </c>
      <c r="D5067" s="15" t="s">
        <v>1162</v>
      </c>
      <c r="E5067" s="15" t="s">
        <v>1150</v>
      </c>
    </row>
    <row r="5068" spans="2:5">
      <c r="B5068" s="15" t="s">
        <v>6791</v>
      </c>
      <c r="C5068" s="15" t="s">
        <v>1148</v>
      </c>
      <c r="D5068" s="15" t="s">
        <v>1163</v>
      </c>
      <c r="E5068" s="15" t="s">
        <v>1152</v>
      </c>
    </row>
    <row r="5069" spans="2:5">
      <c r="B5069" s="15" t="s">
        <v>6791</v>
      </c>
      <c r="C5069" s="15" t="s">
        <v>1148</v>
      </c>
      <c r="D5069" s="15" t="s">
        <v>1164</v>
      </c>
      <c r="E5069" s="15" t="s">
        <v>1165</v>
      </c>
    </row>
    <row r="5070" spans="2:5">
      <c r="B5070" s="15" t="s">
        <v>6791</v>
      </c>
      <c r="C5070" s="15" t="s">
        <v>1148</v>
      </c>
      <c r="D5070" s="15" t="s">
        <v>1166</v>
      </c>
      <c r="E5070" s="15" t="s">
        <v>1167</v>
      </c>
    </row>
    <row r="5071" spans="2:5">
      <c r="B5071" s="15" t="s">
        <v>6791</v>
      </c>
      <c r="C5071" s="15" t="s">
        <v>1148</v>
      </c>
      <c r="D5071" s="15" t="s">
        <v>1168</v>
      </c>
      <c r="E5071" s="15" t="s">
        <v>235</v>
      </c>
    </row>
    <row r="5072" spans="2:5">
      <c r="B5072" s="15" t="s">
        <v>6791</v>
      </c>
      <c r="C5072" s="15" t="s">
        <v>1148</v>
      </c>
      <c r="D5072" s="15" t="s">
        <v>1169</v>
      </c>
      <c r="E5072" s="15" t="s">
        <v>1170</v>
      </c>
    </row>
    <row r="5073" spans="2:5">
      <c r="B5073" s="15" t="s">
        <v>6791</v>
      </c>
      <c r="C5073" s="15" t="s">
        <v>1148</v>
      </c>
      <c r="D5073" s="15" t="s">
        <v>1171</v>
      </c>
      <c r="E5073" s="15" t="s">
        <v>1172</v>
      </c>
    </row>
    <row r="5074" spans="2:5">
      <c r="B5074" s="15" t="s">
        <v>6791</v>
      </c>
      <c r="C5074" s="15" t="s">
        <v>1148</v>
      </c>
      <c r="D5074" s="15" t="s">
        <v>1173</v>
      </c>
      <c r="E5074" s="15" t="s">
        <v>1174</v>
      </c>
    </row>
    <row r="5075" spans="2:5">
      <c r="B5075" s="15" t="s">
        <v>6791</v>
      </c>
      <c r="C5075" s="15" t="s">
        <v>1148</v>
      </c>
      <c r="D5075" s="15" t="s">
        <v>1175</v>
      </c>
      <c r="E5075" s="15" t="s">
        <v>1176</v>
      </c>
    </row>
    <row r="5076" spans="2:5">
      <c r="B5076" s="15" t="s">
        <v>6791</v>
      </c>
      <c r="C5076" s="15" t="s">
        <v>1148</v>
      </c>
      <c r="D5076" s="15" t="s">
        <v>1177</v>
      </c>
      <c r="E5076" s="15" t="s">
        <v>1178</v>
      </c>
    </row>
    <row r="5077" spans="2:5">
      <c r="B5077" s="15" t="s">
        <v>6791</v>
      </c>
      <c r="C5077" s="15" t="s">
        <v>1148</v>
      </c>
      <c r="D5077" s="15" t="s">
        <v>1179</v>
      </c>
      <c r="E5077" s="15" t="s">
        <v>1180</v>
      </c>
    </row>
    <row r="5078" spans="2:5">
      <c r="B5078" s="15" t="s">
        <v>6791</v>
      </c>
      <c r="C5078" s="15" t="s">
        <v>1148</v>
      </c>
      <c r="D5078" s="15" t="s">
        <v>1181</v>
      </c>
      <c r="E5078" s="15" t="s">
        <v>1182</v>
      </c>
    </row>
    <row r="5079" ht="15.95" spans="2:2">
      <c r="B5079" s="122" t="s">
        <v>6792</v>
      </c>
    </row>
    <row r="5080" spans="2:5">
      <c r="B5080" s="15" t="s">
        <v>6793</v>
      </c>
      <c r="C5080" s="15" t="s">
        <v>6794</v>
      </c>
      <c r="D5080" s="15" t="s">
        <v>933</v>
      </c>
      <c r="E5080" s="15" t="s">
        <v>6795</v>
      </c>
    </row>
    <row r="5081" spans="2:5">
      <c r="B5081" s="15" t="s">
        <v>6793</v>
      </c>
      <c r="C5081" s="15" t="s">
        <v>6794</v>
      </c>
      <c r="D5081" s="15" t="s">
        <v>937</v>
      </c>
      <c r="E5081" s="15" t="s">
        <v>6796</v>
      </c>
    </row>
    <row r="5082" spans="2:5">
      <c r="B5082" s="15" t="s">
        <v>6793</v>
      </c>
      <c r="C5082" s="15" t="s">
        <v>6794</v>
      </c>
      <c r="D5082" s="15" t="s">
        <v>939</v>
      </c>
      <c r="E5082" s="15" t="s">
        <v>6797</v>
      </c>
    </row>
    <row r="5083" ht="15.95" spans="2:2">
      <c r="B5083" s="122" t="s">
        <v>6798</v>
      </c>
    </row>
    <row r="5084" spans="2:5">
      <c r="B5084" s="15" t="s">
        <v>6799</v>
      </c>
      <c r="C5084" s="15" t="s">
        <v>6799</v>
      </c>
      <c r="D5084" s="15" t="s">
        <v>723</v>
      </c>
      <c r="E5084" s="15" t="s">
        <v>6800</v>
      </c>
    </row>
    <row r="5085" spans="2:5">
      <c r="B5085" s="15" t="s">
        <v>6799</v>
      </c>
      <c r="C5085" s="15" t="s">
        <v>6799</v>
      </c>
      <c r="D5085" s="15" t="s">
        <v>725</v>
      </c>
      <c r="E5085" s="15" t="s">
        <v>1203</v>
      </c>
    </row>
    <row r="5086" spans="2:5">
      <c r="B5086" s="15" t="s">
        <v>6799</v>
      </c>
      <c r="C5086" s="15" t="s">
        <v>6799</v>
      </c>
      <c r="D5086" s="15" t="s">
        <v>727</v>
      </c>
      <c r="E5086" s="15" t="s">
        <v>6801</v>
      </c>
    </row>
    <row r="5087" ht="15.95" spans="2:2">
      <c r="B5087" s="122" t="s">
        <v>6802</v>
      </c>
    </row>
    <row r="5088" spans="2:5">
      <c r="B5088" s="15" t="s">
        <v>6803</v>
      </c>
      <c r="C5088" s="15" t="s">
        <v>896</v>
      </c>
      <c r="D5088" s="15" t="s">
        <v>770</v>
      </c>
      <c r="E5088" s="15" t="s">
        <v>4517</v>
      </c>
    </row>
    <row r="5089" spans="2:5">
      <c r="B5089" s="15" t="s">
        <v>6803</v>
      </c>
      <c r="C5089" s="15" t="s">
        <v>896</v>
      </c>
      <c r="D5089" s="15" t="s">
        <v>772</v>
      </c>
      <c r="E5089" s="15" t="s">
        <v>4518</v>
      </c>
    </row>
    <row r="5090" spans="2:5">
      <c r="B5090" s="15" t="s">
        <v>6803</v>
      </c>
      <c r="C5090" s="15" t="s">
        <v>896</v>
      </c>
      <c r="D5090" s="15" t="s">
        <v>774</v>
      </c>
      <c r="E5090" s="15" t="s">
        <v>4519</v>
      </c>
    </row>
    <row r="5091" spans="2:5">
      <c r="B5091" s="15" t="s">
        <v>6803</v>
      </c>
      <c r="C5091" s="15" t="s">
        <v>896</v>
      </c>
      <c r="D5091" s="15" t="s">
        <v>828</v>
      </c>
      <c r="E5091" s="15" t="s">
        <v>4520</v>
      </c>
    </row>
    <row r="5092" spans="2:5">
      <c r="B5092" s="15" t="s">
        <v>6803</v>
      </c>
      <c r="C5092" s="15" t="s">
        <v>896</v>
      </c>
      <c r="D5092" s="15" t="s">
        <v>901</v>
      </c>
      <c r="E5092" s="15" t="s">
        <v>4521</v>
      </c>
    </row>
    <row r="5093" ht="15.95" spans="2:2">
      <c r="B5093" s="122" t="s">
        <v>6804</v>
      </c>
    </row>
    <row r="5094" spans="2:5">
      <c r="B5094" s="15" t="s">
        <v>6805</v>
      </c>
      <c r="C5094" s="15" t="s">
        <v>6806</v>
      </c>
      <c r="D5094" s="15" t="s">
        <v>770</v>
      </c>
      <c r="E5094" s="15" t="s">
        <v>6807</v>
      </c>
    </row>
    <row r="5095" spans="2:5">
      <c r="B5095" s="15" t="s">
        <v>6805</v>
      </c>
      <c r="C5095" s="15" t="s">
        <v>6806</v>
      </c>
      <c r="D5095" s="15" t="s">
        <v>772</v>
      </c>
      <c r="E5095" s="15" t="s">
        <v>6808</v>
      </c>
    </row>
    <row r="5096" ht="15.95" spans="2:2">
      <c r="B5096" s="122" t="s">
        <v>6809</v>
      </c>
    </row>
    <row r="5097" spans="2:5">
      <c r="B5097" s="15" t="s">
        <v>6810</v>
      </c>
      <c r="C5097" s="15" t="s">
        <v>6811</v>
      </c>
      <c r="D5097" s="15" t="s">
        <v>1432</v>
      </c>
      <c r="E5097" s="15" t="s">
        <v>862</v>
      </c>
    </row>
    <row r="5098" spans="2:5">
      <c r="B5098" s="15" t="s">
        <v>6810</v>
      </c>
      <c r="C5098" s="15" t="s">
        <v>6811</v>
      </c>
      <c r="D5098" s="15" t="s">
        <v>723</v>
      </c>
      <c r="E5098" s="15" t="s">
        <v>6812</v>
      </c>
    </row>
    <row r="5099" spans="2:5">
      <c r="B5099" s="15" t="s">
        <v>6810</v>
      </c>
      <c r="C5099" s="15" t="s">
        <v>6811</v>
      </c>
      <c r="D5099" s="15" t="s">
        <v>725</v>
      </c>
      <c r="E5099" s="15" t="s">
        <v>6813</v>
      </c>
    </row>
    <row r="5100" spans="2:5">
      <c r="B5100" s="15" t="s">
        <v>6810</v>
      </c>
      <c r="C5100" s="15" t="s">
        <v>6811</v>
      </c>
      <c r="D5100" s="15" t="s">
        <v>727</v>
      </c>
      <c r="E5100" s="15" t="s">
        <v>6814</v>
      </c>
    </row>
    <row r="5101" spans="2:5">
      <c r="B5101" s="15" t="s">
        <v>6810</v>
      </c>
      <c r="C5101" s="15" t="s">
        <v>6811</v>
      </c>
      <c r="D5101" s="15" t="s">
        <v>765</v>
      </c>
      <c r="E5101" s="15" t="s">
        <v>766</v>
      </c>
    </row>
    <row r="5102" ht="15.95" spans="2:2">
      <c r="B5102" s="122" t="s">
        <v>6815</v>
      </c>
    </row>
    <row r="5103" spans="2:5">
      <c r="B5103" s="15" t="s">
        <v>6816</v>
      </c>
      <c r="C5103" s="15" t="s">
        <v>6817</v>
      </c>
      <c r="D5103" s="15" t="s">
        <v>933</v>
      </c>
      <c r="E5103" s="15" t="s">
        <v>6818</v>
      </c>
    </row>
    <row r="5104" spans="2:5">
      <c r="B5104" s="15" t="s">
        <v>6816</v>
      </c>
      <c r="C5104" s="15" t="s">
        <v>6817</v>
      </c>
      <c r="D5104" s="15" t="s">
        <v>846</v>
      </c>
      <c r="E5104" s="15" t="s">
        <v>6819</v>
      </c>
    </row>
    <row r="5105" spans="2:5">
      <c r="B5105" s="15" t="s">
        <v>6816</v>
      </c>
      <c r="C5105" s="15" t="s">
        <v>6817</v>
      </c>
      <c r="D5105" s="15" t="s">
        <v>713</v>
      </c>
      <c r="E5105" s="15" t="s">
        <v>6820</v>
      </c>
    </row>
    <row r="5106" spans="2:5">
      <c r="B5106" s="15" t="s">
        <v>6816</v>
      </c>
      <c r="C5106" s="15" t="s">
        <v>6817</v>
      </c>
      <c r="D5106" s="15" t="s">
        <v>849</v>
      </c>
      <c r="E5106" s="15" t="s">
        <v>235</v>
      </c>
    </row>
    <row r="5107" spans="2:5">
      <c r="B5107" s="15" t="s">
        <v>6816</v>
      </c>
      <c r="C5107" s="15" t="s">
        <v>6817</v>
      </c>
      <c r="D5107" s="15" t="s">
        <v>937</v>
      </c>
      <c r="E5107" s="15" t="s">
        <v>6821</v>
      </c>
    </row>
    <row r="5108" spans="2:5">
      <c r="B5108" s="15" t="s">
        <v>6816</v>
      </c>
      <c r="C5108" s="15" t="s">
        <v>6817</v>
      </c>
      <c r="D5108" s="15" t="s">
        <v>939</v>
      </c>
      <c r="E5108" s="15" t="s">
        <v>6822</v>
      </c>
    </row>
    <row r="5109" spans="2:5">
      <c r="B5109" s="15" t="s">
        <v>6816</v>
      </c>
      <c r="C5109" s="15" t="s">
        <v>6817</v>
      </c>
      <c r="D5109" s="15" t="s">
        <v>941</v>
      </c>
      <c r="E5109" s="15" t="s">
        <v>6823</v>
      </c>
    </row>
    <row r="5110" spans="2:5">
      <c r="B5110" s="15" t="s">
        <v>6816</v>
      </c>
      <c r="C5110" s="15" t="s">
        <v>6817</v>
      </c>
      <c r="D5110" s="15" t="s">
        <v>1007</v>
      </c>
      <c r="E5110" s="15" t="s">
        <v>6824</v>
      </c>
    </row>
    <row r="5111" spans="2:5">
      <c r="B5111" s="15" t="s">
        <v>6816</v>
      </c>
      <c r="C5111" s="15" t="s">
        <v>6817</v>
      </c>
      <c r="D5111" s="15" t="s">
        <v>1139</v>
      </c>
      <c r="E5111" s="15" t="s">
        <v>6825</v>
      </c>
    </row>
    <row r="5112" spans="2:5">
      <c r="B5112" s="15" t="s">
        <v>6816</v>
      </c>
      <c r="C5112" s="15" t="s">
        <v>6817</v>
      </c>
      <c r="D5112" s="15" t="s">
        <v>1140</v>
      </c>
      <c r="E5112" s="15" t="s">
        <v>6826</v>
      </c>
    </row>
    <row r="5113" spans="2:5">
      <c r="B5113" s="15" t="s">
        <v>6816</v>
      </c>
      <c r="C5113" s="15" t="s">
        <v>6817</v>
      </c>
      <c r="D5113" s="15" t="s">
        <v>1141</v>
      </c>
      <c r="E5113" s="15" t="s">
        <v>6827</v>
      </c>
    </row>
    <row r="5114" spans="2:5">
      <c r="B5114" s="15" t="s">
        <v>6816</v>
      </c>
      <c r="C5114" s="15" t="s">
        <v>6817</v>
      </c>
      <c r="D5114" s="15" t="s">
        <v>1143</v>
      </c>
      <c r="E5114" s="15" t="s">
        <v>6828</v>
      </c>
    </row>
    <row r="5115" spans="2:5">
      <c r="B5115" s="15" t="s">
        <v>6816</v>
      </c>
      <c r="C5115" s="15" t="s">
        <v>6817</v>
      </c>
      <c r="D5115" s="15" t="s">
        <v>2138</v>
      </c>
      <c r="E5115" s="15" t="s">
        <v>6819</v>
      </c>
    </row>
    <row r="5116" spans="2:5">
      <c r="B5116" s="15" t="s">
        <v>6816</v>
      </c>
      <c r="C5116" s="15" t="s">
        <v>6817</v>
      </c>
      <c r="D5116" s="15" t="s">
        <v>6445</v>
      </c>
      <c r="E5116" s="15" t="s">
        <v>6820</v>
      </c>
    </row>
    <row r="5117" spans="2:5">
      <c r="B5117" s="15" t="s">
        <v>6816</v>
      </c>
      <c r="C5117" s="15" t="s">
        <v>6817</v>
      </c>
      <c r="D5117" s="15" t="s">
        <v>6450</v>
      </c>
      <c r="E5117" s="15" t="s">
        <v>235</v>
      </c>
    </row>
    <row r="5118" ht="15.95" spans="2:2">
      <c r="B5118" s="122" t="s">
        <v>6829</v>
      </c>
    </row>
    <row r="5119" spans="2:5">
      <c r="B5119" s="15" t="s">
        <v>6830</v>
      </c>
      <c r="C5119" s="15" t="s">
        <v>6831</v>
      </c>
      <c r="D5119" s="15" t="s">
        <v>6832</v>
      </c>
      <c r="E5119" s="15" t="s">
        <v>6833</v>
      </c>
    </row>
    <row r="5120" spans="2:5">
      <c r="B5120" s="15" t="s">
        <v>6830</v>
      </c>
      <c r="C5120" s="15" t="s">
        <v>6831</v>
      </c>
      <c r="D5120" s="15" t="s">
        <v>6834</v>
      </c>
      <c r="E5120" s="15" t="s">
        <v>6835</v>
      </c>
    </row>
    <row r="5121" ht="15.95" spans="2:2">
      <c r="B5121" s="122" t="s">
        <v>6836</v>
      </c>
    </row>
    <row r="5122" spans="2:5">
      <c r="B5122" s="15" t="s">
        <v>6837</v>
      </c>
      <c r="C5122" s="15" t="s">
        <v>6838</v>
      </c>
      <c r="D5122" s="15" t="s">
        <v>770</v>
      </c>
      <c r="E5122" s="15" t="s">
        <v>6839</v>
      </c>
    </row>
    <row r="5123" spans="2:5">
      <c r="B5123" s="15" t="s">
        <v>6837</v>
      </c>
      <c r="C5123" s="15" t="s">
        <v>6838</v>
      </c>
      <c r="D5123" s="15" t="s">
        <v>772</v>
      </c>
      <c r="E5123" s="15" t="s">
        <v>6840</v>
      </c>
    </row>
    <row r="5124" ht="15.95" spans="2:2">
      <c r="B5124" s="122" t="s">
        <v>6841</v>
      </c>
    </row>
    <row r="5125" spans="2:5">
      <c r="B5125" s="15" t="s">
        <v>6842</v>
      </c>
      <c r="C5125" s="15" t="s">
        <v>138</v>
      </c>
      <c r="D5125" s="15" t="s">
        <v>6843</v>
      </c>
      <c r="E5125" s="15" t="s">
        <v>6844</v>
      </c>
    </row>
    <row r="5126" spans="2:5">
      <c r="B5126" s="15" t="s">
        <v>6842</v>
      </c>
      <c r="C5126" s="15" t="s">
        <v>138</v>
      </c>
      <c r="D5126" s="15" t="s">
        <v>6845</v>
      </c>
      <c r="E5126" s="15" t="s">
        <v>6846</v>
      </c>
    </row>
    <row r="5127" spans="2:5">
      <c r="B5127" s="15" t="s">
        <v>6842</v>
      </c>
      <c r="C5127" s="15" t="s">
        <v>138</v>
      </c>
      <c r="D5127" s="15" t="s">
        <v>6847</v>
      </c>
      <c r="E5127" s="15" t="s">
        <v>6848</v>
      </c>
    </row>
    <row r="5128" spans="2:5">
      <c r="B5128" s="15" t="s">
        <v>6842</v>
      </c>
      <c r="C5128" s="15" t="s">
        <v>138</v>
      </c>
      <c r="D5128" s="15" t="s">
        <v>6849</v>
      </c>
      <c r="E5128" s="15" t="s">
        <v>6850</v>
      </c>
    </row>
    <row r="5129" spans="2:5">
      <c r="B5129" s="15" t="s">
        <v>6842</v>
      </c>
      <c r="C5129" s="15" t="s">
        <v>138</v>
      </c>
      <c r="D5129" s="15" t="s">
        <v>6851</v>
      </c>
      <c r="E5129" s="15" t="s">
        <v>6852</v>
      </c>
    </row>
    <row r="5130" spans="2:5">
      <c r="B5130" s="15" t="s">
        <v>6842</v>
      </c>
      <c r="C5130" s="15" t="s">
        <v>138</v>
      </c>
      <c r="D5130" s="15" t="s">
        <v>6853</v>
      </c>
      <c r="E5130" s="15" t="s">
        <v>6854</v>
      </c>
    </row>
    <row r="5131" spans="2:5">
      <c r="B5131" s="15" t="s">
        <v>6842</v>
      </c>
      <c r="C5131" s="15" t="s">
        <v>138</v>
      </c>
      <c r="D5131" s="15" t="s">
        <v>6855</v>
      </c>
      <c r="E5131" s="15" t="s">
        <v>6856</v>
      </c>
    </row>
    <row r="5132" spans="2:5">
      <c r="B5132" s="15" t="s">
        <v>6842</v>
      </c>
      <c r="C5132" s="15" t="s">
        <v>138</v>
      </c>
      <c r="D5132" s="15" t="s">
        <v>6857</v>
      </c>
      <c r="E5132" s="15" t="s">
        <v>6858</v>
      </c>
    </row>
    <row r="5133" spans="2:5">
      <c r="B5133" s="15" t="s">
        <v>6842</v>
      </c>
      <c r="C5133" s="15" t="s">
        <v>138</v>
      </c>
      <c r="D5133" s="15" t="s">
        <v>6859</v>
      </c>
      <c r="E5133" s="15" t="s">
        <v>6860</v>
      </c>
    </row>
    <row r="5134" spans="2:5">
      <c r="B5134" s="15" t="s">
        <v>6842</v>
      </c>
      <c r="C5134" s="15" t="s">
        <v>138</v>
      </c>
      <c r="D5134" s="15" t="s">
        <v>6861</v>
      </c>
      <c r="E5134" s="15" t="s">
        <v>6862</v>
      </c>
    </row>
    <row r="5135" spans="2:5">
      <c r="B5135" s="15" t="s">
        <v>6842</v>
      </c>
      <c r="C5135" s="15" t="s">
        <v>138</v>
      </c>
      <c r="D5135" s="15" t="s">
        <v>6863</v>
      </c>
      <c r="E5135" s="15" t="s">
        <v>6864</v>
      </c>
    </row>
    <row r="5136" spans="2:5">
      <c r="B5136" s="15" t="s">
        <v>6842</v>
      </c>
      <c r="C5136" s="15" t="s">
        <v>138</v>
      </c>
      <c r="D5136" s="15" t="s">
        <v>6865</v>
      </c>
      <c r="E5136" s="15" t="s">
        <v>6866</v>
      </c>
    </row>
    <row r="5137" spans="2:5">
      <c r="B5137" s="15" t="s">
        <v>6842</v>
      </c>
      <c r="C5137" s="15" t="s">
        <v>138</v>
      </c>
      <c r="D5137" s="15" t="s">
        <v>6867</v>
      </c>
      <c r="E5137" s="15" t="s">
        <v>6868</v>
      </c>
    </row>
    <row r="5138" spans="2:5">
      <c r="B5138" s="15" t="s">
        <v>6842</v>
      </c>
      <c r="C5138" s="15" t="s">
        <v>138</v>
      </c>
      <c r="D5138" s="15" t="s">
        <v>6869</v>
      </c>
      <c r="E5138" s="15" t="s">
        <v>6870</v>
      </c>
    </row>
    <row r="5139" spans="2:5">
      <c r="B5139" s="15" t="s">
        <v>6842</v>
      </c>
      <c r="C5139" s="15" t="s">
        <v>138</v>
      </c>
      <c r="D5139" s="15" t="s">
        <v>6871</v>
      </c>
      <c r="E5139" s="15" t="s">
        <v>6872</v>
      </c>
    </row>
    <row r="5140" spans="2:5">
      <c r="B5140" s="15" t="s">
        <v>6842</v>
      </c>
      <c r="C5140" s="15" t="s">
        <v>138</v>
      </c>
      <c r="D5140" s="15" t="s">
        <v>6873</v>
      </c>
      <c r="E5140" s="15" t="s">
        <v>6874</v>
      </c>
    </row>
    <row r="5141" spans="2:5">
      <c r="B5141" s="15" t="s">
        <v>6842</v>
      </c>
      <c r="C5141" s="15" t="s">
        <v>138</v>
      </c>
      <c r="D5141" s="15" t="s">
        <v>6875</v>
      </c>
      <c r="E5141" s="15" t="s">
        <v>6876</v>
      </c>
    </row>
    <row r="5142" spans="2:5">
      <c r="B5142" s="15" t="s">
        <v>6842</v>
      </c>
      <c r="C5142" s="15" t="s">
        <v>138</v>
      </c>
      <c r="D5142" s="15" t="s">
        <v>6877</v>
      </c>
      <c r="E5142" s="15" t="s">
        <v>6878</v>
      </c>
    </row>
    <row r="5143" spans="2:5">
      <c r="B5143" s="15" t="s">
        <v>6842</v>
      </c>
      <c r="C5143" s="15" t="s">
        <v>138</v>
      </c>
      <c r="D5143" s="15" t="s">
        <v>6879</v>
      </c>
      <c r="E5143" s="15" t="s">
        <v>6880</v>
      </c>
    </row>
    <row r="5144" spans="2:5">
      <c r="B5144" s="15" t="s">
        <v>6842</v>
      </c>
      <c r="C5144" s="15" t="s">
        <v>138</v>
      </c>
      <c r="D5144" s="15" t="s">
        <v>6881</v>
      </c>
      <c r="E5144" s="15" t="s">
        <v>6882</v>
      </c>
    </row>
    <row r="5145" spans="2:5">
      <c r="B5145" s="15" t="s">
        <v>6842</v>
      </c>
      <c r="C5145" s="15" t="s">
        <v>138</v>
      </c>
      <c r="D5145" s="15" t="s">
        <v>6883</v>
      </c>
      <c r="E5145" s="15" t="s">
        <v>6884</v>
      </c>
    </row>
    <row r="5146" ht="15.95" spans="2:2">
      <c r="B5146" s="122" t="s">
        <v>6885</v>
      </c>
    </row>
    <row r="5147" spans="2:5">
      <c r="B5147" s="15" t="s">
        <v>6886</v>
      </c>
      <c r="C5147" s="15" t="s">
        <v>6887</v>
      </c>
      <c r="D5147" s="15" t="s">
        <v>770</v>
      </c>
      <c r="E5147" s="15" t="s">
        <v>6888</v>
      </c>
    </row>
    <row r="5148" spans="2:5">
      <c r="B5148" s="15" t="s">
        <v>6886</v>
      </c>
      <c r="C5148" s="15" t="s">
        <v>6887</v>
      </c>
      <c r="D5148" s="15" t="s">
        <v>772</v>
      </c>
      <c r="E5148" s="15" t="s">
        <v>6889</v>
      </c>
    </row>
    <row r="5149" spans="2:5">
      <c r="B5149" s="15" t="s">
        <v>6886</v>
      </c>
      <c r="C5149" s="15" t="s">
        <v>6887</v>
      </c>
      <c r="D5149" s="15" t="s">
        <v>774</v>
      </c>
      <c r="E5149" s="15" t="s">
        <v>6890</v>
      </c>
    </row>
    <row r="5150" ht="15.95" spans="2:2">
      <c r="B5150" s="122" t="s">
        <v>6891</v>
      </c>
    </row>
    <row r="5151" spans="2:5">
      <c r="B5151" s="15" t="s">
        <v>6892</v>
      </c>
      <c r="C5151" s="15" t="s">
        <v>1859</v>
      </c>
      <c r="D5151" s="15" t="s">
        <v>723</v>
      </c>
      <c r="E5151" s="15" t="s">
        <v>1860</v>
      </c>
    </row>
    <row r="5152" spans="2:5">
      <c r="B5152" s="15" t="s">
        <v>6892</v>
      </c>
      <c r="C5152" s="15" t="s">
        <v>1859</v>
      </c>
      <c r="D5152" s="15" t="s">
        <v>725</v>
      </c>
      <c r="E5152" s="15" t="s">
        <v>1861</v>
      </c>
    </row>
    <row r="5153" ht="15.95" spans="2:2">
      <c r="B5153" s="122" t="s">
        <v>6893</v>
      </c>
    </row>
    <row r="5154" spans="2:5">
      <c r="B5154" s="15" t="s">
        <v>6894</v>
      </c>
      <c r="C5154" s="15" t="s">
        <v>6895</v>
      </c>
      <c r="D5154" s="15" t="s">
        <v>723</v>
      </c>
      <c r="E5154" s="15" t="s">
        <v>3061</v>
      </c>
    </row>
    <row r="5155" spans="2:5">
      <c r="B5155" s="15" t="s">
        <v>6894</v>
      </c>
      <c r="C5155" s="15" t="s">
        <v>6895</v>
      </c>
      <c r="D5155" s="15" t="s">
        <v>725</v>
      </c>
      <c r="E5155" s="15" t="s">
        <v>4274</v>
      </c>
    </row>
    <row r="5156" ht="15.95" spans="2:2">
      <c r="B5156" s="122" t="s">
        <v>6896</v>
      </c>
    </row>
    <row r="5157" spans="2:5">
      <c r="B5157" s="15" t="s">
        <v>6897</v>
      </c>
      <c r="C5157" s="15" t="s">
        <v>6897</v>
      </c>
      <c r="D5157" s="15" t="s">
        <v>1555</v>
      </c>
      <c r="E5157" s="15" t="s">
        <v>6898</v>
      </c>
    </row>
    <row r="5158" spans="2:5">
      <c r="B5158" s="15" t="s">
        <v>6897</v>
      </c>
      <c r="C5158" s="15" t="s">
        <v>6897</v>
      </c>
      <c r="D5158" s="15" t="s">
        <v>1557</v>
      </c>
      <c r="E5158" s="15" t="s">
        <v>6899</v>
      </c>
    </row>
    <row r="5159" spans="2:5">
      <c r="B5159" s="15" t="s">
        <v>6897</v>
      </c>
      <c r="C5159" s="15" t="s">
        <v>6897</v>
      </c>
      <c r="D5159" s="15" t="s">
        <v>1559</v>
      </c>
      <c r="E5159" s="15" t="s">
        <v>6900</v>
      </c>
    </row>
    <row r="5160" spans="2:5">
      <c r="B5160" s="15" t="s">
        <v>6897</v>
      </c>
      <c r="C5160" s="15" t="s">
        <v>6897</v>
      </c>
      <c r="D5160" s="15" t="s">
        <v>1561</v>
      </c>
      <c r="E5160" s="15" t="s">
        <v>6901</v>
      </c>
    </row>
    <row r="5161" spans="2:5">
      <c r="B5161" s="15" t="s">
        <v>6897</v>
      </c>
      <c r="C5161" s="15" t="s">
        <v>6897</v>
      </c>
      <c r="D5161" s="15" t="s">
        <v>1565</v>
      </c>
      <c r="E5161" s="15" t="s">
        <v>6902</v>
      </c>
    </row>
    <row r="5162" spans="2:5">
      <c r="B5162" s="15" t="s">
        <v>6897</v>
      </c>
      <c r="C5162" s="15" t="s">
        <v>6897</v>
      </c>
      <c r="D5162" s="15" t="s">
        <v>1567</v>
      </c>
      <c r="E5162" s="15" t="s">
        <v>6903</v>
      </c>
    </row>
    <row r="5163" spans="2:5">
      <c r="B5163" s="15" t="s">
        <v>6897</v>
      </c>
      <c r="C5163" s="15" t="s">
        <v>6897</v>
      </c>
      <c r="D5163" s="15" t="s">
        <v>1569</v>
      </c>
      <c r="E5163" s="15" t="s">
        <v>6904</v>
      </c>
    </row>
    <row r="5164" spans="2:5">
      <c r="B5164" s="15" t="s">
        <v>6897</v>
      </c>
      <c r="C5164" s="15" t="s">
        <v>6897</v>
      </c>
      <c r="D5164" s="15" t="s">
        <v>1571</v>
      </c>
      <c r="E5164" s="15" t="s">
        <v>6905</v>
      </c>
    </row>
    <row r="5165" spans="2:5">
      <c r="B5165" s="15" t="s">
        <v>6897</v>
      </c>
      <c r="C5165" s="15" t="s">
        <v>6897</v>
      </c>
      <c r="D5165" s="15" t="s">
        <v>1573</v>
      </c>
      <c r="E5165" s="15" t="s">
        <v>6906</v>
      </c>
    </row>
    <row r="5166" spans="2:5">
      <c r="B5166" s="15" t="s">
        <v>6897</v>
      </c>
      <c r="C5166" s="15" t="s">
        <v>6897</v>
      </c>
      <c r="D5166" s="15" t="s">
        <v>1575</v>
      </c>
      <c r="E5166" s="15" t="s">
        <v>6907</v>
      </c>
    </row>
    <row r="5167" spans="2:5">
      <c r="B5167" s="15" t="s">
        <v>6897</v>
      </c>
      <c r="C5167" s="15" t="s">
        <v>6897</v>
      </c>
      <c r="D5167" s="15" t="s">
        <v>1577</v>
      </c>
      <c r="E5167" s="15" t="s">
        <v>6908</v>
      </c>
    </row>
    <row r="5168" spans="2:5">
      <c r="B5168" s="15" t="s">
        <v>6897</v>
      </c>
      <c r="C5168" s="15" t="s">
        <v>6897</v>
      </c>
      <c r="D5168" s="15" t="s">
        <v>1579</v>
      </c>
      <c r="E5168" s="15" t="s">
        <v>1582</v>
      </c>
    </row>
    <row r="5169" ht="15.95" spans="2:2">
      <c r="B5169" s="122" t="s">
        <v>6909</v>
      </c>
    </row>
    <row r="5170" spans="2:5">
      <c r="B5170" s="15" t="s">
        <v>6910</v>
      </c>
      <c r="C5170" s="15" t="s">
        <v>6911</v>
      </c>
      <c r="D5170" s="15" t="s">
        <v>917</v>
      </c>
      <c r="E5170" s="15" t="s">
        <v>953</v>
      </c>
    </row>
    <row r="5171" spans="2:5">
      <c r="B5171" s="15" t="s">
        <v>6910</v>
      </c>
      <c r="C5171" s="15" t="s">
        <v>6911</v>
      </c>
      <c r="D5171" s="15" t="s">
        <v>919</v>
      </c>
      <c r="E5171" s="15" t="s">
        <v>954</v>
      </c>
    </row>
    <row r="5172" spans="2:5">
      <c r="B5172" s="15" t="s">
        <v>6910</v>
      </c>
      <c r="C5172" s="15" t="s">
        <v>6911</v>
      </c>
      <c r="D5172" s="15" t="s">
        <v>955</v>
      </c>
      <c r="E5172" s="15" t="s">
        <v>956</v>
      </c>
    </row>
    <row r="5173" ht="15.95" spans="2:2">
      <c r="B5173" s="122" t="s">
        <v>6912</v>
      </c>
    </row>
    <row r="5174" spans="2:5">
      <c r="B5174" s="15" t="s">
        <v>6913</v>
      </c>
      <c r="C5174" s="15" t="s">
        <v>6914</v>
      </c>
      <c r="D5174" s="15" t="s">
        <v>770</v>
      </c>
      <c r="E5174" s="15" t="s">
        <v>6915</v>
      </c>
    </row>
    <row r="5175" spans="2:5">
      <c r="B5175" s="15" t="s">
        <v>6913</v>
      </c>
      <c r="C5175" s="15" t="s">
        <v>6914</v>
      </c>
      <c r="D5175" s="15" t="s">
        <v>772</v>
      </c>
      <c r="E5175" s="15" t="s">
        <v>6916</v>
      </c>
    </row>
    <row r="5176" spans="2:5">
      <c r="B5176" s="15" t="s">
        <v>6913</v>
      </c>
      <c r="C5176" s="15" t="s">
        <v>6914</v>
      </c>
      <c r="D5176" s="15" t="s">
        <v>774</v>
      </c>
      <c r="E5176" s="15" t="s">
        <v>6917</v>
      </c>
    </row>
    <row r="5177" spans="2:5">
      <c r="B5177" s="15" t="s">
        <v>6913</v>
      </c>
      <c r="C5177" s="15" t="s">
        <v>6914</v>
      </c>
      <c r="D5177" s="15" t="s">
        <v>828</v>
      </c>
      <c r="E5177" s="15" t="s">
        <v>6918</v>
      </c>
    </row>
    <row r="5178" ht="15.95" spans="2:2">
      <c r="B5178" s="122" t="s">
        <v>6919</v>
      </c>
    </row>
    <row r="5179" spans="2:5">
      <c r="B5179" s="15" t="s">
        <v>6920</v>
      </c>
      <c r="C5179" s="15" t="s">
        <v>6921</v>
      </c>
      <c r="D5179" s="15" t="s">
        <v>1267</v>
      </c>
      <c r="E5179" s="15" t="s">
        <v>1268</v>
      </c>
    </row>
    <row r="5180" spans="2:5">
      <c r="B5180" s="15" t="s">
        <v>6920</v>
      </c>
      <c r="C5180" s="15" t="s">
        <v>6921</v>
      </c>
      <c r="D5180" s="15" t="s">
        <v>1269</v>
      </c>
      <c r="E5180" s="15" t="s">
        <v>1270</v>
      </c>
    </row>
    <row r="5181" ht="15.95" spans="2:2">
      <c r="B5181" s="122" t="s">
        <v>6922</v>
      </c>
    </row>
    <row r="5182" spans="2:5">
      <c r="B5182" s="15" t="s">
        <v>6923</v>
      </c>
      <c r="C5182" s="15" t="s">
        <v>6924</v>
      </c>
      <c r="D5182" s="15" t="s">
        <v>1432</v>
      </c>
      <c r="E5182" s="15" t="s">
        <v>6925</v>
      </c>
    </row>
    <row r="5183" spans="2:5">
      <c r="B5183" s="15" t="s">
        <v>6923</v>
      </c>
      <c r="C5183" s="15" t="s">
        <v>6924</v>
      </c>
      <c r="D5183" s="15" t="s">
        <v>723</v>
      </c>
      <c r="E5183" s="15" t="s">
        <v>6926</v>
      </c>
    </row>
    <row r="5184" ht="15.95" spans="2:2">
      <c r="B5184" s="122" t="s">
        <v>6927</v>
      </c>
    </row>
    <row r="5185" spans="2:5">
      <c r="B5185" s="15" t="s">
        <v>945</v>
      </c>
      <c r="C5185" s="15" t="s">
        <v>945</v>
      </c>
      <c r="D5185" s="15" t="s">
        <v>723</v>
      </c>
      <c r="E5185" s="15" t="s">
        <v>6928</v>
      </c>
    </row>
    <row r="5186" spans="2:5">
      <c r="B5186" s="15" t="s">
        <v>945</v>
      </c>
      <c r="C5186" s="15" t="s">
        <v>945</v>
      </c>
      <c r="D5186" s="15" t="s">
        <v>725</v>
      </c>
      <c r="E5186" s="15" t="s">
        <v>6929</v>
      </c>
    </row>
    <row r="5187" spans="2:5">
      <c r="B5187" s="15" t="s">
        <v>945</v>
      </c>
      <c r="C5187" s="15" t="s">
        <v>945</v>
      </c>
      <c r="D5187" s="15" t="s">
        <v>727</v>
      </c>
      <c r="E5187" s="15" t="s">
        <v>6930</v>
      </c>
    </row>
    <row r="5188" spans="2:5">
      <c r="B5188" s="15" t="s">
        <v>945</v>
      </c>
      <c r="C5188" s="15" t="s">
        <v>945</v>
      </c>
      <c r="D5188" s="15" t="s">
        <v>729</v>
      </c>
      <c r="E5188" s="15" t="s">
        <v>6931</v>
      </c>
    </row>
    <row r="5189" spans="2:5">
      <c r="B5189" s="15" t="s">
        <v>945</v>
      </c>
      <c r="C5189" s="15" t="s">
        <v>945</v>
      </c>
      <c r="D5189" s="15" t="s">
        <v>760</v>
      </c>
      <c r="E5189" s="15" t="s">
        <v>6932</v>
      </c>
    </row>
    <row r="5190" spans="2:5">
      <c r="B5190" s="15" t="s">
        <v>945</v>
      </c>
      <c r="C5190" s="15" t="s">
        <v>945</v>
      </c>
      <c r="D5190" s="15" t="s">
        <v>762</v>
      </c>
      <c r="E5190" s="15" t="s">
        <v>6933</v>
      </c>
    </row>
    <row r="5191" spans="2:5">
      <c r="B5191" s="15" t="s">
        <v>945</v>
      </c>
      <c r="C5191" s="15" t="s">
        <v>945</v>
      </c>
      <c r="D5191" s="15" t="s">
        <v>764</v>
      </c>
      <c r="E5191" s="15" t="s">
        <v>6934</v>
      </c>
    </row>
    <row r="5192" spans="2:5">
      <c r="B5192" s="15" t="s">
        <v>945</v>
      </c>
      <c r="C5192" s="15" t="s">
        <v>945</v>
      </c>
      <c r="D5192" s="15" t="s">
        <v>1587</v>
      </c>
      <c r="E5192" s="15" t="s">
        <v>6935</v>
      </c>
    </row>
    <row r="5193" spans="2:5">
      <c r="B5193" s="15" t="s">
        <v>945</v>
      </c>
      <c r="C5193" s="15" t="s">
        <v>945</v>
      </c>
      <c r="D5193" s="15" t="s">
        <v>765</v>
      </c>
      <c r="E5193" s="15" t="s">
        <v>6936</v>
      </c>
    </row>
    <row r="5194" ht="15.95" spans="2:2">
      <c r="B5194" s="122" t="s">
        <v>6937</v>
      </c>
    </row>
    <row r="5195" spans="2:5">
      <c r="B5195" s="15" t="s">
        <v>6938</v>
      </c>
      <c r="C5195" s="15" t="s">
        <v>6939</v>
      </c>
      <c r="D5195" s="15" t="s">
        <v>1267</v>
      </c>
      <c r="E5195" s="15" t="s">
        <v>1268</v>
      </c>
    </row>
    <row r="5196" spans="2:5">
      <c r="B5196" s="15" t="s">
        <v>6938</v>
      </c>
      <c r="C5196" s="15" t="s">
        <v>6939</v>
      </c>
      <c r="D5196" s="15" t="s">
        <v>1269</v>
      </c>
      <c r="E5196" s="15" t="s">
        <v>1270</v>
      </c>
    </row>
    <row r="5197" ht="15.95" spans="2:2">
      <c r="B5197" s="122" t="s">
        <v>6940</v>
      </c>
    </row>
    <row r="5198" spans="2:5">
      <c r="B5198" s="15" t="s">
        <v>6941</v>
      </c>
      <c r="C5198" s="15" t="s">
        <v>6942</v>
      </c>
      <c r="D5198" s="15" t="s">
        <v>5194</v>
      </c>
      <c r="E5198" s="15" t="s">
        <v>6943</v>
      </c>
    </row>
    <row r="5199" spans="2:5">
      <c r="B5199" s="15" t="s">
        <v>6941</v>
      </c>
      <c r="C5199" s="15" t="s">
        <v>6942</v>
      </c>
      <c r="D5199" s="15" t="s">
        <v>5196</v>
      </c>
      <c r="E5199" s="15" t="s">
        <v>6944</v>
      </c>
    </row>
    <row r="5200" spans="2:5">
      <c r="B5200" s="15" t="s">
        <v>6941</v>
      </c>
      <c r="C5200" s="15" t="s">
        <v>6942</v>
      </c>
      <c r="D5200" s="15" t="s">
        <v>5198</v>
      </c>
      <c r="E5200" s="15" t="s">
        <v>6945</v>
      </c>
    </row>
    <row r="5201" spans="2:5">
      <c r="B5201" s="15" t="s">
        <v>6941</v>
      </c>
      <c r="C5201" s="15" t="s">
        <v>6942</v>
      </c>
      <c r="D5201" s="15" t="s">
        <v>6946</v>
      </c>
      <c r="E5201" s="15" t="s">
        <v>6947</v>
      </c>
    </row>
    <row r="5202" spans="2:5">
      <c r="B5202" s="15" t="s">
        <v>6941</v>
      </c>
      <c r="C5202" s="15" t="s">
        <v>6942</v>
      </c>
      <c r="D5202" s="15" t="s">
        <v>6948</v>
      </c>
      <c r="E5202" s="15" t="s">
        <v>6949</v>
      </c>
    </row>
    <row r="5203" spans="2:5">
      <c r="B5203" s="15" t="s">
        <v>6941</v>
      </c>
      <c r="C5203" s="15" t="s">
        <v>6942</v>
      </c>
      <c r="D5203" s="15" t="s">
        <v>939</v>
      </c>
      <c r="E5203" s="15" t="s">
        <v>6950</v>
      </c>
    </row>
    <row r="5204" spans="2:5">
      <c r="B5204" s="15" t="s">
        <v>6941</v>
      </c>
      <c r="C5204" s="15" t="s">
        <v>6942</v>
      </c>
      <c r="D5204" s="15" t="s">
        <v>941</v>
      </c>
      <c r="E5204" s="15" t="s">
        <v>6951</v>
      </c>
    </row>
    <row r="5205" spans="2:5">
      <c r="B5205" s="15" t="s">
        <v>6941</v>
      </c>
      <c r="C5205" s="15" t="s">
        <v>6942</v>
      </c>
      <c r="D5205" s="15" t="s">
        <v>760</v>
      </c>
      <c r="E5205" s="15" t="s">
        <v>1439</v>
      </c>
    </row>
    <row r="5206" ht="15.95" spans="2:2">
      <c r="B5206" s="122" t="s">
        <v>6952</v>
      </c>
    </row>
    <row r="5207" spans="2:5">
      <c r="B5207" s="15" t="s">
        <v>6953</v>
      </c>
      <c r="C5207" s="15" t="s">
        <v>6954</v>
      </c>
      <c r="D5207" s="15" t="s">
        <v>635</v>
      </c>
      <c r="E5207" s="15" t="s">
        <v>6955</v>
      </c>
    </row>
    <row r="5208" spans="2:5">
      <c r="B5208" s="15" t="s">
        <v>6953</v>
      </c>
      <c r="C5208" s="15" t="s">
        <v>6954</v>
      </c>
      <c r="D5208" s="15" t="s">
        <v>659</v>
      </c>
      <c r="E5208" s="15" t="s">
        <v>6956</v>
      </c>
    </row>
    <row r="5209" spans="2:5">
      <c r="B5209" s="15" t="s">
        <v>6953</v>
      </c>
      <c r="C5209" s="15" t="s">
        <v>6954</v>
      </c>
      <c r="D5209" s="15" t="s">
        <v>933</v>
      </c>
      <c r="E5209" s="15" t="s">
        <v>6957</v>
      </c>
    </row>
    <row r="5210" ht="15.95" spans="2:2">
      <c r="B5210" s="122" t="s">
        <v>6958</v>
      </c>
    </row>
    <row r="5211" spans="2:5">
      <c r="B5211" s="15" t="s">
        <v>6959</v>
      </c>
      <c r="C5211" s="15" t="s">
        <v>6960</v>
      </c>
      <c r="D5211" s="15" t="s">
        <v>933</v>
      </c>
      <c r="E5211" s="15" t="s">
        <v>2585</v>
      </c>
    </row>
    <row r="5212" spans="2:5">
      <c r="B5212" s="15" t="s">
        <v>6959</v>
      </c>
      <c r="C5212" s="15" t="s">
        <v>6960</v>
      </c>
      <c r="D5212" s="15" t="s">
        <v>917</v>
      </c>
      <c r="E5212" s="15" t="s">
        <v>6961</v>
      </c>
    </row>
    <row r="5213" spans="2:5">
      <c r="B5213" s="15" t="s">
        <v>6959</v>
      </c>
      <c r="C5213" s="15" t="s">
        <v>6960</v>
      </c>
      <c r="D5213" s="15" t="s">
        <v>919</v>
      </c>
      <c r="E5213" s="15" t="s">
        <v>6962</v>
      </c>
    </row>
    <row r="5214" spans="2:5">
      <c r="B5214" s="15" t="s">
        <v>6959</v>
      </c>
      <c r="C5214" s="15" t="s">
        <v>6960</v>
      </c>
      <c r="D5214" s="15" t="s">
        <v>1091</v>
      </c>
      <c r="E5214" s="15" t="s">
        <v>6963</v>
      </c>
    </row>
    <row r="5215" spans="2:5">
      <c r="B5215" s="15" t="s">
        <v>6959</v>
      </c>
      <c r="C5215" s="15" t="s">
        <v>6960</v>
      </c>
      <c r="D5215" s="15" t="s">
        <v>921</v>
      </c>
      <c r="E5215" s="15" t="s">
        <v>6964</v>
      </c>
    </row>
    <row r="5216" ht="15.95" spans="2:2">
      <c r="B5216" s="122" t="s">
        <v>6965</v>
      </c>
    </row>
    <row r="5217" spans="2:5">
      <c r="B5217" s="15" t="s">
        <v>6966</v>
      </c>
      <c r="C5217" s="15" t="s">
        <v>6967</v>
      </c>
      <c r="D5217" s="15" t="s">
        <v>770</v>
      </c>
      <c r="E5217" s="15" t="s">
        <v>1726</v>
      </c>
    </row>
    <row r="5218" spans="2:5">
      <c r="B5218" s="15" t="s">
        <v>6966</v>
      </c>
      <c r="C5218" s="15" t="s">
        <v>6967</v>
      </c>
      <c r="D5218" s="15" t="s">
        <v>772</v>
      </c>
      <c r="E5218" s="15" t="s">
        <v>6968</v>
      </c>
    </row>
    <row r="5219" ht="15.95" spans="2:2">
      <c r="B5219" s="122" t="s">
        <v>6969</v>
      </c>
    </row>
    <row r="5220" spans="2:5">
      <c r="B5220" s="15" t="s">
        <v>6970</v>
      </c>
      <c r="C5220" s="15" t="s">
        <v>6971</v>
      </c>
      <c r="D5220" s="15" t="s">
        <v>5718</v>
      </c>
      <c r="E5220" s="15" t="s">
        <v>6972</v>
      </c>
    </row>
    <row r="5221" spans="2:5">
      <c r="B5221" s="15" t="s">
        <v>6970</v>
      </c>
      <c r="C5221" s="15" t="s">
        <v>6971</v>
      </c>
      <c r="D5221" s="15" t="s">
        <v>5720</v>
      </c>
      <c r="E5221" s="15" t="s">
        <v>6973</v>
      </c>
    </row>
    <row r="5222" spans="2:5">
      <c r="B5222" s="15" t="s">
        <v>6970</v>
      </c>
      <c r="C5222" s="15" t="s">
        <v>6971</v>
      </c>
      <c r="D5222" s="15" t="s">
        <v>5722</v>
      </c>
      <c r="E5222" s="15" t="s">
        <v>6974</v>
      </c>
    </row>
    <row r="5223" spans="2:5">
      <c r="B5223" s="15" t="s">
        <v>6970</v>
      </c>
      <c r="C5223" s="15" t="s">
        <v>6971</v>
      </c>
      <c r="D5223" s="15" t="s">
        <v>5724</v>
      </c>
      <c r="E5223" s="15" t="s">
        <v>5725</v>
      </c>
    </row>
    <row r="5224" spans="2:5">
      <c r="B5224" s="15" t="s">
        <v>6970</v>
      </c>
      <c r="C5224" s="15" t="s">
        <v>6971</v>
      </c>
      <c r="D5224" s="15" t="s">
        <v>5726</v>
      </c>
      <c r="E5224" s="15" t="s">
        <v>6975</v>
      </c>
    </row>
    <row r="5225" spans="2:5">
      <c r="B5225" s="15" t="s">
        <v>6970</v>
      </c>
      <c r="C5225" s="15" t="s">
        <v>6971</v>
      </c>
      <c r="D5225" s="15" t="s">
        <v>5728</v>
      </c>
      <c r="E5225" s="15" t="s">
        <v>6976</v>
      </c>
    </row>
    <row r="5226" spans="2:5">
      <c r="B5226" s="15" t="s">
        <v>6970</v>
      </c>
      <c r="C5226" s="15" t="s">
        <v>6971</v>
      </c>
      <c r="D5226" s="15" t="s">
        <v>5730</v>
      </c>
      <c r="E5226" s="15" t="s">
        <v>6977</v>
      </c>
    </row>
    <row r="5227" spans="2:5">
      <c r="B5227" s="15" t="s">
        <v>6970</v>
      </c>
      <c r="C5227" s="15" t="s">
        <v>6971</v>
      </c>
      <c r="D5227" s="15" t="s">
        <v>5732</v>
      </c>
      <c r="E5227" s="15" t="s">
        <v>6978</v>
      </c>
    </row>
    <row r="5228" spans="2:5">
      <c r="B5228" s="15" t="s">
        <v>6970</v>
      </c>
      <c r="C5228" s="15" t="s">
        <v>6971</v>
      </c>
      <c r="D5228" s="15" t="s">
        <v>6979</v>
      </c>
      <c r="E5228" s="15" t="s">
        <v>6980</v>
      </c>
    </row>
    <row r="5229" spans="2:5">
      <c r="B5229" s="15" t="s">
        <v>6970</v>
      </c>
      <c r="C5229" s="15" t="s">
        <v>6971</v>
      </c>
      <c r="D5229" s="15" t="s">
        <v>6981</v>
      </c>
      <c r="E5229" s="15" t="s">
        <v>6982</v>
      </c>
    </row>
    <row r="5230" spans="2:5">
      <c r="B5230" s="15" t="s">
        <v>6970</v>
      </c>
      <c r="C5230" s="15" t="s">
        <v>6971</v>
      </c>
      <c r="D5230" s="15" t="s">
        <v>6983</v>
      </c>
      <c r="E5230" s="15" t="s">
        <v>6984</v>
      </c>
    </row>
    <row r="5231" spans="2:5">
      <c r="B5231" s="15" t="s">
        <v>6970</v>
      </c>
      <c r="C5231" s="15" t="s">
        <v>6971</v>
      </c>
      <c r="D5231" s="15" t="s">
        <v>6985</v>
      </c>
      <c r="E5231" s="15" t="s">
        <v>6986</v>
      </c>
    </row>
    <row r="5232" spans="2:5">
      <c r="B5232" s="15" t="s">
        <v>6970</v>
      </c>
      <c r="C5232" s="15" t="s">
        <v>6971</v>
      </c>
      <c r="D5232" s="15" t="s">
        <v>6987</v>
      </c>
      <c r="E5232" s="15" t="s">
        <v>6988</v>
      </c>
    </row>
    <row r="5233" spans="2:5">
      <c r="B5233" s="15" t="s">
        <v>6970</v>
      </c>
      <c r="C5233" s="15" t="s">
        <v>6971</v>
      </c>
      <c r="D5233" s="15" t="s">
        <v>6989</v>
      </c>
      <c r="E5233" s="15" t="s">
        <v>6990</v>
      </c>
    </row>
    <row r="5234" spans="2:5">
      <c r="B5234" s="15" t="s">
        <v>6970</v>
      </c>
      <c r="C5234" s="15" t="s">
        <v>6971</v>
      </c>
      <c r="D5234" s="15" t="s">
        <v>6991</v>
      </c>
      <c r="E5234" s="15" t="s">
        <v>6992</v>
      </c>
    </row>
    <row r="5235" spans="2:5">
      <c r="B5235" s="15" t="s">
        <v>6970</v>
      </c>
      <c r="C5235" s="15" t="s">
        <v>6971</v>
      </c>
      <c r="D5235" s="15" t="s">
        <v>6993</v>
      </c>
      <c r="E5235" s="15" t="s">
        <v>6994</v>
      </c>
    </row>
    <row r="5236" spans="2:5">
      <c r="B5236" s="15" t="s">
        <v>6970</v>
      </c>
      <c r="C5236" s="15" t="s">
        <v>6971</v>
      </c>
      <c r="D5236" s="15" t="s">
        <v>6995</v>
      </c>
      <c r="E5236" s="15" t="s">
        <v>6996</v>
      </c>
    </row>
    <row r="5237" spans="2:5">
      <c r="B5237" s="15" t="s">
        <v>6970</v>
      </c>
      <c r="C5237" s="15" t="s">
        <v>6971</v>
      </c>
      <c r="D5237" s="15" t="s">
        <v>6997</v>
      </c>
      <c r="E5237" s="15" t="s">
        <v>6998</v>
      </c>
    </row>
    <row r="5238" spans="2:5">
      <c r="B5238" s="15" t="s">
        <v>6970</v>
      </c>
      <c r="C5238" s="15" t="s">
        <v>6971</v>
      </c>
      <c r="D5238" s="15" t="s">
        <v>6999</v>
      </c>
      <c r="E5238" s="15" t="s">
        <v>7000</v>
      </c>
    </row>
    <row r="5239" spans="2:5">
      <c r="B5239" s="15" t="s">
        <v>6970</v>
      </c>
      <c r="C5239" s="15" t="s">
        <v>6971</v>
      </c>
      <c r="D5239" s="15" t="s">
        <v>7001</v>
      </c>
      <c r="E5239" s="15" t="s">
        <v>7002</v>
      </c>
    </row>
    <row r="5240" spans="2:5">
      <c r="B5240" s="15" t="s">
        <v>6970</v>
      </c>
      <c r="C5240" s="15" t="s">
        <v>6971</v>
      </c>
      <c r="D5240" s="15" t="s">
        <v>7003</v>
      </c>
      <c r="E5240" s="15" t="s">
        <v>7004</v>
      </c>
    </row>
    <row r="5241" spans="2:5">
      <c r="B5241" s="15" t="s">
        <v>6970</v>
      </c>
      <c r="C5241" s="15" t="s">
        <v>6971</v>
      </c>
      <c r="D5241" s="15" t="s">
        <v>7005</v>
      </c>
      <c r="E5241" s="15" t="s">
        <v>7006</v>
      </c>
    </row>
    <row r="5242" spans="2:5">
      <c r="B5242" s="15" t="s">
        <v>6970</v>
      </c>
      <c r="C5242" s="15" t="s">
        <v>6971</v>
      </c>
      <c r="D5242" s="15" t="s">
        <v>7007</v>
      </c>
      <c r="E5242" s="15" t="s">
        <v>7008</v>
      </c>
    </row>
    <row r="5243" spans="2:5">
      <c r="B5243" s="15" t="s">
        <v>6970</v>
      </c>
      <c r="C5243" s="15" t="s">
        <v>6971</v>
      </c>
      <c r="D5243" s="15" t="s">
        <v>7009</v>
      </c>
      <c r="E5243" s="15" t="s">
        <v>7010</v>
      </c>
    </row>
    <row r="5244" spans="2:5">
      <c r="B5244" s="15" t="s">
        <v>6970</v>
      </c>
      <c r="C5244" s="15" t="s">
        <v>6971</v>
      </c>
      <c r="D5244" s="15" t="s">
        <v>7011</v>
      </c>
      <c r="E5244" s="15" t="s">
        <v>7012</v>
      </c>
    </row>
    <row r="5245" spans="2:5">
      <c r="B5245" s="15" t="s">
        <v>6970</v>
      </c>
      <c r="C5245" s="15" t="s">
        <v>6971</v>
      </c>
      <c r="D5245" s="15" t="s">
        <v>7013</v>
      </c>
      <c r="E5245" s="15" t="s">
        <v>7014</v>
      </c>
    </row>
    <row r="5246" spans="2:5">
      <c r="B5246" s="15" t="s">
        <v>6970</v>
      </c>
      <c r="C5246" s="15" t="s">
        <v>6971</v>
      </c>
      <c r="D5246" s="15" t="s">
        <v>7015</v>
      </c>
      <c r="E5246" s="15" t="s">
        <v>7016</v>
      </c>
    </row>
    <row r="5247" spans="2:5">
      <c r="B5247" s="15" t="s">
        <v>6970</v>
      </c>
      <c r="C5247" s="15" t="s">
        <v>6971</v>
      </c>
      <c r="D5247" s="15" t="s">
        <v>7017</v>
      </c>
      <c r="E5247" s="15" t="s">
        <v>7018</v>
      </c>
    </row>
    <row r="5248" spans="2:5">
      <c r="B5248" s="15" t="s">
        <v>6970</v>
      </c>
      <c r="C5248" s="15" t="s">
        <v>6971</v>
      </c>
      <c r="D5248" s="15" t="s">
        <v>7019</v>
      </c>
      <c r="E5248" s="15" t="s">
        <v>7020</v>
      </c>
    </row>
    <row r="5249" spans="2:5">
      <c r="B5249" s="15" t="s">
        <v>6970</v>
      </c>
      <c r="C5249" s="15" t="s">
        <v>6971</v>
      </c>
      <c r="D5249" s="15" t="s">
        <v>7021</v>
      </c>
      <c r="E5249" s="15" t="s">
        <v>7022</v>
      </c>
    </row>
    <row r="5250" spans="2:5">
      <c r="B5250" s="15" t="s">
        <v>6970</v>
      </c>
      <c r="C5250" s="15" t="s">
        <v>6971</v>
      </c>
      <c r="D5250" s="15" t="s">
        <v>7023</v>
      </c>
      <c r="E5250" s="15" t="s">
        <v>7024</v>
      </c>
    </row>
    <row r="5251" spans="2:5">
      <c r="B5251" s="15" t="s">
        <v>6970</v>
      </c>
      <c r="C5251" s="15" t="s">
        <v>6971</v>
      </c>
      <c r="D5251" s="15" t="s">
        <v>7025</v>
      </c>
      <c r="E5251" s="15" t="s">
        <v>7026</v>
      </c>
    </row>
    <row r="5252" spans="2:5">
      <c r="B5252" s="15" t="s">
        <v>6970</v>
      </c>
      <c r="C5252" s="15" t="s">
        <v>6971</v>
      </c>
      <c r="D5252" s="15" t="s">
        <v>7027</v>
      </c>
      <c r="E5252" s="15" t="s">
        <v>7028</v>
      </c>
    </row>
    <row r="5253" spans="2:5">
      <c r="B5253" s="15" t="s">
        <v>6970</v>
      </c>
      <c r="C5253" s="15" t="s">
        <v>6971</v>
      </c>
      <c r="D5253" s="15" t="s">
        <v>7029</v>
      </c>
      <c r="E5253" s="15" t="s">
        <v>7030</v>
      </c>
    </row>
    <row r="5254" spans="2:5">
      <c r="B5254" s="15" t="s">
        <v>6970</v>
      </c>
      <c r="C5254" s="15" t="s">
        <v>6971</v>
      </c>
      <c r="D5254" s="15" t="s">
        <v>7031</v>
      </c>
      <c r="E5254" s="15" t="s">
        <v>7032</v>
      </c>
    </row>
    <row r="5255" spans="2:5">
      <c r="B5255" s="15" t="s">
        <v>6970</v>
      </c>
      <c r="C5255" s="15" t="s">
        <v>6971</v>
      </c>
      <c r="D5255" s="15" t="s">
        <v>7033</v>
      </c>
      <c r="E5255" s="15" t="s">
        <v>7034</v>
      </c>
    </row>
    <row r="5256" spans="2:5">
      <c r="B5256" s="15" t="s">
        <v>6970</v>
      </c>
      <c r="C5256" s="15" t="s">
        <v>6971</v>
      </c>
      <c r="D5256" s="15" t="s">
        <v>7035</v>
      </c>
      <c r="E5256" s="15" t="s">
        <v>7036</v>
      </c>
    </row>
    <row r="5257" spans="2:5">
      <c r="B5257" s="15" t="s">
        <v>6970</v>
      </c>
      <c r="C5257" s="15" t="s">
        <v>6971</v>
      </c>
      <c r="D5257" s="15" t="s">
        <v>7037</v>
      </c>
      <c r="E5257" s="15" t="s">
        <v>7038</v>
      </c>
    </row>
    <row r="5258" spans="2:5">
      <c r="B5258" s="15" t="s">
        <v>6970</v>
      </c>
      <c r="C5258" s="15" t="s">
        <v>6971</v>
      </c>
      <c r="D5258" s="15" t="s">
        <v>7039</v>
      </c>
      <c r="E5258" s="15" t="s">
        <v>7040</v>
      </c>
    </row>
    <row r="5259" spans="2:5">
      <c r="B5259" s="15" t="s">
        <v>6970</v>
      </c>
      <c r="C5259" s="15" t="s">
        <v>6971</v>
      </c>
      <c r="D5259" s="15" t="s">
        <v>7041</v>
      </c>
      <c r="E5259" s="15" t="s">
        <v>7042</v>
      </c>
    </row>
    <row r="5260" spans="2:5">
      <c r="B5260" s="15" t="s">
        <v>6970</v>
      </c>
      <c r="C5260" s="15" t="s">
        <v>6971</v>
      </c>
      <c r="D5260" s="15" t="s">
        <v>7043</v>
      </c>
      <c r="E5260" s="15" t="s">
        <v>7044</v>
      </c>
    </row>
    <row r="5261" spans="2:5">
      <c r="B5261" s="15" t="s">
        <v>6970</v>
      </c>
      <c r="C5261" s="15" t="s">
        <v>6971</v>
      </c>
      <c r="D5261" s="15" t="s">
        <v>7045</v>
      </c>
      <c r="E5261" s="15" t="s">
        <v>7046</v>
      </c>
    </row>
    <row r="5262" spans="2:5">
      <c r="B5262" s="15" t="s">
        <v>6970</v>
      </c>
      <c r="C5262" s="15" t="s">
        <v>6971</v>
      </c>
      <c r="D5262" s="15" t="s">
        <v>7047</v>
      </c>
      <c r="E5262" s="15" t="s">
        <v>7034</v>
      </c>
    </row>
    <row r="5263" spans="2:5">
      <c r="B5263" s="15" t="s">
        <v>6970</v>
      </c>
      <c r="C5263" s="15" t="s">
        <v>6971</v>
      </c>
      <c r="D5263" s="15" t="s">
        <v>7048</v>
      </c>
      <c r="E5263" s="15" t="s">
        <v>7049</v>
      </c>
    </row>
    <row r="5264" spans="2:5">
      <c r="B5264" s="15" t="s">
        <v>6970</v>
      </c>
      <c r="C5264" s="15" t="s">
        <v>6971</v>
      </c>
      <c r="D5264" s="15" t="s">
        <v>7050</v>
      </c>
      <c r="E5264" s="15" t="s">
        <v>7051</v>
      </c>
    </row>
    <row r="5265" spans="2:5">
      <c r="B5265" s="15" t="s">
        <v>6970</v>
      </c>
      <c r="C5265" s="15" t="s">
        <v>6971</v>
      </c>
      <c r="D5265" s="15" t="s">
        <v>7052</v>
      </c>
      <c r="E5265" s="15" t="s">
        <v>7053</v>
      </c>
    </row>
    <row r="5266" spans="2:5">
      <c r="B5266" s="15" t="s">
        <v>6970</v>
      </c>
      <c r="C5266" s="15" t="s">
        <v>6971</v>
      </c>
      <c r="D5266" s="15" t="s">
        <v>7054</v>
      </c>
      <c r="E5266" s="15" t="s">
        <v>7055</v>
      </c>
    </row>
    <row r="5267" spans="2:5">
      <c r="B5267" s="15" t="s">
        <v>6970</v>
      </c>
      <c r="C5267" s="15" t="s">
        <v>6971</v>
      </c>
      <c r="D5267" s="15" t="s">
        <v>7056</v>
      </c>
      <c r="E5267" s="15" t="s">
        <v>7057</v>
      </c>
    </row>
    <row r="5268" spans="2:5">
      <c r="B5268" s="15" t="s">
        <v>6970</v>
      </c>
      <c r="C5268" s="15" t="s">
        <v>6971</v>
      </c>
      <c r="D5268" s="15" t="s">
        <v>7058</v>
      </c>
      <c r="E5268" s="15" t="s">
        <v>7059</v>
      </c>
    </row>
    <row r="5269" spans="2:5">
      <c r="B5269" s="15" t="s">
        <v>6970</v>
      </c>
      <c r="C5269" s="15" t="s">
        <v>6971</v>
      </c>
      <c r="D5269" s="15" t="s">
        <v>7060</v>
      </c>
      <c r="E5269" s="15" t="s">
        <v>7061</v>
      </c>
    </row>
    <row r="5270" spans="2:5">
      <c r="B5270" s="15" t="s">
        <v>6970</v>
      </c>
      <c r="C5270" s="15" t="s">
        <v>6971</v>
      </c>
      <c r="D5270" s="15" t="s">
        <v>7062</v>
      </c>
      <c r="E5270" s="15" t="s">
        <v>7063</v>
      </c>
    </row>
    <row r="5271" spans="2:5">
      <c r="B5271" s="15" t="s">
        <v>6970</v>
      </c>
      <c r="C5271" s="15" t="s">
        <v>6971</v>
      </c>
      <c r="D5271" s="15" t="s">
        <v>7064</v>
      </c>
      <c r="E5271" s="15" t="s">
        <v>7065</v>
      </c>
    </row>
    <row r="5272" spans="2:5">
      <c r="B5272" s="15" t="s">
        <v>6970</v>
      </c>
      <c r="C5272" s="15" t="s">
        <v>6971</v>
      </c>
      <c r="D5272" s="15" t="s">
        <v>7066</v>
      </c>
      <c r="E5272" s="15" t="s">
        <v>7067</v>
      </c>
    </row>
    <row r="5273" spans="2:5">
      <c r="B5273" s="15" t="s">
        <v>6970</v>
      </c>
      <c r="C5273" s="15" t="s">
        <v>6971</v>
      </c>
      <c r="D5273" s="15" t="s">
        <v>7068</v>
      </c>
      <c r="E5273" s="15" t="s">
        <v>7069</v>
      </c>
    </row>
    <row r="5274" spans="2:5">
      <c r="B5274" s="15" t="s">
        <v>6970</v>
      </c>
      <c r="C5274" s="15" t="s">
        <v>6971</v>
      </c>
      <c r="D5274" s="15" t="s">
        <v>7070</v>
      </c>
      <c r="E5274" s="15" t="s">
        <v>7071</v>
      </c>
    </row>
    <row r="5275" spans="2:5">
      <c r="B5275" s="15" t="s">
        <v>6970</v>
      </c>
      <c r="C5275" s="15" t="s">
        <v>6971</v>
      </c>
      <c r="D5275" s="15" t="s">
        <v>7072</v>
      </c>
      <c r="E5275" s="15" t="s">
        <v>7073</v>
      </c>
    </row>
    <row r="5276" spans="2:5">
      <c r="B5276" s="15" t="s">
        <v>6970</v>
      </c>
      <c r="C5276" s="15" t="s">
        <v>6971</v>
      </c>
      <c r="D5276" s="15" t="s">
        <v>7074</v>
      </c>
      <c r="E5276" s="15" t="s">
        <v>7075</v>
      </c>
    </row>
    <row r="5277" spans="2:5">
      <c r="B5277" s="15" t="s">
        <v>6970</v>
      </c>
      <c r="C5277" s="15" t="s">
        <v>6971</v>
      </c>
      <c r="D5277" s="15" t="s">
        <v>7076</v>
      </c>
      <c r="E5277" s="15" t="s">
        <v>7077</v>
      </c>
    </row>
    <row r="5278" spans="2:5">
      <c r="B5278" s="15" t="s">
        <v>6970</v>
      </c>
      <c r="C5278" s="15" t="s">
        <v>6971</v>
      </c>
      <c r="D5278" s="15" t="s">
        <v>7078</v>
      </c>
      <c r="E5278" s="15" t="s">
        <v>1965</v>
      </c>
    </row>
    <row r="5279" spans="2:5">
      <c r="B5279" s="15" t="s">
        <v>6970</v>
      </c>
      <c r="C5279" s="15" t="s">
        <v>6971</v>
      </c>
      <c r="D5279" s="15" t="s">
        <v>7079</v>
      </c>
      <c r="E5279" s="15" t="s">
        <v>7077</v>
      </c>
    </row>
    <row r="5280" spans="2:5">
      <c r="B5280" s="15" t="s">
        <v>6970</v>
      </c>
      <c r="C5280" s="15" t="s">
        <v>6971</v>
      </c>
      <c r="D5280" s="15" t="s">
        <v>7080</v>
      </c>
      <c r="E5280" s="15" t="s">
        <v>7081</v>
      </c>
    </row>
    <row r="5281" spans="2:5">
      <c r="B5281" s="15" t="s">
        <v>6970</v>
      </c>
      <c r="C5281" s="15" t="s">
        <v>6971</v>
      </c>
      <c r="D5281" s="15" t="s">
        <v>7082</v>
      </c>
      <c r="E5281" s="15" t="s">
        <v>7083</v>
      </c>
    </row>
    <row r="5282" spans="2:5">
      <c r="B5282" s="15" t="s">
        <v>6970</v>
      </c>
      <c r="C5282" s="15" t="s">
        <v>6971</v>
      </c>
      <c r="D5282" s="15" t="s">
        <v>7084</v>
      </c>
      <c r="E5282" s="15" t="s">
        <v>7085</v>
      </c>
    </row>
    <row r="5283" spans="2:5">
      <c r="B5283" s="15" t="s">
        <v>6970</v>
      </c>
      <c r="C5283" s="15" t="s">
        <v>6971</v>
      </c>
      <c r="D5283" s="15" t="s">
        <v>7086</v>
      </c>
      <c r="E5283" s="15" t="s">
        <v>7087</v>
      </c>
    </row>
    <row r="5284" spans="2:5">
      <c r="B5284" s="15" t="s">
        <v>6970</v>
      </c>
      <c r="C5284" s="15" t="s">
        <v>6971</v>
      </c>
      <c r="D5284" s="15" t="s">
        <v>7088</v>
      </c>
      <c r="E5284" s="15" t="s">
        <v>7089</v>
      </c>
    </row>
    <row r="5285" spans="2:5">
      <c r="B5285" s="15" t="s">
        <v>6970</v>
      </c>
      <c r="C5285" s="15" t="s">
        <v>6971</v>
      </c>
      <c r="D5285" s="15" t="s">
        <v>7090</v>
      </c>
      <c r="E5285" s="15" t="s">
        <v>7091</v>
      </c>
    </row>
    <row r="5286" spans="2:5">
      <c r="B5286" s="15" t="s">
        <v>6970</v>
      </c>
      <c r="C5286" s="15" t="s">
        <v>6971</v>
      </c>
      <c r="D5286" s="15" t="s">
        <v>7092</v>
      </c>
      <c r="E5286" s="15" t="s">
        <v>7093</v>
      </c>
    </row>
    <row r="5287" spans="2:5">
      <c r="B5287" s="15" t="s">
        <v>6970</v>
      </c>
      <c r="C5287" s="15" t="s">
        <v>6971</v>
      </c>
      <c r="D5287" s="15" t="s">
        <v>7094</v>
      </c>
      <c r="E5287" s="15" t="s">
        <v>7095</v>
      </c>
    </row>
    <row r="5288" spans="2:5">
      <c r="B5288" s="15" t="s">
        <v>6970</v>
      </c>
      <c r="C5288" s="15" t="s">
        <v>6971</v>
      </c>
      <c r="D5288" s="15" t="s">
        <v>7096</v>
      </c>
      <c r="E5288" s="15" t="s">
        <v>7096</v>
      </c>
    </row>
    <row r="5289" spans="2:5">
      <c r="B5289" s="15" t="s">
        <v>6970</v>
      </c>
      <c r="C5289" s="15" t="s">
        <v>6971</v>
      </c>
      <c r="D5289" s="15" t="s">
        <v>7097</v>
      </c>
      <c r="E5289" s="15" t="s">
        <v>3360</v>
      </c>
    </row>
    <row r="5290" spans="2:5">
      <c r="B5290" s="15" t="s">
        <v>6970</v>
      </c>
      <c r="C5290" s="15" t="s">
        <v>6971</v>
      </c>
      <c r="D5290" s="15" t="s">
        <v>7098</v>
      </c>
      <c r="E5290" s="15" t="s">
        <v>7099</v>
      </c>
    </row>
    <row r="5291" spans="2:5">
      <c r="B5291" s="15" t="s">
        <v>6970</v>
      </c>
      <c r="C5291" s="15" t="s">
        <v>6971</v>
      </c>
      <c r="D5291" s="15" t="s">
        <v>7100</v>
      </c>
      <c r="E5291" s="15" t="s">
        <v>7101</v>
      </c>
    </row>
    <row r="5292" spans="2:5">
      <c r="B5292" s="15" t="s">
        <v>6970</v>
      </c>
      <c r="C5292" s="15" t="s">
        <v>6971</v>
      </c>
      <c r="D5292" s="15" t="s">
        <v>7102</v>
      </c>
      <c r="E5292" s="15" t="s">
        <v>7103</v>
      </c>
    </row>
    <row r="5293" spans="2:5">
      <c r="B5293" s="15" t="s">
        <v>6970</v>
      </c>
      <c r="C5293" s="15" t="s">
        <v>6971</v>
      </c>
      <c r="D5293" s="15" t="s">
        <v>7104</v>
      </c>
      <c r="E5293" s="15" t="s">
        <v>7105</v>
      </c>
    </row>
    <row r="5294" spans="2:5">
      <c r="B5294" s="15" t="s">
        <v>6970</v>
      </c>
      <c r="C5294" s="15" t="s">
        <v>6971</v>
      </c>
      <c r="D5294" s="15" t="s">
        <v>7106</v>
      </c>
      <c r="E5294" s="15" t="s">
        <v>7107</v>
      </c>
    </row>
    <row r="5295" spans="2:5">
      <c r="B5295" s="15" t="s">
        <v>6970</v>
      </c>
      <c r="C5295" s="15" t="s">
        <v>6971</v>
      </c>
      <c r="D5295" s="15" t="s">
        <v>7108</v>
      </c>
      <c r="E5295" s="15" t="s">
        <v>7109</v>
      </c>
    </row>
    <row r="5296" spans="2:5">
      <c r="B5296" s="15" t="s">
        <v>6970</v>
      </c>
      <c r="C5296" s="15" t="s">
        <v>6971</v>
      </c>
      <c r="D5296" s="15" t="s">
        <v>7110</v>
      </c>
      <c r="E5296" s="15" t="s">
        <v>7111</v>
      </c>
    </row>
    <row r="5297" spans="2:5">
      <c r="B5297" s="15" t="s">
        <v>6970</v>
      </c>
      <c r="C5297" s="15" t="s">
        <v>6971</v>
      </c>
      <c r="D5297" s="15" t="s">
        <v>7112</v>
      </c>
      <c r="E5297" s="15" t="s">
        <v>7113</v>
      </c>
    </row>
    <row r="5298" spans="2:5">
      <c r="B5298" s="15" t="s">
        <v>6970</v>
      </c>
      <c r="C5298" s="15" t="s">
        <v>6971</v>
      </c>
      <c r="D5298" s="15" t="s">
        <v>7114</v>
      </c>
      <c r="E5298" s="15" t="s">
        <v>7115</v>
      </c>
    </row>
    <row r="5299" spans="2:5">
      <c r="B5299" s="15" t="s">
        <v>6970</v>
      </c>
      <c r="C5299" s="15" t="s">
        <v>6971</v>
      </c>
      <c r="D5299" s="15" t="s">
        <v>7116</v>
      </c>
      <c r="E5299" s="15" t="s">
        <v>7117</v>
      </c>
    </row>
    <row r="5300" spans="2:5">
      <c r="B5300" s="15" t="s">
        <v>6970</v>
      </c>
      <c r="C5300" s="15" t="s">
        <v>6971</v>
      </c>
      <c r="D5300" s="15" t="s">
        <v>7118</v>
      </c>
      <c r="E5300" s="15" t="s">
        <v>7119</v>
      </c>
    </row>
    <row r="5301" spans="2:5">
      <c r="B5301" s="15" t="s">
        <v>6970</v>
      </c>
      <c r="C5301" s="15" t="s">
        <v>6971</v>
      </c>
      <c r="D5301" s="15" t="s">
        <v>7120</v>
      </c>
      <c r="E5301" s="15" t="s">
        <v>6771</v>
      </c>
    </row>
    <row r="5302" spans="2:5">
      <c r="B5302" s="15" t="s">
        <v>6970</v>
      </c>
      <c r="C5302" s="15" t="s">
        <v>6971</v>
      </c>
      <c r="D5302" s="15" t="s">
        <v>7121</v>
      </c>
      <c r="E5302" s="15" t="s">
        <v>7122</v>
      </c>
    </row>
    <row r="5303" spans="2:5">
      <c r="B5303" s="15" t="s">
        <v>6970</v>
      </c>
      <c r="C5303" s="15" t="s">
        <v>6971</v>
      </c>
      <c r="D5303" s="15" t="s">
        <v>7123</v>
      </c>
      <c r="E5303" s="15" t="s">
        <v>7124</v>
      </c>
    </row>
    <row r="5304" spans="2:5">
      <c r="B5304" s="15" t="s">
        <v>6970</v>
      </c>
      <c r="C5304" s="15" t="s">
        <v>6971</v>
      </c>
      <c r="D5304" s="15" t="s">
        <v>7125</v>
      </c>
      <c r="E5304" s="15" t="s">
        <v>7126</v>
      </c>
    </row>
    <row r="5305" spans="2:5">
      <c r="B5305" s="15" t="s">
        <v>6970</v>
      </c>
      <c r="C5305" s="15" t="s">
        <v>6971</v>
      </c>
      <c r="D5305" s="15" t="s">
        <v>7127</v>
      </c>
      <c r="E5305" s="15" t="s">
        <v>7105</v>
      </c>
    </row>
    <row r="5306" spans="2:5">
      <c r="B5306" s="15" t="s">
        <v>6970</v>
      </c>
      <c r="C5306" s="15" t="s">
        <v>6971</v>
      </c>
      <c r="D5306" s="15" t="s">
        <v>7128</v>
      </c>
      <c r="E5306" s="15" t="s">
        <v>7115</v>
      </c>
    </row>
    <row r="5307" spans="2:5">
      <c r="B5307" s="15" t="s">
        <v>6970</v>
      </c>
      <c r="C5307" s="15" t="s">
        <v>6971</v>
      </c>
      <c r="D5307" s="15" t="s">
        <v>7129</v>
      </c>
      <c r="E5307" s="15" t="s">
        <v>7117</v>
      </c>
    </row>
    <row r="5308" spans="2:5">
      <c r="B5308" s="15" t="s">
        <v>6970</v>
      </c>
      <c r="C5308" s="15" t="s">
        <v>6971</v>
      </c>
      <c r="D5308" s="15" t="s">
        <v>7130</v>
      </c>
      <c r="E5308" s="15" t="s">
        <v>7119</v>
      </c>
    </row>
    <row r="5309" spans="2:5">
      <c r="B5309" s="15" t="s">
        <v>6970</v>
      </c>
      <c r="C5309" s="15" t="s">
        <v>6971</v>
      </c>
      <c r="D5309" s="15" t="s">
        <v>7131</v>
      </c>
      <c r="E5309" s="15" t="s">
        <v>3830</v>
      </c>
    </row>
    <row r="5310" spans="2:5">
      <c r="B5310" s="15" t="s">
        <v>6970</v>
      </c>
      <c r="C5310" s="15" t="s">
        <v>6971</v>
      </c>
      <c r="D5310" s="15" t="s">
        <v>7132</v>
      </c>
      <c r="E5310" s="15" t="s">
        <v>7133</v>
      </c>
    </row>
    <row r="5311" spans="2:5">
      <c r="B5311" s="15" t="s">
        <v>6970</v>
      </c>
      <c r="C5311" s="15" t="s">
        <v>6971</v>
      </c>
      <c r="D5311" s="15" t="s">
        <v>7134</v>
      </c>
      <c r="E5311" s="15" t="s">
        <v>7135</v>
      </c>
    </row>
    <row r="5312" spans="2:5">
      <c r="B5312" s="15" t="s">
        <v>6970</v>
      </c>
      <c r="C5312" s="15" t="s">
        <v>6971</v>
      </c>
      <c r="D5312" s="15" t="s">
        <v>7136</v>
      </c>
      <c r="E5312" s="15" t="s">
        <v>7137</v>
      </c>
    </row>
    <row r="5313" spans="2:5">
      <c r="B5313" s="15" t="s">
        <v>6970</v>
      </c>
      <c r="C5313" s="15" t="s">
        <v>6971</v>
      </c>
      <c r="D5313" s="15" t="s">
        <v>7138</v>
      </c>
      <c r="E5313" s="15" t="s">
        <v>7105</v>
      </c>
    </row>
    <row r="5314" spans="2:5">
      <c r="B5314" s="15" t="s">
        <v>6970</v>
      </c>
      <c r="C5314" s="15" t="s">
        <v>6971</v>
      </c>
      <c r="D5314" s="15" t="s">
        <v>7139</v>
      </c>
      <c r="E5314" s="15" t="s">
        <v>7140</v>
      </c>
    </row>
    <row r="5315" spans="2:5">
      <c r="B5315" s="15" t="s">
        <v>6970</v>
      </c>
      <c r="C5315" s="15" t="s">
        <v>6971</v>
      </c>
      <c r="D5315" s="15" t="s">
        <v>7141</v>
      </c>
      <c r="E5315" s="15" t="s">
        <v>7142</v>
      </c>
    </row>
    <row r="5316" spans="2:5">
      <c r="B5316" s="15" t="s">
        <v>6970</v>
      </c>
      <c r="C5316" s="15" t="s">
        <v>6971</v>
      </c>
      <c r="D5316" s="15" t="s">
        <v>7143</v>
      </c>
      <c r="E5316" s="15" t="s">
        <v>7144</v>
      </c>
    </row>
    <row r="5317" spans="2:5">
      <c r="B5317" s="15" t="s">
        <v>6970</v>
      </c>
      <c r="C5317" s="15" t="s">
        <v>6971</v>
      </c>
      <c r="D5317" s="15" t="s">
        <v>7145</v>
      </c>
      <c r="E5317" s="15" t="s">
        <v>7038</v>
      </c>
    </row>
    <row r="5318" spans="2:5">
      <c r="B5318" s="15" t="s">
        <v>6970</v>
      </c>
      <c r="C5318" s="15" t="s">
        <v>6971</v>
      </c>
      <c r="D5318" s="15" t="s">
        <v>7146</v>
      </c>
      <c r="E5318" s="15" t="s">
        <v>7115</v>
      </c>
    </row>
    <row r="5319" spans="2:5">
      <c r="B5319" s="15" t="s">
        <v>6970</v>
      </c>
      <c r="C5319" s="15" t="s">
        <v>6971</v>
      </c>
      <c r="D5319" s="15" t="s">
        <v>7147</v>
      </c>
      <c r="E5319" s="15" t="s">
        <v>7117</v>
      </c>
    </row>
    <row r="5320" spans="2:5">
      <c r="B5320" s="15" t="s">
        <v>6970</v>
      </c>
      <c r="C5320" s="15" t="s">
        <v>6971</v>
      </c>
      <c r="D5320" s="15" t="s">
        <v>7148</v>
      </c>
      <c r="E5320" s="15" t="s">
        <v>7119</v>
      </c>
    </row>
    <row r="5321" spans="2:5">
      <c r="B5321" s="15" t="s">
        <v>6970</v>
      </c>
      <c r="C5321" s="15" t="s">
        <v>6971</v>
      </c>
      <c r="D5321" s="15" t="s">
        <v>7149</v>
      </c>
      <c r="E5321" s="15" t="s">
        <v>7150</v>
      </c>
    </row>
    <row r="5322" spans="2:5">
      <c r="B5322" s="15" t="s">
        <v>6970</v>
      </c>
      <c r="C5322" s="15" t="s">
        <v>6971</v>
      </c>
      <c r="D5322" s="15" t="s">
        <v>7151</v>
      </c>
      <c r="E5322" s="15" t="s">
        <v>7152</v>
      </c>
    </row>
    <row r="5323" spans="2:5">
      <c r="B5323" s="15" t="s">
        <v>6970</v>
      </c>
      <c r="C5323" s="15" t="s">
        <v>6971</v>
      </c>
      <c r="D5323" s="15" t="s">
        <v>7153</v>
      </c>
      <c r="E5323" s="15" t="s">
        <v>7154</v>
      </c>
    </row>
    <row r="5324" spans="2:5">
      <c r="B5324" s="15" t="s">
        <v>6970</v>
      </c>
      <c r="C5324" s="15" t="s">
        <v>6971</v>
      </c>
      <c r="D5324" s="15" t="s">
        <v>7155</v>
      </c>
      <c r="E5324" s="15" t="s">
        <v>3188</v>
      </c>
    </row>
    <row r="5325" spans="2:5">
      <c r="B5325" s="15" t="s">
        <v>6970</v>
      </c>
      <c r="C5325" s="15" t="s">
        <v>6971</v>
      </c>
      <c r="D5325" s="15" t="s">
        <v>7156</v>
      </c>
      <c r="E5325" s="15" t="s">
        <v>7157</v>
      </c>
    </row>
    <row r="5326" spans="2:5">
      <c r="B5326" s="15" t="s">
        <v>6970</v>
      </c>
      <c r="C5326" s="15" t="s">
        <v>6971</v>
      </c>
      <c r="D5326" s="15" t="s">
        <v>7158</v>
      </c>
      <c r="E5326" s="15" t="s">
        <v>7159</v>
      </c>
    </row>
    <row r="5327" spans="2:5">
      <c r="B5327" s="15" t="s">
        <v>6970</v>
      </c>
      <c r="C5327" s="15" t="s">
        <v>6971</v>
      </c>
      <c r="D5327" s="15" t="s">
        <v>7160</v>
      </c>
      <c r="E5327" s="15" t="s">
        <v>7160</v>
      </c>
    </row>
    <row r="5328" spans="2:5">
      <c r="B5328" s="15" t="s">
        <v>6970</v>
      </c>
      <c r="C5328" s="15" t="s">
        <v>6971</v>
      </c>
      <c r="D5328" s="15" t="s">
        <v>7161</v>
      </c>
      <c r="E5328" s="15" t="s">
        <v>7162</v>
      </c>
    </row>
    <row r="5329" spans="2:5">
      <c r="B5329" s="15" t="s">
        <v>6970</v>
      </c>
      <c r="C5329" s="15" t="s">
        <v>6971</v>
      </c>
      <c r="D5329" s="15" t="s">
        <v>7163</v>
      </c>
      <c r="E5329" s="15" t="s">
        <v>7164</v>
      </c>
    </row>
    <row r="5330" spans="2:5">
      <c r="B5330" s="15" t="s">
        <v>6970</v>
      </c>
      <c r="C5330" s="15" t="s">
        <v>6971</v>
      </c>
      <c r="D5330" s="15" t="s">
        <v>7165</v>
      </c>
      <c r="E5330" s="15" t="s">
        <v>7166</v>
      </c>
    </row>
    <row r="5331" spans="2:5">
      <c r="B5331" s="15" t="s">
        <v>6970</v>
      </c>
      <c r="C5331" s="15" t="s">
        <v>6971</v>
      </c>
      <c r="D5331" s="15" t="s">
        <v>7167</v>
      </c>
      <c r="E5331" s="15" t="s">
        <v>7168</v>
      </c>
    </row>
    <row r="5332" spans="2:5">
      <c r="B5332" s="15" t="s">
        <v>6970</v>
      </c>
      <c r="C5332" s="15" t="s">
        <v>6971</v>
      </c>
      <c r="D5332" s="15" t="s">
        <v>7169</v>
      </c>
      <c r="E5332" s="15" t="s">
        <v>7170</v>
      </c>
    </row>
    <row r="5333" spans="2:5">
      <c r="B5333" s="15" t="s">
        <v>6970</v>
      </c>
      <c r="C5333" s="15" t="s">
        <v>6971</v>
      </c>
      <c r="D5333" s="15" t="s">
        <v>7171</v>
      </c>
      <c r="E5333" s="15" t="s">
        <v>7172</v>
      </c>
    </row>
    <row r="5334" spans="2:5">
      <c r="B5334" s="15" t="s">
        <v>6970</v>
      </c>
      <c r="C5334" s="15" t="s">
        <v>6971</v>
      </c>
      <c r="D5334" s="15" t="s">
        <v>7173</v>
      </c>
      <c r="E5334" s="15" t="s">
        <v>7174</v>
      </c>
    </row>
    <row r="5335" spans="2:5">
      <c r="B5335" s="15" t="s">
        <v>6970</v>
      </c>
      <c r="C5335" s="15" t="s">
        <v>6971</v>
      </c>
      <c r="D5335" s="15" t="s">
        <v>7175</v>
      </c>
      <c r="E5335" s="15" t="s">
        <v>7176</v>
      </c>
    </row>
    <row r="5336" spans="2:5">
      <c r="B5336" s="15" t="s">
        <v>6970</v>
      </c>
      <c r="C5336" s="15" t="s">
        <v>6971</v>
      </c>
      <c r="D5336" s="15" t="s">
        <v>7177</v>
      </c>
      <c r="E5336" s="15" t="s">
        <v>7178</v>
      </c>
    </row>
    <row r="5337" spans="2:5">
      <c r="B5337" s="15" t="s">
        <v>6970</v>
      </c>
      <c r="C5337" s="15" t="s">
        <v>6971</v>
      </c>
      <c r="D5337" s="15" t="s">
        <v>7179</v>
      </c>
      <c r="E5337" s="15" t="s">
        <v>130</v>
      </c>
    </row>
    <row r="5338" spans="2:5">
      <c r="B5338" s="15" t="s">
        <v>6970</v>
      </c>
      <c r="C5338" s="15" t="s">
        <v>6971</v>
      </c>
      <c r="D5338" s="15" t="s">
        <v>7180</v>
      </c>
      <c r="E5338" s="15" t="s">
        <v>7181</v>
      </c>
    </row>
    <row r="5339" spans="2:5">
      <c r="B5339" s="15" t="s">
        <v>6970</v>
      </c>
      <c r="C5339" s="15" t="s">
        <v>6971</v>
      </c>
      <c r="D5339" s="15" t="s">
        <v>7182</v>
      </c>
      <c r="E5339" s="15" t="s">
        <v>7183</v>
      </c>
    </row>
    <row r="5340" spans="2:5">
      <c r="B5340" s="15" t="s">
        <v>6970</v>
      </c>
      <c r="C5340" s="15" t="s">
        <v>6971</v>
      </c>
      <c r="D5340" s="15" t="s">
        <v>7184</v>
      </c>
      <c r="E5340" s="15" t="s">
        <v>7185</v>
      </c>
    </row>
    <row r="5341" spans="2:5">
      <c r="B5341" s="15" t="s">
        <v>6970</v>
      </c>
      <c r="C5341" s="15" t="s">
        <v>6971</v>
      </c>
      <c r="D5341" s="15" t="s">
        <v>7186</v>
      </c>
      <c r="E5341" s="15" t="s">
        <v>7026</v>
      </c>
    </row>
    <row r="5342" spans="2:5">
      <c r="B5342" s="15" t="s">
        <v>6970</v>
      </c>
      <c r="C5342" s="15" t="s">
        <v>6971</v>
      </c>
      <c r="D5342" s="15" t="s">
        <v>7187</v>
      </c>
      <c r="E5342" s="15" t="s">
        <v>7049</v>
      </c>
    </row>
    <row r="5343" spans="2:5">
      <c r="B5343" s="15" t="s">
        <v>6970</v>
      </c>
      <c r="C5343" s="15" t="s">
        <v>6971</v>
      </c>
      <c r="D5343" s="15" t="s">
        <v>7188</v>
      </c>
      <c r="E5343" s="15" t="s">
        <v>7105</v>
      </c>
    </row>
    <row r="5344" spans="2:5">
      <c r="B5344" s="15" t="s">
        <v>6970</v>
      </c>
      <c r="C5344" s="15" t="s">
        <v>6971</v>
      </c>
      <c r="D5344" s="15" t="s">
        <v>7189</v>
      </c>
      <c r="E5344" s="15" t="s">
        <v>7014</v>
      </c>
    </row>
    <row r="5345" spans="2:5">
      <c r="B5345" s="15" t="s">
        <v>6970</v>
      </c>
      <c r="C5345" s="15" t="s">
        <v>6971</v>
      </c>
      <c r="D5345" s="15" t="s">
        <v>7190</v>
      </c>
      <c r="E5345" s="15" t="s">
        <v>7191</v>
      </c>
    </row>
    <row r="5346" spans="2:5">
      <c r="B5346" s="15" t="s">
        <v>6970</v>
      </c>
      <c r="C5346" s="15" t="s">
        <v>6971</v>
      </c>
      <c r="D5346" s="15" t="s">
        <v>7192</v>
      </c>
      <c r="E5346" s="15" t="s">
        <v>7115</v>
      </c>
    </row>
    <row r="5347" spans="2:5">
      <c r="B5347" s="15" t="s">
        <v>6970</v>
      </c>
      <c r="C5347" s="15" t="s">
        <v>6971</v>
      </c>
      <c r="D5347" s="15" t="s">
        <v>7193</v>
      </c>
      <c r="E5347" s="15" t="s">
        <v>7117</v>
      </c>
    </row>
    <row r="5348" spans="2:5">
      <c r="B5348" s="15" t="s">
        <v>6970</v>
      </c>
      <c r="C5348" s="15" t="s">
        <v>6971</v>
      </c>
      <c r="D5348" s="15" t="s">
        <v>7194</v>
      </c>
      <c r="E5348" s="15" t="s">
        <v>7119</v>
      </c>
    </row>
    <row r="5349" spans="2:5">
      <c r="B5349" s="15" t="s">
        <v>6970</v>
      </c>
      <c r="C5349" s="15" t="s">
        <v>6971</v>
      </c>
      <c r="D5349" s="15" t="s">
        <v>7195</v>
      </c>
      <c r="E5349" s="15" t="s">
        <v>7196</v>
      </c>
    </row>
    <row r="5350" spans="2:5">
      <c r="B5350" s="15" t="s">
        <v>6970</v>
      </c>
      <c r="C5350" s="15" t="s">
        <v>6971</v>
      </c>
      <c r="D5350" s="15" t="s">
        <v>7197</v>
      </c>
      <c r="E5350" s="15" t="s">
        <v>7197</v>
      </c>
    </row>
    <row r="5351" spans="2:5">
      <c r="B5351" s="15" t="s">
        <v>6970</v>
      </c>
      <c r="C5351" s="15" t="s">
        <v>6971</v>
      </c>
      <c r="D5351" s="15" t="s">
        <v>7198</v>
      </c>
      <c r="E5351" s="15" t="s">
        <v>7199</v>
      </c>
    </row>
    <row r="5352" spans="2:5">
      <c r="B5352" s="15" t="s">
        <v>6970</v>
      </c>
      <c r="C5352" s="15" t="s">
        <v>6971</v>
      </c>
      <c r="D5352" s="15" t="s">
        <v>7200</v>
      </c>
      <c r="E5352" s="15" t="s">
        <v>7200</v>
      </c>
    </row>
    <row r="5353" spans="2:5">
      <c r="B5353" s="15" t="s">
        <v>6970</v>
      </c>
      <c r="C5353" s="15" t="s">
        <v>6971</v>
      </c>
      <c r="D5353" s="15" t="s">
        <v>7201</v>
      </c>
      <c r="E5353" s="15" t="s">
        <v>7202</v>
      </c>
    </row>
    <row r="5354" spans="2:5">
      <c r="B5354" s="15" t="s">
        <v>6970</v>
      </c>
      <c r="C5354" s="15" t="s">
        <v>6971</v>
      </c>
      <c r="D5354" s="15" t="s">
        <v>7203</v>
      </c>
      <c r="E5354" s="15" t="s">
        <v>7203</v>
      </c>
    </row>
    <row r="5355" spans="2:5">
      <c r="B5355" s="15" t="s">
        <v>6970</v>
      </c>
      <c r="C5355" s="15" t="s">
        <v>6971</v>
      </c>
      <c r="D5355" s="15" t="s">
        <v>7204</v>
      </c>
      <c r="E5355" s="15" t="s">
        <v>2949</v>
      </c>
    </row>
    <row r="5356" spans="2:5">
      <c r="B5356" s="15" t="s">
        <v>6970</v>
      </c>
      <c r="C5356" s="15" t="s">
        <v>6971</v>
      </c>
      <c r="D5356" s="15" t="s">
        <v>7205</v>
      </c>
      <c r="E5356" s="15" t="s">
        <v>7206</v>
      </c>
    </row>
    <row r="5357" spans="2:5">
      <c r="B5357" s="15" t="s">
        <v>6970</v>
      </c>
      <c r="C5357" s="15" t="s">
        <v>6971</v>
      </c>
      <c r="D5357" s="15" t="s">
        <v>7207</v>
      </c>
      <c r="E5357" s="15" t="s">
        <v>7137</v>
      </c>
    </row>
    <row r="5358" spans="2:5">
      <c r="B5358" s="15" t="s">
        <v>6970</v>
      </c>
      <c r="C5358" s="15" t="s">
        <v>6971</v>
      </c>
      <c r="D5358" s="15" t="s">
        <v>7208</v>
      </c>
      <c r="E5358" s="15" t="s">
        <v>7209</v>
      </c>
    </row>
    <row r="5359" spans="2:5">
      <c r="B5359" s="15" t="s">
        <v>6970</v>
      </c>
      <c r="C5359" s="15" t="s">
        <v>6971</v>
      </c>
      <c r="D5359" s="15" t="s">
        <v>7210</v>
      </c>
      <c r="E5359" s="15" t="s">
        <v>7211</v>
      </c>
    </row>
    <row r="5360" spans="2:5">
      <c r="B5360" s="15" t="s">
        <v>6970</v>
      </c>
      <c r="C5360" s="15" t="s">
        <v>6971</v>
      </c>
      <c r="D5360" s="15" t="s">
        <v>7212</v>
      </c>
      <c r="E5360" s="15" t="s">
        <v>7213</v>
      </c>
    </row>
    <row r="5361" ht="15.95" spans="2:2">
      <c r="B5361" s="122" t="s">
        <v>7214</v>
      </c>
    </row>
    <row r="5362" spans="2:5">
      <c r="B5362" s="15" t="s">
        <v>7215</v>
      </c>
      <c r="C5362" s="15" t="s">
        <v>7216</v>
      </c>
      <c r="D5362" s="15" t="s">
        <v>5720</v>
      </c>
      <c r="E5362" s="15" t="s">
        <v>5721</v>
      </c>
    </row>
    <row r="5363" spans="2:5">
      <c r="B5363" s="15" t="s">
        <v>7215</v>
      </c>
      <c r="C5363" s="15" t="s">
        <v>7216</v>
      </c>
      <c r="D5363" s="15" t="s">
        <v>5722</v>
      </c>
      <c r="E5363" s="15" t="s">
        <v>5723</v>
      </c>
    </row>
    <row r="5364" spans="2:5">
      <c r="B5364" s="15" t="s">
        <v>7215</v>
      </c>
      <c r="C5364" s="15" t="s">
        <v>7216</v>
      </c>
      <c r="D5364" s="15" t="s">
        <v>5724</v>
      </c>
      <c r="E5364" s="15" t="s">
        <v>5725</v>
      </c>
    </row>
    <row r="5365" spans="2:5">
      <c r="B5365" s="15" t="s">
        <v>7215</v>
      </c>
      <c r="C5365" s="15" t="s">
        <v>7216</v>
      </c>
      <c r="D5365" s="15" t="s">
        <v>5728</v>
      </c>
      <c r="E5365" s="15" t="s">
        <v>5729</v>
      </c>
    </row>
    <row r="5366" spans="2:5">
      <c r="B5366" s="15" t="s">
        <v>7215</v>
      </c>
      <c r="C5366" s="15" t="s">
        <v>7216</v>
      </c>
      <c r="D5366" s="15" t="s">
        <v>5730</v>
      </c>
      <c r="E5366" s="15" t="s">
        <v>5731</v>
      </c>
    </row>
    <row r="5367" spans="2:5">
      <c r="B5367" s="15" t="s">
        <v>7215</v>
      </c>
      <c r="C5367" s="15" t="s">
        <v>7216</v>
      </c>
      <c r="D5367" s="15" t="s">
        <v>5732</v>
      </c>
      <c r="E5367" s="15" t="s">
        <v>5733</v>
      </c>
    </row>
    <row r="5368" ht="15.95" spans="2:2">
      <c r="B5368" s="122" t="s">
        <v>7217</v>
      </c>
    </row>
    <row r="5369" spans="2:5">
      <c r="B5369" s="15" t="s">
        <v>7218</v>
      </c>
      <c r="C5369" s="15" t="s">
        <v>7219</v>
      </c>
      <c r="D5369" s="15" t="s">
        <v>770</v>
      </c>
      <c r="E5369" s="15" t="s">
        <v>7220</v>
      </c>
    </row>
    <row r="5370" spans="2:5">
      <c r="B5370" s="15" t="s">
        <v>7218</v>
      </c>
      <c r="C5370" s="15" t="s">
        <v>7219</v>
      </c>
      <c r="D5370" s="15" t="s">
        <v>772</v>
      </c>
      <c r="E5370" s="15" t="s">
        <v>7221</v>
      </c>
    </row>
    <row r="5371" spans="2:5">
      <c r="B5371" s="15" t="s">
        <v>7218</v>
      </c>
      <c r="C5371" s="15" t="s">
        <v>7219</v>
      </c>
      <c r="D5371" s="15" t="s">
        <v>774</v>
      </c>
      <c r="E5371" s="15" t="s">
        <v>7222</v>
      </c>
    </row>
    <row r="5372" spans="2:5">
      <c r="B5372" s="15" t="s">
        <v>7218</v>
      </c>
      <c r="C5372" s="15" t="s">
        <v>7219</v>
      </c>
      <c r="D5372" s="15" t="s">
        <v>828</v>
      </c>
      <c r="E5372" s="15" t="s">
        <v>7223</v>
      </c>
    </row>
    <row r="5373" spans="2:5">
      <c r="B5373" s="15" t="s">
        <v>7218</v>
      </c>
      <c r="C5373" s="15" t="s">
        <v>7219</v>
      </c>
      <c r="D5373" s="15" t="s">
        <v>1143</v>
      </c>
      <c r="E5373" s="15" t="s">
        <v>235</v>
      </c>
    </row>
    <row r="5374" ht="15.95" spans="2:2">
      <c r="B5374" s="122" t="s">
        <v>7224</v>
      </c>
    </row>
    <row r="5375" spans="2:5">
      <c r="B5375" s="15" t="s">
        <v>7225</v>
      </c>
      <c r="C5375" s="15" t="s">
        <v>7225</v>
      </c>
      <c r="D5375" s="15" t="s">
        <v>723</v>
      </c>
      <c r="E5375" s="15" t="s">
        <v>1643</v>
      </c>
    </row>
    <row r="5376" spans="2:5">
      <c r="B5376" s="15" t="s">
        <v>7225</v>
      </c>
      <c r="C5376" s="15" t="s">
        <v>7225</v>
      </c>
      <c r="D5376" s="15" t="s">
        <v>725</v>
      </c>
      <c r="E5376" s="15" t="s">
        <v>862</v>
      </c>
    </row>
    <row r="5377" ht="15.95" spans="2:2">
      <c r="B5377" s="122" t="s">
        <v>7226</v>
      </c>
    </row>
    <row r="5378" spans="2:5">
      <c r="B5378" s="15" t="s">
        <v>7227</v>
      </c>
      <c r="C5378" s="15" t="s">
        <v>7228</v>
      </c>
      <c r="D5378" s="15" t="s">
        <v>7229</v>
      </c>
      <c r="E5378" s="15" t="s">
        <v>7230</v>
      </c>
    </row>
    <row r="5379" spans="2:5">
      <c r="B5379" s="15" t="s">
        <v>7227</v>
      </c>
      <c r="C5379" s="15" t="s">
        <v>7228</v>
      </c>
      <c r="D5379" s="15" t="s">
        <v>7231</v>
      </c>
      <c r="E5379" s="15" t="s">
        <v>7232</v>
      </c>
    </row>
    <row r="5380" spans="2:5">
      <c r="B5380" s="15" t="s">
        <v>7227</v>
      </c>
      <c r="C5380" s="15" t="s">
        <v>7228</v>
      </c>
      <c r="D5380" s="15" t="s">
        <v>7233</v>
      </c>
      <c r="E5380" s="15" t="s">
        <v>7234</v>
      </c>
    </row>
    <row r="5381" spans="2:5">
      <c r="B5381" s="15" t="s">
        <v>7227</v>
      </c>
      <c r="C5381" s="15" t="s">
        <v>7228</v>
      </c>
      <c r="D5381" s="15" t="s">
        <v>7235</v>
      </c>
      <c r="E5381" s="15" t="s">
        <v>7236</v>
      </c>
    </row>
    <row r="5382" spans="2:5">
      <c r="B5382" s="15" t="s">
        <v>7227</v>
      </c>
      <c r="C5382" s="15" t="s">
        <v>7228</v>
      </c>
      <c r="D5382" s="15" t="s">
        <v>7237</v>
      </c>
      <c r="E5382" s="15" t="s">
        <v>7238</v>
      </c>
    </row>
    <row r="5383" ht="15.95" spans="2:2">
      <c r="B5383" s="122" t="s">
        <v>7239</v>
      </c>
    </row>
    <row r="5384" spans="2:5">
      <c r="B5384" s="15" t="s">
        <v>7240</v>
      </c>
      <c r="C5384" s="15"/>
      <c r="D5384" s="15" t="s">
        <v>770</v>
      </c>
      <c r="E5384" s="15" t="s">
        <v>6691</v>
      </c>
    </row>
    <row r="5385" spans="2:5">
      <c r="B5385" s="15" t="s">
        <v>7240</v>
      </c>
      <c r="C5385" s="15"/>
      <c r="D5385" s="15" t="s">
        <v>772</v>
      </c>
      <c r="E5385" s="15" t="s">
        <v>906</v>
      </c>
    </row>
    <row r="5386" spans="2:5">
      <c r="B5386" s="15" t="s">
        <v>7240</v>
      </c>
      <c r="C5386" s="15"/>
      <c r="D5386" s="15" t="s">
        <v>774</v>
      </c>
      <c r="E5386" s="15" t="s">
        <v>5658</v>
      </c>
    </row>
    <row r="5387" ht="15.95" spans="2:2">
      <c r="B5387" s="122" t="s">
        <v>7241</v>
      </c>
    </row>
    <row r="5388" spans="2:5">
      <c r="B5388" s="15" t="s">
        <v>7242</v>
      </c>
      <c r="C5388" s="15" t="s">
        <v>7242</v>
      </c>
      <c r="D5388" s="15" t="s">
        <v>723</v>
      </c>
      <c r="E5388" s="15" t="s">
        <v>7243</v>
      </c>
    </row>
    <row r="5389" spans="2:5">
      <c r="B5389" s="15" t="s">
        <v>7242</v>
      </c>
      <c r="C5389" s="15" t="s">
        <v>7242</v>
      </c>
      <c r="D5389" s="15" t="s">
        <v>725</v>
      </c>
      <c r="E5389" s="15" t="s">
        <v>7244</v>
      </c>
    </row>
    <row r="5390" spans="2:5">
      <c r="B5390" s="15" t="s">
        <v>7242</v>
      </c>
      <c r="C5390" s="15" t="s">
        <v>7242</v>
      </c>
      <c r="D5390" s="15" t="s">
        <v>727</v>
      </c>
      <c r="E5390" s="15" t="s">
        <v>7245</v>
      </c>
    </row>
    <row r="5391" ht="15.95" spans="2:2">
      <c r="B5391" s="122" t="s">
        <v>7246</v>
      </c>
    </row>
    <row r="5392" spans="2:5">
      <c r="B5392" s="15" t="s">
        <v>7247</v>
      </c>
      <c r="C5392" s="15" t="s">
        <v>7248</v>
      </c>
      <c r="D5392" s="15" t="s">
        <v>770</v>
      </c>
      <c r="E5392" s="15" t="s">
        <v>1241</v>
      </c>
    </row>
    <row r="5393" spans="2:5">
      <c r="B5393" s="15" t="s">
        <v>7247</v>
      </c>
      <c r="C5393" s="15" t="s">
        <v>7248</v>
      </c>
      <c r="D5393" s="15" t="s">
        <v>774</v>
      </c>
      <c r="E5393" s="15" t="s">
        <v>1242</v>
      </c>
    </row>
    <row r="5394" ht="15.95" spans="2:2">
      <c r="B5394" s="122" t="s">
        <v>7249</v>
      </c>
    </row>
    <row r="5395" spans="2:5">
      <c r="B5395" s="15" t="s">
        <v>7250</v>
      </c>
      <c r="C5395" s="15" t="s">
        <v>7251</v>
      </c>
      <c r="D5395" s="15" t="s">
        <v>770</v>
      </c>
      <c r="E5395" s="15" t="s">
        <v>6546</v>
      </c>
    </row>
    <row r="5396" spans="2:5">
      <c r="B5396" s="15" t="s">
        <v>7250</v>
      </c>
      <c r="C5396" s="15" t="s">
        <v>7251</v>
      </c>
      <c r="D5396" s="15" t="s">
        <v>772</v>
      </c>
      <c r="E5396" s="15" t="s">
        <v>6549</v>
      </c>
    </row>
    <row r="5397" spans="2:5">
      <c r="B5397" s="15" t="s">
        <v>7250</v>
      </c>
      <c r="C5397" s="15" t="s">
        <v>7251</v>
      </c>
      <c r="D5397" s="15" t="s">
        <v>774</v>
      </c>
      <c r="E5397" s="15" t="s">
        <v>2196</v>
      </c>
    </row>
    <row r="5398" spans="2:5">
      <c r="B5398" s="15" t="s">
        <v>7250</v>
      </c>
      <c r="C5398" s="15" t="s">
        <v>7251</v>
      </c>
      <c r="D5398" s="15" t="s">
        <v>828</v>
      </c>
      <c r="E5398" s="15" t="s">
        <v>745</v>
      </c>
    </row>
    <row r="5399" spans="2:5">
      <c r="B5399" s="15" t="s">
        <v>7250</v>
      </c>
      <c r="C5399" s="15" t="s">
        <v>7251</v>
      </c>
      <c r="D5399" s="15" t="s">
        <v>901</v>
      </c>
      <c r="E5399" s="15" t="s">
        <v>7252</v>
      </c>
    </row>
    <row r="5400" spans="2:5">
      <c r="B5400" s="15" t="s">
        <v>7250</v>
      </c>
      <c r="C5400" s="15" t="s">
        <v>7251</v>
      </c>
      <c r="D5400" s="15" t="s">
        <v>776</v>
      </c>
      <c r="E5400" s="15" t="s">
        <v>7253</v>
      </c>
    </row>
    <row r="5401" spans="2:5">
      <c r="B5401" s="15" t="s">
        <v>7250</v>
      </c>
      <c r="C5401" s="15" t="s">
        <v>7251</v>
      </c>
      <c r="D5401" s="15" t="s">
        <v>1290</v>
      </c>
      <c r="E5401" s="15" t="s">
        <v>7254</v>
      </c>
    </row>
    <row r="5402" spans="2:5">
      <c r="B5402" s="15" t="s">
        <v>7250</v>
      </c>
      <c r="C5402" s="15" t="s">
        <v>7251</v>
      </c>
      <c r="D5402" s="15" t="s">
        <v>1145</v>
      </c>
      <c r="E5402" s="15" t="s">
        <v>235</v>
      </c>
    </row>
    <row r="5403" ht="15.95" spans="2:2">
      <c r="B5403" s="122" t="s">
        <v>7255</v>
      </c>
    </row>
    <row r="5404" spans="2:5">
      <c r="B5404" s="15" t="s">
        <v>7256</v>
      </c>
      <c r="C5404" s="15" t="s">
        <v>7257</v>
      </c>
      <c r="D5404" s="15" t="s">
        <v>7258</v>
      </c>
      <c r="E5404" s="15" t="s">
        <v>7259</v>
      </c>
    </row>
    <row r="5405" spans="2:5">
      <c r="B5405" s="15" t="s">
        <v>7256</v>
      </c>
      <c r="C5405" s="15" t="s">
        <v>7257</v>
      </c>
      <c r="D5405" s="15" t="s">
        <v>2610</v>
      </c>
      <c r="E5405" s="15" t="s">
        <v>7260</v>
      </c>
    </row>
    <row r="5406" spans="2:5">
      <c r="B5406" s="15" t="s">
        <v>7256</v>
      </c>
      <c r="C5406" s="15" t="s">
        <v>7257</v>
      </c>
      <c r="D5406" s="15" t="s">
        <v>7261</v>
      </c>
      <c r="E5406" s="15" t="s">
        <v>7262</v>
      </c>
    </row>
    <row r="5407" spans="2:5">
      <c r="B5407" s="15" t="s">
        <v>7256</v>
      </c>
      <c r="C5407" s="15" t="s">
        <v>7257</v>
      </c>
      <c r="D5407" s="15" t="s">
        <v>7263</v>
      </c>
      <c r="E5407" s="15" t="s">
        <v>7176</v>
      </c>
    </row>
    <row r="5408" ht="15.95" spans="2:2">
      <c r="B5408" s="122" t="s">
        <v>7264</v>
      </c>
    </row>
    <row r="5409" spans="2:5">
      <c r="B5409" s="15" t="s">
        <v>7265</v>
      </c>
      <c r="C5409" s="15" t="s">
        <v>7265</v>
      </c>
      <c r="D5409" s="15" t="s">
        <v>723</v>
      </c>
      <c r="E5409" s="15" t="s">
        <v>7266</v>
      </c>
    </row>
    <row r="5410" spans="2:5">
      <c r="B5410" s="15" t="s">
        <v>7265</v>
      </c>
      <c r="C5410" s="15" t="s">
        <v>7265</v>
      </c>
      <c r="D5410" s="15" t="s">
        <v>725</v>
      </c>
      <c r="E5410" s="15" t="s">
        <v>7267</v>
      </c>
    </row>
    <row r="5411" spans="2:5">
      <c r="B5411" s="15" t="s">
        <v>7265</v>
      </c>
      <c r="C5411" s="15" t="s">
        <v>7265</v>
      </c>
      <c r="D5411" s="15" t="s">
        <v>727</v>
      </c>
      <c r="E5411" s="15" t="s">
        <v>7268</v>
      </c>
    </row>
    <row r="5412" ht="15.95" spans="2:2">
      <c r="B5412" s="122" t="s">
        <v>7269</v>
      </c>
    </row>
    <row r="5413" spans="2:5">
      <c r="B5413" s="15" t="s">
        <v>7270</v>
      </c>
      <c r="C5413" s="15" t="s">
        <v>7271</v>
      </c>
      <c r="D5413" s="15" t="s">
        <v>770</v>
      </c>
      <c r="E5413" s="15" t="s">
        <v>7272</v>
      </c>
    </row>
    <row r="5414" spans="2:5">
      <c r="B5414" s="15" t="s">
        <v>7270</v>
      </c>
      <c r="C5414" s="15" t="s">
        <v>7271</v>
      </c>
      <c r="D5414" s="15" t="s">
        <v>772</v>
      </c>
      <c r="E5414" s="15" t="s">
        <v>7273</v>
      </c>
    </row>
    <row r="5415" ht="15.95" spans="2:2">
      <c r="B5415" s="122" t="s">
        <v>7274</v>
      </c>
    </row>
    <row r="5416" spans="2:5">
      <c r="B5416" s="15" t="s">
        <v>7275</v>
      </c>
      <c r="C5416" s="15"/>
      <c r="D5416" s="15" t="s">
        <v>1267</v>
      </c>
      <c r="E5416" s="15" t="s">
        <v>1355</v>
      </c>
    </row>
    <row r="5417" spans="2:5">
      <c r="B5417" s="15" t="s">
        <v>7275</v>
      </c>
      <c r="C5417" s="15"/>
      <c r="D5417" s="15" t="s">
        <v>1269</v>
      </c>
      <c r="E5417" s="15" t="s">
        <v>1356</v>
      </c>
    </row>
    <row r="5418" ht="15.95" spans="2:2">
      <c r="B5418" s="122" t="s">
        <v>7276</v>
      </c>
    </row>
    <row r="5419" spans="2:5">
      <c r="B5419" s="15" t="s">
        <v>7277</v>
      </c>
      <c r="C5419" s="15" t="s">
        <v>7278</v>
      </c>
      <c r="D5419" s="15" t="s">
        <v>917</v>
      </c>
      <c r="E5419" s="15" t="s">
        <v>953</v>
      </c>
    </row>
    <row r="5420" spans="2:5">
      <c r="B5420" s="15" t="s">
        <v>7277</v>
      </c>
      <c r="C5420" s="15" t="s">
        <v>7278</v>
      </c>
      <c r="D5420" s="15" t="s">
        <v>919</v>
      </c>
      <c r="E5420" s="15" t="s">
        <v>954</v>
      </c>
    </row>
    <row r="5421" spans="2:5">
      <c r="B5421" s="15" t="s">
        <v>7277</v>
      </c>
      <c r="C5421" s="15" t="s">
        <v>7278</v>
      </c>
      <c r="D5421" s="15" t="s">
        <v>921</v>
      </c>
      <c r="E5421" s="15" t="s">
        <v>956</v>
      </c>
    </row>
    <row r="5422" spans="2:5">
      <c r="B5422" s="15" t="s">
        <v>7277</v>
      </c>
      <c r="C5422" s="15" t="s">
        <v>7278</v>
      </c>
      <c r="D5422" s="15" t="s">
        <v>923</v>
      </c>
      <c r="E5422" s="15" t="s">
        <v>7279</v>
      </c>
    </row>
    <row r="5423" ht="15.95" spans="2:2">
      <c r="B5423" s="122" t="s">
        <v>7280</v>
      </c>
    </row>
    <row r="5424" spans="2:5">
      <c r="B5424" s="15" t="s">
        <v>7281</v>
      </c>
      <c r="C5424" s="15" t="s">
        <v>7282</v>
      </c>
      <c r="D5424" s="15" t="s">
        <v>723</v>
      </c>
      <c r="E5424" s="15" t="s">
        <v>1275</v>
      </c>
    </row>
    <row r="5425" spans="2:5">
      <c r="B5425" s="15" t="s">
        <v>7281</v>
      </c>
      <c r="C5425" s="15" t="s">
        <v>7282</v>
      </c>
      <c r="D5425" s="15" t="s">
        <v>725</v>
      </c>
      <c r="E5425" s="15" t="s">
        <v>1274</v>
      </c>
    </row>
    <row r="5426" spans="2:5">
      <c r="B5426" s="15" t="s">
        <v>7281</v>
      </c>
      <c r="C5426" s="15" t="s">
        <v>7282</v>
      </c>
      <c r="D5426" s="15" t="s">
        <v>727</v>
      </c>
      <c r="E5426" s="15" t="s">
        <v>235</v>
      </c>
    </row>
    <row r="5427" ht="15.95" spans="2:2">
      <c r="B5427" s="122" t="s">
        <v>7283</v>
      </c>
    </row>
    <row r="5428" spans="2:5">
      <c r="B5428" s="15" t="s">
        <v>7284</v>
      </c>
      <c r="C5428" s="15" t="s">
        <v>896</v>
      </c>
      <c r="D5428" s="15" t="s">
        <v>770</v>
      </c>
      <c r="E5428" s="15" t="s">
        <v>7285</v>
      </c>
    </row>
    <row r="5429" spans="2:5">
      <c r="B5429" s="15" t="s">
        <v>7284</v>
      </c>
      <c r="C5429" s="15" t="s">
        <v>896</v>
      </c>
      <c r="D5429" s="15" t="s">
        <v>772</v>
      </c>
      <c r="E5429" s="15" t="s">
        <v>7286</v>
      </c>
    </row>
    <row r="5430" ht="15.95" spans="2:2">
      <c r="B5430" s="122" t="s">
        <v>7287</v>
      </c>
    </row>
    <row r="5431" spans="2:5">
      <c r="B5431" s="15" t="s">
        <v>7288</v>
      </c>
      <c r="C5431" s="15"/>
      <c r="D5431" s="15" t="s">
        <v>917</v>
      </c>
      <c r="E5431" s="15" t="s">
        <v>953</v>
      </c>
    </row>
    <row r="5432" spans="2:5">
      <c r="B5432" s="15" t="s">
        <v>7288</v>
      </c>
      <c r="C5432" s="15"/>
      <c r="D5432" s="15" t="s">
        <v>919</v>
      </c>
      <c r="E5432" s="15" t="s">
        <v>954</v>
      </c>
    </row>
    <row r="5433" spans="2:5">
      <c r="B5433" s="15" t="s">
        <v>7288</v>
      </c>
      <c r="C5433" s="15"/>
      <c r="D5433" s="15" t="s">
        <v>955</v>
      </c>
      <c r="E5433" s="15" t="s">
        <v>956</v>
      </c>
    </row>
    <row r="5434" ht="15.95" spans="2:2">
      <c r="B5434" s="122" t="s">
        <v>7289</v>
      </c>
    </row>
    <row r="5435" spans="2:5">
      <c r="B5435" s="15" t="s">
        <v>7290</v>
      </c>
      <c r="C5435" s="15" t="s">
        <v>7290</v>
      </c>
      <c r="D5435" s="15" t="s">
        <v>723</v>
      </c>
      <c r="E5435" s="15" t="s">
        <v>4418</v>
      </c>
    </row>
    <row r="5436" spans="2:5">
      <c r="B5436" s="15" t="s">
        <v>7290</v>
      </c>
      <c r="C5436" s="15" t="s">
        <v>7290</v>
      </c>
      <c r="D5436" s="15" t="s">
        <v>725</v>
      </c>
      <c r="E5436" s="15" t="s">
        <v>1203</v>
      </c>
    </row>
    <row r="5437" spans="2:5">
      <c r="B5437" s="15" t="s">
        <v>7290</v>
      </c>
      <c r="C5437" s="15" t="s">
        <v>7290</v>
      </c>
      <c r="D5437" s="15" t="s">
        <v>727</v>
      </c>
      <c r="E5437" s="15" t="s">
        <v>7291</v>
      </c>
    </row>
    <row r="5438" ht="15.95" spans="2:2">
      <c r="B5438" s="122" t="s">
        <v>7292</v>
      </c>
    </row>
    <row r="5439" spans="2:5">
      <c r="B5439" s="15" t="s">
        <v>7293</v>
      </c>
      <c r="C5439" s="15" t="s">
        <v>896</v>
      </c>
      <c r="D5439" s="15" t="s">
        <v>723</v>
      </c>
      <c r="E5439" s="15" t="s">
        <v>1301</v>
      </c>
    </row>
    <row r="5440" spans="2:5">
      <c r="B5440" s="15" t="s">
        <v>7293</v>
      </c>
      <c r="C5440" s="15" t="s">
        <v>896</v>
      </c>
      <c r="D5440" s="15" t="s">
        <v>725</v>
      </c>
      <c r="E5440" s="15" t="s">
        <v>1302</v>
      </c>
    </row>
    <row r="5441" spans="2:5">
      <c r="B5441" s="15" t="s">
        <v>7293</v>
      </c>
      <c r="C5441" s="15" t="s">
        <v>896</v>
      </c>
      <c r="D5441" s="15" t="s">
        <v>727</v>
      </c>
      <c r="E5441" s="15" t="s">
        <v>1303</v>
      </c>
    </row>
    <row r="5442" ht="15.95" spans="2:2">
      <c r="B5442" s="122" t="s">
        <v>7294</v>
      </c>
    </row>
    <row r="5443" spans="2:5">
      <c r="B5443" s="15" t="s">
        <v>7295</v>
      </c>
      <c r="C5443" s="15" t="s">
        <v>7296</v>
      </c>
      <c r="D5443" s="15" t="s">
        <v>770</v>
      </c>
      <c r="E5443" s="15" t="s">
        <v>4812</v>
      </c>
    </row>
    <row r="5444" spans="2:5">
      <c r="B5444" s="15" t="s">
        <v>7295</v>
      </c>
      <c r="C5444" s="15" t="s">
        <v>7296</v>
      </c>
      <c r="D5444" s="15" t="s">
        <v>772</v>
      </c>
      <c r="E5444" s="15" t="s">
        <v>7297</v>
      </c>
    </row>
    <row r="5445" spans="2:5">
      <c r="B5445" s="15" t="s">
        <v>7295</v>
      </c>
      <c r="C5445" s="15" t="s">
        <v>7296</v>
      </c>
      <c r="D5445" s="15" t="s">
        <v>774</v>
      </c>
      <c r="E5445" s="15" t="s">
        <v>1219</v>
      </c>
    </row>
    <row r="5446" spans="2:5">
      <c r="B5446" s="15" t="s">
        <v>7295</v>
      </c>
      <c r="C5446" s="15" t="s">
        <v>7296</v>
      </c>
      <c r="D5446" s="15" t="s">
        <v>828</v>
      </c>
      <c r="E5446" s="15" t="s">
        <v>7298</v>
      </c>
    </row>
    <row r="5447" ht="15.95" spans="2:2">
      <c r="B5447" s="122" t="s">
        <v>7299</v>
      </c>
    </row>
    <row r="5448" spans="2:5">
      <c r="B5448" s="15" t="s">
        <v>7300</v>
      </c>
      <c r="C5448" s="15" t="s">
        <v>7301</v>
      </c>
      <c r="D5448" s="15" t="s">
        <v>933</v>
      </c>
      <c r="E5448" s="15" t="s">
        <v>7302</v>
      </c>
    </row>
    <row r="5449" spans="2:5">
      <c r="B5449" s="15" t="s">
        <v>7300</v>
      </c>
      <c r="C5449" s="15" t="s">
        <v>7301</v>
      </c>
      <c r="D5449" s="15" t="s">
        <v>937</v>
      </c>
      <c r="E5449" s="15" t="s">
        <v>5514</v>
      </c>
    </row>
    <row r="5450" ht="15.95" spans="2:2">
      <c r="B5450" s="122" t="s">
        <v>7303</v>
      </c>
    </row>
    <row r="5451" spans="2:5">
      <c r="B5451" s="15" t="s">
        <v>7304</v>
      </c>
      <c r="C5451" s="15" t="s">
        <v>7304</v>
      </c>
      <c r="D5451" s="15" t="s">
        <v>723</v>
      </c>
      <c r="E5451" s="15" t="s">
        <v>3622</v>
      </c>
    </row>
    <row r="5452" spans="2:5">
      <c r="B5452" s="15" t="s">
        <v>7304</v>
      </c>
      <c r="C5452" s="15" t="s">
        <v>7304</v>
      </c>
      <c r="D5452" s="15" t="s">
        <v>725</v>
      </c>
      <c r="E5452" s="15" t="s">
        <v>1203</v>
      </c>
    </row>
    <row r="5453" spans="2:5">
      <c r="B5453" s="15" t="s">
        <v>7304</v>
      </c>
      <c r="C5453" s="15" t="s">
        <v>7304</v>
      </c>
      <c r="D5453" s="15" t="s">
        <v>727</v>
      </c>
      <c r="E5453" s="15" t="s">
        <v>3623</v>
      </c>
    </row>
    <row r="5454" ht="15.95" spans="2:2">
      <c r="B5454" s="122" t="s">
        <v>7305</v>
      </c>
    </row>
    <row r="5455" spans="2:5">
      <c r="B5455" s="15" t="s">
        <v>7306</v>
      </c>
      <c r="C5455" s="15" t="s">
        <v>896</v>
      </c>
      <c r="D5455" s="15" t="s">
        <v>770</v>
      </c>
      <c r="E5455" s="15" t="s">
        <v>1450</v>
      </c>
    </row>
    <row r="5456" spans="2:5">
      <c r="B5456" s="15" t="s">
        <v>7306</v>
      </c>
      <c r="C5456" s="15" t="s">
        <v>896</v>
      </c>
      <c r="D5456" s="15" t="s">
        <v>772</v>
      </c>
      <c r="E5456" s="15" t="s">
        <v>1451</v>
      </c>
    </row>
    <row r="5457" spans="2:5">
      <c r="B5457" s="15" t="s">
        <v>7306</v>
      </c>
      <c r="C5457" s="15" t="s">
        <v>896</v>
      </c>
      <c r="D5457" s="15" t="s">
        <v>774</v>
      </c>
      <c r="E5457" s="15" t="s">
        <v>1452</v>
      </c>
    </row>
    <row r="5458" ht="15.95" spans="2:2">
      <c r="B5458" s="122" t="s">
        <v>7307</v>
      </c>
    </row>
    <row r="5459" spans="2:5">
      <c r="B5459" s="15" t="s">
        <v>7308</v>
      </c>
      <c r="C5459" s="15" t="s">
        <v>7309</v>
      </c>
      <c r="D5459" s="15" t="s">
        <v>770</v>
      </c>
      <c r="E5459" s="15" t="s">
        <v>7310</v>
      </c>
    </row>
    <row r="5460" spans="2:5">
      <c r="B5460" s="15" t="s">
        <v>7308</v>
      </c>
      <c r="C5460" s="15" t="s">
        <v>7309</v>
      </c>
      <c r="D5460" s="15" t="s">
        <v>772</v>
      </c>
      <c r="E5460" s="15" t="s">
        <v>7311</v>
      </c>
    </row>
    <row r="5461" spans="2:5">
      <c r="B5461" s="15" t="s">
        <v>7308</v>
      </c>
      <c r="C5461" s="15" t="s">
        <v>7309</v>
      </c>
      <c r="D5461" s="15" t="s">
        <v>774</v>
      </c>
      <c r="E5461" s="15" t="s">
        <v>7312</v>
      </c>
    </row>
    <row r="5462" ht="15.95" spans="2:2">
      <c r="B5462" s="122" t="s">
        <v>7313</v>
      </c>
    </row>
    <row r="5463" spans="2:5">
      <c r="B5463" s="15" t="s">
        <v>7314</v>
      </c>
      <c r="C5463" s="15"/>
      <c r="D5463" s="15" t="s">
        <v>770</v>
      </c>
      <c r="E5463" s="15" t="s">
        <v>7315</v>
      </c>
    </row>
    <row r="5464" spans="2:5">
      <c r="B5464" s="15" t="s">
        <v>7314</v>
      </c>
      <c r="C5464" s="15"/>
      <c r="D5464" s="15" t="s">
        <v>772</v>
      </c>
      <c r="E5464" s="15" t="s">
        <v>7316</v>
      </c>
    </row>
    <row r="5465" spans="2:5">
      <c r="B5465" s="15" t="s">
        <v>7314</v>
      </c>
      <c r="C5465" s="15"/>
      <c r="D5465" s="15" t="s">
        <v>774</v>
      </c>
      <c r="E5465" s="15" t="s">
        <v>7317</v>
      </c>
    </row>
    <row r="5466" spans="2:5">
      <c r="B5466" s="15" t="s">
        <v>7314</v>
      </c>
      <c r="C5466" s="15"/>
      <c r="D5466" s="15" t="s">
        <v>828</v>
      </c>
      <c r="E5466" s="15" t="s">
        <v>7318</v>
      </c>
    </row>
    <row r="5467" spans="2:5">
      <c r="B5467" s="15" t="s">
        <v>7314</v>
      </c>
      <c r="C5467" s="15"/>
      <c r="D5467" s="15" t="s">
        <v>901</v>
      </c>
      <c r="E5467" s="15" t="s">
        <v>7319</v>
      </c>
    </row>
    <row r="5468" spans="2:5">
      <c r="B5468" s="15" t="s">
        <v>7314</v>
      </c>
      <c r="C5468" s="15"/>
      <c r="D5468" s="15" t="s">
        <v>1143</v>
      </c>
      <c r="E5468" s="15" t="s">
        <v>235</v>
      </c>
    </row>
    <row r="5469" ht="15.95" spans="2:2">
      <c r="B5469" s="122" t="s">
        <v>7320</v>
      </c>
    </row>
    <row r="5470" spans="2:5">
      <c r="B5470" s="15" t="s">
        <v>7321</v>
      </c>
      <c r="C5470" s="15" t="s">
        <v>7322</v>
      </c>
      <c r="D5470" s="15" t="s">
        <v>1432</v>
      </c>
      <c r="E5470" s="15" t="s">
        <v>7323</v>
      </c>
    </row>
    <row r="5471" spans="2:5">
      <c r="B5471" s="15" t="s">
        <v>7321</v>
      </c>
      <c r="C5471" s="15" t="s">
        <v>7322</v>
      </c>
      <c r="D5471" s="15" t="s">
        <v>723</v>
      </c>
      <c r="E5471" s="15" t="s">
        <v>7324</v>
      </c>
    </row>
    <row r="5472" spans="2:5">
      <c r="B5472" s="15" t="s">
        <v>7321</v>
      </c>
      <c r="C5472" s="15" t="s">
        <v>7322</v>
      </c>
      <c r="D5472" s="15" t="s">
        <v>725</v>
      </c>
      <c r="E5472" s="15" t="s">
        <v>7325</v>
      </c>
    </row>
    <row r="5473" spans="2:5">
      <c r="B5473" s="15" t="s">
        <v>7321</v>
      </c>
      <c r="C5473" s="15" t="s">
        <v>7322</v>
      </c>
      <c r="D5473" s="15" t="s">
        <v>765</v>
      </c>
      <c r="E5473" s="15" t="s">
        <v>7326</v>
      </c>
    </row>
    <row r="5474" ht="15.95" spans="2:2">
      <c r="B5474" s="122" t="s">
        <v>7327</v>
      </c>
    </row>
    <row r="5475" spans="2:5">
      <c r="B5475" s="15" t="s">
        <v>7328</v>
      </c>
      <c r="C5475" s="15" t="s">
        <v>7329</v>
      </c>
      <c r="D5475" s="15" t="s">
        <v>1432</v>
      </c>
      <c r="E5475" s="15" t="s">
        <v>7330</v>
      </c>
    </row>
    <row r="5476" spans="2:5">
      <c r="B5476" s="15" t="s">
        <v>7328</v>
      </c>
      <c r="C5476" s="15" t="s">
        <v>7329</v>
      </c>
      <c r="D5476" s="15" t="s">
        <v>785</v>
      </c>
      <c r="E5476" s="15" t="s">
        <v>4432</v>
      </c>
    </row>
    <row r="5477" spans="2:5">
      <c r="B5477" s="15" t="s">
        <v>7328</v>
      </c>
      <c r="C5477" s="15" t="s">
        <v>7329</v>
      </c>
      <c r="D5477" s="15" t="s">
        <v>787</v>
      </c>
      <c r="E5477" s="15" t="s">
        <v>7331</v>
      </c>
    </row>
    <row r="5478" spans="2:5">
      <c r="B5478" s="15" t="s">
        <v>7328</v>
      </c>
      <c r="C5478" s="15" t="s">
        <v>7329</v>
      </c>
      <c r="D5478" s="15" t="s">
        <v>789</v>
      </c>
      <c r="E5478" s="15" t="s">
        <v>7332</v>
      </c>
    </row>
    <row r="5479" spans="2:5">
      <c r="B5479" s="15" t="s">
        <v>7328</v>
      </c>
      <c r="C5479" s="15" t="s">
        <v>7329</v>
      </c>
      <c r="D5479" s="15" t="s">
        <v>793</v>
      </c>
      <c r="E5479" s="15" t="s">
        <v>7333</v>
      </c>
    </row>
    <row r="5480" spans="2:5">
      <c r="B5480" s="15" t="s">
        <v>7328</v>
      </c>
      <c r="C5480" s="15" t="s">
        <v>7329</v>
      </c>
      <c r="D5480" s="15" t="s">
        <v>725</v>
      </c>
      <c r="E5480" s="15" t="s">
        <v>7334</v>
      </c>
    </row>
    <row r="5481" spans="2:5">
      <c r="B5481" s="15" t="s">
        <v>7328</v>
      </c>
      <c r="C5481" s="15" t="s">
        <v>7329</v>
      </c>
      <c r="D5481" s="15" t="s">
        <v>994</v>
      </c>
      <c r="E5481" s="15" t="s">
        <v>7335</v>
      </c>
    </row>
    <row r="5482" spans="2:5">
      <c r="B5482" s="15" t="s">
        <v>7328</v>
      </c>
      <c r="C5482" s="15" t="s">
        <v>7329</v>
      </c>
      <c r="D5482" s="15" t="s">
        <v>996</v>
      </c>
      <c r="E5482" s="15" t="s">
        <v>7336</v>
      </c>
    </row>
    <row r="5483" spans="2:5">
      <c r="B5483" s="15" t="s">
        <v>7328</v>
      </c>
      <c r="C5483" s="15" t="s">
        <v>7329</v>
      </c>
      <c r="D5483" s="15" t="s">
        <v>998</v>
      </c>
      <c r="E5483" s="15" t="s">
        <v>7337</v>
      </c>
    </row>
    <row r="5484" spans="2:5">
      <c r="B5484" s="15" t="s">
        <v>7328</v>
      </c>
      <c r="C5484" s="15" t="s">
        <v>7329</v>
      </c>
      <c r="D5484" s="15" t="s">
        <v>7338</v>
      </c>
      <c r="E5484" s="15" t="s">
        <v>7339</v>
      </c>
    </row>
    <row r="5485" spans="2:5">
      <c r="B5485" s="15" t="s">
        <v>7328</v>
      </c>
      <c r="C5485" s="15" t="s">
        <v>7329</v>
      </c>
      <c r="D5485" s="15" t="s">
        <v>760</v>
      </c>
      <c r="E5485" s="15" t="s">
        <v>7340</v>
      </c>
    </row>
    <row r="5486" spans="2:5">
      <c r="B5486" s="15" t="s">
        <v>7328</v>
      </c>
      <c r="C5486" s="15" t="s">
        <v>7329</v>
      </c>
      <c r="D5486" s="15" t="s">
        <v>1009</v>
      </c>
      <c r="E5486" s="15" t="s">
        <v>7341</v>
      </c>
    </row>
    <row r="5487" spans="2:5">
      <c r="B5487" s="15" t="s">
        <v>7328</v>
      </c>
      <c r="C5487" s="15" t="s">
        <v>7329</v>
      </c>
      <c r="D5487" s="15" t="s">
        <v>1011</v>
      </c>
      <c r="E5487" s="15" t="s">
        <v>7342</v>
      </c>
    </row>
    <row r="5488" spans="2:5">
      <c r="B5488" s="15" t="s">
        <v>7328</v>
      </c>
      <c r="C5488" s="15" t="s">
        <v>7329</v>
      </c>
      <c r="D5488" s="15" t="s">
        <v>765</v>
      </c>
      <c r="E5488" s="15" t="s">
        <v>7343</v>
      </c>
    </row>
    <row r="5489" spans="2:5">
      <c r="B5489" s="15" t="s">
        <v>7328</v>
      </c>
      <c r="C5489" s="15" t="s">
        <v>7329</v>
      </c>
      <c r="D5489" s="15" t="s">
        <v>7344</v>
      </c>
      <c r="E5489" s="15" t="s">
        <v>7345</v>
      </c>
    </row>
    <row r="5490" ht="15.95" spans="2:2">
      <c r="B5490" s="122" t="s">
        <v>7346</v>
      </c>
    </row>
    <row r="5491" spans="2:5">
      <c r="B5491" s="15" t="s">
        <v>7347</v>
      </c>
      <c r="C5491" s="15"/>
      <c r="D5491" s="15" t="s">
        <v>1267</v>
      </c>
      <c r="E5491" s="15" t="s">
        <v>1355</v>
      </c>
    </row>
    <row r="5492" spans="2:5">
      <c r="B5492" s="15" t="s">
        <v>7347</v>
      </c>
      <c r="C5492" s="15"/>
      <c r="D5492" s="15" t="s">
        <v>1269</v>
      </c>
      <c r="E5492" s="15" t="s">
        <v>1356</v>
      </c>
    </row>
    <row r="5493" ht="15.95" spans="2:2">
      <c r="B5493" s="122" t="s">
        <v>7348</v>
      </c>
    </row>
    <row r="5494" spans="2:5">
      <c r="B5494" s="15" t="s">
        <v>7349</v>
      </c>
      <c r="C5494" s="15" t="s">
        <v>7350</v>
      </c>
      <c r="D5494" s="15" t="s">
        <v>933</v>
      </c>
      <c r="E5494" s="15" t="s">
        <v>7351</v>
      </c>
    </row>
    <row r="5495" spans="2:5">
      <c r="B5495" s="15" t="s">
        <v>7349</v>
      </c>
      <c r="C5495" s="15" t="s">
        <v>7350</v>
      </c>
      <c r="D5495" s="15" t="s">
        <v>937</v>
      </c>
      <c r="E5495" s="15" t="s">
        <v>7352</v>
      </c>
    </row>
    <row r="5496" ht="15.95" spans="2:2">
      <c r="B5496" s="122" t="s">
        <v>7353</v>
      </c>
    </row>
    <row r="5497" spans="2:5">
      <c r="B5497" s="15" t="s">
        <v>7354</v>
      </c>
      <c r="C5497" s="15" t="s">
        <v>7355</v>
      </c>
      <c r="D5497" s="15" t="s">
        <v>770</v>
      </c>
      <c r="E5497" s="15" t="s">
        <v>7356</v>
      </c>
    </row>
    <row r="5498" ht="15.95" spans="2:2">
      <c r="B5498" s="122" t="s">
        <v>7357</v>
      </c>
    </row>
    <row r="5499" spans="2:5">
      <c r="B5499" s="15" t="s">
        <v>7358</v>
      </c>
      <c r="C5499" s="15" t="s">
        <v>7359</v>
      </c>
      <c r="D5499" s="15" t="s">
        <v>1432</v>
      </c>
      <c r="E5499" s="15" t="s">
        <v>7360</v>
      </c>
    </row>
    <row r="5500" spans="2:5">
      <c r="B5500" s="15" t="s">
        <v>7358</v>
      </c>
      <c r="C5500" s="15" t="s">
        <v>7359</v>
      </c>
      <c r="D5500" s="15" t="s">
        <v>723</v>
      </c>
      <c r="E5500" s="15" t="s">
        <v>7361</v>
      </c>
    </row>
    <row r="5501" spans="2:5">
      <c r="B5501" s="15" t="s">
        <v>7358</v>
      </c>
      <c r="C5501" s="15" t="s">
        <v>7359</v>
      </c>
      <c r="D5501" s="15" t="s">
        <v>725</v>
      </c>
      <c r="E5501" s="15" t="s">
        <v>7362</v>
      </c>
    </row>
    <row r="5502" ht="15.95" spans="2:2">
      <c r="B5502" s="122" t="s">
        <v>7363</v>
      </c>
    </row>
    <row r="5503" spans="2:5">
      <c r="B5503" s="15" t="s">
        <v>7364</v>
      </c>
      <c r="C5503" s="15" t="s">
        <v>7364</v>
      </c>
      <c r="D5503" s="15" t="s">
        <v>770</v>
      </c>
      <c r="E5503" s="15" t="s">
        <v>7365</v>
      </c>
    </row>
    <row r="5504" spans="2:5">
      <c r="B5504" s="15" t="s">
        <v>7364</v>
      </c>
      <c r="C5504" s="15" t="s">
        <v>7364</v>
      </c>
      <c r="D5504" s="15" t="s">
        <v>772</v>
      </c>
      <c r="E5504" s="15" t="s">
        <v>7366</v>
      </c>
    </row>
    <row r="5505" spans="2:5">
      <c r="B5505" s="15" t="s">
        <v>7364</v>
      </c>
      <c r="C5505" s="15" t="s">
        <v>7364</v>
      </c>
      <c r="D5505" s="15" t="s">
        <v>774</v>
      </c>
      <c r="E5505" s="15" t="s">
        <v>7367</v>
      </c>
    </row>
    <row r="5506" spans="2:5">
      <c r="B5506" s="15" t="s">
        <v>7364</v>
      </c>
      <c r="C5506" s="15" t="s">
        <v>7364</v>
      </c>
      <c r="D5506" s="15" t="s">
        <v>828</v>
      </c>
      <c r="E5506" s="15" t="s">
        <v>7368</v>
      </c>
    </row>
    <row r="5507" spans="2:5">
      <c r="B5507" s="15" t="s">
        <v>7364</v>
      </c>
      <c r="C5507" s="15" t="s">
        <v>7364</v>
      </c>
      <c r="D5507" s="15" t="s">
        <v>901</v>
      </c>
      <c r="E5507" s="15" t="s">
        <v>7369</v>
      </c>
    </row>
    <row r="5508" spans="2:5">
      <c r="B5508" s="15" t="s">
        <v>7364</v>
      </c>
      <c r="C5508" s="15" t="s">
        <v>7364</v>
      </c>
      <c r="D5508" s="15" t="s">
        <v>776</v>
      </c>
      <c r="E5508" s="15" t="s">
        <v>235</v>
      </c>
    </row>
    <row r="5509" ht="15.95" spans="2:2">
      <c r="B5509" s="122" t="s">
        <v>7370</v>
      </c>
    </row>
    <row r="5510" spans="2:5">
      <c r="B5510" s="15" t="s">
        <v>7371</v>
      </c>
      <c r="C5510" s="15" t="s">
        <v>7371</v>
      </c>
      <c r="D5510" s="15" t="s">
        <v>770</v>
      </c>
      <c r="E5510" s="15" t="s">
        <v>5252</v>
      </c>
    </row>
    <row r="5511" spans="2:5">
      <c r="B5511" s="15" t="s">
        <v>7371</v>
      </c>
      <c r="C5511" s="15" t="s">
        <v>7371</v>
      </c>
      <c r="D5511" s="15" t="s">
        <v>772</v>
      </c>
      <c r="E5511" s="15" t="s">
        <v>5253</v>
      </c>
    </row>
    <row r="5512" spans="2:5">
      <c r="B5512" s="15" t="s">
        <v>7371</v>
      </c>
      <c r="C5512" s="15" t="s">
        <v>7371</v>
      </c>
      <c r="D5512" s="15" t="s">
        <v>774</v>
      </c>
      <c r="E5512" s="15" t="s">
        <v>5254</v>
      </c>
    </row>
    <row r="5513" spans="2:5">
      <c r="B5513" s="15" t="s">
        <v>7371</v>
      </c>
      <c r="C5513" s="15" t="s">
        <v>7371</v>
      </c>
      <c r="D5513" s="15" t="s">
        <v>828</v>
      </c>
      <c r="E5513" s="15" t="s">
        <v>5255</v>
      </c>
    </row>
    <row r="5514" spans="2:5">
      <c r="B5514" s="15" t="s">
        <v>7371</v>
      </c>
      <c r="C5514" s="15" t="s">
        <v>7371</v>
      </c>
      <c r="D5514" s="15" t="s">
        <v>901</v>
      </c>
      <c r="E5514" s="15" t="s">
        <v>5256</v>
      </c>
    </row>
    <row r="5515" ht="15.95" spans="2:2">
      <c r="B5515" s="122" t="s">
        <v>7372</v>
      </c>
    </row>
    <row r="5516" spans="2:5">
      <c r="B5516" s="15" t="s">
        <v>7373</v>
      </c>
      <c r="C5516" s="15" t="s">
        <v>7373</v>
      </c>
      <c r="D5516" s="15" t="s">
        <v>723</v>
      </c>
      <c r="E5516" s="15" t="s">
        <v>7374</v>
      </c>
    </row>
    <row r="5517" spans="2:5">
      <c r="B5517" s="15" t="s">
        <v>7373</v>
      </c>
      <c r="C5517" s="15" t="s">
        <v>7373</v>
      </c>
      <c r="D5517" s="15" t="s">
        <v>725</v>
      </c>
      <c r="E5517" s="15" t="s">
        <v>7375</v>
      </c>
    </row>
    <row r="5518" spans="2:5">
      <c r="B5518" s="15" t="s">
        <v>7373</v>
      </c>
      <c r="C5518" s="15" t="s">
        <v>7373</v>
      </c>
      <c r="D5518" s="15" t="s">
        <v>727</v>
      </c>
      <c r="E5518" s="15" t="s">
        <v>7376</v>
      </c>
    </row>
    <row r="5519" spans="2:5">
      <c r="B5519" s="15" t="s">
        <v>7373</v>
      </c>
      <c r="C5519" s="15" t="s">
        <v>7373</v>
      </c>
      <c r="D5519" s="15" t="s">
        <v>729</v>
      </c>
      <c r="E5519" s="15" t="s">
        <v>7377</v>
      </c>
    </row>
    <row r="5520" spans="2:5">
      <c r="B5520" s="15" t="s">
        <v>7373</v>
      </c>
      <c r="C5520" s="15" t="s">
        <v>7373</v>
      </c>
      <c r="D5520" s="15" t="s">
        <v>760</v>
      </c>
      <c r="E5520" s="15" t="s">
        <v>7378</v>
      </c>
    </row>
    <row r="5521" spans="2:5">
      <c r="B5521" s="15" t="s">
        <v>7373</v>
      </c>
      <c r="C5521" s="15" t="s">
        <v>7373</v>
      </c>
      <c r="D5521" s="15" t="s">
        <v>762</v>
      </c>
      <c r="E5521" s="15" t="s">
        <v>7379</v>
      </c>
    </row>
    <row r="5522" ht="15.95" spans="2:2">
      <c r="B5522" s="122" t="s">
        <v>7380</v>
      </c>
    </row>
    <row r="5523" spans="2:5">
      <c r="B5523" s="15" t="s">
        <v>7381</v>
      </c>
      <c r="C5523" s="15" t="s">
        <v>1498</v>
      </c>
      <c r="D5523" s="15" t="s">
        <v>1061</v>
      </c>
      <c r="E5523" s="15" t="s">
        <v>7382</v>
      </c>
    </row>
    <row r="5524" spans="2:5">
      <c r="B5524" s="15" t="s">
        <v>7381</v>
      </c>
      <c r="C5524" s="15" t="s">
        <v>1498</v>
      </c>
      <c r="D5524" s="15" t="s">
        <v>1063</v>
      </c>
      <c r="E5524" s="15" t="s">
        <v>7383</v>
      </c>
    </row>
    <row r="5525" spans="2:5">
      <c r="B5525" s="15" t="s">
        <v>7381</v>
      </c>
      <c r="C5525" s="15" t="s">
        <v>1498</v>
      </c>
      <c r="D5525" s="15" t="s">
        <v>2103</v>
      </c>
      <c r="E5525" s="15" t="s">
        <v>7384</v>
      </c>
    </row>
    <row r="5526" spans="2:5">
      <c r="B5526" s="15" t="s">
        <v>7381</v>
      </c>
      <c r="C5526" s="15" t="s">
        <v>1498</v>
      </c>
      <c r="D5526" s="15" t="s">
        <v>2105</v>
      </c>
      <c r="E5526" s="15" t="s">
        <v>7385</v>
      </c>
    </row>
    <row r="5527" spans="2:5">
      <c r="B5527" s="15" t="s">
        <v>7381</v>
      </c>
      <c r="C5527" s="15" t="s">
        <v>1498</v>
      </c>
      <c r="D5527" s="15" t="s">
        <v>2112</v>
      </c>
      <c r="E5527" s="15" t="s">
        <v>7386</v>
      </c>
    </row>
    <row r="5528" spans="2:5">
      <c r="B5528" s="15" t="s">
        <v>7381</v>
      </c>
      <c r="C5528" s="15" t="s">
        <v>1498</v>
      </c>
      <c r="D5528" s="15" t="s">
        <v>6334</v>
      </c>
      <c r="E5528" s="15" t="s">
        <v>7387</v>
      </c>
    </row>
    <row r="5529" spans="2:5">
      <c r="B5529" s="15" t="s">
        <v>7381</v>
      </c>
      <c r="C5529" s="15" t="s">
        <v>1498</v>
      </c>
      <c r="D5529" s="15" t="s">
        <v>6351</v>
      </c>
      <c r="E5529" s="15" t="s">
        <v>7388</v>
      </c>
    </row>
    <row r="5530" spans="2:5">
      <c r="B5530" s="15" t="s">
        <v>7381</v>
      </c>
      <c r="C5530" s="15" t="s">
        <v>1498</v>
      </c>
      <c r="D5530" s="15" t="s">
        <v>760</v>
      </c>
      <c r="E5530" s="15" t="s">
        <v>1439</v>
      </c>
    </row>
    <row r="5531" spans="2:5">
      <c r="B5531" s="15" t="s">
        <v>7381</v>
      </c>
      <c r="C5531" s="15" t="s">
        <v>1498</v>
      </c>
      <c r="D5531" s="15" t="s">
        <v>6370</v>
      </c>
      <c r="E5531" s="15" t="s">
        <v>7389</v>
      </c>
    </row>
    <row r="5532" spans="2:5">
      <c r="B5532" s="15" t="s">
        <v>7381</v>
      </c>
      <c r="C5532" s="15" t="s">
        <v>1498</v>
      </c>
      <c r="D5532" s="15" t="s">
        <v>2129</v>
      </c>
      <c r="E5532" s="15" t="s">
        <v>7390</v>
      </c>
    </row>
    <row r="5533" ht="15.95" spans="2:2">
      <c r="B5533" s="122" t="s">
        <v>7391</v>
      </c>
    </row>
    <row r="5534" spans="2:5">
      <c r="B5534" s="15" t="s">
        <v>7392</v>
      </c>
      <c r="C5534" s="15" t="s">
        <v>7393</v>
      </c>
      <c r="D5534" s="15" t="s">
        <v>635</v>
      </c>
      <c r="E5534" s="15" t="s">
        <v>7394</v>
      </c>
    </row>
    <row r="5535" spans="2:5">
      <c r="B5535" s="15" t="s">
        <v>7392</v>
      </c>
      <c r="C5535" s="15" t="s">
        <v>7393</v>
      </c>
      <c r="D5535" s="15" t="s">
        <v>2416</v>
      </c>
      <c r="E5535" s="15" t="s">
        <v>7395</v>
      </c>
    </row>
    <row r="5536" spans="2:5">
      <c r="B5536" s="15" t="s">
        <v>7392</v>
      </c>
      <c r="C5536" s="15" t="s">
        <v>7393</v>
      </c>
      <c r="D5536" s="15" t="s">
        <v>7396</v>
      </c>
      <c r="E5536" s="15" t="s">
        <v>7397</v>
      </c>
    </row>
    <row r="5537" spans="2:5">
      <c r="B5537" s="15" t="s">
        <v>7392</v>
      </c>
      <c r="C5537" s="15" t="s">
        <v>7393</v>
      </c>
      <c r="D5537" s="15" t="s">
        <v>7398</v>
      </c>
      <c r="E5537" s="15" t="s">
        <v>7399</v>
      </c>
    </row>
    <row r="5538" spans="2:5">
      <c r="B5538" s="15" t="s">
        <v>7392</v>
      </c>
      <c r="C5538" s="15" t="s">
        <v>7393</v>
      </c>
      <c r="D5538" s="15" t="s">
        <v>7400</v>
      </c>
      <c r="E5538" s="15" t="s">
        <v>7397</v>
      </c>
    </row>
    <row r="5539" spans="2:5">
      <c r="B5539" s="15" t="s">
        <v>7392</v>
      </c>
      <c r="C5539" s="15" t="s">
        <v>7393</v>
      </c>
      <c r="D5539" s="15" t="s">
        <v>7401</v>
      </c>
      <c r="E5539" s="15" t="s">
        <v>7399</v>
      </c>
    </row>
    <row r="5540" spans="2:5">
      <c r="B5540" s="15" t="s">
        <v>7392</v>
      </c>
      <c r="C5540" s="15" t="s">
        <v>7393</v>
      </c>
      <c r="D5540" s="15" t="s">
        <v>709</v>
      </c>
      <c r="E5540" s="15" t="s">
        <v>7402</v>
      </c>
    </row>
    <row r="5541" spans="2:5">
      <c r="B5541" s="15" t="s">
        <v>7392</v>
      </c>
      <c r="C5541" s="15" t="s">
        <v>7393</v>
      </c>
      <c r="D5541" s="15" t="s">
        <v>1461</v>
      </c>
      <c r="E5541" s="15" t="s">
        <v>7403</v>
      </c>
    </row>
    <row r="5542" spans="2:5">
      <c r="B5542" s="15" t="s">
        <v>7392</v>
      </c>
      <c r="C5542" s="15" t="s">
        <v>7393</v>
      </c>
      <c r="D5542" s="15" t="s">
        <v>838</v>
      </c>
      <c r="E5542" s="15" t="s">
        <v>7404</v>
      </c>
    </row>
    <row r="5543" spans="2:5">
      <c r="B5543" s="15" t="s">
        <v>7392</v>
      </c>
      <c r="C5543" s="15" t="s">
        <v>7393</v>
      </c>
      <c r="D5543" s="15" t="s">
        <v>2044</v>
      </c>
      <c r="E5543" s="15" t="s">
        <v>7405</v>
      </c>
    </row>
    <row r="5544" spans="2:5">
      <c r="B5544" s="15" t="s">
        <v>7392</v>
      </c>
      <c r="C5544" s="15" t="s">
        <v>7393</v>
      </c>
      <c r="D5544" s="15" t="s">
        <v>2045</v>
      </c>
      <c r="E5544" s="15" t="s">
        <v>7406</v>
      </c>
    </row>
    <row r="5545" spans="2:5">
      <c r="B5545" s="15" t="s">
        <v>7392</v>
      </c>
      <c r="C5545" s="15" t="s">
        <v>7393</v>
      </c>
      <c r="D5545" s="15" t="s">
        <v>1472</v>
      </c>
      <c r="E5545" s="15" t="s">
        <v>7407</v>
      </c>
    </row>
    <row r="5546" spans="2:5">
      <c r="B5546" s="15" t="s">
        <v>7392</v>
      </c>
      <c r="C5546" s="15" t="s">
        <v>7393</v>
      </c>
      <c r="D5546" s="15" t="s">
        <v>840</v>
      </c>
      <c r="E5546" s="15" t="s">
        <v>7408</v>
      </c>
    </row>
    <row r="5547" spans="2:5">
      <c r="B5547" s="15" t="s">
        <v>7392</v>
      </c>
      <c r="C5547" s="15" t="s">
        <v>7393</v>
      </c>
      <c r="D5547" s="15" t="s">
        <v>2056</v>
      </c>
      <c r="E5547" s="15" t="s">
        <v>1821</v>
      </c>
    </row>
    <row r="5548" spans="2:5">
      <c r="B5548" s="15" t="s">
        <v>7392</v>
      </c>
      <c r="C5548" s="15" t="s">
        <v>7393</v>
      </c>
      <c r="D5548" s="15" t="s">
        <v>2062</v>
      </c>
      <c r="E5548" s="15" t="s">
        <v>1818</v>
      </c>
    </row>
    <row r="5549" spans="2:5">
      <c r="B5549" s="15" t="s">
        <v>7392</v>
      </c>
      <c r="C5549" s="15" t="s">
        <v>7393</v>
      </c>
      <c r="D5549" s="15" t="s">
        <v>7409</v>
      </c>
      <c r="E5549" s="15" t="s">
        <v>7410</v>
      </c>
    </row>
    <row r="5550" spans="2:5">
      <c r="B5550" s="15" t="s">
        <v>7392</v>
      </c>
      <c r="C5550" s="15" t="s">
        <v>7393</v>
      </c>
      <c r="D5550" s="15" t="s">
        <v>7411</v>
      </c>
      <c r="E5550" s="15" t="s">
        <v>7412</v>
      </c>
    </row>
    <row r="5551" spans="2:5">
      <c r="B5551" s="15" t="s">
        <v>7392</v>
      </c>
      <c r="C5551" s="15" t="s">
        <v>7393</v>
      </c>
      <c r="D5551" s="15" t="s">
        <v>7413</v>
      </c>
      <c r="E5551" s="15" t="s">
        <v>7414</v>
      </c>
    </row>
    <row r="5552" spans="2:5">
      <c r="B5552" s="15" t="s">
        <v>7392</v>
      </c>
      <c r="C5552" s="15" t="s">
        <v>7393</v>
      </c>
      <c r="D5552" s="15" t="s">
        <v>842</v>
      </c>
      <c r="E5552" s="15" t="s">
        <v>2011</v>
      </c>
    </row>
    <row r="5553" spans="2:5">
      <c r="B5553" s="15" t="s">
        <v>7392</v>
      </c>
      <c r="C5553" s="15" t="s">
        <v>7393</v>
      </c>
      <c r="D5553" s="15" t="s">
        <v>844</v>
      </c>
      <c r="E5553" s="15" t="s">
        <v>1625</v>
      </c>
    </row>
    <row r="5554" ht="15.95" spans="2:2">
      <c r="B5554" s="122" t="s">
        <v>7415</v>
      </c>
    </row>
    <row r="5555" spans="2:5">
      <c r="B5555" s="15" t="s">
        <v>7416</v>
      </c>
      <c r="C5555" s="15"/>
      <c r="D5555" s="15" t="s">
        <v>917</v>
      </c>
      <c r="E5555" s="15" t="s">
        <v>1674</v>
      </c>
    </row>
    <row r="5556" spans="2:5">
      <c r="B5556" s="15" t="s">
        <v>7416</v>
      </c>
      <c r="C5556" s="15"/>
      <c r="D5556" s="15" t="s">
        <v>919</v>
      </c>
      <c r="E5556" s="15" t="s">
        <v>1675</v>
      </c>
    </row>
    <row r="5557" spans="2:5">
      <c r="B5557" s="15" t="s">
        <v>7416</v>
      </c>
      <c r="C5557" s="15"/>
      <c r="D5557" s="15" t="s">
        <v>921</v>
      </c>
      <c r="E5557" s="15" t="s">
        <v>1676</v>
      </c>
    </row>
    <row r="5558" spans="2:5">
      <c r="B5558" s="15" t="s">
        <v>7416</v>
      </c>
      <c r="C5558" s="15"/>
      <c r="D5558" s="15" t="s">
        <v>923</v>
      </c>
      <c r="E5558" s="15" t="s">
        <v>3184</v>
      </c>
    </row>
    <row r="5559" ht="15.95" spans="2:2">
      <c r="B5559" s="122" t="s">
        <v>7417</v>
      </c>
    </row>
    <row r="5560" spans="2:5">
      <c r="B5560" s="15" t="s">
        <v>7418</v>
      </c>
      <c r="C5560" s="15" t="s">
        <v>7419</v>
      </c>
      <c r="D5560" s="15" t="s">
        <v>770</v>
      </c>
      <c r="E5560" s="15" t="s">
        <v>4485</v>
      </c>
    </row>
    <row r="5561" spans="2:5">
      <c r="B5561" s="15" t="s">
        <v>7418</v>
      </c>
      <c r="C5561" s="15" t="s">
        <v>7419</v>
      </c>
      <c r="D5561" s="15" t="s">
        <v>772</v>
      </c>
      <c r="E5561" s="15" t="s">
        <v>4486</v>
      </c>
    </row>
    <row r="5562" ht="15.95" spans="2:2">
      <c r="B5562" s="122" t="s">
        <v>7420</v>
      </c>
    </row>
    <row r="5563" spans="2:5">
      <c r="B5563" s="15" t="s">
        <v>7421</v>
      </c>
      <c r="C5563" s="15" t="s">
        <v>7422</v>
      </c>
      <c r="D5563" s="15" t="s">
        <v>7423</v>
      </c>
      <c r="E5563" s="15" t="s">
        <v>7424</v>
      </c>
    </row>
    <row r="5564" spans="2:5">
      <c r="B5564" s="15" t="s">
        <v>7421</v>
      </c>
      <c r="C5564" s="15" t="s">
        <v>7422</v>
      </c>
      <c r="D5564" s="15" t="s">
        <v>7425</v>
      </c>
      <c r="E5564" s="15" t="s">
        <v>7426</v>
      </c>
    </row>
    <row r="5565" spans="2:5">
      <c r="B5565" s="15" t="s">
        <v>7421</v>
      </c>
      <c r="C5565" s="15" t="s">
        <v>7422</v>
      </c>
      <c r="D5565" s="15" t="s">
        <v>7427</v>
      </c>
      <c r="E5565" s="15" t="s">
        <v>1084</v>
      </c>
    </row>
    <row r="5566" spans="2:5">
      <c r="B5566" s="15" t="s">
        <v>7421</v>
      </c>
      <c r="C5566" s="15" t="s">
        <v>7422</v>
      </c>
      <c r="D5566" s="15" t="s">
        <v>7428</v>
      </c>
      <c r="E5566" s="15" t="s">
        <v>7429</v>
      </c>
    </row>
    <row r="5567" spans="2:5">
      <c r="B5567" s="15" t="s">
        <v>7421</v>
      </c>
      <c r="C5567" s="15" t="s">
        <v>7422</v>
      </c>
      <c r="D5567" s="15" t="s">
        <v>5289</v>
      </c>
      <c r="E5567" s="15" t="s">
        <v>1083</v>
      </c>
    </row>
    <row r="5568" spans="2:5">
      <c r="B5568" s="15" t="s">
        <v>7421</v>
      </c>
      <c r="C5568" s="15" t="s">
        <v>7422</v>
      </c>
      <c r="D5568" s="15" t="s">
        <v>7430</v>
      </c>
      <c r="E5568" s="15" t="s">
        <v>7431</v>
      </c>
    </row>
    <row r="5569" spans="2:5">
      <c r="B5569" s="15" t="s">
        <v>7421</v>
      </c>
      <c r="C5569" s="15" t="s">
        <v>7422</v>
      </c>
      <c r="D5569" s="15" t="s">
        <v>1592</v>
      </c>
      <c r="E5569" s="15" t="s">
        <v>1080</v>
      </c>
    </row>
    <row r="5570" spans="2:5">
      <c r="B5570" s="15" t="s">
        <v>7421</v>
      </c>
      <c r="C5570" s="15" t="s">
        <v>7422</v>
      </c>
      <c r="D5570" s="15" t="s">
        <v>7432</v>
      </c>
      <c r="E5570" s="15" t="s">
        <v>7433</v>
      </c>
    </row>
    <row r="5571" ht="15.95" spans="2:2">
      <c r="B5571" s="122" t="s">
        <v>7434</v>
      </c>
    </row>
    <row r="5572" spans="2:5">
      <c r="B5572" s="15" t="s">
        <v>7435</v>
      </c>
      <c r="C5572" s="15" t="s">
        <v>7436</v>
      </c>
      <c r="D5572" s="15" t="s">
        <v>917</v>
      </c>
      <c r="E5572" s="15" t="s">
        <v>7437</v>
      </c>
    </row>
    <row r="5573" spans="2:5">
      <c r="B5573" s="15" t="s">
        <v>7435</v>
      </c>
      <c r="C5573" s="15" t="s">
        <v>7436</v>
      </c>
      <c r="D5573" s="15" t="s">
        <v>919</v>
      </c>
      <c r="E5573" s="15" t="s">
        <v>7438</v>
      </c>
    </row>
    <row r="5574" spans="2:5">
      <c r="B5574" s="15" t="s">
        <v>7435</v>
      </c>
      <c r="C5574" s="15" t="s">
        <v>7436</v>
      </c>
      <c r="D5574" s="15" t="s">
        <v>921</v>
      </c>
      <c r="E5574" s="15" t="s">
        <v>7439</v>
      </c>
    </row>
    <row r="5575" spans="2:5">
      <c r="B5575" s="15" t="s">
        <v>7435</v>
      </c>
      <c r="C5575" s="15" t="s">
        <v>7436</v>
      </c>
      <c r="D5575" s="15" t="s">
        <v>923</v>
      </c>
      <c r="E5575" s="15" t="s">
        <v>7440</v>
      </c>
    </row>
    <row r="5576" ht="15.95" spans="2:2">
      <c r="B5576" s="122" t="s">
        <v>7441</v>
      </c>
    </row>
    <row r="5577" spans="2:5">
      <c r="B5577" s="15" t="s">
        <v>7442</v>
      </c>
      <c r="C5577" s="15" t="s">
        <v>7443</v>
      </c>
      <c r="D5577" s="15" t="s">
        <v>770</v>
      </c>
      <c r="E5577" s="15" t="s">
        <v>7444</v>
      </c>
    </row>
    <row r="5578" spans="2:5">
      <c r="B5578" s="15" t="s">
        <v>7442</v>
      </c>
      <c r="C5578" s="15" t="s">
        <v>7443</v>
      </c>
      <c r="D5578" s="15" t="s">
        <v>772</v>
      </c>
      <c r="E5578" s="15" t="s">
        <v>7445</v>
      </c>
    </row>
    <row r="5579" spans="2:5">
      <c r="B5579" s="15" t="s">
        <v>7442</v>
      </c>
      <c r="C5579" s="15" t="s">
        <v>7443</v>
      </c>
      <c r="D5579" s="15" t="s">
        <v>774</v>
      </c>
      <c r="E5579" s="15" t="s">
        <v>235</v>
      </c>
    </row>
    <row r="5580" ht="15.95" spans="2:2">
      <c r="B5580" s="122" t="s">
        <v>7446</v>
      </c>
    </row>
    <row r="5581" spans="2:5">
      <c r="B5581" s="15" t="s">
        <v>7447</v>
      </c>
      <c r="C5581" s="15" t="s">
        <v>7448</v>
      </c>
      <c r="D5581" s="15" t="s">
        <v>770</v>
      </c>
      <c r="E5581" s="15" t="s">
        <v>7449</v>
      </c>
    </row>
    <row r="5582" spans="2:5">
      <c r="B5582" s="15" t="s">
        <v>7447</v>
      </c>
      <c r="C5582" s="15" t="s">
        <v>7448</v>
      </c>
      <c r="D5582" s="15" t="s">
        <v>3037</v>
      </c>
      <c r="E5582" s="15" t="s">
        <v>7450</v>
      </c>
    </row>
    <row r="5583" spans="2:5">
      <c r="B5583" s="15" t="s">
        <v>7447</v>
      </c>
      <c r="C5583" s="15" t="s">
        <v>7448</v>
      </c>
      <c r="D5583" s="15" t="s">
        <v>780</v>
      </c>
      <c r="E5583" s="15" t="s">
        <v>7451</v>
      </c>
    </row>
    <row r="5584" spans="2:5">
      <c r="B5584" s="15" t="s">
        <v>7447</v>
      </c>
      <c r="C5584" s="15" t="s">
        <v>7448</v>
      </c>
      <c r="D5584" s="15" t="s">
        <v>3040</v>
      </c>
      <c r="E5584" s="15" t="s">
        <v>7452</v>
      </c>
    </row>
    <row r="5585" spans="2:5">
      <c r="B5585" s="15" t="s">
        <v>7447</v>
      </c>
      <c r="C5585" s="15" t="s">
        <v>7448</v>
      </c>
      <c r="D5585" s="15" t="s">
        <v>1372</v>
      </c>
      <c r="E5585" s="15" t="s">
        <v>7453</v>
      </c>
    </row>
    <row r="5586" spans="2:5">
      <c r="B5586" s="15" t="s">
        <v>7447</v>
      </c>
      <c r="C5586" s="15" t="s">
        <v>7448</v>
      </c>
      <c r="D5586" s="15" t="s">
        <v>3147</v>
      </c>
      <c r="E5586" s="15" t="s">
        <v>7454</v>
      </c>
    </row>
    <row r="5587" spans="2:5">
      <c r="B5587" s="15" t="s">
        <v>7447</v>
      </c>
      <c r="C5587" s="15" t="s">
        <v>7448</v>
      </c>
      <c r="D5587" s="15" t="s">
        <v>3149</v>
      </c>
      <c r="E5587" s="15" t="s">
        <v>7455</v>
      </c>
    </row>
    <row r="5588" spans="2:5">
      <c r="B5588" s="15" t="s">
        <v>7447</v>
      </c>
      <c r="C5588" s="15" t="s">
        <v>7448</v>
      </c>
      <c r="D5588" s="15" t="s">
        <v>3151</v>
      </c>
      <c r="E5588" s="15" t="s">
        <v>7456</v>
      </c>
    </row>
    <row r="5589" spans="2:5">
      <c r="B5589" s="15" t="s">
        <v>7447</v>
      </c>
      <c r="C5589" s="15" t="s">
        <v>7448</v>
      </c>
      <c r="D5589" s="15" t="s">
        <v>3155</v>
      </c>
      <c r="E5589" s="15" t="s">
        <v>7457</v>
      </c>
    </row>
    <row r="5590" spans="2:5">
      <c r="B5590" s="15" t="s">
        <v>7447</v>
      </c>
      <c r="C5590" s="15" t="s">
        <v>7448</v>
      </c>
      <c r="D5590" s="15" t="s">
        <v>3157</v>
      </c>
      <c r="E5590" s="15" t="s">
        <v>7458</v>
      </c>
    </row>
    <row r="5591" spans="2:5">
      <c r="B5591" s="15" t="s">
        <v>7447</v>
      </c>
      <c r="C5591" s="15" t="s">
        <v>7448</v>
      </c>
      <c r="D5591" s="15" t="s">
        <v>2332</v>
      </c>
      <c r="E5591" s="15" t="s">
        <v>235</v>
      </c>
    </row>
    <row r="5592" spans="2:5">
      <c r="B5592" s="15" t="s">
        <v>7447</v>
      </c>
      <c r="C5592" s="15" t="s">
        <v>7448</v>
      </c>
      <c r="D5592" s="15" t="s">
        <v>772</v>
      </c>
      <c r="E5592" s="15" t="s">
        <v>7459</v>
      </c>
    </row>
    <row r="5593" spans="2:5">
      <c r="B5593" s="15" t="s">
        <v>7447</v>
      </c>
      <c r="C5593" s="15" t="s">
        <v>7448</v>
      </c>
      <c r="D5593" s="15" t="s">
        <v>1378</v>
      </c>
      <c r="E5593" s="15" t="s">
        <v>7460</v>
      </c>
    </row>
    <row r="5594" spans="2:5">
      <c r="B5594" s="15" t="s">
        <v>7447</v>
      </c>
      <c r="C5594" s="15" t="s">
        <v>7448</v>
      </c>
      <c r="D5594" s="15" t="s">
        <v>1380</v>
      </c>
      <c r="E5594" s="15" t="s">
        <v>7461</v>
      </c>
    </row>
    <row r="5595" spans="2:5">
      <c r="B5595" s="15" t="s">
        <v>7447</v>
      </c>
      <c r="C5595" s="15" t="s">
        <v>7448</v>
      </c>
      <c r="D5595" s="15" t="s">
        <v>1382</v>
      </c>
      <c r="E5595" s="15" t="s">
        <v>7462</v>
      </c>
    </row>
    <row r="5596" spans="2:5">
      <c r="B5596" s="15" t="s">
        <v>7447</v>
      </c>
      <c r="C5596" s="15" t="s">
        <v>7448</v>
      </c>
      <c r="D5596" s="15" t="s">
        <v>3047</v>
      </c>
      <c r="E5596" s="15" t="s">
        <v>7463</v>
      </c>
    </row>
    <row r="5597" spans="2:5">
      <c r="B5597" s="15" t="s">
        <v>7447</v>
      </c>
      <c r="C5597" s="15" t="s">
        <v>7448</v>
      </c>
      <c r="D5597" s="15" t="s">
        <v>3163</v>
      </c>
      <c r="E5597" s="15" t="s">
        <v>235</v>
      </c>
    </row>
    <row r="5598" spans="2:5">
      <c r="B5598" s="15" t="s">
        <v>7447</v>
      </c>
      <c r="C5598" s="15" t="s">
        <v>7448</v>
      </c>
      <c r="D5598" s="15" t="s">
        <v>774</v>
      </c>
      <c r="E5598" s="15" t="s">
        <v>7464</v>
      </c>
    </row>
    <row r="5599" spans="2:5">
      <c r="B5599" s="15" t="s">
        <v>7447</v>
      </c>
      <c r="C5599" s="15" t="s">
        <v>7448</v>
      </c>
      <c r="D5599" s="15" t="s">
        <v>1384</v>
      </c>
      <c r="E5599" s="15" t="s">
        <v>7465</v>
      </c>
    </row>
    <row r="5600" spans="2:5">
      <c r="B5600" s="15" t="s">
        <v>7447</v>
      </c>
      <c r="C5600" s="15" t="s">
        <v>7448</v>
      </c>
      <c r="D5600" s="15" t="s">
        <v>1391</v>
      </c>
      <c r="E5600" s="15" t="s">
        <v>2474</v>
      </c>
    </row>
    <row r="5601" spans="2:5">
      <c r="B5601" s="15" t="s">
        <v>7447</v>
      </c>
      <c r="C5601" s="15" t="s">
        <v>7448</v>
      </c>
      <c r="D5601" s="15" t="s">
        <v>1395</v>
      </c>
      <c r="E5601" s="15" t="s">
        <v>2475</v>
      </c>
    </row>
    <row r="5602" spans="2:5">
      <c r="B5602" s="15" t="s">
        <v>7447</v>
      </c>
      <c r="C5602" s="15" t="s">
        <v>7448</v>
      </c>
      <c r="D5602" s="15" t="s">
        <v>1397</v>
      </c>
      <c r="E5602" s="15" t="s">
        <v>7466</v>
      </c>
    </row>
    <row r="5603" spans="2:5">
      <c r="B5603" s="15" t="s">
        <v>7447</v>
      </c>
      <c r="C5603" s="15" t="s">
        <v>7448</v>
      </c>
      <c r="D5603" s="15" t="s">
        <v>1399</v>
      </c>
      <c r="E5603" s="15" t="s">
        <v>7467</v>
      </c>
    </row>
    <row r="5604" spans="2:5">
      <c r="B5604" s="15" t="s">
        <v>7447</v>
      </c>
      <c r="C5604" s="15" t="s">
        <v>7448</v>
      </c>
      <c r="D5604" s="15" t="s">
        <v>828</v>
      </c>
      <c r="E5604" s="15" t="s">
        <v>7468</v>
      </c>
    </row>
    <row r="5605" spans="2:5">
      <c r="B5605" s="15" t="s">
        <v>7447</v>
      </c>
      <c r="C5605" s="15" t="s">
        <v>7448</v>
      </c>
      <c r="D5605" s="15" t="s">
        <v>7469</v>
      </c>
      <c r="E5605" s="15" t="s">
        <v>7470</v>
      </c>
    </row>
    <row r="5606" spans="2:5">
      <c r="B5606" s="15" t="s">
        <v>7447</v>
      </c>
      <c r="C5606" s="15" t="s">
        <v>7448</v>
      </c>
      <c r="D5606" s="15" t="s">
        <v>7471</v>
      </c>
      <c r="E5606" s="15" t="s">
        <v>7472</v>
      </c>
    </row>
    <row r="5607" spans="2:5">
      <c r="B5607" s="15" t="s">
        <v>7447</v>
      </c>
      <c r="C5607" s="15" t="s">
        <v>7448</v>
      </c>
      <c r="D5607" s="15" t="s">
        <v>7473</v>
      </c>
      <c r="E5607" s="15" t="s">
        <v>7474</v>
      </c>
    </row>
    <row r="5608" spans="2:5">
      <c r="B5608" s="15" t="s">
        <v>7447</v>
      </c>
      <c r="C5608" s="15" t="s">
        <v>7448</v>
      </c>
      <c r="D5608" s="15" t="s">
        <v>7475</v>
      </c>
      <c r="E5608" s="15" t="s">
        <v>7476</v>
      </c>
    </row>
    <row r="5609" spans="2:5">
      <c r="B5609" s="15" t="s">
        <v>7447</v>
      </c>
      <c r="C5609" s="15" t="s">
        <v>7448</v>
      </c>
      <c r="D5609" s="15" t="s">
        <v>7477</v>
      </c>
      <c r="E5609" s="15" t="s">
        <v>7478</v>
      </c>
    </row>
    <row r="5610" spans="2:5">
      <c r="B5610" s="15" t="s">
        <v>7447</v>
      </c>
      <c r="C5610" s="15" t="s">
        <v>7448</v>
      </c>
      <c r="D5610" s="15" t="s">
        <v>901</v>
      </c>
      <c r="E5610" s="15" t="s">
        <v>7479</v>
      </c>
    </row>
    <row r="5611" spans="2:5">
      <c r="B5611" s="15" t="s">
        <v>7447</v>
      </c>
      <c r="C5611" s="15" t="s">
        <v>7448</v>
      </c>
      <c r="D5611" s="15" t="s">
        <v>7480</v>
      </c>
      <c r="E5611" s="15" t="s">
        <v>7481</v>
      </c>
    </row>
    <row r="5612" spans="2:5">
      <c r="B5612" s="15" t="s">
        <v>7447</v>
      </c>
      <c r="C5612" s="15" t="s">
        <v>7448</v>
      </c>
      <c r="D5612" s="15" t="s">
        <v>7482</v>
      </c>
      <c r="E5612" s="15" t="s">
        <v>7483</v>
      </c>
    </row>
    <row r="5613" ht="15.95" spans="2:2">
      <c r="B5613" s="122" t="s">
        <v>7484</v>
      </c>
    </row>
    <row r="5614" spans="2:5">
      <c r="B5614" s="15" t="s">
        <v>7485</v>
      </c>
      <c r="C5614" s="15" t="s">
        <v>7486</v>
      </c>
      <c r="D5614" s="15" t="s">
        <v>785</v>
      </c>
      <c r="E5614" s="15" t="s">
        <v>1814</v>
      </c>
    </row>
    <row r="5615" spans="2:5">
      <c r="B5615" s="15" t="s">
        <v>7485</v>
      </c>
      <c r="C5615" s="15" t="s">
        <v>7486</v>
      </c>
      <c r="D5615" s="15" t="s">
        <v>787</v>
      </c>
      <c r="E5615" s="15" t="s">
        <v>6468</v>
      </c>
    </row>
    <row r="5616" spans="2:5">
      <c r="B5616" s="15" t="s">
        <v>7485</v>
      </c>
      <c r="C5616" s="15" t="s">
        <v>7486</v>
      </c>
      <c r="D5616" s="15" t="s">
        <v>789</v>
      </c>
      <c r="E5616" s="15" t="s">
        <v>6563</v>
      </c>
    </row>
    <row r="5617" spans="2:5">
      <c r="B5617" s="15" t="s">
        <v>7485</v>
      </c>
      <c r="C5617" s="15" t="s">
        <v>7486</v>
      </c>
      <c r="D5617" s="15" t="s">
        <v>791</v>
      </c>
      <c r="E5617" s="15" t="s">
        <v>6564</v>
      </c>
    </row>
    <row r="5618" spans="2:5">
      <c r="B5618" s="15" t="s">
        <v>7485</v>
      </c>
      <c r="C5618" s="15" t="s">
        <v>7486</v>
      </c>
      <c r="D5618" s="15" t="s">
        <v>793</v>
      </c>
      <c r="E5618" s="15" t="s">
        <v>1815</v>
      </c>
    </row>
    <row r="5619" spans="2:5">
      <c r="B5619" s="15" t="s">
        <v>7485</v>
      </c>
      <c r="C5619" s="15" t="s">
        <v>7486</v>
      </c>
      <c r="D5619" s="15" t="s">
        <v>795</v>
      </c>
      <c r="E5619" s="15" t="s">
        <v>201</v>
      </c>
    </row>
    <row r="5620" spans="2:5">
      <c r="B5620" s="15" t="s">
        <v>7485</v>
      </c>
      <c r="C5620" s="15" t="s">
        <v>7486</v>
      </c>
      <c r="D5620" s="15" t="s">
        <v>6565</v>
      </c>
      <c r="E5620" s="15" t="s">
        <v>1903</v>
      </c>
    </row>
    <row r="5621" spans="2:5">
      <c r="B5621" s="15" t="s">
        <v>7485</v>
      </c>
      <c r="C5621" s="15" t="s">
        <v>7486</v>
      </c>
      <c r="D5621" s="15" t="s">
        <v>6566</v>
      </c>
      <c r="E5621" s="15" t="s">
        <v>1904</v>
      </c>
    </row>
    <row r="5622" spans="2:5">
      <c r="B5622" s="15" t="s">
        <v>7485</v>
      </c>
      <c r="C5622" s="15" t="s">
        <v>7486</v>
      </c>
      <c r="D5622" s="15" t="s">
        <v>797</v>
      </c>
      <c r="E5622" s="15" t="s">
        <v>1822</v>
      </c>
    </row>
    <row r="5623" spans="2:5">
      <c r="B5623" s="15" t="s">
        <v>7485</v>
      </c>
      <c r="C5623" s="15" t="s">
        <v>7486</v>
      </c>
      <c r="D5623" s="15" t="s">
        <v>805</v>
      </c>
      <c r="E5623" s="15" t="s">
        <v>6569</v>
      </c>
    </row>
    <row r="5624" spans="2:5">
      <c r="B5624" s="15" t="s">
        <v>7485</v>
      </c>
      <c r="C5624" s="15" t="s">
        <v>7486</v>
      </c>
      <c r="D5624" s="15" t="s">
        <v>5353</v>
      </c>
      <c r="E5624" s="15" t="s">
        <v>6570</v>
      </c>
    </row>
    <row r="5625" ht="15.95" spans="2:2">
      <c r="B5625" s="122" t="s">
        <v>7487</v>
      </c>
    </row>
    <row r="5626" spans="2:5">
      <c r="B5626" s="15" t="s">
        <v>7488</v>
      </c>
      <c r="C5626" s="15"/>
      <c r="D5626" s="15" t="s">
        <v>917</v>
      </c>
      <c r="E5626" s="15" t="s">
        <v>953</v>
      </c>
    </row>
    <row r="5627" spans="2:5">
      <c r="B5627" s="15" t="s">
        <v>7488</v>
      </c>
      <c r="C5627" s="15"/>
      <c r="D5627" s="15" t="s">
        <v>919</v>
      </c>
      <c r="E5627" s="15" t="s">
        <v>954</v>
      </c>
    </row>
    <row r="5628" spans="2:5">
      <c r="B5628" s="15" t="s">
        <v>7488</v>
      </c>
      <c r="C5628" s="15"/>
      <c r="D5628" s="15" t="s">
        <v>955</v>
      </c>
      <c r="E5628" s="15" t="s">
        <v>956</v>
      </c>
    </row>
    <row r="5629" ht="15.95" spans="2:2">
      <c r="B5629" s="122" t="s">
        <v>7489</v>
      </c>
    </row>
    <row r="5630" spans="2:5">
      <c r="B5630" s="15" t="s">
        <v>7490</v>
      </c>
      <c r="C5630" s="15" t="s">
        <v>7174</v>
      </c>
      <c r="D5630" s="15" t="s">
        <v>917</v>
      </c>
      <c r="E5630" s="15" t="s">
        <v>953</v>
      </c>
    </row>
    <row r="5631" spans="2:5">
      <c r="B5631" s="15" t="s">
        <v>7490</v>
      </c>
      <c r="C5631" s="15" t="s">
        <v>7174</v>
      </c>
      <c r="D5631" s="15" t="s">
        <v>919</v>
      </c>
      <c r="E5631" s="15" t="s">
        <v>954</v>
      </c>
    </row>
    <row r="5632" spans="2:5">
      <c r="B5632" s="15" t="s">
        <v>7490</v>
      </c>
      <c r="C5632" s="15" t="s">
        <v>7174</v>
      </c>
      <c r="D5632" s="15" t="s">
        <v>955</v>
      </c>
      <c r="E5632" s="15" t="s">
        <v>956</v>
      </c>
    </row>
    <row r="5633" ht="15.95" spans="2:2">
      <c r="B5633" s="122" t="s">
        <v>7491</v>
      </c>
    </row>
    <row r="5634" spans="2:5">
      <c r="B5634" s="15" t="s">
        <v>7492</v>
      </c>
      <c r="C5634" s="15" t="s">
        <v>896</v>
      </c>
      <c r="D5634" s="15" t="s">
        <v>723</v>
      </c>
      <c r="E5634" s="15" t="s">
        <v>7493</v>
      </c>
    </row>
    <row r="5635" spans="2:5">
      <c r="B5635" s="15" t="s">
        <v>7492</v>
      </c>
      <c r="C5635" s="15" t="s">
        <v>896</v>
      </c>
      <c r="D5635" s="15" t="s">
        <v>725</v>
      </c>
      <c r="E5635" s="15" t="s">
        <v>7494</v>
      </c>
    </row>
    <row r="5636" spans="2:5">
      <c r="B5636" s="15" t="s">
        <v>7492</v>
      </c>
      <c r="C5636" s="15" t="s">
        <v>896</v>
      </c>
      <c r="D5636" s="15" t="s">
        <v>727</v>
      </c>
      <c r="E5636" s="15" t="s">
        <v>7495</v>
      </c>
    </row>
    <row r="5637" ht="15.95" spans="2:2">
      <c r="B5637" s="122" t="s">
        <v>7496</v>
      </c>
    </row>
    <row r="5638" spans="2:5">
      <c r="B5638" s="15" t="s">
        <v>7497</v>
      </c>
      <c r="C5638" s="15" t="s">
        <v>7004</v>
      </c>
      <c r="D5638" s="15" t="s">
        <v>917</v>
      </c>
      <c r="E5638" s="15" t="s">
        <v>953</v>
      </c>
    </row>
    <row r="5639" spans="2:5">
      <c r="B5639" s="15" t="s">
        <v>7497</v>
      </c>
      <c r="C5639" s="15" t="s">
        <v>7004</v>
      </c>
      <c r="D5639" s="15" t="s">
        <v>919</v>
      </c>
      <c r="E5639" s="15" t="s">
        <v>954</v>
      </c>
    </row>
    <row r="5640" spans="2:5">
      <c r="B5640" s="15" t="s">
        <v>7497</v>
      </c>
      <c r="C5640" s="15" t="s">
        <v>7004</v>
      </c>
      <c r="D5640" s="15" t="s">
        <v>955</v>
      </c>
      <c r="E5640" s="15" t="s">
        <v>956</v>
      </c>
    </row>
    <row r="5641" ht="15.95" spans="2:2">
      <c r="B5641" s="122" t="s">
        <v>7498</v>
      </c>
    </row>
    <row r="5642" spans="2:5">
      <c r="B5642" s="15" t="s">
        <v>7499</v>
      </c>
      <c r="C5642" s="15" t="s">
        <v>7500</v>
      </c>
      <c r="D5642" s="15" t="s">
        <v>7501</v>
      </c>
      <c r="E5642" s="15" t="s">
        <v>7501</v>
      </c>
    </row>
    <row r="5643" spans="2:5">
      <c r="B5643" s="15" t="s">
        <v>7499</v>
      </c>
      <c r="C5643" s="15" t="s">
        <v>7500</v>
      </c>
      <c r="D5643" s="15" t="s">
        <v>7502</v>
      </c>
      <c r="E5643" s="15" t="s">
        <v>7503</v>
      </c>
    </row>
    <row r="5644" spans="2:5">
      <c r="B5644" s="15" t="s">
        <v>7499</v>
      </c>
      <c r="C5644" s="15" t="s">
        <v>7500</v>
      </c>
      <c r="D5644" s="15" t="s">
        <v>7504</v>
      </c>
      <c r="E5644" s="15" t="s">
        <v>7505</v>
      </c>
    </row>
    <row r="5645" ht="15.95" spans="2:2">
      <c r="B5645" s="122" t="s">
        <v>7506</v>
      </c>
    </row>
    <row r="5646" spans="2:5">
      <c r="B5646" s="15" t="s">
        <v>7507</v>
      </c>
      <c r="C5646" s="15" t="s">
        <v>7508</v>
      </c>
      <c r="D5646" s="15" t="s">
        <v>635</v>
      </c>
      <c r="E5646" s="15" t="s">
        <v>7509</v>
      </c>
    </row>
    <row r="5647" spans="2:5">
      <c r="B5647" s="15" t="s">
        <v>7507</v>
      </c>
      <c r="C5647" s="15" t="s">
        <v>7508</v>
      </c>
      <c r="D5647" s="15" t="s">
        <v>659</v>
      </c>
      <c r="E5647" s="15" t="s">
        <v>7510</v>
      </c>
    </row>
    <row r="5648" spans="2:5">
      <c r="B5648" s="15" t="s">
        <v>7507</v>
      </c>
      <c r="C5648" s="15" t="s">
        <v>7508</v>
      </c>
      <c r="D5648" s="15" t="s">
        <v>679</v>
      </c>
      <c r="E5648" s="15" t="s">
        <v>7511</v>
      </c>
    </row>
    <row r="5649" spans="2:5">
      <c r="B5649" s="15" t="s">
        <v>7507</v>
      </c>
      <c r="C5649" s="15" t="s">
        <v>7508</v>
      </c>
      <c r="D5649" s="15" t="s">
        <v>705</v>
      </c>
      <c r="E5649" s="15" t="s">
        <v>7512</v>
      </c>
    </row>
    <row r="5650" spans="2:5">
      <c r="B5650" s="15" t="s">
        <v>7507</v>
      </c>
      <c r="C5650" s="15" t="s">
        <v>7508</v>
      </c>
      <c r="D5650" s="15" t="s">
        <v>709</v>
      </c>
      <c r="E5650" s="15" t="s">
        <v>7513</v>
      </c>
    </row>
    <row r="5651" spans="2:5">
      <c r="B5651" s="15" t="s">
        <v>7507</v>
      </c>
      <c r="C5651" s="15" t="s">
        <v>7508</v>
      </c>
      <c r="D5651" s="15" t="s">
        <v>838</v>
      </c>
      <c r="E5651" s="15" t="s">
        <v>7514</v>
      </c>
    </row>
    <row r="5652" spans="2:5">
      <c r="B5652" s="15" t="s">
        <v>7507</v>
      </c>
      <c r="C5652" s="15" t="s">
        <v>7508</v>
      </c>
      <c r="D5652" s="15" t="s">
        <v>840</v>
      </c>
      <c r="E5652" s="15" t="s">
        <v>7515</v>
      </c>
    </row>
    <row r="5653" ht="15.95" spans="2:2">
      <c r="B5653" s="122" t="s">
        <v>7516</v>
      </c>
    </row>
    <row r="5654" spans="2:5">
      <c r="B5654" s="15" t="s">
        <v>7517</v>
      </c>
      <c r="C5654" s="15" t="s">
        <v>7517</v>
      </c>
      <c r="D5654" s="15" t="s">
        <v>723</v>
      </c>
      <c r="E5654" s="15" t="s">
        <v>5983</v>
      </c>
    </row>
    <row r="5655" spans="2:5">
      <c r="B5655" s="15" t="s">
        <v>7517</v>
      </c>
      <c r="C5655" s="15" t="s">
        <v>7517</v>
      </c>
      <c r="D5655" s="15" t="s">
        <v>725</v>
      </c>
      <c r="E5655" s="15" t="s">
        <v>7518</v>
      </c>
    </row>
    <row r="5656" spans="2:5">
      <c r="B5656" s="15" t="s">
        <v>7517</v>
      </c>
      <c r="C5656" s="15" t="s">
        <v>7517</v>
      </c>
      <c r="D5656" s="15" t="s">
        <v>727</v>
      </c>
      <c r="E5656" s="15" t="s">
        <v>5984</v>
      </c>
    </row>
    <row r="5657" ht="15.95" spans="2:2">
      <c r="B5657" s="122" t="s">
        <v>7519</v>
      </c>
    </row>
    <row r="5658" spans="2:5">
      <c r="B5658" s="15" t="s">
        <v>7520</v>
      </c>
      <c r="C5658" s="15" t="s">
        <v>7521</v>
      </c>
      <c r="D5658" s="15" t="s">
        <v>770</v>
      </c>
      <c r="E5658" s="15" t="s">
        <v>7522</v>
      </c>
    </row>
    <row r="5659" spans="2:5">
      <c r="B5659" s="15" t="s">
        <v>7520</v>
      </c>
      <c r="C5659" s="15" t="s">
        <v>7521</v>
      </c>
      <c r="D5659" s="15" t="s">
        <v>772</v>
      </c>
      <c r="E5659" s="15" t="s">
        <v>2723</v>
      </c>
    </row>
    <row r="5660" spans="2:5">
      <c r="B5660" s="15" t="s">
        <v>7520</v>
      </c>
      <c r="C5660" s="15" t="s">
        <v>7521</v>
      </c>
      <c r="D5660" s="15" t="s">
        <v>774</v>
      </c>
      <c r="E5660" s="15" t="s">
        <v>2724</v>
      </c>
    </row>
    <row r="5661" ht="15.95" spans="2:2">
      <c r="B5661" s="122" t="s">
        <v>7523</v>
      </c>
    </row>
    <row r="5662" spans="2:5">
      <c r="B5662" s="15" t="s">
        <v>7524</v>
      </c>
      <c r="C5662" s="15" t="s">
        <v>7525</v>
      </c>
      <c r="D5662" s="15" t="s">
        <v>723</v>
      </c>
      <c r="E5662" s="15" t="s">
        <v>906</v>
      </c>
    </row>
    <row r="5663" spans="2:5">
      <c r="B5663" s="15" t="s">
        <v>7524</v>
      </c>
      <c r="C5663" s="15" t="s">
        <v>7525</v>
      </c>
      <c r="D5663" s="15" t="s">
        <v>725</v>
      </c>
      <c r="E5663" s="15" t="s">
        <v>907</v>
      </c>
    </row>
    <row r="5664" spans="2:5">
      <c r="B5664" s="15" t="s">
        <v>7524</v>
      </c>
      <c r="C5664" s="15" t="s">
        <v>7525</v>
      </c>
      <c r="D5664" s="15" t="s">
        <v>727</v>
      </c>
      <c r="E5664" s="15" t="s">
        <v>2560</v>
      </c>
    </row>
    <row r="5665" ht="15.95" spans="2:2">
      <c r="B5665" s="122" t="s">
        <v>7526</v>
      </c>
    </row>
    <row r="5666" spans="2:5">
      <c r="B5666" s="15" t="s">
        <v>7527</v>
      </c>
      <c r="C5666" s="15" t="s">
        <v>7527</v>
      </c>
      <c r="D5666" s="15" t="s">
        <v>770</v>
      </c>
      <c r="E5666" s="15" t="s">
        <v>6131</v>
      </c>
    </row>
    <row r="5667" spans="2:5">
      <c r="B5667" s="15" t="s">
        <v>7527</v>
      </c>
      <c r="C5667" s="15" t="s">
        <v>7527</v>
      </c>
      <c r="D5667" s="15" t="s">
        <v>772</v>
      </c>
      <c r="E5667" s="15" t="s">
        <v>6132</v>
      </c>
    </row>
    <row r="5668" spans="2:5">
      <c r="B5668" s="15" t="s">
        <v>7527</v>
      </c>
      <c r="C5668" s="15" t="s">
        <v>7527</v>
      </c>
      <c r="D5668" s="15" t="s">
        <v>774</v>
      </c>
      <c r="E5668" s="15" t="s">
        <v>6133</v>
      </c>
    </row>
    <row r="5669" ht="15.95" spans="2:2">
      <c r="B5669" s="122" t="s">
        <v>7528</v>
      </c>
    </row>
    <row r="5670" spans="2:5">
      <c r="B5670" s="15" t="s">
        <v>7529</v>
      </c>
      <c r="C5670" s="15" t="s">
        <v>7359</v>
      </c>
      <c r="D5670" s="15" t="s">
        <v>635</v>
      </c>
      <c r="E5670" s="15" t="s">
        <v>7361</v>
      </c>
    </row>
    <row r="5671" spans="2:5">
      <c r="B5671" s="15" t="s">
        <v>7529</v>
      </c>
      <c r="C5671" s="15" t="s">
        <v>7359</v>
      </c>
      <c r="D5671" s="15" t="s">
        <v>659</v>
      </c>
      <c r="E5671" s="15" t="s">
        <v>7360</v>
      </c>
    </row>
    <row r="5672" spans="2:5">
      <c r="B5672" s="15" t="s">
        <v>7529</v>
      </c>
      <c r="C5672" s="15" t="s">
        <v>7359</v>
      </c>
      <c r="D5672" s="15" t="s">
        <v>679</v>
      </c>
      <c r="E5672" s="15" t="s">
        <v>7362</v>
      </c>
    </row>
    <row r="5673" ht="15.95" spans="2:2">
      <c r="B5673" s="122" t="s">
        <v>7530</v>
      </c>
    </row>
    <row r="5674" spans="2:5">
      <c r="B5674" s="15" t="s">
        <v>7531</v>
      </c>
      <c r="C5674" s="15" t="s">
        <v>7532</v>
      </c>
      <c r="D5674" s="15" t="s">
        <v>770</v>
      </c>
      <c r="E5674" s="15" t="s">
        <v>7533</v>
      </c>
    </row>
    <row r="5675" spans="2:5">
      <c r="B5675" s="15" t="s">
        <v>7531</v>
      </c>
      <c r="C5675" s="15" t="s">
        <v>7532</v>
      </c>
      <c r="D5675" s="15" t="s">
        <v>772</v>
      </c>
      <c r="E5675" s="15" t="s">
        <v>7534</v>
      </c>
    </row>
    <row r="5676" spans="2:5">
      <c r="B5676" s="15" t="s">
        <v>7531</v>
      </c>
      <c r="C5676" s="15" t="s">
        <v>7532</v>
      </c>
      <c r="D5676" s="15" t="s">
        <v>774</v>
      </c>
      <c r="E5676" s="15" t="s">
        <v>7535</v>
      </c>
    </row>
    <row r="5677" spans="2:5">
      <c r="B5677" s="15" t="s">
        <v>7531</v>
      </c>
      <c r="C5677" s="15" t="s">
        <v>7532</v>
      </c>
      <c r="D5677" s="15" t="s">
        <v>828</v>
      </c>
      <c r="E5677" s="15" t="s">
        <v>7536</v>
      </c>
    </row>
    <row r="5678" spans="2:5">
      <c r="B5678" s="15" t="s">
        <v>7531</v>
      </c>
      <c r="C5678" s="15" t="s">
        <v>7532</v>
      </c>
      <c r="D5678" s="15" t="s">
        <v>901</v>
      </c>
      <c r="E5678" s="15" t="s">
        <v>7537</v>
      </c>
    </row>
    <row r="5679" spans="2:5">
      <c r="B5679" s="15" t="s">
        <v>7531</v>
      </c>
      <c r="C5679" s="15" t="s">
        <v>7532</v>
      </c>
      <c r="D5679" s="15" t="s">
        <v>776</v>
      </c>
      <c r="E5679" s="15" t="s">
        <v>7538</v>
      </c>
    </row>
    <row r="5680" spans="2:5">
      <c r="B5680" s="15" t="s">
        <v>7531</v>
      </c>
      <c r="C5680" s="15" t="s">
        <v>7532</v>
      </c>
      <c r="D5680" s="15" t="s">
        <v>1290</v>
      </c>
      <c r="E5680" s="15" t="s">
        <v>7539</v>
      </c>
    </row>
    <row r="5681" spans="2:5">
      <c r="B5681" s="15" t="s">
        <v>7531</v>
      </c>
      <c r="C5681" s="15" t="s">
        <v>7532</v>
      </c>
      <c r="D5681" s="15" t="s">
        <v>1409</v>
      </c>
      <c r="E5681" s="15" t="s">
        <v>7540</v>
      </c>
    </row>
    <row r="5682" spans="2:5">
      <c r="B5682" s="15" t="s">
        <v>7531</v>
      </c>
      <c r="C5682" s="15" t="s">
        <v>7532</v>
      </c>
      <c r="D5682" s="15" t="s">
        <v>1411</v>
      </c>
      <c r="E5682" s="15" t="s">
        <v>7541</v>
      </c>
    </row>
    <row r="5683" spans="2:5">
      <c r="B5683" s="15" t="s">
        <v>7531</v>
      </c>
      <c r="C5683" s="15" t="s">
        <v>7532</v>
      </c>
      <c r="D5683" s="15" t="s">
        <v>933</v>
      </c>
      <c r="E5683" s="15" t="s">
        <v>7542</v>
      </c>
    </row>
    <row r="5684" spans="2:5">
      <c r="B5684" s="15" t="s">
        <v>7531</v>
      </c>
      <c r="C5684" s="15" t="s">
        <v>7532</v>
      </c>
      <c r="D5684" s="15" t="s">
        <v>1059</v>
      </c>
      <c r="E5684" s="15" t="s">
        <v>7543</v>
      </c>
    </row>
    <row r="5685" spans="2:5">
      <c r="B5685" s="15" t="s">
        <v>7531</v>
      </c>
      <c r="C5685" s="15" t="s">
        <v>7532</v>
      </c>
      <c r="D5685" s="15" t="s">
        <v>1061</v>
      </c>
      <c r="E5685" s="15" t="s">
        <v>7544</v>
      </c>
    </row>
    <row r="5686" spans="2:5">
      <c r="B5686" s="15" t="s">
        <v>7531</v>
      </c>
      <c r="C5686" s="15" t="s">
        <v>7532</v>
      </c>
      <c r="D5686" s="15" t="s">
        <v>1063</v>
      </c>
      <c r="E5686" s="15" t="s">
        <v>7545</v>
      </c>
    </row>
    <row r="5687" spans="2:5">
      <c r="B5687" s="15" t="s">
        <v>7531</v>
      </c>
      <c r="C5687" s="15" t="s">
        <v>7532</v>
      </c>
      <c r="D5687" s="15" t="s">
        <v>1065</v>
      </c>
      <c r="E5687" s="15" t="s">
        <v>7546</v>
      </c>
    </row>
    <row r="5688" ht="15.95" spans="2:2">
      <c r="B5688" s="122" t="s">
        <v>7547</v>
      </c>
    </row>
    <row r="5689" spans="2:5">
      <c r="B5689" s="15" t="s">
        <v>7548</v>
      </c>
      <c r="C5689" s="15" t="s">
        <v>7549</v>
      </c>
      <c r="D5689" s="15" t="s">
        <v>723</v>
      </c>
      <c r="E5689" s="15" t="s">
        <v>1310</v>
      </c>
    </row>
    <row r="5690" spans="2:5">
      <c r="B5690" s="15" t="s">
        <v>7548</v>
      </c>
      <c r="C5690" s="15" t="s">
        <v>7549</v>
      </c>
      <c r="D5690" s="15" t="s">
        <v>725</v>
      </c>
      <c r="E5690" s="15" t="s">
        <v>4663</v>
      </c>
    </row>
    <row r="5691" ht="15.95" spans="2:2">
      <c r="B5691" s="122" t="s">
        <v>7550</v>
      </c>
    </row>
    <row r="5692" spans="2:5">
      <c r="B5692" s="15" t="s">
        <v>7551</v>
      </c>
      <c r="C5692" s="15" t="s">
        <v>7552</v>
      </c>
      <c r="D5692" s="15" t="s">
        <v>635</v>
      </c>
      <c r="E5692" s="15" t="s">
        <v>1814</v>
      </c>
    </row>
    <row r="5693" spans="2:5">
      <c r="B5693" s="15" t="s">
        <v>7551</v>
      </c>
      <c r="C5693" s="15" t="s">
        <v>7552</v>
      </c>
      <c r="D5693" s="15" t="s">
        <v>6465</v>
      </c>
      <c r="E5693" s="15" t="s">
        <v>6466</v>
      </c>
    </row>
    <row r="5694" spans="2:5">
      <c r="B5694" s="15" t="s">
        <v>7551</v>
      </c>
      <c r="C5694" s="15" t="s">
        <v>7552</v>
      </c>
      <c r="D5694" s="15" t="s">
        <v>6467</v>
      </c>
      <c r="E5694" s="15" t="s">
        <v>5789</v>
      </c>
    </row>
    <row r="5695" spans="2:5">
      <c r="B5695" s="15" t="s">
        <v>7551</v>
      </c>
      <c r="C5695" s="15" t="s">
        <v>7552</v>
      </c>
      <c r="D5695" s="15" t="s">
        <v>3587</v>
      </c>
      <c r="E5695" s="15" t="s">
        <v>6468</v>
      </c>
    </row>
    <row r="5696" spans="2:5">
      <c r="B5696" s="15" t="s">
        <v>7551</v>
      </c>
      <c r="C5696" s="15" t="s">
        <v>7552</v>
      </c>
      <c r="D5696" s="15" t="s">
        <v>7553</v>
      </c>
      <c r="E5696" s="15" t="s">
        <v>7554</v>
      </c>
    </row>
    <row r="5697" spans="2:5">
      <c r="B5697" s="15" t="s">
        <v>7551</v>
      </c>
      <c r="C5697" s="15" t="s">
        <v>7552</v>
      </c>
      <c r="D5697" s="15" t="s">
        <v>7555</v>
      </c>
      <c r="E5697" s="15" t="s">
        <v>7556</v>
      </c>
    </row>
    <row r="5698" spans="2:5">
      <c r="B5698" s="15" t="s">
        <v>7551</v>
      </c>
      <c r="C5698" s="15" t="s">
        <v>7552</v>
      </c>
      <c r="D5698" s="15" t="s">
        <v>7557</v>
      </c>
      <c r="E5698" s="15" t="s">
        <v>7558</v>
      </c>
    </row>
    <row r="5699" spans="2:5">
      <c r="B5699" s="15" t="s">
        <v>7551</v>
      </c>
      <c r="C5699" s="15" t="s">
        <v>7552</v>
      </c>
      <c r="D5699" s="15" t="s">
        <v>7559</v>
      </c>
      <c r="E5699" s="15" t="s">
        <v>7560</v>
      </c>
    </row>
    <row r="5700" spans="2:5">
      <c r="B5700" s="15" t="s">
        <v>7551</v>
      </c>
      <c r="C5700" s="15" t="s">
        <v>7552</v>
      </c>
      <c r="D5700" s="15" t="s">
        <v>2416</v>
      </c>
      <c r="E5700" s="15" t="s">
        <v>7561</v>
      </c>
    </row>
    <row r="5701" spans="2:5">
      <c r="B5701" s="15" t="s">
        <v>7551</v>
      </c>
      <c r="C5701" s="15" t="s">
        <v>7552</v>
      </c>
      <c r="D5701" s="15" t="s">
        <v>7562</v>
      </c>
      <c r="E5701" s="15" t="s">
        <v>7563</v>
      </c>
    </row>
    <row r="5702" spans="2:5">
      <c r="B5702" s="15" t="s">
        <v>7551</v>
      </c>
      <c r="C5702" s="15" t="s">
        <v>7552</v>
      </c>
      <c r="D5702" s="15" t="s">
        <v>7564</v>
      </c>
      <c r="E5702" s="15" t="s">
        <v>7558</v>
      </c>
    </row>
    <row r="5703" spans="2:5">
      <c r="B5703" s="15" t="s">
        <v>7551</v>
      </c>
      <c r="C5703" s="15" t="s">
        <v>7552</v>
      </c>
      <c r="D5703" s="15" t="s">
        <v>7565</v>
      </c>
      <c r="E5703" s="15" t="s">
        <v>7566</v>
      </c>
    </row>
    <row r="5704" spans="2:5">
      <c r="B5704" s="15" t="s">
        <v>7551</v>
      </c>
      <c r="C5704" s="15" t="s">
        <v>7552</v>
      </c>
      <c r="D5704" s="15" t="s">
        <v>7567</v>
      </c>
      <c r="E5704" s="15" t="s">
        <v>7568</v>
      </c>
    </row>
    <row r="5705" spans="2:5">
      <c r="B5705" s="15" t="s">
        <v>7551</v>
      </c>
      <c r="C5705" s="15" t="s">
        <v>7552</v>
      </c>
      <c r="D5705" s="15" t="s">
        <v>7569</v>
      </c>
      <c r="E5705" s="15" t="s">
        <v>7570</v>
      </c>
    </row>
    <row r="5706" spans="2:5">
      <c r="B5706" s="15" t="s">
        <v>7551</v>
      </c>
      <c r="C5706" s="15" t="s">
        <v>7552</v>
      </c>
      <c r="D5706" s="15" t="s">
        <v>7571</v>
      </c>
      <c r="E5706" s="15" t="s">
        <v>7572</v>
      </c>
    </row>
    <row r="5707" spans="2:5">
      <c r="B5707" s="15" t="s">
        <v>7551</v>
      </c>
      <c r="C5707" s="15" t="s">
        <v>7552</v>
      </c>
      <c r="D5707" s="15" t="s">
        <v>705</v>
      </c>
      <c r="E5707" s="15" t="s">
        <v>1816</v>
      </c>
    </row>
    <row r="5708" spans="2:5">
      <c r="B5708" s="15" t="s">
        <v>7551</v>
      </c>
      <c r="C5708" s="15" t="s">
        <v>7552</v>
      </c>
      <c r="D5708" s="15" t="s">
        <v>707</v>
      </c>
      <c r="E5708" s="15" t="s">
        <v>7573</v>
      </c>
    </row>
    <row r="5709" spans="2:5">
      <c r="B5709" s="15" t="s">
        <v>7551</v>
      </c>
      <c r="C5709" s="15" t="s">
        <v>7552</v>
      </c>
      <c r="D5709" s="15" t="s">
        <v>7574</v>
      </c>
      <c r="E5709" s="15" t="s">
        <v>7573</v>
      </c>
    </row>
    <row r="5710" spans="2:5">
      <c r="B5710" s="15" t="s">
        <v>7551</v>
      </c>
      <c r="C5710" s="15" t="s">
        <v>7552</v>
      </c>
      <c r="D5710" s="15" t="s">
        <v>2020</v>
      </c>
      <c r="E5710" s="15" t="s">
        <v>7575</v>
      </c>
    </row>
    <row r="5711" spans="2:5">
      <c r="B5711" s="15" t="s">
        <v>7551</v>
      </c>
      <c r="C5711" s="15" t="s">
        <v>7552</v>
      </c>
      <c r="D5711" s="15" t="s">
        <v>7576</v>
      </c>
      <c r="E5711" s="15" t="s">
        <v>7575</v>
      </c>
    </row>
    <row r="5712" spans="2:5">
      <c r="B5712" s="15" t="s">
        <v>7551</v>
      </c>
      <c r="C5712" s="15" t="s">
        <v>7552</v>
      </c>
      <c r="D5712" s="15" t="s">
        <v>2022</v>
      </c>
      <c r="E5712" s="15" t="s">
        <v>7573</v>
      </c>
    </row>
    <row r="5713" spans="2:5">
      <c r="B5713" s="15" t="s">
        <v>7551</v>
      </c>
      <c r="C5713" s="15" t="s">
        <v>7552</v>
      </c>
      <c r="D5713" s="15" t="s">
        <v>7577</v>
      </c>
      <c r="E5713" s="15" t="s">
        <v>7573</v>
      </c>
    </row>
    <row r="5714" spans="2:5">
      <c r="B5714" s="15" t="s">
        <v>7551</v>
      </c>
      <c r="C5714" s="15" t="s">
        <v>7552</v>
      </c>
      <c r="D5714" s="15" t="s">
        <v>7578</v>
      </c>
      <c r="E5714" s="15" t="s">
        <v>7575</v>
      </c>
    </row>
    <row r="5715" spans="2:5">
      <c r="B5715" s="15" t="s">
        <v>7551</v>
      </c>
      <c r="C5715" s="15" t="s">
        <v>7552</v>
      </c>
      <c r="D5715" s="15" t="s">
        <v>7579</v>
      </c>
      <c r="E5715" s="15" t="s">
        <v>7575</v>
      </c>
    </row>
    <row r="5716" spans="2:5">
      <c r="B5716" s="15" t="s">
        <v>7551</v>
      </c>
      <c r="C5716" s="15" t="s">
        <v>7552</v>
      </c>
      <c r="D5716" s="15" t="s">
        <v>6469</v>
      </c>
      <c r="E5716" s="15" t="s">
        <v>6470</v>
      </c>
    </row>
    <row r="5717" spans="2:5">
      <c r="B5717" s="15" t="s">
        <v>7551</v>
      </c>
      <c r="C5717" s="15" t="s">
        <v>7552</v>
      </c>
      <c r="D5717" s="15" t="s">
        <v>6471</v>
      </c>
      <c r="E5717" s="15" t="s">
        <v>1903</v>
      </c>
    </row>
    <row r="5718" spans="2:5">
      <c r="B5718" s="15" t="s">
        <v>7551</v>
      </c>
      <c r="C5718" s="15" t="s">
        <v>7552</v>
      </c>
      <c r="D5718" s="15" t="s">
        <v>7580</v>
      </c>
      <c r="E5718" s="15" t="s">
        <v>1903</v>
      </c>
    </row>
    <row r="5719" spans="2:5">
      <c r="B5719" s="15" t="s">
        <v>7551</v>
      </c>
      <c r="C5719" s="15" t="s">
        <v>7552</v>
      </c>
      <c r="D5719" s="15" t="s">
        <v>6472</v>
      </c>
      <c r="E5719" s="15" t="s">
        <v>1904</v>
      </c>
    </row>
    <row r="5720" spans="2:5">
      <c r="B5720" s="15" t="s">
        <v>7551</v>
      </c>
      <c r="C5720" s="15" t="s">
        <v>7552</v>
      </c>
      <c r="D5720" s="15" t="s">
        <v>7581</v>
      </c>
      <c r="E5720" s="15" t="s">
        <v>1904</v>
      </c>
    </row>
    <row r="5721" spans="2:5">
      <c r="B5721" s="15" t="s">
        <v>7551</v>
      </c>
      <c r="C5721" s="15" t="s">
        <v>7552</v>
      </c>
      <c r="D5721" s="15" t="s">
        <v>7582</v>
      </c>
      <c r="E5721" s="15" t="s">
        <v>7583</v>
      </c>
    </row>
    <row r="5722" spans="2:5">
      <c r="B5722" s="15" t="s">
        <v>7551</v>
      </c>
      <c r="C5722" s="15" t="s">
        <v>7552</v>
      </c>
      <c r="D5722" s="15" t="s">
        <v>709</v>
      </c>
      <c r="E5722" s="15" t="s">
        <v>6570</v>
      </c>
    </row>
    <row r="5723" spans="2:5">
      <c r="B5723" s="15" t="s">
        <v>7551</v>
      </c>
      <c r="C5723" s="15" t="s">
        <v>7552</v>
      </c>
      <c r="D5723" s="15" t="s">
        <v>838</v>
      </c>
      <c r="E5723" s="15" t="s">
        <v>7584</v>
      </c>
    </row>
    <row r="5724" spans="2:5">
      <c r="B5724" s="15" t="s">
        <v>7551</v>
      </c>
      <c r="C5724" s="15" t="s">
        <v>7552</v>
      </c>
      <c r="D5724" s="15" t="s">
        <v>840</v>
      </c>
      <c r="E5724" s="15" t="s">
        <v>1822</v>
      </c>
    </row>
    <row r="5725" spans="2:5">
      <c r="B5725" s="15" t="s">
        <v>7551</v>
      </c>
      <c r="C5725" s="15" t="s">
        <v>7552</v>
      </c>
      <c r="D5725" s="15" t="s">
        <v>842</v>
      </c>
      <c r="E5725" s="15" t="s">
        <v>1330</v>
      </c>
    </row>
    <row r="5726" spans="2:5">
      <c r="B5726" s="15" t="s">
        <v>7551</v>
      </c>
      <c r="C5726" s="15" t="s">
        <v>7552</v>
      </c>
      <c r="D5726" s="15" t="s">
        <v>844</v>
      </c>
      <c r="E5726" s="15" t="s">
        <v>1331</v>
      </c>
    </row>
    <row r="5727" spans="2:5">
      <c r="B5727" s="15" t="s">
        <v>7551</v>
      </c>
      <c r="C5727" s="15" t="s">
        <v>7552</v>
      </c>
      <c r="D5727" s="15" t="s">
        <v>846</v>
      </c>
      <c r="E5727" s="15" t="s">
        <v>7585</v>
      </c>
    </row>
    <row r="5728" ht="15.95" spans="2:2">
      <c r="B5728" s="122" t="s">
        <v>7586</v>
      </c>
    </row>
    <row r="5729" spans="2:5">
      <c r="B5729" s="15" t="s">
        <v>7587</v>
      </c>
      <c r="C5729" s="15" t="s">
        <v>7588</v>
      </c>
      <c r="D5729" s="15" t="s">
        <v>635</v>
      </c>
      <c r="E5729" s="15" t="s">
        <v>7589</v>
      </c>
    </row>
    <row r="5730" spans="2:5">
      <c r="B5730" s="15" t="s">
        <v>7587</v>
      </c>
      <c r="C5730" s="15" t="s">
        <v>7588</v>
      </c>
      <c r="D5730" s="15" t="s">
        <v>659</v>
      </c>
      <c r="E5730" s="15" t="s">
        <v>1816</v>
      </c>
    </row>
    <row r="5731" spans="2:5">
      <c r="B5731" s="15" t="s">
        <v>7587</v>
      </c>
      <c r="C5731" s="15" t="s">
        <v>7588</v>
      </c>
      <c r="D5731" s="15" t="s">
        <v>679</v>
      </c>
      <c r="E5731" s="15" t="s">
        <v>636</v>
      </c>
    </row>
    <row r="5732" ht="15.95" spans="2:2">
      <c r="B5732" s="122" t="s">
        <v>7590</v>
      </c>
    </row>
    <row r="5733" spans="2:5">
      <c r="B5733" s="15" t="s">
        <v>7591</v>
      </c>
      <c r="C5733" s="15" t="s">
        <v>7592</v>
      </c>
      <c r="D5733" s="15" t="s">
        <v>635</v>
      </c>
      <c r="E5733" s="15" t="s">
        <v>7593</v>
      </c>
    </row>
    <row r="5734" spans="2:5">
      <c r="B5734" s="15" t="s">
        <v>7591</v>
      </c>
      <c r="C5734" s="15" t="s">
        <v>7592</v>
      </c>
      <c r="D5734" s="15" t="s">
        <v>659</v>
      </c>
      <c r="E5734" s="15" t="s">
        <v>7594</v>
      </c>
    </row>
    <row r="5735" ht="15.95" spans="2:2">
      <c r="B5735" s="122" t="s">
        <v>7595</v>
      </c>
    </row>
    <row r="5736" spans="2:5">
      <c r="B5736" s="15" t="s">
        <v>7596</v>
      </c>
      <c r="C5736" s="15" t="s">
        <v>7597</v>
      </c>
      <c r="D5736" s="15" t="s">
        <v>770</v>
      </c>
      <c r="E5736" s="15" t="s">
        <v>7598</v>
      </c>
    </row>
    <row r="5737" spans="2:5">
      <c r="B5737" s="15" t="s">
        <v>7596</v>
      </c>
      <c r="C5737" s="15" t="s">
        <v>7597</v>
      </c>
      <c r="D5737" s="15" t="s">
        <v>772</v>
      </c>
      <c r="E5737" s="15" t="s">
        <v>7599</v>
      </c>
    </row>
    <row r="5738" spans="2:5">
      <c r="B5738" s="15" t="s">
        <v>7596</v>
      </c>
      <c r="C5738" s="15" t="s">
        <v>7597</v>
      </c>
      <c r="D5738" s="15" t="s">
        <v>774</v>
      </c>
      <c r="E5738" s="15" t="s">
        <v>7600</v>
      </c>
    </row>
    <row r="5739" spans="2:5">
      <c r="B5739" s="15" t="s">
        <v>7596</v>
      </c>
      <c r="C5739" s="15" t="s">
        <v>7597</v>
      </c>
      <c r="D5739" s="15" t="s">
        <v>828</v>
      </c>
      <c r="E5739" s="15" t="s">
        <v>7601</v>
      </c>
    </row>
    <row r="5740" spans="2:5">
      <c r="B5740" s="15" t="s">
        <v>7596</v>
      </c>
      <c r="C5740" s="15" t="s">
        <v>7597</v>
      </c>
      <c r="D5740" s="15" t="s">
        <v>901</v>
      </c>
      <c r="E5740" s="15" t="s">
        <v>7602</v>
      </c>
    </row>
    <row r="5741" spans="2:5">
      <c r="B5741" s="15" t="s">
        <v>7596</v>
      </c>
      <c r="C5741" s="15" t="s">
        <v>7597</v>
      </c>
      <c r="D5741" s="15" t="s">
        <v>776</v>
      </c>
      <c r="E5741" s="15" t="s">
        <v>7603</v>
      </c>
    </row>
    <row r="5742" spans="2:5">
      <c r="B5742" s="15" t="s">
        <v>7596</v>
      </c>
      <c r="C5742" s="15" t="s">
        <v>7597</v>
      </c>
      <c r="D5742" s="15" t="s">
        <v>1290</v>
      </c>
      <c r="E5742" s="15" t="s">
        <v>7604</v>
      </c>
    </row>
    <row r="5743" spans="2:5">
      <c r="B5743" s="15" t="s">
        <v>7596</v>
      </c>
      <c r="C5743" s="15" t="s">
        <v>7597</v>
      </c>
      <c r="D5743" s="15" t="s">
        <v>1409</v>
      </c>
      <c r="E5743" s="15" t="s">
        <v>7605</v>
      </c>
    </row>
    <row r="5744" spans="2:5">
      <c r="B5744" s="15" t="s">
        <v>7596</v>
      </c>
      <c r="C5744" s="15" t="s">
        <v>7597</v>
      </c>
      <c r="D5744" s="15" t="s">
        <v>1411</v>
      </c>
      <c r="E5744" s="15" t="s">
        <v>7606</v>
      </c>
    </row>
    <row r="5745" spans="2:5">
      <c r="B5745" s="15" t="s">
        <v>7596</v>
      </c>
      <c r="C5745" s="15" t="s">
        <v>7597</v>
      </c>
      <c r="D5745" s="15" t="s">
        <v>933</v>
      </c>
      <c r="E5745" s="15" t="s">
        <v>7607</v>
      </c>
    </row>
    <row r="5746" spans="2:5">
      <c r="B5746" s="15" t="s">
        <v>7596</v>
      </c>
      <c r="C5746" s="15" t="s">
        <v>7597</v>
      </c>
      <c r="D5746" s="15" t="s">
        <v>1059</v>
      </c>
      <c r="E5746" s="15" t="s">
        <v>7608</v>
      </c>
    </row>
    <row r="5747" ht="15.95" spans="2:2">
      <c r="B5747" s="122" t="s">
        <v>7609</v>
      </c>
    </row>
    <row r="5748" spans="2:5">
      <c r="B5748" s="15" t="s">
        <v>7610</v>
      </c>
      <c r="C5748" s="15" t="s">
        <v>7611</v>
      </c>
      <c r="D5748" s="15" t="s">
        <v>4438</v>
      </c>
      <c r="E5748" s="15" t="s">
        <v>7612</v>
      </c>
    </row>
    <row r="5749" spans="2:5">
      <c r="B5749" s="15" t="s">
        <v>7610</v>
      </c>
      <c r="C5749" s="15" t="s">
        <v>7611</v>
      </c>
      <c r="D5749" s="15" t="s">
        <v>4440</v>
      </c>
      <c r="E5749" s="15" t="s">
        <v>4441</v>
      </c>
    </row>
    <row r="5750" spans="2:5">
      <c r="B5750" s="15" t="s">
        <v>7610</v>
      </c>
      <c r="C5750" s="15" t="s">
        <v>7611</v>
      </c>
      <c r="D5750" s="15" t="s">
        <v>1605</v>
      </c>
      <c r="E5750" s="15" t="s">
        <v>7613</v>
      </c>
    </row>
    <row r="5751" spans="2:5">
      <c r="B5751" s="15" t="s">
        <v>7610</v>
      </c>
      <c r="C5751" s="15" t="s">
        <v>7611</v>
      </c>
      <c r="D5751" s="15" t="s">
        <v>1607</v>
      </c>
      <c r="E5751" s="15" t="s">
        <v>1607</v>
      </c>
    </row>
    <row r="5752" spans="2:5">
      <c r="B5752" s="15" t="s">
        <v>7610</v>
      </c>
      <c r="C5752" s="15" t="s">
        <v>7611</v>
      </c>
      <c r="D5752" s="15" t="s">
        <v>1418</v>
      </c>
      <c r="E5752" s="15" t="s">
        <v>1610</v>
      </c>
    </row>
    <row r="5753" spans="2:5">
      <c r="B5753" s="15" t="s">
        <v>7610</v>
      </c>
      <c r="C5753" s="15" t="s">
        <v>7611</v>
      </c>
      <c r="D5753" s="15" t="s">
        <v>7614</v>
      </c>
      <c r="E5753" s="15" t="s">
        <v>7615</v>
      </c>
    </row>
    <row r="5754" ht="15.95" spans="2:2">
      <c r="B5754" s="122" t="s">
        <v>7616</v>
      </c>
    </row>
    <row r="5755" spans="2:5">
      <c r="B5755" s="15" t="s">
        <v>7617</v>
      </c>
      <c r="C5755" s="15"/>
      <c r="D5755" s="15" t="s">
        <v>917</v>
      </c>
      <c r="E5755" s="15" t="s">
        <v>1674</v>
      </c>
    </row>
    <row r="5756" spans="2:5">
      <c r="B5756" s="15" t="s">
        <v>7617</v>
      </c>
      <c r="C5756" s="15"/>
      <c r="D5756" s="15" t="s">
        <v>919</v>
      </c>
      <c r="E5756" s="15" t="s">
        <v>1675</v>
      </c>
    </row>
    <row r="5757" spans="2:5">
      <c r="B5757" s="15" t="s">
        <v>7617</v>
      </c>
      <c r="C5757" s="15"/>
      <c r="D5757" s="15" t="s">
        <v>921</v>
      </c>
      <c r="E5757" s="15" t="s">
        <v>1676</v>
      </c>
    </row>
    <row r="5758" spans="2:5">
      <c r="B5758" s="15" t="s">
        <v>7617</v>
      </c>
      <c r="C5758" s="15"/>
      <c r="D5758" s="15" t="s">
        <v>923</v>
      </c>
      <c r="E5758" s="15" t="s">
        <v>3184</v>
      </c>
    </row>
    <row r="5759" ht="15.95" spans="2:2">
      <c r="B5759" s="122" t="s">
        <v>7618</v>
      </c>
    </row>
    <row r="5760" spans="2:5">
      <c r="B5760" s="15" t="s">
        <v>7619</v>
      </c>
      <c r="C5760" s="15" t="s">
        <v>1543</v>
      </c>
      <c r="D5760" s="15" t="s">
        <v>770</v>
      </c>
      <c r="E5760" s="15" t="s">
        <v>7620</v>
      </c>
    </row>
    <row r="5761" spans="2:5">
      <c r="B5761" s="15" t="s">
        <v>7619</v>
      </c>
      <c r="C5761" s="15" t="s">
        <v>1543</v>
      </c>
      <c r="D5761" s="15" t="s">
        <v>772</v>
      </c>
      <c r="E5761" s="15" t="s">
        <v>7621</v>
      </c>
    </row>
    <row r="5762" ht="15.95" spans="2:2">
      <c r="B5762" s="122" t="s">
        <v>7622</v>
      </c>
    </row>
    <row r="5763" spans="2:5">
      <c r="B5763" s="15" t="s">
        <v>7623</v>
      </c>
      <c r="C5763" s="15" t="s">
        <v>814</v>
      </c>
      <c r="D5763" s="15" t="s">
        <v>635</v>
      </c>
      <c r="E5763" s="15" t="s">
        <v>815</v>
      </c>
    </row>
    <row r="5764" spans="2:5">
      <c r="B5764" s="15" t="s">
        <v>7623</v>
      </c>
      <c r="C5764" s="15" t="s">
        <v>814</v>
      </c>
      <c r="D5764" s="15" t="s">
        <v>659</v>
      </c>
      <c r="E5764" s="15" t="s">
        <v>7624</v>
      </c>
    </row>
    <row r="5765" ht="15.95" spans="2:2">
      <c r="B5765" s="122" t="s">
        <v>7625</v>
      </c>
    </row>
    <row r="5766" spans="2:5">
      <c r="B5766" s="15" t="s">
        <v>7626</v>
      </c>
      <c r="C5766" s="15" t="s">
        <v>7627</v>
      </c>
      <c r="D5766" s="15" t="s">
        <v>770</v>
      </c>
      <c r="E5766" s="15" t="s">
        <v>7628</v>
      </c>
    </row>
    <row r="5767" spans="2:5">
      <c r="B5767" s="15" t="s">
        <v>7626</v>
      </c>
      <c r="C5767" s="15" t="s">
        <v>7627</v>
      </c>
      <c r="D5767" s="15" t="s">
        <v>772</v>
      </c>
      <c r="E5767" s="15" t="s">
        <v>7629</v>
      </c>
    </row>
    <row r="5768" spans="2:5">
      <c r="B5768" s="15" t="s">
        <v>7626</v>
      </c>
      <c r="C5768" s="15" t="s">
        <v>7627</v>
      </c>
      <c r="D5768" s="15" t="s">
        <v>774</v>
      </c>
      <c r="E5768" s="15" t="s">
        <v>7630</v>
      </c>
    </row>
    <row r="5769" spans="2:5">
      <c r="B5769" s="15" t="s">
        <v>7626</v>
      </c>
      <c r="C5769" s="15" t="s">
        <v>7627</v>
      </c>
      <c r="D5769" s="15" t="s">
        <v>828</v>
      </c>
      <c r="E5769" s="15" t="s">
        <v>7631</v>
      </c>
    </row>
    <row r="5770" ht="15.95" spans="2:2">
      <c r="B5770" s="122" t="s">
        <v>7632</v>
      </c>
    </row>
    <row r="5771" spans="2:5">
      <c r="B5771" s="15" t="s">
        <v>7633</v>
      </c>
      <c r="C5771" s="15" t="s">
        <v>7634</v>
      </c>
      <c r="D5771" s="15" t="s">
        <v>1248</v>
      </c>
      <c r="E5771" s="15" t="s">
        <v>4187</v>
      </c>
    </row>
    <row r="5772" spans="2:5">
      <c r="B5772" s="15" t="s">
        <v>7633</v>
      </c>
      <c r="C5772" s="15" t="s">
        <v>7634</v>
      </c>
      <c r="D5772" s="15" t="s">
        <v>4188</v>
      </c>
      <c r="E5772" s="15" t="s">
        <v>4865</v>
      </c>
    </row>
    <row r="5773" spans="2:5">
      <c r="B5773" s="15" t="s">
        <v>7633</v>
      </c>
      <c r="C5773" s="15" t="s">
        <v>7634</v>
      </c>
      <c r="D5773" s="15" t="s">
        <v>4190</v>
      </c>
      <c r="E5773" s="15" t="s">
        <v>4191</v>
      </c>
    </row>
    <row r="5774" spans="2:5">
      <c r="B5774" s="15" t="s">
        <v>7633</v>
      </c>
      <c r="C5774" s="15" t="s">
        <v>7634</v>
      </c>
      <c r="D5774" s="15" t="s">
        <v>4192</v>
      </c>
      <c r="E5774" s="15" t="s">
        <v>4193</v>
      </c>
    </row>
    <row r="5775" spans="2:5">
      <c r="B5775" s="15" t="s">
        <v>7633</v>
      </c>
      <c r="C5775" s="15" t="s">
        <v>7634</v>
      </c>
      <c r="D5775" s="15" t="s">
        <v>4195</v>
      </c>
      <c r="E5775" s="15" t="s">
        <v>7635</v>
      </c>
    </row>
    <row r="5776" spans="2:5">
      <c r="B5776" s="15" t="s">
        <v>7633</v>
      </c>
      <c r="C5776" s="15" t="s">
        <v>7634</v>
      </c>
      <c r="D5776" s="15" t="s">
        <v>7636</v>
      </c>
      <c r="E5776" s="15" t="s">
        <v>7637</v>
      </c>
    </row>
    <row r="5777" spans="2:5">
      <c r="B5777" s="15" t="s">
        <v>7633</v>
      </c>
      <c r="C5777" s="15" t="s">
        <v>7634</v>
      </c>
      <c r="D5777" s="15" t="s">
        <v>4197</v>
      </c>
      <c r="E5777" s="15" t="s">
        <v>1256</v>
      </c>
    </row>
    <row r="5778" spans="2:5">
      <c r="B5778" s="15" t="s">
        <v>7633</v>
      </c>
      <c r="C5778" s="15" t="s">
        <v>7634</v>
      </c>
      <c r="D5778" s="15" t="s">
        <v>4198</v>
      </c>
      <c r="E5778" s="15" t="s">
        <v>7638</v>
      </c>
    </row>
    <row r="5779" spans="2:5">
      <c r="B5779" s="15" t="s">
        <v>7633</v>
      </c>
      <c r="C5779" s="15" t="s">
        <v>7634</v>
      </c>
      <c r="D5779" s="15" t="s">
        <v>4844</v>
      </c>
      <c r="E5779" s="15" t="s">
        <v>4845</v>
      </c>
    </row>
    <row r="5780" spans="2:5">
      <c r="B5780" s="15" t="s">
        <v>7633</v>
      </c>
      <c r="C5780" s="15" t="s">
        <v>7634</v>
      </c>
      <c r="D5780" s="15" t="s">
        <v>4659</v>
      </c>
      <c r="E5780" s="15" t="s">
        <v>4846</v>
      </c>
    </row>
    <row r="5781" spans="2:5">
      <c r="B5781" s="15" t="s">
        <v>7633</v>
      </c>
      <c r="C5781" s="15" t="s">
        <v>7634</v>
      </c>
      <c r="D5781" s="15" t="s">
        <v>4202</v>
      </c>
      <c r="E5781" s="15" t="s">
        <v>4203</v>
      </c>
    </row>
    <row r="5782" spans="2:5">
      <c r="B5782" s="15" t="s">
        <v>7633</v>
      </c>
      <c r="C5782" s="15" t="s">
        <v>7634</v>
      </c>
      <c r="D5782" s="15" t="s">
        <v>4885</v>
      </c>
      <c r="E5782" s="15" t="s">
        <v>7639</v>
      </c>
    </row>
    <row r="5783" ht="15.95" spans="2:2">
      <c r="B5783" s="122" t="s">
        <v>7640</v>
      </c>
    </row>
    <row r="5784" spans="2:5">
      <c r="B5784" s="15" t="s">
        <v>7641</v>
      </c>
      <c r="C5784" s="15" t="s">
        <v>896</v>
      </c>
      <c r="D5784" s="15" t="s">
        <v>770</v>
      </c>
      <c r="E5784" s="15" t="s">
        <v>7642</v>
      </c>
    </row>
    <row r="5785" spans="2:5">
      <c r="B5785" s="15" t="s">
        <v>7641</v>
      </c>
      <c r="C5785" s="15" t="s">
        <v>896</v>
      </c>
      <c r="D5785" s="15" t="s">
        <v>772</v>
      </c>
      <c r="E5785" s="15" t="s">
        <v>7643</v>
      </c>
    </row>
    <row r="5786" spans="2:5">
      <c r="B5786" s="15" t="s">
        <v>7641</v>
      </c>
      <c r="C5786" s="15" t="s">
        <v>896</v>
      </c>
      <c r="D5786" s="15" t="s">
        <v>774</v>
      </c>
      <c r="E5786" s="15" t="s">
        <v>7644</v>
      </c>
    </row>
    <row r="5787" spans="2:5">
      <c r="B5787" s="15" t="s">
        <v>7641</v>
      </c>
      <c r="C5787" s="15" t="s">
        <v>896</v>
      </c>
      <c r="D5787" s="15" t="s">
        <v>828</v>
      </c>
      <c r="E5787" s="15" t="s">
        <v>7645</v>
      </c>
    </row>
    <row r="5788" ht="15.95" spans="2:2">
      <c r="B5788" s="122" t="s">
        <v>7646</v>
      </c>
    </row>
    <row r="5789" spans="2:5">
      <c r="B5789" s="15" t="s">
        <v>7647</v>
      </c>
      <c r="C5789" s="15" t="s">
        <v>7647</v>
      </c>
      <c r="D5789" s="15" t="s">
        <v>723</v>
      </c>
      <c r="E5789" s="15" t="s">
        <v>7648</v>
      </c>
    </row>
    <row r="5790" spans="2:5">
      <c r="B5790" s="15" t="s">
        <v>7647</v>
      </c>
      <c r="C5790" s="15" t="s">
        <v>7647</v>
      </c>
      <c r="D5790" s="15" t="s">
        <v>725</v>
      </c>
      <c r="E5790" s="15" t="s">
        <v>1203</v>
      </c>
    </row>
    <row r="5791" ht="15.95" spans="2:2">
      <c r="B5791" s="122" t="s">
        <v>7649</v>
      </c>
    </row>
    <row r="5792" spans="2:5">
      <c r="B5792" s="15" t="s">
        <v>7650</v>
      </c>
      <c r="C5792" s="15" t="s">
        <v>7651</v>
      </c>
      <c r="D5792" s="15" t="s">
        <v>785</v>
      </c>
      <c r="E5792" s="15" t="s">
        <v>7652</v>
      </c>
    </row>
    <row r="5793" spans="2:5">
      <c r="B5793" s="15" t="s">
        <v>7650</v>
      </c>
      <c r="C5793" s="15" t="s">
        <v>7651</v>
      </c>
      <c r="D5793" s="15" t="s">
        <v>787</v>
      </c>
      <c r="E5793" s="15" t="s">
        <v>7653</v>
      </c>
    </row>
    <row r="5794" spans="2:5">
      <c r="B5794" s="15" t="s">
        <v>7650</v>
      </c>
      <c r="C5794" s="15" t="s">
        <v>7651</v>
      </c>
      <c r="D5794" s="15" t="s">
        <v>789</v>
      </c>
      <c r="E5794" s="15" t="s">
        <v>7654</v>
      </c>
    </row>
    <row r="5795" spans="2:5">
      <c r="B5795" s="15" t="s">
        <v>7650</v>
      </c>
      <c r="C5795" s="15" t="s">
        <v>7651</v>
      </c>
      <c r="D5795" s="15" t="s">
        <v>791</v>
      </c>
      <c r="E5795" s="15" t="s">
        <v>7655</v>
      </c>
    </row>
    <row r="5796" spans="2:5">
      <c r="B5796" s="15" t="s">
        <v>7650</v>
      </c>
      <c r="C5796" s="15" t="s">
        <v>7651</v>
      </c>
      <c r="D5796" s="15" t="s">
        <v>793</v>
      </c>
      <c r="E5796" s="15" t="s">
        <v>7656</v>
      </c>
    </row>
    <row r="5797" spans="2:5">
      <c r="B5797" s="15" t="s">
        <v>7650</v>
      </c>
      <c r="C5797" s="15" t="s">
        <v>7651</v>
      </c>
      <c r="D5797" s="15" t="s">
        <v>795</v>
      </c>
      <c r="E5797" s="15" t="s">
        <v>7657</v>
      </c>
    </row>
    <row r="5798" spans="2:5">
      <c r="B5798" s="15" t="s">
        <v>7650</v>
      </c>
      <c r="C5798" s="15" t="s">
        <v>7651</v>
      </c>
      <c r="D5798" s="15" t="s">
        <v>797</v>
      </c>
      <c r="E5798" s="15" t="s">
        <v>7658</v>
      </c>
    </row>
    <row r="5799" spans="2:5">
      <c r="B5799" s="15" t="s">
        <v>7650</v>
      </c>
      <c r="C5799" s="15" t="s">
        <v>7651</v>
      </c>
      <c r="D5799" s="15" t="s">
        <v>805</v>
      </c>
      <c r="E5799" s="15" t="s">
        <v>7659</v>
      </c>
    </row>
    <row r="5800" spans="2:5">
      <c r="B5800" s="15" t="s">
        <v>7650</v>
      </c>
      <c r="C5800" s="15" t="s">
        <v>7651</v>
      </c>
      <c r="D5800" s="15" t="s">
        <v>5353</v>
      </c>
      <c r="E5800" s="15" t="s">
        <v>7660</v>
      </c>
    </row>
    <row r="5801" spans="2:5">
      <c r="B5801" s="15" t="s">
        <v>7650</v>
      </c>
      <c r="C5801" s="15" t="s">
        <v>7651</v>
      </c>
      <c r="D5801" s="15" t="s">
        <v>3037</v>
      </c>
      <c r="E5801" s="15" t="s">
        <v>7661</v>
      </c>
    </row>
    <row r="5802" spans="2:5">
      <c r="B5802" s="15" t="s">
        <v>7650</v>
      </c>
      <c r="C5802" s="15" t="s">
        <v>7651</v>
      </c>
      <c r="D5802" s="15" t="s">
        <v>2332</v>
      </c>
      <c r="E5802" s="15" t="s">
        <v>7662</v>
      </c>
    </row>
    <row r="5803" spans="2:5">
      <c r="B5803" s="15" t="s">
        <v>7650</v>
      </c>
      <c r="C5803" s="15" t="s">
        <v>7651</v>
      </c>
      <c r="D5803" s="15" t="s">
        <v>2334</v>
      </c>
      <c r="E5803" s="15" t="s">
        <v>7663</v>
      </c>
    </row>
    <row r="5804" spans="2:5">
      <c r="B5804" s="15" t="s">
        <v>7650</v>
      </c>
      <c r="C5804" s="15" t="s">
        <v>7651</v>
      </c>
      <c r="D5804" s="15" t="s">
        <v>4547</v>
      </c>
      <c r="E5804" s="15" t="s">
        <v>7664</v>
      </c>
    </row>
    <row r="5805" spans="2:5">
      <c r="B5805" s="15" t="s">
        <v>7650</v>
      </c>
      <c r="C5805" s="15" t="s">
        <v>7651</v>
      </c>
      <c r="D5805" s="15" t="s">
        <v>4549</v>
      </c>
      <c r="E5805" s="15" t="s">
        <v>7665</v>
      </c>
    </row>
    <row r="5806" spans="2:5">
      <c r="B5806" s="15" t="s">
        <v>7650</v>
      </c>
      <c r="C5806" s="15" t="s">
        <v>7651</v>
      </c>
      <c r="D5806" s="15" t="s">
        <v>7666</v>
      </c>
      <c r="E5806" s="15" t="s">
        <v>7667</v>
      </c>
    </row>
    <row r="5807" spans="2:5">
      <c r="B5807" s="15" t="s">
        <v>7650</v>
      </c>
      <c r="C5807" s="15" t="s">
        <v>7651</v>
      </c>
      <c r="D5807" s="15" t="s">
        <v>7668</v>
      </c>
      <c r="E5807" s="15" t="s">
        <v>7669</v>
      </c>
    </row>
    <row r="5808" spans="2:5">
      <c r="B5808" s="15" t="s">
        <v>7650</v>
      </c>
      <c r="C5808" s="15" t="s">
        <v>7651</v>
      </c>
      <c r="D5808" s="15" t="s">
        <v>7670</v>
      </c>
      <c r="E5808" s="15" t="s">
        <v>7671</v>
      </c>
    </row>
    <row r="5809" spans="2:5">
      <c r="B5809" s="15" t="s">
        <v>7650</v>
      </c>
      <c r="C5809" s="15" t="s">
        <v>7651</v>
      </c>
      <c r="D5809" s="15" t="s">
        <v>7672</v>
      </c>
      <c r="E5809" s="15" t="s">
        <v>7673</v>
      </c>
    </row>
    <row r="5810" spans="2:5">
      <c r="B5810" s="15" t="s">
        <v>7650</v>
      </c>
      <c r="C5810" s="15" t="s">
        <v>7651</v>
      </c>
      <c r="D5810" s="15" t="s">
        <v>7674</v>
      </c>
      <c r="E5810" s="15" t="s">
        <v>7675</v>
      </c>
    </row>
    <row r="5811" spans="2:5">
      <c r="B5811" s="15" t="s">
        <v>7650</v>
      </c>
      <c r="C5811" s="15" t="s">
        <v>7651</v>
      </c>
      <c r="D5811" s="15" t="s">
        <v>3042</v>
      </c>
      <c r="E5811" s="15" t="s">
        <v>7676</v>
      </c>
    </row>
    <row r="5812" spans="2:5">
      <c r="B5812" s="15" t="s">
        <v>7650</v>
      </c>
      <c r="C5812" s="15" t="s">
        <v>7651</v>
      </c>
      <c r="D5812" s="15" t="s">
        <v>7677</v>
      </c>
      <c r="E5812" s="15" t="s">
        <v>7678</v>
      </c>
    </row>
    <row r="5813" spans="2:5">
      <c r="B5813" s="15" t="s">
        <v>7650</v>
      </c>
      <c r="C5813" s="15" t="s">
        <v>7651</v>
      </c>
      <c r="D5813" s="15" t="s">
        <v>7679</v>
      </c>
      <c r="E5813" s="15" t="s">
        <v>7680</v>
      </c>
    </row>
    <row r="5814" spans="2:5">
      <c r="B5814" s="15" t="s">
        <v>7650</v>
      </c>
      <c r="C5814" s="15" t="s">
        <v>7651</v>
      </c>
      <c r="D5814" s="15" t="s">
        <v>7681</v>
      </c>
      <c r="E5814" s="15" t="s">
        <v>7682</v>
      </c>
    </row>
    <row r="5815" spans="2:5">
      <c r="B5815" s="15" t="s">
        <v>7650</v>
      </c>
      <c r="C5815" s="15" t="s">
        <v>7651</v>
      </c>
      <c r="D5815" s="15" t="s">
        <v>7683</v>
      </c>
      <c r="E5815" s="15" t="s">
        <v>7684</v>
      </c>
    </row>
    <row r="5816" spans="2:5">
      <c r="B5816" s="15" t="s">
        <v>7650</v>
      </c>
      <c r="C5816" s="15" t="s">
        <v>7651</v>
      </c>
      <c r="D5816" s="15" t="s">
        <v>7685</v>
      </c>
      <c r="E5816" s="15" t="s">
        <v>7686</v>
      </c>
    </row>
    <row r="5817" spans="2:5">
      <c r="B5817" s="15" t="s">
        <v>7650</v>
      </c>
      <c r="C5817" s="15" t="s">
        <v>7651</v>
      </c>
      <c r="D5817" s="15" t="s">
        <v>7687</v>
      </c>
      <c r="E5817" s="15" t="s">
        <v>7688</v>
      </c>
    </row>
    <row r="5818" spans="2:5">
      <c r="B5818" s="15" t="s">
        <v>7650</v>
      </c>
      <c r="C5818" s="15" t="s">
        <v>7651</v>
      </c>
      <c r="D5818" s="15" t="s">
        <v>7689</v>
      </c>
      <c r="E5818" s="15" t="s">
        <v>7690</v>
      </c>
    </row>
    <row r="5819" spans="2:5">
      <c r="B5819" s="15" t="s">
        <v>7650</v>
      </c>
      <c r="C5819" s="15" t="s">
        <v>7651</v>
      </c>
      <c r="D5819" s="15" t="s">
        <v>7691</v>
      </c>
      <c r="E5819" s="15" t="s">
        <v>7692</v>
      </c>
    </row>
    <row r="5820" spans="2:5">
      <c r="B5820" s="15" t="s">
        <v>7650</v>
      </c>
      <c r="C5820" s="15" t="s">
        <v>7651</v>
      </c>
      <c r="D5820" s="15" t="s">
        <v>7693</v>
      </c>
      <c r="E5820" s="15" t="s">
        <v>7694</v>
      </c>
    </row>
    <row r="5821" spans="2:5">
      <c r="B5821" s="15" t="s">
        <v>7650</v>
      </c>
      <c r="C5821" s="15" t="s">
        <v>7651</v>
      </c>
      <c r="D5821" s="15" t="s">
        <v>6610</v>
      </c>
      <c r="E5821" s="15" t="s">
        <v>7695</v>
      </c>
    </row>
    <row r="5822" spans="2:5">
      <c r="B5822" s="15" t="s">
        <v>7650</v>
      </c>
      <c r="C5822" s="15" t="s">
        <v>7651</v>
      </c>
      <c r="D5822" s="15" t="s">
        <v>6611</v>
      </c>
      <c r="E5822" s="15" t="s">
        <v>7696</v>
      </c>
    </row>
    <row r="5823" spans="2:5">
      <c r="B5823" s="15" t="s">
        <v>7650</v>
      </c>
      <c r="C5823" s="15" t="s">
        <v>7651</v>
      </c>
      <c r="D5823" s="15" t="s">
        <v>7697</v>
      </c>
      <c r="E5823" s="15" t="s">
        <v>7698</v>
      </c>
    </row>
    <row r="5824" spans="2:5">
      <c r="B5824" s="15" t="s">
        <v>7650</v>
      </c>
      <c r="C5824" s="15" t="s">
        <v>7651</v>
      </c>
      <c r="D5824" s="15" t="s">
        <v>7699</v>
      </c>
      <c r="E5824" s="15" t="s">
        <v>7700</v>
      </c>
    </row>
    <row r="5825" spans="2:5">
      <c r="B5825" s="15" t="s">
        <v>7650</v>
      </c>
      <c r="C5825" s="15" t="s">
        <v>7651</v>
      </c>
      <c r="D5825" s="15" t="s">
        <v>7701</v>
      </c>
      <c r="E5825" s="15" t="s">
        <v>7702</v>
      </c>
    </row>
    <row r="5826" spans="2:5">
      <c r="B5826" s="15" t="s">
        <v>7650</v>
      </c>
      <c r="C5826" s="15" t="s">
        <v>7651</v>
      </c>
      <c r="D5826" s="15" t="s">
        <v>7703</v>
      </c>
      <c r="E5826" s="15" t="s">
        <v>7704</v>
      </c>
    </row>
    <row r="5827" spans="2:5">
      <c r="B5827" s="15" t="s">
        <v>7650</v>
      </c>
      <c r="C5827" s="15" t="s">
        <v>7651</v>
      </c>
      <c r="D5827" s="15" t="s">
        <v>7705</v>
      </c>
      <c r="E5827" s="15" t="s">
        <v>7706</v>
      </c>
    </row>
    <row r="5828" spans="2:5">
      <c r="B5828" s="15" t="s">
        <v>7650</v>
      </c>
      <c r="C5828" s="15" t="s">
        <v>7651</v>
      </c>
      <c r="D5828" s="15" t="s">
        <v>7707</v>
      </c>
      <c r="E5828" s="15" t="s">
        <v>7708</v>
      </c>
    </row>
    <row r="5829" spans="2:5">
      <c r="B5829" s="15" t="s">
        <v>7650</v>
      </c>
      <c r="C5829" s="15" t="s">
        <v>7651</v>
      </c>
      <c r="D5829" s="15" t="s">
        <v>7709</v>
      </c>
      <c r="E5829" s="15" t="s">
        <v>7710</v>
      </c>
    </row>
    <row r="5830" spans="2:5">
      <c r="B5830" s="15" t="s">
        <v>7650</v>
      </c>
      <c r="C5830" s="15" t="s">
        <v>7651</v>
      </c>
      <c r="D5830" s="15" t="s">
        <v>7711</v>
      </c>
      <c r="E5830" s="15" t="s">
        <v>7712</v>
      </c>
    </row>
    <row r="5831" spans="2:5">
      <c r="B5831" s="15" t="s">
        <v>7650</v>
      </c>
      <c r="C5831" s="15" t="s">
        <v>7651</v>
      </c>
      <c r="D5831" s="15" t="s">
        <v>7713</v>
      </c>
      <c r="E5831" s="15" t="s">
        <v>7714</v>
      </c>
    </row>
    <row r="5832" spans="2:5">
      <c r="B5832" s="15" t="s">
        <v>7650</v>
      </c>
      <c r="C5832" s="15" t="s">
        <v>7651</v>
      </c>
      <c r="D5832" s="15" t="s">
        <v>7715</v>
      </c>
      <c r="E5832" s="15" t="s">
        <v>7716</v>
      </c>
    </row>
    <row r="5833" spans="2:5">
      <c r="B5833" s="15" t="s">
        <v>7650</v>
      </c>
      <c r="C5833" s="15" t="s">
        <v>7651</v>
      </c>
      <c r="D5833" s="15" t="s">
        <v>7717</v>
      </c>
      <c r="E5833" s="15" t="s">
        <v>7718</v>
      </c>
    </row>
    <row r="5834" spans="2:5">
      <c r="B5834" s="15" t="s">
        <v>7650</v>
      </c>
      <c r="C5834" s="15" t="s">
        <v>7651</v>
      </c>
      <c r="D5834" s="15" t="s">
        <v>7719</v>
      </c>
      <c r="E5834" s="15" t="s">
        <v>7720</v>
      </c>
    </row>
    <row r="5835" spans="2:5">
      <c r="B5835" s="15" t="s">
        <v>7650</v>
      </c>
      <c r="C5835" s="15" t="s">
        <v>7651</v>
      </c>
      <c r="D5835" s="15" t="s">
        <v>7721</v>
      </c>
      <c r="E5835" s="15" t="s">
        <v>7722</v>
      </c>
    </row>
    <row r="5836" spans="2:5">
      <c r="B5836" s="15" t="s">
        <v>7650</v>
      </c>
      <c r="C5836" s="15" t="s">
        <v>7651</v>
      </c>
      <c r="D5836" s="15" t="s">
        <v>7723</v>
      </c>
      <c r="E5836" s="15" t="s">
        <v>235</v>
      </c>
    </row>
    <row r="5837" ht="15.95" spans="2:2">
      <c r="B5837" s="122" t="s">
        <v>7724</v>
      </c>
    </row>
    <row r="5838" spans="2:5">
      <c r="B5838" s="15" t="s">
        <v>7725</v>
      </c>
      <c r="C5838" s="15" t="s">
        <v>7726</v>
      </c>
      <c r="D5838" s="15" t="s">
        <v>770</v>
      </c>
      <c r="E5838" s="15" t="s">
        <v>7727</v>
      </c>
    </row>
    <row r="5839" spans="2:5">
      <c r="B5839" s="15" t="s">
        <v>7725</v>
      </c>
      <c r="C5839" s="15" t="s">
        <v>7726</v>
      </c>
      <c r="D5839" s="15" t="s">
        <v>772</v>
      </c>
      <c r="E5839" s="15" t="s">
        <v>6915</v>
      </c>
    </row>
    <row r="5840" spans="2:5">
      <c r="B5840" s="15" t="s">
        <v>7725</v>
      </c>
      <c r="C5840" s="15" t="s">
        <v>7726</v>
      </c>
      <c r="D5840" s="15" t="s">
        <v>774</v>
      </c>
      <c r="E5840" s="15" t="s">
        <v>6916</v>
      </c>
    </row>
    <row r="5841" spans="2:5">
      <c r="B5841" s="15" t="s">
        <v>7725</v>
      </c>
      <c r="C5841" s="15" t="s">
        <v>7726</v>
      </c>
      <c r="D5841" s="15" t="s">
        <v>828</v>
      </c>
      <c r="E5841" s="15" t="s">
        <v>7728</v>
      </c>
    </row>
    <row r="5842" spans="2:5">
      <c r="B5842" s="15" t="s">
        <v>7725</v>
      </c>
      <c r="C5842" s="15" t="s">
        <v>7726</v>
      </c>
      <c r="D5842" s="15" t="s">
        <v>901</v>
      </c>
      <c r="E5842" s="15" t="s">
        <v>7729</v>
      </c>
    </row>
    <row r="5843" ht="15.95" spans="2:2">
      <c r="B5843" s="122" t="s">
        <v>7730</v>
      </c>
    </row>
    <row r="5844" spans="2:5">
      <c r="B5844" s="15" t="s">
        <v>7731</v>
      </c>
      <c r="C5844" s="15" t="s">
        <v>7732</v>
      </c>
      <c r="D5844" s="15" t="s">
        <v>635</v>
      </c>
      <c r="E5844" s="15" t="s">
        <v>6537</v>
      </c>
    </row>
    <row r="5845" spans="2:5">
      <c r="B5845" s="15" t="s">
        <v>7731</v>
      </c>
      <c r="C5845" s="15" t="s">
        <v>7732</v>
      </c>
      <c r="D5845" s="15" t="s">
        <v>659</v>
      </c>
      <c r="E5845" s="15" t="s">
        <v>6538</v>
      </c>
    </row>
    <row r="5846" spans="2:5">
      <c r="B5846" s="15" t="s">
        <v>7731</v>
      </c>
      <c r="C5846" s="15" t="s">
        <v>7732</v>
      </c>
      <c r="D5846" s="15" t="s">
        <v>679</v>
      </c>
      <c r="E5846" s="15" t="s">
        <v>948</v>
      </c>
    </row>
    <row r="5847" ht="15.95" spans="2:2">
      <c r="B5847" s="122" t="s">
        <v>7733</v>
      </c>
    </row>
    <row r="5848" spans="2:5">
      <c r="B5848" s="15" t="s">
        <v>7734</v>
      </c>
      <c r="C5848" s="15" t="s">
        <v>7735</v>
      </c>
      <c r="D5848" s="15" t="s">
        <v>933</v>
      </c>
      <c r="E5848" s="15" t="s">
        <v>2585</v>
      </c>
    </row>
    <row r="5849" spans="2:5">
      <c r="B5849" s="15" t="s">
        <v>7734</v>
      </c>
      <c r="C5849" s="15" t="s">
        <v>7735</v>
      </c>
      <c r="D5849" s="15" t="s">
        <v>917</v>
      </c>
      <c r="E5849" s="15" t="s">
        <v>7736</v>
      </c>
    </row>
    <row r="5850" spans="2:5">
      <c r="B5850" s="15" t="s">
        <v>7734</v>
      </c>
      <c r="C5850" s="15" t="s">
        <v>7735</v>
      </c>
      <c r="D5850" s="15" t="s">
        <v>919</v>
      </c>
      <c r="E5850" s="15" t="s">
        <v>7737</v>
      </c>
    </row>
    <row r="5851" spans="2:5">
      <c r="B5851" s="15" t="s">
        <v>7734</v>
      </c>
      <c r="C5851" s="15" t="s">
        <v>7735</v>
      </c>
      <c r="D5851" s="15" t="s">
        <v>1091</v>
      </c>
      <c r="E5851" s="15" t="s">
        <v>7738</v>
      </c>
    </row>
    <row r="5852" spans="2:5">
      <c r="B5852" s="15" t="s">
        <v>7734</v>
      </c>
      <c r="C5852" s="15" t="s">
        <v>7735</v>
      </c>
      <c r="D5852" s="15" t="s">
        <v>921</v>
      </c>
      <c r="E5852" s="15" t="s">
        <v>7739</v>
      </c>
    </row>
    <row r="5853" spans="2:5">
      <c r="B5853" s="15" t="s">
        <v>7734</v>
      </c>
      <c r="C5853" s="15" t="s">
        <v>7735</v>
      </c>
      <c r="D5853" s="15" t="s">
        <v>1095</v>
      </c>
      <c r="E5853" s="15" t="s">
        <v>7740</v>
      </c>
    </row>
    <row r="5854" ht="15.95" spans="2:2">
      <c r="B5854" s="122" t="s">
        <v>7741</v>
      </c>
    </row>
    <row r="5855" spans="2:5">
      <c r="B5855" s="15" t="s">
        <v>7742</v>
      </c>
      <c r="C5855" s="15" t="s">
        <v>7743</v>
      </c>
      <c r="D5855" s="15" t="s">
        <v>770</v>
      </c>
      <c r="E5855" s="15" t="s">
        <v>7744</v>
      </c>
    </row>
    <row r="5856" spans="2:5">
      <c r="B5856" s="15" t="s">
        <v>7742</v>
      </c>
      <c r="C5856" s="15" t="s">
        <v>7743</v>
      </c>
      <c r="D5856" s="15" t="s">
        <v>772</v>
      </c>
      <c r="E5856" s="15" t="s">
        <v>7745</v>
      </c>
    </row>
    <row r="5857" spans="2:5">
      <c r="B5857" s="15" t="s">
        <v>7742</v>
      </c>
      <c r="C5857" s="15" t="s">
        <v>7743</v>
      </c>
      <c r="D5857" s="15" t="s">
        <v>774</v>
      </c>
      <c r="E5857" s="15" t="s">
        <v>7746</v>
      </c>
    </row>
    <row r="5858" ht="15.95" spans="2:2">
      <c r="B5858" s="122" t="s">
        <v>7747</v>
      </c>
    </row>
    <row r="5859" spans="2:5">
      <c r="B5859" s="15" t="s">
        <v>7748</v>
      </c>
      <c r="C5859" s="15" t="s">
        <v>7749</v>
      </c>
      <c r="D5859" s="15" t="s">
        <v>7750</v>
      </c>
      <c r="E5859" s="15" t="s">
        <v>7750</v>
      </c>
    </row>
    <row r="5860" spans="2:5">
      <c r="B5860" s="15" t="s">
        <v>7748</v>
      </c>
      <c r="C5860" s="15" t="s">
        <v>7749</v>
      </c>
      <c r="D5860" s="15" t="s">
        <v>7751</v>
      </c>
      <c r="E5860" s="15" t="s">
        <v>7751</v>
      </c>
    </row>
    <row r="5861" spans="2:5">
      <c r="B5861" s="15" t="s">
        <v>7748</v>
      </c>
      <c r="C5861" s="15" t="s">
        <v>7749</v>
      </c>
      <c r="D5861" s="15" t="s">
        <v>7752</v>
      </c>
      <c r="E5861" s="15" t="s">
        <v>7752</v>
      </c>
    </row>
    <row r="5862" spans="2:5">
      <c r="B5862" s="15" t="s">
        <v>7748</v>
      </c>
      <c r="C5862" s="15" t="s">
        <v>7749</v>
      </c>
      <c r="D5862" s="15" t="s">
        <v>7753</v>
      </c>
      <c r="E5862" s="15" t="s">
        <v>7753</v>
      </c>
    </row>
    <row r="5863" spans="2:5">
      <c r="B5863" s="15" t="s">
        <v>7748</v>
      </c>
      <c r="C5863" s="15" t="s">
        <v>7749</v>
      </c>
      <c r="D5863" s="15" t="s">
        <v>7754</v>
      </c>
      <c r="E5863" s="15" t="s">
        <v>7754</v>
      </c>
    </row>
    <row r="5864" spans="2:5">
      <c r="B5864" s="15" t="s">
        <v>7748</v>
      </c>
      <c r="C5864" s="15" t="s">
        <v>7749</v>
      </c>
      <c r="D5864" s="15" t="s">
        <v>7755</v>
      </c>
      <c r="E5864" s="15" t="s">
        <v>7755</v>
      </c>
    </row>
    <row r="5865" spans="2:5">
      <c r="B5865" s="15" t="s">
        <v>7748</v>
      </c>
      <c r="C5865" s="15" t="s">
        <v>7749</v>
      </c>
      <c r="D5865" s="15" t="s">
        <v>7756</v>
      </c>
      <c r="E5865" s="15" t="s">
        <v>7756</v>
      </c>
    </row>
    <row r="5866" spans="2:5">
      <c r="B5866" s="15" t="s">
        <v>7748</v>
      </c>
      <c r="C5866" s="15" t="s">
        <v>7749</v>
      </c>
      <c r="D5866" s="15" t="s">
        <v>7757</v>
      </c>
      <c r="E5866" s="15" t="s">
        <v>7757</v>
      </c>
    </row>
    <row r="5867" spans="2:5">
      <c r="B5867" s="15" t="s">
        <v>7748</v>
      </c>
      <c r="C5867" s="15" t="s">
        <v>7749</v>
      </c>
      <c r="D5867" s="15" t="s">
        <v>7758</v>
      </c>
      <c r="E5867" s="15" t="s">
        <v>7758</v>
      </c>
    </row>
    <row r="5868" ht="15.95" spans="2:2">
      <c r="B5868" s="122" t="s">
        <v>7759</v>
      </c>
    </row>
    <row r="5869" spans="2:5">
      <c r="B5869" s="15" t="s">
        <v>7760</v>
      </c>
      <c r="C5869" s="15" t="s">
        <v>7761</v>
      </c>
      <c r="D5869" s="15" t="s">
        <v>635</v>
      </c>
      <c r="E5869" s="15" t="s">
        <v>7762</v>
      </c>
    </row>
    <row r="5870" spans="2:5">
      <c r="B5870" s="15" t="s">
        <v>7760</v>
      </c>
      <c r="C5870" s="15" t="s">
        <v>7761</v>
      </c>
      <c r="D5870" s="15" t="s">
        <v>659</v>
      </c>
      <c r="E5870" s="15" t="s">
        <v>7763</v>
      </c>
    </row>
    <row r="5871" spans="2:5">
      <c r="B5871" s="15" t="s">
        <v>7760</v>
      </c>
      <c r="C5871" s="15" t="s">
        <v>7761</v>
      </c>
      <c r="D5871" s="15" t="s">
        <v>679</v>
      </c>
      <c r="E5871" s="15" t="s">
        <v>7764</v>
      </c>
    </row>
    <row r="5872" ht="15.95" spans="2:2">
      <c r="B5872" s="122" t="s">
        <v>7765</v>
      </c>
    </row>
    <row r="5873" spans="2:5">
      <c r="B5873" s="15" t="s">
        <v>7766</v>
      </c>
      <c r="C5873" s="15" t="s">
        <v>7767</v>
      </c>
      <c r="D5873" s="15" t="s">
        <v>723</v>
      </c>
      <c r="E5873" s="15" t="s">
        <v>7768</v>
      </c>
    </row>
    <row r="5874" spans="2:5">
      <c r="B5874" s="15" t="s">
        <v>7766</v>
      </c>
      <c r="C5874" s="15" t="s">
        <v>7767</v>
      </c>
      <c r="D5874" s="15" t="s">
        <v>725</v>
      </c>
      <c r="E5874" s="15" t="s">
        <v>7769</v>
      </c>
    </row>
    <row r="5875" spans="2:5">
      <c r="B5875" s="15" t="s">
        <v>7766</v>
      </c>
      <c r="C5875" s="15" t="s">
        <v>7767</v>
      </c>
      <c r="D5875" s="15" t="s">
        <v>727</v>
      </c>
      <c r="E5875" s="15" t="s">
        <v>7770</v>
      </c>
    </row>
    <row r="5876" ht="15.95" spans="2:2">
      <c r="B5876" s="122" t="s">
        <v>7771</v>
      </c>
    </row>
    <row r="5877" spans="2:5">
      <c r="B5877" s="15" t="s">
        <v>7772</v>
      </c>
      <c r="C5877" s="15" t="s">
        <v>7773</v>
      </c>
      <c r="D5877" s="15" t="s">
        <v>1432</v>
      </c>
      <c r="E5877" s="15" t="s">
        <v>953</v>
      </c>
    </row>
    <row r="5878" spans="2:5">
      <c r="B5878" s="15" t="s">
        <v>7772</v>
      </c>
      <c r="C5878" s="15" t="s">
        <v>7773</v>
      </c>
      <c r="D5878" s="15" t="s">
        <v>723</v>
      </c>
      <c r="E5878" s="15" t="s">
        <v>7774</v>
      </c>
    </row>
    <row r="5879" spans="2:5">
      <c r="B5879" s="15" t="s">
        <v>7772</v>
      </c>
      <c r="C5879" s="15" t="s">
        <v>7773</v>
      </c>
      <c r="D5879" s="15" t="s">
        <v>725</v>
      </c>
      <c r="E5879" s="15" t="s">
        <v>7775</v>
      </c>
    </row>
    <row r="5880" spans="2:5">
      <c r="B5880" s="15" t="s">
        <v>7772</v>
      </c>
      <c r="C5880" s="15" t="s">
        <v>7773</v>
      </c>
      <c r="D5880" s="15" t="s">
        <v>727</v>
      </c>
      <c r="E5880" s="15" t="s">
        <v>7776</v>
      </c>
    </row>
    <row r="5881" spans="2:5">
      <c r="B5881" s="15" t="s">
        <v>7772</v>
      </c>
      <c r="C5881" s="15" t="s">
        <v>7773</v>
      </c>
      <c r="D5881" s="15" t="s">
        <v>729</v>
      </c>
      <c r="E5881" s="15" t="s">
        <v>7777</v>
      </c>
    </row>
    <row r="5882" ht="15.95" spans="2:2">
      <c r="B5882" s="122" t="s">
        <v>7778</v>
      </c>
    </row>
    <row r="5883" spans="2:5">
      <c r="B5883" s="15" t="s">
        <v>7779</v>
      </c>
      <c r="C5883" s="15" t="s">
        <v>7780</v>
      </c>
      <c r="D5883" s="15" t="s">
        <v>1267</v>
      </c>
      <c r="E5883" s="15" t="s">
        <v>1355</v>
      </c>
    </row>
    <row r="5884" spans="2:5">
      <c r="B5884" s="15" t="s">
        <v>7779</v>
      </c>
      <c r="C5884" s="15" t="s">
        <v>7780</v>
      </c>
      <c r="D5884" s="15" t="s">
        <v>1269</v>
      </c>
      <c r="E5884" s="15" t="s">
        <v>1356</v>
      </c>
    </row>
    <row r="5885" ht="15.95" spans="2:2">
      <c r="B5885" s="122" t="s">
        <v>7781</v>
      </c>
    </row>
    <row r="5886" spans="2:5">
      <c r="B5886" s="15" t="s">
        <v>7782</v>
      </c>
      <c r="C5886" s="15" t="s">
        <v>7783</v>
      </c>
      <c r="D5886" s="15" t="s">
        <v>917</v>
      </c>
      <c r="E5886" s="15" t="s">
        <v>1504</v>
      </c>
    </row>
    <row r="5887" spans="2:5">
      <c r="B5887" s="15" t="s">
        <v>7782</v>
      </c>
      <c r="C5887" s="15" t="s">
        <v>7783</v>
      </c>
      <c r="D5887" s="15" t="s">
        <v>919</v>
      </c>
      <c r="E5887" s="15" t="s">
        <v>1505</v>
      </c>
    </row>
    <row r="5888" spans="2:5">
      <c r="B5888" s="15" t="s">
        <v>7782</v>
      </c>
      <c r="C5888" s="15" t="s">
        <v>7783</v>
      </c>
      <c r="D5888" s="15" t="s">
        <v>921</v>
      </c>
      <c r="E5888" s="15" t="s">
        <v>1506</v>
      </c>
    </row>
    <row r="5889" spans="2:5">
      <c r="B5889" s="15" t="s">
        <v>7782</v>
      </c>
      <c r="C5889" s="15" t="s">
        <v>7783</v>
      </c>
      <c r="D5889" s="15" t="s">
        <v>923</v>
      </c>
      <c r="E5889" s="15" t="s">
        <v>1507</v>
      </c>
    </row>
    <row r="5890" ht="15.95" spans="2:2">
      <c r="B5890" s="122" t="s">
        <v>7784</v>
      </c>
    </row>
    <row r="5891" spans="2:5">
      <c r="B5891" s="15" t="s">
        <v>7785</v>
      </c>
      <c r="C5891" s="15" t="s">
        <v>896</v>
      </c>
      <c r="D5891" s="15" t="s">
        <v>770</v>
      </c>
      <c r="E5891" s="15" t="s">
        <v>1201</v>
      </c>
    </row>
    <row r="5892" spans="2:5">
      <c r="B5892" s="15" t="s">
        <v>7785</v>
      </c>
      <c r="C5892" s="15" t="s">
        <v>896</v>
      </c>
      <c r="D5892" s="15" t="s">
        <v>772</v>
      </c>
      <c r="E5892" s="15" t="s">
        <v>1203</v>
      </c>
    </row>
    <row r="5893" spans="2:5">
      <c r="B5893" s="15" t="s">
        <v>7785</v>
      </c>
      <c r="C5893" s="15" t="s">
        <v>896</v>
      </c>
      <c r="D5893" s="15" t="s">
        <v>774</v>
      </c>
      <c r="E5893" s="15" t="s">
        <v>3413</v>
      </c>
    </row>
    <row r="5894" ht="15.95" spans="2:2">
      <c r="B5894" s="122" t="s">
        <v>7786</v>
      </c>
    </row>
    <row r="5895" spans="2:5">
      <c r="B5895" s="15" t="s">
        <v>7787</v>
      </c>
      <c r="C5895" s="15" t="s">
        <v>896</v>
      </c>
      <c r="D5895" s="15" t="s">
        <v>770</v>
      </c>
      <c r="E5895" s="15" t="s">
        <v>1712</v>
      </c>
    </row>
    <row r="5896" spans="2:5">
      <c r="B5896" s="15" t="s">
        <v>7787</v>
      </c>
      <c r="C5896" s="15" t="s">
        <v>896</v>
      </c>
      <c r="D5896" s="15" t="s">
        <v>772</v>
      </c>
      <c r="E5896" s="15" t="s">
        <v>1203</v>
      </c>
    </row>
    <row r="5897" spans="2:5">
      <c r="B5897" s="15" t="s">
        <v>7787</v>
      </c>
      <c r="C5897" s="15" t="s">
        <v>896</v>
      </c>
      <c r="D5897" s="15" t="s">
        <v>774</v>
      </c>
      <c r="E5897" s="15" t="s">
        <v>1713</v>
      </c>
    </row>
    <row r="5898" ht="15.95" spans="2:2">
      <c r="B5898" s="122" t="s">
        <v>7788</v>
      </c>
    </row>
    <row r="5899" spans="2:5">
      <c r="B5899" s="15" t="s">
        <v>7789</v>
      </c>
      <c r="C5899" s="15" t="s">
        <v>7789</v>
      </c>
      <c r="D5899" s="15" t="s">
        <v>770</v>
      </c>
      <c r="E5899" s="15" t="s">
        <v>7790</v>
      </c>
    </row>
    <row r="5900" spans="2:5">
      <c r="B5900" s="15" t="s">
        <v>7789</v>
      </c>
      <c r="C5900" s="15" t="s">
        <v>7789</v>
      </c>
      <c r="D5900" s="15" t="s">
        <v>772</v>
      </c>
      <c r="E5900" s="15" t="s">
        <v>7791</v>
      </c>
    </row>
    <row r="5901" spans="2:5">
      <c r="B5901" s="15" t="s">
        <v>7789</v>
      </c>
      <c r="C5901" s="15" t="s">
        <v>7789</v>
      </c>
      <c r="D5901" s="15" t="s">
        <v>774</v>
      </c>
      <c r="E5901" s="15" t="s">
        <v>7792</v>
      </c>
    </row>
    <row r="5902" spans="2:5">
      <c r="B5902" s="15" t="s">
        <v>7789</v>
      </c>
      <c r="C5902" s="15" t="s">
        <v>7789</v>
      </c>
      <c r="D5902" s="15" t="s">
        <v>828</v>
      </c>
      <c r="E5902" s="15" t="s">
        <v>7793</v>
      </c>
    </row>
    <row r="5903" ht="15.95" spans="2:2">
      <c r="B5903" s="122" t="s">
        <v>7794</v>
      </c>
    </row>
    <row r="5904" spans="2:5">
      <c r="B5904" s="15" t="s">
        <v>7795</v>
      </c>
      <c r="C5904" s="15" t="s">
        <v>7796</v>
      </c>
      <c r="D5904" s="15" t="s">
        <v>6610</v>
      </c>
      <c r="E5904" s="15" t="s">
        <v>7797</v>
      </c>
    </row>
    <row r="5905" spans="2:5">
      <c r="B5905" s="15" t="s">
        <v>7795</v>
      </c>
      <c r="C5905" s="15" t="s">
        <v>7796</v>
      </c>
      <c r="D5905" s="15" t="s">
        <v>6611</v>
      </c>
      <c r="E5905" s="15" t="s">
        <v>5941</v>
      </c>
    </row>
    <row r="5906" spans="2:5">
      <c r="B5906" s="15" t="s">
        <v>7795</v>
      </c>
      <c r="C5906" s="15" t="s">
        <v>7796</v>
      </c>
      <c r="D5906" s="15" t="s">
        <v>7697</v>
      </c>
      <c r="E5906" s="15" t="s">
        <v>7798</v>
      </c>
    </row>
    <row r="5907" ht="15.95" spans="2:2">
      <c r="B5907" s="122" t="s">
        <v>7799</v>
      </c>
    </row>
    <row r="5908" spans="2:5">
      <c r="B5908" s="15" t="s">
        <v>7800</v>
      </c>
      <c r="C5908" s="15" t="s">
        <v>7801</v>
      </c>
      <c r="D5908" s="15" t="s">
        <v>1267</v>
      </c>
      <c r="E5908" s="15" t="s">
        <v>1268</v>
      </c>
    </row>
    <row r="5909" spans="2:5">
      <c r="B5909" s="15" t="s">
        <v>7800</v>
      </c>
      <c r="C5909" s="15" t="s">
        <v>7801</v>
      </c>
      <c r="D5909" s="15" t="s">
        <v>1269</v>
      </c>
      <c r="E5909" s="15" t="s">
        <v>1270</v>
      </c>
    </row>
    <row r="5910" ht="15.95" spans="2:2">
      <c r="B5910" s="122" t="s">
        <v>7802</v>
      </c>
    </row>
    <row r="5911" spans="2:5">
      <c r="B5911" s="15" t="s">
        <v>7803</v>
      </c>
      <c r="C5911" s="15" t="s">
        <v>7804</v>
      </c>
      <c r="D5911" s="15" t="s">
        <v>917</v>
      </c>
      <c r="E5911" s="15" t="s">
        <v>953</v>
      </c>
    </row>
    <row r="5912" spans="2:5">
      <c r="B5912" s="15" t="s">
        <v>7803</v>
      </c>
      <c r="C5912" s="15" t="s">
        <v>7804</v>
      </c>
      <c r="D5912" s="15" t="s">
        <v>919</v>
      </c>
      <c r="E5912" s="15" t="s">
        <v>954</v>
      </c>
    </row>
    <row r="5913" spans="2:5">
      <c r="B5913" s="15" t="s">
        <v>7803</v>
      </c>
      <c r="C5913" s="15" t="s">
        <v>7804</v>
      </c>
      <c r="D5913" s="15" t="s">
        <v>955</v>
      </c>
      <c r="E5913" s="15" t="s">
        <v>956</v>
      </c>
    </row>
    <row r="5914" ht="15.95" spans="2:2">
      <c r="B5914" s="122" t="s">
        <v>7805</v>
      </c>
    </row>
    <row r="5915" spans="2:5">
      <c r="B5915" s="15" t="s">
        <v>7806</v>
      </c>
      <c r="C5915" s="15" t="s">
        <v>7807</v>
      </c>
      <c r="D5915" s="15" t="s">
        <v>770</v>
      </c>
      <c r="E5915" s="15" t="s">
        <v>833</v>
      </c>
    </row>
    <row r="5916" spans="2:5">
      <c r="B5916" s="15" t="s">
        <v>7806</v>
      </c>
      <c r="C5916" s="15" t="s">
        <v>7807</v>
      </c>
      <c r="D5916" s="15" t="s">
        <v>772</v>
      </c>
      <c r="E5916" s="15" t="s">
        <v>835</v>
      </c>
    </row>
    <row r="5917" spans="2:5">
      <c r="B5917" s="15" t="s">
        <v>7806</v>
      </c>
      <c r="C5917" s="15" t="s">
        <v>7807</v>
      </c>
      <c r="D5917" s="15" t="s">
        <v>774</v>
      </c>
      <c r="E5917" s="15" t="s">
        <v>839</v>
      </c>
    </row>
    <row r="5918" spans="2:5">
      <c r="B5918" s="15" t="s">
        <v>7806</v>
      </c>
      <c r="C5918" s="15" t="s">
        <v>7807</v>
      </c>
      <c r="D5918" s="15" t="s">
        <v>1059</v>
      </c>
      <c r="E5918" s="15" t="s">
        <v>845</v>
      </c>
    </row>
    <row r="5919" spans="2:5">
      <c r="B5919" s="15" t="s">
        <v>7806</v>
      </c>
      <c r="C5919" s="15" t="s">
        <v>7807</v>
      </c>
      <c r="D5919" s="15" t="s">
        <v>1061</v>
      </c>
      <c r="E5919" s="15" t="s">
        <v>850</v>
      </c>
    </row>
    <row r="5920" spans="2:5">
      <c r="B5920" s="15" t="s">
        <v>7806</v>
      </c>
      <c r="C5920" s="15" t="s">
        <v>7807</v>
      </c>
      <c r="D5920" s="15" t="s">
        <v>1063</v>
      </c>
      <c r="E5920" s="15" t="s">
        <v>856</v>
      </c>
    </row>
    <row r="5921" spans="2:5">
      <c r="B5921" s="15" t="s">
        <v>7806</v>
      </c>
      <c r="C5921" s="15" t="s">
        <v>7807</v>
      </c>
      <c r="D5921" s="15" t="s">
        <v>2101</v>
      </c>
      <c r="E5921" s="15" t="s">
        <v>6151</v>
      </c>
    </row>
    <row r="5922" spans="2:5">
      <c r="B5922" s="15" t="s">
        <v>7806</v>
      </c>
      <c r="C5922" s="15" t="s">
        <v>7807</v>
      </c>
      <c r="D5922" s="15" t="s">
        <v>2103</v>
      </c>
      <c r="E5922" s="15" t="s">
        <v>6152</v>
      </c>
    </row>
    <row r="5923" spans="2:5">
      <c r="B5923" s="15" t="s">
        <v>7806</v>
      </c>
      <c r="C5923" s="15" t="s">
        <v>7807</v>
      </c>
      <c r="D5923" s="15" t="s">
        <v>2105</v>
      </c>
      <c r="E5923" s="15" t="s">
        <v>2546</v>
      </c>
    </row>
    <row r="5924" ht="15.95" spans="2:2">
      <c r="B5924" s="122" t="s">
        <v>7808</v>
      </c>
    </row>
    <row r="5925" spans="2:5">
      <c r="B5925" s="15" t="s">
        <v>7809</v>
      </c>
      <c r="C5925" s="15" t="s">
        <v>2377</v>
      </c>
      <c r="D5925" s="15" t="s">
        <v>770</v>
      </c>
      <c r="E5925" s="15" t="s">
        <v>2380</v>
      </c>
    </row>
    <row r="5926" spans="2:5">
      <c r="B5926" s="15" t="s">
        <v>7809</v>
      </c>
      <c r="C5926" s="15" t="s">
        <v>2377</v>
      </c>
      <c r="D5926" s="15" t="s">
        <v>772</v>
      </c>
      <c r="E5926" s="15" t="s">
        <v>2381</v>
      </c>
    </row>
    <row r="5927" spans="2:5">
      <c r="B5927" s="15" t="s">
        <v>7809</v>
      </c>
      <c r="C5927" s="15" t="s">
        <v>2377</v>
      </c>
      <c r="D5927" s="15" t="s">
        <v>774</v>
      </c>
      <c r="E5927" s="15" t="s">
        <v>2292</v>
      </c>
    </row>
    <row r="5928" ht="15.95" spans="2:2">
      <c r="B5928" s="122" t="s">
        <v>7810</v>
      </c>
    </row>
    <row r="5929" spans="2:5">
      <c r="B5929" s="15" t="s">
        <v>7811</v>
      </c>
      <c r="C5929" s="15" t="s">
        <v>7812</v>
      </c>
      <c r="D5929" s="15" t="s">
        <v>770</v>
      </c>
      <c r="E5929" s="15" t="s">
        <v>7813</v>
      </c>
    </row>
    <row r="5930" ht="15.95" spans="2:2">
      <c r="B5930" s="122" t="s">
        <v>7814</v>
      </c>
    </row>
    <row r="5931" spans="2:5">
      <c r="B5931" s="15" t="s">
        <v>7815</v>
      </c>
      <c r="C5931" s="15" t="s">
        <v>7815</v>
      </c>
      <c r="D5931" s="15" t="s">
        <v>770</v>
      </c>
      <c r="E5931" s="15" t="s">
        <v>7816</v>
      </c>
    </row>
    <row r="5932" spans="2:5">
      <c r="B5932" s="15" t="s">
        <v>7815</v>
      </c>
      <c r="C5932" s="15" t="s">
        <v>7815</v>
      </c>
      <c r="D5932" s="15" t="s">
        <v>772</v>
      </c>
      <c r="E5932" s="15" t="s">
        <v>7817</v>
      </c>
    </row>
    <row r="5933" spans="2:5">
      <c r="B5933" s="15" t="s">
        <v>7815</v>
      </c>
      <c r="C5933" s="15" t="s">
        <v>7815</v>
      </c>
      <c r="D5933" s="15" t="s">
        <v>774</v>
      </c>
      <c r="E5933" s="15" t="s">
        <v>7818</v>
      </c>
    </row>
    <row r="5934" spans="2:5">
      <c r="B5934" s="15" t="s">
        <v>7815</v>
      </c>
      <c r="C5934" s="15" t="s">
        <v>7815</v>
      </c>
      <c r="D5934" s="15" t="s">
        <v>828</v>
      </c>
      <c r="E5934" s="15" t="s">
        <v>7819</v>
      </c>
    </row>
    <row r="5935" ht="15.95" spans="2:2">
      <c r="B5935" s="122" t="s">
        <v>7820</v>
      </c>
    </row>
    <row r="5936" spans="2:5">
      <c r="B5936" s="15" t="s">
        <v>7821</v>
      </c>
      <c r="C5936" s="15" t="s">
        <v>7822</v>
      </c>
      <c r="D5936" s="15" t="s">
        <v>723</v>
      </c>
      <c r="E5936" s="15" t="s">
        <v>7823</v>
      </c>
    </row>
    <row r="5937" spans="2:5">
      <c r="B5937" s="15" t="s">
        <v>7821</v>
      </c>
      <c r="C5937" s="15" t="s">
        <v>7822</v>
      </c>
      <c r="D5937" s="15" t="s">
        <v>725</v>
      </c>
      <c r="E5937" s="15" t="s">
        <v>7824</v>
      </c>
    </row>
    <row r="5938" spans="2:5">
      <c r="B5938" s="15" t="s">
        <v>7821</v>
      </c>
      <c r="C5938" s="15" t="s">
        <v>7822</v>
      </c>
      <c r="D5938" s="15" t="s">
        <v>727</v>
      </c>
      <c r="E5938" s="15" t="s">
        <v>7825</v>
      </c>
    </row>
    <row r="5939" spans="2:5">
      <c r="B5939" s="15" t="s">
        <v>7821</v>
      </c>
      <c r="C5939" s="15" t="s">
        <v>7822</v>
      </c>
      <c r="D5939" s="15" t="s">
        <v>729</v>
      </c>
      <c r="E5939" s="15" t="s">
        <v>7826</v>
      </c>
    </row>
    <row r="5940" spans="2:5">
      <c r="B5940" s="15" t="s">
        <v>7821</v>
      </c>
      <c r="C5940" s="15" t="s">
        <v>7822</v>
      </c>
      <c r="D5940" s="15" t="s">
        <v>760</v>
      </c>
      <c r="E5940" s="15" t="s">
        <v>7827</v>
      </c>
    </row>
    <row r="5941" ht="15.95" spans="2:2">
      <c r="B5941" s="122" t="s">
        <v>7828</v>
      </c>
    </row>
    <row r="5942" spans="2:5">
      <c r="B5942" s="15" t="s">
        <v>7829</v>
      </c>
      <c r="C5942" s="15" t="s">
        <v>7829</v>
      </c>
      <c r="D5942" s="15" t="s">
        <v>723</v>
      </c>
      <c r="E5942" s="15" t="s">
        <v>5806</v>
      </c>
    </row>
    <row r="5943" spans="2:5">
      <c r="B5943" s="15" t="s">
        <v>7829</v>
      </c>
      <c r="C5943" s="15" t="s">
        <v>7829</v>
      </c>
      <c r="D5943" s="15" t="s">
        <v>725</v>
      </c>
      <c r="E5943" s="15" t="s">
        <v>5807</v>
      </c>
    </row>
    <row r="5944" spans="2:5">
      <c r="B5944" s="15" t="s">
        <v>7829</v>
      </c>
      <c r="C5944" s="15" t="s">
        <v>7829</v>
      </c>
      <c r="D5944" s="15" t="s">
        <v>727</v>
      </c>
      <c r="E5944" s="15" t="s">
        <v>5808</v>
      </c>
    </row>
    <row r="5945" spans="2:5">
      <c r="B5945" s="15" t="s">
        <v>7829</v>
      </c>
      <c r="C5945" s="15" t="s">
        <v>7829</v>
      </c>
      <c r="D5945" s="15" t="s">
        <v>729</v>
      </c>
      <c r="E5945" s="15" t="s">
        <v>5809</v>
      </c>
    </row>
    <row r="5946" spans="2:5">
      <c r="B5946" s="15" t="s">
        <v>7829</v>
      </c>
      <c r="C5946" s="15" t="s">
        <v>7829</v>
      </c>
      <c r="D5946" s="15" t="s">
        <v>760</v>
      </c>
      <c r="E5946" s="15" t="s">
        <v>5810</v>
      </c>
    </row>
    <row r="5947" ht="15.95" spans="2:2">
      <c r="B5947" s="122" t="s">
        <v>7830</v>
      </c>
    </row>
    <row r="5948" spans="2:5">
      <c r="B5948" s="15" t="s">
        <v>7831</v>
      </c>
      <c r="C5948" s="15" t="s">
        <v>7832</v>
      </c>
      <c r="D5948" s="15" t="s">
        <v>770</v>
      </c>
      <c r="E5948" s="15" t="s">
        <v>7833</v>
      </c>
    </row>
    <row r="5949" spans="2:5">
      <c r="B5949" s="15" t="s">
        <v>7831</v>
      </c>
      <c r="C5949" s="15" t="s">
        <v>7832</v>
      </c>
      <c r="D5949" s="15" t="s">
        <v>772</v>
      </c>
      <c r="E5949" s="15" t="s">
        <v>7834</v>
      </c>
    </row>
    <row r="5950" spans="2:5">
      <c r="B5950" s="15" t="s">
        <v>7831</v>
      </c>
      <c r="C5950" s="15" t="s">
        <v>7832</v>
      </c>
      <c r="D5950" s="15" t="s">
        <v>774</v>
      </c>
      <c r="E5950" s="15" t="s">
        <v>7835</v>
      </c>
    </row>
    <row r="5951" spans="2:5">
      <c r="B5951" s="15" t="s">
        <v>7831</v>
      </c>
      <c r="C5951" s="15" t="s">
        <v>7832</v>
      </c>
      <c r="D5951" s="15" t="s">
        <v>828</v>
      </c>
      <c r="E5951" s="15" t="s">
        <v>7836</v>
      </c>
    </row>
    <row r="5952" spans="2:5">
      <c r="B5952" s="15" t="s">
        <v>7831</v>
      </c>
      <c r="C5952" s="15" t="s">
        <v>7832</v>
      </c>
      <c r="D5952" s="15" t="s">
        <v>901</v>
      </c>
      <c r="E5952" s="15" t="s">
        <v>7837</v>
      </c>
    </row>
    <row r="5953" spans="2:5">
      <c r="B5953" s="15" t="s">
        <v>7831</v>
      </c>
      <c r="C5953" s="15" t="s">
        <v>7832</v>
      </c>
      <c r="D5953" s="15" t="s">
        <v>776</v>
      </c>
      <c r="E5953" s="15" t="s">
        <v>7838</v>
      </c>
    </row>
    <row r="5954" spans="2:5">
      <c r="B5954" s="15" t="s">
        <v>7831</v>
      </c>
      <c r="C5954" s="15" t="s">
        <v>7832</v>
      </c>
      <c r="D5954" s="15" t="s">
        <v>1290</v>
      </c>
      <c r="E5954" s="15" t="s">
        <v>7839</v>
      </c>
    </row>
    <row r="5955" spans="2:5">
      <c r="B5955" s="15" t="s">
        <v>7831</v>
      </c>
      <c r="C5955" s="15" t="s">
        <v>7832</v>
      </c>
      <c r="D5955" s="15" t="s">
        <v>1409</v>
      </c>
      <c r="E5955" s="15" t="s">
        <v>7840</v>
      </c>
    </row>
    <row r="5956" spans="2:5">
      <c r="B5956" s="15" t="s">
        <v>7831</v>
      </c>
      <c r="C5956" s="15" t="s">
        <v>7832</v>
      </c>
      <c r="D5956" s="15" t="s">
        <v>1411</v>
      </c>
      <c r="E5956" s="15" t="s">
        <v>7841</v>
      </c>
    </row>
    <row r="5957" spans="2:5">
      <c r="B5957" s="15" t="s">
        <v>7831</v>
      </c>
      <c r="C5957" s="15" t="s">
        <v>7832</v>
      </c>
      <c r="D5957" s="15" t="s">
        <v>933</v>
      </c>
      <c r="E5957" s="15" t="s">
        <v>7842</v>
      </c>
    </row>
    <row r="5958" ht="15.95" spans="2:2">
      <c r="B5958" s="122" t="s">
        <v>7843</v>
      </c>
    </row>
    <row r="5959" spans="2:5">
      <c r="B5959" s="15" t="s">
        <v>7844</v>
      </c>
      <c r="C5959" s="15" t="s">
        <v>7845</v>
      </c>
      <c r="D5959" s="15" t="s">
        <v>1057</v>
      </c>
      <c r="E5959" s="15" t="s">
        <v>7846</v>
      </c>
    </row>
    <row r="5960" spans="2:5">
      <c r="B5960" s="15" t="s">
        <v>7844</v>
      </c>
      <c r="C5960" s="15" t="s">
        <v>7845</v>
      </c>
      <c r="D5960" s="15" t="s">
        <v>770</v>
      </c>
      <c r="E5960" s="15" t="s">
        <v>7847</v>
      </c>
    </row>
    <row r="5961" spans="2:5">
      <c r="B5961" s="15" t="s">
        <v>7844</v>
      </c>
      <c r="C5961" s="15" t="s">
        <v>7845</v>
      </c>
      <c r="D5961" s="15" t="s">
        <v>772</v>
      </c>
      <c r="E5961" s="15" t="s">
        <v>7848</v>
      </c>
    </row>
    <row r="5962" spans="2:5">
      <c r="B5962" s="15" t="s">
        <v>7844</v>
      </c>
      <c r="C5962" s="15" t="s">
        <v>7845</v>
      </c>
      <c r="D5962" s="15" t="s">
        <v>774</v>
      </c>
      <c r="E5962" s="15" t="s">
        <v>7849</v>
      </c>
    </row>
    <row r="5963" spans="2:5">
      <c r="B5963" s="15" t="s">
        <v>7844</v>
      </c>
      <c r="C5963" s="15" t="s">
        <v>7845</v>
      </c>
      <c r="D5963" s="15" t="s">
        <v>828</v>
      </c>
      <c r="E5963" s="15" t="s">
        <v>7850</v>
      </c>
    </row>
    <row r="5964" ht="15.95" spans="2:2">
      <c r="B5964" s="122" t="s">
        <v>7851</v>
      </c>
    </row>
    <row r="5965" spans="2:5">
      <c r="B5965" s="15" t="s">
        <v>7852</v>
      </c>
      <c r="C5965" s="15" t="s">
        <v>7852</v>
      </c>
      <c r="D5965" s="15" t="s">
        <v>723</v>
      </c>
      <c r="E5965" s="15" t="s">
        <v>4596</v>
      </c>
    </row>
    <row r="5966" spans="2:5">
      <c r="B5966" s="15" t="s">
        <v>7852</v>
      </c>
      <c r="C5966" s="15" t="s">
        <v>7852</v>
      </c>
      <c r="D5966" s="15" t="s">
        <v>725</v>
      </c>
      <c r="E5966" s="15" t="s">
        <v>7853</v>
      </c>
    </row>
    <row r="5967" spans="2:5">
      <c r="B5967" s="15" t="s">
        <v>7852</v>
      </c>
      <c r="C5967" s="15" t="s">
        <v>7852</v>
      </c>
      <c r="D5967" s="15" t="s">
        <v>727</v>
      </c>
      <c r="E5967" s="15" t="s">
        <v>862</v>
      </c>
    </row>
    <row r="5968" ht="15.95" spans="2:2">
      <c r="B5968" s="122" t="s">
        <v>7854</v>
      </c>
    </row>
    <row r="5969" spans="2:5">
      <c r="B5969" s="15" t="s">
        <v>7855</v>
      </c>
      <c r="C5969" s="15" t="s">
        <v>7856</v>
      </c>
      <c r="D5969" s="15" t="s">
        <v>770</v>
      </c>
      <c r="E5969" s="15" t="s">
        <v>7857</v>
      </c>
    </row>
    <row r="5970" spans="2:5">
      <c r="B5970" s="15" t="s">
        <v>7855</v>
      </c>
      <c r="C5970" s="15" t="s">
        <v>7856</v>
      </c>
      <c r="D5970" s="15" t="s">
        <v>772</v>
      </c>
      <c r="E5970" s="15" t="s">
        <v>7858</v>
      </c>
    </row>
    <row r="5971" spans="2:5">
      <c r="B5971" s="15" t="s">
        <v>7855</v>
      </c>
      <c r="C5971" s="15" t="s">
        <v>7856</v>
      </c>
      <c r="D5971" s="15" t="s">
        <v>774</v>
      </c>
      <c r="E5971" s="15" t="s">
        <v>7302</v>
      </c>
    </row>
    <row r="5972" spans="2:5">
      <c r="B5972" s="15" t="s">
        <v>7855</v>
      </c>
      <c r="C5972" s="15" t="s">
        <v>7856</v>
      </c>
      <c r="D5972" s="15" t="s">
        <v>828</v>
      </c>
      <c r="E5972" s="15" t="s">
        <v>7859</v>
      </c>
    </row>
    <row r="5973" spans="2:5">
      <c r="B5973" s="15" t="s">
        <v>7855</v>
      </c>
      <c r="C5973" s="15" t="s">
        <v>7856</v>
      </c>
      <c r="D5973" s="15" t="s">
        <v>901</v>
      </c>
      <c r="E5973" s="15" t="s">
        <v>7860</v>
      </c>
    </row>
    <row r="5974" ht="15.95" spans="2:2">
      <c r="B5974" s="122" t="s">
        <v>7861</v>
      </c>
    </row>
    <row r="5975" spans="2:5">
      <c r="B5975" s="15" t="s">
        <v>7862</v>
      </c>
      <c r="C5975" s="15" t="s">
        <v>7863</v>
      </c>
      <c r="D5975" s="15" t="s">
        <v>917</v>
      </c>
      <c r="E5975" s="15" t="s">
        <v>953</v>
      </c>
    </row>
    <row r="5976" spans="2:5">
      <c r="B5976" s="15" t="s">
        <v>7862</v>
      </c>
      <c r="C5976" s="15" t="s">
        <v>7863</v>
      </c>
      <c r="D5976" s="15" t="s">
        <v>919</v>
      </c>
      <c r="E5976" s="15" t="s">
        <v>954</v>
      </c>
    </row>
    <row r="5977" spans="2:5">
      <c r="B5977" s="15" t="s">
        <v>7862</v>
      </c>
      <c r="C5977" s="15" t="s">
        <v>7863</v>
      </c>
      <c r="D5977" s="15" t="s">
        <v>955</v>
      </c>
      <c r="E5977" s="15" t="s">
        <v>956</v>
      </c>
    </row>
    <row r="5978" ht="15.95" spans="2:2">
      <c r="B5978" s="122" t="s">
        <v>7864</v>
      </c>
    </row>
    <row r="5979" spans="2:5">
      <c r="B5979" s="15" t="s">
        <v>7865</v>
      </c>
      <c r="C5979" s="15" t="s">
        <v>7866</v>
      </c>
      <c r="D5979" s="15" t="s">
        <v>770</v>
      </c>
      <c r="E5979" s="15" t="s">
        <v>7867</v>
      </c>
    </row>
    <row r="5980" spans="2:5">
      <c r="B5980" s="15" t="s">
        <v>7865</v>
      </c>
      <c r="C5980" s="15" t="s">
        <v>7866</v>
      </c>
      <c r="D5980" s="15" t="s">
        <v>772</v>
      </c>
      <c r="E5980" s="15" t="s">
        <v>7868</v>
      </c>
    </row>
    <row r="5981" spans="2:5">
      <c r="B5981" s="15" t="s">
        <v>7865</v>
      </c>
      <c r="C5981" s="15" t="s">
        <v>7866</v>
      </c>
      <c r="D5981" s="15" t="s">
        <v>774</v>
      </c>
      <c r="E5981" s="15" t="s">
        <v>7869</v>
      </c>
    </row>
    <row r="5982" spans="2:5">
      <c r="B5982" s="15" t="s">
        <v>7865</v>
      </c>
      <c r="C5982" s="15" t="s">
        <v>7866</v>
      </c>
      <c r="D5982" s="15" t="s">
        <v>828</v>
      </c>
      <c r="E5982" s="15" t="s">
        <v>7870</v>
      </c>
    </row>
    <row r="5983" spans="2:5">
      <c r="B5983" s="15" t="s">
        <v>7865</v>
      </c>
      <c r="C5983" s="15" t="s">
        <v>7866</v>
      </c>
      <c r="D5983" s="15" t="s">
        <v>901</v>
      </c>
      <c r="E5983" s="15" t="s">
        <v>7871</v>
      </c>
    </row>
    <row r="5984" spans="2:5">
      <c r="B5984" s="15" t="s">
        <v>7865</v>
      </c>
      <c r="C5984" s="15" t="s">
        <v>7866</v>
      </c>
      <c r="D5984" s="15" t="s">
        <v>776</v>
      </c>
      <c r="E5984" s="15" t="s">
        <v>7872</v>
      </c>
    </row>
    <row r="5985" spans="2:5">
      <c r="B5985" s="15" t="s">
        <v>7865</v>
      </c>
      <c r="C5985" s="15" t="s">
        <v>7866</v>
      </c>
      <c r="D5985" s="15" t="s">
        <v>1290</v>
      </c>
      <c r="E5985" s="15" t="s">
        <v>7873</v>
      </c>
    </row>
    <row r="5986" spans="2:5">
      <c r="B5986" s="15" t="s">
        <v>7865</v>
      </c>
      <c r="C5986" s="15" t="s">
        <v>7866</v>
      </c>
      <c r="D5986" s="15" t="s">
        <v>1409</v>
      </c>
      <c r="E5986" s="15" t="s">
        <v>7874</v>
      </c>
    </row>
    <row r="5987" spans="2:5">
      <c r="B5987" s="15" t="s">
        <v>7865</v>
      </c>
      <c r="C5987" s="15" t="s">
        <v>7866</v>
      </c>
      <c r="D5987" s="15" t="s">
        <v>1411</v>
      </c>
      <c r="E5987" s="15" t="s">
        <v>7875</v>
      </c>
    </row>
    <row r="5988" spans="2:5">
      <c r="B5988" s="15" t="s">
        <v>7865</v>
      </c>
      <c r="C5988" s="15" t="s">
        <v>7866</v>
      </c>
      <c r="D5988" s="15" t="s">
        <v>1143</v>
      </c>
      <c r="E5988" s="15" t="s">
        <v>235</v>
      </c>
    </row>
    <row r="5989" ht="15.95" spans="2:2">
      <c r="B5989" s="122" t="s">
        <v>7876</v>
      </c>
    </row>
    <row r="5990" spans="2:5">
      <c r="B5990" s="15" t="s">
        <v>7877</v>
      </c>
      <c r="C5990" s="15" t="s">
        <v>7878</v>
      </c>
      <c r="D5990" s="15" t="s">
        <v>770</v>
      </c>
      <c r="E5990" s="15" t="s">
        <v>6915</v>
      </c>
    </row>
    <row r="5991" spans="2:5">
      <c r="B5991" s="15" t="s">
        <v>7877</v>
      </c>
      <c r="C5991" s="15" t="s">
        <v>7878</v>
      </c>
      <c r="D5991" s="15" t="s">
        <v>772</v>
      </c>
      <c r="E5991" s="15" t="s">
        <v>6916</v>
      </c>
    </row>
    <row r="5992" spans="2:5">
      <c r="B5992" s="15" t="s">
        <v>7877</v>
      </c>
      <c r="C5992" s="15" t="s">
        <v>7878</v>
      </c>
      <c r="D5992" s="15" t="s">
        <v>774</v>
      </c>
      <c r="E5992" s="15" t="s">
        <v>7728</v>
      </c>
    </row>
    <row r="5993" spans="2:5">
      <c r="B5993" s="15" t="s">
        <v>7877</v>
      </c>
      <c r="C5993" s="15" t="s">
        <v>7878</v>
      </c>
      <c r="D5993" s="15" t="s">
        <v>828</v>
      </c>
      <c r="E5993" s="15" t="s">
        <v>7729</v>
      </c>
    </row>
    <row r="5994" spans="2:5">
      <c r="B5994" s="15" t="s">
        <v>7877</v>
      </c>
      <c r="C5994" s="15" t="s">
        <v>7878</v>
      </c>
      <c r="D5994" s="15" t="s">
        <v>901</v>
      </c>
      <c r="E5994" s="15" t="s">
        <v>7879</v>
      </c>
    </row>
    <row r="5995" ht="15.95" spans="2:2">
      <c r="B5995" s="122" t="s">
        <v>7880</v>
      </c>
    </row>
    <row r="5996" spans="2:5">
      <c r="B5996" s="15" t="s">
        <v>7881</v>
      </c>
      <c r="C5996" s="15" t="s">
        <v>7882</v>
      </c>
      <c r="D5996" s="15" t="s">
        <v>723</v>
      </c>
      <c r="E5996" s="15" t="s">
        <v>7882</v>
      </c>
    </row>
    <row r="5997" ht="15.95" spans="2:2">
      <c r="B5997" s="122" t="s">
        <v>7883</v>
      </c>
    </row>
    <row r="5998" spans="2:5">
      <c r="B5998" s="15" t="s">
        <v>7884</v>
      </c>
      <c r="C5998" s="15" t="s">
        <v>7885</v>
      </c>
      <c r="D5998" s="15" t="s">
        <v>723</v>
      </c>
      <c r="E5998" s="15" t="s">
        <v>7886</v>
      </c>
    </row>
    <row r="5999" spans="2:5">
      <c r="B5999" s="15" t="s">
        <v>7884</v>
      </c>
      <c r="C5999" s="15" t="s">
        <v>7885</v>
      </c>
      <c r="D5999" s="15" t="s">
        <v>725</v>
      </c>
      <c r="E5999" s="15" t="s">
        <v>7887</v>
      </c>
    </row>
    <row r="6000" spans="2:5">
      <c r="B6000" s="15" t="s">
        <v>7884</v>
      </c>
      <c r="C6000" s="15" t="s">
        <v>7885</v>
      </c>
      <c r="D6000" s="15" t="s">
        <v>727</v>
      </c>
      <c r="E6000" s="15" t="s">
        <v>7888</v>
      </c>
    </row>
    <row r="6001" ht="15.95" spans="2:2">
      <c r="B6001" s="122" t="s">
        <v>7889</v>
      </c>
    </row>
    <row r="6002" spans="2:5">
      <c r="B6002" s="15" t="s">
        <v>7890</v>
      </c>
      <c r="C6002" s="15" t="s">
        <v>7891</v>
      </c>
      <c r="D6002" s="15" t="s">
        <v>635</v>
      </c>
      <c r="E6002" s="15" t="s">
        <v>5306</v>
      </c>
    </row>
    <row r="6003" spans="2:5">
      <c r="B6003" s="15" t="s">
        <v>7890</v>
      </c>
      <c r="C6003" s="15" t="s">
        <v>7891</v>
      </c>
      <c r="D6003" s="15" t="s">
        <v>772</v>
      </c>
      <c r="E6003" s="15" t="s">
        <v>7892</v>
      </c>
    </row>
    <row r="6004" ht="15.95" spans="2:2">
      <c r="B6004" s="122" t="s">
        <v>7893</v>
      </c>
    </row>
    <row r="6005" spans="2:5">
      <c r="B6005" s="15" t="s">
        <v>7894</v>
      </c>
      <c r="C6005" s="15" t="s">
        <v>7894</v>
      </c>
      <c r="D6005" s="15" t="s">
        <v>723</v>
      </c>
      <c r="E6005" s="15" t="s">
        <v>1960</v>
      </c>
    </row>
    <row r="6006" spans="2:5">
      <c r="B6006" s="15" t="s">
        <v>7894</v>
      </c>
      <c r="C6006" s="15" t="s">
        <v>7894</v>
      </c>
      <c r="D6006" s="15" t="s">
        <v>725</v>
      </c>
      <c r="E6006" s="15" t="s">
        <v>1961</v>
      </c>
    </row>
    <row r="6007" spans="2:5">
      <c r="B6007" s="15" t="s">
        <v>7894</v>
      </c>
      <c r="C6007" s="15" t="s">
        <v>7894</v>
      </c>
      <c r="D6007" s="15" t="s">
        <v>727</v>
      </c>
      <c r="E6007" s="15" t="s">
        <v>1962</v>
      </c>
    </row>
    <row r="6008" ht="15.95" spans="2:2">
      <c r="B6008" s="122" t="s">
        <v>7895</v>
      </c>
    </row>
    <row r="6009" spans="2:5">
      <c r="B6009" s="15" t="s">
        <v>7896</v>
      </c>
      <c r="C6009" s="15" t="s">
        <v>2446</v>
      </c>
      <c r="D6009" s="15" t="s">
        <v>770</v>
      </c>
      <c r="E6009" s="15" t="s">
        <v>7897</v>
      </c>
    </row>
    <row r="6010" spans="2:5">
      <c r="B6010" s="15" t="s">
        <v>7896</v>
      </c>
      <c r="C6010" s="15" t="s">
        <v>2446</v>
      </c>
      <c r="D6010" s="15" t="s">
        <v>772</v>
      </c>
      <c r="E6010" s="15" t="s">
        <v>7898</v>
      </c>
    </row>
    <row r="6011" spans="2:5">
      <c r="B6011" s="15" t="s">
        <v>7896</v>
      </c>
      <c r="C6011" s="15" t="s">
        <v>2446</v>
      </c>
      <c r="D6011" s="15" t="s">
        <v>774</v>
      </c>
      <c r="E6011" s="15" t="s">
        <v>7899</v>
      </c>
    </row>
    <row r="6012" spans="2:5">
      <c r="B6012" s="15" t="s">
        <v>7896</v>
      </c>
      <c r="C6012" s="15" t="s">
        <v>2446</v>
      </c>
      <c r="D6012" s="15" t="s">
        <v>828</v>
      </c>
      <c r="E6012" s="15" t="s">
        <v>7900</v>
      </c>
    </row>
    <row r="6013" spans="2:5">
      <c r="B6013" s="15" t="s">
        <v>7896</v>
      </c>
      <c r="C6013" s="15" t="s">
        <v>2446</v>
      </c>
      <c r="D6013" s="15" t="s">
        <v>901</v>
      </c>
      <c r="E6013" s="15" t="s">
        <v>2447</v>
      </c>
    </row>
    <row r="6014" spans="2:5">
      <c r="B6014" s="15" t="s">
        <v>7896</v>
      </c>
      <c r="C6014" s="15" t="s">
        <v>2446</v>
      </c>
      <c r="D6014" s="15" t="s">
        <v>776</v>
      </c>
      <c r="E6014" s="15" t="s">
        <v>6156</v>
      </c>
    </row>
    <row r="6015" spans="2:5">
      <c r="B6015" s="15" t="s">
        <v>7896</v>
      </c>
      <c r="C6015" s="15" t="s">
        <v>2446</v>
      </c>
      <c r="D6015" s="15" t="s">
        <v>1143</v>
      </c>
      <c r="E6015" s="15" t="s">
        <v>235</v>
      </c>
    </row>
    <row r="6016" ht="15.95" spans="2:2">
      <c r="B6016" s="122" t="s">
        <v>7901</v>
      </c>
    </row>
    <row r="6017" spans="2:5">
      <c r="B6017" s="15" t="s">
        <v>7902</v>
      </c>
      <c r="C6017" s="15" t="s">
        <v>7903</v>
      </c>
      <c r="D6017" s="15" t="s">
        <v>7904</v>
      </c>
      <c r="E6017" s="15" t="s">
        <v>7905</v>
      </c>
    </row>
    <row r="6018" spans="2:5">
      <c r="B6018" s="15" t="s">
        <v>7902</v>
      </c>
      <c r="C6018" s="15" t="s">
        <v>7903</v>
      </c>
      <c r="D6018" s="15" t="s">
        <v>7906</v>
      </c>
      <c r="E6018" s="15" t="s">
        <v>7907</v>
      </c>
    </row>
    <row r="6019" spans="2:5">
      <c r="B6019" s="15" t="s">
        <v>7902</v>
      </c>
      <c r="C6019" s="15" t="s">
        <v>7903</v>
      </c>
      <c r="D6019" s="15" t="s">
        <v>7908</v>
      </c>
      <c r="E6019" s="15" t="s">
        <v>7909</v>
      </c>
    </row>
    <row r="6020" spans="2:5">
      <c r="B6020" s="15" t="s">
        <v>7902</v>
      </c>
      <c r="C6020" s="15" t="s">
        <v>7903</v>
      </c>
      <c r="D6020" s="15" t="s">
        <v>7910</v>
      </c>
      <c r="E6020" s="15" t="s">
        <v>7911</v>
      </c>
    </row>
    <row r="6021" spans="2:5">
      <c r="B6021" s="15" t="s">
        <v>7902</v>
      </c>
      <c r="C6021" s="15" t="s">
        <v>7903</v>
      </c>
      <c r="D6021" s="15" t="s">
        <v>7912</v>
      </c>
      <c r="E6021" s="15" t="s">
        <v>7913</v>
      </c>
    </row>
    <row r="6022" ht="15.95" spans="2:2">
      <c r="B6022" s="122" t="s">
        <v>7914</v>
      </c>
    </row>
    <row r="6023" spans="2:5">
      <c r="B6023" s="15" t="s">
        <v>7915</v>
      </c>
      <c r="C6023" s="15" t="s">
        <v>896</v>
      </c>
      <c r="D6023" s="15" t="s">
        <v>770</v>
      </c>
      <c r="E6023" s="15" t="s">
        <v>1712</v>
      </c>
    </row>
    <row r="6024" spans="2:5">
      <c r="B6024" s="15" t="s">
        <v>7915</v>
      </c>
      <c r="C6024" s="15" t="s">
        <v>896</v>
      </c>
      <c r="D6024" s="15" t="s">
        <v>772</v>
      </c>
      <c r="E6024" s="15" t="s">
        <v>1203</v>
      </c>
    </row>
    <row r="6025" spans="2:5">
      <c r="B6025" s="15" t="s">
        <v>7915</v>
      </c>
      <c r="C6025" s="15" t="s">
        <v>896</v>
      </c>
      <c r="D6025" s="15" t="s">
        <v>774</v>
      </c>
      <c r="E6025" s="15" t="s">
        <v>1713</v>
      </c>
    </row>
    <row r="6026" ht="15.95" spans="2:2">
      <c r="B6026" s="122" t="s">
        <v>7916</v>
      </c>
    </row>
    <row r="6027" spans="2:5">
      <c r="B6027" s="15" t="s">
        <v>7917</v>
      </c>
      <c r="C6027" s="15" t="s">
        <v>7917</v>
      </c>
      <c r="D6027" s="15" t="s">
        <v>770</v>
      </c>
      <c r="E6027" s="15" t="s">
        <v>1189</v>
      </c>
    </row>
    <row r="6028" spans="2:5">
      <c r="B6028" s="15" t="s">
        <v>7917</v>
      </c>
      <c r="C6028" s="15" t="s">
        <v>7917</v>
      </c>
      <c r="D6028" s="15" t="s">
        <v>772</v>
      </c>
      <c r="E6028" s="15" t="s">
        <v>1190</v>
      </c>
    </row>
    <row r="6029" spans="2:5">
      <c r="B6029" s="15" t="s">
        <v>7917</v>
      </c>
      <c r="C6029" s="15" t="s">
        <v>7917</v>
      </c>
      <c r="D6029" s="15" t="s">
        <v>774</v>
      </c>
      <c r="E6029" s="15" t="s">
        <v>7918</v>
      </c>
    </row>
    <row r="6030" spans="2:5">
      <c r="B6030" s="15" t="s">
        <v>7917</v>
      </c>
      <c r="C6030" s="15" t="s">
        <v>7917</v>
      </c>
      <c r="D6030" s="15" t="s">
        <v>828</v>
      </c>
      <c r="E6030" s="15" t="s">
        <v>7919</v>
      </c>
    </row>
    <row r="6031" spans="2:5">
      <c r="B6031" s="15" t="s">
        <v>7917</v>
      </c>
      <c r="C6031" s="15" t="s">
        <v>7917</v>
      </c>
      <c r="D6031" s="15" t="s">
        <v>901</v>
      </c>
      <c r="E6031" s="15" t="s">
        <v>7920</v>
      </c>
    </row>
    <row r="6032" ht="15.95" spans="2:2">
      <c r="B6032" s="122" t="s">
        <v>7921</v>
      </c>
    </row>
    <row r="6033" spans="2:5">
      <c r="B6033" s="15" t="s">
        <v>7922</v>
      </c>
      <c r="C6033" s="15" t="s">
        <v>7923</v>
      </c>
      <c r="D6033" s="15" t="s">
        <v>770</v>
      </c>
      <c r="E6033" s="15" t="s">
        <v>7924</v>
      </c>
    </row>
    <row r="6034" spans="2:5">
      <c r="B6034" s="15" t="s">
        <v>7922</v>
      </c>
      <c r="C6034" s="15" t="s">
        <v>7923</v>
      </c>
      <c r="D6034" s="15" t="s">
        <v>772</v>
      </c>
      <c r="E6034" s="15" t="s">
        <v>7925</v>
      </c>
    </row>
    <row r="6035" spans="2:5">
      <c r="B6035" s="15" t="s">
        <v>7922</v>
      </c>
      <c r="C6035" s="15" t="s">
        <v>7923</v>
      </c>
      <c r="D6035" s="15" t="s">
        <v>774</v>
      </c>
      <c r="E6035" s="15" t="s">
        <v>7926</v>
      </c>
    </row>
    <row r="6036" spans="2:5">
      <c r="B6036" s="15" t="s">
        <v>7922</v>
      </c>
      <c r="C6036" s="15" t="s">
        <v>7923</v>
      </c>
      <c r="D6036" s="15" t="s">
        <v>828</v>
      </c>
      <c r="E6036" s="15" t="s">
        <v>7927</v>
      </c>
    </row>
    <row r="6037" ht="15.95" spans="2:2">
      <c r="B6037" s="122" t="s">
        <v>7928</v>
      </c>
    </row>
    <row r="6038" spans="2:5">
      <c r="B6038" s="15" t="s">
        <v>7929</v>
      </c>
      <c r="C6038" s="15" t="s">
        <v>7930</v>
      </c>
      <c r="D6038" s="15" t="s">
        <v>1432</v>
      </c>
      <c r="E6038" s="15" t="s">
        <v>7931</v>
      </c>
    </row>
    <row r="6039" spans="2:5">
      <c r="B6039" s="15" t="s">
        <v>7929</v>
      </c>
      <c r="C6039" s="15" t="s">
        <v>7930</v>
      </c>
      <c r="D6039" s="15" t="s">
        <v>723</v>
      </c>
      <c r="E6039" s="15" t="s">
        <v>7932</v>
      </c>
    </row>
    <row r="6040" ht="15.95" spans="2:2">
      <c r="B6040" s="122" t="s">
        <v>7933</v>
      </c>
    </row>
    <row r="6041" spans="2:5">
      <c r="B6041" s="15" t="s">
        <v>7934</v>
      </c>
      <c r="C6041" s="15" t="s">
        <v>896</v>
      </c>
      <c r="D6041" s="15" t="s">
        <v>770</v>
      </c>
      <c r="E6041" s="15" t="s">
        <v>7935</v>
      </c>
    </row>
    <row r="6042" spans="2:5">
      <c r="B6042" s="15" t="s">
        <v>7934</v>
      </c>
      <c r="C6042" s="15" t="s">
        <v>896</v>
      </c>
      <c r="D6042" s="15" t="s">
        <v>772</v>
      </c>
      <c r="E6042" s="15" t="s">
        <v>7936</v>
      </c>
    </row>
    <row r="6043" spans="2:5">
      <c r="B6043" s="15" t="s">
        <v>7934</v>
      </c>
      <c r="C6043" s="15" t="s">
        <v>896</v>
      </c>
      <c r="D6043" s="15" t="s">
        <v>774</v>
      </c>
      <c r="E6043" s="15" t="s">
        <v>7937</v>
      </c>
    </row>
    <row r="6044" spans="2:5">
      <c r="B6044" s="15" t="s">
        <v>7934</v>
      </c>
      <c r="C6044" s="15" t="s">
        <v>896</v>
      </c>
      <c r="D6044" s="15" t="s">
        <v>828</v>
      </c>
      <c r="E6044" s="15" t="s">
        <v>7938</v>
      </c>
    </row>
    <row r="6045" ht="15.95" spans="2:2">
      <c r="B6045" s="122" t="s">
        <v>7939</v>
      </c>
    </row>
    <row r="6046" spans="2:5">
      <c r="B6046" s="15" t="s">
        <v>7940</v>
      </c>
      <c r="C6046" s="15" t="s">
        <v>7941</v>
      </c>
      <c r="D6046" s="15" t="s">
        <v>770</v>
      </c>
      <c r="E6046" s="15" t="s">
        <v>1275</v>
      </c>
    </row>
    <row r="6047" spans="2:5">
      <c r="B6047" s="15" t="s">
        <v>7940</v>
      </c>
      <c r="C6047" s="15" t="s">
        <v>7941</v>
      </c>
      <c r="D6047" s="15" t="s">
        <v>772</v>
      </c>
      <c r="E6047" s="15" t="s">
        <v>1274</v>
      </c>
    </row>
    <row r="6048" spans="2:5">
      <c r="B6048" s="15" t="s">
        <v>7940</v>
      </c>
      <c r="C6048" s="15" t="s">
        <v>7941</v>
      </c>
      <c r="D6048" s="15" t="s">
        <v>774</v>
      </c>
      <c r="E6048" s="15" t="s">
        <v>862</v>
      </c>
    </row>
    <row r="6049" ht="15.95" spans="2:2">
      <c r="B6049" s="122" t="s">
        <v>7942</v>
      </c>
    </row>
    <row r="6050" spans="2:5">
      <c r="B6050" s="15" t="s">
        <v>7943</v>
      </c>
      <c r="C6050" s="15" t="s">
        <v>6553</v>
      </c>
      <c r="D6050" s="15" t="s">
        <v>7944</v>
      </c>
      <c r="E6050" s="15" t="s">
        <v>7945</v>
      </c>
    </row>
    <row r="6051" spans="2:5">
      <c r="B6051" s="15" t="s">
        <v>7943</v>
      </c>
      <c r="C6051" s="15" t="s">
        <v>6553</v>
      </c>
      <c r="D6051" s="15" t="s">
        <v>7946</v>
      </c>
      <c r="E6051" s="15" t="s">
        <v>7947</v>
      </c>
    </row>
    <row r="6052" spans="2:5">
      <c r="B6052" s="15" t="s">
        <v>7943</v>
      </c>
      <c r="C6052" s="15" t="s">
        <v>6553</v>
      </c>
      <c r="D6052" s="15" t="s">
        <v>7948</v>
      </c>
      <c r="E6052" s="15" t="s">
        <v>7949</v>
      </c>
    </row>
    <row r="6053" spans="2:5">
      <c r="B6053" s="15" t="s">
        <v>7943</v>
      </c>
      <c r="C6053" s="15" t="s">
        <v>6553</v>
      </c>
      <c r="D6053" s="15" t="s">
        <v>7950</v>
      </c>
      <c r="E6053" s="15" t="s">
        <v>7951</v>
      </c>
    </row>
    <row r="6054" ht="15.95" spans="2:2">
      <c r="B6054" s="122" t="s">
        <v>7952</v>
      </c>
    </row>
    <row r="6055" spans="2:5">
      <c r="B6055" s="15" t="s">
        <v>7953</v>
      </c>
      <c r="C6055" s="15" t="s">
        <v>7954</v>
      </c>
      <c r="D6055" s="15" t="s">
        <v>1267</v>
      </c>
      <c r="E6055" s="15" t="s">
        <v>1355</v>
      </c>
    </row>
    <row r="6056" spans="2:5">
      <c r="B6056" s="15" t="s">
        <v>7953</v>
      </c>
      <c r="C6056" s="15" t="s">
        <v>7954</v>
      </c>
      <c r="D6056" s="15" t="s">
        <v>1269</v>
      </c>
      <c r="E6056" s="15" t="s">
        <v>1356</v>
      </c>
    </row>
    <row r="6057" spans="2:5">
      <c r="B6057" s="15" t="s">
        <v>7953</v>
      </c>
      <c r="C6057" s="15" t="s">
        <v>7954</v>
      </c>
      <c r="D6057" s="15" t="s">
        <v>1919</v>
      </c>
      <c r="E6057" s="15" t="s">
        <v>1920</v>
      </c>
    </row>
    <row r="6058" ht="15.95" spans="2:2">
      <c r="B6058" s="122" t="s">
        <v>7955</v>
      </c>
    </row>
    <row r="6059" spans="2:5">
      <c r="B6059" s="15" t="s">
        <v>7956</v>
      </c>
      <c r="C6059" s="15" t="s">
        <v>1477</v>
      </c>
      <c r="D6059" s="15" t="s">
        <v>7957</v>
      </c>
      <c r="E6059" s="15" t="s">
        <v>1479</v>
      </c>
    </row>
    <row r="6060" spans="2:5">
      <c r="B6060" s="15" t="s">
        <v>7956</v>
      </c>
      <c r="C6060" s="15" t="s">
        <v>1477</v>
      </c>
      <c r="D6060" s="15" t="s">
        <v>7958</v>
      </c>
      <c r="E6060" s="15" t="s">
        <v>1481</v>
      </c>
    </row>
    <row r="6061" spans="2:5">
      <c r="B6061" s="15" t="s">
        <v>7956</v>
      </c>
      <c r="C6061" s="15" t="s">
        <v>1477</v>
      </c>
      <c r="D6061" s="15" t="s">
        <v>7959</v>
      </c>
      <c r="E6061" s="15" t="s">
        <v>1483</v>
      </c>
    </row>
    <row r="6062" spans="2:5">
      <c r="B6062" s="15" t="s">
        <v>7956</v>
      </c>
      <c r="C6062" s="15" t="s">
        <v>1477</v>
      </c>
      <c r="D6062" s="15" t="s">
        <v>7960</v>
      </c>
      <c r="E6062" s="15" t="s">
        <v>1485</v>
      </c>
    </row>
    <row r="6063" ht="15.95" spans="2:2">
      <c r="B6063" s="122" t="s">
        <v>7961</v>
      </c>
    </row>
    <row r="6064" spans="2:5">
      <c r="B6064" s="15" t="s">
        <v>7962</v>
      </c>
      <c r="C6064" s="15" t="s">
        <v>7963</v>
      </c>
      <c r="D6064" s="15" t="s">
        <v>770</v>
      </c>
      <c r="E6064" s="15" t="s">
        <v>7964</v>
      </c>
    </row>
    <row r="6065" spans="2:5">
      <c r="B6065" s="15" t="s">
        <v>7962</v>
      </c>
      <c r="C6065" s="15" t="s">
        <v>7963</v>
      </c>
      <c r="D6065" s="15" t="s">
        <v>772</v>
      </c>
      <c r="E6065" s="15" t="s">
        <v>6156</v>
      </c>
    </row>
    <row r="6066" spans="2:5">
      <c r="B6066" s="15" t="s">
        <v>7962</v>
      </c>
      <c r="C6066" s="15" t="s">
        <v>7963</v>
      </c>
      <c r="D6066" s="15" t="s">
        <v>774</v>
      </c>
      <c r="E6066" s="15" t="s">
        <v>7965</v>
      </c>
    </row>
    <row r="6067" spans="2:5">
      <c r="B6067" s="15" t="s">
        <v>7962</v>
      </c>
      <c r="C6067" s="15" t="s">
        <v>7963</v>
      </c>
      <c r="D6067" s="15" t="s">
        <v>828</v>
      </c>
      <c r="E6067" s="15" t="s">
        <v>7966</v>
      </c>
    </row>
    <row r="6068" spans="2:5">
      <c r="B6068" s="15" t="s">
        <v>7962</v>
      </c>
      <c r="C6068" s="15" t="s">
        <v>7963</v>
      </c>
      <c r="D6068" s="15" t="s">
        <v>901</v>
      </c>
      <c r="E6068" s="15" t="s">
        <v>7967</v>
      </c>
    </row>
    <row r="6069" spans="2:5">
      <c r="B6069" s="15" t="s">
        <v>7962</v>
      </c>
      <c r="C6069" s="15" t="s">
        <v>7963</v>
      </c>
      <c r="D6069" s="15" t="s">
        <v>776</v>
      </c>
      <c r="E6069" s="15" t="s">
        <v>948</v>
      </c>
    </row>
    <row r="6070" ht="15.95" spans="2:2">
      <c r="B6070" s="122" t="s">
        <v>7968</v>
      </c>
    </row>
    <row r="6071" spans="2:5">
      <c r="B6071" s="15" t="s">
        <v>7969</v>
      </c>
      <c r="C6071" s="15" t="s">
        <v>7970</v>
      </c>
      <c r="D6071" s="15" t="s">
        <v>770</v>
      </c>
      <c r="E6071" s="15" t="s">
        <v>7971</v>
      </c>
    </row>
    <row r="6072" spans="2:5">
      <c r="B6072" s="15" t="s">
        <v>7969</v>
      </c>
      <c r="C6072" s="15" t="s">
        <v>7970</v>
      </c>
      <c r="D6072" s="15" t="s">
        <v>772</v>
      </c>
      <c r="E6072" s="15" t="s">
        <v>7972</v>
      </c>
    </row>
    <row r="6073" ht="15.95" spans="2:2">
      <c r="B6073" s="122" t="s">
        <v>7973</v>
      </c>
    </row>
    <row r="6074" spans="2:5">
      <c r="B6074" s="15" t="s">
        <v>7974</v>
      </c>
      <c r="C6074" s="15" t="s">
        <v>7974</v>
      </c>
      <c r="D6074" s="15" t="s">
        <v>770</v>
      </c>
      <c r="E6074" s="15" t="s">
        <v>3470</v>
      </c>
    </row>
    <row r="6075" spans="2:5">
      <c r="B6075" s="15" t="s">
        <v>7974</v>
      </c>
      <c r="C6075" s="15" t="s">
        <v>7974</v>
      </c>
      <c r="D6075" s="15" t="s">
        <v>772</v>
      </c>
      <c r="E6075" s="15" t="s">
        <v>3471</v>
      </c>
    </row>
    <row r="6076" spans="2:5">
      <c r="B6076" s="15" t="s">
        <v>7974</v>
      </c>
      <c r="C6076" s="15" t="s">
        <v>7974</v>
      </c>
      <c r="D6076" s="15" t="s">
        <v>774</v>
      </c>
      <c r="E6076" s="15" t="s">
        <v>3472</v>
      </c>
    </row>
    <row r="6077" spans="2:5">
      <c r="B6077" s="15" t="s">
        <v>7974</v>
      </c>
      <c r="C6077" s="15" t="s">
        <v>7974</v>
      </c>
      <c r="D6077" s="15" t="s">
        <v>828</v>
      </c>
      <c r="E6077" s="15" t="s">
        <v>3473</v>
      </c>
    </row>
    <row r="6078" ht="15.95" spans="2:2">
      <c r="B6078" s="122" t="s">
        <v>7975</v>
      </c>
    </row>
    <row r="6079" spans="2:5">
      <c r="B6079" s="15" t="s">
        <v>7976</v>
      </c>
      <c r="C6079" s="15" t="s">
        <v>7977</v>
      </c>
      <c r="D6079" s="15" t="s">
        <v>1436</v>
      </c>
      <c r="E6079" s="15" t="s">
        <v>1437</v>
      </c>
    </row>
    <row r="6080" spans="2:5">
      <c r="B6080" s="15" t="s">
        <v>7976</v>
      </c>
      <c r="C6080" s="15" t="s">
        <v>7977</v>
      </c>
      <c r="D6080" s="15" t="s">
        <v>1438</v>
      </c>
      <c r="E6080" s="15" t="s">
        <v>1439</v>
      </c>
    </row>
    <row r="6081" spans="2:5">
      <c r="B6081" s="15" t="s">
        <v>7976</v>
      </c>
      <c r="C6081" s="15" t="s">
        <v>7977</v>
      </c>
      <c r="D6081" s="15" t="s">
        <v>1440</v>
      </c>
      <c r="E6081" s="15" t="s">
        <v>7978</v>
      </c>
    </row>
    <row r="6082" spans="2:5">
      <c r="B6082" s="15" t="s">
        <v>7976</v>
      </c>
      <c r="C6082" s="15" t="s">
        <v>7977</v>
      </c>
      <c r="D6082" s="15" t="s">
        <v>1442</v>
      </c>
      <c r="E6082" s="15" t="s">
        <v>1443</v>
      </c>
    </row>
    <row r="6083" ht="15.95" spans="2:2">
      <c r="B6083" s="122" t="s">
        <v>7979</v>
      </c>
    </row>
    <row r="6084" spans="2:5">
      <c r="B6084" s="15" t="s">
        <v>7980</v>
      </c>
      <c r="C6084" s="15" t="s">
        <v>7980</v>
      </c>
      <c r="D6084" s="15" t="s">
        <v>770</v>
      </c>
      <c r="E6084" s="15" t="s">
        <v>7981</v>
      </c>
    </row>
    <row r="6085" spans="2:5">
      <c r="B6085" s="15" t="s">
        <v>7980</v>
      </c>
      <c r="C6085" s="15" t="s">
        <v>7980</v>
      </c>
      <c r="D6085" s="15" t="s">
        <v>772</v>
      </c>
      <c r="E6085" s="15" t="s">
        <v>7982</v>
      </c>
    </row>
    <row r="6086" spans="2:5">
      <c r="B6086" s="15" t="s">
        <v>7980</v>
      </c>
      <c r="C6086" s="15" t="s">
        <v>7980</v>
      </c>
      <c r="D6086" s="15" t="s">
        <v>774</v>
      </c>
      <c r="E6086" s="15" t="s">
        <v>7983</v>
      </c>
    </row>
    <row r="6087" ht="15.95" spans="2:2">
      <c r="B6087" s="122" t="s">
        <v>7984</v>
      </c>
    </row>
    <row r="6088" spans="2:5">
      <c r="B6088" s="15" t="s">
        <v>7985</v>
      </c>
      <c r="C6088" s="15" t="s">
        <v>7986</v>
      </c>
      <c r="D6088" s="15" t="s">
        <v>770</v>
      </c>
      <c r="E6088" s="15" t="s">
        <v>7533</v>
      </c>
    </row>
    <row r="6089" spans="2:5">
      <c r="B6089" s="15" t="s">
        <v>7985</v>
      </c>
      <c r="C6089" s="15" t="s">
        <v>7986</v>
      </c>
      <c r="D6089" s="15" t="s">
        <v>772</v>
      </c>
      <c r="E6089" s="15" t="s">
        <v>7987</v>
      </c>
    </row>
    <row r="6090" spans="2:5">
      <c r="B6090" s="15" t="s">
        <v>7985</v>
      </c>
      <c r="C6090" s="15" t="s">
        <v>7986</v>
      </c>
      <c r="D6090" s="15" t="s">
        <v>774</v>
      </c>
      <c r="E6090" s="15" t="s">
        <v>7988</v>
      </c>
    </row>
    <row r="6091" spans="2:5">
      <c r="B6091" s="15" t="s">
        <v>7985</v>
      </c>
      <c r="C6091" s="15" t="s">
        <v>7986</v>
      </c>
      <c r="D6091" s="15" t="s">
        <v>828</v>
      </c>
      <c r="E6091" s="15" t="s">
        <v>7989</v>
      </c>
    </row>
    <row r="6092" spans="2:5">
      <c r="B6092" s="15" t="s">
        <v>7985</v>
      </c>
      <c r="C6092" s="15" t="s">
        <v>7986</v>
      </c>
      <c r="D6092" s="15" t="s">
        <v>901</v>
      </c>
      <c r="E6092" s="15" t="s">
        <v>7535</v>
      </c>
    </row>
    <row r="6093" spans="2:5">
      <c r="B6093" s="15" t="s">
        <v>7985</v>
      </c>
      <c r="C6093" s="15" t="s">
        <v>7986</v>
      </c>
      <c r="D6093" s="15" t="s">
        <v>776</v>
      </c>
      <c r="E6093" s="15" t="s">
        <v>7990</v>
      </c>
    </row>
    <row r="6094" ht="15.95" spans="2:2">
      <c r="B6094" s="122" t="s">
        <v>7991</v>
      </c>
    </row>
    <row r="6095" spans="2:5">
      <c r="B6095" s="15" t="s">
        <v>7992</v>
      </c>
      <c r="C6095" s="15" t="s">
        <v>7993</v>
      </c>
      <c r="D6095" s="15" t="s">
        <v>723</v>
      </c>
      <c r="E6095" s="15" t="s">
        <v>1643</v>
      </c>
    </row>
    <row r="6096" spans="2:5">
      <c r="B6096" s="15" t="s">
        <v>7992</v>
      </c>
      <c r="C6096" s="15" t="s">
        <v>7993</v>
      </c>
      <c r="D6096" s="15" t="s">
        <v>725</v>
      </c>
      <c r="E6096" s="15" t="s">
        <v>862</v>
      </c>
    </row>
    <row r="6097" ht="15.95" spans="2:2">
      <c r="B6097" s="122" t="s">
        <v>7994</v>
      </c>
    </row>
    <row r="6098" spans="2:5">
      <c r="B6098" s="15" t="s">
        <v>7995</v>
      </c>
      <c r="C6098" s="15" t="s">
        <v>7996</v>
      </c>
      <c r="D6098" s="15" t="s">
        <v>635</v>
      </c>
      <c r="E6098" s="15" t="s">
        <v>7997</v>
      </c>
    </row>
    <row r="6099" spans="2:5">
      <c r="B6099" s="15" t="s">
        <v>7995</v>
      </c>
      <c r="C6099" s="15" t="s">
        <v>7996</v>
      </c>
      <c r="D6099" s="15" t="s">
        <v>637</v>
      </c>
      <c r="E6099" s="15" t="s">
        <v>7998</v>
      </c>
    </row>
    <row r="6100" spans="2:5">
      <c r="B6100" s="15" t="s">
        <v>7995</v>
      </c>
      <c r="C6100" s="15" t="s">
        <v>7996</v>
      </c>
      <c r="D6100" s="15" t="s">
        <v>641</v>
      </c>
      <c r="E6100" s="15" t="s">
        <v>7999</v>
      </c>
    </row>
    <row r="6101" spans="2:5">
      <c r="B6101" s="15" t="s">
        <v>7995</v>
      </c>
      <c r="C6101" s="15" t="s">
        <v>7996</v>
      </c>
      <c r="D6101" s="15" t="s">
        <v>659</v>
      </c>
      <c r="E6101" s="15" t="s">
        <v>8000</v>
      </c>
    </row>
    <row r="6102" spans="2:5">
      <c r="B6102" s="15" t="s">
        <v>7995</v>
      </c>
      <c r="C6102" s="15" t="s">
        <v>7996</v>
      </c>
      <c r="D6102" s="15" t="s">
        <v>661</v>
      </c>
      <c r="E6102" s="15" t="s">
        <v>7998</v>
      </c>
    </row>
    <row r="6103" spans="2:5">
      <c r="B6103" s="15" t="s">
        <v>7995</v>
      </c>
      <c r="C6103" s="15" t="s">
        <v>7996</v>
      </c>
      <c r="D6103" s="15" t="s">
        <v>663</v>
      </c>
      <c r="E6103" s="15" t="s">
        <v>7999</v>
      </c>
    </row>
    <row r="6104" ht="15.95" spans="2:2">
      <c r="B6104" s="122" t="s">
        <v>8001</v>
      </c>
    </row>
    <row r="6105" spans="2:5">
      <c r="B6105" s="15" t="s">
        <v>8002</v>
      </c>
      <c r="C6105" s="15" t="s">
        <v>8003</v>
      </c>
      <c r="D6105" s="15" t="s">
        <v>770</v>
      </c>
      <c r="E6105" s="15" t="s">
        <v>2836</v>
      </c>
    </row>
    <row r="6106" spans="2:5">
      <c r="B6106" s="15" t="s">
        <v>8002</v>
      </c>
      <c r="C6106" s="15" t="s">
        <v>8003</v>
      </c>
      <c r="D6106" s="15" t="s">
        <v>772</v>
      </c>
      <c r="E6106" s="15" t="s">
        <v>8004</v>
      </c>
    </row>
    <row r="6107" spans="2:5">
      <c r="B6107" s="15" t="s">
        <v>8002</v>
      </c>
      <c r="C6107" s="15" t="s">
        <v>8003</v>
      </c>
      <c r="D6107" s="15" t="s">
        <v>8005</v>
      </c>
      <c r="E6107" s="15" t="s">
        <v>8006</v>
      </c>
    </row>
    <row r="6108" spans="2:5">
      <c r="B6108" s="15" t="s">
        <v>8002</v>
      </c>
      <c r="C6108" s="15" t="s">
        <v>8003</v>
      </c>
      <c r="D6108" s="15" t="s">
        <v>8007</v>
      </c>
      <c r="E6108" s="15" t="s">
        <v>4808</v>
      </c>
    </row>
    <row r="6109" spans="2:5">
      <c r="B6109" s="15" t="s">
        <v>8002</v>
      </c>
      <c r="C6109" s="15" t="s">
        <v>8003</v>
      </c>
      <c r="D6109" s="15" t="s">
        <v>8008</v>
      </c>
      <c r="E6109" s="15" t="s">
        <v>8009</v>
      </c>
    </row>
    <row r="6110" spans="2:5">
      <c r="B6110" s="15" t="s">
        <v>8002</v>
      </c>
      <c r="C6110" s="15" t="s">
        <v>8003</v>
      </c>
      <c r="D6110" s="15" t="s">
        <v>8010</v>
      </c>
      <c r="E6110" s="15" t="s">
        <v>8011</v>
      </c>
    </row>
    <row r="6111" spans="2:5">
      <c r="B6111" s="15" t="s">
        <v>8002</v>
      </c>
      <c r="C6111" s="15" t="s">
        <v>8003</v>
      </c>
      <c r="D6111" s="15" t="s">
        <v>8012</v>
      </c>
      <c r="E6111" s="15" t="s">
        <v>8013</v>
      </c>
    </row>
    <row r="6112" spans="2:5">
      <c r="B6112" s="15" t="s">
        <v>8002</v>
      </c>
      <c r="C6112" s="15" t="s">
        <v>8003</v>
      </c>
      <c r="D6112" s="15" t="s">
        <v>8014</v>
      </c>
      <c r="E6112" s="15" t="s">
        <v>8015</v>
      </c>
    </row>
    <row r="6113" spans="2:5">
      <c r="B6113" s="15" t="s">
        <v>8002</v>
      </c>
      <c r="C6113" s="15" t="s">
        <v>8003</v>
      </c>
      <c r="D6113" s="15" t="s">
        <v>8016</v>
      </c>
      <c r="E6113" s="15" t="s">
        <v>8017</v>
      </c>
    </row>
    <row r="6114" spans="2:5">
      <c r="B6114" s="15" t="s">
        <v>8002</v>
      </c>
      <c r="C6114" s="15" t="s">
        <v>8003</v>
      </c>
      <c r="D6114" s="15" t="s">
        <v>8018</v>
      </c>
      <c r="E6114" s="15" t="s">
        <v>8019</v>
      </c>
    </row>
    <row r="6115" spans="2:5">
      <c r="B6115" s="15" t="s">
        <v>8002</v>
      </c>
      <c r="C6115" s="15" t="s">
        <v>8003</v>
      </c>
      <c r="D6115" s="15" t="s">
        <v>8020</v>
      </c>
      <c r="E6115" s="15" t="s">
        <v>8021</v>
      </c>
    </row>
    <row r="6116" spans="2:5">
      <c r="B6116" s="15" t="s">
        <v>8002</v>
      </c>
      <c r="C6116" s="15" t="s">
        <v>8003</v>
      </c>
      <c r="D6116" s="15" t="s">
        <v>8022</v>
      </c>
      <c r="E6116" s="15" t="s">
        <v>1417</v>
      </c>
    </row>
    <row r="6117" spans="2:5">
      <c r="B6117" s="15" t="s">
        <v>8002</v>
      </c>
      <c r="C6117" s="15" t="s">
        <v>8003</v>
      </c>
      <c r="D6117" s="15" t="s">
        <v>8023</v>
      </c>
      <c r="E6117" s="15" t="s">
        <v>8024</v>
      </c>
    </row>
    <row r="6118" ht="15.95" spans="2:2">
      <c r="B6118" s="122" t="s">
        <v>8025</v>
      </c>
    </row>
    <row r="6119" spans="2:5">
      <c r="B6119" s="15" t="s">
        <v>8026</v>
      </c>
      <c r="C6119" s="15" t="s">
        <v>8027</v>
      </c>
      <c r="D6119" s="15" t="s">
        <v>723</v>
      </c>
      <c r="E6119" s="15" t="s">
        <v>1439</v>
      </c>
    </row>
    <row r="6120" spans="2:5">
      <c r="B6120" s="15" t="s">
        <v>8026</v>
      </c>
      <c r="C6120" s="15" t="s">
        <v>8027</v>
      </c>
      <c r="D6120" s="15" t="s">
        <v>725</v>
      </c>
      <c r="E6120" s="15" t="s">
        <v>1443</v>
      </c>
    </row>
    <row r="6121" ht="15.95" spans="2:2">
      <c r="B6121" s="122" t="s">
        <v>8028</v>
      </c>
    </row>
    <row r="6122" spans="2:5">
      <c r="B6122" s="15" t="s">
        <v>8029</v>
      </c>
      <c r="C6122" s="15" t="s">
        <v>8030</v>
      </c>
      <c r="D6122" s="15" t="s">
        <v>770</v>
      </c>
      <c r="E6122" s="15" t="s">
        <v>8031</v>
      </c>
    </row>
    <row r="6123" spans="2:5">
      <c r="B6123" s="15" t="s">
        <v>8029</v>
      </c>
      <c r="C6123" s="15" t="s">
        <v>8030</v>
      </c>
      <c r="D6123" s="15" t="s">
        <v>772</v>
      </c>
      <c r="E6123" s="15" t="s">
        <v>8032</v>
      </c>
    </row>
    <row r="6124" spans="2:5">
      <c r="B6124" s="15" t="s">
        <v>8029</v>
      </c>
      <c r="C6124" s="15" t="s">
        <v>8030</v>
      </c>
      <c r="D6124" s="15" t="s">
        <v>774</v>
      </c>
      <c r="E6124" s="15" t="s">
        <v>8033</v>
      </c>
    </row>
    <row r="6125" spans="2:5">
      <c r="B6125" s="15" t="s">
        <v>8029</v>
      </c>
      <c r="C6125" s="15" t="s">
        <v>8030</v>
      </c>
      <c r="D6125" s="15" t="s">
        <v>1143</v>
      </c>
      <c r="E6125" s="15" t="s">
        <v>235</v>
      </c>
    </row>
    <row r="6126" ht="15.95" spans="2:2">
      <c r="B6126" s="122" t="s">
        <v>8034</v>
      </c>
    </row>
    <row r="6127" spans="2:5">
      <c r="B6127" s="15" t="s">
        <v>8035</v>
      </c>
      <c r="C6127" s="15" t="s">
        <v>8036</v>
      </c>
      <c r="D6127" s="15" t="s">
        <v>770</v>
      </c>
      <c r="E6127" s="15" t="s">
        <v>8037</v>
      </c>
    </row>
    <row r="6128" spans="2:5">
      <c r="B6128" s="15" t="s">
        <v>8035</v>
      </c>
      <c r="C6128" s="15" t="s">
        <v>8036</v>
      </c>
      <c r="D6128" s="15" t="s">
        <v>772</v>
      </c>
      <c r="E6128" s="15" t="s">
        <v>3160</v>
      </c>
    </row>
    <row r="6129" spans="2:5">
      <c r="B6129" s="15" t="s">
        <v>8035</v>
      </c>
      <c r="C6129" s="15" t="s">
        <v>8036</v>
      </c>
      <c r="D6129" s="15" t="s">
        <v>774</v>
      </c>
      <c r="E6129" s="15" t="s">
        <v>8038</v>
      </c>
    </row>
    <row r="6130" spans="2:5">
      <c r="B6130" s="15" t="s">
        <v>8035</v>
      </c>
      <c r="C6130" s="15" t="s">
        <v>8036</v>
      </c>
      <c r="D6130" s="15" t="s">
        <v>828</v>
      </c>
      <c r="E6130" s="15" t="s">
        <v>8039</v>
      </c>
    </row>
    <row r="6131" spans="2:5">
      <c r="B6131" s="15" t="s">
        <v>8035</v>
      </c>
      <c r="C6131" s="15" t="s">
        <v>8036</v>
      </c>
      <c r="D6131" s="15" t="s">
        <v>901</v>
      </c>
      <c r="E6131" s="15" t="s">
        <v>235</v>
      </c>
    </row>
    <row r="6132" ht="15.95" spans="2:2">
      <c r="B6132" s="122" t="s">
        <v>8040</v>
      </c>
    </row>
    <row r="6133" spans="2:5">
      <c r="B6133" s="15" t="s">
        <v>8041</v>
      </c>
      <c r="C6133" s="15" t="s">
        <v>8042</v>
      </c>
      <c r="D6133" s="15" t="s">
        <v>770</v>
      </c>
      <c r="E6133" s="15" t="s">
        <v>8043</v>
      </c>
    </row>
    <row r="6134" spans="2:5">
      <c r="B6134" s="15" t="s">
        <v>8041</v>
      </c>
      <c r="C6134" s="15" t="s">
        <v>8042</v>
      </c>
      <c r="D6134" s="15" t="s">
        <v>772</v>
      </c>
      <c r="E6134" s="15" t="s">
        <v>8044</v>
      </c>
    </row>
    <row r="6135" spans="2:5">
      <c r="B6135" s="15" t="s">
        <v>8041</v>
      </c>
      <c r="C6135" s="15" t="s">
        <v>8042</v>
      </c>
      <c r="D6135" s="15" t="s">
        <v>774</v>
      </c>
      <c r="E6135" s="15" t="s">
        <v>8045</v>
      </c>
    </row>
    <row r="6136" spans="2:5">
      <c r="B6136" s="15" t="s">
        <v>8041</v>
      </c>
      <c r="C6136" s="15" t="s">
        <v>8042</v>
      </c>
      <c r="D6136" s="15" t="s">
        <v>828</v>
      </c>
      <c r="E6136" s="15" t="s">
        <v>8046</v>
      </c>
    </row>
    <row r="6137" spans="2:5">
      <c r="B6137" s="15" t="s">
        <v>8041</v>
      </c>
      <c r="C6137" s="15" t="s">
        <v>8042</v>
      </c>
      <c r="D6137" s="15" t="s">
        <v>901</v>
      </c>
      <c r="E6137" s="15" t="s">
        <v>8047</v>
      </c>
    </row>
    <row r="6138" ht="15.95" spans="2:2">
      <c r="B6138" s="122" t="s">
        <v>8048</v>
      </c>
    </row>
    <row r="6139" spans="2:5">
      <c r="B6139" s="15" t="s">
        <v>8049</v>
      </c>
      <c r="C6139" s="15" t="s">
        <v>8049</v>
      </c>
      <c r="D6139" s="15" t="s">
        <v>1555</v>
      </c>
      <c r="E6139" s="15" t="s">
        <v>4634</v>
      </c>
    </row>
    <row r="6140" spans="2:5">
      <c r="B6140" s="15" t="s">
        <v>8049</v>
      </c>
      <c r="C6140" s="15" t="s">
        <v>8049</v>
      </c>
      <c r="D6140" s="15" t="s">
        <v>1557</v>
      </c>
      <c r="E6140" s="15" t="s">
        <v>4635</v>
      </c>
    </row>
    <row r="6141" spans="2:5">
      <c r="B6141" s="15" t="s">
        <v>8049</v>
      </c>
      <c r="C6141" s="15" t="s">
        <v>8049</v>
      </c>
      <c r="D6141" s="15" t="s">
        <v>1559</v>
      </c>
      <c r="E6141" s="15" t="s">
        <v>4636</v>
      </c>
    </row>
    <row r="6142" spans="2:5">
      <c r="B6142" s="15" t="s">
        <v>8049</v>
      </c>
      <c r="C6142" s="15" t="s">
        <v>8049</v>
      </c>
      <c r="D6142" s="15" t="s">
        <v>1561</v>
      </c>
      <c r="E6142" s="15" t="s">
        <v>4637</v>
      </c>
    </row>
    <row r="6143" spans="2:5">
      <c r="B6143" s="15" t="s">
        <v>8049</v>
      </c>
      <c r="C6143" s="15" t="s">
        <v>8049</v>
      </c>
      <c r="D6143" s="15" t="s">
        <v>1565</v>
      </c>
      <c r="E6143" s="15" t="s">
        <v>4638</v>
      </c>
    </row>
    <row r="6144" spans="2:5">
      <c r="B6144" s="15" t="s">
        <v>8049</v>
      </c>
      <c r="C6144" s="15" t="s">
        <v>8049</v>
      </c>
      <c r="D6144" s="15" t="s">
        <v>1567</v>
      </c>
      <c r="E6144" s="15" t="s">
        <v>4639</v>
      </c>
    </row>
    <row r="6145" spans="2:5">
      <c r="B6145" s="15" t="s">
        <v>8049</v>
      </c>
      <c r="C6145" s="15" t="s">
        <v>8049</v>
      </c>
      <c r="D6145" s="15" t="s">
        <v>1569</v>
      </c>
      <c r="E6145" s="15" t="s">
        <v>4640</v>
      </c>
    </row>
    <row r="6146" spans="2:5">
      <c r="B6146" s="15" t="s">
        <v>8049</v>
      </c>
      <c r="C6146" s="15" t="s">
        <v>8049</v>
      </c>
      <c r="D6146" s="15" t="s">
        <v>1571</v>
      </c>
      <c r="E6146" s="15" t="s">
        <v>4641</v>
      </c>
    </row>
    <row r="6147" ht="15.95" spans="2:2">
      <c r="B6147" s="122" t="s">
        <v>8050</v>
      </c>
    </row>
    <row r="6148" spans="2:5">
      <c r="B6148" s="15" t="s">
        <v>8051</v>
      </c>
      <c r="C6148" s="15" t="s">
        <v>1987</v>
      </c>
      <c r="D6148" s="15" t="s">
        <v>770</v>
      </c>
      <c r="E6148" s="15" t="s">
        <v>8052</v>
      </c>
    </row>
    <row r="6149" spans="2:5">
      <c r="B6149" s="15" t="s">
        <v>8051</v>
      </c>
      <c r="C6149" s="15" t="s">
        <v>1987</v>
      </c>
      <c r="D6149" s="15" t="s">
        <v>772</v>
      </c>
      <c r="E6149" s="15" t="s">
        <v>8053</v>
      </c>
    </row>
    <row r="6150" ht="15.95" spans="2:2">
      <c r="B6150" s="122" t="s">
        <v>8054</v>
      </c>
    </row>
    <row r="6151" spans="2:5">
      <c r="B6151" s="15" t="s">
        <v>8055</v>
      </c>
      <c r="C6151" s="15" t="s">
        <v>8056</v>
      </c>
      <c r="D6151" s="15" t="s">
        <v>659</v>
      </c>
      <c r="E6151" s="15" t="s">
        <v>8057</v>
      </c>
    </row>
    <row r="6152" spans="2:5">
      <c r="B6152" s="15" t="s">
        <v>8055</v>
      </c>
      <c r="C6152" s="15" t="s">
        <v>8056</v>
      </c>
      <c r="D6152" s="15" t="s">
        <v>2416</v>
      </c>
      <c r="E6152" s="15" t="s">
        <v>7776</v>
      </c>
    </row>
    <row r="6153" spans="2:5">
      <c r="B6153" s="15" t="s">
        <v>8055</v>
      </c>
      <c r="C6153" s="15" t="s">
        <v>8056</v>
      </c>
      <c r="D6153" s="15" t="s">
        <v>679</v>
      </c>
      <c r="E6153" s="15" t="s">
        <v>4998</v>
      </c>
    </row>
    <row r="6154" ht="15.95" spans="2:2">
      <c r="B6154" s="122" t="s">
        <v>8058</v>
      </c>
    </row>
    <row r="6155" spans="2:5">
      <c r="B6155" s="15" t="s">
        <v>8059</v>
      </c>
      <c r="C6155" s="15" t="s">
        <v>8060</v>
      </c>
      <c r="D6155" s="15" t="s">
        <v>770</v>
      </c>
      <c r="E6155" s="15" t="s">
        <v>8061</v>
      </c>
    </row>
    <row r="6156" spans="2:5">
      <c r="B6156" s="15" t="s">
        <v>8059</v>
      </c>
      <c r="C6156" s="15" t="s">
        <v>8060</v>
      </c>
      <c r="D6156" s="15" t="s">
        <v>772</v>
      </c>
      <c r="E6156" s="15" t="s">
        <v>8062</v>
      </c>
    </row>
    <row r="6157" spans="2:5">
      <c r="B6157" s="15" t="s">
        <v>8059</v>
      </c>
      <c r="C6157" s="15" t="s">
        <v>8060</v>
      </c>
      <c r="D6157" s="15" t="s">
        <v>774</v>
      </c>
      <c r="E6157" s="15" t="s">
        <v>8063</v>
      </c>
    </row>
    <row r="6158" ht="15.95" spans="2:2">
      <c r="B6158" s="122" t="s">
        <v>8064</v>
      </c>
    </row>
    <row r="6159" spans="2:5">
      <c r="B6159" s="15" t="s">
        <v>8065</v>
      </c>
      <c r="C6159" s="15" t="s">
        <v>8066</v>
      </c>
      <c r="D6159" s="15" t="s">
        <v>635</v>
      </c>
      <c r="E6159" s="15" t="s">
        <v>8067</v>
      </c>
    </row>
    <row r="6160" spans="2:5">
      <c r="B6160" s="15" t="s">
        <v>8065</v>
      </c>
      <c r="C6160" s="15" t="s">
        <v>8066</v>
      </c>
      <c r="D6160" s="15" t="s">
        <v>659</v>
      </c>
      <c r="E6160" s="15" t="s">
        <v>8068</v>
      </c>
    </row>
    <row r="6161" spans="2:5">
      <c r="B6161" s="15" t="s">
        <v>8065</v>
      </c>
      <c r="C6161" s="15" t="s">
        <v>8066</v>
      </c>
      <c r="D6161" s="15" t="s">
        <v>679</v>
      </c>
      <c r="E6161" s="15" t="s">
        <v>8069</v>
      </c>
    </row>
    <row r="6162" ht="15.95" spans="2:2">
      <c r="B6162" s="122" t="s">
        <v>8070</v>
      </c>
    </row>
    <row r="6163" spans="2:5">
      <c r="B6163" s="15" t="s">
        <v>8071</v>
      </c>
      <c r="C6163" s="15" t="s">
        <v>8072</v>
      </c>
      <c r="D6163" s="15" t="s">
        <v>770</v>
      </c>
      <c r="E6163" s="15" t="s">
        <v>8073</v>
      </c>
    </row>
    <row r="6164" spans="2:5">
      <c r="B6164" s="15" t="s">
        <v>8071</v>
      </c>
      <c r="C6164" s="15" t="s">
        <v>8072</v>
      </c>
      <c r="D6164" s="15" t="s">
        <v>772</v>
      </c>
      <c r="E6164" s="15" t="s">
        <v>8074</v>
      </c>
    </row>
    <row r="6165" spans="2:5">
      <c r="B6165" s="15" t="s">
        <v>8071</v>
      </c>
      <c r="C6165" s="15" t="s">
        <v>8072</v>
      </c>
      <c r="D6165" s="15" t="s">
        <v>774</v>
      </c>
      <c r="E6165" s="15" t="s">
        <v>8075</v>
      </c>
    </row>
    <row r="6166" ht="15.95" spans="2:2">
      <c r="B6166" s="122" t="s">
        <v>8076</v>
      </c>
    </row>
    <row r="6167" spans="2:5">
      <c r="B6167" s="15" t="s">
        <v>1133</v>
      </c>
      <c r="C6167" s="15" t="s">
        <v>1133</v>
      </c>
      <c r="D6167" s="15" t="s">
        <v>723</v>
      </c>
      <c r="E6167" s="15" t="s">
        <v>8077</v>
      </c>
    </row>
    <row r="6168" spans="2:5">
      <c r="B6168" s="15" t="s">
        <v>1133</v>
      </c>
      <c r="C6168" s="15" t="s">
        <v>1133</v>
      </c>
      <c r="D6168" s="15" t="s">
        <v>725</v>
      </c>
      <c r="E6168" s="15" t="s">
        <v>8078</v>
      </c>
    </row>
    <row r="6169" spans="2:5">
      <c r="B6169" s="15" t="s">
        <v>1133</v>
      </c>
      <c r="C6169" s="15" t="s">
        <v>1133</v>
      </c>
      <c r="D6169" s="15" t="s">
        <v>727</v>
      </c>
      <c r="E6169" s="15" t="s">
        <v>8079</v>
      </c>
    </row>
    <row r="6170" ht="15.95" spans="2:2">
      <c r="B6170" s="122" t="s">
        <v>8080</v>
      </c>
    </row>
    <row r="6171" spans="2:5">
      <c r="B6171" s="15" t="s">
        <v>8081</v>
      </c>
      <c r="C6171" s="15" t="s">
        <v>5661</v>
      </c>
      <c r="D6171" s="15" t="s">
        <v>770</v>
      </c>
      <c r="E6171" s="15" t="s">
        <v>684</v>
      </c>
    </row>
    <row r="6172" spans="2:5">
      <c r="B6172" s="15" t="s">
        <v>8081</v>
      </c>
      <c r="C6172" s="15" t="s">
        <v>5661</v>
      </c>
      <c r="D6172" s="15" t="s">
        <v>772</v>
      </c>
      <c r="E6172" s="15" t="s">
        <v>686</v>
      </c>
    </row>
    <row r="6173" ht="15.95" spans="2:2">
      <c r="B6173" s="122" t="s">
        <v>8082</v>
      </c>
    </row>
    <row r="6174" spans="2:5">
      <c r="B6174" s="15" t="s">
        <v>8083</v>
      </c>
      <c r="C6174" s="15" t="s">
        <v>8084</v>
      </c>
      <c r="D6174" s="15" t="s">
        <v>1267</v>
      </c>
      <c r="E6174" s="15" t="s">
        <v>1355</v>
      </c>
    </row>
    <row r="6175" spans="2:5">
      <c r="B6175" s="15" t="s">
        <v>8083</v>
      </c>
      <c r="C6175" s="15" t="s">
        <v>8084</v>
      </c>
      <c r="D6175" s="15" t="s">
        <v>1269</v>
      </c>
      <c r="E6175" s="15" t="s">
        <v>1356</v>
      </c>
    </row>
    <row r="6176" ht="15.95" spans="2:2">
      <c r="B6176" s="122" t="s">
        <v>8085</v>
      </c>
    </row>
    <row r="6177" spans="2:5">
      <c r="B6177" s="15" t="s">
        <v>8086</v>
      </c>
      <c r="C6177" s="15" t="s">
        <v>8087</v>
      </c>
      <c r="D6177" s="15" t="s">
        <v>723</v>
      </c>
      <c r="E6177" s="15" t="s">
        <v>8088</v>
      </c>
    </row>
    <row r="6178" spans="2:5">
      <c r="B6178" s="15" t="s">
        <v>8086</v>
      </c>
      <c r="C6178" s="15" t="s">
        <v>8087</v>
      </c>
      <c r="D6178" s="15" t="s">
        <v>725</v>
      </c>
      <c r="E6178" s="15" t="s">
        <v>8089</v>
      </c>
    </row>
    <row r="6179" ht="15.95" spans="2:2">
      <c r="B6179" s="122" t="s">
        <v>8090</v>
      </c>
    </row>
    <row r="6180" spans="2:5">
      <c r="B6180" s="15" t="s">
        <v>8091</v>
      </c>
      <c r="C6180" s="15" t="s">
        <v>8091</v>
      </c>
      <c r="D6180" s="15" t="s">
        <v>723</v>
      </c>
      <c r="E6180" s="15" t="s">
        <v>8092</v>
      </c>
    </row>
    <row r="6181" spans="2:5">
      <c r="B6181" s="15" t="s">
        <v>8091</v>
      </c>
      <c r="C6181" s="15" t="s">
        <v>8091</v>
      </c>
      <c r="D6181" s="15" t="s">
        <v>725</v>
      </c>
      <c r="E6181" s="15" t="s">
        <v>8093</v>
      </c>
    </row>
    <row r="6182" spans="2:5">
      <c r="B6182" s="15" t="s">
        <v>8091</v>
      </c>
      <c r="C6182" s="15" t="s">
        <v>8091</v>
      </c>
      <c r="D6182" s="15" t="s">
        <v>727</v>
      </c>
      <c r="E6182" s="15" t="s">
        <v>8094</v>
      </c>
    </row>
    <row r="6183" spans="2:5">
      <c r="B6183" s="15" t="s">
        <v>8091</v>
      </c>
      <c r="C6183" s="15" t="s">
        <v>8091</v>
      </c>
      <c r="D6183" s="15" t="s">
        <v>729</v>
      </c>
      <c r="E6183" s="15" t="s">
        <v>1432</v>
      </c>
    </row>
    <row r="6184" ht="15.95" spans="2:2">
      <c r="B6184" s="122" t="s">
        <v>8095</v>
      </c>
    </row>
    <row r="6185" spans="2:5">
      <c r="B6185" s="15" t="s">
        <v>8096</v>
      </c>
      <c r="C6185" s="15" t="s">
        <v>8097</v>
      </c>
      <c r="D6185" s="15" t="s">
        <v>723</v>
      </c>
      <c r="E6185" s="15" t="s">
        <v>8098</v>
      </c>
    </row>
    <row r="6186" spans="2:5">
      <c r="B6186" s="15" t="s">
        <v>8096</v>
      </c>
      <c r="C6186" s="15" t="s">
        <v>8097</v>
      </c>
      <c r="D6186" s="15" t="s">
        <v>725</v>
      </c>
      <c r="E6186" s="15" t="s">
        <v>8099</v>
      </c>
    </row>
    <row r="6187" ht="15.95" spans="2:2">
      <c r="B6187" s="122" t="s">
        <v>8100</v>
      </c>
    </row>
    <row r="6188" spans="2:5">
      <c r="B6188" s="15" t="s">
        <v>8101</v>
      </c>
      <c r="C6188" s="15" t="s">
        <v>8101</v>
      </c>
      <c r="D6188" s="15" t="s">
        <v>723</v>
      </c>
      <c r="E6188" s="15" t="s">
        <v>7493</v>
      </c>
    </row>
    <row r="6189" spans="2:5">
      <c r="B6189" s="15" t="s">
        <v>8101</v>
      </c>
      <c r="C6189" s="15" t="s">
        <v>8101</v>
      </c>
      <c r="D6189" s="15" t="s">
        <v>725</v>
      </c>
      <c r="E6189" s="15" t="s">
        <v>7494</v>
      </c>
    </row>
    <row r="6190" spans="2:5">
      <c r="B6190" s="15" t="s">
        <v>8101</v>
      </c>
      <c r="C6190" s="15" t="s">
        <v>8101</v>
      </c>
      <c r="D6190" s="15" t="s">
        <v>727</v>
      </c>
      <c r="E6190" s="15" t="s">
        <v>7495</v>
      </c>
    </row>
    <row r="6191" ht="15.95" spans="2:2">
      <c r="B6191" s="122" t="s">
        <v>8102</v>
      </c>
    </row>
    <row r="6192" spans="2:5">
      <c r="B6192" s="15" t="s">
        <v>8103</v>
      </c>
      <c r="C6192" s="15" t="s">
        <v>896</v>
      </c>
      <c r="D6192" s="15" t="s">
        <v>770</v>
      </c>
      <c r="E6192" s="15" t="s">
        <v>8104</v>
      </c>
    </row>
    <row r="6193" spans="2:5">
      <c r="B6193" s="15" t="s">
        <v>8103</v>
      </c>
      <c r="C6193" s="15" t="s">
        <v>896</v>
      </c>
      <c r="D6193" s="15" t="s">
        <v>772</v>
      </c>
      <c r="E6193" s="15" t="s">
        <v>8105</v>
      </c>
    </row>
    <row r="6194" spans="2:5">
      <c r="B6194" s="15" t="s">
        <v>8103</v>
      </c>
      <c r="C6194" s="15" t="s">
        <v>896</v>
      </c>
      <c r="D6194" s="15" t="s">
        <v>774</v>
      </c>
      <c r="E6194" s="15" t="s">
        <v>8106</v>
      </c>
    </row>
    <row r="6195" spans="2:5">
      <c r="B6195" s="15" t="s">
        <v>8103</v>
      </c>
      <c r="C6195" s="15" t="s">
        <v>896</v>
      </c>
      <c r="D6195" s="15" t="s">
        <v>828</v>
      </c>
      <c r="E6195" s="15" t="s">
        <v>8107</v>
      </c>
    </row>
    <row r="6196" spans="2:5">
      <c r="B6196" s="15" t="s">
        <v>8103</v>
      </c>
      <c r="C6196" s="15" t="s">
        <v>896</v>
      </c>
      <c r="D6196" s="15" t="s">
        <v>901</v>
      </c>
      <c r="E6196" s="15" t="s">
        <v>235</v>
      </c>
    </row>
    <row r="6197" ht="15.95" spans="2:2">
      <c r="B6197" s="122" t="s">
        <v>8108</v>
      </c>
    </row>
    <row r="6198" spans="2:5">
      <c r="B6198" s="15" t="s">
        <v>8109</v>
      </c>
      <c r="C6198" s="15"/>
      <c r="D6198" s="15" t="s">
        <v>770</v>
      </c>
      <c r="E6198" s="15" t="s">
        <v>8110</v>
      </c>
    </row>
    <row r="6199" spans="2:5">
      <c r="B6199" s="15" t="s">
        <v>8109</v>
      </c>
      <c r="C6199" s="15"/>
      <c r="D6199" s="15" t="s">
        <v>780</v>
      </c>
      <c r="E6199" s="15" t="s">
        <v>8111</v>
      </c>
    </row>
    <row r="6200" spans="2:5">
      <c r="B6200" s="15" t="s">
        <v>8109</v>
      </c>
      <c r="C6200" s="15"/>
      <c r="D6200" s="15" t="s">
        <v>3040</v>
      </c>
      <c r="E6200" s="15" t="s">
        <v>8112</v>
      </c>
    </row>
    <row r="6201" spans="2:5">
      <c r="B6201" s="15" t="s">
        <v>8109</v>
      </c>
      <c r="C6201" s="15"/>
      <c r="D6201" s="15" t="s">
        <v>1372</v>
      </c>
      <c r="E6201" s="15" t="s">
        <v>8113</v>
      </c>
    </row>
    <row r="6202" ht="15.95" spans="2:2">
      <c r="B6202" s="122" t="s">
        <v>8114</v>
      </c>
    </row>
    <row r="6203" spans="2:5">
      <c r="B6203" s="15" t="s">
        <v>8115</v>
      </c>
      <c r="C6203" s="15"/>
      <c r="D6203" s="15" t="s">
        <v>917</v>
      </c>
      <c r="E6203" s="15" t="s">
        <v>1674</v>
      </c>
    </row>
    <row r="6204" spans="2:5">
      <c r="B6204" s="15" t="s">
        <v>8115</v>
      </c>
      <c r="C6204" s="15"/>
      <c r="D6204" s="15" t="s">
        <v>919</v>
      </c>
      <c r="E6204" s="15" t="s">
        <v>1675</v>
      </c>
    </row>
    <row r="6205" spans="2:5">
      <c r="B6205" s="15" t="s">
        <v>8115</v>
      </c>
      <c r="C6205" s="15"/>
      <c r="D6205" s="15" t="s">
        <v>1091</v>
      </c>
      <c r="E6205" s="15" t="s">
        <v>8116</v>
      </c>
    </row>
    <row r="6206" spans="2:5">
      <c r="B6206" s="15" t="s">
        <v>8115</v>
      </c>
      <c r="C6206" s="15"/>
      <c r="D6206" s="15" t="s">
        <v>921</v>
      </c>
      <c r="E6206" s="15" t="s">
        <v>1676</v>
      </c>
    </row>
    <row r="6207" spans="2:5">
      <c r="B6207" s="15" t="s">
        <v>8115</v>
      </c>
      <c r="C6207" s="15"/>
      <c r="D6207" s="15" t="s">
        <v>923</v>
      </c>
      <c r="E6207" s="15" t="s">
        <v>3184</v>
      </c>
    </row>
    <row r="6208" ht="15.95" spans="2:2">
      <c r="B6208" s="122" t="s">
        <v>8117</v>
      </c>
    </row>
    <row r="6209" spans="2:5">
      <c r="B6209" s="15" t="s">
        <v>8118</v>
      </c>
      <c r="C6209" s="15" t="s">
        <v>8119</v>
      </c>
      <c r="D6209" s="15" t="s">
        <v>723</v>
      </c>
      <c r="E6209" s="15" t="s">
        <v>8120</v>
      </c>
    </row>
    <row r="6210" spans="2:5">
      <c r="B6210" s="15" t="s">
        <v>8118</v>
      </c>
      <c r="C6210" s="15" t="s">
        <v>8119</v>
      </c>
      <c r="D6210" s="15" t="s">
        <v>725</v>
      </c>
      <c r="E6210" s="15" t="s">
        <v>8121</v>
      </c>
    </row>
    <row r="6211" spans="2:5">
      <c r="B6211" s="15" t="s">
        <v>8118</v>
      </c>
      <c r="C6211" s="15" t="s">
        <v>8119</v>
      </c>
      <c r="D6211" s="15" t="s">
        <v>727</v>
      </c>
      <c r="E6211" s="15" t="s">
        <v>8122</v>
      </c>
    </row>
    <row r="6212" ht="15.95" spans="2:2">
      <c r="B6212" s="122" t="s">
        <v>8123</v>
      </c>
    </row>
    <row r="6213" spans="2:5">
      <c r="B6213" s="15" t="s">
        <v>8124</v>
      </c>
      <c r="C6213" s="15" t="s">
        <v>896</v>
      </c>
      <c r="D6213" s="15" t="s">
        <v>770</v>
      </c>
      <c r="E6213" s="15" t="s">
        <v>7243</v>
      </c>
    </row>
    <row r="6214" spans="2:5">
      <c r="B6214" s="15" t="s">
        <v>8124</v>
      </c>
      <c r="C6214" s="15" t="s">
        <v>896</v>
      </c>
      <c r="D6214" s="15" t="s">
        <v>772</v>
      </c>
      <c r="E6214" s="15" t="s">
        <v>8125</v>
      </c>
    </row>
    <row r="6215" spans="2:5">
      <c r="B6215" s="15" t="s">
        <v>8124</v>
      </c>
      <c r="C6215" s="15" t="s">
        <v>896</v>
      </c>
      <c r="D6215" s="15" t="s">
        <v>774</v>
      </c>
      <c r="E6215" s="15" t="s">
        <v>8126</v>
      </c>
    </row>
    <row r="6216" ht="15.95" spans="2:2">
      <c r="B6216" s="122" t="s">
        <v>8127</v>
      </c>
    </row>
    <row r="6217" spans="2:5">
      <c r="B6217" s="15" t="s">
        <v>8128</v>
      </c>
      <c r="C6217" s="15" t="s">
        <v>8129</v>
      </c>
      <c r="D6217" s="15" t="s">
        <v>770</v>
      </c>
      <c r="E6217" s="15" t="s">
        <v>6677</v>
      </c>
    </row>
    <row r="6218" spans="2:5">
      <c r="B6218" s="15" t="s">
        <v>8128</v>
      </c>
      <c r="C6218" s="15" t="s">
        <v>8129</v>
      </c>
      <c r="D6218" s="15" t="s">
        <v>772</v>
      </c>
      <c r="E6218" s="15" t="s">
        <v>8130</v>
      </c>
    </row>
    <row r="6219" ht="15.95" spans="2:2">
      <c r="B6219" s="122" t="s">
        <v>8131</v>
      </c>
    </row>
    <row r="6220" spans="2:5">
      <c r="B6220" s="15" t="s">
        <v>8132</v>
      </c>
      <c r="C6220" s="15" t="s">
        <v>8133</v>
      </c>
      <c r="D6220" s="15" t="s">
        <v>917</v>
      </c>
      <c r="E6220" s="15" t="s">
        <v>953</v>
      </c>
    </row>
    <row r="6221" spans="2:5">
      <c r="B6221" s="15" t="s">
        <v>8132</v>
      </c>
      <c r="C6221" s="15" t="s">
        <v>8133</v>
      </c>
      <c r="D6221" s="15" t="s">
        <v>919</v>
      </c>
      <c r="E6221" s="15" t="s">
        <v>954</v>
      </c>
    </row>
    <row r="6222" spans="2:5">
      <c r="B6222" s="15" t="s">
        <v>8132</v>
      </c>
      <c r="C6222" s="15" t="s">
        <v>8133</v>
      </c>
      <c r="D6222" s="15" t="s">
        <v>955</v>
      </c>
      <c r="E6222" s="15" t="s">
        <v>956</v>
      </c>
    </row>
    <row r="6223" ht="15.95" spans="2:2">
      <c r="B6223" s="122" t="s">
        <v>8134</v>
      </c>
    </row>
    <row r="6224" spans="2:5">
      <c r="B6224" s="15" t="s">
        <v>8135</v>
      </c>
      <c r="C6224" s="15" t="s">
        <v>8136</v>
      </c>
      <c r="D6224" s="15" t="s">
        <v>4188</v>
      </c>
      <c r="E6224" s="15" t="s">
        <v>4189</v>
      </c>
    </row>
    <row r="6225" spans="2:5">
      <c r="B6225" s="15" t="s">
        <v>8135</v>
      </c>
      <c r="C6225" s="15" t="s">
        <v>8136</v>
      </c>
      <c r="D6225" s="15" t="s">
        <v>8137</v>
      </c>
      <c r="E6225" s="15" t="s">
        <v>8138</v>
      </c>
    </row>
    <row r="6226" spans="2:5">
      <c r="B6226" s="15" t="s">
        <v>8135</v>
      </c>
      <c r="C6226" s="15" t="s">
        <v>8136</v>
      </c>
      <c r="D6226" s="15" t="s">
        <v>1250</v>
      </c>
      <c r="E6226" s="15" t="s">
        <v>1251</v>
      </c>
    </row>
    <row r="6227" spans="2:5">
      <c r="B6227" s="15" t="s">
        <v>8135</v>
      </c>
      <c r="C6227" s="15" t="s">
        <v>8136</v>
      </c>
      <c r="D6227" s="15" t="s">
        <v>8139</v>
      </c>
      <c r="E6227" s="15" t="s">
        <v>3188</v>
      </c>
    </row>
    <row r="6228" spans="2:5">
      <c r="B6228" s="15" t="s">
        <v>8135</v>
      </c>
      <c r="C6228" s="15" t="s">
        <v>8136</v>
      </c>
      <c r="D6228" s="15" t="s">
        <v>8140</v>
      </c>
      <c r="E6228" s="15" t="s">
        <v>4434</v>
      </c>
    </row>
    <row r="6229" spans="2:5">
      <c r="B6229" s="15" t="s">
        <v>8135</v>
      </c>
      <c r="C6229" s="15" t="s">
        <v>8136</v>
      </c>
      <c r="D6229" s="15" t="s">
        <v>4195</v>
      </c>
      <c r="E6229" s="15" t="s">
        <v>7157</v>
      </c>
    </row>
    <row r="6230" spans="2:5">
      <c r="B6230" s="15" t="s">
        <v>8135</v>
      </c>
      <c r="C6230" s="15" t="s">
        <v>8136</v>
      </c>
      <c r="D6230" s="15" t="s">
        <v>8141</v>
      </c>
      <c r="E6230" s="15" t="s">
        <v>82</v>
      </c>
    </row>
    <row r="6231" spans="2:5">
      <c r="B6231" s="15" t="s">
        <v>8135</v>
      </c>
      <c r="C6231" s="15" t="s">
        <v>8136</v>
      </c>
      <c r="D6231" s="15" t="s">
        <v>4197</v>
      </c>
      <c r="E6231" s="15" t="s">
        <v>1256</v>
      </c>
    </row>
    <row r="6232" spans="2:5">
      <c r="B6232" s="15" t="s">
        <v>8135</v>
      </c>
      <c r="C6232" s="15" t="s">
        <v>8136</v>
      </c>
      <c r="D6232" s="15" t="s">
        <v>4198</v>
      </c>
      <c r="E6232" s="15" t="s">
        <v>4658</v>
      </c>
    </row>
    <row r="6233" spans="2:5">
      <c r="B6233" s="15" t="s">
        <v>8135</v>
      </c>
      <c r="C6233" s="15" t="s">
        <v>8136</v>
      </c>
      <c r="D6233" s="15" t="s">
        <v>1258</v>
      </c>
      <c r="E6233" s="15" t="s">
        <v>8142</v>
      </c>
    </row>
    <row r="6234" spans="2:5">
      <c r="B6234" s="15" t="s">
        <v>8135</v>
      </c>
      <c r="C6234" s="15" t="s">
        <v>8136</v>
      </c>
      <c r="D6234" s="15" t="s">
        <v>4202</v>
      </c>
      <c r="E6234" s="15" t="s">
        <v>4203</v>
      </c>
    </row>
    <row r="6235" spans="2:5">
      <c r="B6235" s="15" t="s">
        <v>8135</v>
      </c>
      <c r="C6235" s="15" t="s">
        <v>8136</v>
      </c>
      <c r="D6235" s="15" t="s">
        <v>4784</v>
      </c>
      <c r="E6235" s="15" t="s">
        <v>4434</v>
      </c>
    </row>
    <row r="6236" ht="15.95" spans="2:2">
      <c r="B6236" s="122" t="s">
        <v>8143</v>
      </c>
    </row>
    <row r="6237" spans="2:5">
      <c r="B6237" s="15" t="s">
        <v>8144</v>
      </c>
      <c r="C6237" s="15" t="s">
        <v>896</v>
      </c>
      <c r="D6237" s="15" t="s">
        <v>770</v>
      </c>
      <c r="E6237" s="15" t="s">
        <v>5334</v>
      </c>
    </row>
    <row r="6238" spans="2:5">
      <c r="B6238" s="15" t="s">
        <v>8144</v>
      </c>
      <c r="C6238" s="15" t="s">
        <v>896</v>
      </c>
      <c r="D6238" s="15" t="s">
        <v>772</v>
      </c>
      <c r="E6238" s="15" t="s">
        <v>5335</v>
      </c>
    </row>
    <row r="6239" spans="2:5">
      <c r="B6239" s="15" t="s">
        <v>8144</v>
      </c>
      <c r="C6239" s="15" t="s">
        <v>896</v>
      </c>
      <c r="D6239" s="15" t="s">
        <v>774</v>
      </c>
      <c r="E6239" s="15" t="s">
        <v>5336</v>
      </c>
    </row>
    <row r="6240" spans="2:5">
      <c r="B6240" s="15" t="s">
        <v>8144</v>
      </c>
      <c r="C6240" s="15" t="s">
        <v>896</v>
      </c>
      <c r="D6240" s="15" t="s">
        <v>828</v>
      </c>
      <c r="E6240" s="15" t="s">
        <v>5337</v>
      </c>
    </row>
    <row r="6241" spans="2:5">
      <c r="B6241" s="15" t="s">
        <v>8144</v>
      </c>
      <c r="C6241" s="15" t="s">
        <v>896</v>
      </c>
      <c r="D6241" s="15" t="s">
        <v>901</v>
      </c>
      <c r="E6241" s="15" t="s">
        <v>5338</v>
      </c>
    </row>
    <row r="6242" ht="15.95" spans="2:2">
      <c r="B6242" s="122" t="s">
        <v>8145</v>
      </c>
    </row>
    <row r="6243" spans="2:5">
      <c r="B6243" s="15" t="s">
        <v>8146</v>
      </c>
      <c r="C6243" s="15" t="s">
        <v>8147</v>
      </c>
      <c r="D6243" s="15" t="s">
        <v>4188</v>
      </c>
      <c r="E6243" s="15" t="s">
        <v>4189</v>
      </c>
    </row>
    <row r="6244" spans="2:5">
      <c r="B6244" s="15" t="s">
        <v>8146</v>
      </c>
      <c r="C6244" s="15" t="s">
        <v>8147</v>
      </c>
      <c r="D6244" s="15" t="s">
        <v>4657</v>
      </c>
      <c r="E6244" s="15" t="s">
        <v>4430</v>
      </c>
    </row>
    <row r="6245" spans="2:5">
      <c r="B6245" s="15" t="s">
        <v>8146</v>
      </c>
      <c r="C6245" s="15" t="s">
        <v>8147</v>
      </c>
      <c r="D6245" s="15" t="s">
        <v>4431</v>
      </c>
      <c r="E6245" s="15" t="s">
        <v>4203</v>
      </c>
    </row>
    <row r="6246" spans="2:5">
      <c r="B6246" s="15" t="s">
        <v>8146</v>
      </c>
      <c r="C6246" s="15" t="s">
        <v>8147</v>
      </c>
      <c r="D6246" s="15" t="s">
        <v>4195</v>
      </c>
      <c r="E6246" s="15" t="s">
        <v>4432</v>
      </c>
    </row>
    <row r="6247" spans="2:5">
      <c r="B6247" s="15" t="s">
        <v>8146</v>
      </c>
      <c r="C6247" s="15" t="s">
        <v>8147</v>
      </c>
      <c r="D6247" s="15" t="s">
        <v>4197</v>
      </c>
      <c r="E6247" s="15" t="s">
        <v>1256</v>
      </c>
    </row>
    <row r="6248" spans="2:5">
      <c r="B6248" s="15" t="s">
        <v>8146</v>
      </c>
      <c r="C6248" s="15" t="s">
        <v>8147</v>
      </c>
      <c r="D6248" s="15" t="s">
        <v>4198</v>
      </c>
      <c r="E6248" s="15" t="s">
        <v>4199</v>
      </c>
    </row>
    <row r="6249" spans="2:5">
      <c r="B6249" s="15" t="s">
        <v>8146</v>
      </c>
      <c r="C6249" s="15" t="s">
        <v>8147</v>
      </c>
      <c r="D6249" s="15" t="s">
        <v>4659</v>
      </c>
      <c r="E6249" s="15" t="s">
        <v>4434</v>
      </c>
    </row>
    <row r="6250" ht="15.95" spans="2:2">
      <c r="B6250" s="122" t="s">
        <v>8148</v>
      </c>
    </row>
    <row r="6251" spans="2:5">
      <c r="B6251" s="15" t="s">
        <v>8149</v>
      </c>
      <c r="C6251" s="15" t="s">
        <v>8150</v>
      </c>
      <c r="D6251" s="15" t="s">
        <v>1267</v>
      </c>
      <c r="E6251" s="15" t="s">
        <v>1268</v>
      </c>
    </row>
    <row r="6252" spans="2:5">
      <c r="B6252" s="15" t="s">
        <v>8149</v>
      </c>
      <c r="C6252" s="15" t="s">
        <v>8150</v>
      </c>
      <c r="D6252" s="15" t="s">
        <v>1269</v>
      </c>
      <c r="E6252" s="15" t="s">
        <v>1270</v>
      </c>
    </row>
    <row r="6253" spans="2:5">
      <c r="B6253" s="15" t="s">
        <v>8149</v>
      </c>
      <c r="C6253" s="15" t="s">
        <v>8150</v>
      </c>
      <c r="D6253" s="15" t="s">
        <v>1919</v>
      </c>
      <c r="E6253" s="15" t="s">
        <v>1920</v>
      </c>
    </row>
    <row r="6254" ht="15.95" spans="2:2">
      <c r="B6254" s="122" t="s">
        <v>8151</v>
      </c>
    </row>
    <row r="6255" spans="2:5">
      <c r="B6255" s="15" t="s">
        <v>8152</v>
      </c>
      <c r="C6255" s="15" t="s">
        <v>8153</v>
      </c>
      <c r="D6255" s="15" t="s">
        <v>770</v>
      </c>
      <c r="E6255" s="15" t="s">
        <v>6584</v>
      </c>
    </row>
    <row r="6256" spans="2:5">
      <c r="B6256" s="15" t="s">
        <v>8152</v>
      </c>
      <c r="C6256" s="15" t="s">
        <v>8153</v>
      </c>
      <c r="D6256" s="15" t="s">
        <v>772</v>
      </c>
      <c r="E6256" s="15" t="s">
        <v>8154</v>
      </c>
    </row>
    <row r="6257" spans="2:5">
      <c r="B6257" s="15" t="s">
        <v>8152</v>
      </c>
      <c r="C6257" s="15" t="s">
        <v>8153</v>
      </c>
      <c r="D6257" s="15" t="s">
        <v>774</v>
      </c>
      <c r="E6257" s="15" t="s">
        <v>8155</v>
      </c>
    </row>
    <row r="6258" ht="15.95" spans="2:2">
      <c r="B6258" s="122" t="s">
        <v>8156</v>
      </c>
    </row>
    <row r="6259" spans="2:5">
      <c r="B6259" s="15" t="s">
        <v>8157</v>
      </c>
      <c r="C6259" s="15" t="s">
        <v>8158</v>
      </c>
      <c r="D6259" s="15" t="s">
        <v>1267</v>
      </c>
      <c r="E6259" s="15" t="s">
        <v>1355</v>
      </c>
    </row>
    <row r="6260" spans="2:5">
      <c r="B6260" s="15" t="s">
        <v>8157</v>
      </c>
      <c r="C6260" s="15" t="s">
        <v>8158</v>
      </c>
      <c r="D6260" s="15" t="s">
        <v>1269</v>
      </c>
      <c r="E6260" s="15" t="s">
        <v>1356</v>
      </c>
    </row>
    <row r="6261" ht="15.95" spans="2:2">
      <c r="B6261" s="122" t="s">
        <v>8159</v>
      </c>
    </row>
    <row r="6262" spans="2:5">
      <c r="B6262" s="15" t="s">
        <v>8160</v>
      </c>
      <c r="C6262" s="15" t="s">
        <v>8161</v>
      </c>
      <c r="D6262" s="15" t="s">
        <v>917</v>
      </c>
      <c r="E6262" s="15" t="s">
        <v>918</v>
      </c>
    </row>
    <row r="6263" spans="2:5">
      <c r="B6263" s="15" t="s">
        <v>8160</v>
      </c>
      <c r="C6263" s="15" t="s">
        <v>8161</v>
      </c>
      <c r="D6263" s="15" t="s">
        <v>919</v>
      </c>
      <c r="E6263" s="15" t="s">
        <v>954</v>
      </c>
    </row>
    <row r="6264" spans="2:5">
      <c r="B6264" s="15" t="s">
        <v>8160</v>
      </c>
      <c r="C6264" s="15" t="s">
        <v>8161</v>
      </c>
      <c r="D6264" s="15" t="s">
        <v>1091</v>
      </c>
      <c r="E6264" s="15" t="s">
        <v>8162</v>
      </c>
    </row>
    <row r="6265" ht="15.95" spans="2:2">
      <c r="B6265" s="122" t="s">
        <v>8163</v>
      </c>
    </row>
    <row r="6266" spans="2:5">
      <c r="B6266" s="15" t="s">
        <v>8164</v>
      </c>
      <c r="C6266" s="15" t="s">
        <v>8165</v>
      </c>
      <c r="D6266" s="15" t="s">
        <v>770</v>
      </c>
      <c r="E6266" s="15" t="s">
        <v>8166</v>
      </c>
    </row>
    <row r="6267" spans="2:5">
      <c r="B6267" s="15" t="s">
        <v>8164</v>
      </c>
      <c r="C6267" s="15" t="s">
        <v>8165</v>
      </c>
      <c r="D6267" s="15" t="s">
        <v>772</v>
      </c>
      <c r="E6267" s="15" t="s">
        <v>8167</v>
      </c>
    </row>
    <row r="6268" spans="2:5">
      <c r="B6268" s="15" t="s">
        <v>8164</v>
      </c>
      <c r="C6268" s="15" t="s">
        <v>8165</v>
      </c>
      <c r="D6268" s="15" t="s">
        <v>774</v>
      </c>
      <c r="E6268" s="15" t="s">
        <v>8168</v>
      </c>
    </row>
    <row r="6269" spans="2:5">
      <c r="B6269" s="15" t="s">
        <v>8164</v>
      </c>
      <c r="C6269" s="15" t="s">
        <v>8165</v>
      </c>
      <c r="D6269" s="15" t="s">
        <v>828</v>
      </c>
      <c r="E6269" s="15" t="s">
        <v>8169</v>
      </c>
    </row>
    <row r="6270" spans="2:5">
      <c r="B6270" s="15" t="s">
        <v>8164</v>
      </c>
      <c r="C6270" s="15" t="s">
        <v>8165</v>
      </c>
      <c r="D6270" s="15" t="s">
        <v>901</v>
      </c>
      <c r="E6270" s="15" t="s">
        <v>8170</v>
      </c>
    </row>
    <row r="6271" spans="2:5">
      <c r="B6271" s="15" t="s">
        <v>8164</v>
      </c>
      <c r="C6271" s="15" t="s">
        <v>8165</v>
      </c>
      <c r="D6271" s="15" t="s">
        <v>776</v>
      </c>
      <c r="E6271" s="15" t="s">
        <v>8171</v>
      </c>
    </row>
    <row r="6272" spans="2:5">
      <c r="B6272" s="15" t="s">
        <v>8164</v>
      </c>
      <c r="C6272" s="15" t="s">
        <v>8165</v>
      </c>
      <c r="D6272" s="15" t="s">
        <v>1290</v>
      </c>
      <c r="E6272" s="15" t="s">
        <v>8172</v>
      </c>
    </row>
    <row r="6273" spans="2:5">
      <c r="B6273" s="15" t="s">
        <v>8164</v>
      </c>
      <c r="C6273" s="15" t="s">
        <v>8165</v>
      </c>
      <c r="D6273" s="15" t="s">
        <v>1409</v>
      </c>
      <c r="E6273" s="15" t="s">
        <v>8173</v>
      </c>
    </row>
    <row r="6274" spans="2:5">
      <c r="B6274" s="15" t="s">
        <v>8164</v>
      </c>
      <c r="C6274" s="15" t="s">
        <v>8165</v>
      </c>
      <c r="D6274" s="15" t="s">
        <v>1411</v>
      </c>
      <c r="E6274" s="15" t="s">
        <v>978</v>
      </c>
    </row>
    <row r="6275" spans="2:5">
      <c r="B6275" s="15" t="s">
        <v>8164</v>
      </c>
      <c r="C6275" s="15" t="s">
        <v>8165</v>
      </c>
      <c r="D6275" s="15" t="s">
        <v>933</v>
      </c>
      <c r="E6275" s="15" t="s">
        <v>235</v>
      </c>
    </row>
    <row r="6276" ht="15.95" spans="2:2">
      <c r="B6276" s="122" t="s">
        <v>8174</v>
      </c>
    </row>
    <row r="6277" spans="2:5">
      <c r="B6277" s="15" t="s">
        <v>8175</v>
      </c>
      <c r="C6277" s="15" t="s">
        <v>8175</v>
      </c>
      <c r="D6277" s="15" t="s">
        <v>723</v>
      </c>
      <c r="E6277" s="15" t="s">
        <v>1841</v>
      </c>
    </row>
    <row r="6278" spans="2:5">
      <c r="B6278" s="15" t="s">
        <v>8175</v>
      </c>
      <c r="C6278" s="15" t="s">
        <v>8175</v>
      </c>
      <c r="D6278" s="15" t="s">
        <v>725</v>
      </c>
      <c r="E6278" s="15" t="s">
        <v>8176</v>
      </c>
    </row>
    <row r="6279" spans="2:5">
      <c r="B6279" s="15" t="s">
        <v>8175</v>
      </c>
      <c r="C6279" s="15" t="s">
        <v>8175</v>
      </c>
      <c r="D6279" s="15" t="s">
        <v>727</v>
      </c>
      <c r="E6279" s="15" t="s">
        <v>3264</v>
      </c>
    </row>
    <row r="6280" ht="15.95" spans="2:2">
      <c r="B6280" s="122" t="s">
        <v>8177</v>
      </c>
    </row>
    <row r="6281" spans="2:5">
      <c r="B6281" s="15" t="s">
        <v>8178</v>
      </c>
      <c r="C6281" s="15" t="s">
        <v>8179</v>
      </c>
      <c r="D6281" s="15" t="s">
        <v>1267</v>
      </c>
      <c r="E6281" s="15" t="s">
        <v>1355</v>
      </c>
    </row>
    <row r="6282" spans="2:5">
      <c r="B6282" s="15" t="s">
        <v>8178</v>
      </c>
      <c r="C6282" s="15" t="s">
        <v>8179</v>
      </c>
      <c r="D6282" s="15" t="s">
        <v>1269</v>
      </c>
      <c r="E6282" s="15" t="s">
        <v>1356</v>
      </c>
    </row>
    <row r="6283" ht="15.95" spans="2:2">
      <c r="B6283" s="122" t="s">
        <v>8180</v>
      </c>
    </row>
    <row r="6284" spans="2:5">
      <c r="B6284" s="15" t="s">
        <v>8181</v>
      </c>
      <c r="C6284" s="15" t="s">
        <v>8181</v>
      </c>
      <c r="D6284" s="15" t="s">
        <v>723</v>
      </c>
      <c r="E6284" s="15" t="s">
        <v>8182</v>
      </c>
    </row>
    <row r="6285" spans="2:5">
      <c r="B6285" s="15" t="s">
        <v>8181</v>
      </c>
      <c r="C6285" s="15" t="s">
        <v>8181</v>
      </c>
      <c r="D6285" s="15" t="s">
        <v>725</v>
      </c>
      <c r="E6285" s="15" t="s">
        <v>8183</v>
      </c>
    </row>
    <row r="6286" spans="2:5">
      <c r="B6286" s="15" t="s">
        <v>8181</v>
      </c>
      <c r="C6286" s="15" t="s">
        <v>8181</v>
      </c>
      <c r="D6286" s="15" t="s">
        <v>727</v>
      </c>
      <c r="E6286" s="15" t="s">
        <v>8184</v>
      </c>
    </row>
    <row r="6287" spans="2:5">
      <c r="B6287" s="15" t="s">
        <v>8181</v>
      </c>
      <c r="C6287" s="15" t="s">
        <v>8181</v>
      </c>
      <c r="D6287" s="15" t="s">
        <v>729</v>
      </c>
      <c r="E6287" s="15" t="s">
        <v>8185</v>
      </c>
    </row>
    <row r="6288" spans="2:5">
      <c r="B6288" s="15" t="s">
        <v>8181</v>
      </c>
      <c r="C6288" s="15" t="s">
        <v>8181</v>
      </c>
      <c r="D6288" s="15" t="s">
        <v>760</v>
      </c>
      <c r="E6288" s="15" t="s">
        <v>8186</v>
      </c>
    </row>
    <row r="6289" ht="15.95" spans="2:2">
      <c r="B6289" s="122" t="s">
        <v>8187</v>
      </c>
    </row>
    <row r="6290" spans="2:5">
      <c r="B6290" s="15" t="s">
        <v>8188</v>
      </c>
      <c r="C6290" s="15" t="s">
        <v>8188</v>
      </c>
      <c r="D6290" s="15" t="s">
        <v>770</v>
      </c>
      <c r="E6290" s="15" t="s">
        <v>8189</v>
      </c>
    </row>
    <row r="6291" spans="2:5">
      <c r="B6291" s="15" t="s">
        <v>8188</v>
      </c>
      <c r="C6291" s="15" t="s">
        <v>8188</v>
      </c>
      <c r="D6291" s="15" t="s">
        <v>772</v>
      </c>
      <c r="E6291" s="15" t="s">
        <v>8190</v>
      </c>
    </row>
    <row r="6292" spans="2:5">
      <c r="B6292" s="15" t="s">
        <v>8188</v>
      </c>
      <c r="C6292" s="15" t="s">
        <v>8188</v>
      </c>
      <c r="D6292" s="15" t="s">
        <v>774</v>
      </c>
      <c r="E6292" s="15" t="s">
        <v>8191</v>
      </c>
    </row>
    <row r="6293" spans="2:5">
      <c r="B6293" s="15" t="s">
        <v>8188</v>
      </c>
      <c r="C6293" s="15" t="s">
        <v>8188</v>
      </c>
      <c r="D6293" s="15" t="s">
        <v>828</v>
      </c>
      <c r="E6293" s="15" t="s">
        <v>8192</v>
      </c>
    </row>
    <row r="6294" spans="2:5">
      <c r="B6294" s="15" t="s">
        <v>8188</v>
      </c>
      <c r="C6294" s="15" t="s">
        <v>8188</v>
      </c>
      <c r="D6294" s="15" t="s">
        <v>901</v>
      </c>
      <c r="E6294" s="15" t="s">
        <v>8193</v>
      </c>
    </row>
    <row r="6295" spans="2:5">
      <c r="B6295" s="15" t="s">
        <v>8188</v>
      </c>
      <c r="C6295" s="15" t="s">
        <v>8188</v>
      </c>
      <c r="D6295" s="15" t="s">
        <v>776</v>
      </c>
      <c r="E6295" s="15" t="s">
        <v>8194</v>
      </c>
    </row>
    <row r="6296" ht="15.95" spans="2:2">
      <c r="B6296" s="122" t="s">
        <v>8195</v>
      </c>
    </row>
    <row r="6297" spans="2:5">
      <c r="B6297" s="15" t="s">
        <v>8196</v>
      </c>
      <c r="C6297" s="15" t="s">
        <v>8197</v>
      </c>
      <c r="D6297" s="15" t="s">
        <v>770</v>
      </c>
      <c r="E6297" s="15" t="s">
        <v>8198</v>
      </c>
    </row>
    <row r="6298" spans="2:5">
      <c r="B6298" s="15" t="s">
        <v>8196</v>
      </c>
      <c r="C6298" s="15" t="s">
        <v>8197</v>
      </c>
      <c r="D6298" s="15" t="s">
        <v>772</v>
      </c>
      <c r="E6298" s="15" t="s">
        <v>2122</v>
      </c>
    </row>
    <row r="6299" spans="2:5">
      <c r="B6299" s="15" t="s">
        <v>8196</v>
      </c>
      <c r="C6299" s="15" t="s">
        <v>8197</v>
      </c>
      <c r="D6299" s="15" t="s">
        <v>774</v>
      </c>
      <c r="E6299" s="15" t="s">
        <v>8199</v>
      </c>
    </row>
    <row r="6300" spans="2:5">
      <c r="B6300" s="15" t="s">
        <v>8196</v>
      </c>
      <c r="C6300" s="15" t="s">
        <v>8197</v>
      </c>
      <c r="D6300" s="15" t="s">
        <v>828</v>
      </c>
      <c r="E6300" s="15" t="s">
        <v>8200</v>
      </c>
    </row>
    <row r="6301" spans="2:5">
      <c r="B6301" s="15" t="s">
        <v>8196</v>
      </c>
      <c r="C6301" s="15" t="s">
        <v>8197</v>
      </c>
      <c r="D6301" s="15" t="s">
        <v>901</v>
      </c>
      <c r="E6301" s="15" t="s">
        <v>8201</v>
      </c>
    </row>
    <row r="6302" spans="2:5">
      <c r="B6302" s="15" t="s">
        <v>8196</v>
      </c>
      <c r="C6302" s="15" t="s">
        <v>8197</v>
      </c>
      <c r="D6302" s="15" t="s">
        <v>776</v>
      </c>
      <c r="E6302" s="15" t="s">
        <v>8202</v>
      </c>
    </row>
    <row r="6303" spans="2:5">
      <c r="B6303" s="15" t="s">
        <v>8196</v>
      </c>
      <c r="C6303" s="15" t="s">
        <v>8197</v>
      </c>
      <c r="D6303" s="15" t="s">
        <v>1290</v>
      </c>
      <c r="E6303" s="15" t="s">
        <v>8203</v>
      </c>
    </row>
    <row r="6304" spans="2:5">
      <c r="B6304" s="15" t="s">
        <v>8196</v>
      </c>
      <c r="C6304" s="15" t="s">
        <v>8197</v>
      </c>
      <c r="D6304" s="15" t="s">
        <v>1409</v>
      </c>
      <c r="E6304" s="15" t="s">
        <v>8204</v>
      </c>
    </row>
    <row r="6305" spans="2:5">
      <c r="B6305" s="15" t="s">
        <v>8196</v>
      </c>
      <c r="C6305" s="15" t="s">
        <v>8197</v>
      </c>
      <c r="D6305" s="15" t="s">
        <v>1411</v>
      </c>
      <c r="E6305" s="15" t="s">
        <v>8205</v>
      </c>
    </row>
    <row r="6306" ht="15.95" spans="2:2">
      <c r="B6306" s="122" t="s">
        <v>8206</v>
      </c>
    </row>
    <row r="6307" spans="2:5">
      <c r="B6307" s="15" t="s">
        <v>8207</v>
      </c>
      <c r="C6307" s="15" t="s">
        <v>8207</v>
      </c>
      <c r="D6307" s="15" t="s">
        <v>723</v>
      </c>
      <c r="E6307" s="15" t="s">
        <v>8208</v>
      </c>
    </row>
    <row r="6308" spans="2:5">
      <c r="B6308" s="15" t="s">
        <v>8207</v>
      </c>
      <c r="C6308" s="15" t="s">
        <v>8207</v>
      </c>
      <c r="D6308" s="15" t="s">
        <v>725</v>
      </c>
      <c r="E6308" s="15" t="s">
        <v>8209</v>
      </c>
    </row>
    <row r="6309" spans="2:5">
      <c r="B6309" s="15" t="s">
        <v>8207</v>
      </c>
      <c r="C6309" s="15" t="s">
        <v>8207</v>
      </c>
      <c r="D6309" s="15" t="s">
        <v>727</v>
      </c>
      <c r="E6309" s="15" t="s">
        <v>8210</v>
      </c>
    </row>
    <row r="6310" spans="2:5">
      <c r="B6310" s="15" t="s">
        <v>8207</v>
      </c>
      <c r="C6310" s="15" t="s">
        <v>8207</v>
      </c>
      <c r="D6310" s="15" t="s">
        <v>729</v>
      </c>
      <c r="E6310" s="15" t="s">
        <v>8211</v>
      </c>
    </row>
    <row r="6311" ht="15.95" spans="2:2">
      <c r="B6311" s="122" t="s">
        <v>8212</v>
      </c>
    </row>
    <row r="6312" spans="2:5">
      <c r="B6312" s="15" t="s">
        <v>8213</v>
      </c>
      <c r="C6312" s="15" t="s">
        <v>8214</v>
      </c>
      <c r="D6312" s="15" t="s">
        <v>917</v>
      </c>
      <c r="E6312" s="15" t="s">
        <v>1504</v>
      </c>
    </row>
    <row r="6313" spans="2:5">
      <c r="B6313" s="15" t="s">
        <v>8213</v>
      </c>
      <c r="C6313" s="15" t="s">
        <v>8214</v>
      </c>
      <c r="D6313" s="15" t="s">
        <v>919</v>
      </c>
      <c r="E6313" s="15" t="s">
        <v>1505</v>
      </c>
    </row>
    <row r="6314" spans="2:5">
      <c r="B6314" s="15" t="s">
        <v>8213</v>
      </c>
      <c r="C6314" s="15" t="s">
        <v>8214</v>
      </c>
      <c r="D6314" s="15" t="s">
        <v>921</v>
      </c>
      <c r="E6314" s="15" t="s">
        <v>1506</v>
      </c>
    </row>
    <row r="6315" ht="15.95" spans="2:2">
      <c r="B6315" s="122" t="s">
        <v>8215</v>
      </c>
    </row>
    <row r="6316" spans="2:5">
      <c r="B6316" s="15" t="s">
        <v>8216</v>
      </c>
      <c r="C6316" s="15" t="s">
        <v>8217</v>
      </c>
      <c r="D6316" s="15" t="s">
        <v>1267</v>
      </c>
      <c r="E6316" s="15" t="s">
        <v>1268</v>
      </c>
    </row>
    <row r="6317" spans="2:5">
      <c r="B6317" s="15" t="s">
        <v>8216</v>
      </c>
      <c r="C6317" s="15" t="s">
        <v>8217</v>
      </c>
      <c r="D6317" s="15" t="s">
        <v>1269</v>
      </c>
      <c r="E6317" s="15" t="s">
        <v>1270</v>
      </c>
    </row>
    <row r="6318" ht="15.95" spans="2:2">
      <c r="B6318" s="122" t="s">
        <v>8218</v>
      </c>
    </row>
    <row r="6319" spans="2:5">
      <c r="B6319" s="15" t="s">
        <v>8219</v>
      </c>
      <c r="C6319" s="15" t="s">
        <v>8219</v>
      </c>
      <c r="D6319" s="15" t="s">
        <v>770</v>
      </c>
      <c r="E6319" s="15" t="s">
        <v>8220</v>
      </c>
    </row>
    <row r="6320" spans="2:5">
      <c r="B6320" s="15" t="s">
        <v>8219</v>
      </c>
      <c r="C6320" s="15" t="s">
        <v>8219</v>
      </c>
      <c r="D6320" s="15" t="s">
        <v>772</v>
      </c>
      <c r="E6320" s="15" t="s">
        <v>8221</v>
      </c>
    </row>
    <row r="6321" spans="2:5">
      <c r="B6321" s="15" t="s">
        <v>8219</v>
      </c>
      <c r="C6321" s="15" t="s">
        <v>8219</v>
      </c>
      <c r="D6321" s="15" t="s">
        <v>774</v>
      </c>
      <c r="E6321" s="15" t="s">
        <v>8222</v>
      </c>
    </row>
    <row r="6322" spans="2:5">
      <c r="B6322" s="15" t="s">
        <v>8219</v>
      </c>
      <c r="C6322" s="15" t="s">
        <v>8219</v>
      </c>
      <c r="D6322" s="15" t="s">
        <v>828</v>
      </c>
      <c r="E6322" s="15" t="s">
        <v>8223</v>
      </c>
    </row>
    <row r="6323" ht="15.95" spans="2:2">
      <c r="B6323" s="122" t="s">
        <v>8224</v>
      </c>
    </row>
    <row r="6324" spans="2:5">
      <c r="B6324" s="15" t="s">
        <v>8225</v>
      </c>
      <c r="C6324" s="15" t="s">
        <v>8226</v>
      </c>
      <c r="D6324" s="15" t="s">
        <v>770</v>
      </c>
      <c r="E6324" s="15" t="s">
        <v>8227</v>
      </c>
    </row>
    <row r="6325" spans="2:5">
      <c r="B6325" s="15" t="s">
        <v>8225</v>
      </c>
      <c r="C6325" s="15" t="s">
        <v>8226</v>
      </c>
      <c r="D6325" s="15" t="s">
        <v>772</v>
      </c>
      <c r="E6325" s="15" t="s">
        <v>8228</v>
      </c>
    </row>
    <row r="6326" spans="2:5">
      <c r="B6326" s="15" t="s">
        <v>8225</v>
      </c>
      <c r="C6326" s="15" t="s">
        <v>8226</v>
      </c>
      <c r="D6326" s="15" t="s">
        <v>774</v>
      </c>
      <c r="E6326" s="15" t="s">
        <v>8229</v>
      </c>
    </row>
    <row r="6327" ht="15.95" spans="2:2">
      <c r="B6327" s="122" t="s">
        <v>8230</v>
      </c>
    </row>
    <row r="6328" spans="2:5">
      <c r="B6328" s="15" t="s">
        <v>8231</v>
      </c>
      <c r="C6328" s="15" t="s">
        <v>8232</v>
      </c>
      <c r="D6328" s="15" t="s">
        <v>780</v>
      </c>
      <c r="E6328" s="15" t="s">
        <v>4159</v>
      </c>
    </row>
    <row r="6329" spans="2:5">
      <c r="B6329" s="15" t="s">
        <v>8231</v>
      </c>
      <c r="C6329" s="15" t="s">
        <v>8232</v>
      </c>
      <c r="D6329" s="15" t="s">
        <v>3040</v>
      </c>
      <c r="E6329" s="15" t="s">
        <v>4160</v>
      </c>
    </row>
    <row r="6330" spans="2:5">
      <c r="B6330" s="15" t="s">
        <v>8231</v>
      </c>
      <c r="C6330" s="15" t="s">
        <v>8232</v>
      </c>
      <c r="D6330" s="15" t="s">
        <v>1372</v>
      </c>
      <c r="E6330" s="15" t="s">
        <v>4162</v>
      </c>
    </row>
    <row r="6331" spans="2:5">
      <c r="B6331" s="15" t="s">
        <v>8231</v>
      </c>
      <c r="C6331" s="15" t="s">
        <v>8232</v>
      </c>
      <c r="D6331" s="15" t="s">
        <v>3147</v>
      </c>
      <c r="E6331" s="15" t="s">
        <v>4163</v>
      </c>
    </row>
    <row r="6332" spans="2:5">
      <c r="B6332" s="15" t="s">
        <v>8231</v>
      </c>
      <c r="C6332" s="15" t="s">
        <v>8232</v>
      </c>
      <c r="D6332" s="15" t="s">
        <v>3149</v>
      </c>
      <c r="E6332" s="15" t="s">
        <v>4164</v>
      </c>
    </row>
    <row r="6333" spans="2:5">
      <c r="B6333" s="15" t="s">
        <v>8231</v>
      </c>
      <c r="C6333" s="15" t="s">
        <v>8232</v>
      </c>
      <c r="D6333" s="15" t="s">
        <v>3151</v>
      </c>
      <c r="E6333" s="15" t="s">
        <v>4165</v>
      </c>
    </row>
    <row r="6334" spans="2:5">
      <c r="B6334" s="15" t="s">
        <v>8231</v>
      </c>
      <c r="C6334" s="15" t="s">
        <v>8232</v>
      </c>
      <c r="D6334" s="15" t="s">
        <v>5146</v>
      </c>
      <c r="E6334" s="15" t="s">
        <v>235</v>
      </c>
    </row>
    <row r="6335" ht="15.95" spans="2:2">
      <c r="B6335" s="122" t="s">
        <v>8233</v>
      </c>
    </row>
    <row r="6336" spans="2:5">
      <c r="B6336" s="15" t="s">
        <v>8234</v>
      </c>
      <c r="C6336" s="15" t="s">
        <v>8234</v>
      </c>
      <c r="D6336" s="15" t="s">
        <v>723</v>
      </c>
      <c r="E6336" s="15" t="s">
        <v>8235</v>
      </c>
    </row>
    <row r="6337" spans="2:5">
      <c r="B6337" s="15" t="s">
        <v>8234</v>
      </c>
      <c r="C6337" s="15" t="s">
        <v>8234</v>
      </c>
      <c r="D6337" s="15" t="s">
        <v>725</v>
      </c>
      <c r="E6337" s="15" t="s">
        <v>8236</v>
      </c>
    </row>
    <row r="6338" spans="2:5">
      <c r="B6338" s="15" t="s">
        <v>8234</v>
      </c>
      <c r="C6338" s="15" t="s">
        <v>8234</v>
      </c>
      <c r="D6338" s="15" t="s">
        <v>727</v>
      </c>
      <c r="E6338" s="15" t="s">
        <v>8237</v>
      </c>
    </row>
    <row r="6339" spans="2:5">
      <c r="B6339" s="15" t="s">
        <v>8234</v>
      </c>
      <c r="C6339" s="15" t="s">
        <v>8234</v>
      </c>
      <c r="D6339" s="15" t="s">
        <v>729</v>
      </c>
      <c r="E6339" s="15" t="s">
        <v>8238</v>
      </c>
    </row>
    <row r="6340" ht="15.95" spans="2:2">
      <c r="B6340" s="122" t="s">
        <v>8239</v>
      </c>
    </row>
    <row r="6341" spans="2:5">
      <c r="B6341" s="15" t="s">
        <v>8240</v>
      </c>
      <c r="C6341" s="15" t="s">
        <v>2347</v>
      </c>
      <c r="D6341" s="15" t="s">
        <v>8241</v>
      </c>
      <c r="E6341" s="15" t="s">
        <v>7450</v>
      </c>
    </row>
    <row r="6342" spans="2:5">
      <c r="B6342" s="15" t="s">
        <v>8240</v>
      </c>
      <c r="C6342" s="15" t="s">
        <v>2347</v>
      </c>
      <c r="D6342" s="15" t="s">
        <v>8242</v>
      </c>
      <c r="E6342" s="15" t="s">
        <v>7451</v>
      </c>
    </row>
    <row r="6343" spans="2:5">
      <c r="B6343" s="15" t="s">
        <v>8240</v>
      </c>
      <c r="C6343" s="15" t="s">
        <v>2347</v>
      </c>
      <c r="D6343" s="15" t="s">
        <v>8243</v>
      </c>
      <c r="E6343" s="15" t="s">
        <v>7452</v>
      </c>
    </row>
    <row r="6344" spans="2:5">
      <c r="B6344" s="15" t="s">
        <v>8240</v>
      </c>
      <c r="C6344" s="15" t="s">
        <v>2347</v>
      </c>
      <c r="D6344" s="15" t="s">
        <v>8244</v>
      </c>
      <c r="E6344" s="15" t="s">
        <v>7453</v>
      </c>
    </row>
    <row r="6345" spans="2:5">
      <c r="B6345" s="15" t="s">
        <v>8240</v>
      </c>
      <c r="C6345" s="15" t="s">
        <v>2347</v>
      </c>
      <c r="D6345" s="15" t="s">
        <v>8245</v>
      </c>
      <c r="E6345" s="15" t="s">
        <v>7454</v>
      </c>
    </row>
    <row r="6346" spans="2:5">
      <c r="B6346" s="15" t="s">
        <v>8240</v>
      </c>
      <c r="C6346" s="15" t="s">
        <v>2347</v>
      </c>
      <c r="D6346" s="15" t="s">
        <v>8246</v>
      </c>
      <c r="E6346" s="15" t="s">
        <v>7455</v>
      </c>
    </row>
    <row r="6347" spans="2:5">
      <c r="B6347" s="15" t="s">
        <v>8240</v>
      </c>
      <c r="C6347" s="15" t="s">
        <v>2347</v>
      </c>
      <c r="D6347" s="15" t="s">
        <v>8247</v>
      </c>
      <c r="E6347" s="15" t="s">
        <v>7456</v>
      </c>
    </row>
    <row r="6348" spans="2:5">
      <c r="B6348" s="15" t="s">
        <v>8240</v>
      </c>
      <c r="C6348" s="15" t="s">
        <v>2347</v>
      </c>
      <c r="D6348" s="15" t="s">
        <v>8248</v>
      </c>
      <c r="E6348" s="15" t="s">
        <v>7457</v>
      </c>
    </row>
    <row r="6349" spans="2:5">
      <c r="B6349" s="15" t="s">
        <v>8240</v>
      </c>
      <c r="C6349" s="15" t="s">
        <v>2347</v>
      </c>
      <c r="D6349" s="15" t="s">
        <v>8249</v>
      </c>
      <c r="E6349" s="15" t="s">
        <v>7458</v>
      </c>
    </row>
    <row r="6350" spans="2:5">
      <c r="B6350" s="15" t="s">
        <v>8240</v>
      </c>
      <c r="C6350" s="15" t="s">
        <v>2347</v>
      </c>
      <c r="D6350" s="15" t="s">
        <v>8250</v>
      </c>
      <c r="E6350" s="15" t="s">
        <v>8251</v>
      </c>
    </row>
    <row r="6351" spans="2:5">
      <c r="B6351" s="15" t="s">
        <v>8240</v>
      </c>
      <c r="C6351" s="15" t="s">
        <v>2347</v>
      </c>
      <c r="D6351" s="15" t="s">
        <v>8252</v>
      </c>
      <c r="E6351" s="15" t="s">
        <v>8253</v>
      </c>
    </row>
    <row r="6352" spans="2:5">
      <c r="B6352" s="15" t="s">
        <v>8240</v>
      </c>
      <c r="C6352" s="15" t="s">
        <v>2347</v>
      </c>
      <c r="D6352" s="15" t="s">
        <v>8254</v>
      </c>
      <c r="E6352" s="15" t="s">
        <v>8255</v>
      </c>
    </row>
    <row r="6353" spans="2:5">
      <c r="B6353" s="15" t="s">
        <v>8240</v>
      </c>
      <c r="C6353" s="15" t="s">
        <v>2347</v>
      </c>
      <c r="D6353" s="15" t="s">
        <v>8256</v>
      </c>
      <c r="E6353" s="15" t="s">
        <v>8257</v>
      </c>
    </row>
    <row r="6354" spans="2:5">
      <c r="B6354" s="15" t="s">
        <v>8240</v>
      </c>
      <c r="C6354" s="15" t="s">
        <v>2347</v>
      </c>
      <c r="D6354" s="15" t="s">
        <v>8258</v>
      </c>
      <c r="E6354" s="15" t="s">
        <v>8259</v>
      </c>
    </row>
    <row r="6355" spans="2:5">
      <c r="B6355" s="15" t="s">
        <v>8240</v>
      </c>
      <c r="C6355" s="15" t="s">
        <v>2347</v>
      </c>
      <c r="D6355" s="15" t="s">
        <v>8260</v>
      </c>
      <c r="E6355" s="15" t="s">
        <v>8261</v>
      </c>
    </row>
    <row r="6356" spans="2:5">
      <c r="B6356" s="15" t="s">
        <v>8240</v>
      </c>
      <c r="C6356" s="15" t="s">
        <v>2347</v>
      </c>
      <c r="D6356" s="15" t="s">
        <v>8262</v>
      </c>
      <c r="E6356" s="15" t="s">
        <v>8263</v>
      </c>
    </row>
    <row r="6357" spans="2:5">
      <c r="B6357" s="15" t="s">
        <v>8240</v>
      </c>
      <c r="C6357" s="15" t="s">
        <v>2347</v>
      </c>
      <c r="D6357" s="15" t="s">
        <v>8264</v>
      </c>
      <c r="E6357" s="15" t="s">
        <v>235</v>
      </c>
    </row>
    <row r="6358" ht="15.95" spans="2:2">
      <c r="B6358" s="122" t="s">
        <v>8265</v>
      </c>
    </row>
    <row r="6359" spans="2:5">
      <c r="B6359" s="15" t="s">
        <v>8266</v>
      </c>
      <c r="C6359" s="15" t="s">
        <v>8267</v>
      </c>
      <c r="D6359" s="15" t="s">
        <v>1267</v>
      </c>
      <c r="E6359" s="15" t="s">
        <v>1268</v>
      </c>
    </row>
    <row r="6360" spans="2:5">
      <c r="B6360" s="15" t="s">
        <v>8266</v>
      </c>
      <c r="C6360" s="15" t="s">
        <v>8267</v>
      </c>
      <c r="D6360" s="15" t="s">
        <v>1269</v>
      </c>
      <c r="E6360" s="15" t="s">
        <v>1270</v>
      </c>
    </row>
    <row r="6361" ht="15.95" spans="2:2">
      <c r="B6361" s="122" t="s">
        <v>8268</v>
      </c>
    </row>
    <row r="6362" spans="2:5">
      <c r="B6362" s="15" t="s">
        <v>8269</v>
      </c>
      <c r="C6362" s="15" t="s">
        <v>896</v>
      </c>
      <c r="D6362" s="15" t="s">
        <v>770</v>
      </c>
      <c r="E6362" s="15" t="s">
        <v>1278</v>
      </c>
    </row>
    <row r="6363" spans="2:5">
      <c r="B6363" s="15" t="s">
        <v>8269</v>
      </c>
      <c r="C6363" s="15" t="s">
        <v>896</v>
      </c>
      <c r="D6363" s="15" t="s">
        <v>772</v>
      </c>
      <c r="E6363" s="15" t="s">
        <v>8270</v>
      </c>
    </row>
    <row r="6364" spans="2:5">
      <c r="B6364" s="15" t="s">
        <v>8269</v>
      </c>
      <c r="C6364" s="15" t="s">
        <v>896</v>
      </c>
      <c r="D6364" s="15" t="s">
        <v>774</v>
      </c>
      <c r="E6364" s="15" t="s">
        <v>1280</v>
      </c>
    </row>
    <row r="6365" spans="2:5">
      <c r="B6365" s="15" t="s">
        <v>8269</v>
      </c>
      <c r="C6365" s="15" t="s">
        <v>896</v>
      </c>
      <c r="D6365" s="15" t="s">
        <v>828</v>
      </c>
      <c r="E6365" s="15" t="s">
        <v>8271</v>
      </c>
    </row>
    <row r="6366" ht="15.95" spans="2:2">
      <c r="B6366" s="122" t="s">
        <v>8272</v>
      </c>
    </row>
    <row r="6367" spans="2:5">
      <c r="B6367" s="15" t="s">
        <v>8273</v>
      </c>
      <c r="C6367" s="15" t="s">
        <v>8274</v>
      </c>
      <c r="D6367" s="15" t="s">
        <v>6981</v>
      </c>
      <c r="E6367" s="15" t="s">
        <v>8275</v>
      </c>
    </row>
    <row r="6368" spans="2:5">
      <c r="B6368" s="15" t="s">
        <v>8273</v>
      </c>
      <c r="C6368" s="15" t="s">
        <v>8274</v>
      </c>
      <c r="D6368" s="15" t="s">
        <v>8276</v>
      </c>
      <c r="E6368" s="15" t="s">
        <v>8277</v>
      </c>
    </row>
    <row r="6369" spans="2:5">
      <c r="B6369" s="15" t="s">
        <v>8273</v>
      </c>
      <c r="C6369" s="15" t="s">
        <v>8274</v>
      </c>
      <c r="D6369" s="15" t="s">
        <v>6005</v>
      </c>
      <c r="E6369" s="15" t="s">
        <v>8278</v>
      </c>
    </row>
    <row r="6370" spans="2:5">
      <c r="B6370" s="15" t="s">
        <v>8273</v>
      </c>
      <c r="C6370" s="15" t="s">
        <v>8274</v>
      </c>
      <c r="D6370" s="15" t="s">
        <v>8279</v>
      </c>
      <c r="E6370" s="15" t="s">
        <v>8280</v>
      </c>
    </row>
    <row r="6371" spans="2:5">
      <c r="B6371" s="15" t="s">
        <v>8273</v>
      </c>
      <c r="C6371" s="15" t="s">
        <v>8274</v>
      </c>
      <c r="D6371" s="15" t="s">
        <v>7079</v>
      </c>
      <c r="E6371" s="15" t="s">
        <v>8281</v>
      </c>
    </row>
    <row r="6372" spans="2:5">
      <c r="B6372" s="15" t="s">
        <v>8273</v>
      </c>
      <c r="C6372" s="15" t="s">
        <v>8274</v>
      </c>
      <c r="D6372" s="15" t="s">
        <v>8282</v>
      </c>
      <c r="E6372" s="15" t="s">
        <v>8283</v>
      </c>
    </row>
    <row r="6373" spans="2:5">
      <c r="B6373" s="15" t="s">
        <v>8273</v>
      </c>
      <c r="C6373" s="15" t="s">
        <v>8274</v>
      </c>
      <c r="D6373" s="15" t="s">
        <v>8284</v>
      </c>
      <c r="E6373" s="15" t="s">
        <v>8285</v>
      </c>
    </row>
    <row r="6374" spans="2:5">
      <c r="B6374" s="15" t="s">
        <v>8273</v>
      </c>
      <c r="C6374" s="15" t="s">
        <v>8274</v>
      </c>
      <c r="D6374" s="15" t="s">
        <v>7163</v>
      </c>
      <c r="E6374" s="15" t="s">
        <v>7164</v>
      </c>
    </row>
    <row r="6375" spans="2:5">
      <c r="B6375" s="15" t="s">
        <v>8273</v>
      </c>
      <c r="C6375" s="15" t="s">
        <v>8274</v>
      </c>
      <c r="D6375" s="15" t="s">
        <v>7165</v>
      </c>
      <c r="E6375" s="15" t="s">
        <v>7166</v>
      </c>
    </row>
    <row r="6376" spans="2:5">
      <c r="B6376" s="15" t="s">
        <v>8273</v>
      </c>
      <c r="C6376" s="15" t="s">
        <v>8274</v>
      </c>
      <c r="D6376" s="15" t="s">
        <v>7167</v>
      </c>
      <c r="E6376" s="15" t="s">
        <v>8286</v>
      </c>
    </row>
    <row r="6377" spans="2:5">
      <c r="B6377" s="15" t="s">
        <v>8273</v>
      </c>
      <c r="C6377" s="15" t="s">
        <v>8274</v>
      </c>
      <c r="D6377" s="15" t="s">
        <v>7175</v>
      </c>
      <c r="E6377" s="15" t="s">
        <v>8287</v>
      </c>
    </row>
    <row r="6378" spans="2:5">
      <c r="B6378" s="15" t="s">
        <v>8273</v>
      </c>
      <c r="C6378" s="15" t="s">
        <v>8274</v>
      </c>
      <c r="D6378" s="15" t="s">
        <v>8288</v>
      </c>
      <c r="E6378" s="15" t="s">
        <v>8289</v>
      </c>
    </row>
    <row r="6379" spans="2:5">
      <c r="B6379" s="15" t="s">
        <v>8273</v>
      </c>
      <c r="C6379" s="15" t="s">
        <v>8274</v>
      </c>
      <c r="D6379" s="15" t="s">
        <v>7180</v>
      </c>
      <c r="E6379" s="15" t="s">
        <v>8290</v>
      </c>
    </row>
    <row r="6380" spans="2:5">
      <c r="B6380" s="15" t="s">
        <v>8273</v>
      </c>
      <c r="C6380" s="15" t="s">
        <v>8274</v>
      </c>
      <c r="D6380" s="15" t="s">
        <v>8291</v>
      </c>
      <c r="E6380" s="15" t="s">
        <v>8292</v>
      </c>
    </row>
    <row r="6381" spans="2:5">
      <c r="B6381" s="15" t="s">
        <v>8273</v>
      </c>
      <c r="C6381" s="15" t="s">
        <v>8274</v>
      </c>
      <c r="D6381" s="15" t="s">
        <v>7207</v>
      </c>
      <c r="E6381" s="15" t="s">
        <v>8293</v>
      </c>
    </row>
    <row r="6382" ht="15.95" spans="2:2">
      <c r="B6382" s="122" t="s">
        <v>8294</v>
      </c>
    </row>
    <row r="6383" spans="2:5">
      <c r="B6383" s="15" t="s">
        <v>8295</v>
      </c>
      <c r="C6383" s="15" t="s">
        <v>8296</v>
      </c>
      <c r="D6383" s="15" t="s">
        <v>723</v>
      </c>
      <c r="E6383" s="15" t="s">
        <v>3727</v>
      </c>
    </row>
    <row r="6384" spans="2:5">
      <c r="B6384" s="15" t="s">
        <v>8295</v>
      </c>
      <c r="C6384" s="15" t="s">
        <v>8296</v>
      </c>
      <c r="D6384" s="15" t="s">
        <v>725</v>
      </c>
      <c r="E6384" s="15" t="s">
        <v>3728</v>
      </c>
    </row>
    <row r="6385" spans="2:5">
      <c r="B6385" s="15" t="s">
        <v>8295</v>
      </c>
      <c r="C6385" s="15" t="s">
        <v>8296</v>
      </c>
      <c r="D6385" s="15" t="s">
        <v>727</v>
      </c>
      <c r="E6385" s="15" t="s">
        <v>3729</v>
      </c>
    </row>
    <row r="6386" spans="2:5">
      <c r="B6386" s="15" t="s">
        <v>8295</v>
      </c>
      <c r="C6386" s="15" t="s">
        <v>8296</v>
      </c>
      <c r="D6386" s="15" t="s">
        <v>729</v>
      </c>
      <c r="E6386" s="15" t="s">
        <v>3730</v>
      </c>
    </row>
    <row r="6387" spans="2:5">
      <c r="B6387" s="15" t="s">
        <v>8295</v>
      </c>
      <c r="C6387" s="15" t="s">
        <v>8296</v>
      </c>
      <c r="D6387" s="15" t="s">
        <v>760</v>
      </c>
      <c r="E6387" s="15" t="s">
        <v>3731</v>
      </c>
    </row>
    <row r="6388" spans="2:5">
      <c r="B6388" s="15" t="s">
        <v>8295</v>
      </c>
      <c r="C6388" s="15" t="s">
        <v>8296</v>
      </c>
      <c r="D6388" s="15" t="s">
        <v>764</v>
      </c>
      <c r="E6388" s="15" t="s">
        <v>3732</v>
      </c>
    </row>
    <row r="6389" ht="15.95" spans="2:2">
      <c r="B6389" s="122" t="s">
        <v>8297</v>
      </c>
    </row>
    <row r="6390" spans="2:5">
      <c r="B6390" s="15" t="s">
        <v>8298</v>
      </c>
      <c r="C6390" s="15" t="s">
        <v>8299</v>
      </c>
      <c r="D6390" s="15" t="s">
        <v>770</v>
      </c>
      <c r="E6390" s="15" t="s">
        <v>5355</v>
      </c>
    </row>
    <row r="6391" spans="2:5">
      <c r="B6391" s="15" t="s">
        <v>8298</v>
      </c>
      <c r="C6391" s="15" t="s">
        <v>8299</v>
      </c>
      <c r="D6391" s="15" t="s">
        <v>772</v>
      </c>
      <c r="E6391" s="15" t="s">
        <v>5357</v>
      </c>
    </row>
    <row r="6392" spans="2:5">
      <c r="B6392" s="15" t="s">
        <v>8298</v>
      </c>
      <c r="C6392" s="15" t="s">
        <v>8299</v>
      </c>
      <c r="D6392" s="15" t="s">
        <v>774</v>
      </c>
      <c r="E6392" s="15" t="s">
        <v>5359</v>
      </c>
    </row>
    <row r="6393" spans="2:5">
      <c r="B6393" s="15" t="s">
        <v>8298</v>
      </c>
      <c r="C6393" s="15" t="s">
        <v>8299</v>
      </c>
      <c r="D6393" s="15" t="s">
        <v>828</v>
      </c>
      <c r="E6393" s="15" t="s">
        <v>8300</v>
      </c>
    </row>
    <row r="6394" spans="2:5">
      <c r="B6394" s="15" t="s">
        <v>8298</v>
      </c>
      <c r="C6394" s="15" t="s">
        <v>8299</v>
      </c>
      <c r="D6394" s="15" t="s">
        <v>901</v>
      </c>
      <c r="E6394" s="15" t="s">
        <v>8301</v>
      </c>
    </row>
    <row r="6395" ht="15.95" spans="2:2">
      <c r="B6395" s="122" t="s">
        <v>8302</v>
      </c>
    </row>
    <row r="6396" spans="2:5">
      <c r="B6396" s="15" t="s">
        <v>8303</v>
      </c>
      <c r="C6396" s="15" t="s">
        <v>896</v>
      </c>
      <c r="D6396" s="15" t="s">
        <v>770</v>
      </c>
      <c r="E6396" s="15" t="s">
        <v>1189</v>
      </c>
    </row>
    <row r="6397" spans="2:5">
      <c r="B6397" s="15" t="s">
        <v>8303</v>
      </c>
      <c r="C6397" s="15" t="s">
        <v>896</v>
      </c>
      <c r="D6397" s="15" t="s">
        <v>772</v>
      </c>
      <c r="E6397" s="15" t="s">
        <v>1190</v>
      </c>
    </row>
    <row r="6398" spans="2:5">
      <c r="B6398" s="15" t="s">
        <v>8303</v>
      </c>
      <c r="C6398" s="15" t="s">
        <v>896</v>
      </c>
      <c r="D6398" s="15" t="s">
        <v>774</v>
      </c>
      <c r="E6398" s="15" t="s">
        <v>1191</v>
      </c>
    </row>
    <row r="6399" spans="2:5">
      <c r="B6399" s="15" t="s">
        <v>8303</v>
      </c>
      <c r="C6399" s="15" t="s">
        <v>896</v>
      </c>
      <c r="D6399" s="15" t="s">
        <v>828</v>
      </c>
      <c r="E6399" s="15" t="s">
        <v>1192</v>
      </c>
    </row>
    <row r="6400" ht="15.95" spans="2:2">
      <c r="B6400" s="122" t="s">
        <v>8304</v>
      </c>
    </row>
    <row r="6401" spans="2:5">
      <c r="B6401" s="15" t="s">
        <v>8305</v>
      </c>
      <c r="C6401" s="15" t="s">
        <v>8306</v>
      </c>
      <c r="D6401" s="15" t="s">
        <v>1432</v>
      </c>
      <c r="E6401" s="15" t="s">
        <v>8307</v>
      </c>
    </row>
    <row r="6402" spans="2:5">
      <c r="B6402" s="15" t="s">
        <v>8305</v>
      </c>
      <c r="C6402" s="15" t="s">
        <v>8306</v>
      </c>
      <c r="D6402" s="15" t="s">
        <v>723</v>
      </c>
      <c r="E6402" s="15" t="s">
        <v>8308</v>
      </c>
    </row>
    <row r="6403" spans="2:5">
      <c r="B6403" s="15" t="s">
        <v>8305</v>
      </c>
      <c r="C6403" s="15" t="s">
        <v>8306</v>
      </c>
      <c r="D6403" s="15" t="s">
        <v>725</v>
      </c>
      <c r="E6403" s="15" t="s">
        <v>8309</v>
      </c>
    </row>
    <row r="6404" ht="15.95" spans="2:2">
      <c r="B6404" s="122" t="s">
        <v>8310</v>
      </c>
    </row>
    <row r="6405" spans="2:5">
      <c r="B6405" s="15" t="s">
        <v>8311</v>
      </c>
      <c r="C6405" s="15" t="s">
        <v>8312</v>
      </c>
      <c r="D6405" s="15" t="s">
        <v>635</v>
      </c>
      <c r="E6405" s="15" t="s">
        <v>4341</v>
      </c>
    </row>
    <row r="6406" spans="2:5">
      <c r="B6406" s="15" t="s">
        <v>8311</v>
      </c>
      <c r="C6406" s="15" t="s">
        <v>8312</v>
      </c>
      <c r="D6406" s="15" t="s">
        <v>659</v>
      </c>
      <c r="E6406" s="15" t="s">
        <v>4345</v>
      </c>
    </row>
    <row r="6407" spans="2:5">
      <c r="B6407" s="15" t="s">
        <v>8311</v>
      </c>
      <c r="C6407" s="15" t="s">
        <v>8312</v>
      </c>
      <c r="D6407" s="15" t="s">
        <v>679</v>
      </c>
      <c r="E6407" s="15" t="s">
        <v>4337</v>
      </c>
    </row>
    <row r="6408" spans="2:5">
      <c r="B6408" s="15" t="s">
        <v>8311</v>
      </c>
      <c r="C6408" s="15" t="s">
        <v>8312</v>
      </c>
      <c r="D6408" s="15" t="s">
        <v>705</v>
      </c>
      <c r="E6408" s="15" t="s">
        <v>4339</v>
      </c>
    </row>
    <row r="6409" spans="2:5">
      <c r="B6409" s="15" t="s">
        <v>8311</v>
      </c>
      <c r="C6409" s="15" t="s">
        <v>8312</v>
      </c>
      <c r="D6409" s="15" t="s">
        <v>709</v>
      </c>
      <c r="E6409" s="15" t="s">
        <v>8313</v>
      </c>
    </row>
    <row r="6410" spans="2:5">
      <c r="B6410" s="15" t="s">
        <v>8311</v>
      </c>
      <c r="C6410" s="15" t="s">
        <v>8312</v>
      </c>
      <c r="D6410" s="15" t="s">
        <v>838</v>
      </c>
      <c r="E6410" s="15" t="s">
        <v>8314</v>
      </c>
    </row>
    <row r="6411" spans="2:5">
      <c r="B6411" s="15" t="s">
        <v>8311</v>
      </c>
      <c r="C6411" s="15" t="s">
        <v>8312</v>
      </c>
      <c r="D6411" s="15" t="s">
        <v>840</v>
      </c>
      <c r="E6411" s="15" t="s">
        <v>8315</v>
      </c>
    </row>
    <row r="6412" spans="2:5">
      <c r="B6412" s="15" t="s">
        <v>8311</v>
      </c>
      <c r="C6412" s="15" t="s">
        <v>8312</v>
      </c>
      <c r="D6412" s="15" t="s">
        <v>842</v>
      </c>
      <c r="E6412" s="15" t="s">
        <v>4347</v>
      </c>
    </row>
    <row r="6413" ht="15.95" spans="2:2">
      <c r="B6413" s="122" t="s">
        <v>8316</v>
      </c>
    </row>
    <row r="6414" spans="2:5">
      <c r="B6414" s="15" t="s">
        <v>8317</v>
      </c>
      <c r="C6414" s="15" t="s">
        <v>8318</v>
      </c>
      <c r="D6414" s="15" t="s">
        <v>770</v>
      </c>
      <c r="E6414" s="15" t="s">
        <v>8319</v>
      </c>
    </row>
    <row r="6415" spans="2:5">
      <c r="B6415" s="15" t="s">
        <v>8317</v>
      </c>
      <c r="C6415" s="15" t="s">
        <v>8318</v>
      </c>
      <c r="D6415" s="15" t="s">
        <v>772</v>
      </c>
      <c r="E6415" s="15" t="s">
        <v>8320</v>
      </c>
    </row>
    <row r="6416" spans="2:5">
      <c r="B6416" s="15" t="s">
        <v>8317</v>
      </c>
      <c r="C6416" s="15" t="s">
        <v>8318</v>
      </c>
      <c r="D6416" s="15" t="s">
        <v>774</v>
      </c>
      <c r="E6416" s="15" t="s">
        <v>8321</v>
      </c>
    </row>
    <row r="6417" spans="2:5">
      <c r="B6417" s="15" t="s">
        <v>8317</v>
      </c>
      <c r="C6417" s="15" t="s">
        <v>8318</v>
      </c>
      <c r="D6417" s="15" t="s">
        <v>828</v>
      </c>
      <c r="E6417" s="15" t="s">
        <v>8322</v>
      </c>
    </row>
    <row r="6418" spans="2:5">
      <c r="B6418" s="15" t="s">
        <v>8317</v>
      </c>
      <c r="C6418" s="15" t="s">
        <v>8318</v>
      </c>
      <c r="D6418" s="15" t="s">
        <v>901</v>
      </c>
      <c r="E6418" s="15" t="s">
        <v>8323</v>
      </c>
    </row>
    <row r="6419" spans="2:5">
      <c r="B6419" s="15" t="s">
        <v>8317</v>
      </c>
      <c r="C6419" s="15" t="s">
        <v>8318</v>
      </c>
      <c r="D6419" s="15" t="s">
        <v>776</v>
      </c>
      <c r="E6419" s="15" t="s">
        <v>8324</v>
      </c>
    </row>
    <row r="6420" spans="2:5">
      <c r="B6420" s="15" t="s">
        <v>8317</v>
      </c>
      <c r="C6420" s="15" t="s">
        <v>8318</v>
      </c>
      <c r="D6420" s="15" t="s">
        <v>1290</v>
      </c>
      <c r="E6420" s="15" t="s">
        <v>8325</v>
      </c>
    </row>
    <row r="6421" ht="15.95" spans="2:2">
      <c r="B6421" s="122" t="s">
        <v>8326</v>
      </c>
    </row>
    <row r="6422" spans="2:5">
      <c r="B6422" s="15" t="s">
        <v>8327</v>
      </c>
      <c r="C6422" s="15" t="s">
        <v>8328</v>
      </c>
      <c r="D6422" s="15" t="s">
        <v>635</v>
      </c>
      <c r="E6422" s="15" t="s">
        <v>8329</v>
      </c>
    </row>
    <row r="6423" spans="2:5">
      <c r="B6423" s="15" t="s">
        <v>8327</v>
      </c>
      <c r="C6423" s="15" t="s">
        <v>8328</v>
      </c>
      <c r="D6423" s="15" t="s">
        <v>659</v>
      </c>
      <c r="E6423" s="15" t="s">
        <v>8330</v>
      </c>
    </row>
    <row r="6424" spans="2:5">
      <c r="B6424" s="15" t="s">
        <v>8327</v>
      </c>
      <c r="C6424" s="15" t="s">
        <v>8328</v>
      </c>
      <c r="D6424" s="15" t="s">
        <v>7562</v>
      </c>
      <c r="E6424" s="15" t="s">
        <v>8331</v>
      </c>
    </row>
    <row r="6425" spans="2:5">
      <c r="B6425" s="15" t="s">
        <v>8327</v>
      </c>
      <c r="C6425" s="15" t="s">
        <v>8328</v>
      </c>
      <c r="D6425" s="15" t="s">
        <v>679</v>
      </c>
      <c r="E6425" s="15" t="s">
        <v>8332</v>
      </c>
    </row>
    <row r="6426" spans="2:5">
      <c r="B6426" s="15" t="s">
        <v>8327</v>
      </c>
      <c r="C6426" s="15" t="s">
        <v>8328</v>
      </c>
      <c r="D6426" s="15" t="s">
        <v>705</v>
      </c>
      <c r="E6426" s="15" t="s">
        <v>6915</v>
      </c>
    </row>
    <row r="6427" spans="2:5">
      <c r="B6427" s="15" t="s">
        <v>8327</v>
      </c>
      <c r="C6427" s="15" t="s">
        <v>8328</v>
      </c>
      <c r="D6427" s="15" t="s">
        <v>709</v>
      </c>
      <c r="E6427" s="15" t="s">
        <v>6916</v>
      </c>
    </row>
    <row r="6428" spans="2:5">
      <c r="B6428" s="15" t="s">
        <v>8327</v>
      </c>
      <c r="C6428" s="15" t="s">
        <v>8328</v>
      </c>
      <c r="D6428" s="15" t="s">
        <v>838</v>
      </c>
      <c r="E6428" s="15" t="s">
        <v>7728</v>
      </c>
    </row>
    <row r="6429" spans="2:5">
      <c r="B6429" s="15" t="s">
        <v>8327</v>
      </c>
      <c r="C6429" s="15" t="s">
        <v>8328</v>
      </c>
      <c r="D6429" s="15" t="s">
        <v>1472</v>
      </c>
      <c r="E6429" s="15" t="s">
        <v>8333</v>
      </c>
    </row>
    <row r="6430" spans="2:5">
      <c r="B6430" s="15" t="s">
        <v>8327</v>
      </c>
      <c r="C6430" s="15" t="s">
        <v>8328</v>
      </c>
      <c r="D6430" s="15" t="s">
        <v>8334</v>
      </c>
      <c r="E6430" s="15" t="s">
        <v>8335</v>
      </c>
    </row>
    <row r="6431" spans="2:5">
      <c r="B6431" s="15" t="s">
        <v>8327</v>
      </c>
      <c r="C6431" s="15" t="s">
        <v>8328</v>
      </c>
      <c r="D6431" s="15" t="s">
        <v>840</v>
      </c>
      <c r="E6431" s="15" t="s">
        <v>7729</v>
      </c>
    </row>
    <row r="6432" spans="2:5">
      <c r="B6432" s="15" t="s">
        <v>8327</v>
      </c>
      <c r="C6432" s="15" t="s">
        <v>8328</v>
      </c>
      <c r="D6432" s="15" t="s">
        <v>842</v>
      </c>
      <c r="E6432" s="15" t="s">
        <v>8336</v>
      </c>
    </row>
    <row r="6433" ht="15.95" spans="2:2">
      <c r="B6433" s="122" t="s">
        <v>8337</v>
      </c>
    </row>
    <row r="6434" spans="2:5">
      <c r="B6434" s="15" t="s">
        <v>8338</v>
      </c>
      <c r="C6434" s="15" t="s">
        <v>8339</v>
      </c>
      <c r="D6434" s="15" t="s">
        <v>1432</v>
      </c>
      <c r="E6434" s="15" t="s">
        <v>8340</v>
      </c>
    </row>
    <row r="6435" spans="2:5">
      <c r="B6435" s="15" t="s">
        <v>8338</v>
      </c>
      <c r="C6435" s="15" t="s">
        <v>8339</v>
      </c>
      <c r="D6435" s="15" t="s">
        <v>723</v>
      </c>
      <c r="E6435" s="15" t="s">
        <v>8341</v>
      </c>
    </row>
    <row r="6436" spans="2:5">
      <c r="B6436" s="15" t="s">
        <v>8338</v>
      </c>
      <c r="C6436" s="15" t="s">
        <v>8339</v>
      </c>
      <c r="D6436" s="15" t="s">
        <v>725</v>
      </c>
      <c r="E6436" s="15" t="s">
        <v>8342</v>
      </c>
    </row>
    <row r="6437" ht="15.95" spans="2:2">
      <c r="B6437" s="122" t="s">
        <v>8343</v>
      </c>
    </row>
    <row r="6438" spans="2:5">
      <c r="B6438" s="15" t="s">
        <v>8344</v>
      </c>
      <c r="C6438" s="15" t="s">
        <v>8345</v>
      </c>
      <c r="D6438" s="15" t="s">
        <v>770</v>
      </c>
      <c r="E6438" s="15" t="s">
        <v>2683</v>
      </c>
    </row>
    <row r="6439" spans="2:5">
      <c r="B6439" s="15" t="s">
        <v>8344</v>
      </c>
      <c r="C6439" s="15" t="s">
        <v>8345</v>
      </c>
      <c r="D6439" s="15" t="s">
        <v>772</v>
      </c>
      <c r="E6439" s="15" t="s">
        <v>2684</v>
      </c>
    </row>
    <row r="6440" spans="2:5">
      <c r="B6440" s="15" t="s">
        <v>8344</v>
      </c>
      <c r="C6440" s="15" t="s">
        <v>8345</v>
      </c>
      <c r="D6440" s="15" t="s">
        <v>774</v>
      </c>
      <c r="E6440" s="15" t="s">
        <v>2682</v>
      </c>
    </row>
    <row r="6441" ht="15.95" spans="2:2">
      <c r="B6441" s="122" t="s">
        <v>8346</v>
      </c>
    </row>
    <row r="6442" spans="2:5">
      <c r="B6442" s="15" t="s">
        <v>8347</v>
      </c>
      <c r="C6442" s="15" t="s">
        <v>8348</v>
      </c>
      <c r="D6442" s="15" t="s">
        <v>917</v>
      </c>
      <c r="E6442" s="15" t="s">
        <v>953</v>
      </c>
    </row>
    <row r="6443" spans="2:5">
      <c r="B6443" s="15" t="s">
        <v>8347</v>
      </c>
      <c r="C6443" s="15" t="s">
        <v>8348</v>
      </c>
      <c r="D6443" s="15" t="s">
        <v>919</v>
      </c>
      <c r="E6443" s="15" t="s">
        <v>954</v>
      </c>
    </row>
    <row r="6444" spans="2:5">
      <c r="B6444" s="15" t="s">
        <v>8347</v>
      </c>
      <c r="C6444" s="15" t="s">
        <v>8348</v>
      </c>
      <c r="D6444" s="15" t="s">
        <v>955</v>
      </c>
      <c r="E6444" s="15" t="s">
        <v>956</v>
      </c>
    </row>
    <row r="6445" ht="15.95" spans="2:2">
      <c r="B6445" s="122" t="s">
        <v>8349</v>
      </c>
    </row>
    <row r="6446" spans="2:5">
      <c r="B6446" s="15" t="s">
        <v>8350</v>
      </c>
      <c r="C6446" s="15" t="s">
        <v>8351</v>
      </c>
      <c r="D6446" s="15" t="s">
        <v>785</v>
      </c>
      <c r="E6446" s="15" t="s">
        <v>1814</v>
      </c>
    </row>
    <row r="6447" spans="2:5">
      <c r="B6447" s="15" t="s">
        <v>8350</v>
      </c>
      <c r="C6447" s="15" t="s">
        <v>8351</v>
      </c>
      <c r="D6447" s="15" t="s">
        <v>787</v>
      </c>
      <c r="E6447" s="15" t="s">
        <v>8352</v>
      </c>
    </row>
    <row r="6448" spans="2:5">
      <c r="B6448" s="15" t="s">
        <v>8350</v>
      </c>
      <c r="C6448" s="15" t="s">
        <v>8351</v>
      </c>
      <c r="D6448" s="15" t="s">
        <v>791</v>
      </c>
      <c r="E6448" s="15" t="s">
        <v>8353</v>
      </c>
    </row>
    <row r="6449" spans="2:5">
      <c r="B6449" s="15" t="s">
        <v>8350</v>
      </c>
      <c r="C6449" s="15" t="s">
        <v>8351</v>
      </c>
      <c r="D6449" s="15" t="s">
        <v>795</v>
      </c>
      <c r="E6449" s="15" t="s">
        <v>5787</v>
      </c>
    </row>
    <row r="6450" spans="2:5">
      <c r="B6450" s="15" t="s">
        <v>8350</v>
      </c>
      <c r="C6450" s="15" t="s">
        <v>8351</v>
      </c>
      <c r="D6450" s="15" t="s">
        <v>797</v>
      </c>
      <c r="E6450" s="15" t="s">
        <v>8354</v>
      </c>
    </row>
    <row r="6451" spans="2:5">
      <c r="B6451" s="15" t="s">
        <v>8350</v>
      </c>
      <c r="C6451" s="15" t="s">
        <v>8351</v>
      </c>
      <c r="D6451" s="15" t="s">
        <v>805</v>
      </c>
      <c r="E6451" s="15" t="s">
        <v>6715</v>
      </c>
    </row>
    <row r="6452" spans="2:5">
      <c r="B6452" s="15" t="s">
        <v>8350</v>
      </c>
      <c r="C6452" s="15" t="s">
        <v>8351</v>
      </c>
      <c r="D6452" s="15" t="s">
        <v>5353</v>
      </c>
      <c r="E6452" s="15" t="s">
        <v>8355</v>
      </c>
    </row>
    <row r="6453" spans="2:5">
      <c r="B6453" s="15" t="s">
        <v>8350</v>
      </c>
      <c r="C6453" s="15" t="s">
        <v>8351</v>
      </c>
      <c r="D6453" s="15" t="s">
        <v>3037</v>
      </c>
      <c r="E6453" s="15" t="s">
        <v>8356</v>
      </c>
    </row>
    <row r="6454" ht="15.95" spans="2:2">
      <c r="B6454" s="122" t="s">
        <v>8357</v>
      </c>
    </row>
    <row r="6455" spans="2:5">
      <c r="B6455" s="15" t="s">
        <v>8358</v>
      </c>
      <c r="C6455" s="15" t="s">
        <v>2446</v>
      </c>
      <c r="D6455" s="15" t="s">
        <v>770</v>
      </c>
      <c r="E6455" s="15" t="s">
        <v>2447</v>
      </c>
    </row>
    <row r="6456" spans="2:5">
      <c r="B6456" s="15" t="s">
        <v>8358</v>
      </c>
      <c r="C6456" s="15" t="s">
        <v>2446</v>
      </c>
      <c r="D6456" s="15" t="s">
        <v>772</v>
      </c>
      <c r="E6456" s="15" t="s">
        <v>2448</v>
      </c>
    </row>
    <row r="6457" spans="2:5">
      <c r="B6457" s="15" t="s">
        <v>8358</v>
      </c>
      <c r="C6457" s="15" t="s">
        <v>2446</v>
      </c>
      <c r="D6457" s="15" t="s">
        <v>774</v>
      </c>
      <c r="E6457" s="15" t="s">
        <v>3784</v>
      </c>
    </row>
    <row r="6458" spans="2:5">
      <c r="B6458" s="15" t="s">
        <v>8358</v>
      </c>
      <c r="C6458" s="15" t="s">
        <v>2446</v>
      </c>
      <c r="D6458" s="15" t="s">
        <v>828</v>
      </c>
      <c r="E6458" s="15" t="s">
        <v>235</v>
      </c>
    </row>
    <row r="6459" ht="15.95" spans="2:2">
      <c r="B6459" s="122" t="s">
        <v>8359</v>
      </c>
    </row>
    <row r="6460" spans="2:5">
      <c r="B6460" s="15" t="s">
        <v>8360</v>
      </c>
      <c r="C6460" s="15" t="s">
        <v>8361</v>
      </c>
      <c r="D6460" s="15" t="s">
        <v>3585</v>
      </c>
      <c r="E6460" s="15" t="s">
        <v>8362</v>
      </c>
    </row>
    <row r="6461" spans="2:5">
      <c r="B6461" s="15" t="s">
        <v>8360</v>
      </c>
      <c r="C6461" s="15" t="s">
        <v>8361</v>
      </c>
      <c r="D6461" s="15" t="s">
        <v>8363</v>
      </c>
      <c r="E6461" s="15" t="s">
        <v>8364</v>
      </c>
    </row>
    <row r="6462" spans="2:5">
      <c r="B6462" s="15" t="s">
        <v>8360</v>
      </c>
      <c r="C6462" s="15" t="s">
        <v>8361</v>
      </c>
      <c r="D6462" s="15" t="s">
        <v>8365</v>
      </c>
      <c r="E6462" s="15" t="s">
        <v>8366</v>
      </c>
    </row>
    <row r="6463" spans="2:5">
      <c r="B6463" s="15" t="s">
        <v>8360</v>
      </c>
      <c r="C6463" s="15" t="s">
        <v>8361</v>
      </c>
      <c r="D6463" s="15" t="s">
        <v>8367</v>
      </c>
      <c r="E6463" s="15" t="s">
        <v>8368</v>
      </c>
    </row>
    <row r="6464" spans="2:5">
      <c r="B6464" s="15" t="s">
        <v>8360</v>
      </c>
      <c r="C6464" s="15" t="s">
        <v>8361</v>
      </c>
      <c r="D6464" s="15" t="s">
        <v>8369</v>
      </c>
      <c r="E6464" s="15" t="s">
        <v>8370</v>
      </c>
    </row>
    <row r="6465" spans="2:5">
      <c r="B6465" s="15" t="s">
        <v>8360</v>
      </c>
      <c r="C6465" s="15" t="s">
        <v>8361</v>
      </c>
      <c r="D6465" s="15" t="s">
        <v>2378</v>
      </c>
      <c r="E6465" s="15" t="s">
        <v>8371</v>
      </c>
    </row>
    <row r="6466" spans="2:5">
      <c r="B6466" s="15" t="s">
        <v>8360</v>
      </c>
      <c r="C6466" s="15" t="s">
        <v>8361</v>
      </c>
      <c r="D6466" s="15" t="s">
        <v>8372</v>
      </c>
      <c r="E6466" s="15" t="s">
        <v>8373</v>
      </c>
    </row>
    <row r="6467" spans="2:5">
      <c r="B6467" s="15" t="s">
        <v>8360</v>
      </c>
      <c r="C6467" s="15" t="s">
        <v>8361</v>
      </c>
      <c r="D6467" s="15" t="s">
        <v>8374</v>
      </c>
      <c r="E6467" s="15" t="s">
        <v>8375</v>
      </c>
    </row>
    <row r="6468" spans="2:5">
      <c r="B6468" s="15" t="s">
        <v>8360</v>
      </c>
      <c r="C6468" s="15" t="s">
        <v>8361</v>
      </c>
      <c r="D6468" s="15" t="s">
        <v>8376</v>
      </c>
      <c r="E6468" s="15" t="s">
        <v>8377</v>
      </c>
    </row>
    <row r="6469" spans="2:5">
      <c r="B6469" s="15" t="s">
        <v>8360</v>
      </c>
      <c r="C6469" s="15" t="s">
        <v>8361</v>
      </c>
      <c r="D6469" s="15" t="s">
        <v>8378</v>
      </c>
      <c r="E6469" s="15" t="s">
        <v>8379</v>
      </c>
    </row>
    <row r="6470" spans="2:5">
      <c r="B6470" s="15" t="s">
        <v>8360</v>
      </c>
      <c r="C6470" s="15" t="s">
        <v>8361</v>
      </c>
      <c r="D6470" s="15" t="s">
        <v>635</v>
      </c>
      <c r="E6470" s="15" t="s">
        <v>8380</v>
      </c>
    </row>
    <row r="6471" spans="2:5">
      <c r="B6471" s="15" t="s">
        <v>8360</v>
      </c>
      <c r="C6471" s="15" t="s">
        <v>8361</v>
      </c>
      <c r="D6471" s="15" t="s">
        <v>659</v>
      </c>
      <c r="E6471" s="15" t="s">
        <v>8381</v>
      </c>
    </row>
    <row r="6472" spans="2:5">
      <c r="B6472" s="15" t="s">
        <v>8360</v>
      </c>
      <c r="C6472" s="15" t="s">
        <v>8361</v>
      </c>
      <c r="D6472" s="15" t="s">
        <v>7555</v>
      </c>
      <c r="E6472" s="15" t="s">
        <v>8382</v>
      </c>
    </row>
    <row r="6473" spans="2:5">
      <c r="B6473" s="15" t="s">
        <v>8360</v>
      </c>
      <c r="C6473" s="15" t="s">
        <v>8361</v>
      </c>
      <c r="D6473" s="15" t="s">
        <v>7559</v>
      </c>
      <c r="E6473" s="15" t="s">
        <v>8383</v>
      </c>
    </row>
    <row r="6474" spans="2:5">
      <c r="B6474" s="15" t="s">
        <v>8360</v>
      </c>
      <c r="C6474" s="15" t="s">
        <v>8361</v>
      </c>
      <c r="D6474" s="15" t="s">
        <v>8384</v>
      </c>
      <c r="E6474" s="15" t="s">
        <v>8385</v>
      </c>
    </row>
    <row r="6475" spans="2:5">
      <c r="B6475" s="15" t="s">
        <v>8360</v>
      </c>
      <c r="C6475" s="15" t="s">
        <v>8361</v>
      </c>
      <c r="D6475" s="15" t="s">
        <v>8386</v>
      </c>
      <c r="E6475" s="15" t="s">
        <v>8387</v>
      </c>
    </row>
    <row r="6476" spans="2:5">
      <c r="B6476" s="15" t="s">
        <v>8360</v>
      </c>
      <c r="C6476" s="15" t="s">
        <v>8361</v>
      </c>
      <c r="D6476" s="15" t="s">
        <v>8388</v>
      </c>
      <c r="E6476" s="15" t="s">
        <v>8389</v>
      </c>
    </row>
    <row r="6477" spans="2:5">
      <c r="B6477" s="15" t="s">
        <v>8360</v>
      </c>
      <c r="C6477" s="15" t="s">
        <v>8361</v>
      </c>
      <c r="D6477" s="15" t="s">
        <v>8390</v>
      </c>
      <c r="E6477" s="15" t="s">
        <v>8391</v>
      </c>
    </row>
    <row r="6478" spans="2:5">
      <c r="B6478" s="15" t="s">
        <v>8360</v>
      </c>
      <c r="C6478" s="15" t="s">
        <v>8361</v>
      </c>
      <c r="D6478" s="15" t="s">
        <v>8392</v>
      </c>
      <c r="E6478" s="15" t="s">
        <v>8393</v>
      </c>
    </row>
    <row r="6479" spans="2:5">
      <c r="B6479" s="15" t="s">
        <v>8360</v>
      </c>
      <c r="C6479" s="15" t="s">
        <v>8361</v>
      </c>
      <c r="D6479" s="15" t="s">
        <v>8394</v>
      </c>
      <c r="E6479" s="15" t="s">
        <v>8395</v>
      </c>
    </row>
    <row r="6480" spans="2:5">
      <c r="B6480" s="15" t="s">
        <v>8360</v>
      </c>
      <c r="C6480" s="15" t="s">
        <v>8361</v>
      </c>
      <c r="D6480" s="15" t="s">
        <v>8396</v>
      </c>
      <c r="E6480" s="15" t="s">
        <v>8397</v>
      </c>
    </row>
    <row r="6481" spans="2:5">
      <c r="B6481" s="15" t="s">
        <v>8360</v>
      </c>
      <c r="C6481" s="15" t="s">
        <v>8361</v>
      </c>
      <c r="D6481" s="15" t="s">
        <v>8398</v>
      </c>
      <c r="E6481" s="15" t="s">
        <v>8399</v>
      </c>
    </row>
    <row r="6482" ht="15.95" spans="2:2">
      <c r="B6482" s="122" t="s">
        <v>8400</v>
      </c>
    </row>
    <row r="6483" spans="2:5">
      <c r="B6483" s="15" t="s">
        <v>8401</v>
      </c>
      <c r="C6483" s="15" t="s">
        <v>8402</v>
      </c>
      <c r="D6483" s="15" t="s">
        <v>8403</v>
      </c>
      <c r="E6483" s="15" t="s">
        <v>8404</v>
      </c>
    </row>
    <row r="6484" spans="2:5">
      <c r="B6484" s="15" t="s">
        <v>8401</v>
      </c>
      <c r="C6484" s="15" t="s">
        <v>8402</v>
      </c>
      <c r="D6484" s="15" t="s">
        <v>8405</v>
      </c>
      <c r="E6484" s="15" t="s">
        <v>8406</v>
      </c>
    </row>
    <row r="6485" spans="2:5">
      <c r="B6485" s="15" t="s">
        <v>8401</v>
      </c>
      <c r="C6485" s="15" t="s">
        <v>8402</v>
      </c>
      <c r="D6485" s="15" t="s">
        <v>8407</v>
      </c>
      <c r="E6485" s="15" t="s">
        <v>8408</v>
      </c>
    </row>
    <row r="6486" spans="2:5">
      <c r="B6486" s="15" t="s">
        <v>8401</v>
      </c>
      <c r="C6486" s="15" t="s">
        <v>8402</v>
      </c>
      <c r="D6486" s="15" t="s">
        <v>8409</v>
      </c>
      <c r="E6486" s="15" t="s">
        <v>8410</v>
      </c>
    </row>
    <row r="6487" spans="2:5">
      <c r="B6487" s="15" t="s">
        <v>8401</v>
      </c>
      <c r="C6487" s="15" t="s">
        <v>8402</v>
      </c>
      <c r="D6487" s="15" t="s">
        <v>8411</v>
      </c>
      <c r="E6487" s="15" t="s">
        <v>8412</v>
      </c>
    </row>
    <row r="6488" spans="2:5">
      <c r="B6488" s="15" t="s">
        <v>8401</v>
      </c>
      <c r="C6488" s="15" t="s">
        <v>8402</v>
      </c>
      <c r="D6488" s="15" t="s">
        <v>8413</v>
      </c>
      <c r="E6488" s="15" t="s">
        <v>8414</v>
      </c>
    </row>
    <row r="6489" spans="2:5">
      <c r="B6489" s="15" t="s">
        <v>8401</v>
      </c>
      <c r="C6489" s="15" t="s">
        <v>8402</v>
      </c>
      <c r="D6489" s="15" t="s">
        <v>8415</v>
      </c>
      <c r="E6489" s="15" t="s">
        <v>8416</v>
      </c>
    </row>
    <row r="6490" spans="2:5">
      <c r="B6490" s="15" t="s">
        <v>8401</v>
      </c>
      <c r="C6490" s="15" t="s">
        <v>8402</v>
      </c>
      <c r="D6490" s="15" t="s">
        <v>8417</v>
      </c>
      <c r="E6490" s="15" t="s">
        <v>8418</v>
      </c>
    </row>
    <row r="6491" spans="2:5">
      <c r="B6491" s="15" t="s">
        <v>8401</v>
      </c>
      <c r="C6491" s="15" t="s">
        <v>8402</v>
      </c>
      <c r="D6491" s="15" t="s">
        <v>8419</v>
      </c>
      <c r="E6491" s="15" t="s">
        <v>8420</v>
      </c>
    </row>
    <row r="6492" spans="2:5">
      <c r="B6492" s="15" t="s">
        <v>8401</v>
      </c>
      <c r="C6492" s="15" t="s">
        <v>8402</v>
      </c>
      <c r="D6492" s="15" t="s">
        <v>8421</v>
      </c>
      <c r="E6492" s="15" t="s">
        <v>8422</v>
      </c>
    </row>
    <row r="6493" spans="2:5">
      <c r="B6493" s="15" t="s">
        <v>8401</v>
      </c>
      <c r="C6493" s="15" t="s">
        <v>8402</v>
      </c>
      <c r="D6493" s="15" t="s">
        <v>8423</v>
      </c>
      <c r="E6493" s="15" t="s">
        <v>8424</v>
      </c>
    </row>
    <row r="6494" spans="2:5">
      <c r="B6494" s="15" t="s">
        <v>8401</v>
      </c>
      <c r="C6494" s="15" t="s">
        <v>8402</v>
      </c>
      <c r="D6494" s="15" t="s">
        <v>8425</v>
      </c>
      <c r="E6494" s="15" t="s">
        <v>8426</v>
      </c>
    </row>
    <row r="6495" spans="2:5">
      <c r="B6495" s="15" t="s">
        <v>8401</v>
      </c>
      <c r="C6495" s="15" t="s">
        <v>8402</v>
      </c>
      <c r="D6495" s="15" t="s">
        <v>8427</v>
      </c>
      <c r="E6495" s="15" t="s">
        <v>8428</v>
      </c>
    </row>
    <row r="6496" spans="2:5">
      <c r="B6496" s="15" t="s">
        <v>8401</v>
      </c>
      <c r="C6496" s="15" t="s">
        <v>8402</v>
      </c>
      <c r="D6496" s="15" t="s">
        <v>8429</v>
      </c>
      <c r="E6496" s="15" t="s">
        <v>8430</v>
      </c>
    </row>
    <row r="6497" spans="2:5">
      <c r="B6497" s="15" t="s">
        <v>8401</v>
      </c>
      <c r="C6497" s="15" t="s">
        <v>8402</v>
      </c>
      <c r="D6497" s="15" t="s">
        <v>8431</v>
      </c>
      <c r="E6497" s="15" t="s">
        <v>8432</v>
      </c>
    </row>
    <row r="6498" spans="2:5">
      <c r="B6498" s="15" t="s">
        <v>8401</v>
      </c>
      <c r="C6498" s="15" t="s">
        <v>8402</v>
      </c>
      <c r="D6498" s="15" t="s">
        <v>8433</v>
      </c>
      <c r="E6498" s="15" t="s">
        <v>8434</v>
      </c>
    </row>
    <row r="6499" spans="2:5">
      <c r="B6499" s="15" t="s">
        <v>8401</v>
      </c>
      <c r="C6499" s="15" t="s">
        <v>8402</v>
      </c>
      <c r="D6499" s="15" t="s">
        <v>8435</v>
      </c>
      <c r="E6499" s="15" t="s">
        <v>8436</v>
      </c>
    </row>
    <row r="6500" spans="2:5">
      <c r="B6500" s="15" t="s">
        <v>8401</v>
      </c>
      <c r="C6500" s="15" t="s">
        <v>8402</v>
      </c>
      <c r="D6500" s="15" t="s">
        <v>8437</v>
      </c>
      <c r="E6500" s="15" t="s">
        <v>8438</v>
      </c>
    </row>
    <row r="6501" spans="2:5">
      <c r="B6501" s="15" t="s">
        <v>8401</v>
      </c>
      <c r="C6501" s="15" t="s">
        <v>8402</v>
      </c>
      <c r="D6501" s="15" t="s">
        <v>8439</v>
      </c>
      <c r="E6501" s="15" t="s">
        <v>8440</v>
      </c>
    </row>
    <row r="6502" spans="2:5">
      <c r="B6502" s="15" t="s">
        <v>8401</v>
      </c>
      <c r="C6502" s="15" t="s">
        <v>8402</v>
      </c>
      <c r="D6502" s="15" t="s">
        <v>8441</v>
      </c>
      <c r="E6502" s="15" t="s">
        <v>8442</v>
      </c>
    </row>
    <row r="6503" spans="2:5">
      <c r="B6503" s="15" t="s">
        <v>8401</v>
      </c>
      <c r="C6503" s="15" t="s">
        <v>8402</v>
      </c>
      <c r="D6503" s="15" t="s">
        <v>8443</v>
      </c>
      <c r="E6503" s="15" t="s">
        <v>8444</v>
      </c>
    </row>
    <row r="6504" spans="2:5">
      <c r="B6504" s="15" t="s">
        <v>8401</v>
      </c>
      <c r="C6504" s="15" t="s">
        <v>8402</v>
      </c>
      <c r="D6504" s="15" t="s">
        <v>8445</v>
      </c>
      <c r="E6504" s="15" t="s">
        <v>8446</v>
      </c>
    </row>
    <row r="6505" spans="2:5">
      <c r="B6505" s="15" t="s">
        <v>8401</v>
      </c>
      <c r="C6505" s="15" t="s">
        <v>8402</v>
      </c>
      <c r="D6505" s="15" t="s">
        <v>8447</v>
      </c>
      <c r="E6505" s="15" t="s">
        <v>8448</v>
      </c>
    </row>
    <row r="6506" spans="2:5">
      <c r="B6506" s="15" t="s">
        <v>8401</v>
      </c>
      <c r="C6506" s="15" t="s">
        <v>8402</v>
      </c>
      <c r="D6506" s="15" t="s">
        <v>8449</v>
      </c>
      <c r="E6506" s="15" t="s">
        <v>8450</v>
      </c>
    </row>
    <row r="6507" spans="2:5">
      <c r="B6507" s="15" t="s">
        <v>8401</v>
      </c>
      <c r="C6507" s="15" t="s">
        <v>8402</v>
      </c>
      <c r="D6507" s="15" t="s">
        <v>8451</v>
      </c>
      <c r="E6507" s="15" t="s">
        <v>8452</v>
      </c>
    </row>
    <row r="6508" spans="2:5">
      <c r="B6508" s="15" t="s">
        <v>8401</v>
      </c>
      <c r="C6508" s="15" t="s">
        <v>8402</v>
      </c>
      <c r="D6508" s="15" t="s">
        <v>8453</v>
      </c>
      <c r="E6508" s="15" t="s">
        <v>8454</v>
      </c>
    </row>
    <row r="6509" spans="2:5">
      <c r="B6509" s="15" t="s">
        <v>8401</v>
      </c>
      <c r="C6509" s="15" t="s">
        <v>8402</v>
      </c>
      <c r="D6509" s="15" t="s">
        <v>8455</v>
      </c>
      <c r="E6509" s="15" t="s">
        <v>8456</v>
      </c>
    </row>
    <row r="6510" spans="2:5">
      <c r="B6510" s="15" t="s">
        <v>8401</v>
      </c>
      <c r="C6510" s="15" t="s">
        <v>8402</v>
      </c>
      <c r="D6510" s="15" t="s">
        <v>8457</v>
      </c>
      <c r="E6510" s="15" t="s">
        <v>8458</v>
      </c>
    </row>
    <row r="6511" spans="2:5">
      <c r="B6511" s="15" t="s">
        <v>8401</v>
      </c>
      <c r="C6511" s="15" t="s">
        <v>8402</v>
      </c>
      <c r="D6511" s="15" t="s">
        <v>8459</v>
      </c>
      <c r="E6511" s="15" t="s">
        <v>8460</v>
      </c>
    </row>
    <row r="6512" spans="2:5">
      <c r="B6512" s="15" t="s">
        <v>8401</v>
      </c>
      <c r="C6512" s="15" t="s">
        <v>8402</v>
      </c>
      <c r="D6512" s="15" t="s">
        <v>8461</v>
      </c>
      <c r="E6512" s="15" t="s">
        <v>8462</v>
      </c>
    </row>
    <row r="6513" spans="2:5">
      <c r="B6513" s="15" t="s">
        <v>8401</v>
      </c>
      <c r="C6513" s="15" t="s">
        <v>8402</v>
      </c>
      <c r="D6513" s="15" t="s">
        <v>8463</v>
      </c>
      <c r="E6513" s="15" t="s">
        <v>8464</v>
      </c>
    </row>
    <row r="6514" spans="2:5">
      <c r="B6514" s="15" t="s">
        <v>8401</v>
      </c>
      <c r="C6514" s="15" t="s">
        <v>8402</v>
      </c>
      <c r="D6514" s="15" t="s">
        <v>8465</v>
      </c>
      <c r="E6514" s="15" t="s">
        <v>8466</v>
      </c>
    </row>
    <row r="6515" spans="2:5">
      <c r="B6515" s="15" t="s">
        <v>8401</v>
      </c>
      <c r="C6515" s="15" t="s">
        <v>8402</v>
      </c>
      <c r="D6515" s="15" t="s">
        <v>8467</v>
      </c>
      <c r="E6515" s="15" t="s">
        <v>8468</v>
      </c>
    </row>
    <row r="6516" spans="2:5">
      <c r="B6516" s="15" t="s">
        <v>8401</v>
      </c>
      <c r="C6516" s="15" t="s">
        <v>8402</v>
      </c>
      <c r="D6516" s="15" t="s">
        <v>8469</v>
      </c>
      <c r="E6516" s="15" t="s">
        <v>8470</v>
      </c>
    </row>
    <row r="6517" spans="2:5">
      <c r="B6517" s="15" t="s">
        <v>8401</v>
      </c>
      <c r="C6517" s="15" t="s">
        <v>8402</v>
      </c>
      <c r="D6517" s="15" t="s">
        <v>8471</v>
      </c>
      <c r="E6517" s="15" t="s">
        <v>8472</v>
      </c>
    </row>
    <row r="6518" spans="2:5">
      <c r="B6518" s="15" t="s">
        <v>8401</v>
      </c>
      <c r="C6518" s="15" t="s">
        <v>8402</v>
      </c>
      <c r="D6518" s="15" t="s">
        <v>8473</v>
      </c>
      <c r="E6518" s="15" t="s">
        <v>8474</v>
      </c>
    </row>
    <row r="6519" spans="2:5">
      <c r="B6519" s="15" t="s">
        <v>8401</v>
      </c>
      <c r="C6519" s="15" t="s">
        <v>8402</v>
      </c>
      <c r="D6519" s="15" t="s">
        <v>8475</v>
      </c>
      <c r="E6519" s="15" t="s">
        <v>8476</v>
      </c>
    </row>
    <row r="6520" spans="2:5">
      <c r="B6520" s="15" t="s">
        <v>8401</v>
      </c>
      <c r="C6520" s="15" t="s">
        <v>8402</v>
      </c>
      <c r="D6520" s="15" t="s">
        <v>8477</v>
      </c>
      <c r="E6520" s="15" t="s">
        <v>8478</v>
      </c>
    </row>
    <row r="6521" spans="2:5">
      <c r="B6521" s="15" t="s">
        <v>8401</v>
      </c>
      <c r="C6521" s="15" t="s">
        <v>8402</v>
      </c>
      <c r="D6521" s="15" t="s">
        <v>8479</v>
      </c>
      <c r="E6521" s="15" t="s">
        <v>8480</v>
      </c>
    </row>
    <row r="6522" spans="2:5">
      <c r="B6522" s="15" t="s">
        <v>8401</v>
      </c>
      <c r="C6522" s="15" t="s">
        <v>8402</v>
      </c>
      <c r="D6522" s="15" t="s">
        <v>8481</v>
      </c>
      <c r="E6522" s="15" t="s">
        <v>8482</v>
      </c>
    </row>
    <row r="6523" spans="2:5">
      <c r="B6523" s="15" t="s">
        <v>8401</v>
      </c>
      <c r="C6523" s="15" t="s">
        <v>8402</v>
      </c>
      <c r="D6523" s="15" t="s">
        <v>8483</v>
      </c>
      <c r="E6523" s="15" t="s">
        <v>8484</v>
      </c>
    </row>
    <row r="6524" spans="2:5">
      <c r="B6524" s="15" t="s">
        <v>8401</v>
      </c>
      <c r="C6524" s="15" t="s">
        <v>8402</v>
      </c>
      <c r="D6524" s="15" t="s">
        <v>8485</v>
      </c>
      <c r="E6524" s="15" t="s">
        <v>8486</v>
      </c>
    </row>
    <row r="6525" spans="2:5">
      <c r="B6525" s="15" t="s">
        <v>8401</v>
      </c>
      <c r="C6525" s="15" t="s">
        <v>8402</v>
      </c>
      <c r="D6525" s="15" t="s">
        <v>8487</v>
      </c>
      <c r="E6525" s="15" t="s">
        <v>8488</v>
      </c>
    </row>
    <row r="6526" spans="2:5">
      <c r="B6526" s="15" t="s">
        <v>8401</v>
      </c>
      <c r="C6526" s="15" t="s">
        <v>8402</v>
      </c>
      <c r="D6526" s="15" t="s">
        <v>8489</v>
      </c>
      <c r="E6526" s="15" t="s">
        <v>8490</v>
      </c>
    </row>
    <row r="6527" spans="2:5">
      <c r="B6527" s="15" t="s">
        <v>8401</v>
      </c>
      <c r="C6527" s="15" t="s">
        <v>8402</v>
      </c>
      <c r="D6527" s="15" t="s">
        <v>8491</v>
      </c>
      <c r="E6527" s="15" t="s">
        <v>8492</v>
      </c>
    </row>
    <row r="6528" spans="2:5">
      <c r="B6528" s="15" t="s">
        <v>8401</v>
      </c>
      <c r="C6528" s="15" t="s">
        <v>8402</v>
      </c>
      <c r="D6528" s="15" t="s">
        <v>8493</v>
      </c>
      <c r="E6528" s="15" t="s">
        <v>8494</v>
      </c>
    </row>
    <row r="6529" spans="2:5">
      <c r="B6529" s="15" t="s">
        <v>8401</v>
      </c>
      <c r="C6529" s="15" t="s">
        <v>8402</v>
      </c>
      <c r="D6529" s="15" t="s">
        <v>8495</v>
      </c>
      <c r="E6529" s="15" t="s">
        <v>8496</v>
      </c>
    </row>
    <row r="6530" spans="2:5">
      <c r="B6530" s="15" t="s">
        <v>8401</v>
      </c>
      <c r="C6530" s="15" t="s">
        <v>8402</v>
      </c>
      <c r="D6530" s="15" t="s">
        <v>8497</v>
      </c>
      <c r="E6530" s="15" t="s">
        <v>8498</v>
      </c>
    </row>
    <row r="6531" spans="2:5">
      <c r="B6531" s="15" t="s">
        <v>8401</v>
      </c>
      <c r="C6531" s="15" t="s">
        <v>8402</v>
      </c>
      <c r="D6531" s="15" t="s">
        <v>8499</v>
      </c>
      <c r="E6531" s="15" t="s">
        <v>8500</v>
      </c>
    </row>
    <row r="6532" spans="2:5">
      <c r="B6532" s="15" t="s">
        <v>8401</v>
      </c>
      <c r="C6532" s="15" t="s">
        <v>8402</v>
      </c>
      <c r="D6532" s="15" t="s">
        <v>8501</v>
      </c>
      <c r="E6532" s="15" t="s">
        <v>8502</v>
      </c>
    </row>
    <row r="6533" spans="2:5">
      <c r="B6533" s="15" t="s">
        <v>8401</v>
      </c>
      <c r="C6533" s="15" t="s">
        <v>8402</v>
      </c>
      <c r="D6533" s="15" t="s">
        <v>8503</v>
      </c>
      <c r="E6533" s="15" t="s">
        <v>8504</v>
      </c>
    </row>
    <row r="6534" spans="2:5">
      <c r="B6534" s="15" t="s">
        <v>8401</v>
      </c>
      <c r="C6534" s="15" t="s">
        <v>8402</v>
      </c>
      <c r="D6534" s="15" t="s">
        <v>8505</v>
      </c>
      <c r="E6534" s="15" t="s">
        <v>8506</v>
      </c>
    </row>
    <row r="6535" spans="2:5">
      <c r="B6535" s="15" t="s">
        <v>8401</v>
      </c>
      <c r="C6535" s="15" t="s">
        <v>8402</v>
      </c>
      <c r="D6535" s="15" t="s">
        <v>8507</v>
      </c>
      <c r="E6535" s="15" t="s">
        <v>8508</v>
      </c>
    </row>
    <row r="6536" spans="2:5">
      <c r="B6536" s="15" t="s">
        <v>8401</v>
      </c>
      <c r="C6536" s="15" t="s">
        <v>8402</v>
      </c>
      <c r="D6536" s="15" t="s">
        <v>8509</v>
      </c>
      <c r="E6536" s="15" t="s">
        <v>8510</v>
      </c>
    </row>
    <row r="6537" spans="2:5">
      <c r="B6537" s="15" t="s">
        <v>8401</v>
      </c>
      <c r="C6537" s="15" t="s">
        <v>8402</v>
      </c>
      <c r="D6537" s="15" t="s">
        <v>8511</v>
      </c>
      <c r="E6537" s="15" t="s">
        <v>8512</v>
      </c>
    </row>
    <row r="6538" spans="2:5">
      <c r="B6538" s="15" t="s">
        <v>8401</v>
      </c>
      <c r="C6538" s="15" t="s">
        <v>8402</v>
      </c>
      <c r="D6538" s="15" t="s">
        <v>8513</v>
      </c>
      <c r="E6538" s="15" t="s">
        <v>8514</v>
      </c>
    </row>
    <row r="6539" spans="2:5">
      <c r="B6539" s="15" t="s">
        <v>8401</v>
      </c>
      <c r="C6539" s="15" t="s">
        <v>8402</v>
      </c>
      <c r="D6539" s="15" t="s">
        <v>8515</v>
      </c>
      <c r="E6539" s="15" t="s">
        <v>8516</v>
      </c>
    </row>
    <row r="6540" spans="2:5">
      <c r="B6540" s="15" t="s">
        <v>8401</v>
      </c>
      <c r="C6540" s="15" t="s">
        <v>8402</v>
      </c>
      <c r="D6540" s="15" t="s">
        <v>8517</v>
      </c>
      <c r="E6540" s="15" t="s">
        <v>8518</v>
      </c>
    </row>
    <row r="6541" spans="2:5">
      <c r="B6541" s="15" t="s">
        <v>8401</v>
      </c>
      <c r="C6541" s="15" t="s">
        <v>8402</v>
      </c>
      <c r="D6541" s="15" t="s">
        <v>8519</v>
      </c>
      <c r="E6541" s="15" t="s">
        <v>8520</v>
      </c>
    </row>
    <row r="6542" spans="2:5">
      <c r="B6542" s="15" t="s">
        <v>8401</v>
      </c>
      <c r="C6542" s="15" t="s">
        <v>8402</v>
      </c>
      <c r="D6542" s="15" t="s">
        <v>8521</v>
      </c>
      <c r="E6542" s="15" t="s">
        <v>8522</v>
      </c>
    </row>
    <row r="6543" spans="2:5">
      <c r="B6543" s="15" t="s">
        <v>8401</v>
      </c>
      <c r="C6543" s="15" t="s">
        <v>8402</v>
      </c>
      <c r="D6543" s="15" t="s">
        <v>8523</v>
      </c>
      <c r="E6543" s="15" t="s">
        <v>8524</v>
      </c>
    </row>
    <row r="6544" spans="2:5">
      <c r="B6544" s="15" t="s">
        <v>8401</v>
      </c>
      <c r="C6544" s="15" t="s">
        <v>8402</v>
      </c>
      <c r="D6544" s="15" t="s">
        <v>8525</v>
      </c>
      <c r="E6544" s="15" t="s">
        <v>8526</v>
      </c>
    </row>
    <row r="6545" spans="2:5">
      <c r="B6545" s="15" t="s">
        <v>8401</v>
      </c>
      <c r="C6545" s="15" t="s">
        <v>8402</v>
      </c>
      <c r="D6545" s="15" t="s">
        <v>8527</v>
      </c>
      <c r="E6545" s="15" t="s">
        <v>8528</v>
      </c>
    </row>
    <row r="6546" spans="2:5">
      <c r="B6546" s="15" t="s">
        <v>8401</v>
      </c>
      <c r="C6546" s="15" t="s">
        <v>8402</v>
      </c>
      <c r="D6546" s="15" t="s">
        <v>8529</v>
      </c>
      <c r="E6546" s="15" t="s">
        <v>8530</v>
      </c>
    </row>
    <row r="6547" spans="2:5">
      <c r="B6547" s="15" t="s">
        <v>8401</v>
      </c>
      <c r="C6547" s="15" t="s">
        <v>8402</v>
      </c>
      <c r="D6547" s="15" t="s">
        <v>8531</v>
      </c>
      <c r="E6547" s="15" t="s">
        <v>8532</v>
      </c>
    </row>
    <row r="6548" spans="2:5">
      <c r="B6548" s="15" t="s">
        <v>8401</v>
      </c>
      <c r="C6548" s="15" t="s">
        <v>8402</v>
      </c>
      <c r="D6548" s="15" t="s">
        <v>8533</v>
      </c>
      <c r="E6548" s="15" t="s">
        <v>8534</v>
      </c>
    </row>
    <row r="6549" spans="2:5">
      <c r="B6549" s="15" t="s">
        <v>8401</v>
      </c>
      <c r="C6549" s="15" t="s">
        <v>8402</v>
      </c>
      <c r="D6549" s="15" t="s">
        <v>8535</v>
      </c>
      <c r="E6549" s="15" t="s">
        <v>8536</v>
      </c>
    </row>
    <row r="6550" spans="2:5">
      <c r="B6550" s="15" t="s">
        <v>8401</v>
      </c>
      <c r="C6550" s="15" t="s">
        <v>8402</v>
      </c>
      <c r="D6550" s="15" t="s">
        <v>8537</v>
      </c>
      <c r="E6550" s="15" t="s">
        <v>8538</v>
      </c>
    </row>
    <row r="6551" spans="2:5">
      <c r="B6551" s="15" t="s">
        <v>8401</v>
      </c>
      <c r="C6551" s="15" t="s">
        <v>8402</v>
      </c>
      <c r="D6551" s="15" t="s">
        <v>8539</v>
      </c>
      <c r="E6551" s="15" t="s">
        <v>8540</v>
      </c>
    </row>
    <row r="6552" spans="2:5">
      <c r="B6552" s="15" t="s">
        <v>8401</v>
      </c>
      <c r="C6552" s="15" t="s">
        <v>8402</v>
      </c>
      <c r="D6552" s="15" t="s">
        <v>8541</v>
      </c>
      <c r="E6552" s="15" t="s">
        <v>8542</v>
      </c>
    </row>
    <row r="6553" spans="2:5">
      <c r="B6553" s="15" t="s">
        <v>8401</v>
      </c>
      <c r="C6553" s="15" t="s">
        <v>8402</v>
      </c>
      <c r="D6553" s="15" t="s">
        <v>8543</v>
      </c>
      <c r="E6553" s="15" t="s">
        <v>8544</v>
      </c>
    </row>
    <row r="6554" spans="2:5">
      <c r="B6554" s="15" t="s">
        <v>8401</v>
      </c>
      <c r="C6554" s="15" t="s">
        <v>8402</v>
      </c>
      <c r="D6554" s="15" t="s">
        <v>8545</v>
      </c>
      <c r="E6554" s="15" t="s">
        <v>8546</v>
      </c>
    </row>
    <row r="6555" spans="2:5">
      <c r="B6555" s="15" t="s">
        <v>8401</v>
      </c>
      <c r="C6555" s="15" t="s">
        <v>8402</v>
      </c>
      <c r="D6555" s="15" t="s">
        <v>8547</v>
      </c>
      <c r="E6555" s="15" t="s">
        <v>8548</v>
      </c>
    </row>
    <row r="6556" spans="2:5">
      <c r="B6556" s="15" t="s">
        <v>8401</v>
      </c>
      <c r="C6556" s="15" t="s">
        <v>8402</v>
      </c>
      <c r="D6556" s="15" t="s">
        <v>8549</v>
      </c>
      <c r="E6556" s="15" t="s">
        <v>8550</v>
      </c>
    </row>
    <row r="6557" spans="2:5">
      <c r="B6557" s="15" t="s">
        <v>8401</v>
      </c>
      <c r="C6557" s="15" t="s">
        <v>8402</v>
      </c>
      <c r="D6557" s="15" t="s">
        <v>8551</v>
      </c>
      <c r="E6557" s="15" t="s">
        <v>8552</v>
      </c>
    </row>
    <row r="6558" spans="2:5">
      <c r="B6558" s="15" t="s">
        <v>8401</v>
      </c>
      <c r="C6558" s="15" t="s">
        <v>8402</v>
      </c>
      <c r="D6558" s="15" t="s">
        <v>8553</v>
      </c>
      <c r="E6558" s="15" t="s">
        <v>8554</v>
      </c>
    </row>
    <row r="6559" spans="2:5">
      <c r="B6559" s="15" t="s">
        <v>8401</v>
      </c>
      <c r="C6559" s="15" t="s">
        <v>8402</v>
      </c>
      <c r="D6559" s="15" t="s">
        <v>8555</v>
      </c>
      <c r="E6559" s="15" t="s">
        <v>8556</v>
      </c>
    </row>
    <row r="6560" spans="2:5">
      <c r="B6560" s="15" t="s">
        <v>8401</v>
      </c>
      <c r="C6560" s="15" t="s">
        <v>8402</v>
      </c>
      <c r="D6560" s="15" t="s">
        <v>8557</v>
      </c>
      <c r="E6560" s="15" t="s">
        <v>8558</v>
      </c>
    </row>
    <row r="6561" spans="2:5">
      <c r="B6561" s="15" t="s">
        <v>8401</v>
      </c>
      <c r="C6561" s="15" t="s">
        <v>8402</v>
      </c>
      <c r="D6561" s="15" t="s">
        <v>8559</v>
      </c>
      <c r="E6561" s="15" t="s">
        <v>8560</v>
      </c>
    </row>
    <row r="6562" spans="2:5">
      <c r="B6562" s="15" t="s">
        <v>8401</v>
      </c>
      <c r="C6562" s="15" t="s">
        <v>8402</v>
      </c>
      <c r="D6562" s="15" t="s">
        <v>8561</v>
      </c>
      <c r="E6562" s="15" t="s">
        <v>8562</v>
      </c>
    </row>
    <row r="6563" spans="2:5">
      <c r="B6563" s="15" t="s">
        <v>8401</v>
      </c>
      <c r="C6563" s="15" t="s">
        <v>8402</v>
      </c>
      <c r="D6563" s="15" t="s">
        <v>8563</v>
      </c>
      <c r="E6563" s="15" t="s">
        <v>8564</v>
      </c>
    </row>
    <row r="6564" spans="2:5">
      <c r="B6564" s="15" t="s">
        <v>8401</v>
      </c>
      <c r="C6564" s="15" t="s">
        <v>8402</v>
      </c>
      <c r="D6564" s="15" t="s">
        <v>8565</v>
      </c>
      <c r="E6564" s="15" t="s">
        <v>8566</v>
      </c>
    </row>
    <row r="6565" spans="2:5">
      <c r="B6565" s="15" t="s">
        <v>8401</v>
      </c>
      <c r="C6565" s="15" t="s">
        <v>8402</v>
      </c>
      <c r="D6565" s="15" t="s">
        <v>8567</v>
      </c>
      <c r="E6565" s="15" t="s">
        <v>8568</v>
      </c>
    </row>
    <row r="6566" spans="2:5">
      <c r="B6566" s="15" t="s">
        <v>8401</v>
      </c>
      <c r="C6566" s="15" t="s">
        <v>8402</v>
      </c>
      <c r="D6566" s="15" t="s">
        <v>8569</v>
      </c>
      <c r="E6566" s="15" t="s">
        <v>8570</v>
      </c>
    </row>
    <row r="6567" ht="15.95" spans="2:2">
      <c r="B6567" s="122" t="s">
        <v>8571</v>
      </c>
    </row>
    <row r="6568" spans="2:5">
      <c r="B6568" s="15" t="s">
        <v>8572</v>
      </c>
      <c r="C6568" s="15" t="s">
        <v>8573</v>
      </c>
      <c r="D6568" s="15" t="s">
        <v>635</v>
      </c>
      <c r="E6568" s="15" t="s">
        <v>8574</v>
      </c>
    </row>
    <row r="6569" spans="2:5">
      <c r="B6569" s="15" t="s">
        <v>8572</v>
      </c>
      <c r="C6569" s="15" t="s">
        <v>8573</v>
      </c>
      <c r="D6569" s="15" t="s">
        <v>659</v>
      </c>
      <c r="E6569" s="15" t="s">
        <v>8575</v>
      </c>
    </row>
    <row r="6570" spans="2:5">
      <c r="B6570" s="15" t="s">
        <v>8572</v>
      </c>
      <c r="C6570" s="15" t="s">
        <v>8573</v>
      </c>
      <c r="D6570" s="15" t="s">
        <v>679</v>
      </c>
      <c r="E6570" s="15" t="s">
        <v>8576</v>
      </c>
    </row>
    <row r="6571" ht="15.95" spans="2:2">
      <c r="B6571" s="122" t="s">
        <v>8577</v>
      </c>
    </row>
    <row r="6572" spans="2:5">
      <c r="B6572" s="15" t="s">
        <v>8578</v>
      </c>
      <c r="C6572" s="15" t="s">
        <v>8579</v>
      </c>
      <c r="D6572" s="15" t="s">
        <v>770</v>
      </c>
      <c r="E6572" s="15" t="s">
        <v>8580</v>
      </c>
    </row>
    <row r="6573" spans="2:5">
      <c r="B6573" s="15" t="s">
        <v>8578</v>
      </c>
      <c r="C6573" s="15" t="s">
        <v>8579</v>
      </c>
      <c r="D6573" s="15" t="s">
        <v>772</v>
      </c>
      <c r="E6573" s="15" t="s">
        <v>1274</v>
      </c>
    </row>
    <row r="6574" spans="2:5">
      <c r="B6574" s="15" t="s">
        <v>8578</v>
      </c>
      <c r="C6574" s="15" t="s">
        <v>8579</v>
      </c>
      <c r="D6574" s="15" t="s">
        <v>774</v>
      </c>
      <c r="E6574" s="15" t="s">
        <v>8581</v>
      </c>
    </row>
    <row r="6575" spans="2:5">
      <c r="B6575" s="15" t="s">
        <v>8578</v>
      </c>
      <c r="C6575" s="15" t="s">
        <v>8579</v>
      </c>
      <c r="D6575" s="15" t="s">
        <v>828</v>
      </c>
      <c r="E6575" s="15" t="s">
        <v>235</v>
      </c>
    </row>
    <row r="6576" ht="15.95" spans="2:2">
      <c r="B6576" s="122" t="s">
        <v>8582</v>
      </c>
    </row>
    <row r="6577" spans="2:5">
      <c r="B6577" s="15" t="s">
        <v>8583</v>
      </c>
      <c r="C6577" s="15" t="s">
        <v>8584</v>
      </c>
      <c r="D6577" s="15" t="s">
        <v>1267</v>
      </c>
      <c r="E6577" s="15" t="s">
        <v>1268</v>
      </c>
    </row>
    <row r="6578" spans="2:5">
      <c r="B6578" s="15" t="s">
        <v>8583</v>
      </c>
      <c r="C6578" s="15" t="s">
        <v>8584</v>
      </c>
      <c r="D6578" s="15" t="s">
        <v>1269</v>
      </c>
      <c r="E6578" s="15" t="s">
        <v>1270</v>
      </c>
    </row>
    <row r="6579" ht="15.95" spans="2:2">
      <c r="B6579" s="122" t="s">
        <v>8585</v>
      </c>
    </row>
    <row r="6580" spans="2:5">
      <c r="B6580" s="15" t="s">
        <v>8586</v>
      </c>
      <c r="C6580" s="15" t="s">
        <v>8587</v>
      </c>
      <c r="D6580" s="15" t="s">
        <v>1057</v>
      </c>
      <c r="E6580" s="15" t="s">
        <v>8588</v>
      </c>
    </row>
    <row r="6581" spans="2:5">
      <c r="B6581" s="15" t="s">
        <v>8586</v>
      </c>
      <c r="C6581" s="15" t="s">
        <v>8587</v>
      </c>
      <c r="D6581" s="15" t="s">
        <v>933</v>
      </c>
      <c r="E6581" s="15" t="s">
        <v>8589</v>
      </c>
    </row>
    <row r="6582" spans="2:5">
      <c r="B6582" s="15" t="s">
        <v>8586</v>
      </c>
      <c r="C6582" s="15" t="s">
        <v>8587</v>
      </c>
      <c r="D6582" s="15" t="s">
        <v>937</v>
      </c>
      <c r="E6582" s="15" t="s">
        <v>6603</v>
      </c>
    </row>
    <row r="6583" ht="15.95" spans="2:2">
      <c r="B6583" s="122" t="s">
        <v>8590</v>
      </c>
    </row>
    <row r="6584" spans="2:5">
      <c r="B6584" s="15" t="s">
        <v>8591</v>
      </c>
      <c r="C6584" s="15" t="s">
        <v>8592</v>
      </c>
      <c r="D6584" s="15" t="s">
        <v>917</v>
      </c>
      <c r="E6584" s="15" t="s">
        <v>953</v>
      </c>
    </row>
    <row r="6585" spans="2:5">
      <c r="B6585" s="15" t="s">
        <v>8591</v>
      </c>
      <c r="C6585" s="15" t="s">
        <v>8592</v>
      </c>
      <c r="D6585" s="15" t="s">
        <v>919</v>
      </c>
      <c r="E6585" s="15" t="s">
        <v>954</v>
      </c>
    </row>
    <row r="6586" spans="2:5">
      <c r="B6586" s="15" t="s">
        <v>8591</v>
      </c>
      <c r="C6586" s="15" t="s">
        <v>8592</v>
      </c>
      <c r="D6586" s="15" t="s">
        <v>955</v>
      </c>
      <c r="E6586" s="15" t="s">
        <v>956</v>
      </c>
    </row>
    <row r="6587" ht="15.95" spans="2:2">
      <c r="B6587" s="122" t="s">
        <v>8593</v>
      </c>
    </row>
    <row r="6588" spans="2:5">
      <c r="B6588" s="15" t="s">
        <v>8594</v>
      </c>
      <c r="C6588" s="15" t="s">
        <v>8594</v>
      </c>
      <c r="D6588" s="15" t="s">
        <v>723</v>
      </c>
      <c r="E6588" s="15" t="s">
        <v>3743</v>
      </c>
    </row>
    <row r="6589" spans="2:5">
      <c r="B6589" s="15" t="s">
        <v>8594</v>
      </c>
      <c r="C6589" s="15" t="s">
        <v>8594</v>
      </c>
      <c r="D6589" s="15" t="s">
        <v>725</v>
      </c>
      <c r="E6589" s="15" t="s">
        <v>3744</v>
      </c>
    </row>
    <row r="6590" spans="2:5">
      <c r="B6590" s="15" t="s">
        <v>8594</v>
      </c>
      <c r="C6590" s="15" t="s">
        <v>8594</v>
      </c>
      <c r="D6590" s="15" t="s">
        <v>727</v>
      </c>
      <c r="E6590" s="15" t="s">
        <v>3745</v>
      </c>
    </row>
    <row r="6591" ht="15.95" spans="2:2">
      <c r="B6591" s="122" t="s">
        <v>8595</v>
      </c>
    </row>
    <row r="6592" spans="2:5">
      <c r="B6592" s="15" t="s">
        <v>8596</v>
      </c>
      <c r="C6592" s="15" t="s">
        <v>8597</v>
      </c>
      <c r="D6592" s="15" t="s">
        <v>933</v>
      </c>
      <c r="E6592" s="15" t="s">
        <v>2644</v>
      </c>
    </row>
    <row r="6593" spans="2:5">
      <c r="B6593" s="15" t="s">
        <v>8596</v>
      </c>
      <c r="C6593" s="15" t="s">
        <v>8597</v>
      </c>
      <c r="D6593" s="15" t="s">
        <v>937</v>
      </c>
      <c r="E6593" s="15" t="s">
        <v>1418</v>
      </c>
    </row>
    <row r="6594" spans="2:5">
      <c r="B6594" s="15" t="s">
        <v>8596</v>
      </c>
      <c r="C6594" s="15" t="s">
        <v>8597</v>
      </c>
      <c r="D6594" s="15" t="s">
        <v>939</v>
      </c>
      <c r="E6594" s="15" t="s">
        <v>1604</v>
      </c>
    </row>
    <row r="6595" ht="15.95" spans="2:2">
      <c r="B6595" s="122" t="s">
        <v>8598</v>
      </c>
    </row>
    <row r="6596" spans="2:5">
      <c r="B6596" s="15" t="s">
        <v>8599</v>
      </c>
      <c r="C6596" s="15" t="s">
        <v>896</v>
      </c>
      <c r="D6596" s="15" t="s">
        <v>770</v>
      </c>
      <c r="E6596" s="15" t="s">
        <v>8600</v>
      </c>
    </row>
    <row r="6597" spans="2:5">
      <c r="B6597" s="15" t="s">
        <v>8599</v>
      </c>
      <c r="C6597" s="15" t="s">
        <v>896</v>
      </c>
      <c r="D6597" s="15" t="s">
        <v>772</v>
      </c>
      <c r="E6597" s="15" t="s">
        <v>8221</v>
      </c>
    </row>
    <row r="6598" spans="2:5">
      <c r="B6598" s="15" t="s">
        <v>8599</v>
      </c>
      <c r="C6598" s="15" t="s">
        <v>896</v>
      </c>
      <c r="D6598" s="15" t="s">
        <v>774</v>
      </c>
      <c r="E6598" s="15" t="s">
        <v>8222</v>
      </c>
    </row>
    <row r="6599" spans="2:5">
      <c r="B6599" s="15" t="s">
        <v>8599</v>
      </c>
      <c r="C6599" s="15" t="s">
        <v>896</v>
      </c>
      <c r="D6599" s="15" t="s">
        <v>828</v>
      </c>
      <c r="E6599" s="15" t="s">
        <v>8223</v>
      </c>
    </row>
    <row r="6600" ht="15.95" spans="2:2">
      <c r="B6600" s="122" t="s">
        <v>8601</v>
      </c>
    </row>
    <row r="6601" spans="2:5">
      <c r="B6601" s="15" t="s">
        <v>8602</v>
      </c>
      <c r="C6601" s="15" t="s">
        <v>8603</v>
      </c>
      <c r="D6601" s="15" t="s">
        <v>770</v>
      </c>
      <c r="E6601" s="15" t="s">
        <v>2158</v>
      </c>
    </row>
    <row r="6602" spans="2:5">
      <c r="B6602" s="15" t="s">
        <v>8602</v>
      </c>
      <c r="C6602" s="15" t="s">
        <v>8603</v>
      </c>
      <c r="D6602" s="15" t="s">
        <v>772</v>
      </c>
      <c r="E6602" s="15" t="s">
        <v>2157</v>
      </c>
    </row>
    <row r="6603" ht="15.95" spans="2:2">
      <c r="B6603" s="122" t="s">
        <v>8604</v>
      </c>
    </row>
    <row r="6604" spans="2:5">
      <c r="B6604" s="15" t="s">
        <v>8605</v>
      </c>
      <c r="C6604" s="15" t="s">
        <v>2377</v>
      </c>
      <c r="D6604" s="15" t="s">
        <v>770</v>
      </c>
      <c r="E6604" s="15" t="s">
        <v>2379</v>
      </c>
    </row>
    <row r="6605" spans="2:5">
      <c r="B6605" s="15" t="s">
        <v>8605</v>
      </c>
      <c r="C6605" s="15" t="s">
        <v>2377</v>
      </c>
      <c r="D6605" s="15" t="s">
        <v>772</v>
      </c>
      <c r="E6605" s="15" t="s">
        <v>2292</v>
      </c>
    </row>
    <row r="6606" spans="2:5">
      <c r="B6606" s="15" t="s">
        <v>8605</v>
      </c>
      <c r="C6606" s="15" t="s">
        <v>2377</v>
      </c>
      <c r="D6606" s="15" t="s">
        <v>774</v>
      </c>
      <c r="E6606" s="15" t="s">
        <v>2380</v>
      </c>
    </row>
    <row r="6607" spans="2:5">
      <c r="B6607" s="15" t="s">
        <v>8605</v>
      </c>
      <c r="C6607" s="15" t="s">
        <v>2377</v>
      </c>
      <c r="D6607" s="15" t="s">
        <v>828</v>
      </c>
      <c r="E6607" s="15" t="s">
        <v>2381</v>
      </c>
    </row>
    <row r="6608" ht="15.95" spans="2:2">
      <c r="B6608" s="122" t="s">
        <v>8606</v>
      </c>
    </row>
    <row r="6609" spans="2:5">
      <c r="B6609" s="15" t="s">
        <v>8607</v>
      </c>
      <c r="C6609" s="15" t="s">
        <v>8608</v>
      </c>
      <c r="D6609" s="15" t="s">
        <v>723</v>
      </c>
      <c r="E6609" s="15" t="s">
        <v>8609</v>
      </c>
    </row>
    <row r="6610" spans="2:5">
      <c r="B6610" s="15" t="s">
        <v>8607</v>
      </c>
      <c r="C6610" s="15" t="s">
        <v>8608</v>
      </c>
      <c r="D6610" s="15" t="s">
        <v>725</v>
      </c>
      <c r="E6610" s="15" t="s">
        <v>8610</v>
      </c>
    </row>
    <row r="6611" ht="15.95" spans="2:2">
      <c r="B6611" s="122" t="s">
        <v>8611</v>
      </c>
    </row>
    <row r="6612" spans="2:5">
      <c r="B6612" s="15" t="s">
        <v>8612</v>
      </c>
      <c r="C6612" s="15" t="s">
        <v>8612</v>
      </c>
      <c r="D6612" s="15" t="s">
        <v>723</v>
      </c>
      <c r="E6612" s="15" t="s">
        <v>8613</v>
      </c>
    </row>
    <row r="6613" spans="2:5">
      <c r="B6613" s="15" t="s">
        <v>8612</v>
      </c>
      <c r="C6613" s="15" t="s">
        <v>8612</v>
      </c>
      <c r="D6613" s="15" t="s">
        <v>725</v>
      </c>
      <c r="E6613" s="15" t="s">
        <v>8614</v>
      </c>
    </row>
    <row r="6614" spans="2:5">
      <c r="B6614" s="15" t="s">
        <v>8612</v>
      </c>
      <c r="C6614" s="15" t="s">
        <v>8612</v>
      </c>
      <c r="D6614" s="15" t="s">
        <v>727</v>
      </c>
      <c r="E6614" s="15" t="s">
        <v>235</v>
      </c>
    </row>
    <row r="6615" ht="15.95" spans="2:2">
      <c r="B6615" s="122" t="s">
        <v>8615</v>
      </c>
    </row>
    <row r="6616" spans="2:5">
      <c r="B6616" s="15" t="s">
        <v>8616</v>
      </c>
      <c r="C6616" s="15" t="s">
        <v>8617</v>
      </c>
      <c r="D6616" s="15" t="s">
        <v>8618</v>
      </c>
      <c r="E6616" s="15" t="s">
        <v>8619</v>
      </c>
    </row>
    <row r="6617" spans="2:5">
      <c r="B6617" s="15" t="s">
        <v>8616</v>
      </c>
      <c r="C6617" s="15" t="s">
        <v>8617</v>
      </c>
      <c r="D6617" s="15" t="s">
        <v>8620</v>
      </c>
      <c r="E6617" s="15" t="s">
        <v>8621</v>
      </c>
    </row>
    <row r="6618" spans="2:5">
      <c r="B6618" s="15" t="s">
        <v>8616</v>
      </c>
      <c r="C6618" s="15" t="s">
        <v>8617</v>
      </c>
      <c r="D6618" s="15" t="s">
        <v>8622</v>
      </c>
      <c r="E6618" s="15" t="s">
        <v>8623</v>
      </c>
    </row>
    <row r="6619" spans="2:5">
      <c r="B6619" s="15" t="s">
        <v>8616</v>
      </c>
      <c r="C6619" s="15" t="s">
        <v>8617</v>
      </c>
      <c r="D6619" s="15" t="s">
        <v>8624</v>
      </c>
      <c r="E6619" s="15" t="s">
        <v>8625</v>
      </c>
    </row>
    <row r="6620" spans="2:5">
      <c r="B6620" s="15" t="s">
        <v>8616</v>
      </c>
      <c r="C6620" s="15" t="s">
        <v>8617</v>
      </c>
      <c r="D6620" s="15" t="s">
        <v>8626</v>
      </c>
      <c r="E6620" s="15" t="s">
        <v>8627</v>
      </c>
    </row>
    <row r="6621" spans="2:5">
      <c r="B6621" s="15" t="s">
        <v>8616</v>
      </c>
      <c r="C6621" s="15" t="s">
        <v>8617</v>
      </c>
      <c r="D6621" s="15" t="s">
        <v>8628</v>
      </c>
      <c r="E6621" s="15" t="s">
        <v>8629</v>
      </c>
    </row>
    <row r="6622" spans="2:5">
      <c r="B6622" s="15" t="s">
        <v>8616</v>
      </c>
      <c r="C6622" s="15" t="s">
        <v>8617</v>
      </c>
      <c r="D6622" s="15" t="s">
        <v>8630</v>
      </c>
      <c r="E6622" s="15" t="s">
        <v>8631</v>
      </c>
    </row>
    <row r="6623" spans="2:5">
      <c r="B6623" s="15" t="s">
        <v>8616</v>
      </c>
      <c r="C6623" s="15" t="s">
        <v>8617</v>
      </c>
      <c r="D6623" s="15" t="s">
        <v>8632</v>
      </c>
      <c r="E6623" s="15" t="s">
        <v>8631</v>
      </c>
    </row>
    <row r="6624" spans="2:5">
      <c r="B6624" s="15" t="s">
        <v>8616</v>
      </c>
      <c r="C6624" s="15" t="s">
        <v>8617</v>
      </c>
      <c r="D6624" s="15" t="s">
        <v>8633</v>
      </c>
      <c r="E6624" s="15" t="s">
        <v>8634</v>
      </c>
    </row>
    <row r="6625" spans="2:5">
      <c r="B6625" s="15" t="s">
        <v>8616</v>
      </c>
      <c r="C6625" s="15" t="s">
        <v>8617</v>
      </c>
      <c r="D6625" s="15" t="s">
        <v>8635</v>
      </c>
      <c r="E6625" s="15" t="s">
        <v>8636</v>
      </c>
    </row>
    <row r="6626" spans="2:5">
      <c r="B6626" s="15" t="s">
        <v>8616</v>
      </c>
      <c r="C6626" s="15" t="s">
        <v>8617</v>
      </c>
      <c r="D6626" s="15" t="s">
        <v>8637</v>
      </c>
      <c r="E6626" s="15" t="s">
        <v>8638</v>
      </c>
    </row>
    <row r="6627" spans="2:5">
      <c r="B6627" s="15" t="s">
        <v>8616</v>
      </c>
      <c r="C6627" s="15" t="s">
        <v>8617</v>
      </c>
      <c r="D6627" s="15" t="s">
        <v>8639</v>
      </c>
      <c r="E6627" s="15" t="s">
        <v>8640</v>
      </c>
    </row>
    <row r="6628" spans="2:5">
      <c r="B6628" s="15" t="s">
        <v>8616</v>
      </c>
      <c r="C6628" s="15" t="s">
        <v>8617</v>
      </c>
      <c r="D6628" s="15" t="s">
        <v>8641</v>
      </c>
      <c r="E6628" s="15" t="s">
        <v>8642</v>
      </c>
    </row>
    <row r="6629" spans="2:5">
      <c r="B6629" s="15" t="s">
        <v>8616</v>
      </c>
      <c r="C6629" s="15" t="s">
        <v>8617</v>
      </c>
      <c r="D6629" s="15" t="s">
        <v>8643</v>
      </c>
      <c r="E6629" s="15" t="s">
        <v>8644</v>
      </c>
    </row>
    <row r="6630" spans="2:5">
      <c r="B6630" s="15" t="s">
        <v>8616</v>
      </c>
      <c r="C6630" s="15" t="s">
        <v>8617</v>
      </c>
      <c r="D6630" s="15" t="s">
        <v>8645</v>
      </c>
      <c r="E6630" s="15" t="s">
        <v>8646</v>
      </c>
    </row>
    <row r="6631" spans="2:5">
      <c r="B6631" s="15" t="s">
        <v>8616</v>
      </c>
      <c r="C6631" s="15" t="s">
        <v>8617</v>
      </c>
      <c r="D6631" s="15" t="s">
        <v>8647</v>
      </c>
      <c r="E6631" s="15" t="s">
        <v>8648</v>
      </c>
    </row>
    <row r="6632" spans="2:5">
      <c r="B6632" s="15" t="s">
        <v>8616</v>
      </c>
      <c r="C6632" s="15" t="s">
        <v>8617</v>
      </c>
      <c r="D6632" s="15" t="s">
        <v>8649</v>
      </c>
      <c r="E6632" s="15" t="s">
        <v>8650</v>
      </c>
    </row>
    <row r="6633" spans="2:5">
      <c r="B6633" s="15" t="s">
        <v>8616</v>
      </c>
      <c r="C6633" s="15" t="s">
        <v>8617</v>
      </c>
      <c r="D6633" s="15" t="s">
        <v>8651</v>
      </c>
      <c r="E6633" s="15" t="s">
        <v>8652</v>
      </c>
    </row>
    <row r="6634" spans="2:5">
      <c r="B6634" s="15" t="s">
        <v>8616</v>
      </c>
      <c r="C6634" s="15" t="s">
        <v>8617</v>
      </c>
      <c r="D6634" s="15" t="s">
        <v>8653</v>
      </c>
      <c r="E6634" s="15" t="s">
        <v>8654</v>
      </c>
    </row>
    <row r="6635" spans="2:5">
      <c r="B6635" s="15" t="s">
        <v>8616</v>
      </c>
      <c r="C6635" s="15" t="s">
        <v>8617</v>
      </c>
      <c r="D6635" s="15" t="s">
        <v>8655</v>
      </c>
      <c r="E6635" s="15" t="s">
        <v>8656</v>
      </c>
    </row>
    <row r="6636" spans="2:5">
      <c r="B6636" s="15" t="s">
        <v>8616</v>
      </c>
      <c r="C6636" s="15" t="s">
        <v>8617</v>
      </c>
      <c r="D6636" s="15" t="s">
        <v>8657</v>
      </c>
      <c r="E6636" s="15" t="s">
        <v>8658</v>
      </c>
    </row>
    <row r="6637" spans="2:5">
      <c r="B6637" s="15" t="s">
        <v>8616</v>
      </c>
      <c r="C6637" s="15" t="s">
        <v>8617</v>
      </c>
      <c r="D6637" s="15" t="s">
        <v>8659</v>
      </c>
      <c r="E6637" s="15" t="s">
        <v>8660</v>
      </c>
    </row>
    <row r="6638" spans="2:5">
      <c r="B6638" s="15" t="s">
        <v>8616</v>
      </c>
      <c r="C6638" s="15" t="s">
        <v>8617</v>
      </c>
      <c r="D6638" s="15" t="s">
        <v>8661</v>
      </c>
      <c r="E6638" s="15" t="s">
        <v>8662</v>
      </c>
    </row>
    <row r="6639" spans="2:5">
      <c r="B6639" s="15" t="s">
        <v>8616</v>
      </c>
      <c r="C6639" s="15" t="s">
        <v>8617</v>
      </c>
      <c r="D6639" s="15" t="s">
        <v>7027</v>
      </c>
      <c r="E6639" s="15" t="s">
        <v>7027</v>
      </c>
    </row>
    <row r="6640" spans="2:5">
      <c r="B6640" s="15" t="s">
        <v>8616</v>
      </c>
      <c r="C6640" s="15" t="s">
        <v>8617</v>
      </c>
      <c r="D6640" s="15" t="s">
        <v>8663</v>
      </c>
      <c r="E6640" s="15" t="s">
        <v>8664</v>
      </c>
    </row>
    <row r="6641" spans="2:5">
      <c r="B6641" s="15" t="s">
        <v>8616</v>
      </c>
      <c r="C6641" s="15" t="s">
        <v>8617</v>
      </c>
      <c r="D6641" s="15" t="s">
        <v>8665</v>
      </c>
      <c r="E6641" s="15" t="s">
        <v>8666</v>
      </c>
    </row>
    <row r="6642" spans="2:5">
      <c r="B6642" s="15" t="s">
        <v>8616</v>
      </c>
      <c r="C6642" s="15" t="s">
        <v>8617</v>
      </c>
      <c r="D6642" s="15" t="s">
        <v>8667</v>
      </c>
      <c r="E6642" s="15" t="s">
        <v>8668</v>
      </c>
    </row>
    <row r="6643" spans="2:5">
      <c r="B6643" s="15" t="s">
        <v>8616</v>
      </c>
      <c r="C6643" s="15" t="s">
        <v>8617</v>
      </c>
      <c r="D6643" s="15" t="s">
        <v>8669</v>
      </c>
      <c r="E6643" s="15" t="s">
        <v>8669</v>
      </c>
    </row>
    <row r="6644" spans="2:5">
      <c r="B6644" s="15" t="s">
        <v>8616</v>
      </c>
      <c r="C6644" s="15" t="s">
        <v>8617</v>
      </c>
      <c r="D6644" s="15" t="s">
        <v>8670</v>
      </c>
      <c r="E6644" s="15" t="s">
        <v>8671</v>
      </c>
    </row>
    <row r="6645" spans="2:5">
      <c r="B6645" s="15" t="s">
        <v>8616</v>
      </c>
      <c r="C6645" s="15" t="s">
        <v>8617</v>
      </c>
      <c r="D6645" s="15" t="s">
        <v>8672</v>
      </c>
      <c r="E6645" s="15" t="s">
        <v>8673</v>
      </c>
    </row>
    <row r="6646" spans="2:5">
      <c r="B6646" s="15" t="s">
        <v>8616</v>
      </c>
      <c r="C6646" s="15" t="s">
        <v>8617</v>
      </c>
      <c r="D6646" s="15" t="s">
        <v>8674</v>
      </c>
      <c r="E6646" s="15" t="s">
        <v>8675</v>
      </c>
    </row>
    <row r="6647" spans="2:5">
      <c r="B6647" s="15" t="s">
        <v>8616</v>
      </c>
      <c r="C6647" s="15" t="s">
        <v>8617</v>
      </c>
      <c r="D6647" s="15" t="s">
        <v>8676</v>
      </c>
      <c r="E6647" s="15" t="s">
        <v>8677</v>
      </c>
    </row>
    <row r="6648" spans="2:5">
      <c r="B6648" s="15" t="s">
        <v>8616</v>
      </c>
      <c r="C6648" s="15" t="s">
        <v>8617</v>
      </c>
      <c r="D6648" s="15" t="s">
        <v>8678</v>
      </c>
      <c r="E6648" s="15" t="s">
        <v>8679</v>
      </c>
    </row>
    <row r="6649" spans="2:5">
      <c r="B6649" s="15" t="s">
        <v>8616</v>
      </c>
      <c r="C6649" s="15" t="s">
        <v>8617</v>
      </c>
      <c r="D6649" s="15" t="s">
        <v>7056</v>
      </c>
      <c r="E6649" s="15" t="s">
        <v>8680</v>
      </c>
    </row>
    <row r="6650" spans="2:5">
      <c r="B6650" s="15" t="s">
        <v>8616</v>
      </c>
      <c r="C6650" s="15" t="s">
        <v>8617</v>
      </c>
      <c r="D6650" s="15" t="s">
        <v>8681</v>
      </c>
      <c r="E6650" s="15" t="s">
        <v>8682</v>
      </c>
    </row>
    <row r="6651" spans="2:5">
      <c r="B6651" s="15" t="s">
        <v>8616</v>
      </c>
      <c r="C6651" s="15" t="s">
        <v>8617</v>
      </c>
      <c r="D6651" s="15" t="s">
        <v>8683</v>
      </c>
      <c r="E6651" s="15" t="s">
        <v>8684</v>
      </c>
    </row>
    <row r="6652" spans="2:5">
      <c r="B6652" s="15" t="s">
        <v>8616</v>
      </c>
      <c r="C6652" s="15" t="s">
        <v>8617</v>
      </c>
      <c r="D6652" s="15" t="s">
        <v>7060</v>
      </c>
      <c r="E6652" s="15" t="s">
        <v>8685</v>
      </c>
    </row>
    <row r="6653" spans="2:5">
      <c r="B6653" s="15" t="s">
        <v>8616</v>
      </c>
      <c r="C6653" s="15" t="s">
        <v>8617</v>
      </c>
      <c r="D6653" s="15" t="s">
        <v>7066</v>
      </c>
      <c r="E6653" s="15" t="s">
        <v>8686</v>
      </c>
    </row>
    <row r="6654" spans="2:5">
      <c r="B6654" s="15" t="s">
        <v>8616</v>
      </c>
      <c r="C6654" s="15" t="s">
        <v>8617</v>
      </c>
      <c r="D6654" s="15" t="s">
        <v>7070</v>
      </c>
      <c r="E6654" s="15" t="s">
        <v>8687</v>
      </c>
    </row>
    <row r="6655" spans="2:5">
      <c r="B6655" s="15" t="s">
        <v>8616</v>
      </c>
      <c r="C6655" s="15" t="s">
        <v>8617</v>
      </c>
      <c r="D6655" s="15" t="s">
        <v>8688</v>
      </c>
      <c r="E6655" s="15" t="s">
        <v>8689</v>
      </c>
    </row>
    <row r="6656" spans="2:5">
      <c r="B6656" s="15" t="s">
        <v>8616</v>
      </c>
      <c r="C6656" s="15" t="s">
        <v>8617</v>
      </c>
      <c r="D6656" s="15" t="s">
        <v>8690</v>
      </c>
      <c r="E6656" s="15" t="s">
        <v>8691</v>
      </c>
    </row>
    <row r="6657" spans="2:5">
      <c r="B6657" s="15" t="s">
        <v>8616</v>
      </c>
      <c r="C6657" s="15" t="s">
        <v>8617</v>
      </c>
      <c r="D6657" s="15" t="s">
        <v>8692</v>
      </c>
      <c r="E6657" s="15" t="s">
        <v>8693</v>
      </c>
    </row>
    <row r="6658" spans="2:5">
      <c r="B6658" s="15" t="s">
        <v>8616</v>
      </c>
      <c r="C6658" s="15" t="s">
        <v>8617</v>
      </c>
      <c r="D6658" s="15" t="s">
        <v>8694</v>
      </c>
      <c r="E6658" s="15" t="s">
        <v>8695</v>
      </c>
    </row>
    <row r="6659" spans="2:5">
      <c r="B6659" s="15" t="s">
        <v>8616</v>
      </c>
      <c r="C6659" s="15" t="s">
        <v>8617</v>
      </c>
      <c r="D6659" s="15" t="s">
        <v>8696</v>
      </c>
      <c r="E6659" s="15" t="s">
        <v>8627</v>
      </c>
    </row>
    <row r="6660" spans="2:5">
      <c r="B6660" s="15" t="s">
        <v>8616</v>
      </c>
      <c r="C6660" s="15" t="s">
        <v>8617</v>
      </c>
      <c r="D6660" s="15" t="s">
        <v>8697</v>
      </c>
      <c r="E6660" s="15" t="s">
        <v>8698</v>
      </c>
    </row>
    <row r="6661" spans="2:5">
      <c r="B6661" s="15" t="s">
        <v>8616</v>
      </c>
      <c r="C6661" s="15" t="s">
        <v>8617</v>
      </c>
      <c r="D6661" s="15" t="s">
        <v>7090</v>
      </c>
      <c r="E6661" s="15" t="s">
        <v>8699</v>
      </c>
    </row>
    <row r="6662" spans="2:5">
      <c r="B6662" s="15" t="s">
        <v>8616</v>
      </c>
      <c r="C6662" s="15" t="s">
        <v>8617</v>
      </c>
      <c r="D6662" s="15" t="s">
        <v>7092</v>
      </c>
      <c r="E6662" s="15" t="s">
        <v>8700</v>
      </c>
    </row>
    <row r="6663" spans="2:5">
      <c r="B6663" s="15" t="s">
        <v>8616</v>
      </c>
      <c r="C6663" s="15" t="s">
        <v>8617</v>
      </c>
      <c r="D6663" s="15" t="s">
        <v>7094</v>
      </c>
      <c r="E6663" s="15" t="s">
        <v>8701</v>
      </c>
    </row>
    <row r="6664" spans="2:5">
      <c r="B6664" s="15" t="s">
        <v>8616</v>
      </c>
      <c r="C6664" s="15" t="s">
        <v>8617</v>
      </c>
      <c r="D6664" s="15" t="s">
        <v>8702</v>
      </c>
      <c r="E6664" s="15" t="s">
        <v>8702</v>
      </c>
    </row>
    <row r="6665" spans="2:5">
      <c r="B6665" s="15" t="s">
        <v>8616</v>
      </c>
      <c r="C6665" s="15" t="s">
        <v>8617</v>
      </c>
      <c r="D6665" s="15" t="s">
        <v>8703</v>
      </c>
      <c r="E6665" s="15" t="s">
        <v>8703</v>
      </c>
    </row>
    <row r="6666" spans="2:5">
      <c r="B6666" s="15" t="s">
        <v>8616</v>
      </c>
      <c r="C6666" s="15" t="s">
        <v>8617</v>
      </c>
      <c r="D6666" s="15" t="s">
        <v>8704</v>
      </c>
      <c r="E6666" s="15" t="s">
        <v>8704</v>
      </c>
    </row>
    <row r="6667" spans="2:5">
      <c r="B6667" s="15" t="s">
        <v>8616</v>
      </c>
      <c r="C6667" s="15" t="s">
        <v>8617</v>
      </c>
      <c r="D6667" s="15" t="s">
        <v>8705</v>
      </c>
      <c r="E6667" s="15" t="s">
        <v>8705</v>
      </c>
    </row>
    <row r="6668" spans="2:5">
      <c r="B6668" s="15" t="s">
        <v>8616</v>
      </c>
      <c r="C6668" s="15" t="s">
        <v>8617</v>
      </c>
      <c r="D6668" s="15" t="s">
        <v>8706</v>
      </c>
      <c r="E6668" s="15" t="s">
        <v>8640</v>
      </c>
    </row>
    <row r="6669" spans="2:5">
      <c r="B6669" s="15" t="s">
        <v>8616</v>
      </c>
      <c r="C6669" s="15" t="s">
        <v>8617</v>
      </c>
      <c r="D6669" s="15" t="s">
        <v>8707</v>
      </c>
      <c r="E6669" s="15" t="s">
        <v>8708</v>
      </c>
    </row>
    <row r="6670" spans="2:5">
      <c r="B6670" s="15" t="s">
        <v>8616</v>
      </c>
      <c r="C6670" s="15" t="s">
        <v>8617</v>
      </c>
      <c r="D6670" s="15" t="s">
        <v>8709</v>
      </c>
      <c r="E6670" s="15" t="s">
        <v>8710</v>
      </c>
    </row>
    <row r="6671" spans="2:5">
      <c r="B6671" s="15" t="s">
        <v>8616</v>
      </c>
      <c r="C6671" s="15" t="s">
        <v>8617</v>
      </c>
      <c r="D6671" s="15" t="s">
        <v>8711</v>
      </c>
      <c r="E6671" s="15" t="s">
        <v>8712</v>
      </c>
    </row>
    <row r="6672" spans="2:5">
      <c r="B6672" s="15" t="s">
        <v>8616</v>
      </c>
      <c r="C6672" s="15" t="s">
        <v>8617</v>
      </c>
      <c r="D6672" s="15" t="s">
        <v>8713</v>
      </c>
      <c r="E6672" s="15" t="s">
        <v>8714</v>
      </c>
    </row>
    <row r="6673" spans="2:5">
      <c r="B6673" s="15" t="s">
        <v>8616</v>
      </c>
      <c r="C6673" s="15" t="s">
        <v>8617</v>
      </c>
      <c r="D6673" s="15" t="s">
        <v>8715</v>
      </c>
      <c r="E6673" s="15" t="s">
        <v>8716</v>
      </c>
    </row>
    <row r="6674" spans="2:5">
      <c r="B6674" s="15" t="s">
        <v>8616</v>
      </c>
      <c r="C6674" s="15" t="s">
        <v>8617</v>
      </c>
      <c r="D6674" s="15" t="s">
        <v>8717</v>
      </c>
      <c r="E6674" s="15" t="s">
        <v>8718</v>
      </c>
    </row>
    <row r="6675" spans="2:5">
      <c r="B6675" s="15" t="s">
        <v>8616</v>
      </c>
      <c r="C6675" s="15" t="s">
        <v>8617</v>
      </c>
      <c r="D6675" s="15" t="s">
        <v>8719</v>
      </c>
      <c r="E6675" s="15" t="s">
        <v>8720</v>
      </c>
    </row>
    <row r="6676" spans="2:5">
      <c r="B6676" s="15" t="s">
        <v>8616</v>
      </c>
      <c r="C6676" s="15" t="s">
        <v>8617</v>
      </c>
      <c r="D6676" s="15" t="s">
        <v>8721</v>
      </c>
      <c r="E6676" s="15" t="s">
        <v>8710</v>
      </c>
    </row>
    <row r="6677" spans="2:5">
      <c r="B6677" s="15" t="s">
        <v>8616</v>
      </c>
      <c r="C6677" s="15" t="s">
        <v>8617</v>
      </c>
      <c r="D6677" s="15" t="s">
        <v>8722</v>
      </c>
      <c r="E6677" s="15" t="s">
        <v>8714</v>
      </c>
    </row>
    <row r="6678" spans="2:5">
      <c r="B6678" s="15" t="s">
        <v>8616</v>
      </c>
      <c r="C6678" s="15" t="s">
        <v>8617</v>
      </c>
      <c r="D6678" s="15" t="s">
        <v>8723</v>
      </c>
      <c r="E6678" s="15" t="s">
        <v>8716</v>
      </c>
    </row>
    <row r="6679" spans="2:5">
      <c r="B6679" s="15" t="s">
        <v>8616</v>
      </c>
      <c r="C6679" s="15" t="s">
        <v>8617</v>
      </c>
      <c r="D6679" s="15" t="s">
        <v>8724</v>
      </c>
      <c r="E6679" s="15" t="s">
        <v>8718</v>
      </c>
    </row>
    <row r="6680" spans="2:5">
      <c r="B6680" s="15" t="s">
        <v>8616</v>
      </c>
      <c r="C6680" s="15" t="s">
        <v>8617</v>
      </c>
      <c r="D6680" s="15" t="s">
        <v>8725</v>
      </c>
      <c r="E6680" s="15" t="s">
        <v>8726</v>
      </c>
    </row>
    <row r="6681" spans="2:5">
      <c r="B6681" s="15" t="s">
        <v>8616</v>
      </c>
      <c r="C6681" s="15" t="s">
        <v>8617</v>
      </c>
      <c r="D6681" s="15" t="s">
        <v>8727</v>
      </c>
      <c r="E6681" s="15" t="s">
        <v>8728</v>
      </c>
    </row>
    <row r="6682" spans="2:5">
      <c r="B6682" s="15" t="s">
        <v>8616</v>
      </c>
      <c r="C6682" s="15" t="s">
        <v>8617</v>
      </c>
      <c r="D6682" s="15" t="s">
        <v>8729</v>
      </c>
      <c r="E6682" s="15" t="s">
        <v>8730</v>
      </c>
    </row>
    <row r="6683" spans="2:5">
      <c r="B6683" s="15" t="s">
        <v>8616</v>
      </c>
      <c r="C6683" s="15" t="s">
        <v>8617</v>
      </c>
      <c r="D6683" s="15" t="s">
        <v>8731</v>
      </c>
      <c r="E6683" s="15" t="s">
        <v>5124</v>
      </c>
    </row>
    <row r="6684" spans="2:5">
      <c r="B6684" s="15" t="s">
        <v>8616</v>
      </c>
      <c r="C6684" s="15" t="s">
        <v>8617</v>
      </c>
      <c r="D6684" s="15" t="s">
        <v>8732</v>
      </c>
      <c r="E6684" s="15" t="s">
        <v>8710</v>
      </c>
    </row>
    <row r="6685" spans="2:5">
      <c r="B6685" s="15" t="s">
        <v>8616</v>
      </c>
      <c r="C6685" s="15" t="s">
        <v>8617</v>
      </c>
      <c r="D6685" s="15" t="s">
        <v>8733</v>
      </c>
      <c r="E6685" s="15" t="s">
        <v>8734</v>
      </c>
    </row>
    <row r="6686" spans="2:5">
      <c r="B6686" s="15" t="s">
        <v>8616</v>
      </c>
      <c r="C6686" s="15" t="s">
        <v>8617</v>
      </c>
      <c r="D6686" s="15" t="s">
        <v>8735</v>
      </c>
      <c r="E6686" s="15" t="s">
        <v>8714</v>
      </c>
    </row>
    <row r="6687" spans="2:5">
      <c r="B6687" s="15" t="s">
        <v>8616</v>
      </c>
      <c r="C6687" s="15" t="s">
        <v>8617</v>
      </c>
      <c r="D6687" s="15" t="s">
        <v>8736</v>
      </c>
      <c r="E6687" s="15" t="s">
        <v>8716</v>
      </c>
    </row>
    <row r="6688" spans="2:5">
      <c r="B6688" s="15" t="s">
        <v>8616</v>
      </c>
      <c r="C6688" s="15" t="s">
        <v>8617</v>
      </c>
      <c r="D6688" s="15" t="s">
        <v>8737</v>
      </c>
      <c r="E6688" s="15" t="s">
        <v>8718</v>
      </c>
    </row>
    <row r="6689" spans="2:5">
      <c r="B6689" s="15" t="s">
        <v>8616</v>
      </c>
      <c r="C6689" s="15" t="s">
        <v>8617</v>
      </c>
      <c r="D6689" s="15" t="s">
        <v>8738</v>
      </c>
      <c r="E6689" s="15" t="s">
        <v>8739</v>
      </c>
    </row>
    <row r="6690" spans="2:5">
      <c r="B6690" s="15" t="s">
        <v>8616</v>
      </c>
      <c r="C6690" s="15" t="s">
        <v>8617</v>
      </c>
      <c r="D6690" s="15" t="s">
        <v>8740</v>
      </c>
      <c r="E6690" s="15" t="s">
        <v>8741</v>
      </c>
    </row>
    <row r="6691" spans="2:5">
      <c r="B6691" s="15" t="s">
        <v>8616</v>
      </c>
      <c r="C6691" s="15" t="s">
        <v>8617</v>
      </c>
      <c r="D6691" s="15" t="s">
        <v>8742</v>
      </c>
      <c r="E6691" s="15" t="s">
        <v>8743</v>
      </c>
    </row>
    <row r="6692" spans="2:5">
      <c r="B6692" s="15" t="s">
        <v>8616</v>
      </c>
      <c r="C6692" s="15" t="s">
        <v>8617</v>
      </c>
      <c r="D6692" s="15" t="s">
        <v>8744</v>
      </c>
      <c r="E6692" s="15" t="s">
        <v>8745</v>
      </c>
    </row>
    <row r="6693" spans="2:5">
      <c r="B6693" s="15" t="s">
        <v>8616</v>
      </c>
      <c r="C6693" s="15" t="s">
        <v>8617</v>
      </c>
      <c r="D6693" s="15" t="s">
        <v>8746</v>
      </c>
      <c r="E6693" s="15" t="s">
        <v>8746</v>
      </c>
    </row>
    <row r="6694" spans="2:5">
      <c r="B6694" s="15" t="s">
        <v>8616</v>
      </c>
      <c r="C6694" s="15" t="s">
        <v>8617</v>
      </c>
      <c r="D6694" s="15" t="s">
        <v>7161</v>
      </c>
      <c r="E6694" s="15" t="s">
        <v>8747</v>
      </c>
    </row>
    <row r="6695" spans="2:5">
      <c r="B6695" s="15" t="s">
        <v>8616</v>
      </c>
      <c r="C6695" s="15" t="s">
        <v>8617</v>
      </c>
      <c r="D6695" s="15" t="s">
        <v>7163</v>
      </c>
      <c r="E6695" s="15" t="s">
        <v>8748</v>
      </c>
    </row>
    <row r="6696" spans="2:5">
      <c r="B6696" s="15" t="s">
        <v>8616</v>
      </c>
      <c r="C6696" s="15" t="s">
        <v>8617</v>
      </c>
      <c r="D6696" s="15" t="s">
        <v>8749</v>
      </c>
      <c r="E6696" s="15" t="s">
        <v>8749</v>
      </c>
    </row>
    <row r="6697" spans="2:5">
      <c r="B6697" s="15" t="s">
        <v>8616</v>
      </c>
      <c r="C6697" s="15" t="s">
        <v>8617</v>
      </c>
      <c r="D6697" s="15" t="s">
        <v>7165</v>
      </c>
      <c r="E6697" s="15" t="s">
        <v>8750</v>
      </c>
    </row>
    <row r="6698" spans="2:5">
      <c r="B6698" s="15" t="s">
        <v>8616</v>
      </c>
      <c r="C6698" s="15" t="s">
        <v>8617</v>
      </c>
      <c r="D6698" s="15" t="s">
        <v>8751</v>
      </c>
      <c r="E6698" s="15" t="s">
        <v>8752</v>
      </c>
    </row>
    <row r="6699" spans="2:5">
      <c r="B6699" s="15" t="s">
        <v>8616</v>
      </c>
      <c r="C6699" s="15" t="s">
        <v>8617</v>
      </c>
      <c r="D6699" s="15" t="s">
        <v>8753</v>
      </c>
      <c r="E6699" s="15" t="s">
        <v>8754</v>
      </c>
    </row>
    <row r="6700" spans="2:5">
      <c r="B6700" s="15" t="s">
        <v>8616</v>
      </c>
      <c r="C6700" s="15" t="s">
        <v>8617</v>
      </c>
      <c r="D6700" s="15" t="s">
        <v>8755</v>
      </c>
      <c r="E6700" s="15" t="s">
        <v>8756</v>
      </c>
    </row>
    <row r="6701" spans="2:5">
      <c r="B6701" s="15" t="s">
        <v>8616</v>
      </c>
      <c r="C6701" s="15" t="s">
        <v>8617</v>
      </c>
      <c r="D6701" s="15" t="s">
        <v>8757</v>
      </c>
      <c r="E6701" s="15" t="s">
        <v>8758</v>
      </c>
    </row>
    <row r="6702" spans="2:5">
      <c r="B6702" s="15" t="s">
        <v>8616</v>
      </c>
      <c r="C6702" s="15" t="s">
        <v>8617</v>
      </c>
      <c r="D6702" s="15" t="s">
        <v>8759</v>
      </c>
      <c r="E6702" s="15" t="s">
        <v>8760</v>
      </c>
    </row>
    <row r="6703" spans="2:5">
      <c r="B6703" s="15" t="s">
        <v>8616</v>
      </c>
      <c r="C6703" s="15" t="s">
        <v>8617</v>
      </c>
      <c r="D6703" s="15" t="s">
        <v>8761</v>
      </c>
      <c r="E6703" s="15" t="s">
        <v>8762</v>
      </c>
    </row>
    <row r="6704" spans="2:5">
      <c r="B6704" s="15" t="s">
        <v>8616</v>
      </c>
      <c r="C6704" s="15" t="s">
        <v>8617</v>
      </c>
      <c r="D6704" s="15" t="s">
        <v>8763</v>
      </c>
      <c r="E6704" s="15" t="s">
        <v>8764</v>
      </c>
    </row>
    <row r="6705" spans="2:5">
      <c r="B6705" s="15" t="s">
        <v>8616</v>
      </c>
      <c r="C6705" s="15" t="s">
        <v>8617</v>
      </c>
      <c r="D6705" s="15" t="s">
        <v>8765</v>
      </c>
      <c r="E6705" s="15" t="s">
        <v>8766</v>
      </c>
    </row>
    <row r="6706" spans="2:5">
      <c r="B6706" s="15" t="s">
        <v>8616</v>
      </c>
      <c r="C6706" s="15" t="s">
        <v>8617</v>
      </c>
      <c r="D6706" s="15" t="s">
        <v>8767</v>
      </c>
      <c r="E6706" s="15" t="s">
        <v>8768</v>
      </c>
    </row>
    <row r="6707" spans="2:5">
      <c r="B6707" s="15" t="s">
        <v>8616</v>
      </c>
      <c r="C6707" s="15" t="s">
        <v>8617</v>
      </c>
      <c r="D6707" s="15" t="s">
        <v>8769</v>
      </c>
      <c r="E6707" s="15" t="s">
        <v>8710</v>
      </c>
    </row>
    <row r="6708" spans="2:5">
      <c r="B6708" s="15" t="s">
        <v>8616</v>
      </c>
      <c r="C6708" s="15" t="s">
        <v>8617</v>
      </c>
      <c r="D6708" s="15" t="s">
        <v>8770</v>
      </c>
      <c r="E6708" s="15" t="s">
        <v>8648</v>
      </c>
    </row>
    <row r="6709" spans="2:5">
      <c r="B6709" s="15" t="s">
        <v>8616</v>
      </c>
      <c r="C6709" s="15" t="s">
        <v>8617</v>
      </c>
      <c r="D6709" s="15" t="s">
        <v>8771</v>
      </c>
      <c r="E6709" s="15" t="s">
        <v>8714</v>
      </c>
    </row>
    <row r="6710" spans="2:5">
      <c r="B6710" s="15" t="s">
        <v>8616</v>
      </c>
      <c r="C6710" s="15" t="s">
        <v>8617</v>
      </c>
      <c r="D6710" s="15" t="s">
        <v>8772</v>
      </c>
      <c r="E6710" s="15" t="s">
        <v>8716</v>
      </c>
    </row>
    <row r="6711" spans="2:5">
      <c r="B6711" s="15" t="s">
        <v>8616</v>
      </c>
      <c r="C6711" s="15" t="s">
        <v>8617</v>
      </c>
      <c r="D6711" s="15" t="s">
        <v>8773</v>
      </c>
      <c r="E6711" s="15" t="s">
        <v>8718</v>
      </c>
    </row>
    <row r="6712" spans="2:5">
      <c r="B6712" s="15" t="s">
        <v>8616</v>
      </c>
      <c r="C6712" s="15" t="s">
        <v>8617</v>
      </c>
      <c r="D6712" s="15" t="s">
        <v>8774</v>
      </c>
      <c r="E6712" s="15" t="s">
        <v>8774</v>
      </c>
    </row>
    <row r="6713" spans="2:5">
      <c r="B6713" s="15" t="s">
        <v>8616</v>
      </c>
      <c r="C6713" s="15" t="s">
        <v>8617</v>
      </c>
      <c r="D6713" s="15" t="s">
        <v>7200</v>
      </c>
      <c r="E6713" s="15" t="s">
        <v>7200</v>
      </c>
    </row>
    <row r="6714" spans="2:5">
      <c r="B6714" s="15" t="s">
        <v>8616</v>
      </c>
      <c r="C6714" s="15" t="s">
        <v>8617</v>
      </c>
      <c r="D6714" s="15" t="s">
        <v>8775</v>
      </c>
      <c r="E6714" s="15" t="s">
        <v>8775</v>
      </c>
    </row>
    <row r="6715" spans="2:5">
      <c r="B6715" s="15" t="s">
        <v>8616</v>
      </c>
      <c r="C6715" s="15" t="s">
        <v>8617</v>
      </c>
      <c r="D6715" s="15" t="s">
        <v>8776</v>
      </c>
      <c r="E6715" s="15" t="s">
        <v>8777</v>
      </c>
    </row>
    <row r="6716" spans="2:5">
      <c r="B6716" s="15" t="s">
        <v>8616</v>
      </c>
      <c r="C6716" s="15" t="s">
        <v>8617</v>
      </c>
      <c r="D6716" s="15" t="s">
        <v>8778</v>
      </c>
      <c r="E6716" s="15" t="s">
        <v>8779</v>
      </c>
    </row>
    <row r="6717" spans="2:5">
      <c r="B6717" s="15" t="s">
        <v>8616</v>
      </c>
      <c r="C6717" s="15" t="s">
        <v>8617</v>
      </c>
      <c r="D6717" s="15" t="s">
        <v>8780</v>
      </c>
      <c r="E6717" s="15" t="s">
        <v>8781</v>
      </c>
    </row>
    <row r="6718" ht="15.95" spans="2:2">
      <c r="B6718" s="122" t="s">
        <v>8782</v>
      </c>
    </row>
    <row r="6719" spans="2:5">
      <c r="B6719" s="15" t="s">
        <v>8783</v>
      </c>
      <c r="C6719" s="15" t="s">
        <v>8784</v>
      </c>
      <c r="D6719" s="15" t="s">
        <v>770</v>
      </c>
      <c r="E6719" s="15" t="s">
        <v>8785</v>
      </c>
    </row>
    <row r="6720" spans="2:5">
      <c r="B6720" s="15" t="s">
        <v>8783</v>
      </c>
      <c r="C6720" s="15" t="s">
        <v>8784</v>
      </c>
      <c r="D6720" s="15" t="s">
        <v>772</v>
      </c>
      <c r="E6720" s="15" t="s">
        <v>8786</v>
      </c>
    </row>
    <row r="6721" ht="15.95" spans="2:2">
      <c r="B6721" s="122" t="s">
        <v>8787</v>
      </c>
    </row>
    <row r="6722" spans="2:5">
      <c r="B6722" s="15" t="s">
        <v>8788</v>
      </c>
      <c r="C6722" s="15" t="s">
        <v>8789</v>
      </c>
      <c r="D6722" s="15" t="s">
        <v>1267</v>
      </c>
      <c r="E6722" s="15" t="s">
        <v>1268</v>
      </c>
    </row>
    <row r="6723" spans="2:5">
      <c r="B6723" s="15" t="s">
        <v>8788</v>
      </c>
      <c r="C6723" s="15" t="s">
        <v>8789</v>
      </c>
      <c r="D6723" s="15" t="s">
        <v>1269</v>
      </c>
      <c r="E6723" s="15" t="s">
        <v>1270</v>
      </c>
    </row>
    <row r="6724" ht="15.95" spans="2:2">
      <c r="B6724" s="122" t="s">
        <v>8790</v>
      </c>
    </row>
    <row r="6725" spans="2:5">
      <c r="B6725" s="15" t="s">
        <v>8791</v>
      </c>
      <c r="C6725" s="15" t="s">
        <v>2193</v>
      </c>
      <c r="D6725" s="15" t="s">
        <v>2547</v>
      </c>
      <c r="E6725" s="15" t="s">
        <v>8792</v>
      </c>
    </row>
    <row r="6726" spans="2:5">
      <c r="B6726" s="15" t="s">
        <v>8791</v>
      </c>
      <c r="C6726" s="15" t="s">
        <v>2193</v>
      </c>
      <c r="D6726" s="15" t="s">
        <v>8793</v>
      </c>
      <c r="E6726" s="15" t="s">
        <v>1599</v>
      </c>
    </row>
    <row r="6727" spans="2:5">
      <c r="B6727" s="15" t="s">
        <v>8791</v>
      </c>
      <c r="C6727" s="15" t="s">
        <v>2193</v>
      </c>
      <c r="D6727" s="15" t="s">
        <v>1269</v>
      </c>
      <c r="E6727" s="15" t="s">
        <v>1597</v>
      </c>
    </row>
    <row r="6728" ht="15.95" spans="2:2">
      <c r="B6728" s="122" t="s">
        <v>8794</v>
      </c>
    </row>
    <row r="6729" spans="2:5">
      <c r="B6729" s="15" t="s">
        <v>8795</v>
      </c>
      <c r="C6729" s="15" t="s">
        <v>8796</v>
      </c>
      <c r="D6729" s="15" t="s">
        <v>770</v>
      </c>
      <c r="E6729" s="15" t="s">
        <v>8797</v>
      </c>
    </row>
    <row r="6730" spans="2:5">
      <c r="B6730" s="15" t="s">
        <v>8795</v>
      </c>
      <c r="C6730" s="15" t="s">
        <v>8796</v>
      </c>
      <c r="D6730" s="15" t="s">
        <v>772</v>
      </c>
      <c r="E6730" s="15" t="s">
        <v>8798</v>
      </c>
    </row>
    <row r="6731" spans="2:5">
      <c r="B6731" s="15" t="s">
        <v>8795</v>
      </c>
      <c r="C6731" s="15" t="s">
        <v>8796</v>
      </c>
      <c r="D6731" s="15" t="s">
        <v>774</v>
      </c>
      <c r="E6731" s="15" t="s">
        <v>8799</v>
      </c>
    </row>
    <row r="6732" spans="2:5">
      <c r="B6732" s="15" t="s">
        <v>8795</v>
      </c>
      <c r="C6732" s="15" t="s">
        <v>8796</v>
      </c>
      <c r="D6732" s="15" t="s">
        <v>828</v>
      </c>
      <c r="E6732" s="15" t="s">
        <v>235</v>
      </c>
    </row>
    <row r="6733" ht="15.95" spans="2:2">
      <c r="B6733" s="122" t="s">
        <v>8800</v>
      </c>
    </row>
    <row r="6734" spans="2:5">
      <c r="B6734" s="15" t="s">
        <v>8801</v>
      </c>
      <c r="C6734" s="15" t="s">
        <v>8802</v>
      </c>
      <c r="D6734" s="15" t="s">
        <v>770</v>
      </c>
      <c r="E6734" s="15" t="s">
        <v>8803</v>
      </c>
    </row>
    <row r="6735" spans="2:5">
      <c r="B6735" s="15" t="s">
        <v>8801</v>
      </c>
      <c r="C6735" s="15" t="s">
        <v>8802</v>
      </c>
      <c r="D6735" s="15" t="s">
        <v>772</v>
      </c>
      <c r="E6735" s="15" t="s">
        <v>8804</v>
      </c>
    </row>
    <row r="6736" spans="2:5">
      <c r="B6736" s="15" t="s">
        <v>8801</v>
      </c>
      <c r="C6736" s="15" t="s">
        <v>8802</v>
      </c>
      <c r="D6736" s="15" t="s">
        <v>774</v>
      </c>
      <c r="E6736" s="15" t="s">
        <v>8805</v>
      </c>
    </row>
    <row r="6737" ht="15.95" spans="2:2">
      <c r="B6737" s="122" t="s">
        <v>8806</v>
      </c>
    </row>
    <row r="6738" spans="2:5">
      <c r="B6738" s="15" t="s">
        <v>8807</v>
      </c>
      <c r="C6738" s="15" t="s">
        <v>8808</v>
      </c>
      <c r="D6738" s="15" t="s">
        <v>635</v>
      </c>
      <c r="E6738" s="15" t="s">
        <v>8809</v>
      </c>
    </row>
    <row r="6739" spans="2:5">
      <c r="B6739" s="15" t="s">
        <v>8807</v>
      </c>
      <c r="C6739" s="15" t="s">
        <v>8808</v>
      </c>
      <c r="D6739" s="15" t="s">
        <v>637</v>
      </c>
      <c r="E6739" s="15" t="s">
        <v>1814</v>
      </c>
    </row>
    <row r="6740" spans="2:5">
      <c r="B6740" s="15" t="s">
        <v>8807</v>
      </c>
      <c r="C6740" s="15" t="s">
        <v>8808</v>
      </c>
      <c r="D6740" s="15" t="s">
        <v>641</v>
      </c>
      <c r="E6740" s="15" t="s">
        <v>8810</v>
      </c>
    </row>
    <row r="6741" spans="2:5">
      <c r="B6741" s="15" t="s">
        <v>8807</v>
      </c>
      <c r="C6741" s="15" t="s">
        <v>8808</v>
      </c>
      <c r="D6741" s="15" t="s">
        <v>643</v>
      </c>
      <c r="E6741" s="15" t="s">
        <v>8811</v>
      </c>
    </row>
    <row r="6742" spans="2:5">
      <c r="B6742" s="15" t="s">
        <v>8807</v>
      </c>
      <c r="C6742" s="15" t="s">
        <v>8808</v>
      </c>
      <c r="D6742" s="15" t="s">
        <v>645</v>
      </c>
      <c r="E6742" s="15" t="s">
        <v>8812</v>
      </c>
    </row>
    <row r="6743" ht="15.95" spans="2:2">
      <c r="B6743" s="122" t="s">
        <v>8813</v>
      </c>
    </row>
    <row r="6744" spans="2:5">
      <c r="B6744" s="15" t="s">
        <v>8814</v>
      </c>
      <c r="C6744" s="15" t="s">
        <v>8815</v>
      </c>
      <c r="D6744" s="15" t="s">
        <v>635</v>
      </c>
      <c r="E6744" s="15" t="s">
        <v>8816</v>
      </c>
    </row>
    <row r="6745" spans="2:5">
      <c r="B6745" s="15" t="s">
        <v>8814</v>
      </c>
      <c r="C6745" s="15" t="s">
        <v>8815</v>
      </c>
      <c r="D6745" s="15" t="s">
        <v>659</v>
      </c>
      <c r="E6745" s="15" t="s">
        <v>8817</v>
      </c>
    </row>
    <row r="6746" spans="2:5">
      <c r="B6746" s="15" t="s">
        <v>8814</v>
      </c>
      <c r="C6746" s="15" t="s">
        <v>8815</v>
      </c>
      <c r="D6746" s="15" t="s">
        <v>679</v>
      </c>
      <c r="E6746" s="15" t="s">
        <v>8818</v>
      </c>
    </row>
    <row r="6747" spans="2:5">
      <c r="B6747" s="15" t="s">
        <v>8814</v>
      </c>
      <c r="C6747" s="15" t="s">
        <v>8815</v>
      </c>
      <c r="D6747" s="15" t="s">
        <v>705</v>
      </c>
      <c r="E6747" s="15" t="s">
        <v>8819</v>
      </c>
    </row>
    <row r="6748" spans="2:5">
      <c r="B6748" s="15" t="s">
        <v>8814</v>
      </c>
      <c r="C6748" s="15" t="s">
        <v>8815</v>
      </c>
      <c r="D6748" s="15" t="s">
        <v>709</v>
      </c>
      <c r="E6748" s="15" t="s">
        <v>8820</v>
      </c>
    </row>
    <row r="6749" spans="2:5">
      <c r="B6749" s="15" t="s">
        <v>8814</v>
      </c>
      <c r="C6749" s="15" t="s">
        <v>8815</v>
      </c>
      <c r="D6749" s="15" t="s">
        <v>838</v>
      </c>
      <c r="E6749" s="15" t="s">
        <v>8821</v>
      </c>
    </row>
    <row r="6750" spans="2:5">
      <c r="B6750" s="15" t="s">
        <v>8814</v>
      </c>
      <c r="C6750" s="15" t="s">
        <v>8815</v>
      </c>
      <c r="D6750" s="15" t="s">
        <v>840</v>
      </c>
      <c r="E6750" s="15" t="s">
        <v>8822</v>
      </c>
    </row>
    <row r="6751" ht="15.95" spans="2:2">
      <c r="B6751" s="122" t="s">
        <v>8823</v>
      </c>
    </row>
    <row r="6752" spans="2:5">
      <c r="B6752" s="15" t="s">
        <v>8824</v>
      </c>
      <c r="C6752" s="15" t="s">
        <v>8824</v>
      </c>
      <c r="D6752" s="15" t="s">
        <v>723</v>
      </c>
      <c r="E6752" s="15" t="s">
        <v>8825</v>
      </c>
    </row>
    <row r="6753" spans="2:5">
      <c r="B6753" s="15" t="s">
        <v>8824</v>
      </c>
      <c r="C6753" s="15" t="s">
        <v>8824</v>
      </c>
      <c r="D6753" s="15" t="s">
        <v>725</v>
      </c>
      <c r="E6753" s="15" t="s">
        <v>3454</v>
      </c>
    </row>
    <row r="6754" spans="2:5">
      <c r="B6754" s="15" t="s">
        <v>8824</v>
      </c>
      <c r="C6754" s="15" t="s">
        <v>8824</v>
      </c>
      <c r="D6754" s="15" t="s">
        <v>727</v>
      </c>
      <c r="E6754" s="15" t="s">
        <v>3455</v>
      </c>
    </row>
    <row r="6755" spans="2:5">
      <c r="B6755" s="15" t="s">
        <v>8824</v>
      </c>
      <c r="C6755" s="15" t="s">
        <v>8824</v>
      </c>
      <c r="D6755" s="15" t="s">
        <v>729</v>
      </c>
      <c r="E6755" s="15" t="s">
        <v>3456</v>
      </c>
    </row>
    <row r="6756" spans="2:5">
      <c r="B6756" s="15" t="s">
        <v>8824</v>
      </c>
      <c r="C6756" s="15" t="s">
        <v>8824</v>
      </c>
      <c r="D6756" s="15" t="s">
        <v>760</v>
      </c>
      <c r="E6756" s="15" t="s">
        <v>8826</v>
      </c>
    </row>
    <row r="6757" spans="2:5">
      <c r="B6757" s="15" t="s">
        <v>8824</v>
      </c>
      <c r="C6757" s="15" t="s">
        <v>8824</v>
      </c>
      <c r="D6757" s="15" t="s">
        <v>762</v>
      </c>
      <c r="E6757" s="15" t="s">
        <v>235</v>
      </c>
    </row>
    <row r="6758" ht="15.95" spans="2:2">
      <c r="B6758" s="122" t="s">
        <v>8827</v>
      </c>
    </row>
    <row r="6759" spans="2:5">
      <c r="B6759" s="15" t="s">
        <v>8828</v>
      </c>
      <c r="C6759" s="15" t="s">
        <v>8829</v>
      </c>
      <c r="D6759" s="15" t="s">
        <v>770</v>
      </c>
      <c r="E6759" s="15" t="s">
        <v>1274</v>
      </c>
    </row>
    <row r="6760" spans="2:5">
      <c r="B6760" s="15" t="s">
        <v>8828</v>
      </c>
      <c r="C6760" s="15" t="s">
        <v>8829</v>
      </c>
      <c r="D6760" s="15" t="s">
        <v>772</v>
      </c>
      <c r="E6760" s="15" t="s">
        <v>2712</v>
      </c>
    </row>
    <row r="6761" spans="2:5">
      <c r="B6761" s="15" t="s">
        <v>8828</v>
      </c>
      <c r="C6761" s="15" t="s">
        <v>8829</v>
      </c>
      <c r="D6761" s="15" t="s">
        <v>774</v>
      </c>
      <c r="E6761" s="15" t="s">
        <v>2713</v>
      </c>
    </row>
    <row r="6762" spans="2:5">
      <c r="B6762" s="15" t="s">
        <v>8828</v>
      </c>
      <c r="C6762" s="15" t="s">
        <v>8829</v>
      </c>
      <c r="D6762" s="15" t="s">
        <v>828</v>
      </c>
      <c r="E6762" s="15" t="s">
        <v>8830</v>
      </c>
    </row>
    <row r="6763" spans="2:5">
      <c r="B6763" s="15" t="s">
        <v>8828</v>
      </c>
      <c r="C6763" s="15" t="s">
        <v>8829</v>
      </c>
      <c r="D6763" s="15" t="s">
        <v>901</v>
      </c>
      <c r="E6763" s="15" t="s">
        <v>235</v>
      </c>
    </row>
    <row r="6764" ht="15.95" spans="2:2">
      <c r="B6764" s="122" t="s">
        <v>8831</v>
      </c>
    </row>
    <row r="6765" spans="2:5">
      <c r="B6765" s="15" t="s">
        <v>8832</v>
      </c>
      <c r="C6765" s="15" t="s">
        <v>8833</v>
      </c>
      <c r="D6765" s="15" t="s">
        <v>6843</v>
      </c>
      <c r="E6765" s="15" t="s">
        <v>6844</v>
      </c>
    </row>
    <row r="6766" spans="2:5">
      <c r="B6766" s="15" t="s">
        <v>8832</v>
      </c>
      <c r="C6766" s="15" t="s">
        <v>8833</v>
      </c>
      <c r="D6766" s="15" t="s">
        <v>6845</v>
      </c>
      <c r="E6766" s="15" t="s">
        <v>6846</v>
      </c>
    </row>
    <row r="6767" spans="2:5">
      <c r="B6767" s="15" t="s">
        <v>8832</v>
      </c>
      <c r="C6767" s="15" t="s">
        <v>8833</v>
      </c>
      <c r="D6767" s="15" t="s">
        <v>6847</v>
      </c>
      <c r="E6767" s="15" t="s">
        <v>6848</v>
      </c>
    </row>
    <row r="6768" spans="2:5">
      <c r="B6768" s="15" t="s">
        <v>8832</v>
      </c>
      <c r="C6768" s="15" t="s">
        <v>8833</v>
      </c>
      <c r="D6768" s="15" t="s">
        <v>6849</v>
      </c>
      <c r="E6768" s="15" t="s">
        <v>6850</v>
      </c>
    </row>
    <row r="6769" spans="2:5">
      <c r="B6769" s="15" t="s">
        <v>8832</v>
      </c>
      <c r="C6769" s="15" t="s">
        <v>8833</v>
      </c>
      <c r="D6769" s="15" t="s">
        <v>6851</v>
      </c>
      <c r="E6769" s="15" t="s">
        <v>6852</v>
      </c>
    </row>
    <row r="6770" spans="2:5">
      <c r="B6770" s="15" t="s">
        <v>8832</v>
      </c>
      <c r="C6770" s="15" t="s">
        <v>8833</v>
      </c>
      <c r="D6770" s="15" t="s">
        <v>6853</v>
      </c>
      <c r="E6770" s="15" t="s">
        <v>6854</v>
      </c>
    </row>
    <row r="6771" spans="2:5">
      <c r="B6771" s="15" t="s">
        <v>8832</v>
      </c>
      <c r="C6771" s="15" t="s">
        <v>8833</v>
      </c>
      <c r="D6771" s="15" t="s">
        <v>6855</v>
      </c>
      <c r="E6771" s="15" t="s">
        <v>6856</v>
      </c>
    </row>
    <row r="6772" spans="2:5">
      <c r="B6772" s="15" t="s">
        <v>8832</v>
      </c>
      <c r="C6772" s="15" t="s">
        <v>8833</v>
      </c>
      <c r="D6772" s="15" t="s">
        <v>6857</v>
      </c>
      <c r="E6772" s="15" t="s">
        <v>6858</v>
      </c>
    </row>
    <row r="6773" spans="2:5">
      <c r="B6773" s="15" t="s">
        <v>8832</v>
      </c>
      <c r="C6773" s="15" t="s">
        <v>8833</v>
      </c>
      <c r="D6773" s="15" t="s">
        <v>6859</v>
      </c>
      <c r="E6773" s="15" t="s">
        <v>6860</v>
      </c>
    </row>
    <row r="6774" spans="2:5">
      <c r="B6774" s="15" t="s">
        <v>8832</v>
      </c>
      <c r="C6774" s="15" t="s">
        <v>8833</v>
      </c>
      <c r="D6774" s="15" t="s">
        <v>6861</v>
      </c>
      <c r="E6774" s="15" t="s">
        <v>6862</v>
      </c>
    </row>
    <row r="6775" spans="2:5">
      <c r="B6775" s="15" t="s">
        <v>8832</v>
      </c>
      <c r="C6775" s="15" t="s">
        <v>8833</v>
      </c>
      <c r="D6775" s="15" t="s">
        <v>6863</v>
      </c>
      <c r="E6775" s="15" t="s">
        <v>6864</v>
      </c>
    </row>
    <row r="6776" spans="2:5">
      <c r="B6776" s="15" t="s">
        <v>8832</v>
      </c>
      <c r="C6776" s="15" t="s">
        <v>8833</v>
      </c>
      <c r="D6776" s="15" t="s">
        <v>6865</v>
      </c>
      <c r="E6776" s="15" t="s">
        <v>6866</v>
      </c>
    </row>
    <row r="6777" spans="2:5">
      <c r="B6777" s="15" t="s">
        <v>8832</v>
      </c>
      <c r="C6777" s="15" t="s">
        <v>8833</v>
      </c>
      <c r="D6777" s="15" t="s">
        <v>6867</v>
      </c>
      <c r="E6777" s="15" t="s">
        <v>6868</v>
      </c>
    </row>
    <row r="6778" spans="2:5">
      <c r="B6778" s="15" t="s">
        <v>8832</v>
      </c>
      <c r="C6778" s="15" t="s">
        <v>8833</v>
      </c>
      <c r="D6778" s="15" t="s">
        <v>6869</v>
      </c>
      <c r="E6778" s="15" t="s">
        <v>6870</v>
      </c>
    </row>
    <row r="6779" spans="2:5">
      <c r="B6779" s="15" t="s">
        <v>8832</v>
      </c>
      <c r="C6779" s="15" t="s">
        <v>8833</v>
      </c>
      <c r="D6779" s="15" t="s">
        <v>6871</v>
      </c>
      <c r="E6779" s="15" t="s">
        <v>6872</v>
      </c>
    </row>
    <row r="6780" spans="2:5">
      <c r="B6780" s="15" t="s">
        <v>8832</v>
      </c>
      <c r="C6780" s="15" t="s">
        <v>8833</v>
      </c>
      <c r="D6780" s="15" t="s">
        <v>6873</v>
      </c>
      <c r="E6780" s="15" t="s">
        <v>6874</v>
      </c>
    </row>
    <row r="6781" spans="2:5">
      <c r="B6781" s="15" t="s">
        <v>8832</v>
      </c>
      <c r="C6781" s="15" t="s">
        <v>8833</v>
      </c>
      <c r="D6781" s="15" t="s">
        <v>6875</v>
      </c>
      <c r="E6781" s="15" t="s">
        <v>6876</v>
      </c>
    </row>
    <row r="6782" spans="2:5">
      <c r="B6782" s="15" t="s">
        <v>8832</v>
      </c>
      <c r="C6782" s="15" t="s">
        <v>8833</v>
      </c>
      <c r="D6782" s="15" t="s">
        <v>6877</v>
      </c>
      <c r="E6782" s="15" t="s">
        <v>6878</v>
      </c>
    </row>
    <row r="6783" spans="2:5">
      <c r="B6783" s="15" t="s">
        <v>8832</v>
      </c>
      <c r="C6783" s="15" t="s">
        <v>8833</v>
      </c>
      <c r="D6783" s="15" t="s">
        <v>6879</v>
      </c>
      <c r="E6783" s="15" t="s">
        <v>6880</v>
      </c>
    </row>
    <row r="6784" spans="2:5">
      <c r="B6784" s="15" t="s">
        <v>8832</v>
      </c>
      <c r="C6784" s="15" t="s">
        <v>8833</v>
      </c>
      <c r="D6784" s="15" t="s">
        <v>6881</v>
      </c>
      <c r="E6784" s="15" t="s">
        <v>6882</v>
      </c>
    </row>
    <row r="6785" spans="2:5">
      <c r="B6785" s="15" t="s">
        <v>8832</v>
      </c>
      <c r="C6785" s="15" t="s">
        <v>8833</v>
      </c>
      <c r="D6785" s="15" t="s">
        <v>6883</v>
      </c>
      <c r="E6785" s="15" t="s">
        <v>6884</v>
      </c>
    </row>
    <row r="6786" ht="15.95" spans="2:2">
      <c r="B6786" s="122" t="s">
        <v>8834</v>
      </c>
    </row>
    <row r="6787" spans="2:5">
      <c r="B6787" s="15" t="s">
        <v>8835</v>
      </c>
      <c r="C6787" s="15" t="s">
        <v>8836</v>
      </c>
      <c r="D6787" s="15" t="s">
        <v>635</v>
      </c>
      <c r="E6787" s="15" t="s">
        <v>2492</v>
      </c>
    </row>
    <row r="6788" spans="2:5">
      <c r="B6788" s="15" t="s">
        <v>8835</v>
      </c>
      <c r="C6788" s="15" t="s">
        <v>8836</v>
      </c>
      <c r="D6788" s="15" t="s">
        <v>659</v>
      </c>
      <c r="E6788" s="15" t="s">
        <v>8837</v>
      </c>
    </row>
    <row r="6789" spans="2:5">
      <c r="B6789" s="15" t="s">
        <v>8835</v>
      </c>
      <c r="C6789" s="15" t="s">
        <v>8836</v>
      </c>
      <c r="D6789" s="15" t="s">
        <v>679</v>
      </c>
      <c r="E6789" s="15" t="s">
        <v>8838</v>
      </c>
    </row>
    <row r="6790" spans="2:5">
      <c r="B6790" s="15" t="s">
        <v>8835</v>
      </c>
      <c r="C6790" s="15" t="s">
        <v>8836</v>
      </c>
      <c r="D6790" s="15" t="s">
        <v>705</v>
      </c>
      <c r="E6790" s="15" t="s">
        <v>8839</v>
      </c>
    </row>
    <row r="6791" spans="2:5">
      <c r="B6791" s="15" t="s">
        <v>8835</v>
      </c>
      <c r="C6791" s="15" t="s">
        <v>8836</v>
      </c>
      <c r="D6791" s="15" t="s">
        <v>709</v>
      </c>
      <c r="E6791" s="15" t="s">
        <v>2046</v>
      </c>
    </row>
    <row r="6792" spans="2:5">
      <c r="B6792" s="15" t="s">
        <v>8835</v>
      </c>
      <c r="C6792" s="15" t="s">
        <v>8836</v>
      </c>
      <c r="D6792" s="15" t="s">
        <v>838</v>
      </c>
      <c r="E6792" s="15" t="s">
        <v>646</v>
      </c>
    </row>
    <row r="6793" spans="2:5">
      <c r="B6793" s="15" t="s">
        <v>8835</v>
      </c>
      <c r="C6793" s="15" t="s">
        <v>8836</v>
      </c>
      <c r="D6793" s="15" t="s">
        <v>840</v>
      </c>
      <c r="E6793" s="15" t="s">
        <v>8840</v>
      </c>
    </row>
    <row r="6794" spans="2:5">
      <c r="B6794" s="15" t="s">
        <v>8835</v>
      </c>
      <c r="C6794" s="15" t="s">
        <v>8836</v>
      </c>
      <c r="D6794" s="15" t="s">
        <v>842</v>
      </c>
      <c r="E6794" s="15" t="s">
        <v>650</v>
      </c>
    </row>
    <row r="6795" spans="2:5">
      <c r="B6795" s="15" t="s">
        <v>8835</v>
      </c>
      <c r="C6795" s="15" t="s">
        <v>8836</v>
      </c>
      <c r="D6795" s="15" t="s">
        <v>844</v>
      </c>
      <c r="E6795" s="15" t="s">
        <v>8841</v>
      </c>
    </row>
    <row r="6796" spans="2:5">
      <c r="B6796" s="15" t="s">
        <v>8835</v>
      </c>
      <c r="C6796" s="15" t="s">
        <v>8836</v>
      </c>
      <c r="D6796" s="15" t="s">
        <v>846</v>
      </c>
      <c r="E6796" s="15" t="s">
        <v>654</v>
      </c>
    </row>
    <row r="6797" ht="15.95" spans="2:2">
      <c r="B6797" s="122" t="s">
        <v>8842</v>
      </c>
    </row>
    <row r="6798" spans="2:5">
      <c r="B6798" s="15" t="s">
        <v>8843</v>
      </c>
      <c r="C6798" s="15" t="s">
        <v>8844</v>
      </c>
      <c r="D6798" s="15" t="s">
        <v>917</v>
      </c>
      <c r="E6798" s="15" t="s">
        <v>7157</v>
      </c>
    </row>
    <row r="6799" spans="2:5">
      <c r="B6799" s="15" t="s">
        <v>8843</v>
      </c>
      <c r="C6799" s="15" t="s">
        <v>8844</v>
      </c>
      <c r="D6799" s="15" t="s">
        <v>919</v>
      </c>
      <c r="E6799" s="15" t="s">
        <v>8845</v>
      </c>
    </row>
    <row r="6800" spans="2:5">
      <c r="B6800" s="15" t="s">
        <v>8843</v>
      </c>
      <c r="C6800" s="15" t="s">
        <v>8844</v>
      </c>
      <c r="D6800" s="15" t="s">
        <v>921</v>
      </c>
      <c r="E6800" s="15" t="s">
        <v>3190</v>
      </c>
    </row>
    <row r="6801" spans="2:5">
      <c r="B6801" s="15" t="s">
        <v>8843</v>
      </c>
      <c r="C6801" s="15" t="s">
        <v>8844</v>
      </c>
      <c r="D6801" s="15" t="s">
        <v>923</v>
      </c>
      <c r="E6801" s="15" t="s">
        <v>1932</v>
      </c>
    </row>
    <row r="6802" ht="15.95" spans="2:2">
      <c r="B6802" s="122" t="s">
        <v>8846</v>
      </c>
    </row>
    <row r="6803" spans="2:5">
      <c r="B6803" s="15" t="s">
        <v>8847</v>
      </c>
      <c r="C6803" s="15" t="s">
        <v>8848</v>
      </c>
      <c r="D6803" s="15" t="s">
        <v>770</v>
      </c>
      <c r="E6803" s="15" t="s">
        <v>8849</v>
      </c>
    </row>
    <row r="6804" spans="2:5">
      <c r="B6804" s="15" t="s">
        <v>8847</v>
      </c>
      <c r="C6804" s="15" t="s">
        <v>8848</v>
      </c>
      <c r="D6804" s="15" t="s">
        <v>772</v>
      </c>
      <c r="E6804" s="15" t="s">
        <v>8850</v>
      </c>
    </row>
    <row r="6805" ht="15.95" spans="2:2">
      <c r="B6805" s="122" t="s">
        <v>8851</v>
      </c>
    </row>
    <row r="6806" spans="2:5">
      <c r="B6806" s="15" t="s">
        <v>8852</v>
      </c>
      <c r="C6806" s="15" t="s">
        <v>8852</v>
      </c>
      <c r="D6806" s="15" t="s">
        <v>723</v>
      </c>
      <c r="E6806" s="15" t="s">
        <v>8853</v>
      </c>
    </row>
    <row r="6807" spans="2:5">
      <c r="B6807" s="15" t="s">
        <v>8852</v>
      </c>
      <c r="C6807" s="15" t="s">
        <v>8852</v>
      </c>
      <c r="D6807" s="15" t="s">
        <v>725</v>
      </c>
      <c r="E6807" s="15" t="s">
        <v>3790</v>
      </c>
    </row>
    <row r="6808" spans="2:5">
      <c r="B6808" s="15" t="s">
        <v>8852</v>
      </c>
      <c r="C6808" s="15" t="s">
        <v>8852</v>
      </c>
      <c r="D6808" s="15" t="s">
        <v>727</v>
      </c>
      <c r="E6808" s="15" t="s">
        <v>1203</v>
      </c>
    </row>
    <row r="6809" spans="2:5">
      <c r="B6809" s="15" t="s">
        <v>8852</v>
      </c>
      <c r="C6809" s="15" t="s">
        <v>8852</v>
      </c>
      <c r="D6809" s="15" t="s">
        <v>729</v>
      </c>
      <c r="E6809" s="15" t="s">
        <v>8854</v>
      </c>
    </row>
    <row r="6810" ht="15.95" spans="2:2">
      <c r="B6810" s="122" t="s">
        <v>8855</v>
      </c>
    </row>
    <row r="6811" spans="2:5">
      <c r="B6811" s="15" t="s">
        <v>8856</v>
      </c>
      <c r="C6811" s="15" t="s">
        <v>8857</v>
      </c>
      <c r="D6811" s="15" t="s">
        <v>1149</v>
      </c>
      <c r="E6811" s="15" t="s">
        <v>1150</v>
      </c>
    </row>
    <row r="6812" spans="2:5">
      <c r="B6812" s="15" t="s">
        <v>8856</v>
      </c>
      <c r="C6812" s="15" t="s">
        <v>8857</v>
      </c>
      <c r="D6812" s="15" t="s">
        <v>1151</v>
      </c>
      <c r="E6812" s="15" t="s">
        <v>1152</v>
      </c>
    </row>
    <row r="6813" spans="2:5">
      <c r="B6813" s="15" t="s">
        <v>8856</v>
      </c>
      <c r="C6813" s="15" t="s">
        <v>8857</v>
      </c>
      <c r="D6813" s="15" t="s">
        <v>1153</v>
      </c>
      <c r="E6813" s="15" t="s">
        <v>1154</v>
      </c>
    </row>
    <row r="6814" spans="2:5">
      <c r="B6814" s="15" t="s">
        <v>8856</v>
      </c>
      <c r="C6814" s="15" t="s">
        <v>8857</v>
      </c>
      <c r="D6814" s="15" t="s">
        <v>1155</v>
      </c>
      <c r="E6814" s="15" t="s">
        <v>1156</v>
      </c>
    </row>
    <row r="6815" spans="2:5">
      <c r="B6815" s="15" t="s">
        <v>8856</v>
      </c>
      <c r="C6815" s="15" t="s">
        <v>8857</v>
      </c>
      <c r="D6815" s="15" t="s">
        <v>1157</v>
      </c>
      <c r="E6815" s="15" t="s">
        <v>1158</v>
      </c>
    </row>
    <row r="6816" spans="2:5">
      <c r="B6816" s="15" t="s">
        <v>8856</v>
      </c>
      <c r="C6816" s="15" t="s">
        <v>8857</v>
      </c>
      <c r="D6816" s="15" t="s">
        <v>1159</v>
      </c>
      <c r="E6816" s="15" t="s">
        <v>1160</v>
      </c>
    </row>
    <row r="6817" spans="2:5">
      <c r="B6817" s="15" t="s">
        <v>8856</v>
      </c>
      <c r="C6817" s="15" t="s">
        <v>8857</v>
      </c>
      <c r="D6817" s="15" t="s">
        <v>1161</v>
      </c>
      <c r="E6817" s="15" t="s">
        <v>235</v>
      </c>
    </row>
    <row r="6818" ht="15.95" spans="2:2">
      <c r="B6818" s="122" t="s">
        <v>8858</v>
      </c>
    </row>
    <row r="6819" spans="2:5">
      <c r="B6819" s="15" t="s">
        <v>8859</v>
      </c>
      <c r="C6819" s="15" t="s">
        <v>8860</v>
      </c>
      <c r="D6819" s="15" t="s">
        <v>635</v>
      </c>
      <c r="E6819" s="15" t="s">
        <v>8861</v>
      </c>
    </row>
    <row r="6820" spans="2:5">
      <c r="B6820" s="15" t="s">
        <v>8859</v>
      </c>
      <c r="C6820" s="15" t="s">
        <v>8860</v>
      </c>
      <c r="D6820" s="15" t="s">
        <v>637</v>
      </c>
      <c r="E6820" s="15" t="s">
        <v>8862</v>
      </c>
    </row>
    <row r="6821" spans="2:5">
      <c r="B6821" s="15" t="s">
        <v>8859</v>
      </c>
      <c r="C6821" s="15" t="s">
        <v>8860</v>
      </c>
      <c r="D6821" s="15" t="s">
        <v>641</v>
      </c>
      <c r="E6821" s="15" t="s">
        <v>8863</v>
      </c>
    </row>
    <row r="6822" spans="2:5">
      <c r="B6822" s="15" t="s">
        <v>8859</v>
      </c>
      <c r="C6822" s="15" t="s">
        <v>8860</v>
      </c>
      <c r="D6822" s="15" t="s">
        <v>659</v>
      </c>
      <c r="E6822" s="15" t="s">
        <v>8864</v>
      </c>
    </row>
    <row r="6823" spans="2:5">
      <c r="B6823" s="15" t="s">
        <v>8859</v>
      </c>
      <c r="C6823" s="15" t="s">
        <v>8860</v>
      </c>
      <c r="D6823" s="15" t="s">
        <v>661</v>
      </c>
      <c r="E6823" s="15" t="s">
        <v>8865</v>
      </c>
    </row>
    <row r="6824" spans="2:5">
      <c r="B6824" s="15" t="s">
        <v>8859</v>
      </c>
      <c r="C6824" s="15" t="s">
        <v>8860</v>
      </c>
      <c r="D6824" s="15" t="s">
        <v>663</v>
      </c>
      <c r="E6824" s="15" t="s">
        <v>8866</v>
      </c>
    </row>
    <row r="6825" spans="2:5">
      <c r="B6825" s="15" t="s">
        <v>8859</v>
      </c>
      <c r="C6825" s="15" t="s">
        <v>8860</v>
      </c>
      <c r="D6825" s="15" t="s">
        <v>673</v>
      </c>
      <c r="E6825" s="15" t="s">
        <v>8867</v>
      </c>
    </row>
    <row r="6826" spans="2:5">
      <c r="B6826" s="15" t="s">
        <v>8859</v>
      </c>
      <c r="C6826" s="15" t="s">
        <v>8860</v>
      </c>
      <c r="D6826" s="15" t="s">
        <v>705</v>
      </c>
      <c r="E6826" s="15" t="s">
        <v>8868</v>
      </c>
    </row>
    <row r="6827" spans="2:5">
      <c r="B6827" s="15" t="s">
        <v>8859</v>
      </c>
      <c r="C6827" s="15" t="s">
        <v>8860</v>
      </c>
      <c r="D6827" s="15" t="s">
        <v>707</v>
      </c>
      <c r="E6827" s="15" t="s">
        <v>8869</v>
      </c>
    </row>
    <row r="6828" spans="2:5">
      <c r="B6828" s="15" t="s">
        <v>8859</v>
      </c>
      <c r="C6828" s="15" t="s">
        <v>8860</v>
      </c>
      <c r="D6828" s="15" t="s">
        <v>2020</v>
      </c>
      <c r="E6828" s="15" t="s">
        <v>8870</v>
      </c>
    </row>
    <row r="6829" ht="15.95" spans="2:2">
      <c r="B6829" s="122" t="s">
        <v>8871</v>
      </c>
    </row>
    <row r="6830" spans="2:5">
      <c r="B6830" s="15" t="s">
        <v>8872</v>
      </c>
      <c r="C6830" s="15" t="s">
        <v>8873</v>
      </c>
      <c r="D6830" s="15" t="s">
        <v>8874</v>
      </c>
      <c r="E6830" s="15" t="s">
        <v>8875</v>
      </c>
    </row>
    <row r="6831" spans="2:5">
      <c r="B6831" s="15" t="s">
        <v>8872</v>
      </c>
      <c r="C6831" s="15" t="s">
        <v>8873</v>
      </c>
      <c r="D6831" s="15" t="s">
        <v>8876</v>
      </c>
      <c r="E6831" s="15" t="s">
        <v>8877</v>
      </c>
    </row>
    <row r="6832" spans="2:5">
      <c r="B6832" s="15" t="s">
        <v>8872</v>
      </c>
      <c r="C6832" s="15" t="s">
        <v>8873</v>
      </c>
      <c r="D6832" s="15" t="s">
        <v>8878</v>
      </c>
      <c r="E6832" s="15" t="s">
        <v>8879</v>
      </c>
    </row>
    <row r="6833" ht="15.95" spans="2:2">
      <c r="B6833" s="122" t="s">
        <v>8880</v>
      </c>
    </row>
    <row r="6834" spans="2:5">
      <c r="B6834" s="15" t="s">
        <v>8881</v>
      </c>
      <c r="C6834" s="15" t="s">
        <v>8882</v>
      </c>
      <c r="D6834" s="15" t="s">
        <v>917</v>
      </c>
      <c r="E6834" s="15" t="s">
        <v>953</v>
      </c>
    </row>
    <row r="6835" spans="2:5">
      <c r="B6835" s="15" t="s">
        <v>8881</v>
      </c>
      <c r="C6835" s="15" t="s">
        <v>8882</v>
      </c>
      <c r="D6835" s="15" t="s">
        <v>919</v>
      </c>
      <c r="E6835" s="15" t="s">
        <v>954</v>
      </c>
    </row>
    <row r="6836" spans="2:5">
      <c r="B6836" s="15" t="s">
        <v>8881</v>
      </c>
      <c r="C6836" s="15" t="s">
        <v>8882</v>
      </c>
      <c r="D6836" s="15" t="s">
        <v>955</v>
      </c>
      <c r="E6836" s="15" t="s">
        <v>956</v>
      </c>
    </row>
    <row r="6837" ht="15.95" spans="2:2">
      <c r="B6837" s="122" t="s">
        <v>8883</v>
      </c>
    </row>
    <row r="6838" spans="2:5">
      <c r="B6838" s="15" t="s">
        <v>8884</v>
      </c>
      <c r="C6838" s="15"/>
      <c r="D6838" s="15" t="s">
        <v>917</v>
      </c>
      <c r="E6838" s="15" t="s">
        <v>1674</v>
      </c>
    </row>
    <row r="6839" spans="2:5">
      <c r="B6839" s="15" t="s">
        <v>8884</v>
      </c>
      <c r="C6839" s="15"/>
      <c r="D6839" s="15" t="s">
        <v>919</v>
      </c>
      <c r="E6839" s="15" t="s">
        <v>1675</v>
      </c>
    </row>
    <row r="6840" spans="2:5">
      <c r="B6840" s="15" t="s">
        <v>8884</v>
      </c>
      <c r="C6840" s="15"/>
      <c r="D6840" s="15" t="s">
        <v>1091</v>
      </c>
      <c r="E6840" s="15" t="s">
        <v>8116</v>
      </c>
    </row>
    <row r="6841" spans="2:5">
      <c r="B6841" s="15" t="s">
        <v>8884</v>
      </c>
      <c r="C6841" s="15"/>
      <c r="D6841" s="15" t="s">
        <v>921</v>
      </c>
      <c r="E6841" s="15" t="s">
        <v>1676</v>
      </c>
    </row>
    <row r="6842" spans="2:5">
      <c r="B6842" s="15" t="s">
        <v>8884</v>
      </c>
      <c r="C6842" s="15"/>
      <c r="D6842" s="15" t="s">
        <v>923</v>
      </c>
      <c r="E6842" s="15" t="s">
        <v>3184</v>
      </c>
    </row>
    <row r="6843" ht="15.95" spans="2:2">
      <c r="B6843" s="122" t="s">
        <v>8885</v>
      </c>
    </row>
    <row r="6844" spans="2:5">
      <c r="B6844" s="15" t="s">
        <v>8886</v>
      </c>
      <c r="C6844" s="15" t="s">
        <v>8887</v>
      </c>
      <c r="D6844" s="15" t="s">
        <v>8888</v>
      </c>
      <c r="E6844" s="15" t="s">
        <v>5978</v>
      </c>
    </row>
    <row r="6845" spans="2:5">
      <c r="B6845" s="15" t="s">
        <v>8886</v>
      </c>
      <c r="C6845" s="15" t="s">
        <v>8887</v>
      </c>
      <c r="D6845" s="15" t="s">
        <v>8889</v>
      </c>
      <c r="E6845" s="15" t="s">
        <v>8890</v>
      </c>
    </row>
    <row r="6846" spans="2:5">
      <c r="B6846" s="15" t="s">
        <v>8886</v>
      </c>
      <c r="C6846" s="15" t="s">
        <v>8887</v>
      </c>
      <c r="D6846" s="15" t="s">
        <v>8891</v>
      </c>
      <c r="E6846" s="15" t="s">
        <v>1314</v>
      </c>
    </row>
    <row r="6847" ht="15.95" spans="2:2">
      <c r="B6847" s="122" t="s">
        <v>8892</v>
      </c>
    </row>
    <row r="6848" spans="2:5">
      <c r="B6848" s="15" t="s">
        <v>8893</v>
      </c>
      <c r="C6848" s="15" t="s">
        <v>722</v>
      </c>
      <c r="D6848" s="15" t="s">
        <v>770</v>
      </c>
      <c r="E6848" s="15" t="s">
        <v>724</v>
      </c>
    </row>
    <row r="6849" spans="2:5">
      <c r="B6849" s="15" t="s">
        <v>8893</v>
      </c>
      <c r="C6849" s="15" t="s">
        <v>722</v>
      </c>
      <c r="D6849" s="15" t="s">
        <v>772</v>
      </c>
      <c r="E6849" s="15" t="s">
        <v>726</v>
      </c>
    </row>
    <row r="6850" spans="2:5">
      <c r="B6850" s="15" t="s">
        <v>8893</v>
      </c>
      <c r="C6850" s="15" t="s">
        <v>722</v>
      </c>
      <c r="D6850" s="15" t="s">
        <v>774</v>
      </c>
      <c r="E6850" s="15" t="s">
        <v>728</v>
      </c>
    </row>
    <row r="6851" spans="2:5">
      <c r="B6851" s="15" t="s">
        <v>8893</v>
      </c>
      <c r="C6851" s="15" t="s">
        <v>722</v>
      </c>
      <c r="D6851" s="15" t="s">
        <v>828</v>
      </c>
      <c r="E6851" s="15" t="s">
        <v>730</v>
      </c>
    </row>
    <row r="6852" ht="15.95" spans="2:2">
      <c r="B6852" s="122" t="s">
        <v>8894</v>
      </c>
    </row>
    <row r="6853" spans="2:5">
      <c r="B6853" s="15" t="s">
        <v>8895</v>
      </c>
      <c r="C6853" s="15" t="s">
        <v>896</v>
      </c>
      <c r="D6853" s="15" t="s">
        <v>770</v>
      </c>
      <c r="E6853" s="15" t="s">
        <v>2493</v>
      </c>
    </row>
    <row r="6854" spans="2:5">
      <c r="B6854" s="15" t="s">
        <v>8895</v>
      </c>
      <c r="C6854" s="15" t="s">
        <v>896</v>
      </c>
      <c r="D6854" s="15" t="s">
        <v>772</v>
      </c>
      <c r="E6854" s="15" t="s">
        <v>2494</v>
      </c>
    </row>
    <row r="6855" spans="2:5">
      <c r="B6855" s="15" t="s">
        <v>8895</v>
      </c>
      <c r="C6855" s="15" t="s">
        <v>896</v>
      </c>
      <c r="D6855" s="15" t="s">
        <v>774</v>
      </c>
      <c r="E6855" s="15" t="s">
        <v>2495</v>
      </c>
    </row>
    <row r="6856" spans="2:5">
      <c r="B6856" s="15" t="s">
        <v>8895</v>
      </c>
      <c r="C6856" s="15" t="s">
        <v>896</v>
      </c>
      <c r="D6856" s="15" t="s">
        <v>828</v>
      </c>
      <c r="E6856" s="15" t="s">
        <v>2496</v>
      </c>
    </row>
    <row r="6857" spans="2:5">
      <c r="B6857" s="15" t="s">
        <v>8895</v>
      </c>
      <c r="C6857" s="15" t="s">
        <v>896</v>
      </c>
      <c r="D6857" s="15" t="s">
        <v>901</v>
      </c>
      <c r="E6857" s="15" t="s">
        <v>2497</v>
      </c>
    </row>
    <row r="6858" ht="15.95" spans="2:2">
      <c r="B6858" s="122" t="s">
        <v>8896</v>
      </c>
    </row>
    <row r="6859" spans="2:5">
      <c r="B6859" s="15" t="s">
        <v>8897</v>
      </c>
      <c r="C6859" s="15" t="s">
        <v>8898</v>
      </c>
      <c r="D6859" s="15" t="s">
        <v>933</v>
      </c>
      <c r="E6859" s="15" t="s">
        <v>906</v>
      </c>
    </row>
    <row r="6860" spans="2:5">
      <c r="B6860" s="15" t="s">
        <v>8897</v>
      </c>
      <c r="C6860" s="15" t="s">
        <v>8898</v>
      </c>
      <c r="D6860" s="15" t="s">
        <v>937</v>
      </c>
      <c r="E6860" s="15" t="s">
        <v>907</v>
      </c>
    </row>
    <row r="6861" spans="2:5">
      <c r="B6861" s="15" t="s">
        <v>8897</v>
      </c>
      <c r="C6861" s="15" t="s">
        <v>8898</v>
      </c>
      <c r="D6861" s="15" t="s">
        <v>939</v>
      </c>
      <c r="E6861" s="15" t="s">
        <v>6691</v>
      </c>
    </row>
    <row r="6862" ht="15.95" spans="2:2">
      <c r="B6862" s="122" t="s">
        <v>8899</v>
      </c>
    </row>
    <row r="6863" spans="2:5">
      <c r="B6863" s="15" t="s">
        <v>8900</v>
      </c>
      <c r="C6863" s="15"/>
      <c r="D6863" s="15" t="s">
        <v>770</v>
      </c>
      <c r="E6863" s="15" t="s">
        <v>6546</v>
      </c>
    </row>
    <row r="6864" spans="2:5">
      <c r="B6864" s="15" t="s">
        <v>8900</v>
      </c>
      <c r="C6864" s="15"/>
      <c r="D6864" s="15" t="s">
        <v>772</v>
      </c>
      <c r="E6864" s="15" t="s">
        <v>6549</v>
      </c>
    </row>
    <row r="6865" spans="2:5">
      <c r="B6865" s="15" t="s">
        <v>8900</v>
      </c>
      <c r="C6865" s="15"/>
      <c r="D6865" s="15" t="s">
        <v>774</v>
      </c>
      <c r="E6865" s="15" t="s">
        <v>2196</v>
      </c>
    </row>
    <row r="6866" spans="2:5">
      <c r="B6866" s="15" t="s">
        <v>8900</v>
      </c>
      <c r="C6866" s="15"/>
      <c r="D6866" s="15" t="s">
        <v>828</v>
      </c>
      <c r="E6866" s="15" t="s">
        <v>745</v>
      </c>
    </row>
    <row r="6867" spans="2:5">
      <c r="B6867" s="15" t="s">
        <v>8900</v>
      </c>
      <c r="C6867" s="15"/>
      <c r="D6867" s="15" t="s">
        <v>901</v>
      </c>
      <c r="E6867" s="15" t="s">
        <v>7252</v>
      </c>
    </row>
    <row r="6868" spans="2:5">
      <c r="B6868" s="15" t="s">
        <v>8900</v>
      </c>
      <c r="C6868" s="15"/>
      <c r="D6868" s="15" t="s">
        <v>776</v>
      </c>
      <c r="E6868" s="15" t="s">
        <v>7253</v>
      </c>
    </row>
    <row r="6869" spans="2:5">
      <c r="B6869" s="15" t="s">
        <v>8900</v>
      </c>
      <c r="C6869" s="15"/>
      <c r="D6869" s="15" t="s">
        <v>1290</v>
      </c>
      <c r="E6869" s="15" t="s">
        <v>7254</v>
      </c>
    </row>
    <row r="6870" spans="2:5">
      <c r="B6870" s="15" t="s">
        <v>8900</v>
      </c>
      <c r="C6870" s="15"/>
      <c r="D6870" s="15" t="s">
        <v>1145</v>
      </c>
      <c r="E6870" s="15" t="s">
        <v>235</v>
      </c>
    </row>
    <row r="6871" ht="15.95" spans="2:2">
      <c r="B6871" s="122" t="s">
        <v>8901</v>
      </c>
    </row>
    <row r="6872" spans="2:5">
      <c r="B6872" s="15" t="s">
        <v>8902</v>
      </c>
      <c r="C6872" s="15" t="s">
        <v>8903</v>
      </c>
      <c r="D6872" s="15" t="s">
        <v>770</v>
      </c>
      <c r="E6872" s="15" t="s">
        <v>8904</v>
      </c>
    </row>
    <row r="6873" spans="2:5">
      <c r="B6873" s="15" t="s">
        <v>8902</v>
      </c>
      <c r="C6873" s="15" t="s">
        <v>8903</v>
      </c>
      <c r="D6873" s="15" t="s">
        <v>772</v>
      </c>
      <c r="E6873" s="15" t="s">
        <v>8905</v>
      </c>
    </row>
    <row r="6874" ht="15.95" spans="2:2">
      <c r="B6874" s="122" t="s">
        <v>8906</v>
      </c>
    </row>
    <row r="6875" spans="2:5">
      <c r="B6875" s="15" t="s">
        <v>8907</v>
      </c>
      <c r="C6875" s="15" t="s">
        <v>3216</v>
      </c>
      <c r="D6875" s="15" t="s">
        <v>770</v>
      </c>
      <c r="E6875" s="15" t="s">
        <v>3217</v>
      </c>
    </row>
    <row r="6876" spans="2:5">
      <c r="B6876" s="15" t="s">
        <v>8907</v>
      </c>
      <c r="C6876" s="15" t="s">
        <v>3216</v>
      </c>
      <c r="D6876" s="15" t="s">
        <v>772</v>
      </c>
      <c r="E6876" s="15" t="s">
        <v>3218</v>
      </c>
    </row>
    <row r="6877" spans="2:5">
      <c r="B6877" s="15" t="s">
        <v>8907</v>
      </c>
      <c r="C6877" s="15" t="s">
        <v>3216</v>
      </c>
      <c r="D6877" s="15" t="s">
        <v>774</v>
      </c>
      <c r="E6877" s="15" t="s">
        <v>3219</v>
      </c>
    </row>
    <row r="6878" spans="2:5">
      <c r="B6878" s="15" t="s">
        <v>8907</v>
      </c>
      <c r="C6878" s="15" t="s">
        <v>3216</v>
      </c>
      <c r="D6878" s="15" t="s">
        <v>828</v>
      </c>
      <c r="E6878" s="15" t="s">
        <v>8908</v>
      </c>
    </row>
    <row r="6879" spans="2:5">
      <c r="B6879" s="15" t="s">
        <v>8907</v>
      </c>
      <c r="C6879" s="15" t="s">
        <v>3216</v>
      </c>
      <c r="D6879" s="15" t="s">
        <v>901</v>
      </c>
      <c r="E6879" s="15" t="s">
        <v>8909</v>
      </c>
    </row>
    <row r="6880" ht="15.95" spans="2:2">
      <c r="B6880" s="122" t="s">
        <v>8910</v>
      </c>
    </row>
    <row r="6881" spans="2:5">
      <c r="B6881" s="15" t="s">
        <v>8911</v>
      </c>
      <c r="C6881" s="15" t="s">
        <v>8911</v>
      </c>
      <c r="D6881" s="15" t="s">
        <v>723</v>
      </c>
      <c r="E6881" s="15" t="s">
        <v>2812</v>
      </c>
    </row>
    <row r="6882" spans="2:5">
      <c r="B6882" s="15" t="s">
        <v>8911</v>
      </c>
      <c r="C6882" s="15" t="s">
        <v>8911</v>
      </c>
      <c r="D6882" s="15" t="s">
        <v>725</v>
      </c>
      <c r="E6882" s="15" t="s">
        <v>8912</v>
      </c>
    </row>
    <row r="6883" spans="2:5">
      <c r="B6883" s="15" t="s">
        <v>8911</v>
      </c>
      <c r="C6883" s="15" t="s">
        <v>8911</v>
      </c>
      <c r="D6883" s="15" t="s">
        <v>727</v>
      </c>
      <c r="E6883" s="15" t="s">
        <v>8913</v>
      </c>
    </row>
    <row r="6884" spans="2:5">
      <c r="B6884" s="15" t="s">
        <v>8911</v>
      </c>
      <c r="C6884" s="15" t="s">
        <v>8911</v>
      </c>
      <c r="D6884" s="15" t="s">
        <v>729</v>
      </c>
      <c r="E6884" s="15" t="s">
        <v>8914</v>
      </c>
    </row>
    <row r="6885" ht="15.95" spans="2:2">
      <c r="B6885" s="122" t="s">
        <v>8915</v>
      </c>
    </row>
    <row r="6886" spans="2:5">
      <c r="B6886" s="15" t="s">
        <v>8916</v>
      </c>
      <c r="C6886" s="15" t="s">
        <v>5091</v>
      </c>
      <c r="D6886" s="15" t="s">
        <v>770</v>
      </c>
      <c r="E6886" s="15" t="s">
        <v>5097</v>
      </c>
    </row>
    <row r="6887" spans="2:5">
      <c r="B6887" s="15" t="s">
        <v>8916</v>
      </c>
      <c r="C6887" s="15" t="s">
        <v>5091</v>
      </c>
      <c r="D6887" s="15" t="s">
        <v>772</v>
      </c>
      <c r="E6887" s="15" t="s">
        <v>5096</v>
      </c>
    </row>
    <row r="6888" spans="2:5">
      <c r="B6888" s="15" t="s">
        <v>8916</v>
      </c>
      <c r="C6888" s="15" t="s">
        <v>5091</v>
      </c>
      <c r="D6888" s="15" t="s">
        <v>774</v>
      </c>
      <c r="E6888" s="15" t="s">
        <v>5098</v>
      </c>
    </row>
    <row r="6889" spans="2:5">
      <c r="B6889" s="15" t="s">
        <v>8916</v>
      </c>
      <c r="C6889" s="15" t="s">
        <v>5091</v>
      </c>
      <c r="D6889" s="15" t="s">
        <v>828</v>
      </c>
      <c r="E6889" s="15" t="s">
        <v>5099</v>
      </c>
    </row>
    <row r="6890" spans="2:5">
      <c r="B6890" s="15" t="s">
        <v>8916</v>
      </c>
      <c r="C6890" s="15" t="s">
        <v>5091</v>
      </c>
      <c r="D6890" s="15" t="s">
        <v>901</v>
      </c>
      <c r="E6890" s="15" t="s">
        <v>5092</v>
      </c>
    </row>
    <row r="6891" spans="2:5">
      <c r="B6891" s="15" t="s">
        <v>8916</v>
      </c>
      <c r="C6891" s="15" t="s">
        <v>5091</v>
      </c>
      <c r="D6891" s="15" t="s">
        <v>776</v>
      </c>
      <c r="E6891" s="15" t="s">
        <v>5093</v>
      </c>
    </row>
    <row r="6892" spans="2:5">
      <c r="B6892" s="15" t="s">
        <v>8916</v>
      </c>
      <c r="C6892" s="15" t="s">
        <v>5091</v>
      </c>
      <c r="D6892" s="15" t="s">
        <v>1290</v>
      </c>
      <c r="E6892" s="15" t="s">
        <v>5095</v>
      </c>
    </row>
    <row r="6893" spans="2:5">
      <c r="B6893" s="15" t="s">
        <v>8916</v>
      </c>
      <c r="C6893" s="15" t="s">
        <v>5091</v>
      </c>
      <c r="D6893" s="15" t="s">
        <v>1143</v>
      </c>
      <c r="E6893" s="15" t="s">
        <v>8917</v>
      </c>
    </row>
    <row r="6894" ht="15.95" spans="2:2">
      <c r="B6894" s="122" t="s">
        <v>8918</v>
      </c>
    </row>
    <row r="6895" spans="2:5">
      <c r="B6895" s="15" t="s">
        <v>8919</v>
      </c>
      <c r="C6895" s="15" t="s">
        <v>8920</v>
      </c>
      <c r="D6895" s="15" t="s">
        <v>635</v>
      </c>
      <c r="E6895" s="15" t="s">
        <v>5782</v>
      </c>
    </row>
    <row r="6896" spans="2:5">
      <c r="B6896" s="15" t="s">
        <v>8919</v>
      </c>
      <c r="C6896" s="15" t="s">
        <v>8920</v>
      </c>
      <c r="D6896" s="15" t="s">
        <v>637</v>
      </c>
      <c r="E6896" s="15" t="s">
        <v>1814</v>
      </c>
    </row>
    <row r="6897" spans="2:5">
      <c r="B6897" s="15" t="s">
        <v>8919</v>
      </c>
      <c r="C6897" s="15" t="s">
        <v>8920</v>
      </c>
      <c r="D6897" s="15" t="s">
        <v>641</v>
      </c>
      <c r="E6897" s="15" t="s">
        <v>5783</v>
      </c>
    </row>
    <row r="6898" spans="2:5">
      <c r="B6898" s="15" t="s">
        <v>8919</v>
      </c>
      <c r="C6898" s="15" t="s">
        <v>8920</v>
      </c>
      <c r="D6898" s="15" t="s">
        <v>643</v>
      </c>
      <c r="E6898" s="15" t="s">
        <v>5784</v>
      </c>
    </row>
    <row r="6899" spans="2:5">
      <c r="B6899" s="15" t="s">
        <v>8919</v>
      </c>
      <c r="C6899" s="15" t="s">
        <v>8920</v>
      </c>
      <c r="D6899" s="15" t="s">
        <v>645</v>
      </c>
      <c r="E6899" s="15" t="s">
        <v>5785</v>
      </c>
    </row>
    <row r="6900" spans="2:5">
      <c r="B6900" s="15" t="s">
        <v>8919</v>
      </c>
      <c r="C6900" s="15" t="s">
        <v>8920</v>
      </c>
      <c r="D6900" s="15" t="s">
        <v>659</v>
      </c>
      <c r="E6900" s="15" t="s">
        <v>5787</v>
      </c>
    </row>
    <row r="6901" spans="2:5">
      <c r="B6901" s="15" t="s">
        <v>8919</v>
      </c>
      <c r="C6901" s="15" t="s">
        <v>8920</v>
      </c>
      <c r="D6901" s="15" t="s">
        <v>661</v>
      </c>
      <c r="E6901" s="15" t="s">
        <v>5788</v>
      </c>
    </row>
    <row r="6902" spans="2:5">
      <c r="B6902" s="15" t="s">
        <v>8919</v>
      </c>
      <c r="C6902" s="15" t="s">
        <v>8920</v>
      </c>
      <c r="D6902" s="15" t="s">
        <v>663</v>
      </c>
      <c r="E6902" s="15" t="s">
        <v>5789</v>
      </c>
    </row>
    <row r="6903" spans="2:5">
      <c r="B6903" s="15" t="s">
        <v>8919</v>
      </c>
      <c r="C6903" s="15" t="s">
        <v>8920</v>
      </c>
      <c r="D6903" s="15" t="s">
        <v>679</v>
      </c>
      <c r="E6903" s="15" t="s">
        <v>167</v>
      </c>
    </row>
    <row r="6904" ht="15.95" spans="2:2">
      <c r="B6904" s="122" t="s">
        <v>8921</v>
      </c>
    </row>
    <row r="6905" spans="2:5">
      <c r="B6905" s="15" t="s">
        <v>8922</v>
      </c>
      <c r="C6905" s="15" t="s">
        <v>8923</v>
      </c>
      <c r="D6905" s="15" t="s">
        <v>8924</v>
      </c>
      <c r="E6905" s="15" t="s">
        <v>5306</v>
      </c>
    </row>
    <row r="6906" spans="2:5">
      <c r="B6906" s="15" t="s">
        <v>8922</v>
      </c>
      <c r="C6906" s="15" t="s">
        <v>8923</v>
      </c>
      <c r="D6906" s="15" t="s">
        <v>5311</v>
      </c>
      <c r="E6906" s="15" t="s">
        <v>5312</v>
      </c>
    </row>
    <row r="6907" spans="2:5">
      <c r="B6907" s="15" t="s">
        <v>8922</v>
      </c>
      <c r="C6907" s="15" t="s">
        <v>8923</v>
      </c>
      <c r="D6907" s="15" t="s">
        <v>8925</v>
      </c>
      <c r="E6907" s="15" t="s">
        <v>5348</v>
      </c>
    </row>
    <row r="6908" spans="2:5">
      <c r="B6908" s="15" t="s">
        <v>8922</v>
      </c>
      <c r="C6908" s="15" t="s">
        <v>8923</v>
      </c>
      <c r="D6908" s="15" t="s">
        <v>8926</v>
      </c>
      <c r="E6908" s="15" t="s">
        <v>5314</v>
      </c>
    </row>
    <row r="6909" spans="2:5">
      <c r="B6909" s="15" t="s">
        <v>8922</v>
      </c>
      <c r="C6909" s="15" t="s">
        <v>8923</v>
      </c>
      <c r="D6909" s="15" t="s">
        <v>8927</v>
      </c>
      <c r="E6909" s="15" t="s">
        <v>6956</v>
      </c>
    </row>
    <row r="6910" ht="15.95" spans="2:2">
      <c r="B6910" s="122" t="s">
        <v>8928</v>
      </c>
    </row>
    <row r="6911" spans="2:5">
      <c r="B6911" s="15" t="s">
        <v>8929</v>
      </c>
      <c r="C6911" s="15" t="s">
        <v>8930</v>
      </c>
      <c r="D6911" s="15" t="s">
        <v>8931</v>
      </c>
      <c r="E6911" s="15" t="s">
        <v>8932</v>
      </c>
    </row>
    <row r="6912" spans="2:5">
      <c r="B6912" s="15" t="s">
        <v>8929</v>
      </c>
      <c r="C6912" s="15" t="s">
        <v>8930</v>
      </c>
      <c r="D6912" s="15" t="s">
        <v>8933</v>
      </c>
      <c r="E6912" s="15" t="s">
        <v>8934</v>
      </c>
    </row>
    <row r="6913" spans="2:5">
      <c r="B6913" s="15" t="s">
        <v>8929</v>
      </c>
      <c r="C6913" s="15" t="s">
        <v>8930</v>
      </c>
      <c r="D6913" s="15" t="s">
        <v>8935</v>
      </c>
      <c r="E6913" s="15" t="s">
        <v>8936</v>
      </c>
    </row>
    <row r="6914" spans="2:5">
      <c r="B6914" s="15" t="s">
        <v>8929</v>
      </c>
      <c r="C6914" s="15" t="s">
        <v>8930</v>
      </c>
      <c r="D6914" s="15" t="s">
        <v>8937</v>
      </c>
      <c r="E6914" s="15" t="s">
        <v>8938</v>
      </c>
    </row>
    <row r="6915" ht="15.95" spans="2:2">
      <c r="B6915" s="122" t="s">
        <v>8939</v>
      </c>
    </row>
    <row r="6916" spans="2:5">
      <c r="B6916" s="15" t="s">
        <v>8940</v>
      </c>
      <c r="C6916" s="15" t="s">
        <v>8941</v>
      </c>
      <c r="D6916" s="15" t="s">
        <v>770</v>
      </c>
      <c r="E6916" s="15" t="s">
        <v>2722</v>
      </c>
    </row>
    <row r="6917" spans="2:5">
      <c r="B6917" s="15" t="s">
        <v>8940</v>
      </c>
      <c r="C6917" s="15" t="s">
        <v>8941</v>
      </c>
      <c r="D6917" s="15" t="s">
        <v>772</v>
      </c>
      <c r="E6917" s="15" t="s">
        <v>2723</v>
      </c>
    </row>
    <row r="6918" spans="2:5">
      <c r="B6918" s="15" t="s">
        <v>8940</v>
      </c>
      <c r="C6918" s="15" t="s">
        <v>8941</v>
      </c>
      <c r="D6918" s="15" t="s">
        <v>774</v>
      </c>
      <c r="E6918" s="15" t="s">
        <v>862</v>
      </c>
    </row>
    <row r="6919" ht="15.95" spans="2:2">
      <c r="B6919" s="122" t="s">
        <v>8942</v>
      </c>
    </row>
    <row r="6920" spans="2:5">
      <c r="B6920" s="15" t="s">
        <v>8943</v>
      </c>
      <c r="C6920" s="15" t="s">
        <v>8944</v>
      </c>
      <c r="D6920" s="15" t="s">
        <v>635</v>
      </c>
      <c r="E6920" s="15" t="s">
        <v>4418</v>
      </c>
    </row>
    <row r="6921" spans="2:5">
      <c r="B6921" s="15" t="s">
        <v>8943</v>
      </c>
      <c r="C6921" s="15" t="s">
        <v>8944</v>
      </c>
      <c r="D6921" s="15" t="s">
        <v>659</v>
      </c>
      <c r="E6921" s="15" t="s">
        <v>1203</v>
      </c>
    </row>
    <row r="6922" spans="2:5">
      <c r="B6922" s="15" t="s">
        <v>8943</v>
      </c>
      <c r="C6922" s="15" t="s">
        <v>8944</v>
      </c>
      <c r="D6922" s="15" t="s">
        <v>679</v>
      </c>
      <c r="E6922" s="15" t="s">
        <v>7291</v>
      </c>
    </row>
    <row r="6923" ht="15.95" spans="2:2">
      <c r="B6923" s="122" t="s">
        <v>8945</v>
      </c>
    </row>
    <row r="6924" spans="2:5">
      <c r="B6924" s="15" t="s">
        <v>8946</v>
      </c>
      <c r="C6924" s="15" t="s">
        <v>8947</v>
      </c>
      <c r="D6924" s="15" t="s">
        <v>8948</v>
      </c>
      <c r="E6924" s="15" t="s">
        <v>8949</v>
      </c>
    </row>
    <row r="6925" spans="2:5">
      <c r="B6925" s="15" t="s">
        <v>8946</v>
      </c>
      <c r="C6925" s="15" t="s">
        <v>8947</v>
      </c>
      <c r="D6925" s="15" t="s">
        <v>8950</v>
      </c>
      <c r="E6925" s="15" t="s">
        <v>8951</v>
      </c>
    </row>
    <row r="6926" spans="2:5">
      <c r="B6926" s="15" t="s">
        <v>8946</v>
      </c>
      <c r="C6926" s="15" t="s">
        <v>8947</v>
      </c>
      <c r="D6926" s="15" t="s">
        <v>8952</v>
      </c>
      <c r="E6926" s="15" t="s">
        <v>8953</v>
      </c>
    </row>
    <row r="6927" spans="2:5">
      <c r="B6927" s="15" t="s">
        <v>8946</v>
      </c>
      <c r="C6927" s="15" t="s">
        <v>8947</v>
      </c>
      <c r="D6927" s="15" t="s">
        <v>8954</v>
      </c>
      <c r="E6927" s="15" t="s">
        <v>8955</v>
      </c>
    </row>
    <row r="6928" spans="2:5">
      <c r="B6928" s="15" t="s">
        <v>8946</v>
      </c>
      <c r="C6928" s="15" t="s">
        <v>8947</v>
      </c>
      <c r="D6928" s="15" t="s">
        <v>8956</v>
      </c>
      <c r="E6928" s="15" t="s">
        <v>8957</v>
      </c>
    </row>
    <row r="6929" spans="2:5">
      <c r="B6929" s="15" t="s">
        <v>8946</v>
      </c>
      <c r="C6929" s="15" t="s">
        <v>8947</v>
      </c>
      <c r="D6929" s="15" t="s">
        <v>8958</v>
      </c>
      <c r="E6929" s="15" t="s">
        <v>8959</v>
      </c>
    </row>
    <row r="6930" spans="2:5">
      <c r="B6930" s="15" t="s">
        <v>8946</v>
      </c>
      <c r="C6930" s="15" t="s">
        <v>8947</v>
      </c>
      <c r="D6930" s="15" t="s">
        <v>8960</v>
      </c>
      <c r="E6930" s="15" t="s">
        <v>8961</v>
      </c>
    </row>
    <row r="6931" spans="2:5">
      <c r="B6931" s="15" t="s">
        <v>8946</v>
      </c>
      <c r="C6931" s="15" t="s">
        <v>8947</v>
      </c>
      <c r="D6931" s="15" t="s">
        <v>8962</v>
      </c>
      <c r="E6931" s="15" t="s">
        <v>8963</v>
      </c>
    </row>
    <row r="6932" spans="2:5">
      <c r="B6932" s="15" t="s">
        <v>8946</v>
      </c>
      <c r="C6932" s="15" t="s">
        <v>8947</v>
      </c>
      <c r="D6932" s="15" t="s">
        <v>8964</v>
      </c>
      <c r="E6932" s="15" t="s">
        <v>8965</v>
      </c>
    </row>
    <row r="6933" spans="2:5">
      <c r="B6933" s="15" t="s">
        <v>8946</v>
      </c>
      <c r="C6933" s="15" t="s">
        <v>8947</v>
      </c>
      <c r="D6933" s="15" t="s">
        <v>8966</v>
      </c>
      <c r="E6933" s="15" t="s">
        <v>8967</v>
      </c>
    </row>
    <row r="6934" spans="2:5">
      <c r="B6934" s="15" t="s">
        <v>8946</v>
      </c>
      <c r="C6934" s="15" t="s">
        <v>8947</v>
      </c>
      <c r="D6934" s="15" t="s">
        <v>8968</v>
      </c>
      <c r="E6934" s="15" t="s">
        <v>8969</v>
      </c>
    </row>
    <row r="6935" spans="2:5">
      <c r="B6935" s="15" t="s">
        <v>8946</v>
      </c>
      <c r="C6935" s="15" t="s">
        <v>8947</v>
      </c>
      <c r="D6935" s="15" t="s">
        <v>8970</v>
      </c>
      <c r="E6935" s="15" t="s">
        <v>8971</v>
      </c>
    </row>
    <row r="6936" spans="2:5">
      <c r="B6936" s="15" t="s">
        <v>8946</v>
      </c>
      <c r="C6936" s="15" t="s">
        <v>8947</v>
      </c>
      <c r="D6936" s="15" t="s">
        <v>8972</v>
      </c>
      <c r="E6936" s="15" t="s">
        <v>8973</v>
      </c>
    </row>
    <row r="6937" ht="15.95" spans="2:2">
      <c r="B6937" s="122" t="s">
        <v>8974</v>
      </c>
    </row>
    <row r="6938" spans="2:5">
      <c r="B6938" s="15" t="s">
        <v>8975</v>
      </c>
      <c r="C6938" s="15" t="s">
        <v>8975</v>
      </c>
      <c r="D6938" s="15" t="s">
        <v>770</v>
      </c>
      <c r="E6938" s="15" t="s">
        <v>8976</v>
      </c>
    </row>
    <row r="6939" spans="2:5">
      <c r="B6939" s="15" t="s">
        <v>8975</v>
      </c>
      <c r="C6939" s="15" t="s">
        <v>8975</v>
      </c>
      <c r="D6939" s="15" t="s">
        <v>772</v>
      </c>
      <c r="E6939" s="15" t="s">
        <v>8977</v>
      </c>
    </row>
    <row r="6940" spans="2:5">
      <c r="B6940" s="15" t="s">
        <v>8975</v>
      </c>
      <c r="C6940" s="15" t="s">
        <v>8975</v>
      </c>
      <c r="D6940" s="15" t="s">
        <v>774</v>
      </c>
      <c r="E6940" s="15" t="s">
        <v>8978</v>
      </c>
    </row>
    <row r="6941" spans="2:5">
      <c r="B6941" s="15" t="s">
        <v>8975</v>
      </c>
      <c r="C6941" s="15" t="s">
        <v>8975</v>
      </c>
      <c r="D6941" s="15" t="s">
        <v>828</v>
      </c>
      <c r="E6941" s="15" t="s">
        <v>8979</v>
      </c>
    </row>
    <row r="6942" ht="15.95" spans="2:2">
      <c r="B6942" s="122" t="s">
        <v>8980</v>
      </c>
    </row>
    <row r="6943" spans="2:5">
      <c r="B6943" s="15" t="s">
        <v>8981</v>
      </c>
      <c r="C6943" s="15" t="s">
        <v>896</v>
      </c>
      <c r="D6943" s="15" t="s">
        <v>770</v>
      </c>
      <c r="E6943" s="15" t="s">
        <v>8982</v>
      </c>
    </row>
    <row r="6944" spans="2:5">
      <c r="B6944" s="15" t="s">
        <v>8981</v>
      </c>
      <c r="C6944" s="15" t="s">
        <v>896</v>
      </c>
      <c r="D6944" s="15" t="s">
        <v>772</v>
      </c>
      <c r="E6944" s="15" t="s">
        <v>8983</v>
      </c>
    </row>
    <row r="6945" spans="2:5">
      <c r="B6945" s="15" t="s">
        <v>8981</v>
      </c>
      <c r="C6945" s="15" t="s">
        <v>896</v>
      </c>
      <c r="D6945" s="15" t="s">
        <v>774</v>
      </c>
      <c r="E6945" s="15" t="s">
        <v>8984</v>
      </c>
    </row>
    <row r="6946" spans="2:5">
      <c r="B6946" s="15" t="s">
        <v>8981</v>
      </c>
      <c r="C6946" s="15" t="s">
        <v>896</v>
      </c>
      <c r="D6946" s="15" t="s">
        <v>828</v>
      </c>
      <c r="E6946" s="15" t="s">
        <v>8985</v>
      </c>
    </row>
    <row r="6947" spans="2:5">
      <c r="B6947" s="15" t="s">
        <v>8981</v>
      </c>
      <c r="C6947" s="15" t="s">
        <v>896</v>
      </c>
      <c r="D6947" s="15" t="s">
        <v>901</v>
      </c>
      <c r="E6947" s="15" t="s">
        <v>8986</v>
      </c>
    </row>
    <row r="6948" ht="15.95" spans="2:2">
      <c r="B6948" s="122" t="s">
        <v>8987</v>
      </c>
    </row>
    <row r="6949" spans="2:5">
      <c r="B6949" s="15" t="s">
        <v>8988</v>
      </c>
      <c r="C6949" s="15" t="s">
        <v>3496</v>
      </c>
      <c r="D6949" s="15" t="s">
        <v>8989</v>
      </c>
      <c r="E6949" s="15" t="s">
        <v>3038</v>
      </c>
    </row>
    <row r="6950" spans="2:5">
      <c r="B6950" s="15" t="s">
        <v>8988</v>
      </c>
      <c r="C6950" s="15" t="s">
        <v>3496</v>
      </c>
      <c r="D6950" s="15" t="s">
        <v>8990</v>
      </c>
      <c r="E6950" s="15" t="s">
        <v>8991</v>
      </c>
    </row>
    <row r="6951" ht="15.95" spans="2:2">
      <c r="B6951" s="122" t="s">
        <v>8992</v>
      </c>
    </row>
    <row r="6952" spans="2:5">
      <c r="B6952" s="15" t="s">
        <v>8993</v>
      </c>
      <c r="C6952" s="15" t="s">
        <v>8993</v>
      </c>
      <c r="D6952" s="15" t="s">
        <v>723</v>
      </c>
      <c r="E6952" s="15" t="s">
        <v>1201</v>
      </c>
    </row>
    <row r="6953" spans="2:5">
      <c r="B6953" s="15" t="s">
        <v>8993</v>
      </c>
      <c r="C6953" s="15" t="s">
        <v>8993</v>
      </c>
      <c r="D6953" s="15" t="s">
        <v>725</v>
      </c>
      <c r="E6953" s="15" t="s">
        <v>1202</v>
      </c>
    </row>
    <row r="6954" spans="2:5">
      <c r="B6954" s="15" t="s">
        <v>8993</v>
      </c>
      <c r="C6954" s="15" t="s">
        <v>8993</v>
      </c>
      <c r="D6954" s="15" t="s">
        <v>727</v>
      </c>
      <c r="E6954" s="15" t="s">
        <v>1203</v>
      </c>
    </row>
    <row r="6955" spans="2:5">
      <c r="B6955" s="15" t="s">
        <v>8993</v>
      </c>
      <c r="C6955" s="15" t="s">
        <v>8993</v>
      </c>
      <c r="D6955" s="15" t="s">
        <v>729</v>
      </c>
      <c r="E6955" s="15" t="s">
        <v>1936</v>
      </c>
    </row>
    <row r="6956" ht="15.95" spans="2:2">
      <c r="B6956" s="122" t="s">
        <v>8994</v>
      </c>
    </row>
    <row r="6957" spans="2:5">
      <c r="B6957" s="15" t="s">
        <v>8995</v>
      </c>
      <c r="C6957" s="15" t="s">
        <v>8996</v>
      </c>
      <c r="D6957" s="15" t="s">
        <v>770</v>
      </c>
      <c r="E6957" s="15" t="s">
        <v>8997</v>
      </c>
    </row>
    <row r="6958" spans="2:5">
      <c r="B6958" s="15" t="s">
        <v>8995</v>
      </c>
      <c r="C6958" s="15" t="s">
        <v>8996</v>
      </c>
      <c r="D6958" s="15" t="s">
        <v>772</v>
      </c>
      <c r="E6958" s="15" t="s">
        <v>8998</v>
      </c>
    </row>
    <row r="6959" ht="15.95" spans="2:2">
      <c r="B6959" s="122" t="s">
        <v>8999</v>
      </c>
    </row>
    <row r="6960" spans="2:5">
      <c r="B6960" s="15" t="s">
        <v>9000</v>
      </c>
      <c r="C6960" s="15" t="s">
        <v>9000</v>
      </c>
      <c r="D6960" s="15" t="s">
        <v>723</v>
      </c>
      <c r="E6960" s="15" t="s">
        <v>3862</v>
      </c>
    </row>
    <row r="6961" spans="2:5">
      <c r="B6961" s="15" t="s">
        <v>9000</v>
      </c>
      <c r="C6961" s="15" t="s">
        <v>9000</v>
      </c>
      <c r="D6961" s="15" t="s">
        <v>725</v>
      </c>
      <c r="E6961" s="15" t="s">
        <v>1203</v>
      </c>
    </row>
    <row r="6962" spans="2:5">
      <c r="B6962" s="15" t="s">
        <v>9000</v>
      </c>
      <c r="C6962" s="15" t="s">
        <v>9000</v>
      </c>
      <c r="D6962" s="15" t="s">
        <v>727</v>
      </c>
      <c r="E6962" s="15" t="s">
        <v>3865</v>
      </c>
    </row>
    <row r="6963" ht="15.95" spans="2:2">
      <c r="B6963" s="122" t="s">
        <v>9001</v>
      </c>
    </row>
    <row r="6964" spans="2:5">
      <c r="B6964" s="15" t="s">
        <v>9002</v>
      </c>
      <c r="C6964" s="15" t="s">
        <v>896</v>
      </c>
      <c r="D6964" s="15" t="s">
        <v>770</v>
      </c>
      <c r="E6964" s="15" t="s">
        <v>9003</v>
      </c>
    </row>
    <row r="6965" spans="2:5">
      <c r="B6965" s="15" t="s">
        <v>9002</v>
      </c>
      <c r="C6965" s="15" t="s">
        <v>896</v>
      </c>
      <c r="D6965" s="15" t="s">
        <v>772</v>
      </c>
      <c r="E6965" s="15" t="s">
        <v>9004</v>
      </c>
    </row>
    <row r="6966" spans="2:5">
      <c r="B6966" s="15" t="s">
        <v>9002</v>
      </c>
      <c r="C6966" s="15" t="s">
        <v>896</v>
      </c>
      <c r="D6966" s="15" t="s">
        <v>774</v>
      </c>
      <c r="E6966" s="15" t="s">
        <v>9005</v>
      </c>
    </row>
    <row r="6967" spans="2:5">
      <c r="B6967" s="15" t="s">
        <v>9002</v>
      </c>
      <c r="C6967" s="15" t="s">
        <v>896</v>
      </c>
      <c r="D6967" s="15" t="s">
        <v>828</v>
      </c>
      <c r="E6967" s="15" t="s">
        <v>9006</v>
      </c>
    </row>
    <row r="6968" ht="15.95" spans="2:2">
      <c r="B6968" s="122" t="s">
        <v>9007</v>
      </c>
    </row>
    <row r="6969" spans="2:5">
      <c r="B6969" s="15" t="s">
        <v>9008</v>
      </c>
      <c r="C6969" s="15" t="s">
        <v>9009</v>
      </c>
      <c r="D6969" s="15" t="s">
        <v>933</v>
      </c>
      <c r="E6969" s="15" t="s">
        <v>9010</v>
      </c>
    </row>
    <row r="6970" spans="2:5">
      <c r="B6970" s="15" t="s">
        <v>9008</v>
      </c>
      <c r="C6970" s="15" t="s">
        <v>9009</v>
      </c>
      <c r="D6970" s="15" t="s">
        <v>6055</v>
      </c>
      <c r="E6970" s="15" t="s">
        <v>9011</v>
      </c>
    </row>
    <row r="6971" spans="2:5">
      <c r="B6971" s="15" t="s">
        <v>9008</v>
      </c>
      <c r="C6971" s="15" t="s">
        <v>9009</v>
      </c>
      <c r="D6971" s="15" t="s">
        <v>9012</v>
      </c>
      <c r="E6971" s="15" t="s">
        <v>9013</v>
      </c>
    </row>
    <row r="6972" spans="2:5">
      <c r="B6972" s="15" t="s">
        <v>9008</v>
      </c>
      <c r="C6972" s="15" t="s">
        <v>9009</v>
      </c>
      <c r="D6972" s="15" t="s">
        <v>6056</v>
      </c>
      <c r="E6972" s="15" t="s">
        <v>9014</v>
      </c>
    </row>
    <row r="6973" spans="2:5">
      <c r="B6973" s="15" t="s">
        <v>9008</v>
      </c>
      <c r="C6973" s="15" t="s">
        <v>9009</v>
      </c>
      <c r="D6973" s="15" t="s">
        <v>9015</v>
      </c>
      <c r="E6973" s="15" t="s">
        <v>9016</v>
      </c>
    </row>
    <row r="6974" spans="2:5">
      <c r="B6974" s="15" t="s">
        <v>9008</v>
      </c>
      <c r="C6974" s="15" t="s">
        <v>9009</v>
      </c>
      <c r="D6974" s="15" t="s">
        <v>9017</v>
      </c>
      <c r="E6974" s="15" t="s">
        <v>9018</v>
      </c>
    </row>
    <row r="6975" spans="2:5">
      <c r="B6975" s="15" t="s">
        <v>9008</v>
      </c>
      <c r="C6975" s="15" t="s">
        <v>9009</v>
      </c>
      <c r="D6975" s="15" t="s">
        <v>9019</v>
      </c>
      <c r="E6975" s="15" t="s">
        <v>9020</v>
      </c>
    </row>
    <row r="6976" spans="2:5">
      <c r="B6976" s="15" t="s">
        <v>9008</v>
      </c>
      <c r="C6976" s="15" t="s">
        <v>9009</v>
      </c>
      <c r="D6976" s="15" t="s">
        <v>9021</v>
      </c>
      <c r="E6976" s="15" t="s">
        <v>9022</v>
      </c>
    </row>
    <row r="6977" spans="2:5">
      <c r="B6977" s="15" t="s">
        <v>9008</v>
      </c>
      <c r="C6977" s="15" t="s">
        <v>9009</v>
      </c>
      <c r="D6977" s="15" t="s">
        <v>9023</v>
      </c>
      <c r="E6977" s="15" t="s">
        <v>9024</v>
      </c>
    </row>
    <row r="6978" spans="2:5">
      <c r="B6978" s="15" t="s">
        <v>9008</v>
      </c>
      <c r="C6978" s="15" t="s">
        <v>9009</v>
      </c>
      <c r="D6978" s="15" t="s">
        <v>937</v>
      </c>
      <c r="E6978" s="15" t="s">
        <v>9025</v>
      </c>
    </row>
    <row r="6979" spans="2:5">
      <c r="B6979" s="15" t="s">
        <v>9008</v>
      </c>
      <c r="C6979" s="15" t="s">
        <v>9009</v>
      </c>
      <c r="D6979" s="15" t="s">
        <v>6701</v>
      </c>
      <c r="E6979" s="15" t="s">
        <v>9026</v>
      </c>
    </row>
    <row r="6980" spans="2:5">
      <c r="B6980" s="15" t="s">
        <v>9008</v>
      </c>
      <c r="C6980" s="15" t="s">
        <v>9009</v>
      </c>
      <c r="D6980" s="15" t="s">
        <v>9027</v>
      </c>
      <c r="E6980" s="15" t="s">
        <v>9028</v>
      </c>
    </row>
    <row r="6981" spans="2:5">
      <c r="B6981" s="15" t="s">
        <v>9008</v>
      </c>
      <c r="C6981" s="15" t="s">
        <v>9009</v>
      </c>
      <c r="D6981" s="15" t="s">
        <v>9029</v>
      </c>
      <c r="E6981" s="15" t="s">
        <v>9030</v>
      </c>
    </row>
    <row r="6982" spans="2:5">
      <c r="B6982" s="15" t="s">
        <v>9008</v>
      </c>
      <c r="C6982" s="15" t="s">
        <v>9009</v>
      </c>
      <c r="D6982" s="15" t="s">
        <v>6703</v>
      </c>
      <c r="E6982" s="15" t="s">
        <v>9031</v>
      </c>
    </row>
    <row r="6983" spans="2:5">
      <c r="B6983" s="15" t="s">
        <v>9008</v>
      </c>
      <c r="C6983" s="15" t="s">
        <v>9009</v>
      </c>
      <c r="D6983" s="15" t="s">
        <v>9032</v>
      </c>
      <c r="E6983" s="15" t="s">
        <v>9033</v>
      </c>
    </row>
    <row r="6984" spans="2:5">
      <c r="B6984" s="15" t="s">
        <v>9008</v>
      </c>
      <c r="C6984" s="15" t="s">
        <v>9009</v>
      </c>
      <c r="D6984" s="15" t="s">
        <v>9034</v>
      </c>
      <c r="E6984" s="15" t="s">
        <v>9035</v>
      </c>
    </row>
    <row r="6985" spans="2:5">
      <c r="B6985" s="15" t="s">
        <v>9008</v>
      </c>
      <c r="C6985" s="15" t="s">
        <v>9009</v>
      </c>
      <c r="D6985" s="15" t="s">
        <v>6705</v>
      </c>
      <c r="E6985" s="15" t="s">
        <v>9036</v>
      </c>
    </row>
    <row r="6986" spans="2:5">
      <c r="B6986" s="15" t="s">
        <v>9008</v>
      </c>
      <c r="C6986" s="15" t="s">
        <v>9009</v>
      </c>
      <c r="D6986" s="15" t="s">
        <v>9037</v>
      </c>
      <c r="E6986" s="15" t="s">
        <v>9036</v>
      </c>
    </row>
    <row r="6987" spans="2:5">
      <c r="B6987" s="15" t="s">
        <v>9008</v>
      </c>
      <c r="C6987" s="15" t="s">
        <v>9009</v>
      </c>
      <c r="D6987" s="15" t="s">
        <v>9038</v>
      </c>
      <c r="E6987" s="15" t="s">
        <v>9039</v>
      </c>
    </row>
    <row r="6988" spans="2:5">
      <c r="B6988" s="15" t="s">
        <v>9008</v>
      </c>
      <c r="C6988" s="15" t="s">
        <v>9009</v>
      </c>
      <c r="D6988" s="15" t="s">
        <v>6707</v>
      </c>
      <c r="E6988" s="15" t="s">
        <v>9040</v>
      </c>
    </row>
    <row r="6989" spans="2:5">
      <c r="B6989" s="15" t="s">
        <v>9008</v>
      </c>
      <c r="C6989" s="15" t="s">
        <v>9009</v>
      </c>
      <c r="D6989" s="15" t="s">
        <v>9041</v>
      </c>
      <c r="E6989" s="15" t="s">
        <v>7075</v>
      </c>
    </row>
    <row r="6990" spans="2:5">
      <c r="B6990" s="15" t="s">
        <v>9008</v>
      </c>
      <c r="C6990" s="15" t="s">
        <v>9009</v>
      </c>
      <c r="D6990" s="15" t="s">
        <v>9042</v>
      </c>
      <c r="E6990" s="15" t="s">
        <v>7191</v>
      </c>
    </row>
    <row r="6991" spans="2:5">
      <c r="B6991" s="15" t="s">
        <v>9008</v>
      </c>
      <c r="C6991" s="15" t="s">
        <v>9009</v>
      </c>
      <c r="D6991" s="15" t="s">
        <v>6708</v>
      </c>
      <c r="E6991" s="15" t="s">
        <v>9043</v>
      </c>
    </row>
    <row r="6992" spans="2:5">
      <c r="B6992" s="15" t="s">
        <v>9008</v>
      </c>
      <c r="C6992" s="15" t="s">
        <v>9009</v>
      </c>
      <c r="D6992" s="15" t="s">
        <v>9044</v>
      </c>
      <c r="E6992" s="15" t="s">
        <v>1359</v>
      </c>
    </row>
    <row r="6993" spans="2:5">
      <c r="B6993" s="15" t="s">
        <v>9008</v>
      </c>
      <c r="C6993" s="15" t="s">
        <v>9009</v>
      </c>
      <c r="D6993" s="15" t="s">
        <v>2105</v>
      </c>
      <c r="E6993" s="15" t="s">
        <v>9045</v>
      </c>
    </row>
    <row r="6994" spans="2:5">
      <c r="B6994" s="15" t="s">
        <v>9008</v>
      </c>
      <c r="C6994" s="15" t="s">
        <v>9009</v>
      </c>
      <c r="D6994" s="15" t="s">
        <v>9046</v>
      </c>
      <c r="E6994" s="15" t="s">
        <v>9047</v>
      </c>
    </row>
    <row r="6995" spans="2:5">
      <c r="B6995" s="15" t="s">
        <v>9008</v>
      </c>
      <c r="C6995" s="15" t="s">
        <v>9009</v>
      </c>
      <c r="D6995" s="15" t="s">
        <v>9048</v>
      </c>
      <c r="E6995" s="15" t="s">
        <v>9049</v>
      </c>
    </row>
    <row r="6996" spans="2:5">
      <c r="B6996" s="15" t="s">
        <v>9008</v>
      </c>
      <c r="C6996" s="15" t="s">
        <v>9009</v>
      </c>
      <c r="D6996" s="15" t="s">
        <v>9050</v>
      </c>
      <c r="E6996" s="15" t="s">
        <v>9051</v>
      </c>
    </row>
    <row r="6997" spans="2:5">
      <c r="B6997" s="15" t="s">
        <v>9008</v>
      </c>
      <c r="C6997" s="15" t="s">
        <v>9009</v>
      </c>
      <c r="D6997" s="15" t="s">
        <v>9052</v>
      </c>
      <c r="E6997" s="15" t="s">
        <v>9053</v>
      </c>
    </row>
    <row r="6998" spans="2:5">
      <c r="B6998" s="15" t="s">
        <v>9008</v>
      </c>
      <c r="C6998" s="15" t="s">
        <v>9009</v>
      </c>
      <c r="D6998" s="15" t="s">
        <v>9054</v>
      </c>
      <c r="E6998" s="15" t="s">
        <v>9055</v>
      </c>
    </row>
    <row r="6999" spans="2:5">
      <c r="B6999" s="15" t="s">
        <v>9008</v>
      </c>
      <c r="C6999" s="15" t="s">
        <v>9009</v>
      </c>
      <c r="D6999" s="15" t="s">
        <v>9056</v>
      </c>
      <c r="E6999" s="15" t="s">
        <v>9057</v>
      </c>
    </row>
    <row r="7000" spans="2:5">
      <c r="B7000" s="15" t="s">
        <v>9008</v>
      </c>
      <c r="C7000" s="15" t="s">
        <v>9009</v>
      </c>
      <c r="D7000" s="15" t="s">
        <v>1626</v>
      </c>
      <c r="E7000" s="15" t="s">
        <v>9058</v>
      </c>
    </row>
    <row r="7001" spans="2:5">
      <c r="B7001" s="15" t="s">
        <v>9008</v>
      </c>
      <c r="C7001" s="15" t="s">
        <v>9009</v>
      </c>
      <c r="D7001" s="15" t="s">
        <v>9059</v>
      </c>
      <c r="E7001" s="15" t="s">
        <v>7077</v>
      </c>
    </row>
    <row r="7002" spans="2:5">
      <c r="B7002" s="15" t="s">
        <v>9008</v>
      </c>
      <c r="C7002" s="15" t="s">
        <v>9009</v>
      </c>
      <c r="D7002" s="15" t="s">
        <v>9060</v>
      </c>
      <c r="E7002" s="15" t="s">
        <v>7099</v>
      </c>
    </row>
    <row r="7003" spans="2:5">
      <c r="B7003" s="15" t="s">
        <v>9008</v>
      </c>
      <c r="C7003" s="15" t="s">
        <v>9009</v>
      </c>
      <c r="D7003" s="15" t="s">
        <v>9061</v>
      </c>
      <c r="E7003" s="15" t="s">
        <v>7154</v>
      </c>
    </row>
    <row r="7004" spans="2:5">
      <c r="B7004" s="15" t="s">
        <v>9008</v>
      </c>
      <c r="C7004" s="15" t="s">
        <v>9009</v>
      </c>
      <c r="D7004" s="15" t="s">
        <v>939</v>
      </c>
      <c r="E7004" s="15" t="s">
        <v>9062</v>
      </c>
    </row>
    <row r="7005" spans="2:5">
      <c r="B7005" s="15" t="s">
        <v>9008</v>
      </c>
      <c r="C7005" s="15" t="s">
        <v>9009</v>
      </c>
      <c r="D7005" s="15" t="s">
        <v>9063</v>
      </c>
      <c r="E7005" s="15" t="s">
        <v>8627</v>
      </c>
    </row>
    <row r="7006" spans="2:5">
      <c r="B7006" s="15" t="s">
        <v>9008</v>
      </c>
      <c r="C7006" s="15" t="s">
        <v>9009</v>
      </c>
      <c r="D7006" s="15" t="s">
        <v>9064</v>
      </c>
      <c r="E7006" s="15" t="s">
        <v>6982</v>
      </c>
    </row>
    <row r="7007" spans="2:5">
      <c r="B7007" s="15" t="s">
        <v>9008</v>
      </c>
      <c r="C7007" s="15" t="s">
        <v>9009</v>
      </c>
      <c r="D7007" s="15" t="s">
        <v>9065</v>
      </c>
      <c r="E7007" s="15" t="s">
        <v>8623</v>
      </c>
    </row>
    <row r="7008" spans="2:5">
      <c r="B7008" s="15" t="s">
        <v>9008</v>
      </c>
      <c r="C7008" s="15" t="s">
        <v>9009</v>
      </c>
      <c r="D7008" s="15" t="s">
        <v>9066</v>
      </c>
      <c r="E7008" s="15" t="s">
        <v>9067</v>
      </c>
    </row>
    <row r="7009" spans="2:5">
      <c r="B7009" s="15" t="s">
        <v>9008</v>
      </c>
      <c r="C7009" s="15" t="s">
        <v>9009</v>
      </c>
      <c r="D7009" s="15" t="s">
        <v>9068</v>
      </c>
      <c r="E7009" s="15" t="s">
        <v>9069</v>
      </c>
    </row>
    <row r="7010" spans="2:5">
      <c r="B7010" s="15" t="s">
        <v>9008</v>
      </c>
      <c r="C7010" s="15" t="s">
        <v>9009</v>
      </c>
      <c r="D7010" s="15" t="s">
        <v>9070</v>
      </c>
      <c r="E7010" s="15" t="s">
        <v>9071</v>
      </c>
    </row>
    <row r="7011" spans="2:5">
      <c r="B7011" s="15" t="s">
        <v>9008</v>
      </c>
      <c r="C7011" s="15" t="s">
        <v>9009</v>
      </c>
      <c r="D7011" s="15" t="s">
        <v>941</v>
      </c>
      <c r="E7011" s="15" t="s">
        <v>9072</v>
      </c>
    </row>
    <row r="7012" spans="2:5">
      <c r="B7012" s="15" t="s">
        <v>9008</v>
      </c>
      <c r="C7012" s="15" t="s">
        <v>9009</v>
      </c>
      <c r="D7012" s="15" t="s">
        <v>9073</v>
      </c>
      <c r="E7012" s="15" t="s">
        <v>4196</v>
      </c>
    </row>
    <row r="7013" spans="2:5">
      <c r="B7013" s="15" t="s">
        <v>9008</v>
      </c>
      <c r="C7013" s="15" t="s">
        <v>9009</v>
      </c>
      <c r="D7013" s="15" t="s">
        <v>9074</v>
      </c>
      <c r="E7013" s="15" t="s">
        <v>7176</v>
      </c>
    </row>
    <row r="7014" spans="2:5">
      <c r="B7014" s="15" t="s">
        <v>9008</v>
      </c>
      <c r="C7014" s="15" t="s">
        <v>9009</v>
      </c>
      <c r="D7014" s="15" t="s">
        <v>9075</v>
      </c>
      <c r="E7014" s="15" t="s">
        <v>8631</v>
      </c>
    </row>
    <row r="7015" spans="2:5">
      <c r="B7015" s="15" t="s">
        <v>9008</v>
      </c>
      <c r="C7015" s="15" t="s">
        <v>9009</v>
      </c>
      <c r="D7015" s="15" t="s">
        <v>1007</v>
      </c>
      <c r="E7015" s="15" t="s">
        <v>5366</v>
      </c>
    </row>
    <row r="7016" spans="2:5">
      <c r="B7016" s="15" t="s">
        <v>9008</v>
      </c>
      <c r="C7016" s="15" t="s">
        <v>9009</v>
      </c>
      <c r="D7016" s="15" t="s">
        <v>9076</v>
      </c>
      <c r="E7016" s="15" t="s">
        <v>9077</v>
      </c>
    </row>
    <row r="7017" spans="2:5">
      <c r="B7017" s="15" t="s">
        <v>9008</v>
      </c>
      <c r="C7017" s="15" t="s">
        <v>9009</v>
      </c>
      <c r="D7017" s="15" t="s">
        <v>9078</v>
      </c>
      <c r="E7017" s="15" t="s">
        <v>2519</v>
      </c>
    </row>
    <row r="7018" spans="2:5">
      <c r="B7018" s="15" t="s">
        <v>9008</v>
      </c>
      <c r="C7018" s="15" t="s">
        <v>9009</v>
      </c>
      <c r="D7018" s="15" t="s">
        <v>9079</v>
      </c>
      <c r="E7018" s="15" t="s">
        <v>9080</v>
      </c>
    </row>
    <row r="7019" spans="2:5">
      <c r="B7019" s="15" t="s">
        <v>9008</v>
      </c>
      <c r="C7019" s="15" t="s">
        <v>9009</v>
      </c>
      <c r="D7019" s="15" t="s">
        <v>9081</v>
      </c>
      <c r="E7019" s="15" t="s">
        <v>9082</v>
      </c>
    </row>
    <row r="7020" spans="2:5">
      <c r="B7020" s="15" t="s">
        <v>9008</v>
      </c>
      <c r="C7020" s="15" t="s">
        <v>9009</v>
      </c>
      <c r="D7020" s="15" t="s">
        <v>9083</v>
      </c>
      <c r="E7020" s="15" t="s">
        <v>9084</v>
      </c>
    </row>
    <row r="7021" spans="2:5">
      <c r="B7021" s="15" t="s">
        <v>9008</v>
      </c>
      <c r="C7021" s="15" t="s">
        <v>9009</v>
      </c>
      <c r="D7021" s="15" t="s">
        <v>9085</v>
      </c>
      <c r="E7021" s="15" t="s">
        <v>9086</v>
      </c>
    </row>
    <row r="7022" spans="2:5">
      <c r="B7022" s="15" t="s">
        <v>9008</v>
      </c>
      <c r="C7022" s="15" t="s">
        <v>9009</v>
      </c>
      <c r="D7022" s="15" t="s">
        <v>9087</v>
      </c>
      <c r="E7022" s="15" t="s">
        <v>9088</v>
      </c>
    </row>
    <row r="7023" spans="2:5">
      <c r="B7023" s="15" t="s">
        <v>9008</v>
      </c>
      <c r="C7023" s="15" t="s">
        <v>9009</v>
      </c>
      <c r="D7023" s="15" t="s">
        <v>6376</v>
      </c>
      <c r="E7023" s="15" t="s">
        <v>9089</v>
      </c>
    </row>
    <row r="7024" spans="2:5">
      <c r="B7024" s="15" t="s">
        <v>9008</v>
      </c>
      <c r="C7024" s="15" t="s">
        <v>9009</v>
      </c>
      <c r="D7024" s="15" t="s">
        <v>9090</v>
      </c>
      <c r="E7024" s="15" t="s">
        <v>9091</v>
      </c>
    </row>
    <row r="7025" spans="2:5">
      <c r="B7025" s="15" t="s">
        <v>9008</v>
      </c>
      <c r="C7025" s="15" t="s">
        <v>9009</v>
      </c>
      <c r="D7025" s="15" t="s">
        <v>9092</v>
      </c>
      <c r="E7025" s="15" t="s">
        <v>9093</v>
      </c>
    </row>
    <row r="7026" spans="2:5">
      <c r="B7026" s="15" t="s">
        <v>9008</v>
      </c>
      <c r="C7026" s="15" t="s">
        <v>9009</v>
      </c>
      <c r="D7026" s="15" t="s">
        <v>9094</v>
      </c>
      <c r="E7026" s="15" t="s">
        <v>9095</v>
      </c>
    </row>
    <row r="7027" spans="2:5">
      <c r="B7027" s="15" t="s">
        <v>9008</v>
      </c>
      <c r="C7027" s="15" t="s">
        <v>9009</v>
      </c>
      <c r="D7027" s="15" t="s">
        <v>9096</v>
      </c>
      <c r="E7027" s="15" t="s">
        <v>9097</v>
      </c>
    </row>
    <row r="7028" spans="2:5">
      <c r="B7028" s="15" t="s">
        <v>9008</v>
      </c>
      <c r="C7028" s="15" t="s">
        <v>9009</v>
      </c>
      <c r="D7028" s="15" t="s">
        <v>9098</v>
      </c>
      <c r="E7028" s="15" t="s">
        <v>9099</v>
      </c>
    </row>
    <row r="7029" spans="2:5">
      <c r="B7029" s="15" t="s">
        <v>9008</v>
      </c>
      <c r="C7029" s="15" t="s">
        <v>9009</v>
      </c>
      <c r="D7029" s="15" t="s">
        <v>1139</v>
      </c>
      <c r="E7029" s="15" t="s">
        <v>9100</v>
      </c>
    </row>
    <row r="7030" spans="2:5">
      <c r="B7030" s="15" t="s">
        <v>9008</v>
      </c>
      <c r="C7030" s="15" t="s">
        <v>9009</v>
      </c>
      <c r="D7030" s="15" t="s">
        <v>9101</v>
      </c>
      <c r="E7030" s="15" t="s">
        <v>1901</v>
      </c>
    </row>
    <row r="7031" spans="2:5">
      <c r="B7031" s="15" t="s">
        <v>9008</v>
      </c>
      <c r="C7031" s="15" t="s">
        <v>9009</v>
      </c>
      <c r="D7031" s="15" t="s">
        <v>9102</v>
      </c>
      <c r="E7031" s="15" t="s">
        <v>9103</v>
      </c>
    </row>
    <row r="7032" spans="2:5">
      <c r="B7032" s="15" t="s">
        <v>9008</v>
      </c>
      <c r="C7032" s="15" t="s">
        <v>9009</v>
      </c>
      <c r="D7032" s="15" t="s">
        <v>1140</v>
      </c>
      <c r="E7032" s="15" t="s">
        <v>9104</v>
      </c>
    </row>
    <row r="7033" spans="2:5">
      <c r="B7033" s="15" t="s">
        <v>9008</v>
      </c>
      <c r="C7033" s="15" t="s">
        <v>9009</v>
      </c>
      <c r="D7033" s="15" t="s">
        <v>9105</v>
      </c>
      <c r="E7033" s="15" t="s">
        <v>9106</v>
      </c>
    </row>
    <row r="7034" spans="2:5">
      <c r="B7034" s="15" t="s">
        <v>9008</v>
      </c>
      <c r="C7034" s="15" t="s">
        <v>9009</v>
      </c>
      <c r="D7034" s="15" t="s">
        <v>9107</v>
      </c>
      <c r="E7034" s="15" t="s">
        <v>9108</v>
      </c>
    </row>
    <row r="7035" spans="2:5">
      <c r="B7035" s="15" t="s">
        <v>9008</v>
      </c>
      <c r="C7035" s="15" t="s">
        <v>9009</v>
      </c>
      <c r="D7035" s="15" t="s">
        <v>9109</v>
      </c>
      <c r="E7035" s="15" t="s">
        <v>9110</v>
      </c>
    </row>
    <row r="7036" spans="2:5">
      <c r="B7036" s="15" t="s">
        <v>9008</v>
      </c>
      <c r="C7036" s="15" t="s">
        <v>9009</v>
      </c>
      <c r="D7036" s="15" t="s">
        <v>9111</v>
      </c>
      <c r="E7036" s="15" t="s">
        <v>9112</v>
      </c>
    </row>
    <row r="7037" spans="2:5">
      <c r="B7037" s="15" t="s">
        <v>9008</v>
      </c>
      <c r="C7037" s="15" t="s">
        <v>9009</v>
      </c>
      <c r="D7037" s="15" t="s">
        <v>9113</v>
      </c>
      <c r="E7037" s="15" t="s">
        <v>9114</v>
      </c>
    </row>
    <row r="7038" spans="2:5">
      <c r="B7038" s="15" t="s">
        <v>9008</v>
      </c>
      <c r="C7038" s="15" t="s">
        <v>9009</v>
      </c>
      <c r="D7038" s="15" t="s">
        <v>9115</v>
      </c>
      <c r="E7038" s="15" t="s">
        <v>9116</v>
      </c>
    </row>
    <row r="7039" spans="2:5">
      <c r="B7039" s="15" t="s">
        <v>9008</v>
      </c>
      <c r="C7039" s="15" t="s">
        <v>9009</v>
      </c>
      <c r="D7039" s="15" t="s">
        <v>9117</v>
      </c>
      <c r="E7039" s="15" t="s">
        <v>9118</v>
      </c>
    </row>
    <row r="7040" spans="2:5">
      <c r="B7040" s="15" t="s">
        <v>9008</v>
      </c>
      <c r="C7040" s="15" t="s">
        <v>9009</v>
      </c>
      <c r="D7040" s="15" t="s">
        <v>9119</v>
      </c>
      <c r="E7040" s="15" t="s">
        <v>9120</v>
      </c>
    </row>
    <row r="7041" spans="2:5">
      <c r="B7041" s="15" t="s">
        <v>9008</v>
      </c>
      <c r="C7041" s="15" t="s">
        <v>9009</v>
      </c>
      <c r="D7041" s="15" t="s">
        <v>9121</v>
      </c>
      <c r="E7041" s="15" t="s">
        <v>9122</v>
      </c>
    </row>
    <row r="7042" spans="2:5">
      <c r="B7042" s="15" t="s">
        <v>9008</v>
      </c>
      <c r="C7042" s="15" t="s">
        <v>9009</v>
      </c>
      <c r="D7042" s="15" t="s">
        <v>9123</v>
      </c>
      <c r="E7042" s="15" t="s">
        <v>9124</v>
      </c>
    </row>
    <row r="7043" spans="2:5">
      <c r="B7043" s="15" t="s">
        <v>9008</v>
      </c>
      <c r="C7043" s="15" t="s">
        <v>9009</v>
      </c>
      <c r="D7043" s="15" t="s">
        <v>9125</v>
      </c>
      <c r="E7043" s="15" t="s">
        <v>9126</v>
      </c>
    </row>
    <row r="7044" spans="2:5">
      <c r="B7044" s="15" t="s">
        <v>9008</v>
      </c>
      <c r="C7044" s="15" t="s">
        <v>9009</v>
      </c>
      <c r="D7044" s="15" t="s">
        <v>9127</v>
      </c>
      <c r="E7044" s="15" t="s">
        <v>9128</v>
      </c>
    </row>
    <row r="7045" spans="2:5">
      <c r="B7045" s="15" t="s">
        <v>9008</v>
      </c>
      <c r="C7045" s="15" t="s">
        <v>9009</v>
      </c>
      <c r="D7045" s="15" t="s">
        <v>9129</v>
      </c>
      <c r="E7045" s="15" t="s">
        <v>9130</v>
      </c>
    </row>
    <row r="7046" spans="2:5">
      <c r="B7046" s="15" t="s">
        <v>9008</v>
      </c>
      <c r="C7046" s="15" t="s">
        <v>9009</v>
      </c>
      <c r="D7046" s="15" t="s">
        <v>9131</v>
      </c>
      <c r="E7046" s="15" t="s">
        <v>9132</v>
      </c>
    </row>
    <row r="7047" spans="2:5">
      <c r="B7047" s="15" t="s">
        <v>9008</v>
      </c>
      <c r="C7047" s="15" t="s">
        <v>9009</v>
      </c>
      <c r="D7047" s="15" t="s">
        <v>9133</v>
      </c>
      <c r="E7047" s="15" t="s">
        <v>9134</v>
      </c>
    </row>
    <row r="7048" spans="2:5">
      <c r="B7048" s="15" t="s">
        <v>9008</v>
      </c>
      <c r="C7048" s="15" t="s">
        <v>9009</v>
      </c>
      <c r="D7048" s="15" t="s">
        <v>1141</v>
      </c>
      <c r="E7048" s="15" t="s">
        <v>9135</v>
      </c>
    </row>
    <row r="7049" spans="2:5">
      <c r="B7049" s="15" t="s">
        <v>9008</v>
      </c>
      <c r="C7049" s="15" t="s">
        <v>9009</v>
      </c>
      <c r="D7049" s="15" t="s">
        <v>9136</v>
      </c>
      <c r="E7049" s="15" t="s">
        <v>9137</v>
      </c>
    </row>
    <row r="7050" spans="2:5">
      <c r="B7050" s="15" t="s">
        <v>9008</v>
      </c>
      <c r="C7050" s="15" t="s">
        <v>9009</v>
      </c>
      <c r="D7050" s="15" t="s">
        <v>9138</v>
      </c>
      <c r="E7050" s="15" t="s">
        <v>9139</v>
      </c>
    </row>
    <row r="7051" spans="2:5">
      <c r="B7051" s="15" t="s">
        <v>9008</v>
      </c>
      <c r="C7051" s="15" t="s">
        <v>9009</v>
      </c>
      <c r="D7051" s="15" t="s">
        <v>9140</v>
      </c>
      <c r="E7051" s="15" t="s">
        <v>8860</v>
      </c>
    </row>
    <row r="7052" spans="2:5">
      <c r="B7052" s="15" t="s">
        <v>9008</v>
      </c>
      <c r="C7052" s="15" t="s">
        <v>9009</v>
      </c>
      <c r="D7052" s="15" t="s">
        <v>9141</v>
      </c>
      <c r="E7052" s="15" t="s">
        <v>3806</v>
      </c>
    </row>
    <row r="7053" spans="2:5">
      <c r="B7053" s="15" t="s">
        <v>9008</v>
      </c>
      <c r="C7053" s="15" t="s">
        <v>9009</v>
      </c>
      <c r="D7053" s="15" t="s">
        <v>9142</v>
      </c>
      <c r="E7053" s="15" t="s">
        <v>9143</v>
      </c>
    </row>
    <row r="7054" spans="2:5">
      <c r="B7054" s="15" t="s">
        <v>9008</v>
      </c>
      <c r="C7054" s="15" t="s">
        <v>9009</v>
      </c>
      <c r="D7054" s="15" t="s">
        <v>9144</v>
      </c>
      <c r="E7054" s="15" t="s">
        <v>9145</v>
      </c>
    </row>
    <row r="7055" spans="2:5">
      <c r="B7055" s="15" t="s">
        <v>9008</v>
      </c>
      <c r="C7055" s="15" t="s">
        <v>9009</v>
      </c>
      <c r="D7055" s="15" t="s">
        <v>1143</v>
      </c>
      <c r="E7055" s="15" t="s">
        <v>9146</v>
      </c>
    </row>
    <row r="7056" spans="2:5">
      <c r="B7056" s="15" t="s">
        <v>9008</v>
      </c>
      <c r="C7056" s="15" t="s">
        <v>9009</v>
      </c>
      <c r="D7056" s="15" t="s">
        <v>9147</v>
      </c>
      <c r="E7056" s="15" t="s">
        <v>9148</v>
      </c>
    </row>
    <row r="7057" spans="2:5">
      <c r="B7057" s="15" t="s">
        <v>9008</v>
      </c>
      <c r="C7057" s="15" t="s">
        <v>9009</v>
      </c>
      <c r="D7057" s="15" t="s">
        <v>9149</v>
      </c>
      <c r="E7057" s="15" t="s">
        <v>9150</v>
      </c>
    </row>
    <row r="7058" spans="2:5">
      <c r="B7058" s="15" t="s">
        <v>9008</v>
      </c>
      <c r="C7058" s="15" t="s">
        <v>9009</v>
      </c>
      <c r="D7058" s="15" t="s">
        <v>9151</v>
      </c>
      <c r="E7058" s="15" t="s">
        <v>9152</v>
      </c>
    </row>
    <row r="7059" spans="2:5">
      <c r="B7059" s="15" t="s">
        <v>9008</v>
      </c>
      <c r="C7059" s="15" t="s">
        <v>9009</v>
      </c>
      <c r="D7059" s="15" t="s">
        <v>9153</v>
      </c>
      <c r="E7059" s="15" t="s">
        <v>9154</v>
      </c>
    </row>
    <row r="7060" spans="2:5">
      <c r="B7060" s="15" t="s">
        <v>9008</v>
      </c>
      <c r="C7060" s="15" t="s">
        <v>9009</v>
      </c>
      <c r="D7060" s="15" t="s">
        <v>9155</v>
      </c>
      <c r="E7060" s="15" t="s">
        <v>9156</v>
      </c>
    </row>
    <row r="7061" spans="2:5">
      <c r="B7061" s="15" t="s">
        <v>9008</v>
      </c>
      <c r="C7061" s="15" t="s">
        <v>9009</v>
      </c>
      <c r="D7061" s="15" t="s">
        <v>9157</v>
      </c>
      <c r="E7061" s="15" t="s">
        <v>9158</v>
      </c>
    </row>
    <row r="7062" spans="2:5">
      <c r="B7062" s="15" t="s">
        <v>9008</v>
      </c>
      <c r="C7062" s="15" t="s">
        <v>9009</v>
      </c>
      <c r="D7062" s="15" t="s">
        <v>9159</v>
      </c>
      <c r="E7062" s="15" t="s">
        <v>9160</v>
      </c>
    </row>
    <row r="7063" spans="2:5">
      <c r="B7063" s="15" t="s">
        <v>9008</v>
      </c>
      <c r="C7063" s="15" t="s">
        <v>9009</v>
      </c>
      <c r="D7063" s="15" t="s">
        <v>9161</v>
      </c>
      <c r="E7063" s="15" t="s">
        <v>9162</v>
      </c>
    </row>
    <row r="7064" spans="2:5">
      <c r="B7064" s="15" t="s">
        <v>9008</v>
      </c>
      <c r="C7064" s="15" t="s">
        <v>9009</v>
      </c>
      <c r="D7064" s="15" t="s">
        <v>9163</v>
      </c>
      <c r="E7064" s="15" t="s">
        <v>2191</v>
      </c>
    </row>
    <row r="7065" ht="15.95" spans="2:2">
      <c r="B7065" s="122" t="s">
        <v>9164</v>
      </c>
    </row>
    <row r="7066" spans="2:5">
      <c r="B7066" s="15" t="s">
        <v>9165</v>
      </c>
      <c r="C7066" s="15" t="s">
        <v>9166</v>
      </c>
      <c r="D7066" s="15" t="s">
        <v>933</v>
      </c>
      <c r="E7066" s="15" t="s">
        <v>9167</v>
      </c>
    </row>
    <row r="7067" spans="2:5">
      <c r="B7067" s="15" t="s">
        <v>9165</v>
      </c>
      <c r="C7067" s="15" t="s">
        <v>9166</v>
      </c>
      <c r="D7067" s="15" t="s">
        <v>917</v>
      </c>
      <c r="E7067" s="15" t="s">
        <v>9168</v>
      </c>
    </row>
    <row r="7068" spans="2:5">
      <c r="B7068" s="15" t="s">
        <v>9165</v>
      </c>
      <c r="C7068" s="15" t="s">
        <v>9166</v>
      </c>
      <c r="D7068" s="15" t="s">
        <v>919</v>
      </c>
      <c r="E7068" s="15" t="s">
        <v>9169</v>
      </c>
    </row>
    <row r="7069" spans="2:5">
      <c r="B7069" s="15" t="s">
        <v>9165</v>
      </c>
      <c r="C7069" s="15" t="s">
        <v>9166</v>
      </c>
      <c r="D7069" s="15" t="s">
        <v>937</v>
      </c>
      <c r="E7069" s="15" t="s">
        <v>9170</v>
      </c>
    </row>
    <row r="7070" spans="2:5">
      <c r="B7070" s="15" t="s">
        <v>9165</v>
      </c>
      <c r="C7070" s="15" t="s">
        <v>9166</v>
      </c>
      <c r="D7070" s="15" t="s">
        <v>994</v>
      </c>
      <c r="E7070" s="15" t="s">
        <v>6840</v>
      </c>
    </row>
    <row r="7071" ht="15.95" spans="2:2">
      <c r="B7071" s="122" t="s">
        <v>9171</v>
      </c>
    </row>
    <row r="7072" spans="2:5">
      <c r="B7072" s="15" t="s">
        <v>9172</v>
      </c>
      <c r="C7072" s="15" t="s">
        <v>9173</v>
      </c>
      <c r="D7072" s="15" t="s">
        <v>9174</v>
      </c>
      <c r="E7072" s="15" t="s">
        <v>9175</v>
      </c>
    </row>
    <row r="7073" spans="2:5">
      <c r="B7073" s="15" t="s">
        <v>9172</v>
      </c>
      <c r="C7073" s="15" t="s">
        <v>9173</v>
      </c>
      <c r="D7073" s="15" t="s">
        <v>5446</v>
      </c>
      <c r="E7073" s="15" t="s">
        <v>4439</v>
      </c>
    </row>
    <row r="7074" spans="2:5">
      <c r="B7074" s="15" t="s">
        <v>9172</v>
      </c>
      <c r="C7074" s="15" t="s">
        <v>9173</v>
      </c>
      <c r="D7074" s="15" t="s">
        <v>5447</v>
      </c>
      <c r="E7074" s="15" t="s">
        <v>4441</v>
      </c>
    </row>
    <row r="7075" spans="2:5">
      <c r="B7075" s="15" t="s">
        <v>9172</v>
      </c>
      <c r="C7075" s="15" t="s">
        <v>9173</v>
      </c>
      <c r="D7075" s="15" t="s">
        <v>9176</v>
      </c>
      <c r="E7075" s="15" t="s">
        <v>4808</v>
      </c>
    </row>
    <row r="7076" spans="2:5">
      <c r="B7076" s="15" t="s">
        <v>9172</v>
      </c>
      <c r="C7076" s="15" t="s">
        <v>9173</v>
      </c>
      <c r="D7076" s="15" t="s">
        <v>5448</v>
      </c>
      <c r="E7076" s="15" t="s">
        <v>5449</v>
      </c>
    </row>
    <row r="7077" spans="2:5">
      <c r="B7077" s="15" t="s">
        <v>9172</v>
      </c>
      <c r="C7077" s="15" t="s">
        <v>9173</v>
      </c>
      <c r="D7077" s="15" t="s">
        <v>2644</v>
      </c>
      <c r="E7077" s="15" t="s">
        <v>9177</v>
      </c>
    </row>
    <row r="7078" spans="2:5">
      <c r="B7078" s="15" t="s">
        <v>9172</v>
      </c>
      <c r="C7078" s="15" t="s">
        <v>9173</v>
      </c>
      <c r="D7078" s="15" t="s">
        <v>1605</v>
      </c>
      <c r="E7078" s="15" t="s">
        <v>1605</v>
      </c>
    </row>
    <row r="7079" spans="2:5">
      <c r="B7079" s="15" t="s">
        <v>9172</v>
      </c>
      <c r="C7079" s="15" t="s">
        <v>9173</v>
      </c>
      <c r="D7079" s="15" t="s">
        <v>3769</v>
      </c>
      <c r="E7079" s="15" t="s">
        <v>3770</v>
      </c>
    </row>
    <row r="7080" ht="15.95" spans="2:2">
      <c r="B7080" s="122" t="s">
        <v>9178</v>
      </c>
    </row>
    <row r="7081" spans="2:5">
      <c r="B7081" s="15" t="s">
        <v>9179</v>
      </c>
      <c r="C7081" s="15" t="s">
        <v>9180</v>
      </c>
      <c r="D7081" s="15" t="s">
        <v>917</v>
      </c>
      <c r="E7081" s="15" t="s">
        <v>953</v>
      </c>
    </row>
    <row r="7082" spans="2:5">
      <c r="B7082" s="15" t="s">
        <v>9179</v>
      </c>
      <c r="C7082" s="15" t="s">
        <v>9180</v>
      </c>
      <c r="D7082" s="15" t="s">
        <v>919</v>
      </c>
      <c r="E7082" s="15" t="s">
        <v>954</v>
      </c>
    </row>
    <row r="7083" spans="2:5">
      <c r="B7083" s="15" t="s">
        <v>9179</v>
      </c>
      <c r="C7083" s="15" t="s">
        <v>9180</v>
      </c>
      <c r="D7083" s="15" t="s">
        <v>955</v>
      </c>
      <c r="E7083" s="15" t="s">
        <v>956</v>
      </c>
    </row>
    <row r="7084" ht="15.95" spans="2:2">
      <c r="B7084" s="122" t="s">
        <v>9181</v>
      </c>
    </row>
    <row r="7085" spans="2:5">
      <c r="B7085" s="15" t="s">
        <v>9182</v>
      </c>
      <c r="C7085" s="15" t="s">
        <v>9183</v>
      </c>
      <c r="D7085" s="15" t="s">
        <v>785</v>
      </c>
      <c r="E7085" s="15" t="s">
        <v>2492</v>
      </c>
    </row>
    <row r="7086" spans="2:5">
      <c r="B7086" s="15" t="s">
        <v>9182</v>
      </c>
      <c r="C7086" s="15" t="s">
        <v>9183</v>
      </c>
      <c r="D7086" s="15" t="s">
        <v>787</v>
      </c>
      <c r="E7086" s="15" t="s">
        <v>3311</v>
      </c>
    </row>
    <row r="7087" spans="2:5">
      <c r="B7087" s="15" t="s">
        <v>9182</v>
      </c>
      <c r="C7087" s="15" t="s">
        <v>9183</v>
      </c>
      <c r="D7087" s="15" t="s">
        <v>789</v>
      </c>
      <c r="E7087" s="15" t="s">
        <v>3312</v>
      </c>
    </row>
    <row r="7088" spans="2:5">
      <c r="B7088" s="15" t="s">
        <v>9182</v>
      </c>
      <c r="C7088" s="15" t="s">
        <v>9183</v>
      </c>
      <c r="D7088" s="15" t="s">
        <v>791</v>
      </c>
      <c r="E7088" s="15" t="s">
        <v>3313</v>
      </c>
    </row>
    <row r="7089" spans="2:5">
      <c r="B7089" s="15" t="s">
        <v>9182</v>
      </c>
      <c r="C7089" s="15" t="s">
        <v>9183</v>
      </c>
      <c r="D7089" s="15" t="s">
        <v>793</v>
      </c>
      <c r="E7089" s="15" t="s">
        <v>3314</v>
      </c>
    </row>
    <row r="7090" spans="2:5">
      <c r="B7090" s="15" t="s">
        <v>9182</v>
      </c>
      <c r="C7090" s="15" t="s">
        <v>9183</v>
      </c>
      <c r="D7090" s="15" t="s">
        <v>795</v>
      </c>
      <c r="E7090" s="15" t="s">
        <v>3315</v>
      </c>
    </row>
    <row r="7091" spans="2:5">
      <c r="B7091" s="15" t="s">
        <v>9182</v>
      </c>
      <c r="C7091" s="15" t="s">
        <v>9183</v>
      </c>
      <c r="D7091" s="15" t="s">
        <v>797</v>
      </c>
      <c r="E7091" s="15" t="s">
        <v>3316</v>
      </c>
    </row>
    <row r="7092" spans="2:5">
      <c r="B7092" s="15" t="s">
        <v>9182</v>
      </c>
      <c r="C7092" s="15" t="s">
        <v>9183</v>
      </c>
      <c r="D7092" s="15" t="s">
        <v>805</v>
      </c>
      <c r="E7092" s="15" t="s">
        <v>656</v>
      </c>
    </row>
    <row r="7093" spans="2:5">
      <c r="B7093" s="15" t="s">
        <v>9182</v>
      </c>
      <c r="C7093" s="15" t="s">
        <v>9183</v>
      </c>
      <c r="D7093" s="15" t="s">
        <v>5353</v>
      </c>
      <c r="E7093" s="15" t="s">
        <v>880</v>
      </c>
    </row>
    <row r="7094" spans="2:5">
      <c r="B7094" s="15" t="s">
        <v>9182</v>
      </c>
      <c r="C7094" s="15" t="s">
        <v>9183</v>
      </c>
      <c r="D7094" s="15" t="s">
        <v>3037</v>
      </c>
      <c r="E7094" s="15" t="s">
        <v>3317</v>
      </c>
    </row>
    <row r="7095" spans="2:5">
      <c r="B7095" s="15" t="s">
        <v>9182</v>
      </c>
      <c r="C7095" s="15" t="s">
        <v>9183</v>
      </c>
      <c r="D7095" s="15" t="s">
        <v>2332</v>
      </c>
      <c r="E7095" s="15" t="s">
        <v>3318</v>
      </c>
    </row>
    <row r="7096" spans="2:5">
      <c r="B7096" s="15" t="s">
        <v>9182</v>
      </c>
      <c r="C7096" s="15" t="s">
        <v>9183</v>
      </c>
      <c r="D7096" s="15" t="s">
        <v>2334</v>
      </c>
      <c r="E7096" s="15" t="s">
        <v>3319</v>
      </c>
    </row>
    <row r="7097" spans="2:5">
      <c r="B7097" s="15" t="s">
        <v>9182</v>
      </c>
      <c r="C7097" s="15" t="s">
        <v>9183</v>
      </c>
      <c r="D7097" s="15" t="s">
        <v>4547</v>
      </c>
      <c r="E7097" s="15" t="s">
        <v>3320</v>
      </c>
    </row>
    <row r="7098" ht="15.95" spans="2:2">
      <c r="B7098" s="122" t="s">
        <v>9184</v>
      </c>
    </row>
    <row r="7099" spans="2:5">
      <c r="B7099" s="15" t="s">
        <v>9185</v>
      </c>
      <c r="C7099" s="15" t="s">
        <v>9186</v>
      </c>
      <c r="D7099" s="15" t="s">
        <v>635</v>
      </c>
      <c r="E7099" s="15" t="s">
        <v>9187</v>
      </c>
    </row>
    <row r="7100" spans="2:5">
      <c r="B7100" s="15" t="s">
        <v>9185</v>
      </c>
      <c r="C7100" s="15" t="s">
        <v>9186</v>
      </c>
      <c r="D7100" s="15" t="s">
        <v>659</v>
      </c>
      <c r="E7100" s="15" t="s">
        <v>9188</v>
      </c>
    </row>
    <row r="7101" spans="2:5">
      <c r="B7101" s="15" t="s">
        <v>9185</v>
      </c>
      <c r="C7101" s="15" t="s">
        <v>9186</v>
      </c>
      <c r="D7101" s="15" t="s">
        <v>679</v>
      </c>
      <c r="E7101" s="15" t="s">
        <v>9189</v>
      </c>
    </row>
    <row r="7102" ht="15.95" spans="2:2">
      <c r="B7102" s="122" t="s">
        <v>9190</v>
      </c>
    </row>
    <row r="7103" spans="2:5">
      <c r="B7103" s="15" t="s">
        <v>9191</v>
      </c>
      <c r="C7103" s="15" t="s">
        <v>9192</v>
      </c>
      <c r="D7103" s="15" t="s">
        <v>1432</v>
      </c>
      <c r="E7103" s="15" t="s">
        <v>9193</v>
      </c>
    </row>
    <row r="7104" spans="2:5">
      <c r="B7104" s="15" t="s">
        <v>9191</v>
      </c>
      <c r="C7104" s="15" t="s">
        <v>9192</v>
      </c>
      <c r="D7104" s="15" t="s">
        <v>723</v>
      </c>
      <c r="E7104" s="15" t="s">
        <v>9194</v>
      </c>
    </row>
    <row r="7105" ht="15.95" spans="2:2">
      <c r="B7105" s="122" t="s">
        <v>9195</v>
      </c>
    </row>
    <row r="7106" spans="2:5">
      <c r="B7106" s="15" t="s">
        <v>9196</v>
      </c>
      <c r="C7106" s="15" t="s">
        <v>9196</v>
      </c>
      <c r="D7106" s="15" t="s">
        <v>770</v>
      </c>
      <c r="E7106" s="15" t="s">
        <v>9197</v>
      </c>
    </row>
    <row r="7107" spans="2:5">
      <c r="B7107" s="15" t="s">
        <v>9196</v>
      </c>
      <c r="C7107" s="15" t="s">
        <v>9196</v>
      </c>
      <c r="D7107" s="15" t="s">
        <v>772</v>
      </c>
      <c r="E7107" s="15" t="s">
        <v>9198</v>
      </c>
    </row>
    <row r="7108" spans="2:5">
      <c r="B7108" s="15" t="s">
        <v>9196</v>
      </c>
      <c r="C7108" s="15" t="s">
        <v>9196</v>
      </c>
      <c r="D7108" s="15" t="s">
        <v>774</v>
      </c>
      <c r="E7108" s="15" t="s">
        <v>9199</v>
      </c>
    </row>
    <row r="7109" spans="2:5">
      <c r="B7109" s="15" t="s">
        <v>9196</v>
      </c>
      <c r="C7109" s="15" t="s">
        <v>9196</v>
      </c>
      <c r="D7109" s="15" t="s">
        <v>828</v>
      </c>
      <c r="E7109" s="15" t="s">
        <v>9200</v>
      </c>
    </row>
    <row r="7110" spans="2:5">
      <c r="B7110" s="15" t="s">
        <v>9196</v>
      </c>
      <c r="C7110" s="15" t="s">
        <v>9196</v>
      </c>
      <c r="D7110" s="15" t="s">
        <v>901</v>
      </c>
      <c r="E7110" s="15" t="s">
        <v>9201</v>
      </c>
    </row>
    <row r="7111" ht="15.95" spans="2:2">
      <c r="B7111" s="122" t="s">
        <v>9202</v>
      </c>
    </row>
    <row r="7112" spans="2:5">
      <c r="B7112" s="15" t="s">
        <v>9203</v>
      </c>
      <c r="C7112" s="15" t="s">
        <v>9204</v>
      </c>
      <c r="D7112" s="15" t="s">
        <v>635</v>
      </c>
      <c r="E7112" s="15" t="s">
        <v>8875</v>
      </c>
    </row>
    <row r="7113" spans="2:5">
      <c r="B7113" s="15" t="s">
        <v>9203</v>
      </c>
      <c r="C7113" s="15" t="s">
        <v>9204</v>
      </c>
      <c r="D7113" s="15" t="s">
        <v>659</v>
      </c>
      <c r="E7113" s="15" t="s">
        <v>9205</v>
      </c>
    </row>
    <row r="7114" spans="2:5">
      <c r="B7114" s="15" t="s">
        <v>9203</v>
      </c>
      <c r="C7114" s="15" t="s">
        <v>9204</v>
      </c>
      <c r="D7114" s="15" t="s">
        <v>679</v>
      </c>
      <c r="E7114" s="15" t="s">
        <v>9206</v>
      </c>
    </row>
    <row r="7115" spans="2:5">
      <c r="B7115" s="15" t="s">
        <v>9203</v>
      </c>
      <c r="C7115" s="15" t="s">
        <v>9204</v>
      </c>
      <c r="D7115" s="15" t="s">
        <v>705</v>
      </c>
      <c r="E7115" s="15" t="s">
        <v>9207</v>
      </c>
    </row>
    <row r="7116" spans="2:5">
      <c r="B7116" s="15" t="s">
        <v>9203</v>
      </c>
      <c r="C7116" s="15" t="s">
        <v>9204</v>
      </c>
      <c r="D7116" s="15" t="s">
        <v>844</v>
      </c>
      <c r="E7116" s="15" t="s">
        <v>8879</v>
      </c>
    </row>
    <row r="7117" ht="15.95" spans="2:2">
      <c r="B7117" s="122" t="s">
        <v>9208</v>
      </c>
    </row>
    <row r="7118" spans="2:5">
      <c r="B7118" s="15" t="s">
        <v>9209</v>
      </c>
      <c r="C7118" s="15" t="s">
        <v>4158</v>
      </c>
      <c r="D7118" s="15" t="s">
        <v>770</v>
      </c>
      <c r="E7118" s="15" t="s">
        <v>5306</v>
      </c>
    </row>
    <row r="7119" spans="2:5">
      <c r="B7119" s="15" t="s">
        <v>9209</v>
      </c>
      <c r="C7119" s="15" t="s">
        <v>4158</v>
      </c>
      <c r="D7119" s="15" t="s">
        <v>772</v>
      </c>
      <c r="E7119" s="15" t="s">
        <v>5312</v>
      </c>
    </row>
    <row r="7120" ht="15.95" spans="2:2">
      <c r="B7120" s="122" t="s">
        <v>9210</v>
      </c>
    </row>
    <row r="7121" spans="2:5">
      <c r="B7121" s="15" t="s">
        <v>9211</v>
      </c>
      <c r="C7121" s="15" t="s">
        <v>9211</v>
      </c>
      <c r="D7121" s="15" t="s">
        <v>723</v>
      </c>
      <c r="E7121" s="15" t="s">
        <v>2394</v>
      </c>
    </row>
    <row r="7122" spans="2:5">
      <c r="B7122" s="15" t="s">
        <v>9211</v>
      </c>
      <c r="C7122" s="15" t="s">
        <v>9211</v>
      </c>
      <c r="D7122" s="15" t="s">
        <v>725</v>
      </c>
      <c r="E7122" s="15" t="s">
        <v>2395</v>
      </c>
    </row>
    <row r="7123" spans="2:5">
      <c r="B7123" s="15" t="s">
        <v>9211</v>
      </c>
      <c r="C7123" s="15" t="s">
        <v>9211</v>
      </c>
      <c r="D7123" s="15" t="s">
        <v>727</v>
      </c>
      <c r="E7123" s="15" t="s">
        <v>9212</v>
      </c>
    </row>
    <row r="7124" spans="2:5">
      <c r="B7124" s="15" t="s">
        <v>9211</v>
      </c>
      <c r="C7124" s="15" t="s">
        <v>9211</v>
      </c>
      <c r="D7124" s="15" t="s">
        <v>729</v>
      </c>
      <c r="E7124" s="15" t="s">
        <v>3334</v>
      </c>
    </row>
    <row r="7125" spans="2:5">
      <c r="B7125" s="15" t="s">
        <v>9211</v>
      </c>
      <c r="C7125" s="15" t="s">
        <v>9211</v>
      </c>
      <c r="D7125" s="15" t="s">
        <v>760</v>
      </c>
      <c r="E7125" s="15" t="s">
        <v>9213</v>
      </c>
    </row>
    <row r="7126" spans="2:5">
      <c r="B7126" s="15" t="s">
        <v>9211</v>
      </c>
      <c r="C7126" s="15" t="s">
        <v>9211</v>
      </c>
      <c r="D7126" s="15" t="s">
        <v>762</v>
      </c>
      <c r="E7126" s="15" t="s">
        <v>3335</v>
      </c>
    </row>
    <row r="7127" ht="15.95" spans="2:2">
      <c r="B7127" s="122" t="s">
        <v>9214</v>
      </c>
    </row>
    <row r="7128" spans="2:5">
      <c r="B7128" s="15" t="s">
        <v>9215</v>
      </c>
      <c r="C7128" s="15" t="s">
        <v>9216</v>
      </c>
      <c r="D7128" s="15" t="s">
        <v>3585</v>
      </c>
      <c r="E7128" s="15" t="s">
        <v>953</v>
      </c>
    </row>
    <row r="7129" spans="2:5">
      <c r="B7129" s="15" t="s">
        <v>9215</v>
      </c>
      <c r="C7129" s="15" t="s">
        <v>9216</v>
      </c>
      <c r="D7129" s="15" t="s">
        <v>635</v>
      </c>
      <c r="E7129" s="15" t="s">
        <v>9217</v>
      </c>
    </row>
    <row r="7130" spans="2:5">
      <c r="B7130" s="15" t="s">
        <v>9215</v>
      </c>
      <c r="C7130" s="15" t="s">
        <v>9216</v>
      </c>
      <c r="D7130" s="15" t="s">
        <v>659</v>
      </c>
      <c r="E7130" s="15" t="s">
        <v>2977</v>
      </c>
    </row>
    <row r="7131" spans="2:5">
      <c r="B7131" s="15" t="s">
        <v>9215</v>
      </c>
      <c r="C7131" s="15" t="s">
        <v>9216</v>
      </c>
      <c r="D7131" s="15" t="s">
        <v>679</v>
      </c>
      <c r="E7131" s="15" t="s">
        <v>9218</v>
      </c>
    </row>
    <row r="7132" ht="15.95" spans="2:2">
      <c r="B7132" s="122" t="s">
        <v>9219</v>
      </c>
    </row>
    <row r="7133" spans="2:5">
      <c r="B7133" s="15" t="s">
        <v>9220</v>
      </c>
      <c r="C7133" s="15" t="s">
        <v>2570</v>
      </c>
      <c r="D7133" s="15" t="s">
        <v>1267</v>
      </c>
      <c r="E7133" s="15" t="s">
        <v>1268</v>
      </c>
    </row>
    <row r="7134" spans="2:5">
      <c r="B7134" s="15" t="s">
        <v>9220</v>
      </c>
      <c r="C7134" s="15" t="s">
        <v>2570</v>
      </c>
      <c r="D7134" s="15" t="s">
        <v>1269</v>
      </c>
      <c r="E7134" s="15" t="s">
        <v>1270</v>
      </c>
    </row>
    <row r="7135" spans="2:5">
      <c r="B7135" s="15" t="s">
        <v>9220</v>
      </c>
      <c r="C7135" s="15" t="s">
        <v>2570</v>
      </c>
      <c r="D7135" s="15" t="s">
        <v>1919</v>
      </c>
      <c r="E7135" s="15" t="s">
        <v>1920</v>
      </c>
    </row>
    <row r="7136" ht="15.95" spans="2:2">
      <c r="B7136" s="122" t="s">
        <v>9221</v>
      </c>
    </row>
    <row r="7137" spans="2:5">
      <c r="B7137" s="15" t="s">
        <v>9222</v>
      </c>
      <c r="C7137" s="15" t="s">
        <v>9222</v>
      </c>
      <c r="D7137" s="15" t="s">
        <v>723</v>
      </c>
      <c r="E7137" s="15" t="s">
        <v>9223</v>
      </c>
    </row>
    <row r="7138" spans="2:5">
      <c r="B7138" s="15" t="s">
        <v>9222</v>
      </c>
      <c r="C7138" s="15" t="s">
        <v>9222</v>
      </c>
      <c r="D7138" s="15" t="s">
        <v>725</v>
      </c>
      <c r="E7138" s="15" t="s">
        <v>862</v>
      </c>
    </row>
    <row r="7139" ht="15.95" spans="2:2">
      <c r="B7139" s="122" t="s">
        <v>9224</v>
      </c>
    </row>
    <row r="7140" spans="2:5">
      <c r="B7140" s="15" t="s">
        <v>9225</v>
      </c>
      <c r="C7140" s="15" t="s">
        <v>9226</v>
      </c>
      <c r="D7140" s="15" t="s">
        <v>1057</v>
      </c>
      <c r="E7140" s="15" t="s">
        <v>9227</v>
      </c>
    </row>
    <row r="7141" spans="2:5">
      <c r="B7141" s="15" t="s">
        <v>9225</v>
      </c>
      <c r="C7141" s="15" t="s">
        <v>9226</v>
      </c>
      <c r="D7141" s="15" t="s">
        <v>933</v>
      </c>
      <c r="E7141" s="15" t="s">
        <v>9228</v>
      </c>
    </row>
    <row r="7142" spans="2:5">
      <c r="B7142" s="15" t="s">
        <v>9225</v>
      </c>
      <c r="C7142" s="15" t="s">
        <v>9226</v>
      </c>
      <c r="D7142" s="15" t="s">
        <v>917</v>
      </c>
      <c r="E7142" s="15" t="s">
        <v>9229</v>
      </c>
    </row>
    <row r="7143" spans="2:5">
      <c r="B7143" s="15" t="s">
        <v>9225</v>
      </c>
      <c r="C7143" s="15" t="s">
        <v>9226</v>
      </c>
      <c r="D7143" s="15" t="s">
        <v>9230</v>
      </c>
      <c r="E7143" s="15" t="s">
        <v>9231</v>
      </c>
    </row>
    <row r="7144" spans="2:5">
      <c r="B7144" s="15" t="s">
        <v>9225</v>
      </c>
      <c r="C7144" s="15" t="s">
        <v>9226</v>
      </c>
      <c r="D7144" s="15" t="s">
        <v>9232</v>
      </c>
      <c r="E7144" s="15" t="s">
        <v>4439</v>
      </c>
    </row>
    <row r="7145" spans="2:5">
      <c r="B7145" s="15" t="s">
        <v>9225</v>
      </c>
      <c r="C7145" s="15" t="s">
        <v>9226</v>
      </c>
      <c r="D7145" s="15" t="s">
        <v>919</v>
      </c>
      <c r="E7145" s="15" t="s">
        <v>9233</v>
      </c>
    </row>
    <row r="7146" spans="2:5">
      <c r="B7146" s="15" t="s">
        <v>9225</v>
      </c>
      <c r="C7146" s="15" t="s">
        <v>9226</v>
      </c>
      <c r="D7146" s="15" t="s">
        <v>9234</v>
      </c>
      <c r="E7146" s="15" t="s">
        <v>9235</v>
      </c>
    </row>
    <row r="7147" spans="2:5">
      <c r="B7147" s="15" t="s">
        <v>9225</v>
      </c>
      <c r="C7147" s="15" t="s">
        <v>9226</v>
      </c>
      <c r="D7147" s="15" t="s">
        <v>9236</v>
      </c>
      <c r="E7147" s="15" t="s">
        <v>71</v>
      </c>
    </row>
    <row r="7148" spans="2:5">
      <c r="B7148" s="15" t="s">
        <v>9225</v>
      </c>
      <c r="C7148" s="15" t="s">
        <v>9226</v>
      </c>
      <c r="D7148" s="15" t="s">
        <v>1091</v>
      </c>
      <c r="E7148" s="15" t="s">
        <v>9237</v>
      </c>
    </row>
    <row r="7149" spans="2:5">
      <c r="B7149" s="15" t="s">
        <v>9225</v>
      </c>
      <c r="C7149" s="15" t="s">
        <v>9226</v>
      </c>
      <c r="D7149" s="15" t="s">
        <v>9238</v>
      </c>
      <c r="E7149" s="15" t="s">
        <v>9239</v>
      </c>
    </row>
    <row r="7150" spans="2:5">
      <c r="B7150" s="15" t="s">
        <v>9225</v>
      </c>
      <c r="C7150" s="15" t="s">
        <v>9226</v>
      </c>
      <c r="D7150" s="15" t="s">
        <v>9240</v>
      </c>
      <c r="E7150" s="15" t="s">
        <v>9241</v>
      </c>
    </row>
    <row r="7151" spans="2:5">
      <c r="B7151" s="15" t="s">
        <v>9225</v>
      </c>
      <c r="C7151" s="15" t="s">
        <v>9226</v>
      </c>
      <c r="D7151" s="15" t="s">
        <v>923</v>
      </c>
      <c r="E7151" s="15" t="s">
        <v>3016</v>
      </c>
    </row>
    <row r="7152" spans="2:5">
      <c r="B7152" s="15" t="s">
        <v>9225</v>
      </c>
      <c r="C7152" s="15" t="s">
        <v>9226</v>
      </c>
      <c r="D7152" s="15" t="s">
        <v>9242</v>
      </c>
      <c r="E7152" s="15" t="s">
        <v>9243</v>
      </c>
    </row>
    <row r="7153" spans="2:5">
      <c r="B7153" s="15" t="s">
        <v>9225</v>
      </c>
      <c r="C7153" s="15" t="s">
        <v>9226</v>
      </c>
      <c r="D7153" s="15" t="s">
        <v>9244</v>
      </c>
      <c r="E7153" s="15" t="s">
        <v>9245</v>
      </c>
    </row>
    <row r="7154" spans="2:5">
      <c r="B7154" s="15" t="s">
        <v>9225</v>
      </c>
      <c r="C7154" s="15" t="s">
        <v>9226</v>
      </c>
      <c r="D7154" s="15" t="s">
        <v>937</v>
      </c>
      <c r="E7154" s="15" t="s">
        <v>9246</v>
      </c>
    </row>
    <row r="7155" spans="2:5">
      <c r="B7155" s="15" t="s">
        <v>9225</v>
      </c>
      <c r="C7155" s="15" t="s">
        <v>9226</v>
      </c>
      <c r="D7155" s="15" t="s">
        <v>9247</v>
      </c>
      <c r="E7155" s="15" t="s">
        <v>9248</v>
      </c>
    </row>
    <row r="7156" spans="2:5">
      <c r="B7156" s="15" t="s">
        <v>9225</v>
      </c>
      <c r="C7156" s="15" t="s">
        <v>9226</v>
      </c>
      <c r="D7156" s="15" t="s">
        <v>9249</v>
      </c>
      <c r="E7156" s="15" t="s">
        <v>9250</v>
      </c>
    </row>
    <row r="7157" spans="2:5">
      <c r="B7157" s="15" t="s">
        <v>9225</v>
      </c>
      <c r="C7157" s="15" t="s">
        <v>9226</v>
      </c>
      <c r="D7157" s="15" t="s">
        <v>941</v>
      </c>
      <c r="E7157" s="15" t="s">
        <v>9251</v>
      </c>
    </row>
    <row r="7158" spans="2:5">
      <c r="B7158" s="15" t="s">
        <v>9225</v>
      </c>
      <c r="C7158" s="15" t="s">
        <v>9226</v>
      </c>
      <c r="D7158" s="15" t="s">
        <v>1001</v>
      </c>
      <c r="E7158" s="15" t="s">
        <v>9252</v>
      </c>
    </row>
    <row r="7159" spans="2:5">
      <c r="B7159" s="15" t="s">
        <v>9225</v>
      </c>
      <c r="C7159" s="15" t="s">
        <v>9226</v>
      </c>
      <c r="D7159" s="15" t="s">
        <v>9253</v>
      </c>
      <c r="E7159" s="15" t="s">
        <v>9254</v>
      </c>
    </row>
    <row r="7160" spans="2:5">
      <c r="B7160" s="15" t="s">
        <v>9225</v>
      </c>
      <c r="C7160" s="15" t="s">
        <v>9226</v>
      </c>
      <c r="D7160" s="15" t="s">
        <v>9255</v>
      </c>
      <c r="E7160" s="15" t="s">
        <v>9256</v>
      </c>
    </row>
    <row r="7161" spans="2:5">
      <c r="B7161" s="15" t="s">
        <v>9225</v>
      </c>
      <c r="C7161" s="15" t="s">
        <v>9226</v>
      </c>
      <c r="D7161" s="15" t="s">
        <v>9257</v>
      </c>
      <c r="E7161" s="15" t="s">
        <v>9258</v>
      </c>
    </row>
    <row r="7162" spans="2:5">
      <c r="B7162" s="15" t="s">
        <v>9225</v>
      </c>
      <c r="C7162" s="15" t="s">
        <v>9226</v>
      </c>
      <c r="D7162" s="15" t="s">
        <v>9259</v>
      </c>
      <c r="E7162" s="15" t="s">
        <v>9260</v>
      </c>
    </row>
    <row r="7163" spans="2:5">
      <c r="B7163" s="15" t="s">
        <v>9225</v>
      </c>
      <c r="C7163" s="15" t="s">
        <v>9226</v>
      </c>
      <c r="D7163" s="15" t="s">
        <v>9261</v>
      </c>
      <c r="E7163" s="15" t="s">
        <v>9262</v>
      </c>
    </row>
    <row r="7164" spans="2:5">
      <c r="B7164" s="15" t="s">
        <v>9225</v>
      </c>
      <c r="C7164" s="15" t="s">
        <v>9226</v>
      </c>
      <c r="D7164" s="15" t="s">
        <v>9263</v>
      </c>
      <c r="E7164" s="15" t="s">
        <v>9264</v>
      </c>
    </row>
    <row r="7165" spans="2:5">
      <c r="B7165" s="15" t="s">
        <v>9225</v>
      </c>
      <c r="C7165" s="15" t="s">
        <v>9226</v>
      </c>
      <c r="D7165" s="15" t="s">
        <v>9265</v>
      </c>
      <c r="E7165" s="15" t="s">
        <v>9264</v>
      </c>
    </row>
    <row r="7166" spans="2:5">
      <c r="B7166" s="15" t="s">
        <v>9225</v>
      </c>
      <c r="C7166" s="15" t="s">
        <v>9226</v>
      </c>
      <c r="D7166" s="15" t="s">
        <v>9266</v>
      </c>
      <c r="E7166" s="15" t="s">
        <v>9267</v>
      </c>
    </row>
    <row r="7167" spans="2:5">
      <c r="B7167" s="15" t="s">
        <v>9225</v>
      </c>
      <c r="C7167" s="15" t="s">
        <v>9226</v>
      </c>
      <c r="D7167" s="15" t="s">
        <v>9268</v>
      </c>
      <c r="E7167" s="15" t="s">
        <v>9269</v>
      </c>
    </row>
    <row r="7168" spans="2:5">
      <c r="B7168" s="15" t="s">
        <v>9225</v>
      </c>
      <c r="C7168" s="15" t="s">
        <v>9226</v>
      </c>
      <c r="D7168" s="15" t="s">
        <v>9270</v>
      </c>
      <c r="E7168" s="15" t="s">
        <v>9271</v>
      </c>
    </row>
    <row r="7169" spans="2:5">
      <c r="B7169" s="15" t="s">
        <v>9225</v>
      </c>
      <c r="C7169" s="15" t="s">
        <v>9226</v>
      </c>
      <c r="D7169" s="15" t="s">
        <v>9272</v>
      </c>
      <c r="E7169" s="15" t="s">
        <v>9271</v>
      </c>
    </row>
    <row r="7170" spans="2:5">
      <c r="B7170" s="15" t="s">
        <v>9225</v>
      </c>
      <c r="C7170" s="15" t="s">
        <v>9226</v>
      </c>
      <c r="D7170" s="15" t="s">
        <v>9273</v>
      </c>
      <c r="E7170" s="15" t="s">
        <v>9274</v>
      </c>
    </row>
    <row r="7171" spans="2:5">
      <c r="B7171" s="15" t="s">
        <v>9225</v>
      </c>
      <c r="C7171" s="15" t="s">
        <v>9226</v>
      </c>
      <c r="D7171" s="15" t="s">
        <v>9275</v>
      </c>
      <c r="E7171" s="15" t="s">
        <v>9276</v>
      </c>
    </row>
    <row r="7172" spans="2:5">
      <c r="B7172" s="15" t="s">
        <v>9225</v>
      </c>
      <c r="C7172" s="15" t="s">
        <v>9226</v>
      </c>
      <c r="D7172" s="15" t="s">
        <v>9277</v>
      </c>
      <c r="E7172" s="15" t="s">
        <v>6599</v>
      </c>
    </row>
    <row r="7173" spans="2:5">
      <c r="B7173" s="15" t="s">
        <v>9225</v>
      </c>
      <c r="C7173" s="15" t="s">
        <v>9226</v>
      </c>
      <c r="D7173" s="15" t="s">
        <v>9278</v>
      </c>
      <c r="E7173" s="15" t="s">
        <v>9279</v>
      </c>
    </row>
    <row r="7174" spans="2:5">
      <c r="B7174" s="15" t="s">
        <v>9225</v>
      </c>
      <c r="C7174" s="15" t="s">
        <v>9226</v>
      </c>
      <c r="D7174" s="15" t="s">
        <v>9280</v>
      </c>
      <c r="E7174" s="15" t="s">
        <v>9281</v>
      </c>
    </row>
    <row r="7175" spans="2:5">
      <c r="B7175" s="15" t="s">
        <v>9225</v>
      </c>
      <c r="C7175" s="15" t="s">
        <v>9226</v>
      </c>
      <c r="D7175" s="15" t="s">
        <v>9282</v>
      </c>
      <c r="E7175" s="15" t="s">
        <v>9283</v>
      </c>
    </row>
    <row r="7176" spans="2:5">
      <c r="B7176" s="15" t="s">
        <v>9225</v>
      </c>
      <c r="C7176" s="15" t="s">
        <v>9226</v>
      </c>
      <c r="D7176" s="15" t="s">
        <v>1003</v>
      </c>
      <c r="E7176" s="15" t="s">
        <v>9284</v>
      </c>
    </row>
    <row r="7177" spans="2:5">
      <c r="B7177" s="15" t="s">
        <v>9225</v>
      </c>
      <c r="C7177" s="15" t="s">
        <v>9226</v>
      </c>
      <c r="D7177" s="15" t="s">
        <v>9285</v>
      </c>
      <c r="E7177" s="15" t="s">
        <v>9286</v>
      </c>
    </row>
    <row r="7178" spans="2:5">
      <c r="B7178" s="15" t="s">
        <v>9225</v>
      </c>
      <c r="C7178" s="15" t="s">
        <v>9226</v>
      </c>
      <c r="D7178" s="15" t="s">
        <v>9287</v>
      </c>
      <c r="E7178" s="15" t="s">
        <v>9288</v>
      </c>
    </row>
    <row r="7179" spans="2:5">
      <c r="B7179" s="15" t="s">
        <v>9225</v>
      </c>
      <c r="C7179" s="15" t="s">
        <v>9226</v>
      </c>
      <c r="D7179" s="15" t="s">
        <v>9289</v>
      </c>
      <c r="E7179" s="15" t="s">
        <v>9290</v>
      </c>
    </row>
    <row r="7180" spans="2:5">
      <c r="B7180" s="15" t="s">
        <v>9225</v>
      </c>
      <c r="C7180" s="15" t="s">
        <v>9226</v>
      </c>
      <c r="D7180" s="15" t="s">
        <v>9291</v>
      </c>
      <c r="E7180" s="15" t="s">
        <v>9292</v>
      </c>
    </row>
    <row r="7181" ht="15.95" spans="2:2">
      <c r="B7181" s="122" t="s">
        <v>9293</v>
      </c>
    </row>
    <row r="7182" spans="2:5">
      <c r="B7182" s="15" t="s">
        <v>9294</v>
      </c>
      <c r="C7182" s="15" t="s">
        <v>9295</v>
      </c>
      <c r="D7182" s="15" t="s">
        <v>1432</v>
      </c>
      <c r="E7182" s="15" t="s">
        <v>9296</v>
      </c>
    </row>
    <row r="7183" spans="2:5">
      <c r="B7183" s="15" t="s">
        <v>9294</v>
      </c>
      <c r="C7183" s="15" t="s">
        <v>9295</v>
      </c>
      <c r="D7183" s="15" t="s">
        <v>723</v>
      </c>
      <c r="E7183" s="15" t="s">
        <v>9297</v>
      </c>
    </row>
    <row r="7184" ht="15.95" spans="2:2">
      <c r="B7184" s="122" t="s">
        <v>9298</v>
      </c>
    </row>
    <row r="7185" spans="2:5">
      <c r="B7185" s="15" t="s">
        <v>9299</v>
      </c>
      <c r="C7185" s="15" t="s">
        <v>9300</v>
      </c>
      <c r="D7185" s="15" t="s">
        <v>1432</v>
      </c>
      <c r="E7185" s="15" t="s">
        <v>9301</v>
      </c>
    </row>
    <row r="7186" spans="2:5">
      <c r="B7186" s="15" t="s">
        <v>9299</v>
      </c>
      <c r="C7186" s="15" t="s">
        <v>9300</v>
      </c>
      <c r="D7186" s="15" t="s">
        <v>723</v>
      </c>
      <c r="E7186" s="15" t="s">
        <v>9302</v>
      </c>
    </row>
    <row r="7187" ht="15.95" spans="2:2">
      <c r="B7187" s="122" t="s">
        <v>9303</v>
      </c>
    </row>
    <row r="7188" spans="2:5">
      <c r="B7188" s="15" t="s">
        <v>9304</v>
      </c>
      <c r="C7188" s="15" t="s">
        <v>9305</v>
      </c>
      <c r="D7188" s="15" t="s">
        <v>723</v>
      </c>
      <c r="E7188" s="15" t="s">
        <v>9306</v>
      </c>
    </row>
    <row r="7189" spans="2:5">
      <c r="B7189" s="15" t="s">
        <v>9304</v>
      </c>
      <c r="C7189" s="15" t="s">
        <v>9305</v>
      </c>
      <c r="D7189" s="15" t="s">
        <v>725</v>
      </c>
      <c r="E7189" s="15" t="s">
        <v>9307</v>
      </c>
    </row>
    <row r="7190" spans="2:5">
      <c r="B7190" s="15" t="s">
        <v>9304</v>
      </c>
      <c r="C7190" s="15" t="s">
        <v>9305</v>
      </c>
      <c r="D7190" s="15" t="s">
        <v>727</v>
      </c>
      <c r="E7190" s="15" t="s">
        <v>5652</v>
      </c>
    </row>
    <row r="7191" ht="15.95" spans="2:2">
      <c r="B7191" s="122" t="s">
        <v>9308</v>
      </c>
    </row>
    <row r="7192" spans="2:5">
      <c r="B7192" s="15" t="s">
        <v>9309</v>
      </c>
      <c r="C7192" s="15" t="s">
        <v>896</v>
      </c>
      <c r="D7192" s="15" t="s">
        <v>770</v>
      </c>
      <c r="E7192" s="15" t="s">
        <v>2344</v>
      </c>
    </row>
    <row r="7193" spans="2:5">
      <c r="B7193" s="15" t="s">
        <v>9309</v>
      </c>
      <c r="C7193" s="15" t="s">
        <v>896</v>
      </c>
      <c r="D7193" s="15" t="s">
        <v>772</v>
      </c>
      <c r="E7193" s="15" t="s">
        <v>2343</v>
      </c>
    </row>
    <row r="7194" spans="2:5">
      <c r="B7194" s="15" t="s">
        <v>9309</v>
      </c>
      <c r="C7194" s="15" t="s">
        <v>896</v>
      </c>
      <c r="D7194" s="15" t="s">
        <v>774</v>
      </c>
      <c r="E7194" s="15" t="s">
        <v>9310</v>
      </c>
    </row>
    <row r="7195" spans="2:5">
      <c r="B7195" s="15" t="s">
        <v>9309</v>
      </c>
      <c r="C7195" s="15" t="s">
        <v>896</v>
      </c>
      <c r="D7195" s="15" t="s">
        <v>828</v>
      </c>
      <c r="E7195" s="15" t="s">
        <v>948</v>
      </c>
    </row>
    <row r="7196" ht="15.95" spans="2:2">
      <c r="B7196" s="122" t="s">
        <v>9311</v>
      </c>
    </row>
    <row r="7197" spans="2:5">
      <c r="B7197" s="15" t="s">
        <v>9312</v>
      </c>
      <c r="C7197" s="15" t="s">
        <v>5599</v>
      </c>
      <c r="D7197" s="15" t="s">
        <v>635</v>
      </c>
      <c r="E7197" s="15" t="s">
        <v>5875</v>
      </c>
    </row>
    <row r="7198" spans="2:5">
      <c r="B7198" s="15" t="s">
        <v>9312</v>
      </c>
      <c r="C7198" s="15" t="s">
        <v>5599</v>
      </c>
      <c r="D7198" s="15" t="s">
        <v>659</v>
      </c>
      <c r="E7198" s="15" t="s">
        <v>5876</v>
      </c>
    </row>
    <row r="7199" spans="2:5">
      <c r="B7199" s="15" t="s">
        <v>9312</v>
      </c>
      <c r="C7199" s="15" t="s">
        <v>5599</v>
      </c>
      <c r="D7199" s="15" t="s">
        <v>679</v>
      </c>
      <c r="E7199" s="15" t="s">
        <v>5877</v>
      </c>
    </row>
    <row r="7200" spans="2:5">
      <c r="B7200" s="15" t="s">
        <v>9312</v>
      </c>
      <c r="C7200" s="15" t="s">
        <v>5599</v>
      </c>
      <c r="D7200" s="15" t="s">
        <v>705</v>
      </c>
      <c r="E7200" s="15" t="s">
        <v>5878</v>
      </c>
    </row>
    <row r="7201" spans="2:5">
      <c r="B7201" s="15" t="s">
        <v>9312</v>
      </c>
      <c r="C7201" s="15" t="s">
        <v>5599</v>
      </c>
      <c r="D7201" s="15" t="s">
        <v>709</v>
      </c>
      <c r="E7201" s="15" t="s">
        <v>5879</v>
      </c>
    </row>
    <row r="7202" ht="15.95" spans="2:2">
      <c r="B7202" s="122" t="s">
        <v>9313</v>
      </c>
    </row>
    <row r="7203" spans="2:5">
      <c r="B7203" s="15" t="s">
        <v>9314</v>
      </c>
      <c r="C7203" s="15" t="s">
        <v>9315</v>
      </c>
      <c r="D7203" s="15" t="s">
        <v>785</v>
      </c>
      <c r="E7203" s="15" t="s">
        <v>9316</v>
      </c>
    </row>
    <row r="7204" spans="2:5">
      <c r="B7204" s="15" t="s">
        <v>9314</v>
      </c>
      <c r="C7204" s="15" t="s">
        <v>9315</v>
      </c>
      <c r="D7204" s="15" t="s">
        <v>787</v>
      </c>
      <c r="E7204" s="15" t="s">
        <v>9317</v>
      </c>
    </row>
    <row r="7205" ht="15.95" spans="2:2">
      <c r="B7205" s="122" t="s">
        <v>9318</v>
      </c>
    </row>
    <row r="7206" spans="2:5">
      <c r="B7206" s="15" t="s">
        <v>9319</v>
      </c>
      <c r="C7206" s="15" t="s">
        <v>9320</v>
      </c>
      <c r="D7206" s="15" t="s">
        <v>2547</v>
      </c>
      <c r="E7206" s="15" t="s">
        <v>8792</v>
      </c>
    </row>
    <row r="7207" spans="2:5">
      <c r="B7207" s="15" t="s">
        <v>9319</v>
      </c>
      <c r="C7207" s="15" t="s">
        <v>9320</v>
      </c>
      <c r="D7207" s="15" t="s">
        <v>8793</v>
      </c>
      <c r="E7207" s="15" t="s">
        <v>1599</v>
      </c>
    </row>
    <row r="7208" spans="2:5">
      <c r="B7208" s="15" t="s">
        <v>9319</v>
      </c>
      <c r="C7208" s="15" t="s">
        <v>9320</v>
      </c>
      <c r="D7208" s="15" t="s">
        <v>1269</v>
      </c>
      <c r="E7208" s="15" t="s">
        <v>1597</v>
      </c>
    </row>
    <row r="7209" ht="15.95" spans="2:2">
      <c r="B7209" s="122" t="s">
        <v>9321</v>
      </c>
    </row>
    <row r="7210" spans="2:5">
      <c r="B7210" s="15" t="s">
        <v>9322</v>
      </c>
      <c r="C7210" s="15" t="s">
        <v>9323</v>
      </c>
      <c r="D7210" s="15" t="s">
        <v>770</v>
      </c>
      <c r="E7210" s="15" t="s">
        <v>9324</v>
      </c>
    </row>
    <row r="7211" spans="2:5">
      <c r="B7211" s="15" t="s">
        <v>9322</v>
      </c>
      <c r="C7211" s="15" t="s">
        <v>9323</v>
      </c>
      <c r="D7211" s="15" t="s">
        <v>772</v>
      </c>
      <c r="E7211" s="15" t="s">
        <v>9325</v>
      </c>
    </row>
    <row r="7212" spans="2:5">
      <c r="B7212" s="15" t="s">
        <v>9322</v>
      </c>
      <c r="C7212" s="15" t="s">
        <v>9323</v>
      </c>
      <c r="D7212" s="15" t="s">
        <v>774</v>
      </c>
      <c r="E7212" s="15" t="s">
        <v>9326</v>
      </c>
    </row>
    <row r="7213" ht="15.95" spans="2:2">
      <c r="B7213" s="122" t="s">
        <v>9327</v>
      </c>
    </row>
    <row r="7214" spans="2:5">
      <c r="B7214" s="15" t="s">
        <v>9328</v>
      </c>
      <c r="C7214" s="15" t="s">
        <v>9329</v>
      </c>
      <c r="D7214" s="15" t="s">
        <v>770</v>
      </c>
      <c r="E7214" s="15" t="s">
        <v>9330</v>
      </c>
    </row>
    <row r="7215" spans="2:5">
      <c r="B7215" s="15" t="s">
        <v>9328</v>
      </c>
      <c r="C7215" s="15" t="s">
        <v>9329</v>
      </c>
      <c r="D7215" s="15" t="s">
        <v>772</v>
      </c>
      <c r="E7215" s="15" t="s">
        <v>9331</v>
      </c>
    </row>
    <row r="7216" spans="2:5">
      <c r="B7216" s="15" t="s">
        <v>9328</v>
      </c>
      <c r="C7216" s="15" t="s">
        <v>9329</v>
      </c>
      <c r="D7216" s="15" t="s">
        <v>774</v>
      </c>
      <c r="E7216" s="15" t="s">
        <v>9332</v>
      </c>
    </row>
    <row r="7217" spans="2:5">
      <c r="B7217" s="15" t="s">
        <v>9328</v>
      </c>
      <c r="C7217" s="15" t="s">
        <v>9329</v>
      </c>
      <c r="D7217" s="15" t="s">
        <v>828</v>
      </c>
      <c r="E7217" s="15" t="s">
        <v>9333</v>
      </c>
    </row>
    <row r="7218" ht="15.95" spans="2:2">
      <c r="B7218" s="122" t="s">
        <v>9334</v>
      </c>
    </row>
    <row r="7219" spans="2:5">
      <c r="B7219" s="15" t="s">
        <v>9335</v>
      </c>
      <c r="C7219" s="15" t="s">
        <v>9335</v>
      </c>
      <c r="D7219" s="15" t="s">
        <v>723</v>
      </c>
      <c r="E7219" s="15" t="s">
        <v>9336</v>
      </c>
    </row>
    <row r="7220" spans="2:5">
      <c r="B7220" s="15" t="s">
        <v>9335</v>
      </c>
      <c r="C7220" s="15" t="s">
        <v>9335</v>
      </c>
      <c r="D7220" s="15" t="s">
        <v>725</v>
      </c>
      <c r="E7220" s="15" t="s">
        <v>9337</v>
      </c>
    </row>
    <row r="7221" spans="2:5">
      <c r="B7221" s="15" t="s">
        <v>9335</v>
      </c>
      <c r="C7221" s="15" t="s">
        <v>9335</v>
      </c>
      <c r="D7221" s="15" t="s">
        <v>727</v>
      </c>
      <c r="E7221" s="15" t="s">
        <v>9338</v>
      </c>
    </row>
    <row r="7222" ht="15.95" spans="2:2">
      <c r="B7222" s="122" t="s">
        <v>9339</v>
      </c>
    </row>
    <row r="7223" spans="2:5">
      <c r="B7223" s="15" t="s">
        <v>9340</v>
      </c>
      <c r="C7223" s="15" t="s">
        <v>9341</v>
      </c>
      <c r="D7223" s="15" t="s">
        <v>1057</v>
      </c>
      <c r="E7223" s="15" t="s">
        <v>9342</v>
      </c>
    </row>
    <row r="7224" spans="2:5">
      <c r="B7224" s="15" t="s">
        <v>9340</v>
      </c>
      <c r="C7224" s="15" t="s">
        <v>9341</v>
      </c>
      <c r="D7224" s="15" t="s">
        <v>9343</v>
      </c>
      <c r="E7224" s="15" t="s">
        <v>9344</v>
      </c>
    </row>
    <row r="7225" spans="2:5">
      <c r="B7225" s="15" t="s">
        <v>9340</v>
      </c>
      <c r="C7225" s="15" t="s">
        <v>9341</v>
      </c>
      <c r="D7225" s="15" t="s">
        <v>9345</v>
      </c>
      <c r="E7225" s="15" t="s">
        <v>9346</v>
      </c>
    </row>
    <row r="7226" spans="2:5">
      <c r="B7226" s="15" t="s">
        <v>9340</v>
      </c>
      <c r="C7226" s="15" t="s">
        <v>9341</v>
      </c>
      <c r="D7226" s="15" t="s">
        <v>9347</v>
      </c>
      <c r="E7226" s="15" t="s">
        <v>9346</v>
      </c>
    </row>
    <row r="7227" spans="2:5">
      <c r="B7227" s="15" t="s">
        <v>9340</v>
      </c>
      <c r="C7227" s="15" t="s">
        <v>9341</v>
      </c>
      <c r="D7227" s="15" t="s">
        <v>9348</v>
      </c>
      <c r="E7227" s="15" t="s">
        <v>2757</v>
      </c>
    </row>
    <row r="7228" spans="2:5">
      <c r="B7228" s="15" t="s">
        <v>9340</v>
      </c>
      <c r="C7228" s="15" t="s">
        <v>9341</v>
      </c>
      <c r="D7228" s="15" t="s">
        <v>9349</v>
      </c>
      <c r="E7228" s="15" t="s">
        <v>2759</v>
      </c>
    </row>
    <row r="7229" spans="2:5">
      <c r="B7229" s="15" t="s">
        <v>9340</v>
      </c>
      <c r="C7229" s="15" t="s">
        <v>9341</v>
      </c>
      <c r="D7229" s="15" t="s">
        <v>9350</v>
      </c>
      <c r="E7229" s="15" t="s">
        <v>9351</v>
      </c>
    </row>
    <row r="7230" spans="2:5">
      <c r="B7230" s="15" t="s">
        <v>9340</v>
      </c>
      <c r="C7230" s="15" t="s">
        <v>9341</v>
      </c>
      <c r="D7230" s="15" t="s">
        <v>9352</v>
      </c>
      <c r="E7230" s="15" t="s">
        <v>9353</v>
      </c>
    </row>
    <row r="7231" spans="2:5">
      <c r="B7231" s="15" t="s">
        <v>9340</v>
      </c>
      <c r="C7231" s="15" t="s">
        <v>9341</v>
      </c>
      <c r="D7231" s="15" t="s">
        <v>9354</v>
      </c>
      <c r="E7231" s="15" t="s">
        <v>2755</v>
      </c>
    </row>
    <row r="7232" spans="2:5">
      <c r="B7232" s="15" t="s">
        <v>9340</v>
      </c>
      <c r="C7232" s="15" t="s">
        <v>9341</v>
      </c>
      <c r="D7232" s="15" t="s">
        <v>9355</v>
      </c>
      <c r="E7232" s="15" t="s">
        <v>2755</v>
      </c>
    </row>
    <row r="7233" spans="2:5">
      <c r="B7233" s="15" t="s">
        <v>9340</v>
      </c>
      <c r="C7233" s="15" t="s">
        <v>9341</v>
      </c>
      <c r="D7233" s="15" t="s">
        <v>9356</v>
      </c>
      <c r="E7233" s="15" t="s">
        <v>9351</v>
      </c>
    </row>
    <row r="7234" spans="2:5">
      <c r="B7234" s="15" t="s">
        <v>9340</v>
      </c>
      <c r="C7234" s="15" t="s">
        <v>9341</v>
      </c>
      <c r="D7234" s="15" t="s">
        <v>9357</v>
      </c>
      <c r="E7234" s="15" t="s">
        <v>2777</v>
      </c>
    </row>
    <row r="7235" spans="2:5">
      <c r="B7235" s="15" t="s">
        <v>9340</v>
      </c>
      <c r="C7235" s="15" t="s">
        <v>9341</v>
      </c>
      <c r="D7235" s="15" t="s">
        <v>9358</v>
      </c>
      <c r="E7235" s="15" t="s">
        <v>2769</v>
      </c>
    </row>
    <row r="7236" spans="2:5">
      <c r="B7236" s="15" t="s">
        <v>9340</v>
      </c>
      <c r="C7236" s="15" t="s">
        <v>9341</v>
      </c>
      <c r="D7236" s="15" t="s">
        <v>9359</v>
      </c>
      <c r="E7236" s="15" t="s">
        <v>2771</v>
      </c>
    </row>
    <row r="7237" ht="15.95" spans="2:2">
      <c r="B7237" s="122" t="s">
        <v>9360</v>
      </c>
    </row>
    <row r="7238" spans="2:5">
      <c r="B7238" s="15" t="s">
        <v>9361</v>
      </c>
      <c r="C7238" s="15" t="s">
        <v>9362</v>
      </c>
      <c r="D7238" s="15" t="s">
        <v>770</v>
      </c>
      <c r="E7238" s="15" t="s">
        <v>9363</v>
      </c>
    </row>
    <row r="7239" spans="2:5">
      <c r="B7239" s="15" t="s">
        <v>9361</v>
      </c>
      <c r="C7239" s="15" t="s">
        <v>9362</v>
      </c>
      <c r="D7239" s="15" t="s">
        <v>772</v>
      </c>
      <c r="E7239" s="15" t="s">
        <v>9364</v>
      </c>
    </row>
    <row r="7240" spans="2:5">
      <c r="B7240" s="15" t="s">
        <v>9361</v>
      </c>
      <c r="C7240" s="15" t="s">
        <v>9362</v>
      </c>
      <c r="D7240" s="15" t="s">
        <v>774</v>
      </c>
      <c r="E7240" s="15" t="s">
        <v>9365</v>
      </c>
    </row>
    <row r="7241" ht="15.95" spans="2:2">
      <c r="B7241" s="122" t="s">
        <v>9366</v>
      </c>
    </row>
    <row r="7242" spans="2:5">
      <c r="B7242" s="15" t="s">
        <v>9367</v>
      </c>
      <c r="C7242" s="15" t="s">
        <v>896</v>
      </c>
      <c r="D7242" s="15" t="s">
        <v>770</v>
      </c>
      <c r="E7242" s="15" t="s">
        <v>6614</v>
      </c>
    </row>
    <row r="7243" spans="2:5">
      <c r="B7243" s="15" t="s">
        <v>9367</v>
      </c>
      <c r="C7243" s="15" t="s">
        <v>896</v>
      </c>
      <c r="D7243" s="15" t="s">
        <v>772</v>
      </c>
      <c r="E7243" s="15" t="s">
        <v>6615</v>
      </c>
    </row>
    <row r="7244" ht="15.95" spans="2:2">
      <c r="B7244" s="122" t="s">
        <v>9368</v>
      </c>
    </row>
    <row r="7245" spans="2:5">
      <c r="B7245" s="15" t="s">
        <v>9369</v>
      </c>
      <c r="C7245" s="15" t="s">
        <v>9370</v>
      </c>
      <c r="D7245" s="15" t="s">
        <v>1432</v>
      </c>
      <c r="E7245" s="15" t="s">
        <v>235</v>
      </c>
    </row>
    <row r="7246" spans="2:5">
      <c r="B7246" s="15" t="s">
        <v>9369</v>
      </c>
      <c r="C7246" s="15" t="s">
        <v>9370</v>
      </c>
      <c r="D7246" s="15" t="s">
        <v>723</v>
      </c>
      <c r="E7246" s="15" t="s">
        <v>9371</v>
      </c>
    </row>
    <row r="7247" spans="2:5">
      <c r="B7247" s="15" t="s">
        <v>9369</v>
      </c>
      <c r="C7247" s="15" t="s">
        <v>9370</v>
      </c>
      <c r="D7247" s="15" t="s">
        <v>725</v>
      </c>
      <c r="E7247" s="15" t="s">
        <v>5996</v>
      </c>
    </row>
    <row r="7248" spans="2:5">
      <c r="B7248" s="15" t="s">
        <v>9369</v>
      </c>
      <c r="C7248" s="15" t="s">
        <v>9370</v>
      </c>
      <c r="D7248" s="15" t="s">
        <v>727</v>
      </c>
      <c r="E7248" s="15" t="s">
        <v>9372</v>
      </c>
    </row>
    <row r="7249" spans="2:5">
      <c r="B7249" s="15" t="s">
        <v>9369</v>
      </c>
      <c r="C7249" s="15" t="s">
        <v>9370</v>
      </c>
      <c r="D7249" s="15" t="s">
        <v>729</v>
      </c>
      <c r="E7249" s="15" t="s">
        <v>9373</v>
      </c>
    </row>
    <row r="7250" spans="2:5">
      <c r="B7250" s="15" t="s">
        <v>9369</v>
      </c>
      <c r="C7250" s="15" t="s">
        <v>9370</v>
      </c>
      <c r="D7250" s="15" t="s">
        <v>765</v>
      </c>
      <c r="E7250" s="15" t="s">
        <v>766</v>
      </c>
    </row>
    <row r="7251" ht="15.95" spans="2:2">
      <c r="B7251" s="122" t="s">
        <v>9374</v>
      </c>
    </row>
    <row r="7252" spans="2:5">
      <c r="B7252" s="15" t="s">
        <v>9375</v>
      </c>
      <c r="C7252" s="15" t="s">
        <v>9375</v>
      </c>
      <c r="D7252" s="15" t="s">
        <v>723</v>
      </c>
      <c r="E7252" s="15" t="s">
        <v>4464</v>
      </c>
    </row>
    <row r="7253" spans="2:5">
      <c r="B7253" s="15" t="s">
        <v>9375</v>
      </c>
      <c r="C7253" s="15" t="s">
        <v>9375</v>
      </c>
      <c r="D7253" s="15" t="s">
        <v>725</v>
      </c>
      <c r="E7253" s="15" t="s">
        <v>4465</v>
      </c>
    </row>
    <row r="7254" spans="2:5">
      <c r="B7254" s="15" t="s">
        <v>9375</v>
      </c>
      <c r="C7254" s="15" t="s">
        <v>9375</v>
      </c>
      <c r="D7254" s="15" t="s">
        <v>727</v>
      </c>
      <c r="E7254" s="15" t="s">
        <v>4466</v>
      </c>
    </row>
    <row r="7255" spans="2:5">
      <c r="B7255" s="15" t="s">
        <v>9375</v>
      </c>
      <c r="C7255" s="15" t="s">
        <v>9375</v>
      </c>
      <c r="D7255" s="15" t="s">
        <v>729</v>
      </c>
      <c r="E7255" s="15" t="s">
        <v>5742</v>
      </c>
    </row>
    <row r="7256" spans="2:5">
      <c r="B7256" s="15" t="s">
        <v>9375</v>
      </c>
      <c r="C7256" s="15" t="s">
        <v>9375</v>
      </c>
      <c r="D7256" s="15" t="s">
        <v>760</v>
      </c>
      <c r="E7256" s="15" t="s">
        <v>5743</v>
      </c>
    </row>
    <row r="7257" ht="15.95" spans="2:2">
      <c r="B7257" s="122" t="s">
        <v>9376</v>
      </c>
    </row>
    <row r="7258" spans="2:5">
      <c r="B7258" s="15" t="s">
        <v>9377</v>
      </c>
      <c r="C7258" s="15" t="s">
        <v>9378</v>
      </c>
      <c r="D7258" s="15" t="s">
        <v>635</v>
      </c>
      <c r="E7258" s="15" t="s">
        <v>1814</v>
      </c>
    </row>
    <row r="7259" spans="2:5">
      <c r="B7259" s="15" t="s">
        <v>9377</v>
      </c>
      <c r="C7259" s="15" t="s">
        <v>9378</v>
      </c>
      <c r="D7259" s="15" t="s">
        <v>659</v>
      </c>
      <c r="E7259" s="15" t="s">
        <v>1815</v>
      </c>
    </row>
    <row r="7260" spans="2:5">
      <c r="B7260" s="15" t="s">
        <v>9377</v>
      </c>
      <c r="C7260" s="15" t="s">
        <v>9378</v>
      </c>
      <c r="D7260" s="15" t="s">
        <v>679</v>
      </c>
      <c r="E7260" s="15" t="s">
        <v>1816</v>
      </c>
    </row>
    <row r="7261" spans="2:5">
      <c r="B7261" s="15" t="s">
        <v>9377</v>
      </c>
      <c r="C7261" s="15" t="s">
        <v>9378</v>
      </c>
      <c r="D7261" s="15" t="s">
        <v>681</v>
      </c>
      <c r="E7261" s="15" t="s">
        <v>1817</v>
      </c>
    </row>
    <row r="7262" spans="2:5">
      <c r="B7262" s="15" t="s">
        <v>9377</v>
      </c>
      <c r="C7262" s="15" t="s">
        <v>9378</v>
      </c>
      <c r="D7262" s="15" t="s">
        <v>685</v>
      </c>
      <c r="E7262" s="15" t="s">
        <v>1818</v>
      </c>
    </row>
    <row r="7263" spans="2:5">
      <c r="B7263" s="15" t="s">
        <v>9377</v>
      </c>
      <c r="C7263" s="15" t="s">
        <v>9378</v>
      </c>
      <c r="D7263" s="15" t="s">
        <v>687</v>
      </c>
      <c r="E7263" s="15" t="s">
        <v>1819</v>
      </c>
    </row>
    <row r="7264" spans="2:5">
      <c r="B7264" s="15" t="s">
        <v>9377</v>
      </c>
      <c r="C7264" s="15" t="s">
        <v>9378</v>
      </c>
      <c r="D7264" s="15" t="s">
        <v>1820</v>
      </c>
      <c r="E7264" s="15" t="s">
        <v>1821</v>
      </c>
    </row>
    <row r="7265" spans="2:5">
      <c r="B7265" s="15" t="s">
        <v>9377</v>
      </c>
      <c r="C7265" s="15" t="s">
        <v>9378</v>
      </c>
      <c r="D7265" s="15" t="s">
        <v>705</v>
      </c>
      <c r="E7265" s="15" t="s">
        <v>1822</v>
      </c>
    </row>
    <row r="7266" ht="15.95" spans="2:2">
      <c r="B7266" s="122" t="s">
        <v>9379</v>
      </c>
    </row>
    <row r="7267" spans="2:5">
      <c r="B7267" s="15" t="s">
        <v>9380</v>
      </c>
      <c r="C7267" s="15" t="s">
        <v>356</v>
      </c>
      <c r="D7267" s="15" t="s">
        <v>770</v>
      </c>
      <c r="E7267" s="15" t="s">
        <v>9381</v>
      </c>
    </row>
    <row r="7268" spans="2:5">
      <c r="B7268" s="15" t="s">
        <v>9380</v>
      </c>
      <c r="C7268" s="15" t="s">
        <v>356</v>
      </c>
      <c r="D7268" s="15" t="s">
        <v>772</v>
      </c>
      <c r="E7268" s="15" t="s">
        <v>9382</v>
      </c>
    </row>
    <row r="7269" spans="2:5">
      <c r="B7269" s="15" t="s">
        <v>9380</v>
      </c>
      <c r="C7269" s="15" t="s">
        <v>356</v>
      </c>
      <c r="D7269" s="15" t="s">
        <v>774</v>
      </c>
      <c r="E7269" s="15" t="s">
        <v>9383</v>
      </c>
    </row>
    <row r="7270" spans="2:5">
      <c r="B7270" s="15" t="s">
        <v>9380</v>
      </c>
      <c r="C7270" s="15" t="s">
        <v>356</v>
      </c>
      <c r="D7270" s="15" t="s">
        <v>828</v>
      </c>
      <c r="E7270" s="15" t="s">
        <v>9384</v>
      </c>
    </row>
    <row r="7271" ht="15.95" spans="2:2">
      <c r="B7271" s="122" t="s">
        <v>9385</v>
      </c>
    </row>
    <row r="7272" spans="2:5">
      <c r="B7272" s="15" t="s">
        <v>9386</v>
      </c>
      <c r="C7272" s="15" t="s">
        <v>9387</v>
      </c>
      <c r="D7272" s="15" t="s">
        <v>1432</v>
      </c>
      <c r="E7272" s="15" t="s">
        <v>9388</v>
      </c>
    </row>
    <row r="7273" spans="2:5">
      <c r="B7273" s="15" t="s">
        <v>9386</v>
      </c>
      <c r="C7273" s="15" t="s">
        <v>9387</v>
      </c>
      <c r="D7273" s="15" t="s">
        <v>5971</v>
      </c>
      <c r="E7273" s="15" t="s">
        <v>9389</v>
      </c>
    </row>
    <row r="7274" spans="2:5">
      <c r="B7274" s="15" t="s">
        <v>9386</v>
      </c>
      <c r="C7274" s="15" t="s">
        <v>9387</v>
      </c>
      <c r="D7274" s="15" t="s">
        <v>9390</v>
      </c>
      <c r="E7274" s="15" t="s">
        <v>9391</v>
      </c>
    </row>
    <row r="7275" ht="15.95" spans="2:2">
      <c r="B7275" s="122" t="s">
        <v>9392</v>
      </c>
    </row>
    <row r="7276" spans="2:5">
      <c r="B7276" s="15" t="s">
        <v>9393</v>
      </c>
      <c r="C7276" s="15" t="s">
        <v>9394</v>
      </c>
      <c r="D7276" s="15" t="s">
        <v>933</v>
      </c>
      <c r="E7276" s="15" t="s">
        <v>9395</v>
      </c>
    </row>
    <row r="7277" spans="2:5">
      <c r="B7277" s="15" t="s">
        <v>9393</v>
      </c>
      <c r="C7277" s="15" t="s">
        <v>9394</v>
      </c>
      <c r="D7277" s="15" t="s">
        <v>937</v>
      </c>
      <c r="E7277" s="15" t="s">
        <v>9396</v>
      </c>
    </row>
    <row r="7278" ht="15.95" spans="2:2">
      <c r="B7278" s="122" t="s">
        <v>9397</v>
      </c>
    </row>
    <row r="7279" spans="2:5">
      <c r="B7279" s="15" t="s">
        <v>9398</v>
      </c>
      <c r="C7279" s="15" t="s">
        <v>9399</v>
      </c>
      <c r="D7279" s="15" t="s">
        <v>770</v>
      </c>
      <c r="E7279" s="15" t="s">
        <v>9400</v>
      </c>
    </row>
    <row r="7280" spans="2:5">
      <c r="B7280" s="15" t="s">
        <v>9398</v>
      </c>
      <c r="C7280" s="15" t="s">
        <v>9399</v>
      </c>
      <c r="D7280" s="15" t="s">
        <v>772</v>
      </c>
      <c r="E7280" s="15" t="s">
        <v>9401</v>
      </c>
    </row>
    <row r="7281" ht="15.95" spans="2:2">
      <c r="B7281" s="122" t="s">
        <v>9402</v>
      </c>
    </row>
    <row r="7282" spans="2:5">
      <c r="B7282" s="15" t="s">
        <v>9403</v>
      </c>
      <c r="C7282" s="15" t="s">
        <v>9404</v>
      </c>
      <c r="D7282" s="15" t="s">
        <v>770</v>
      </c>
      <c r="E7282" s="15" t="s">
        <v>9405</v>
      </c>
    </row>
    <row r="7283" spans="2:5">
      <c r="B7283" s="15" t="s">
        <v>9403</v>
      </c>
      <c r="C7283" s="15" t="s">
        <v>9404</v>
      </c>
      <c r="D7283" s="15" t="s">
        <v>772</v>
      </c>
      <c r="E7283" s="15" t="s">
        <v>9406</v>
      </c>
    </row>
    <row r="7284" spans="2:5">
      <c r="B7284" s="15" t="s">
        <v>9403</v>
      </c>
      <c r="C7284" s="15" t="s">
        <v>9404</v>
      </c>
      <c r="D7284" s="15" t="s">
        <v>774</v>
      </c>
      <c r="E7284" s="15" t="s">
        <v>9407</v>
      </c>
    </row>
    <row r="7285" ht="15.95" spans="2:2">
      <c r="B7285" s="122" t="s">
        <v>9408</v>
      </c>
    </row>
    <row r="7286" spans="2:5">
      <c r="B7286" s="15" t="s">
        <v>9409</v>
      </c>
      <c r="C7286" s="15" t="s">
        <v>9410</v>
      </c>
      <c r="D7286" s="15" t="s">
        <v>9411</v>
      </c>
      <c r="E7286" s="15" t="s">
        <v>9412</v>
      </c>
    </row>
    <row r="7287" spans="2:5">
      <c r="B7287" s="15" t="s">
        <v>9409</v>
      </c>
      <c r="C7287" s="15" t="s">
        <v>9410</v>
      </c>
      <c r="D7287" s="15" t="s">
        <v>9413</v>
      </c>
      <c r="E7287" s="15" t="s">
        <v>9414</v>
      </c>
    </row>
    <row r="7288" spans="2:5">
      <c r="B7288" s="15" t="s">
        <v>9409</v>
      </c>
      <c r="C7288" s="15" t="s">
        <v>9410</v>
      </c>
      <c r="D7288" s="15" t="s">
        <v>9415</v>
      </c>
      <c r="E7288" s="15" t="s">
        <v>9416</v>
      </c>
    </row>
    <row r="7289" spans="2:5">
      <c r="B7289" s="15" t="s">
        <v>9409</v>
      </c>
      <c r="C7289" s="15" t="s">
        <v>9410</v>
      </c>
      <c r="D7289" s="15" t="s">
        <v>9417</v>
      </c>
      <c r="E7289" s="15" t="s">
        <v>9418</v>
      </c>
    </row>
    <row r="7290" spans="2:5">
      <c r="B7290" s="15" t="s">
        <v>9409</v>
      </c>
      <c r="C7290" s="15" t="s">
        <v>9410</v>
      </c>
      <c r="D7290" s="15" t="s">
        <v>9419</v>
      </c>
      <c r="E7290" s="15" t="s">
        <v>9420</v>
      </c>
    </row>
    <row r="7291" spans="2:5">
      <c r="B7291" s="15" t="s">
        <v>9409</v>
      </c>
      <c r="C7291" s="15" t="s">
        <v>9410</v>
      </c>
      <c r="D7291" s="15" t="s">
        <v>9421</v>
      </c>
      <c r="E7291" s="15" t="s">
        <v>9422</v>
      </c>
    </row>
    <row r="7292" spans="2:5">
      <c r="B7292" s="15" t="s">
        <v>9409</v>
      </c>
      <c r="C7292" s="15" t="s">
        <v>9410</v>
      </c>
      <c r="D7292" s="15" t="s">
        <v>9423</v>
      </c>
      <c r="E7292" s="15" t="s">
        <v>9424</v>
      </c>
    </row>
    <row r="7293" spans="2:5">
      <c r="B7293" s="15" t="s">
        <v>9409</v>
      </c>
      <c r="C7293" s="15" t="s">
        <v>9410</v>
      </c>
      <c r="D7293" s="15" t="s">
        <v>9425</v>
      </c>
      <c r="E7293" s="15" t="s">
        <v>9426</v>
      </c>
    </row>
    <row r="7294" spans="2:5">
      <c r="B7294" s="15" t="s">
        <v>9409</v>
      </c>
      <c r="C7294" s="15" t="s">
        <v>9410</v>
      </c>
      <c r="D7294" s="15" t="s">
        <v>9427</v>
      </c>
      <c r="E7294" s="15" t="s">
        <v>9428</v>
      </c>
    </row>
    <row r="7295" ht="15.95" spans="2:2">
      <c r="B7295" s="122" t="s">
        <v>9429</v>
      </c>
    </row>
    <row r="7296" spans="2:5">
      <c r="B7296" s="15" t="s">
        <v>9430</v>
      </c>
      <c r="C7296" s="15" t="s">
        <v>9431</v>
      </c>
      <c r="D7296" s="15" t="s">
        <v>770</v>
      </c>
      <c r="E7296" s="15" t="s">
        <v>9432</v>
      </c>
    </row>
    <row r="7297" spans="2:5">
      <c r="B7297" s="15" t="s">
        <v>9430</v>
      </c>
      <c r="C7297" s="15" t="s">
        <v>9431</v>
      </c>
      <c r="D7297" s="15" t="s">
        <v>772</v>
      </c>
      <c r="E7297" s="15" t="s">
        <v>9433</v>
      </c>
    </row>
    <row r="7298" ht="15.95" spans="2:2">
      <c r="B7298" s="122" t="s">
        <v>9434</v>
      </c>
    </row>
    <row r="7299" spans="2:5">
      <c r="B7299" s="15" t="s">
        <v>9435</v>
      </c>
      <c r="C7299" s="15" t="s">
        <v>8642</v>
      </c>
      <c r="D7299" s="15" t="s">
        <v>1267</v>
      </c>
      <c r="E7299" s="15" t="s">
        <v>1268</v>
      </c>
    </row>
    <row r="7300" spans="2:5">
      <c r="B7300" s="15" t="s">
        <v>9435</v>
      </c>
      <c r="C7300" s="15" t="s">
        <v>8642</v>
      </c>
      <c r="D7300" s="15" t="s">
        <v>1269</v>
      </c>
      <c r="E7300" s="15" t="s">
        <v>1270</v>
      </c>
    </row>
    <row r="7301" ht="15.95" spans="2:2">
      <c r="B7301" s="122" t="s">
        <v>9436</v>
      </c>
    </row>
    <row r="7302" spans="2:5">
      <c r="B7302" s="15" t="s">
        <v>9437</v>
      </c>
      <c r="C7302" s="15" t="s">
        <v>9438</v>
      </c>
      <c r="D7302" s="15" t="s">
        <v>9439</v>
      </c>
      <c r="E7302" s="15" t="s">
        <v>9440</v>
      </c>
    </row>
    <row r="7303" spans="2:5">
      <c r="B7303" s="15" t="s">
        <v>9437</v>
      </c>
      <c r="C7303" s="15" t="s">
        <v>9438</v>
      </c>
      <c r="D7303" s="15" t="s">
        <v>9441</v>
      </c>
      <c r="E7303" s="15" t="s">
        <v>9442</v>
      </c>
    </row>
    <row r="7304" spans="2:5">
      <c r="B7304" s="15" t="s">
        <v>9437</v>
      </c>
      <c r="C7304" s="15" t="s">
        <v>9438</v>
      </c>
      <c r="D7304" s="15" t="s">
        <v>9443</v>
      </c>
      <c r="E7304" s="15" t="s">
        <v>5832</v>
      </c>
    </row>
    <row r="7305" spans="2:5">
      <c r="B7305" s="15" t="s">
        <v>9437</v>
      </c>
      <c r="C7305" s="15" t="s">
        <v>9438</v>
      </c>
      <c r="D7305" s="15" t="s">
        <v>9444</v>
      </c>
      <c r="E7305" s="15" t="s">
        <v>9445</v>
      </c>
    </row>
    <row r="7306" spans="2:5">
      <c r="B7306" s="15" t="s">
        <v>9437</v>
      </c>
      <c r="C7306" s="15" t="s">
        <v>9438</v>
      </c>
      <c r="D7306" s="15" t="s">
        <v>9446</v>
      </c>
      <c r="E7306" s="15" t="s">
        <v>9447</v>
      </c>
    </row>
    <row r="7307" ht="15.95" spans="2:2">
      <c r="B7307" s="122" t="s">
        <v>9448</v>
      </c>
    </row>
    <row r="7308" spans="2:5">
      <c r="B7308" s="15" t="s">
        <v>9449</v>
      </c>
      <c r="C7308" s="15" t="s">
        <v>9450</v>
      </c>
      <c r="D7308" s="15" t="s">
        <v>770</v>
      </c>
      <c r="E7308" s="15" t="s">
        <v>9451</v>
      </c>
    </row>
    <row r="7309" spans="2:5">
      <c r="B7309" s="15" t="s">
        <v>9449</v>
      </c>
      <c r="C7309" s="15" t="s">
        <v>9450</v>
      </c>
      <c r="D7309" s="15" t="s">
        <v>772</v>
      </c>
      <c r="E7309" s="15" t="s">
        <v>9452</v>
      </c>
    </row>
    <row r="7310" spans="2:5">
      <c r="B7310" s="15" t="s">
        <v>9449</v>
      </c>
      <c r="C7310" s="15" t="s">
        <v>9450</v>
      </c>
      <c r="D7310" s="15" t="s">
        <v>774</v>
      </c>
      <c r="E7310" s="15" t="s">
        <v>9453</v>
      </c>
    </row>
    <row r="7311" spans="2:5">
      <c r="B7311" s="15" t="s">
        <v>9449</v>
      </c>
      <c r="C7311" s="15" t="s">
        <v>9450</v>
      </c>
      <c r="D7311" s="15" t="s">
        <v>828</v>
      </c>
      <c r="E7311" s="15" t="s">
        <v>9454</v>
      </c>
    </row>
    <row r="7312" spans="2:5">
      <c r="B7312" s="15" t="s">
        <v>9449</v>
      </c>
      <c r="C7312" s="15" t="s">
        <v>9450</v>
      </c>
      <c r="D7312" s="15" t="s">
        <v>1143</v>
      </c>
      <c r="E7312" s="15" t="s">
        <v>235</v>
      </c>
    </row>
    <row r="7313" ht="15.95" spans="2:2">
      <c r="B7313" s="122" t="s">
        <v>9455</v>
      </c>
    </row>
    <row r="7314" spans="2:5">
      <c r="B7314" s="15" t="s">
        <v>9456</v>
      </c>
      <c r="C7314" s="15" t="s">
        <v>9457</v>
      </c>
      <c r="D7314" s="15" t="s">
        <v>723</v>
      </c>
      <c r="E7314" s="15" t="s">
        <v>2994</v>
      </c>
    </row>
    <row r="7315" spans="2:5">
      <c r="B7315" s="15" t="s">
        <v>9456</v>
      </c>
      <c r="C7315" s="15" t="s">
        <v>9457</v>
      </c>
      <c r="D7315" s="15" t="s">
        <v>725</v>
      </c>
      <c r="E7315" s="15" t="s">
        <v>2992</v>
      </c>
    </row>
    <row r="7316" spans="2:5">
      <c r="B7316" s="15" t="s">
        <v>9456</v>
      </c>
      <c r="C7316" s="15" t="s">
        <v>9457</v>
      </c>
      <c r="D7316" s="15" t="s">
        <v>727</v>
      </c>
      <c r="E7316" s="15" t="s">
        <v>2993</v>
      </c>
    </row>
    <row r="7317" ht="15.95" spans="2:2">
      <c r="B7317" s="122" t="s">
        <v>9458</v>
      </c>
    </row>
    <row r="7318" spans="2:5">
      <c r="B7318" s="15" t="s">
        <v>9459</v>
      </c>
      <c r="C7318" s="15" t="s">
        <v>9460</v>
      </c>
      <c r="D7318" s="15" t="s">
        <v>9461</v>
      </c>
      <c r="E7318" s="15" t="s">
        <v>9462</v>
      </c>
    </row>
    <row r="7319" spans="2:5">
      <c r="B7319" s="15" t="s">
        <v>9459</v>
      </c>
      <c r="C7319" s="15" t="s">
        <v>9460</v>
      </c>
      <c r="D7319" s="15" t="s">
        <v>9463</v>
      </c>
      <c r="E7319" s="15" t="s">
        <v>9464</v>
      </c>
    </row>
    <row r="7320" spans="2:5">
      <c r="B7320" s="15" t="s">
        <v>9459</v>
      </c>
      <c r="C7320" s="15" t="s">
        <v>9460</v>
      </c>
      <c r="D7320" s="15" t="s">
        <v>9465</v>
      </c>
      <c r="E7320" s="15" t="s">
        <v>9466</v>
      </c>
    </row>
    <row r="7321" spans="2:5">
      <c r="B7321" s="15" t="s">
        <v>9459</v>
      </c>
      <c r="C7321" s="15" t="s">
        <v>9460</v>
      </c>
      <c r="D7321" s="15" t="s">
        <v>9467</v>
      </c>
      <c r="E7321" s="15" t="s">
        <v>9468</v>
      </c>
    </row>
    <row r="7322" spans="2:5">
      <c r="B7322" s="15" t="s">
        <v>9459</v>
      </c>
      <c r="C7322" s="15" t="s">
        <v>9460</v>
      </c>
      <c r="D7322" s="15" t="s">
        <v>9469</v>
      </c>
      <c r="E7322" s="15" t="s">
        <v>2718</v>
      </c>
    </row>
    <row r="7323" spans="2:5">
      <c r="B7323" s="15" t="s">
        <v>9459</v>
      </c>
      <c r="C7323" s="15" t="s">
        <v>9460</v>
      </c>
      <c r="D7323" s="15" t="s">
        <v>9470</v>
      </c>
      <c r="E7323" s="15" t="s">
        <v>2717</v>
      </c>
    </row>
    <row r="7324" spans="2:5">
      <c r="B7324" s="15" t="s">
        <v>9459</v>
      </c>
      <c r="C7324" s="15" t="s">
        <v>9460</v>
      </c>
      <c r="D7324" s="15" t="s">
        <v>9471</v>
      </c>
      <c r="E7324" s="15" t="s">
        <v>9472</v>
      </c>
    </row>
    <row r="7325" ht="15.95" spans="2:2">
      <c r="B7325" s="122" t="s">
        <v>9473</v>
      </c>
    </row>
    <row r="7326" spans="2:5">
      <c r="B7326" s="15" t="s">
        <v>9474</v>
      </c>
      <c r="C7326" s="15" t="s">
        <v>9475</v>
      </c>
      <c r="D7326" s="15" t="s">
        <v>723</v>
      </c>
      <c r="E7326" s="15" t="s">
        <v>1439</v>
      </c>
    </row>
    <row r="7327" spans="2:5">
      <c r="B7327" s="15" t="s">
        <v>9474</v>
      </c>
      <c r="C7327" s="15" t="s">
        <v>9475</v>
      </c>
      <c r="D7327" s="15" t="s">
        <v>725</v>
      </c>
      <c r="E7327" s="15" t="s">
        <v>3761</v>
      </c>
    </row>
    <row r="7328" spans="2:5">
      <c r="B7328" s="15" t="s">
        <v>9474</v>
      </c>
      <c r="C7328" s="15" t="s">
        <v>9475</v>
      </c>
      <c r="D7328" s="15" t="s">
        <v>727</v>
      </c>
      <c r="E7328" s="15" t="s">
        <v>5656</v>
      </c>
    </row>
    <row r="7329" spans="2:5">
      <c r="B7329" s="15" t="s">
        <v>9474</v>
      </c>
      <c r="C7329" s="15" t="s">
        <v>9475</v>
      </c>
      <c r="D7329" s="15" t="s">
        <v>729</v>
      </c>
      <c r="E7329" s="15" t="s">
        <v>8138</v>
      </c>
    </row>
    <row r="7330" ht="15.95" spans="2:2">
      <c r="B7330" s="122" t="s">
        <v>9476</v>
      </c>
    </row>
    <row r="7331" spans="2:5">
      <c r="B7331" s="15" t="s">
        <v>9477</v>
      </c>
      <c r="C7331" s="15" t="s">
        <v>9478</v>
      </c>
      <c r="D7331" s="15" t="s">
        <v>917</v>
      </c>
      <c r="E7331" s="15" t="s">
        <v>9479</v>
      </c>
    </row>
    <row r="7332" spans="2:5">
      <c r="B7332" s="15" t="s">
        <v>9477</v>
      </c>
      <c r="C7332" s="15" t="s">
        <v>9478</v>
      </c>
      <c r="D7332" s="15" t="s">
        <v>919</v>
      </c>
      <c r="E7332" s="15" t="s">
        <v>9480</v>
      </c>
    </row>
    <row r="7333" spans="2:5">
      <c r="B7333" s="15" t="s">
        <v>9477</v>
      </c>
      <c r="C7333" s="15" t="s">
        <v>9478</v>
      </c>
      <c r="D7333" s="15" t="s">
        <v>1091</v>
      </c>
      <c r="E7333" s="15" t="s">
        <v>9481</v>
      </c>
    </row>
    <row r="7334" spans="2:5">
      <c r="B7334" s="15" t="s">
        <v>9477</v>
      </c>
      <c r="C7334" s="15" t="s">
        <v>9478</v>
      </c>
      <c r="D7334" s="15" t="s">
        <v>921</v>
      </c>
      <c r="E7334" s="15" t="s">
        <v>235</v>
      </c>
    </row>
    <row r="7335" ht="15.95" spans="2:2">
      <c r="B7335" s="122" t="s">
        <v>9482</v>
      </c>
    </row>
    <row r="7336" spans="2:5">
      <c r="B7336" s="15" t="s">
        <v>9483</v>
      </c>
      <c r="C7336" s="15" t="s">
        <v>9483</v>
      </c>
      <c r="D7336" s="15" t="s">
        <v>723</v>
      </c>
      <c r="E7336" s="15" t="s">
        <v>9484</v>
      </c>
    </row>
    <row r="7337" spans="2:5">
      <c r="B7337" s="15" t="s">
        <v>9483</v>
      </c>
      <c r="C7337" s="15" t="s">
        <v>9483</v>
      </c>
      <c r="D7337" s="15" t="s">
        <v>725</v>
      </c>
      <c r="E7337" s="15" t="s">
        <v>9485</v>
      </c>
    </row>
    <row r="7338" spans="2:5">
      <c r="B7338" s="15" t="s">
        <v>9483</v>
      </c>
      <c r="C7338" s="15" t="s">
        <v>9483</v>
      </c>
      <c r="D7338" s="15" t="s">
        <v>727</v>
      </c>
      <c r="E7338" s="15" t="s">
        <v>9486</v>
      </c>
    </row>
    <row r="7339" ht="15.95" spans="2:2">
      <c r="B7339" s="122" t="s">
        <v>9487</v>
      </c>
    </row>
    <row r="7340" spans="2:5">
      <c r="B7340" s="15" t="s">
        <v>9488</v>
      </c>
      <c r="C7340" s="15" t="s">
        <v>9489</v>
      </c>
      <c r="D7340" s="15" t="s">
        <v>723</v>
      </c>
      <c r="E7340" s="15" t="s">
        <v>9490</v>
      </c>
    </row>
    <row r="7341" spans="2:5">
      <c r="B7341" s="15" t="s">
        <v>9488</v>
      </c>
      <c r="C7341" s="15" t="s">
        <v>9489</v>
      </c>
      <c r="D7341" s="15" t="s">
        <v>725</v>
      </c>
      <c r="E7341" s="15" t="s">
        <v>9491</v>
      </c>
    </row>
    <row r="7342" spans="2:5">
      <c r="B7342" s="15" t="s">
        <v>9488</v>
      </c>
      <c r="C7342" s="15" t="s">
        <v>9489</v>
      </c>
      <c r="D7342" s="15" t="s">
        <v>727</v>
      </c>
      <c r="E7342" s="15" t="s">
        <v>739</v>
      </c>
    </row>
    <row r="7343" spans="2:5">
      <c r="B7343" s="15" t="s">
        <v>9488</v>
      </c>
      <c r="C7343" s="15" t="s">
        <v>9489</v>
      </c>
      <c r="D7343" s="15" t="s">
        <v>729</v>
      </c>
      <c r="E7343" s="15" t="s">
        <v>9492</v>
      </c>
    </row>
    <row r="7344" spans="2:5">
      <c r="B7344" s="15" t="s">
        <v>9488</v>
      </c>
      <c r="C7344" s="15" t="s">
        <v>9489</v>
      </c>
      <c r="D7344" s="15" t="s">
        <v>760</v>
      </c>
      <c r="E7344" s="15" t="s">
        <v>9493</v>
      </c>
    </row>
    <row r="7345" spans="2:5">
      <c r="B7345" s="15" t="s">
        <v>9488</v>
      </c>
      <c r="C7345" s="15" t="s">
        <v>9489</v>
      </c>
      <c r="D7345" s="15" t="s">
        <v>762</v>
      </c>
      <c r="E7345" s="15" t="s">
        <v>9494</v>
      </c>
    </row>
    <row r="7346" spans="2:5">
      <c r="B7346" s="15" t="s">
        <v>9488</v>
      </c>
      <c r="C7346" s="15" t="s">
        <v>9489</v>
      </c>
      <c r="D7346" s="15" t="s">
        <v>764</v>
      </c>
      <c r="E7346" s="15" t="s">
        <v>9495</v>
      </c>
    </row>
    <row r="7347" spans="2:5">
      <c r="B7347" s="15" t="s">
        <v>9488</v>
      </c>
      <c r="C7347" s="15" t="s">
        <v>9489</v>
      </c>
      <c r="D7347" s="15" t="s">
        <v>9496</v>
      </c>
      <c r="E7347" s="15" t="s">
        <v>9497</v>
      </c>
    </row>
    <row r="7348" spans="2:5">
      <c r="B7348" s="15" t="s">
        <v>9488</v>
      </c>
      <c r="C7348" s="15" t="s">
        <v>9489</v>
      </c>
      <c r="D7348" s="15" t="s">
        <v>9498</v>
      </c>
      <c r="E7348" s="15" t="s">
        <v>9499</v>
      </c>
    </row>
    <row r="7349" spans="2:5">
      <c r="B7349" s="15" t="s">
        <v>9488</v>
      </c>
      <c r="C7349" s="15" t="s">
        <v>9489</v>
      </c>
      <c r="D7349" s="15" t="s">
        <v>9500</v>
      </c>
      <c r="E7349" s="15" t="s">
        <v>9501</v>
      </c>
    </row>
    <row r="7350" spans="2:5">
      <c r="B7350" s="15" t="s">
        <v>9488</v>
      </c>
      <c r="C7350" s="15" t="s">
        <v>9489</v>
      </c>
      <c r="D7350" s="15" t="s">
        <v>9502</v>
      </c>
      <c r="E7350" s="15" t="s">
        <v>9503</v>
      </c>
    </row>
    <row r="7351" spans="2:5">
      <c r="B7351" s="15" t="s">
        <v>9488</v>
      </c>
      <c r="C7351" s="15" t="s">
        <v>9489</v>
      </c>
      <c r="D7351" s="15" t="s">
        <v>9504</v>
      </c>
      <c r="E7351" s="15" t="s">
        <v>9505</v>
      </c>
    </row>
    <row r="7352" spans="2:5">
      <c r="B7352" s="15" t="s">
        <v>9488</v>
      </c>
      <c r="C7352" s="15" t="s">
        <v>9489</v>
      </c>
      <c r="D7352" s="15" t="s">
        <v>9506</v>
      </c>
      <c r="E7352" s="15" t="s">
        <v>9507</v>
      </c>
    </row>
    <row r="7353" spans="2:5">
      <c r="B7353" s="15" t="s">
        <v>9488</v>
      </c>
      <c r="C7353" s="15" t="s">
        <v>9489</v>
      </c>
      <c r="D7353" s="15" t="s">
        <v>9508</v>
      </c>
      <c r="E7353" s="15" t="s">
        <v>9509</v>
      </c>
    </row>
    <row r="7354" spans="2:5">
      <c r="B7354" s="15" t="s">
        <v>9488</v>
      </c>
      <c r="C7354" s="15" t="s">
        <v>9489</v>
      </c>
      <c r="D7354" s="15" t="s">
        <v>9510</v>
      </c>
      <c r="E7354" s="15" t="s">
        <v>9511</v>
      </c>
    </row>
    <row r="7355" spans="2:5">
      <c r="B7355" s="15" t="s">
        <v>9488</v>
      </c>
      <c r="C7355" s="15" t="s">
        <v>9489</v>
      </c>
      <c r="D7355" s="15" t="s">
        <v>9512</v>
      </c>
      <c r="E7355" s="15" t="s">
        <v>9513</v>
      </c>
    </row>
    <row r="7356" spans="2:5">
      <c r="B7356" s="15" t="s">
        <v>9488</v>
      </c>
      <c r="C7356" s="15" t="s">
        <v>9489</v>
      </c>
      <c r="D7356" s="15" t="s">
        <v>9514</v>
      </c>
      <c r="E7356" s="15" t="s">
        <v>9515</v>
      </c>
    </row>
    <row r="7357" spans="2:5">
      <c r="B7357" s="15" t="s">
        <v>9488</v>
      </c>
      <c r="C7357" s="15" t="s">
        <v>9489</v>
      </c>
      <c r="D7357" s="15" t="s">
        <v>9516</v>
      </c>
      <c r="E7357" s="15" t="s">
        <v>9517</v>
      </c>
    </row>
    <row r="7358" spans="2:5">
      <c r="B7358" s="15" t="s">
        <v>9488</v>
      </c>
      <c r="C7358" s="15" t="s">
        <v>9489</v>
      </c>
      <c r="D7358" s="15" t="s">
        <v>9518</v>
      </c>
      <c r="E7358" s="15" t="s">
        <v>9519</v>
      </c>
    </row>
    <row r="7359" spans="2:5">
      <c r="B7359" s="15" t="s">
        <v>9488</v>
      </c>
      <c r="C7359" s="15" t="s">
        <v>9489</v>
      </c>
      <c r="D7359" s="15" t="s">
        <v>9520</v>
      </c>
      <c r="E7359" s="15" t="s">
        <v>9521</v>
      </c>
    </row>
    <row r="7360" spans="2:5">
      <c r="B7360" s="15" t="s">
        <v>9488</v>
      </c>
      <c r="C7360" s="15" t="s">
        <v>9489</v>
      </c>
      <c r="D7360" s="15" t="s">
        <v>9522</v>
      </c>
      <c r="E7360" s="15" t="s">
        <v>9523</v>
      </c>
    </row>
    <row r="7361" spans="2:5">
      <c r="B7361" s="15" t="s">
        <v>9488</v>
      </c>
      <c r="C7361" s="15" t="s">
        <v>9489</v>
      </c>
      <c r="D7361" s="15" t="s">
        <v>9524</v>
      </c>
      <c r="E7361" s="15" t="s">
        <v>9525</v>
      </c>
    </row>
    <row r="7362" spans="2:5">
      <c r="B7362" s="15" t="s">
        <v>9488</v>
      </c>
      <c r="C7362" s="15" t="s">
        <v>9489</v>
      </c>
      <c r="D7362" s="15" t="s">
        <v>9526</v>
      </c>
      <c r="E7362" s="15" t="s">
        <v>9527</v>
      </c>
    </row>
    <row r="7363" spans="2:5">
      <c r="B7363" s="15" t="s">
        <v>9488</v>
      </c>
      <c r="C7363" s="15" t="s">
        <v>9489</v>
      </c>
      <c r="D7363" s="15" t="s">
        <v>9528</v>
      </c>
      <c r="E7363" s="15" t="s">
        <v>9529</v>
      </c>
    </row>
    <row r="7364" spans="2:5">
      <c r="B7364" s="15" t="s">
        <v>9488</v>
      </c>
      <c r="C7364" s="15" t="s">
        <v>9489</v>
      </c>
      <c r="D7364" s="15" t="s">
        <v>9530</v>
      </c>
      <c r="E7364" s="15" t="s">
        <v>9531</v>
      </c>
    </row>
    <row r="7365" spans="2:5">
      <c r="B7365" s="15" t="s">
        <v>9488</v>
      </c>
      <c r="C7365" s="15" t="s">
        <v>9489</v>
      </c>
      <c r="D7365" s="15" t="s">
        <v>9532</v>
      </c>
      <c r="E7365" s="15" t="s">
        <v>9533</v>
      </c>
    </row>
    <row r="7366" spans="2:5">
      <c r="B7366" s="15" t="s">
        <v>9488</v>
      </c>
      <c r="C7366" s="15" t="s">
        <v>9489</v>
      </c>
      <c r="D7366" s="15" t="s">
        <v>9534</v>
      </c>
      <c r="E7366" s="15" t="s">
        <v>9535</v>
      </c>
    </row>
    <row r="7367" spans="2:5">
      <c r="B7367" s="15" t="s">
        <v>9488</v>
      </c>
      <c r="C7367" s="15" t="s">
        <v>9489</v>
      </c>
      <c r="D7367" s="15" t="s">
        <v>9536</v>
      </c>
      <c r="E7367" s="15" t="s">
        <v>9537</v>
      </c>
    </row>
    <row r="7368" spans="2:5">
      <c r="B7368" s="15" t="s">
        <v>9488</v>
      </c>
      <c r="C7368" s="15" t="s">
        <v>9489</v>
      </c>
      <c r="D7368" s="15" t="s">
        <v>9538</v>
      </c>
      <c r="E7368" s="15" t="s">
        <v>9539</v>
      </c>
    </row>
    <row r="7369" spans="2:5">
      <c r="B7369" s="15" t="s">
        <v>9488</v>
      </c>
      <c r="C7369" s="15" t="s">
        <v>9489</v>
      </c>
      <c r="D7369" s="15" t="s">
        <v>9540</v>
      </c>
      <c r="E7369" s="15" t="s">
        <v>9541</v>
      </c>
    </row>
    <row r="7370" spans="2:5">
      <c r="B7370" s="15" t="s">
        <v>9488</v>
      </c>
      <c r="C7370" s="15" t="s">
        <v>9489</v>
      </c>
      <c r="D7370" s="15" t="s">
        <v>9542</v>
      </c>
      <c r="E7370" s="15" t="s">
        <v>9543</v>
      </c>
    </row>
    <row r="7371" spans="2:5">
      <c r="B7371" s="15" t="s">
        <v>9488</v>
      </c>
      <c r="C7371" s="15" t="s">
        <v>9489</v>
      </c>
      <c r="D7371" s="15" t="s">
        <v>9544</v>
      </c>
      <c r="E7371" s="15" t="s">
        <v>9545</v>
      </c>
    </row>
    <row r="7372" spans="2:5">
      <c r="B7372" s="15" t="s">
        <v>9488</v>
      </c>
      <c r="C7372" s="15" t="s">
        <v>9489</v>
      </c>
      <c r="D7372" s="15" t="s">
        <v>9546</v>
      </c>
      <c r="E7372" s="15" t="s">
        <v>9547</v>
      </c>
    </row>
    <row r="7373" spans="2:5">
      <c r="B7373" s="15" t="s">
        <v>9488</v>
      </c>
      <c r="C7373" s="15" t="s">
        <v>9489</v>
      </c>
      <c r="D7373" s="15" t="s">
        <v>9548</v>
      </c>
      <c r="E7373" s="15" t="s">
        <v>9549</v>
      </c>
    </row>
    <row r="7374" spans="2:5">
      <c r="B7374" s="15" t="s">
        <v>9488</v>
      </c>
      <c r="C7374" s="15" t="s">
        <v>9489</v>
      </c>
      <c r="D7374" s="15" t="s">
        <v>9550</v>
      </c>
      <c r="E7374" s="15" t="s">
        <v>9551</v>
      </c>
    </row>
    <row r="7375" spans="2:5">
      <c r="B7375" s="15" t="s">
        <v>9488</v>
      </c>
      <c r="C7375" s="15" t="s">
        <v>9489</v>
      </c>
      <c r="D7375" s="15" t="s">
        <v>9552</v>
      </c>
      <c r="E7375" s="15" t="s">
        <v>9553</v>
      </c>
    </row>
    <row r="7376" spans="2:5">
      <c r="B7376" s="15" t="s">
        <v>9488</v>
      </c>
      <c r="C7376" s="15" t="s">
        <v>9489</v>
      </c>
      <c r="D7376" s="15" t="s">
        <v>9554</v>
      </c>
      <c r="E7376" s="15" t="s">
        <v>9555</v>
      </c>
    </row>
    <row r="7377" spans="2:5">
      <c r="B7377" s="15" t="s">
        <v>9488</v>
      </c>
      <c r="C7377" s="15" t="s">
        <v>9489</v>
      </c>
      <c r="D7377" s="15" t="s">
        <v>9556</v>
      </c>
      <c r="E7377" s="15" t="s">
        <v>9557</v>
      </c>
    </row>
    <row r="7378" spans="2:5">
      <c r="B7378" s="15" t="s">
        <v>9488</v>
      </c>
      <c r="C7378" s="15" t="s">
        <v>9489</v>
      </c>
      <c r="D7378" s="15" t="s">
        <v>9558</v>
      </c>
      <c r="E7378" s="15" t="s">
        <v>9559</v>
      </c>
    </row>
    <row r="7379" spans="2:5">
      <c r="B7379" s="15" t="s">
        <v>9488</v>
      </c>
      <c r="C7379" s="15" t="s">
        <v>9489</v>
      </c>
      <c r="D7379" s="15" t="s">
        <v>9560</v>
      </c>
      <c r="E7379" s="15" t="s">
        <v>9561</v>
      </c>
    </row>
    <row r="7380" spans="2:5">
      <c r="B7380" s="15" t="s">
        <v>9488</v>
      </c>
      <c r="C7380" s="15" t="s">
        <v>9489</v>
      </c>
      <c r="D7380" s="15" t="s">
        <v>9562</v>
      </c>
      <c r="E7380" s="15" t="s">
        <v>9563</v>
      </c>
    </row>
    <row r="7381" spans="2:5">
      <c r="B7381" s="15" t="s">
        <v>9488</v>
      </c>
      <c r="C7381" s="15" t="s">
        <v>9489</v>
      </c>
      <c r="D7381" s="15" t="s">
        <v>9564</v>
      </c>
      <c r="E7381" s="15" t="s">
        <v>9565</v>
      </c>
    </row>
    <row r="7382" spans="2:5">
      <c r="B7382" s="15" t="s">
        <v>9488</v>
      </c>
      <c r="C7382" s="15" t="s">
        <v>9489</v>
      </c>
      <c r="D7382" s="15" t="s">
        <v>9566</v>
      </c>
      <c r="E7382" s="15" t="s">
        <v>9567</v>
      </c>
    </row>
    <row r="7383" spans="2:5">
      <c r="B7383" s="15" t="s">
        <v>9488</v>
      </c>
      <c r="C7383" s="15" t="s">
        <v>9489</v>
      </c>
      <c r="D7383" s="15" t="s">
        <v>9568</v>
      </c>
      <c r="E7383" s="15" t="s">
        <v>9569</v>
      </c>
    </row>
    <row r="7384" spans="2:5">
      <c r="B7384" s="15" t="s">
        <v>9488</v>
      </c>
      <c r="C7384" s="15" t="s">
        <v>9489</v>
      </c>
      <c r="D7384" s="15" t="s">
        <v>9570</v>
      </c>
      <c r="E7384" s="15" t="s">
        <v>9571</v>
      </c>
    </row>
    <row r="7385" spans="2:5">
      <c r="B7385" s="15" t="s">
        <v>9488</v>
      </c>
      <c r="C7385" s="15" t="s">
        <v>9489</v>
      </c>
      <c r="D7385" s="15" t="s">
        <v>9572</v>
      </c>
      <c r="E7385" s="15" t="s">
        <v>9573</v>
      </c>
    </row>
    <row r="7386" spans="2:5">
      <c r="B7386" s="15" t="s">
        <v>9488</v>
      </c>
      <c r="C7386" s="15" t="s">
        <v>9489</v>
      </c>
      <c r="D7386" s="15" t="s">
        <v>9574</v>
      </c>
      <c r="E7386" s="15" t="s">
        <v>9575</v>
      </c>
    </row>
    <row r="7387" spans="2:5">
      <c r="B7387" s="15" t="s">
        <v>9488</v>
      </c>
      <c r="C7387" s="15" t="s">
        <v>9489</v>
      </c>
      <c r="D7387" s="15" t="s">
        <v>9576</v>
      </c>
      <c r="E7387" s="15" t="s">
        <v>9577</v>
      </c>
    </row>
    <row r="7388" spans="2:5">
      <c r="B7388" s="15" t="s">
        <v>9488</v>
      </c>
      <c r="C7388" s="15" t="s">
        <v>9489</v>
      </c>
      <c r="D7388" s="15" t="s">
        <v>9578</v>
      </c>
      <c r="E7388" s="15" t="s">
        <v>9579</v>
      </c>
    </row>
    <row r="7389" spans="2:5">
      <c r="B7389" s="15" t="s">
        <v>9488</v>
      </c>
      <c r="C7389" s="15" t="s">
        <v>9489</v>
      </c>
      <c r="D7389" s="15" t="s">
        <v>9580</v>
      </c>
      <c r="E7389" s="15" t="s">
        <v>9581</v>
      </c>
    </row>
    <row r="7390" spans="2:5">
      <c r="B7390" s="15" t="s">
        <v>9488</v>
      </c>
      <c r="C7390" s="15" t="s">
        <v>9489</v>
      </c>
      <c r="D7390" s="15" t="s">
        <v>9582</v>
      </c>
      <c r="E7390" s="15" t="s">
        <v>9583</v>
      </c>
    </row>
    <row r="7391" spans="2:5">
      <c r="B7391" s="15" t="s">
        <v>9488</v>
      </c>
      <c r="C7391" s="15" t="s">
        <v>9489</v>
      </c>
      <c r="D7391" s="15" t="s">
        <v>9584</v>
      </c>
      <c r="E7391" s="15" t="s">
        <v>9585</v>
      </c>
    </row>
    <row r="7392" spans="2:5">
      <c r="B7392" s="15" t="s">
        <v>9488</v>
      </c>
      <c r="C7392" s="15" t="s">
        <v>9489</v>
      </c>
      <c r="D7392" s="15" t="s">
        <v>9586</v>
      </c>
      <c r="E7392" s="15" t="s">
        <v>9587</v>
      </c>
    </row>
    <row r="7393" spans="2:5">
      <c r="B7393" s="15" t="s">
        <v>9488</v>
      </c>
      <c r="C7393" s="15" t="s">
        <v>9489</v>
      </c>
      <c r="D7393" s="15" t="s">
        <v>9588</v>
      </c>
      <c r="E7393" s="15" t="s">
        <v>9589</v>
      </c>
    </row>
    <row r="7394" spans="2:5">
      <c r="B7394" s="15" t="s">
        <v>9488</v>
      </c>
      <c r="C7394" s="15" t="s">
        <v>9489</v>
      </c>
      <c r="D7394" s="15" t="s">
        <v>9590</v>
      </c>
      <c r="E7394" s="15" t="s">
        <v>9591</v>
      </c>
    </row>
    <row r="7395" spans="2:5">
      <c r="B7395" s="15" t="s">
        <v>9488</v>
      </c>
      <c r="C7395" s="15" t="s">
        <v>9489</v>
      </c>
      <c r="D7395" s="15" t="s">
        <v>9592</v>
      </c>
      <c r="E7395" s="15" t="s">
        <v>9593</v>
      </c>
    </row>
    <row r="7396" spans="2:5">
      <c r="B7396" s="15" t="s">
        <v>9488</v>
      </c>
      <c r="C7396" s="15" t="s">
        <v>9489</v>
      </c>
      <c r="D7396" s="15" t="s">
        <v>9594</v>
      </c>
      <c r="E7396" s="15" t="s">
        <v>743</v>
      </c>
    </row>
    <row r="7397" spans="2:5">
      <c r="B7397" s="15" t="s">
        <v>9488</v>
      </c>
      <c r="C7397" s="15" t="s">
        <v>9489</v>
      </c>
      <c r="D7397" s="15" t="s">
        <v>9595</v>
      </c>
      <c r="E7397" s="15" t="s">
        <v>9596</v>
      </c>
    </row>
    <row r="7398" spans="2:5">
      <c r="B7398" s="15" t="s">
        <v>9488</v>
      </c>
      <c r="C7398" s="15" t="s">
        <v>9489</v>
      </c>
      <c r="D7398" s="15" t="s">
        <v>9597</v>
      </c>
      <c r="E7398" s="15" t="s">
        <v>9598</v>
      </c>
    </row>
    <row r="7399" spans="2:5">
      <c r="B7399" s="15" t="s">
        <v>9488</v>
      </c>
      <c r="C7399" s="15" t="s">
        <v>9489</v>
      </c>
      <c r="D7399" s="15" t="s">
        <v>9599</v>
      </c>
      <c r="E7399" s="15" t="s">
        <v>9600</v>
      </c>
    </row>
    <row r="7400" spans="2:5">
      <c r="B7400" s="15" t="s">
        <v>9488</v>
      </c>
      <c r="C7400" s="15" t="s">
        <v>9489</v>
      </c>
      <c r="D7400" s="15" t="s">
        <v>9601</v>
      </c>
      <c r="E7400" s="15" t="s">
        <v>9602</v>
      </c>
    </row>
    <row r="7401" spans="2:5">
      <c r="B7401" s="15" t="s">
        <v>9488</v>
      </c>
      <c r="C7401" s="15" t="s">
        <v>9489</v>
      </c>
      <c r="D7401" s="15" t="s">
        <v>9603</v>
      </c>
      <c r="E7401" s="15" t="s">
        <v>9604</v>
      </c>
    </row>
    <row r="7402" spans="2:5">
      <c r="B7402" s="15" t="s">
        <v>9488</v>
      </c>
      <c r="C7402" s="15" t="s">
        <v>9489</v>
      </c>
      <c r="D7402" s="15" t="s">
        <v>9605</v>
      </c>
      <c r="E7402" s="15" t="s">
        <v>9606</v>
      </c>
    </row>
    <row r="7403" spans="2:5">
      <c r="B7403" s="15" t="s">
        <v>9488</v>
      </c>
      <c r="C7403" s="15" t="s">
        <v>9489</v>
      </c>
      <c r="D7403" s="15" t="s">
        <v>9607</v>
      </c>
      <c r="E7403" s="15" t="s">
        <v>9608</v>
      </c>
    </row>
    <row r="7404" spans="2:5">
      <c r="B7404" s="15" t="s">
        <v>9488</v>
      </c>
      <c r="C7404" s="15" t="s">
        <v>9489</v>
      </c>
      <c r="D7404" s="15" t="s">
        <v>9609</v>
      </c>
      <c r="E7404" s="15" t="s">
        <v>9610</v>
      </c>
    </row>
    <row r="7405" spans="2:5">
      <c r="B7405" s="15" t="s">
        <v>9488</v>
      </c>
      <c r="C7405" s="15" t="s">
        <v>9489</v>
      </c>
      <c r="D7405" s="15" t="s">
        <v>9611</v>
      </c>
      <c r="E7405" s="15" t="s">
        <v>9612</v>
      </c>
    </row>
    <row r="7406" spans="2:5">
      <c r="B7406" s="15" t="s">
        <v>9488</v>
      </c>
      <c r="C7406" s="15" t="s">
        <v>9489</v>
      </c>
      <c r="D7406" s="15" t="s">
        <v>9613</v>
      </c>
      <c r="E7406" s="15" t="s">
        <v>9614</v>
      </c>
    </row>
    <row r="7407" spans="2:5">
      <c r="B7407" s="15" t="s">
        <v>9488</v>
      </c>
      <c r="C7407" s="15" t="s">
        <v>9489</v>
      </c>
      <c r="D7407" s="15" t="s">
        <v>9615</v>
      </c>
      <c r="E7407" s="15" t="s">
        <v>9616</v>
      </c>
    </row>
    <row r="7408" spans="2:5">
      <c r="B7408" s="15" t="s">
        <v>9488</v>
      </c>
      <c r="C7408" s="15" t="s">
        <v>9489</v>
      </c>
      <c r="D7408" s="15" t="s">
        <v>9617</v>
      </c>
      <c r="E7408" s="15" t="s">
        <v>9618</v>
      </c>
    </row>
    <row r="7409" spans="2:5">
      <c r="B7409" s="15" t="s">
        <v>9488</v>
      </c>
      <c r="C7409" s="15" t="s">
        <v>9489</v>
      </c>
      <c r="D7409" s="15" t="s">
        <v>9619</v>
      </c>
      <c r="E7409" s="15" t="s">
        <v>9495</v>
      </c>
    </row>
    <row r="7410" spans="2:5">
      <c r="B7410" s="15" t="s">
        <v>9488</v>
      </c>
      <c r="C7410" s="15" t="s">
        <v>9489</v>
      </c>
      <c r="D7410" s="15" t="s">
        <v>9620</v>
      </c>
      <c r="E7410" s="15" t="s">
        <v>9621</v>
      </c>
    </row>
    <row r="7411" spans="2:5">
      <c r="B7411" s="15" t="s">
        <v>9488</v>
      </c>
      <c r="C7411" s="15" t="s">
        <v>9489</v>
      </c>
      <c r="D7411" s="15" t="s">
        <v>9622</v>
      </c>
      <c r="E7411" s="15" t="s">
        <v>9623</v>
      </c>
    </row>
    <row r="7412" spans="2:5">
      <c r="B7412" s="15" t="s">
        <v>9488</v>
      </c>
      <c r="C7412" s="15" t="s">
        <v>9489</v>
      </c>
      <c r="D7412" s="15" t="s">
        <v>9624</v>
      </c>
      <c r="E7412" s="15" t="s">
        <v>9625</v>
      </c>
    </row>
    <row r="7413" spans="2:5">
      <c r="B7413" s="15" t="s">
        <v>9488</v>
      </c>
      <c r="C7413" s="15" t="s">
        <v>9489</v>
      </c>
      <c r="D7413" s="15" t="s">
        <v>9626</v>
      </c>
      <c r="E7413" s="15" t="s">
        <v>9627</v>
      </c>
    </row>
    <row r="7414" spans="2:5">
      <c r="B7414" s="15" t="s">
        <v>9488</v>
      </c>
      <c r="C7414" s="15" t="s">
        <v>9489</v>
      </c>
      <c r="D7414" s="15" t="s">
        <v>9628</v>
      </c>
      <c r="E7414" s="15" t="s">
        <v>9629</v>
      </c>
    </row>
    <row r="7415" spans="2:5">
      <c r="B7415" s="15" t="s">
        <v>9488</v>
      </c>
      <c r="C7415" s="15" t="s">
        <v>9489</v>
      </c>
      <c r="D7415" s="15" t="s">
        <v>9630</v>
      </c>
      <c r="E7415" s="15" t="s">
        <v>9631</v>
      </c>
    </row>
    <row r="7416" spans="2:5">
      <c r="B7416" s="15" t="s">
        <v>9488</v>
      </c>
      <c r="C7416" s="15" t="s">
        <v>9489</v>
      </c>
      <c r="D7416" s="15" t="s">
        <v>9632</v>
      </c>
      <c r="E7416" s="15" t="s">
        <v>9633</v>
      </c>
    </row>
    <row r="7417" spans="2:5">
      <c r="B7417" s="15" t="s">
        <v>9488</v>
      </c>
      <c r="C7417" s="15" t="s">
        <v>9489</v>
      </c>
      <c r="D7417" s="15" t="s">
        <v>9634</v>
      </c>
      <c r="E7417" s="15" t="s">
        <v>9635</v>
      </c>
    </row>
    <row r="7418" spans="2:5">
      <c r="B7418" s="15" t="s">
        <v>9488</v>
      </c>
      <c r="C7418" s="15" t="s">
        <v>9489</v>
      </c>
      <c r="D7418" s="15" t="s">
        <v>9636</v>
      </c>
      <c r="E7418" s="15" t="s">
        <v>9637</v>
      </c>
    </row>
    <row r="7419" spans="2:5">
      <c r="B7419" s="15" t="s">
        <v>9488</v>
      </c>
      <c r="C7419" s="15" t="s">
        <v>9489</v>
      </c>
      <c r="D7419" s="15" t="s">
        <v>9638</v>
      </c>
      <c r="E7419" s="15" t="s">
        <v>9639</v>
      </c>
    </row>
    <row r="7420" spans="2:5">
      <c r="B7420" s="15" t="s">
        <v>9488</v>
      </c>
      <c r="C7420" s="15" t="s">
        <v>9489</v>
      </c>
      <c r="D7420" s="15" t="s">
        <v>9640</v>
      </c>
      <c r="E7420" s="15" t="s">
        <v>9641</v>
      </c>
    </row>
    <row r="7421" spans="2:5">
      <c r="B7421" s="15" t="s">
        <v>9488</v>
      </c>
      <c r="C7421" s="15" t="s">
        <v>9489</v>
      </c>
      <c r="D7421" s="15" t="s">
        <v>9642</v>
      </c>
      <c r="E7421" s="15" t="s">
        <v>745</v>
      </c>
    </row>
    <row r="7422" spans="2:5">
      <c r="B7422" s="15" t="s">
        <v>9488</v>
      </c>
      <c r="C7422" s="15" t="s">
        <v>9489</v>
      </c>
      <c r="D7422" s="15" t="s">
        <v>9643</v>
      </c>
      <c r="E7422" s="15" t="s">
        <v>9644</v>
      </c>
    </row>
    <row r="7423" spans="2:5">
      <c r="B7423" s="15" t="s">
        <v>9488</v>
      </c>
      <c r="C7423" s="15" t="s">
        <v>9489</v>
      </c>
      <c r="D7423" s="15" t="s">
        <v>9645</v>
      </c>
      <c r="E7423" s="15" t="s">
        <v>9646</v>
      </c>
    </row>
    <row r="7424" spans="2:5">
      <c r="B7424" s="15" t="s">
        <v>9488</v>
      </c>
      <c r="C7424" s="15" t="s">
        <v>9489</v>
      </c>
      <c r="D7424" s="15" t="s">
        <v>9647</v>
      </c>
      <c r="E7424" s="15" t="s">
        <v>9648</v>
      </c>
    </row>
    <row r="7425" spans="2:5">
      <c r="B7425" s="15" t="s">
        <v>9488</v>
      </c>
      <c r="C7425" s="15" t="s">
        <v>9489</v>
      </c>
      <c r="D7425" s="15" t="s">
        <v>9649</v>
      </c>
      <c r="E7425" s="15" t="s">
        <v>9650</v>
      </c>
    </row>
    <row r="7426" spans="2:5">
      <c r="B7426" s="15" t="s">
        <v>9488</v>
      </c>
      <c r="C7426" s="15" t="s">
        <v>9489</v>
      </c>
      <c r="D7426" s="15" t="s">
        <v>9651</v>
      </c>
      <c r="E7426" s="15" t="s">
        <v>9652</v>
      </c>
    </row>
    <row r="7427" spans="2:5">
      <c r="B7427" s="15" t="s">
        <v>9488</v>
      </c>
      <c r="C7427" s="15" t="s">
        <v>9489</v>
      </c>
      <c r="D7427" s="15" t="s">
        <v>9653</v>
      </c>
      <c r="E7427" s="15" t="s">
        <v>9654</v>
      </c>
    </row>
    <row r="7428" spans="2:5">
      <c r="B7428" s="15" t="s">
        <v>9488</v>
      </c>
      <c r="C7428" s="15" t="s">
        <v>9489</v>
      </c>
      <c r="D7428" s="15" t="s">
        <v>9655</v>
      </c>
      <c r="E7428" s="15" t="s">
        <v>9656</v>
      </c>
    </row>
    <row r="7429" spans="2:5">
      <c r="B7429" s="15" t="s">
        <v>9488</v>
      </c>
      <c r="C7429" s="15" t="s">
        <v>9489</v>
      </c>
      <c r="D7429" s="15" t="s">
        <v>9657</v>
      </c>
      <c r="E7429" s="15" t="s">
        <v>9658</v>
      </c>
    </row>
    <row r="7430" spans="2:5">
      <c r="B7430" s="15" t="s">
        <v>9488</v>
      </c>
      <c r="C7430" s="15" t="s">
        <v>9489</v>
      </c>
      <c r="D7430" s="15" t="s">
        <v>9659</v>
      </c>
      <c r="E7430" s="15" t="s">
        <v>741</v>
      </c>
    </row>
    <row r="7431" spans="2:5">
      <c r="B7431" s="15" t="s">
        <v>9488</v>
      </c>
      <c r="C7431" s="15" t="s">
        <v>9489</v>
      </c>
      <c r="D7431" s="15" t="s">
        <v>9660</v>
      </c>
      <c r="E7431" s="15" t="s">
        <v>9661</v>
      </c>
    </row>
    <row r="7432" spans="2:5">
      <c r="B7432" s="15" t="s">
        <v>9488</v>
      </c>
      <c r="C7432" s="15" t="s">
        <v>9489</v>
      </c>
      <c r="D7432" s="15" t="s">
        <v>9662</v>
      </c>
      <c r="E7432" s="15" t="s">
        <v>9663</v>
      </c>
    </row>
    <row r="7433" spans="2:5">
      <c r="B7433" s="15" t="s">
        <v>9488</v>
      </c>
      <c r="C7433" s="15" t="s">
        <v>9489</v>
      </c>
      <c r="D7433" s="15" t="s">
        <v>9664</v>
      </c>
      <c r="E7433" s="15" t="s">
        <v>9665</v>
      </c>
    </row>
    <row r="7434" spans="2:5">
      <c r="B7434" s="15" t="s">
        <v>9488</v>
      </c>
      <c r="C7434" s="15" t="s">
        <v>9489</v>
      </c>
      <c r="D7434" s="15" t="s">
        <v>9666</v>
      </c>
      <c r="E7434" s="15" t="s">
        <v>9667</v>
      </c>
    </row>
    <row r="7435" spans="2:5">
      <c r="B7435" s="15" t="s">
        <v>9488</v>
      </c>
      <c r="C7435" s="15" t="s">
        <v>9489</v>
      </c>
      <c r="D7435" s="15" t="s">
        <v>9668</v>
      </c>
      <c r="E7435" s="15" t="s">
        <v>9669</v>
      </c>
    </row>
    <row r="7436" spans="2:5">
      <c r="B7436" s="15" t="s">
        <v>9488</v>
      </c>
      <c r="C7436" s="15" t="s">
        <v>9489</v>
      </c>
      <c r="D7436" s="15" t="s">
        <v>9670</v>
      </c>
      <c r="E7436" s="15" t="s">
        <v>9671</v>
      </c>
    </row>
    <row r="7437" spans="2:5">
      <c r="B7437" s="15" t="s">
        <v>9488</v>
      </c>
      <c r="C7437" s="15" t="s">
        <v>9489</v>
      </c>
      <c r="D7437" s="15" t="s">
        <v>9672</v>
      </c>
      <c r="E7437" s="15" t="s">
        <v>9673</v>
      </c>
    </row>
    <row r="7438" spans="2:5">
      <c r="B7438" s="15" t="s">
        <v>9488</v>
      </c>
      <c r="C7438" s="15" t="s">
        <v>9489</v>
      </c>
      <c r="D7438" s="15" t="s">
        <v>9674</v>
      </c>
      <c r="E7438" s="15" t="s">
        <v>9675</v>
      </c>
    </row>
    <row r="7439" spans="2:5">
      <c r="B7439" s="15" t="s">
        <v>9488</v>
      </c>
      <c r="C7439" s="15" t="s">
        <v>9489</v>
      </c>
      <c r="D7439" s="15" t="s">
        <v>9676</v>
      </c>
      <c r="E7439" s="15" t="s">
        <v>9677</v>
      </c>
    </row>
    <row r="7440" ht="15.95" spans="2:2">
      <c r="B7440" s="122" t="s">
        <v>9678</v>
      </c>
    </row>
    <row r="7441" spans="2:5">
      <c r="B7441" s="15" t="s">
        <v>9679</v>
      </c>
      <c r="C7441" s="15"/>
      <c r="D7441" s="15" t="s">
        <v>770</v>
      </c>
      <c r="E7441" s="15" t="s">
        <v>1814</v>
      </c>
    </row>
    <row r="7442" spans="2:5">
      <c r="B7442" s="15" t="s">
        <v>9679</v>
      </c>
      <c r="C7442" s="15"/>
      <c r="D7442" s="15" t="s">
        <v>772</v>
      </c>
      <c r="E7442" s="15" t="s">
        <v>9680</v>
      </c>
    </row>
    <row r="7443" spans="2:5">
      <c r="B7443" s="15" t="s">
        <v>9679</v>
      </c>
      <c r="C7443" s="15"/>
      <c r="D7443" s="15" t="s">
        <v>774</v>
      </c>
      <c r="E7443" s="15" t="s">
        <v>9681</v>
      </c>
    </row>
    <row r="7444" spans="2:5">
      <c r="B7444" s="15" t="s">
        <v>9679</v>
      </c>
      <c r="C7444" s="15"/>
      <c r="D7444" s="15" t="s">
        <v>1384</v>
      </c>
      <c r="E7444" s="15" t="s">
        <v>9682</v>
      </c>
    </row>
    <row r="7445" spans="2:5">
      <c r="B7445" s="15" t="s">
        <v>9679</v>
      </c>
      <c r="C7445" s="15"/>
      <c r="D7445" s="15" t="s">
        <v>1391</v>
      </c>
      <c r="E7445" s="15" t="s">
        <v>9683</v>
      </c>
    </row>
    <row r="7446" ht="15.95" spans="2:2">
      <c r="B7446" s="122" t="s">
        <v>9684</v>
      </c>
    </row>
    <row r="7447" spans="2:5">
      <c r="B7447" s="15" t="s">
        <v>9685</v>
      </c>
      <c r="C7447" s="15" t="s">
        <v>9686</v>
      </c>
      <c r="D7447" s="15" t="s">
        <v>770</v>
      </c>
      <c r="E7447" s="15" t="s">
        <v>8205</v>
      </c>
    </row>
    <row r="7448" spans="2:5">
      <c r="B7448" s="15" t="s">
        <v>9685</v>
      </c>
      <c r="C7448" s="15" t="s">
        <v>9686</v>
      </c>
      <c r="D7448" s="15" t="s">
        <v>772</v>
      </c>
      <c r="E7448" s="15" t="s">
        <v>9687</v>
      </c>
    </row>
    <row r="7449" spans="2:5">
      <c r="B7449" s="15" t="s">
        <v>9685</v>
      </c>
      <c r="C7449" s="15" t="s">
        <v>9686</v>
      </c>
      <c r="D7449" s="15" t="s">
        <v>774</v>
      </c>
      <c r="E7449" s="15" t="s">
        <v>9688</v>
      </c>
    </row>
    <row r="7450" ht="15.95" spans="2:2">
      <c r="B7450" s="122" t="s">
        <v>9689</v>
      </c>
    </row>
    <row r="7451" spans="2:5">
      <c r="B7451" s="15" t="s">
        <v>9690</v>
      </c>
      <c r="C7451" s="15" t="s">
        <v>9691</v>
      </c>
      <c r="D7451" s="15" t="s">
        <v>785</v>
      </c>
      <c r="E7451" s="15" t="s">
        <v>9692</v>
      </c>
    </row>
    <row r="7452" spans="2:5">
      <c r="B7452" s="15" t="s">
        <v>9690</v>
      </c>
      <c r="C7452" s="15" t="s">
        <v>9691</v>
      </c>
      <c r="D7452" s="15" t="s">
        <v>787</v>
      </c>
      <c r="E7452" s="15" t="s">
        <v>9693</v>
      </c>
    </row>
    <row r="7453" spans="2:5">
      <c r="B7453" s="15" t="s">
        <v>9690</v>
      </c>
      <c r="C7453" s="15" t="s">
        <v>9691</v>
      </c>
      <c r="D7453" s="15" t="s">
        <v>789</v>
      </c>
      <c r="E7453" s="15" t="s">
        <v>9694</v>
      </c>
    </row>
    <row r="7454" spans="2:5">
      <c r="B7454" s="15" t="s">
        <v>9690</v>
      </c>
      <c r="C7454" s="15" t="s">
        <v>9691</v>
      </c>
      <c r="D7454" s="15" t="s">
        <v>791</v>
      </c>
      <c r="E7454" s="15" t="s">
        <v>9695</v>
      </c>
    </row>
    <row r="7455" spans="2:5">
      <c r="B7455" s="15" t="s">
        <v>9690</v>
      </c>
      <c r="C7455" s="15" t="s">
        <v>9691</v>
      </c>
      <c r="D7455" s="15" t="s">
        <v>793</v>
      </c>
      <c r="E7455" s="15" t="s">
        <v>235</v>
      </c>
    </row>
    <row r="7456" ht="15.95" spans="2:2">
      <c r="B7456" s="122" t="s">
        <v>9696</v>
      </c>
    </row>
    <row r="7457" spans="2:5">
      <c r="B7457" s="15" t="s">
        <v>9697</v>
      </c>
      <c r="C7457" s="15" t="s">
        <v>9698</v>
      </c>
      <c r="D7457" s="15" t="s">
        <v>770</v>
      </c>
      <c r="E7457" s="15" t="s">
        <v>1841</v>
      </c>
    </row>
    <row r="7458" spans="2:5">
      <c r="B7458" s="15" t="s">
        <v>9697</v>
      </c>
      <c r="C7458" s="15" t="s">
        <v>9698</v>
      </c>
      <c r="D7458" s="15" t="s">
        <v>772</v>
      </c>
      <c r="E7458" s="15" t="s">
        <v>1842</v>
      </c>
    </row>
    <row r="7459" spans="2:5">
      <c r="B7459" s="15" t="s">
        <v>9697</v>
      </c>
      <c r="C7459" s="15" t="s">
        <v>9698</v>
      </c>
      <c r="D7459" s="15" t="s">
        <v>774</v>
      </c>
      <c r="E7459" s="15" t="s">
        <v>1843</v>
      </c>
    </row>
    <row r="7460" ht="15.95" spans="2:2">
      <c r="B7460" s="122" t="s">
        <v>9699</v>
      </c>
    </row>
    <row r="7461" spans="2:5">
      <c r="B7461" s="15" t="s">
        <v>9700</v>
      </c>
      <c r="C7461" s="15" t="s">
        <v>9701</v>
      </c>
      <c r="D7461" s="15" t="s">
        <v>770</v>
      </c>
      <c r="E7461" s="15" t="s">
        <v>9702</v>
      </c>
    </row>
    <row r="7462" spans="2:5">
      <c r="B7462" s="15" t="s">
        <v>9700</v>
      </c>
      <c r="C7462" s="15" t="s">
        <v>9701</v>
      </c>
      <c r="D7462" s="15" t="s">
        <v>772</v>
      </c>
      <c r="E7462" s="15" t="s">
        <v>3756</v>
      </c>
    </row>
    <row r="7463" spans="2:5">
      <c r="B7463" s="15" t="s">
        <v>9700</v>
      </c>
      <c r="C7463" s="15" t="s">
        <v>9701</v>
      </c>
      <c r="D7463" s="15" t="s">
        <v>774</v>
      </c>
      <c r="E7463" s="15" t="s">
        <v>9703</v>
      </c>
    </row>
    <row r="7464" spans="2:5">
      <c r="B7464" s="15" t="s">
        <v>9700</v>
      </c>
      <c r="C7464" s="15" t="s">
        <v>9701</v>
      </c>
      <c r="D7464" s="15" t="s">
        <v>828</v>
      </c>
      <c r="E7464" s="15" t="s">
        <v>9704</v>
      </c>
    </row>
    <row r="7465" spans="2:5">
      <c r="B7465" s="15" t="s">
        <v>9700</v>
      </c>
      <c r="C7465" s="15" t="s">
        <v>9701</v>
      </c>
      <c r="D7465" s="15" t="s">
        <v>901</v>
      </c>
      <c r="E7465" s="15" t="s">
        <v>9705</v>
      </c>
    </row>
    <row r="7466" spans="2:5">
      <c r="B7466" s="15" t="s">
        <v>9700</v>
      </c>
      <c r="C7466" s="15" t="s">
        <v>9701</v>
      </c>
      <c r="D7466" s="15" t="s">
        <v>776</v>
      </c>
      <c r="E7466" s="15" t="s">
        <v>9706</v>
      </c>
    </row>
    <row r="7467" spans="2:5">
      <c r="B7467" s="15" t="s">
        <v>9700</v>
      </c>
      <c r="C7467" s="15" t="s">
        <v>9701</v>
      </c>
      <c r="D7467" s="15" t="s">
        <v>1290</v>
      </c>
      <c r="E7467" s="15" t="s">
        <v>9707</v>
      </c>
    </row>
    <row r="7468" ht="15.95" spans="2:2">
      <c r="B7468" s="122" t="s">
        <v>9708</v>
      </c>
    </row>
    <row r="7469" spans="2:5">
      <c r="B7469" s="15" t="s">
        <v>9709</v>
      </c>
      <c r="C7469" s="15" t="s">
        <v>9710</v>
      </c>
      <c r="D7469" s="15" t="s">
        <v>770</v>
      </c>
      <c r="E7469" s="15" t="s">
        <v>1699</v>
      </c>
    </row>
    <row r="7470" spans="2:5">
      <c r="B7470" s="15" t="s">
        <v>9709</v>
      </c>
      <c r="C7470" s="15" t="s">
        <v>9710</v>
      </c>
      <c r="D7470" s="15" t="s">
        <v>780</v>
      </c>
      <c r="E7470" s="15" t="s">
        <v>9711</v>
      </c>
    </row>
    <row r="7471" spans="2:5">
      <c r="B7471" s="15" t="s">
        <v>9709</v>
      </c>
      <c r="C7471" s="15" t="s">
        <v>9710</v>
      </c>
      <c r="D7471" s="15" t="s">
        <v>3040</v>
      </c>
      <c r="E7471" s="15" t="s">
        <v>9712</v>
      </c>
    </row>
    <row r="7472" spans="2:5">
      <c r="B7472" s="15" t="s">
        <v>9709</v>
      </c>
      <c r="C7472" s="15" t="s">
        <v>9710</v>
      </c>
      <c r="D7472" s="15" t="s">
        <v>1372</v>
      </c>
      <c r="E7472" s="15" t="s">
        <v>9713</v>
      </c>
    </row>
    <row r="7473" spans="2:5">
      <c r="B7473" s="15" t="s">
        <v>9709</v>
      </c>
      <c r="C7473" s="15" t="s">
        <v>9710</v>
      </c>
      <c r="D7473" s="15" t="s">
        <v>3147</v>
      </c>
      <c r="E7473" s="15" t="s">
        <v>9714</v>
      </c>
    </row>
    <row r="7474" spans="2:5">
      <c r="B7474" s="15" t="s">
        <v>9709</v>
      </c>
      <c r="C7474" s="15" t="s">
        <v>9710</v>
      </c>
      <c r="D7474" s="15" t="s">
        <v>3149</v>
      </c>
      <c r="E7474" s="15" t="s">
        <v>9715</v>
      </c>
    </row>
    <row r="7475" spans="2:5">
      <c r="B7475" s="15" t="s">
        <v>9709</v>
      </c>
      <c r="C7475" s="15" t="s">
        <v>9710</v>
      </c>
      <c r="D7475" s="15" t="s">
        <v>3151</v>
      </c>
      <c r="E7475" s="15" t="s">
        <v>9716</v>
      </c>
    </row>
    <row r="7476" spans="2:5">
      <c r="B7476" s="15" t="s">
        <v>9709</v>
      </c>
      <c r="C7476" s="15" t="s">
        <v>9710</v>
      </c>
      <c r="D7476" s="15" t="s">
        <v>3153</v>
      </c>
      <c r="E7476" s="15" t="s">
        <v>9717</v>
      </c>
    </row>
    <row r="7477" spans="2:5">
      <c r="B7477" s="15" t="s">
        <v>9709</v>
      </c>
      <c r="C7477" s="15" t="s">
        <v>9710</v>
      </c>
      <c r="D7477" s="15" t="s">
        <v>3155</v>
      </c>
      <c r="E7477" s="15" t="s">
        <v>9718</v>
      </c>
    </row>
    <row r="7478" spans="2:5">
      <c r="B7478" s="15" t="s">
        <v>9709</v>
      </c>
      <c r="C7478" s="15" t="s">
        <v>9710</v>
      </c>
      <c r="D7478" s="15" t="s">
        <v>3157</v>
      </c>
      <c r="E7478" s="15" t="s">
        <v>9719</v>
      </c>
    </row>
    <row r="7479" spans="2:5">
      <c r="B7479" s="15" t="s">
        <v>9709</v>
      </c>
      <c r="C7479" s="15" t="s">
        <v>9710</v>
      </c>
      <c r="D7479" s="15" t="s">
        <v>2332</v>
      </c>
      <c r="E7479" s="15" t="s">
        <v>9720</v>
      </c>
    </row>
    <row r="7480" spans="2:5">
      <c r="B7480" s="15" t="s">
        <v>9709</v>
      </c>
      <c r="C7480" s="15" t="s">
        <v>9710</v>
      </c>
      <c r="D7480" s="15" t="s">
        <v>9721</v>
      </c>
      <c r="E7480" s="15" t="s">
        <v>9722</v>
      </c>
    </row>
    <row r="7481" spans="2:5">
      <c r="B7481" s="15" t="s">
        <v>9709</v>
      </c>
      <c r="C7481" s="15" t="s">
        <v>9710</v>
      </c>
      <c r="D7481" s="15" t="s">
        <v>9723</v>
      </c>
      <c r="E7481" s="15" t="s">
        <v>9724</v>
      </c>
    </row>
    <row r="7482" spans="2:5">
      <c r="B7482" s="15" t="s">
        <v>9709</v>
      </c>
      <c r="C7482" s="15" t="s">
        <v>9710</v>
      </c>
      <c r="D7482" s="15" t="s">
        <v>772</v>
      </c>
      <c r="E7482" s="15" t="s">
        <v>1700</v>
      </c>
    </row>
    <row r="7483" spans="2:5">
      <c r="B7483" s="15" t="s">
        <v>9709</v>
      </c>
      <c r="C7483" s="15" t="s">
        <v>9710</v>
      </c>
      <c r="D7483" s="15" t="s">
        <v>1378</v>
      </c>
      <c r="E7483" s="15" t="s">
        <v>1772</v>
      </c>
    </row>
    <row r="7484" spans="2:5">
      <c r="B7484" s="15" t="s">
        <v>9709</v>
      </c>
      <c r="C7484" s="15" t="s">
        <v>9710</v>
      </c>
      <c r="D7484" s="15" t="s">
        <v>1380</v>
      </c>
      <c r="E7484" s="15" t="s">
        <v>1771</v>
      </c>
    </row>
    <row r="7485" spans="2:5">
      <c r="B7485" s="15" t="s">
        <v>9709</v>
      </c>
      <c r="C7485" s="15" t="s">
        <v>9710</v>
      </c>
      <c r="D7485" s="15" t="s">
        <v>1382</v>
      </c>
      <c r="E7485" s="15" t="s">
        <v>9725</v>
      </c>
    </row>
    <row r="7486" spans="2:5">
      <c r="B7486" s="15" t="s">
        <v>9709</v>
      </c>
      <c r="C7486" s="15" t="s">
        <v>9710</v>
      </c>
      <c r="D7486" s="15" t="s">
        <v>3047</v>
      </c>
      <c r="E7486" s="15" t="s">
        <v>9726</v>
      </c>
    </row>
    <row r="7487" spans="2:5">
      <c r="B7487" s="15" t="s">
        <v>9709</v>
      </c>
      <c r="C7487" s="15" t="s">
        <v>9710</v>
      </c>
      <c r="D7487" s="15" t="s">
        <v>3163</v>
      </c>
      <c r="E7487" s="15" t="s">
        <v>9727</v>
      </c>
    </row>
    <row r="7488" spans="2:5">
      <c r="B7488" s="15" t="s">
        <v>9709</v>
      </c>
      <c r="C7488" s="15" t="s">
        <v>9710</v>
      </c>
      <c r="D7488" s="15" t="s">
        <v>3165</v>
      </c>
      <c r="E7488" s="15" t="s">
        <v>9728</v>
      </c>
    </row>
    <row r="7489" spans="2:5">
      <c r="B7489" s="15" t="s">
        <v>9709</v>
      </c>
      <c r="C7489" s="15" t="s">
        <v>9710</v>
      </c>
      <c r="D7489" s="15" t="s">
        <v>3167</v>
      </c>
      <c r="E7489" s="15" t="s">
        <v>9729</v>
      </c>
    </row>
    <row r="7490" spans="2:5">
      <c r="B7490" s="15" t="s">
        <v>9709</v>
      </c>
      <c r="C7490" s="15" t="s">
        <v>9710</v>
      </c>
      <c r="D7490" s="15" t="s">
        <v>9730</v>
      </c>
      <c r="E7490" s="15" t="s">
        <v>9731</v>
      </c>
    </row>
    <row r="7491" spans="2:5">
      <c r="B7491" s="15" t="s">
        <v>9709</v>
      </c>
      <c r="C7491" s="15" t="s">
        <v>9710</v>
      </c>
      <c r="D7491" s="15" t="s">
        <v>9732</v>
      </c>
      <c r="E7491" s="15" t="s">
        <v>9733</v>
      </c>
    </row>
    <row r="7492" spans="2:5">
      <c r="B7492" s="15" t="s">
        <v>9709</v>
      </c>
      <c r="C7492" s="15" t="s">
        <v>9710</v>
      </c>
      <c r="D7492" s="15" t="s">
        <v>7677</v>
      </c>
      <c r="E7492" s="15" t="s">
        <v>9734</v>
      </c>
    </row>
    <row r="7493" spans="2:5">
      <c r="B7493" s="15" t="s">
        <v>9709</v>
      </c>
      <c r="C7493" s="15" t="s">
        <v>9710</v>
      </c>
      <c r="D7493" s="15" t="s">
        <v>9735</v>
      </c>
      <c r="E7493" s="15" t="s">
        <v>9736</v>
      </c>
    </row>
    <row r="7494" spans="2:5">
      <c r="B7494" s="15" t="s">
        <v>9709</v>
      </c>
      <c r="C7494" s="15" t="s">
        <v>9710</v>
      </c>
      <c r="D7494" s="15" t="s">
        <v>9737</v>
      </c>
      <c r="E7494" s="15" t="s">
        <v>9738</v>
      </c>
    </row>
    <row r="7495" spans="2:5">
      <c r="B7495" s="15" t="s">
        <v>9709</v>
      </c>
      <c r="C7495" s="15" t="s">
        <v>9710</v>
      </c>
      <c r="D7495" s="15" t="s">
        <v>9739</v>
      </c>
      <c r="E7495" s="15" t="s">
        <v>235</v>
      </c>
    </row>
    <row r="7496" spans="2:5">
      <c r="B7496" s="15" t="s">
        <v>9709</v>
      </c>
      <c r="C7496" s="15" t="s">
        <v>9710</v>
      </c>
      <c r="D7496" s="15" t="s">
        <v>774</v>
      </c>
      <c r="E7496" s="15" t="s">
        <v>1701</v>
      </c>
    </row>
    <row r="7497" spans="2:5">
      <c r="B7497" s="15" t="s">
        <v>9709</v>
      </c>
      <c r="C7497" s="15" t="s">
        <v>9710</v>
      </c>
      <c r="D7497" s="15" t="s">
        <v>1384</v>
      </c>
      <c r="E7497" s="15" t="s">
        <v>9740</v>
      </c>
    </row>
    <row r="7498" spans="2:5">
      <c r="B7498" s="15" t="s">
        <v>9709</v>
      </c>
      <c r="C7498" s="15" t="s">
        <v>9710</v>
      </c>
      <c r="D7498" s="15" t="s">
        <v>1391</v>
      </c>
      <c r="E7498" s="15" t="s">
        <v>9741</v>
      </c>
    </row>
    <row r="7499" spans="2:5">
      <c r="B7499" s="15" t="s">
        <v>9709</v>
      </c>
      <c r="C7499" s="15" t="s">
        <v>9710</v>
      </c>
      <c r="D7499" s="15" t="s">
        <v>828</v>
      </c>
      <c r="E7499" s="15" t="s">
        <v>9742</v>
      </c>
    </row>
    <row r="7500" ht="15.95" spans="2:2">
      <c r="B7500" s="122" t="s">
        <v>9743</v>
      </c>
    </row>
    <row r="7501" spans="2:5">
      <c r="B7501" s="15" t="s">
        <v>9744</v>
      </c>
      <c r="C7501" s="15" t="s">
        <v>9745</v>
      </c>
      <c r="D7501" s="15" t="s">
        <v>9746</v>
      </c>
      <c r="E7501" s="15" t="s">
        <v>9747</v>
      </c>
    </row>
    <row r="7502" spans="2:5">
      <c r="B7502" s="15" t="s">
        <v>9744</v>
      </c>
      <c r="C7502" s="15" t="s">
        <v>9745</v>
      </c>
      <c r="D7502" s="15" t="s">
        <v>9748</v>
      </c>
      <c r="E7502" s="15" t="s">
        <v>9749</v>
      </c>
    </row>
    <row r="7503" spans="2:5">
      <c r="B7503" s="15" t="s">
        <v>9744</v>
      </c>
      <c r="C7503" s="15" t="s">
        <v>9745</v>
      </c>
      <c r="D7503" s="15" t="s">
        <v>9750</v>
      </c>
      <c r="E7503" s="15" t="s">
        <v>9751</v>
      </c>
    </row>
    <row r="7504" ht="15.95" spans="2:2">
      <c r="B7504" s="122" t="s">
        <v>9752</v>
      </c>
    </row>
    <row r="7505" spans="2:5">
      <c r="B7505" s="15" t="s">
        <v>9753</v>
      </c>
      <c r="C7505" s="15" t="s">
        <v>9754</v>
      </c>
      <c r="D7505" s="15" t="s">
        <v>635</v>
      </c>
      <c r="E7505" s="15" t="s">
        <v>9755</v>
      </c>
    </row>
    <row r="7506" spans="2:5">
      <c r="B7506" s="15" t="s">
        <v>9753</v>
      </c>
      <c r="C7506" s="15" t="s">
        <v>9754</v>
      </c>
      <c r="D7506" s="15" t="s">
        <v>659</v>
      </c>
      <c r="E7506" s="15" t="s">
        <v>9756</v>
      </c>
    </row>
    <row r="7507" spans="2:5">
      <c r="B7507" s="15" t="s">
        <v>9753</v>
      </c>
      <c r="C7507" s="15" t="s">
        <v>9754</v>
      </c>
      <c r="D7507" s="15" t="s">
        <v>679</v>
      </c>
      <c r="E7507" s="15" t="s">
        <v>9757</v>
      </c>
    </row>
    <row r="7508" spans="2:5">
      <c r="B7508" s="15" t="s">
        <v>9753</v>
      </c>
      <c r="C7508" s="15" t="s">
        <v>9754</v>
      </c>
      <c r="D7508" s="15" t="s">
        <v>705</v>
      </c>
      <c r="E7508" s="15" t="s">
        <v>9758</v>
      </c>
    </row>
    <row r="7509" spans="2:5">
      <c r="B7509" s="15" t="s">
        <v>9753</v>
      </c>
      <c r="C7509" s="15" t="s">
        <v>9754</v>
      </c>
      <c r="D7509" s="15" t="s">
        <v>709</v>
      </c>
      <c r="E7509" s="15" t="s">
        <v>9759</v>
      </c>
    </row>
    <row r="7510" spans="2:5">
      <c r="B7510" s="15" t="s">
        <v>9753</v>
      </c>
      <c r="C7510" s="15" t="s">
        <v>9754</v>
      </c>
      <c r="D7510" s="15" t="s">
        <v>838</v>
      </c>
      <c r="E7510" s="15" t="s">
        <v>9760</v>
      </c>
    </row>
    <row r="7511" spans="2:5">
      <c r="B7511" s="15" t="s">
        <v>9753</v>
      </c>
      <c r="C7511" s="15" t="s">
        <v>9754</v>
      </c>
      <c r="D7511" s="15" t="s">
        <v>840</v>
      </c>
      <c r="E7511" s="15" t="s">
        <v>9761</v>
      </c>
    </row>
    <row r="7512" spans="2:5">
      <c r="B7512" s="15" t="s">
        <v>9753</v>
      </c>
      <c r="C7512" s="15" t="s">
        <v>9754</v>
      </c>
      <c r="D7512" s="15" t="s">
        <v>842</v>
      </c>
      <c r="E7512" s="15" t="s">
        <v>9762</v>
      </c>
    </row>
    <row r="7513" spans="2:5">
      <c r="B7513" s="15" t="s">
        <v>9753</v>
      </c>
      <c r="C7513" s="15" t="s">
        <v>9754</v>
      </c>
      <c r="D7513" s="15" t="s">
        <v>844</v>
      </c>
      <c r="E7513" s="15" t="s">
        <v>9763</v>
      </c>
    </row>
    <row r="7514" spans="2:5">
      <c r="B7514" s="15" t="s">
        <v>9753</v>
      </c>
      <c r="C7514" s="15" t="s">
        <v>9754</v>
      </c>
      <c r="D7514" s="15" t="s">
        <v>846</v>
      </c>
      <c r="E7514" s="15" t="s">
        <v>9764</v>
      </c>
    </row>
    <row r="7515" spans="2:5">
      <c r="B7515" s="15" t="s">
        <v>9753</v>
      </c>
      <c r="C7515" s="15" t="s">
        <v>9754</v>
      </c>
      <c r="D7515" s="15" t="s">
        <v>713</v>
      </c>
      <c r="E7515" s="15" t="s">
        <v>9765</v>
      </c>
    </row>
    <row r="7516" spans="2:5">
      <c r="B7516" s="15" t="s">
        <v>9753</v>
      </c>
      <c r="C7516" s="15" t="s">
        <v>9754</v>
      </c>
      <c r="D7516" s="15" t="s">
        <v>849</v>
      </c>
      <c r="E7516" s="15" t="s">
        <v>9766</v>
      </c>
    </row>
    <row r="7517" spans="2:5">
      <c r="B7517" s="15" t="s">
        <v>9753</v>
      </c>
      <c r="C7517" s="15" t="s">
        <v>9754</v>
      </c>
      <c r="D7517" s="15" t="s">
        <v>851</v>
      </c>
      <c r="E7517" s="15" t="s">
        <v>9767</v>
      </c>
    </row>
    <row r="7518" spans="2:5">
      <c r="B7518" s="15" t="s">
        <v>9753</v>
      </c>
      <c r="C7518" s="15" t="s">
        <v>9754</v>
      </c>
      <c r="D7518" s="15" t="s">
        <v>853</v>
      </c>
      <c r="E7518" s="15" t="s">
        <v>9768</v>
      </c>
    </row>
    <row r="7519" spans="2:5">
      <c r="B7519" s="15" t="s">
        <v>9753</v>
      </c>
      <c r="C7519" s="15" t="s">
        <v>9754</v>
      </c>
      <c r="D7519" s="15" t="s">
        <v>855</v>
      </c>
      <c r="E7519" s="15" t="s">
        <v>9769</v>
      </c>
    </row>
    <row r="7520" spans="2:5">
      <c r="B7520" s="15" t="s">
        <v>9753</v>
      </c>
      <c r="C7520" s="15" t="s">
        <v>9754</v>
      </c>
      <c r="D7520" s="15" t="s">
        <v>857</v>
      </c>
      <c r="E7520" s="15" t="s">
        <v>9770</v>
      </c>
    </row>
    <row r="7521" spans="2:5">
      <c r="B7521" s="15" t="s">
        <v>9753</v>
      </c>
      <c r="C7521" s="15" t="s">
        <v>9754</v>
      </c>
      <c r="D7521" s="15" t="s">
        <v>859</v>
      </c>
      <c r="E7521" s="15" t="s">
        <v>2553</v>
      </c>
    </row>
    <row r="7522" spans="2:5">
      <c r="B7522" s="15" t="s">
        <v>9753</v>
      </c>
      <c r="C7522" s="15" t="s">
        <v>9754</v>
      </c>
      <c r="D7522" s="15" t="s">
        <v>861</v>
      </c>
      <c r="E7522" s="15" t="s">
        <v>9771</v>
      </c>
    </row>
    <row r="7523" spans="2:5">
      <c r="B7523" s="15" t="s">
        <v>9753</v>
      </c>
      <c r="C7523" s="15" t="s">
        <v>9754</v>
      </c>
      <c r="D7523" s="15" t="s">
        <v>5557</v>
      </c>
      <c r="E7523" s="15" t="s">
        <v>9772</v>
      </c>
    </row>
    <row r="7524" spans="2:5">
      <c r="B7524" s="15" t="s">
        <v>9753</v>
      </c>
      <c r="C7524" s="15" t="s">
        <v>9754</v>
      </c>
      <c r="D7524" s="15" t="s">
        <v>5559</v>
      </c>
      <c r="E7524" s="15" t="s">
        <v>9773</v>
      </c>
    </row>
    <row r="7525" spans="2:5">
      <c r="B7525" s="15" t="s">
        <v>9753</v>
      </c>
      <c r="C7525" s="15" t="s">
        <v>9754</v>
      </c>
      <c r="D7525" s="15" t="s">
        <v>5561</v>
      </c>
      <c r="E7525" s="15" t="s">
        <v>9774</v>
      </c>
    </row>
    <row r="7526" spans="2:5">
      <c r="B7526" s="15" t="s">
        <v>9753</v>
      </c>
      <c r="C7526" s="15" t="s">
        <v>9754</v>
      </c>
      <c r="D7526" s="15" t="s">
        <v>5563</v>
      </c>
      <c r="E7526" s="15" t="s">
        <v>235</v>
      </c>
    </row>
    <row r="7527" ht="15.95" spans="2:2">
      <c r="B7527" s="122" t="s">
        <v>9775</v>
      </c>
    </row>
    <row r="7528" spans="2:5">
      <c r="B7528" s="15" t="s">
        <v>9776</v>
      </c>
      <c r="C7528" s="15" t="s">
        <v>9777</v>
      </c>
      <c r="D7528" s="15" t="s">
        <v>770</v>
      </c>
      <c r="E7528" s="15" t="s">
        <v>9778</v>
      </c>
    </row>
    <row r="7529" spans="2:5">
      <c r="B7529" s="15" t="s">
        <v>9776</v>
      </c>
      <c r="C7529" s="15" t="s">
        <v>9777</v>
      </c>
      <c r="D7529" s="15" t="s">
        <v>772</v>
      </c>
      <c r="E7529" s="15" t="s">
        <v>9779</v>
      </c>
    </row>
    <row r="7530" spans="2:5">
      <c r="B7530" s="15" t="s">
        <v>9776</v>
      </c>
      <c r="C7530" s="15" t="s">
        <v>9777</v>
      </c>
      <c r="D7530" s="15" t="s">
        <v>774</v>
      </c>
      <c r="E7530" s="15" t="s">
        <v>9780</v>
      </c>
    </row>
    <row r="7531" ht="15.95" spans="2:2">
      <c r="B7531" s="122" t="s">
        <v>9781</v>
      </c>
    </row>
    <row r="7532" spans="2:5">
      <c r="B7532" s="15" t="s">
        <v>9782</v>
      </c>
      <c r="C7532" s="15" t="s">
        <v>9783</v>
      </c>
      <c r="D7532" s="15" t="s">
        <v>770</v>
      </c>
      <c r="E7532" s="15" t="s">
        <v>9784</v>
      </c>
    </row>
    <row r="7533" spans="2:5">
      <c r="B7533" s="15" t="s">
        <v>9782</v>
      </c>
      <c r="C7533" s="15" t="s">
        <v>9783</v>
      </c>
      <c r="D7533" s="15" t="s">
        <v>772</v>
      </c>
      <c r="E7533" s="15" t="s">
        <v>9785</v>
      </c>
    </row>
    <row r="7534" spans="2:5">
      <c r="B7534" s="15" t="s">
        <v>9782</v>
      </c>
      <c r="C7534" s="15" t="s">
        <v>9783</v>
      </c>
      <c r="D7534" s="15" t="s">
        <v>774</v>
      </c>
      <c r="E7534" s="15" t="s">
        <v>9786</v>
      </c>
    </row>
    <row r="7535" spans="2:5">
      <c r="B7535" s="15" t="s">
        <v>9782</v>
      </c>
      <c r="C7535" s="15" t="s">
        <v>9783</v>
      </c>
      <c r="D7535" s="15" t="s">
        <v>828</v>
      </c>
      <c r="E7535" s="15" t="s">
        <v>9787</v>
      </c>
    </row>
    <row r="7536" spans="2:5">
      <c r="B7536" s="15" t="s">
        <v>9782</v>
      </c>
      <c r="C7536" s="15" t="s">
        <v>9783</v>
      </c>
      <c r="D7536" s="15" t="s">
        <v>901</v>
      </c>
      <c r="E7536" s="15" t="s">
        <v>9788</v>
      </c>
    </row>
    <row r="7537" ht="15.95" spans="2:2">
      <c r="B7537" s="122" t="s">
        <v>9789</v>
      </c>
    </row>
    <row r="7538" spans="2:5">
      <c r="B7538" s="15" t="s">
        <v>9790</v>
      </c>
      <c r="C7538" s="15" t="s">
        <v>9791</v>
      </c>
      <c r="D7538" s="15" t="s">
        <v>635</v>
      </c>
      <c r="E7538" s="15" t="s">
        <v>9792</v>
      </c>
    </row>
    <row r="7539" spans="2:5">
      <c r="B7539" s="15" t="s">
        <v>9790</v>
      </c>
      <c r="C7539" s="15" t="s">
        <v>9791</v>
      </c>
      <c r="D7539" s="15" t="s">
        <v>659</v>
      </c>
      <c r="E7539" s="15" t="s">
        <v>9793</v>
      </c>
    </row>
    <row r="7540" spans="2:5">
      <c r="B7540" s="15" t="s">
        <v>9790</v>
      </c>
      <c r="C7540" s="15" t="s">
        <v>9791</v>
      </c>
      <c r="D7540" s="15" t="s">
        <v>7559</v>
      </c>
      <c r="E7540" s="15" t="s">
        <v>9794</v>
      </c>
    </row>
    <row r="7541" spans="2:5">
      <c r="B7541" s="15" t="s">
        <v>9790</v>
      </c>
      <c r="C7541" s="15" t="s">
        <v>9791</v>
      </c>
      <c r="D7541" s="15" t="s">
        <v>7564</v>
      </c>
      <c r="E7541" s="15" t="s">
        <v>9795</v>
      </c>
    </row>
    <row r="7542" spans="2:5">
      <c r="B7542" s="15" t="s">
        <v>9790</v>
      </c>
      <c r="C7542" s="15" t="s">
        <v>9791</v>
      </c>
      <c r="D7542" s="15" t="s">
        <v>679</v>
      </c>
      <c r="E7542" s="15" t="s">
        <v>9796</v>
      </c>
    </row>
    <row r="7543" spans="2:5">
      <c r="B7543" s="15" t="s">
        <v>9790</v>
      </c>
      <c r="C7543" s="15" t="s">
        <v>9791</v>
      </c>
      <c r="D7543" s="15" t="s">
        <v>705</v>
      </c>
      <c r="E7543" s="15" t="s">
        <v>9797</v>
      </c>
    </row>
    <row r="7544" spans="2:5">
      <c r="B7544" s="15" t="s">
        <v>9790</v>
      </c>
      <c r="C7544" s="15" t="s">
        <v>9791</v>
      </c>
      <c r="D7544" s="15" t="s">
        <v>709</v>
      </c>
      <c r="E7544" s="15" t="s">
        <v>9798</v>
      </c>
    </row>
    <row r="7545" spans="2:5">
      <c r="B7545" s="15" t="s">
        <v>9790</v>
      </c>
      <c r="C7545" s="15" t="s">
        <v>9791</v>
      </c>
      <c r="D7545" s="15" t="s">
        <v>838</v>
      </c>
      <c r="E7545" s="15" t="s">
        <v>9799</v>
      </c>
    </row>
    <row r="7546" spans="2:5">
      <c r="B7546" s="15" t="s">
        <v>9790</v>
      </c>
      <c r="C7546" s="15" t="s">
        <v>9791</v>
      </c>
      <c r="D7546" s="15" t="s">
        <v>840</v>
      </c>
      <c r="E7546" s="15" t="s">
        <v>9800</v>
      </c>
    </row>
    <row r="7547" ht="15.95" spans="2:2">
      <c r="B7547" s="122" t="s">
        <v>9801</v>
      </c>
    </row>
    <row r="7548" spans="2:5">
      <c r="B7548" s="15" t="s">
        <v>9802</v>
      </c>
      <c r="C7548" s="15" t="s">
        <v>9803</v>
      </c>
      <c r="D7548" s="15" t="s">
        <v>5718</v>
      </c>
      <c r="E7548" s="15" t="s">
        <v>5719</v>
      </c>
    </row>
    <row r="7549" spans="2:5">
      <c r="B7549" s="15" t="s">
        <v>9802</v>
      </c>
      <c r="C7549" s="15" t="s">
        <v>9803</v>
      </c>
      <c r="D7549" s="15" t="s">
        <v>5726</v>
      </c>
      <c r="E7549" s="15" t="s">
        <v>5727</v>
      </c>
    </row>
    <row r="7550" ht="15.95" spans="2:2">
      <c r="B7550" s="122" t="s">
        <v>9804</v>
      </c>
    </row>
    <row r="7551" spans="2:5">
      <c r="B7551" s="15" t="s">
        <v>9805</v>
      </c>
      <c r="C7551" s="15" t="s">
        <v>9806</v>
      </c>
      <c r="D7551" s="15" t="s">
        <v>8363</v>
      </c>
      <c r="E7551" s="15" t="s">
        <v>9807</v>
      </c>
    </row>
    <row r="7552" spans="2:5">
      <c r="B7552" s="15" t="s">
        <v>9805</v>
      </c>
      <c r="C7552" s="15" t="s">
        <v>9806</v>
      </c>
      <c r="D7552" s="15" t="s">
        <v>8365</v>
      </c>
      <c r="E7552" s="15" t="s">
        <v>9808</v>
      </c>
    </row>
    <row r="7553" spans="2:5">
      <c r="B7553" s="15" t="s">
        <v>9805</v>
      </c>
      <c r="C7553" s="15" t="s">
        <v>9806</v>
      </c>
      <c r="D7553" s="15" t="s">
        <v>635</v>
      </c>
      <c r="E7553" s="15" t="s">
        <v>9809</v>
      </c>
    </row>
    <row r="7554" spans="2:5">
      <c r="B7554" s="15" t="s">
        <v>9805</v>
      </c>
      <c r="C7554" s="15" t="s">
        <v>9806</v>
      </c>
      <c r="D7554" s="15" t="s">
        <v>659</v>
      </c>
      <c r="E7554" s="15" t="s">
        <v>9810</v>
      </c>
    </row>
    <row r="7555" spans="2:5">
      <c r="B7555" s="15" t="s">
        <v>9805</v>
      </c>
      <c r="C7555" s="15" t="s">
        <v>9806</v>
      </c>
      <c r="D7555" s="15" t="s">
        <v>679</v>
      </c>
      <c r="E7555" s="15" t="s">
        <v>9811</v>
      </c>
    </row>
    <row r="7556" spans="2:5">
      <c r="B7556" s="15" t="s">
        <v>9805</v>
      </c>
      <c r="C7556" s="15" t="s">
        <v>9806</v>
      </c>
      <c r="D7556" s="15" t="s">
        <v>705</v>
      </c>
      <c r="E7556" s="15" t="s">
        <v>9807</v>
      </c>
    </row>
    <row r="7557" spans="2:5">
      <c r="B7557" s="15" t="s">
        <v>9805</v>
      </c>
      <c r="C7557" s="15" t="s">
        <v>9806</v>
      </c>
      <c r="D7557" s="15" t="s">
        <v>709</v>
      </c>
      <c r="E7557" s="15" t="s">
        <v>9808</v>
      </c>
    </row>
    <row r="7558" spans="2:5">
      <c r="B7558" s="15" t="s">
        <v>9805</v>
      </c>
      <c r="C7558" s="15" t="s">
        <v>9806</v>
      </c>
      <c r="D7558" s="15" t="s">
        <v>838</v>
      </c>
      <c r="E7558" s="15" t="s">
        <v>8329</v>
      </c>
    </row>
    <row r="7559" spans="2:5">
      <c r="B7559" s="15" t="s">
        <v>9805</v>
      </c>
      <c r="C7559" s="15" t="s">
        <v>9806</v>
      </c>
      <c r="D7559" s="15" t="s">
        <v>840</v>
      </c>
      <c r="E7559" s="15" t="s">
        <v>9812</v>
      </c>
    </row>
    <row r="7560" spans="2:5">
      <c r="B7560" s="15" t="s">
        <v>9805</v>
      </c>
      <c r="C7560" s="15" t="s">
        <v>9806</v>
      </c>
      <c r="D7560" s="15" t="s">
        <v>842</v>
      </c>
      <c r="E7560" s="15" t="s">
        <v>9813</v>
      </c>
    </row>
    <row r="7561" spans="2:5">
      <c r="B7561" s="15" t="s">
        <v>9805</v>
      </c>
      <c r="C7561" s="15" t="s">
        <v>9806</v>
      </c>
      <c r="D7561" s="15" t="s">
        <v>844</v>
      </c>
      <c r="E7561" s="15" t="s">
        <v>9814</v>
      </c>
    </row>
    <row r="7562" ht="15.95" spans="2:2">
      <c r="B7562" s="122" t="s">
        <v>9815</v>
      </c>
    </row>
    <row r="7563" spans="2:5">
      <c r="B7563" s="15" t="s">
        <v>9816</v>
      </c>
      <c r="C7563" s="15" t="s">
        <v>9817</v>
      </c>
      <c r="D7563" s="15" t="s">
        <v>770</v>
      </c>
      <c r="E7563" s="15" t="s">
        <v>9818</v>
      </c>
    </row>
    <row r="7564" spans="2:5">
      <c r="B7564" s="15" t="s">
        <v>9816</v>
      </c>
      <c r="C7564" s="15" t="s">
        <v>9817</v>
      </c>
      <c r="D7564" s="15" t="s">
        <v>772</v>
      </c>
      <c r="E7564" s="15" t="s">
        <v>3117</v>
      </c>
    </row>
    <row r="7565" spans="2:5">
      <c r="B7565" s="15" t="s">
        <v>9816</v>
      </c>
      <c r="C7565" s="15" t="s">
        <v>9817</v>
      </c>
      <c r="D7565" s="15" t="s">
        <v>774</v>
      </c>
      <c r="E7565" s="15" t="s">
        <v>9819</v>
      </c>
    </row>
    <row r="7566" spans="2:5">
      <c r="B7566" s="15" t="s">
        <v>9816</v>
      </c>
      <c r="C7566" s="15" t="s">
        <v>9817</v>
      </c>
      <c r="D7566" s="15" t="s">
        <v>828</v>
      </c>
      <c r="E7566" s="15" t="s">
        <v>9820</v>
      </c>
    </row>
    <row r="7567" spans="2:5">
      <c r="B7567" s="15" t="s">
        <v>9816</v>
      </c>
      <c r="C7567" s="15" t="s">
        <v>9817</v>
      </c>
      <c r="D7567" s="15" t="s">
        <v>901</v>
      </c>
      <c r="E7567" s="15" t="s">
        <v>9821</v>
      </c>
    </row>
    <row r="7568" spans="2:5">
      <c r="B7568" s="15" t="s">
        <v>9816</v>
      </c>
      <c r="C7568" s="15" t="s">
        <v>9817</v>
      </c>
      <c r="D7568" s="15" t="s">
        <v>776</v>
      </c>
      <c r="E7568" s="15" t="s">
        <v>235</v>
      </c>
    </row>
    <row r="7569" ht="15.95" spans="2:2">
      <c r="B7569" s="122" t="s">
        <v>9822</v>
      </c>
    </row>
    <row r="7570" spans="2:5">
      <c r="B7570" s="15" t="s">
        <v>9823</v>
      </c>
      <c r="C7570" s="15" t="s">
        <v>9824</v>
      </c>
      <c r="D7570" s="15" t="s">
        <v>9825</v>
      </c>
      <c r="E7570" s="15" t="s">
        <v>3038</v>
      </c>
    </row>
    <row r="7571" spans="2:5">
      <c r="B7571" s="15" t="s">
        <v>9823</v>
      </c>
      <c r="C7571" s="15" t="s">
        <v>9824</v>
      </c>
      <c r="D7571" s="15" t="s">
        <v>9826</v>
      </c>
      <c r="E7571" s="15" t="s">
        <v>9827</v>
      </c>
    </row>
    <row r="7572" spans="2:5">
      <c r="B7572" s="15" t="s">
        <v>9823</v>
      </c>
      <c r="C7572" s="15" t="s">
        <v>9824</v>
      </c>
      <c r="D7572" s="15" t="s">
        <v>4679</v>
      </c>
      <c r="E7572" s="15" t="s">
        <v>4680</v>
      </c>
    </row>
    <row r="7573" spans="2:5">
      <c r="B7573" s="15" t="s">
        <v>9823</v>
      </c>
      <c r="C7573" s="15" t="s">
        <v>9824</v>
      </c>
      <c r="D7573" s="15" t="s">
        <v>9828</v>
      </c>
      <c r="E7573" s="15" t="s">
        <v>9683</v>
      </c>
    </row>
    <row r="7574" spans="2:5">
      <c r="B7574" s="15" t="s">
        <v>9823</v>
      </c>
      <c r="C7574" s="15" t="s">
        <v>9824</v>
      </c>
      <c r="D7574" s="15" t="s">
        <v>9829</v>
      </c>
      <c r="E7574" s="15" t="s">
        <v>9830</v>
      </c>
    </row>
    <row r="7575" spans="2:5">
      <c r="B7575" s="15" t="s">
        <v>9823</v>
      </c>
      <c r="C7575" s="15" t="s">
        <v>9824</v>
      </c>
      <c r="D7575" s="15" t="s">
        <v>9831</v>
      </c>
      <c r="E7575" s="15" t="s">
        <v>3394</v>
      </c>
    </row>
    <row r="7576" spans="2:5">
      <c r="B7576" s="15" t="s">
        <v>9823</v>
      </c>
      <c r="C7576" s="15" t="s">
        <v>9824</v>
      </c>
      <c r="D7576" s="15" t="s">
        <v>9832</v>
      </c>
      <c r="E7576" s="15" t="s">
        <v>9833</v>
      </c>
    </row>
    <row r="7577" spans="2:5">
      <c r="B7577" s="15" t="s">
        <v>9823</v>
      </c>
      <c r="C7577" s="15" t="s">
        <v>9824</v>
      </c>
      <c r="D7577" s="15" t="s">
        <v>9834</v>
      </c>
      <c r="E7577" s="15" t="s">
        <v>9835</v>
      </c>
    </row>
    <row r="7578" spans="2:5">
      <c r="B7578" s="15" t="s">
        <v>9823</v>
      </c>
      <c r="C7578" s="15" t="s">
        <v>9824</v>
      </c>
      <c r="D7578" s="15" t="s">
        <v>9836</v>
      </c>
      <c r="E7578" s="15" t="s">
        <v>9837</v>
      </c>
    </row>
    <row r="7579" spans="2:5">
      <c r="B7579" s="15" t="s">
        <v>9823</v>
      </c>
      <c r="C7579" s="15" t="s">
        <v>9824</v>
      </c>
      <c r="D7579" s="15" t="s">
        <v>9838</v>
      </c>
      <c r="E7579" s="15" t="s">
        <v>9839</v>
      </c>
    </row>
    <row r="7580" spans="2:5">
      <c r="B7580" s="15" t="s">
        <v>9823</v>
      </c>
      <c r="C7580" s="15" t="s">
        <v>9824</v>
      </c>
      <c r="D7580" s="15" t="s">
        <v>9840</v>
      </c>
      <c r="E7580" s="15" t="s">
        <v>9841</v>
      </c>
    </row>
    <row r="7581" spans="2:5">
      <c r="B7581" s="15" t="s">
        <v>9823</v>
      </c>
      <c r="C7581" s="15" t="s">
        <v>9824</v>
      </c>
      <c r="D7581" s="15" t="s">
        <v>9842</v>
      </c>
      <c r="E7581" s="15" t="s">
        <v>9843</v>
      </c>
    </row>
    <row r="7582" spans="2:5">
      <c r="B7582" s="15" t="s">
        <v>9823</v>
      </c>
      <c r="C7582" s="15" t="s">
        <v>9824</v>
      </c>
      <c r="D7582" s="15" t="s">
        <v>9844</v>
      </c>
      <c r="E7582" s="15" t="s">
        <v>9845</v>
      </c>
    </row>
    <row r="7583" spans="2:5">
      <c r="B7583" s="15" t="s">
        <v>9823</v>
      </c>
      <c r="C7583" s="15" t="s">
        <v>9824</v>
      </c>
      <c r="D7583" s="15" t="s">
        <v>9846</v>
      </c>
      <c r="E7583" s="15" t="s">
        <v>9847</v>
      </c>
    </row>
    <row r="7584" spans="2:5">
      <c r="B7584" s="15" t="s">
        <v>9823</v>
      </c>
      <c r="C7584" s="15" t="s">
        <v>9824</v>
      </c>
      <c r="D7584" s="15" t="s">
        <v>9848</v>
      </c>
      <c r="E7584" s="15" t="s">
        <v>9849</v>
      </c>
    </row>
    <row r="7585" spans="2:5">
      <c r="B7585" s="15" t="s">
        <v>9823</v>
      </c>
      <c r="C7585" s="15" t="s">
        <v>9824</v>
      </c>
      <c r="D7585" s="15" t="s">
        <v>9850</v>
      </c>
      <c r="E7585" s="15" t="s">
        <v>9851</v>
      </c>
    </row>
    <row r="7586" ht="15.95" spans="2:2">
      <c r="B7586" s="122" t="s">
        <v>9852</v>
      </c>
    </row>
    <row r="7587" spans="2:5">
      <c r="B7587" s="15" t="s">
        <v>9853</v>
      </c>
      <c r="C7587" s="15" t="s">
        <v>9854</v>
      </c>
      <c r="D7587" s="15" t="s">
        <v>770</v>
      </c>
      <c r="E7587" s="15" t="s">
        <v>5838</v>
      </c>
    </row>
    <row r="7588" spans="2:5">
      <c r="B7588" s="15" t="s">
        <v>9853</v>
      </c>
      <c r="C7588" s="15" t="s">
        <v>9854</v>
      </c>
      <c r="D7588" s="15" t="s">
        <v>2972</v>
      </c>
      <c r="E7588" s="15" t="s">
        <v>9855</v>
      </c>
    </row>
    <row r="7589" spans="2:5">
      <c r="B7589" s="15" t="s">
        <v>9853</v>
      </c>
      <c r="C7589" s="15" t="s">
        <v>9854</v>
      </c>
      <c r="D7589" s="15" t="s">
        <v>2978</v>
      </c>
      <c r="E7589" s="15" t="s">
        <v>5841</v>
      </c>
    </row>
    <row r="7590" spans="2:5">
      <c r="B7590" s="15" t="s">
        <v>9853</v>
      </c>
      <c r="C7590" s="15" t="s">
        <v>9854</v>
      </c>
      <c r="D7590" s="15" t="s">
        <v>4361</v>
      </c>
      <c r="E7590" s="15" t="s">
        <v>5843</v>
      </c>
    </row>
    <row r="7591" spans="2:5">
      <c r="B7591" s="15" t="s">
        <v>9853</v>
      </c>
      <c r="C7591" s="15" t="s">
        <v>9854</v>
      </c>
      <c r="D7591" s="15" t="s">
        <v>772</v>
      </c>
      <c r="E7591" s="15" t="s">
        <v>5844</v>
      </c>
    </row>
    <row r="7592" spans="2:5">
      <c r="B7592" s="15" t="s">
        <v>9853</v>
      </c>
      <c r="C7592" s="15" t="s">
        <v>9854</v>
      </c>
      <c r="D7592" s="15" t="s">
        <v>2983</v>
      </c>
      <c r="E7592" s="15" t="s">
        <v>9855</v>
      </c>
    </row>
    <row r="7593" spans="2:5">
      <c r="B7593" s="15" t="s">
        <v>9853</v>
      </c>
      <c r="C7593" s="15" t="s">
        <v>9854</v>
      </c>
      <c r="D7593" s="15" t="s">
        <v>2985</v>
      </c>
      <c r="E7593" s="15" t="s">
        <v>5841</v>
      </c>
    </row>
    <row r="7594" spans="2:5">
      <c r="B7594" s="15" t="s">
        <v>9853</v>
      </c>
      <c r="C7594" s="15" t="s">
        <v>9854</v>
      </c>
      <c r="D7594" s="15" t="s">
        <v>2987</v>
      </c>
      <c r="E7594" s="15" t="s">
        <v>5843</v>
      </c>
    </row>
    <row r="7595" ht="15.95" spans="2:2">
      <c r="B7595" s="122" t="s">
        <v>9856</v>
      </c>
    </row>
    <row r="7596" spans="2:5">
      <c r="B7596" s="15" t="s">
        <v>9857</v>
      </c>
      <c r="C7596" s="15" t="s">
        <v>9858</v>
      </c>
      <c r="D7596" s="15" t="s">
        <v>933</v>
      </c>
      <c r="E7596" s="15" t="s">
        <v>8589</v>
      </c>
    </row>
    <row r="7597" spans="2:5">
      <c r="B7597" s="15" t="s">
        <v>9857</v>
      </c>
      <c r="C7597" s="15" t="s">
        <v>9858</v>
      </c>
      <c r="D7597" s="15" t="s">
        <v>6423</v>
      </c>
      <c r="E7597" s="15" t="s">
        <v>6603</v>
      </c>
    </row>
    <row r="7598" spans="2:5">
      <c r="B7598" s="15" t="s">
        <v>9857</v>
      </c>
      <c r="C7598" s="15" t="s">
        <v>9858</v>
      </c>
      <c r="D7598" s="15" t="s">
        <v>1145</v>
      </c>
      <c r="E7598" s="15" t="s">
        <v>9859</v>
      </c>
    </row>
    <row r="7599" ht="15.95" spans="2:2">
      <c r="B7599" s="122" t="s">
        <v>9860</v>
      </c>
    </row>
    <row r="7600" spans="2:5">
      <c r="B7600" s="15" t="s">
        <v>9861</v>
      </c>
      <c r="C7600" s="15" t="s">
        <v>9862</v>
      </c>
      <c r="D7600" s="15" t="s">
        <v>770</v>
      </c>
      <c r="E7600" s="15" t="s">
        <v>9863</v>
      </c>
    </row>
    <row r="7601" spans="2:5">
      <c r="B7601" s="15" t="s">
        <v>9861</v>
      </c>
      <c r="C7601" s="15" t="s">
        <v>9862</v>
      </c>
      <c r="D7601" s="15" t="s">
        <v>772</v>
      </c>
      <c r="E7601" s="15" t="s">
        <v>9864</v>
      </c>
    </row>
    <row r="7602" spans="2:5">
      <c r="B7602" s="15" t="s">
        <v>9861</v>
      </c>
      <c r="C7602" s="15" t="s">
        <v>9862</v>
      </c>
      <c r="D7602" s="15" t="s">
        <v>774</v>
      </c>
      <c r="E7602" s="15" t="s">
        <v>9865</v>
      </c>
    </row>
    <row r="7603" spans="2:5">
      <c r="B7603" s="15" t="s">
        <v>9861</v>
      </c>
      <c r="C7603" s="15" t="s">
        <v>9862</v>
      </c>
      <c r="D7603" s="15" t="s">
        <v>828</v>
      </c>
      <c r="E7603" s="15" t="s">
        <v>9866</v>
      </c>
    </row>
    <row r="7604" spans="2:5">
      <c r="B7604" s="15" t="s">
        <v>9861</v>
      </c>
      <c r="C7604" s="15" t="s">
        <v>9862</v>
      </c>
      <c r="D7604" s="15" t="s">
        <v>901</v>
      </c>
      <c r="E7604" s="15" t="s">
        <v>9867</v>
      </c>
    </row>
    <row r="7605" spans="2:5">
      <c r="B7605" s="15" t="s">
        <v>9861</v>
      </c>
      <c r="C7605" s="15" t="s">
        <v>9862</v>
      </c>
      <c r="D7605" s="15" t="s">
        <v>776</v>
      </c>
      <c r="E7605" s="15" t="s">
        <v>9868</v>
      </c>
    </row>
    <row r="7606" ht="15.95" spans="2:2">
      <c r="B7606" s="122" t="s">
        <v>9869</v>
      </c>
    </row>
    <row r="7607" spans="2:5">
      <c r="B7607" s="15" t="s">
        <v>9870</v>
      </c>
      <c r="C7607" s="15" t="s">
        <v>9870</v>
      </c>
      <c r="D7607" s="15" t="s">
        <v>723</v>
      </c>
      <c r="E7607" s="15" t="s">
        <v>2831</v>
      </c>
    </row>
    <row r="7608" spans="2:5">
      <c r="B7608" s="15" t="s">
        <v>9870</v>
      </c>
      <c r="C7608" s="15" t="s">
        <v>9870</v>
      </c>
      <c r="D7608" s="15" t="s">
        <v>725</v>
      </c>
      <c r="E7608" s="15" t="s">
        <v>9871</v>
      </c>
    </row>
    <row r="7609" spans="2:5">
      <c r="B7609" s="15" t="s">
        <v>9870</v>
      </c>
      <c r="C7609" s="15" t="s">
        <v>9870</v>
      </c>
      <c r="D7609" s="15" t="s">
        <v>727</v>
      </c>
      <c r="E7609" s="15" t="s">
        <v>2832</v>
      </c>
    </row>
    <row r="7610" ht="15.95" spans="2:2">
      <c r="B7610" s="122" t="s">
        <v>9872</v>
      </c>
    </row>
    <row r="7611" spans="2:5">
      <c r="B7611" s="15" t="s">
        <v>9873</v>
      </c>
      <c r="C7611" s="15" t="s">
        <v>9874</v>
      </c>
      <c r="D7611" s="15" t="s">
        <v>917</v>
      </c>
      <c r="E7611" s="15" t="s">
        <v>953</v>
      </c>
    </row>
    <row r="7612" spans="2:5">
      <c r="B7612" s="15" t="s">
        <v>9873</v>
      </c>
      <c r="C7612" s="15" t="s">
        <v>9874</v>
      </c>
      <c r="D7612" s="15" t="s">
        <v>919</v>
      </c>
      <c r="E7612" s="15" t="s">
        <v>954</v>
      </c>
    </row>
    <row r="7613" spans="2:5">
      <c r="B7613" s="15" t="s">
        <v>9873</v>
      </c>
      <c r="C7613" s="15" t="s">
        <v>9874</v>
      </c>
      <c r="D7613" s="15" t="s">
        <v>955</v>
      </c>
      <c r="E7613" s="15" t="s">
        <v>956</v>
      </c>
    </row>
    <row r="7614" ht="15.95" spans="2:2">
      <c r="B7614" s="122" t="s">
        <v>9875</v>
      </c>
    </row>
    <row r="7615" spans="2:5">
      <c r="B7615" s="15" t="s">
        <v>9876</v>
      </c>
      <c r="C7615" s="15" t="s">
        <v>9877</v>
      </c>
      <c r="D7615" s="15" t="s">
        <v>723</v>
      </c>
      <c r="E7615" s="15" t="s">
        <v>7444</v>
      </c>
    </row>
    <row r="7616" spans="2:5">
      <c r="B7616" s="15" t="s">
        <v>9876</v>
      </c>
      <c r="C7616" s="15" t="s">
        <v>9877</v>
      </c>
      <c r="D7616" s="15" t="s">
        <v>725</v>
      </c>
      <c r="E7616" s="15" t="s">
        <v>7445</v>
      </c>
    </row>
    <row r="7617" spans="2:5">
      <c r="B7617" s="15" t="s">
        <v>9876</v>
      </c>
      <c r="C7617" s="15" t="s">
        <v>9877</v>
      </c>
      <c r="D7617" s="15" t="s">
        <v>727</v>
      </c>
      <c r="E7617" s="15" t="s">
        <v>1730</v>
      </c>
    </row>
    <row r="7618" ht="15.95" spans="2:2">
      <c r="B7618" s="122" t="s">
        <v>9878</v>
      </c>
    </row>
    <row r="7619" spans="2:5">
      <c r="B7619" s="15" t="s">
        <v>9879</v>
      </c>
      <c r="C7619" s="15" t="s">
        <v>9880</v>
      </c>
      <c r="D7619" s="15" t="s">
        <v>770</v>
      </c>
      <c r="E7619" s="15" t="s">
        <v>9881</v>
      </c>
    </row>
    <row r="7620" spans="2:5">
      <c r="B7620" s="15" t="s">
        <v>9879</v>
      </c>
      <c r="C7620" s="15" t="s">
        <v>9880</v>
      </c>
      <c r="D7620" s="15" t="s">
        <v>772</v>
      </c>
      <c r="E7620" s="15" t="s">
        <v>9882</v>
      </c>
    </row>
    <row r="7621" spans="2:5">
      <c r="B7621" s="15" t="s">
        <v>9879</v>
      </c>
      <c r="C7621" s="15" t="s">
        <v>9880</v>
      </c>
      <c r="D7621" s="15" t="s">
        <v>774</v>
      </c>
      <c r="E7621" s="15" t="s">
        <v>9883</v>
      </c>
    </row>
    <row r="7622" spans="2:5">
      <c r="B7622" s="15" t="s">
        <v>9879</v>
      </c>
      <c r="C7622" s="15" t="s">
        <v>9880</v>
      </c>
      <c r="D7622" s="15" t="s">
        <v>828</v>
      </c>
      <c r="E7622" s="15" t="s">
        <v>9884</v>
      </c>
    </row>
    <row r="7623" spans="2:5">
      <c r="B7623" s="15" t="s">
        <v>9879</v>
      </c>
      <c r="C7623" s="15" t="s">
        <v>9880</v>
      </c>
      <c r="D7623" s="15" t="s">
        <v>901</v>
      </c>
      <c r="E7623" s="15" t="s">
        <v>9885</v>
      </c>
    </row>
    <row r="7624" spans="2:5">
      <c r="B7624" s="15" t="s">
        <v>9879</v>
      </c>
      <c r="C7624" s="15" t="s">
        <v>9880</v>
      </c>
      <c r="D7624" s="15" t="s">
        <v>933</v>
      </c>
      <c r="E7624" s="15" t="s">
        <v>9886</v>
      </c>
    </row>
    <row r="7625" ht="15.95" spans="2:2">
      <c r="B7625" s="122" t="s">
        <v>9887</v>
      </c>
    </row>
    <row r="7626" spans="2:5">
      <c r="B7626" s="15" t="s">
        <v>9888</v>
      </c>
      <c r="C7626" s="15" t="s">
        <v>9889</v>
      </c>
      <c r="D7626" s="15" t="s">
        <v>770</v>
      </c>
      <c r="E7626" s="15" t="s">
        <v>9890</v>
      </c>
    </row>
    <row r="7627" spans="2:5">
      <c r="B7627" s="15" t="s">
        <v>9888</v>
      </c>
      <c r="C7627" s="15" t="s">
        <v>9889</v>
      </c>
      <c r="D7627" s="15" t="s">
        <v>772</v>
      </c>
      <c r="E7627" s="15" t="s">
        <v>9891</v>
      </c>
    </row>
    <row r="7628" spans="2:5">
      <c r="B7628" s="15" t="s">
        <v>9888</v>
      </c>
      <c r="C7628" s="15" t="s">
        <v>9889</v>
      </c>
      <c r="D7628" s="15" t="s">
        <v>774</v>
      </c>
      <c r="E7628" s="15" t="s">
        <v>9892</v>
      </c>
    </row>
    <row r="7629" spans="2:5">
      <c r="B7629" s="15" t="s">
        <v>9888</v>
      </c>
      <c r="C7629" s="15" t="s">
        <v>9889</v>
      </c>
      <c r="D7629" s="15" t="s">
        <v>828</v>
      </c>
      <c r="E7629" s="15" t="s">
        <v>9893</v>
      </c>
    </row>
    <row r="7630" spans="2:5">
      <c r="B7630" s="15" t="s">
        <v>9888</v>
      </c>
      <c r="C7630" s="15" t="s">
        <v>9889</v>
      </c>
      <c r="D7630" s="15" t="s">
        <v>901</v>
      </c>
      <c r="E7630" s="15" t="s">
        <v>9894</v>
      </c>
    </row>
    <row r="7631" spans="2:5">
      <c r="B7631" s="15" t="s">
        <v>9888</v>
      </c>
      <c r="C7631" s="15" t="s">
        <v>9889</v>
      </c>
      <c r="D7631" s="15" t="s">
        <v>776</v>
      </c>
      <c r="E7631" s="15" t="s">
        <v>9895</v>
      </c>
    </row>
    <row r="7632" spans="2:5">
      <c r="B7632" s="15" t="s">
        <v>9888</v>
      </c>
      <c r="C7632" s="15" t="s">
        <v>9889</v>
      </c>
      <c r="D7632" s="15" t="s">
        <v>1290</v>
      </c>
      <c r="E7632" s="15" t="s">
        <v>9896</v>
      </c>
    </row>
    <row r="7633" spans="2:5">
      <c r="B7633" s="15" t="s">
        <v>9888</v>
      </c>
      <c r="C7633" s="15" t="s">
        <v>9889</v>
      </c>
      <c r="D7633" s="15" t="s">
        <v>1409</v>
      </c>
      <c r="E7633" s="15" t="s">
        <v>9897</v>
      </c>
    </row>
    <row r="7634" spans="2:5">
      <c r="B7634" s="15" t="s">
        <v>9888</v>
      </c>
      <c r="C7634" s="15" t="s">
        <v>9889</v>
      </c>
      <c r="D7634" s="15" t="s">
        <v>1411</v>
      </c>
      <c r="E7634" s="15" t="s">
        <v>9898</v>
      </c>
    </row>
    <row r="7635" spans="2:5">
      <c r="B7635" s="15" t="s">
        <v>9888</v>
      </c>
      <c r="C7635" s="15" t="s">
        <v>9889</v>
      </c>
      <c r="D7635" s="15" t="s">
        <v>933</v>
      </c>
      <c r="E7635" s="15" t="s">
        <v>9899</v>
      </c>
    </row>
    <row r="7636" spans="2:5">
      <c r="B7636" s="15" t="s">
        <v>9888</v>
      </c>
      <c r="C7636" s="15" t="s">
        <v>9889</v>
      </c>
      <c r="D7636" s="15" t="s">
        <v>1061</v>
      </c>
      <c r="E7636" s="15" t="s">
        <v>9900</v>
      </c>
    </row>
    <row r="7637" spans="2:5">
      <c r="B7637" s="15" t="s">
        <v>9888</v>
      </c>
      <c r="C7637" s="15" t="s">
        <v>9889</v>
      </c>
      <c r="D7637" s="15" t="s">
        <v>1063</v>
      </c>
      <c r="E7637" s="15" t="s">
        <v>9901</v>
      </c>
    </row>
    <row r="7638" spans="2:5">
      <c r="B7638" s="15" t="s">
        <v>9888</v>
      </c>
      <c r="C7638" s="15" t="s">
        <v>9889</v>
      </c>
      <c r="D7638" s="15" t="s">
        <v>1065</v>
      </c>
      <c r="E7638" s="15" t="s">
        <v>9902</v>
      </c>
    </row>
    <row r="7639" spans="2:5">
      <c r="B7639" s="15" t="s">
        <v>9888</v>
      </c>
      <c r="C7639" s="15" t="s">
        <v>9889</v>
      </c>
      <c r="D7639" s="15" t="s">
        <v>935</v>
      </c>
      <c r="E7639" s="15" t="s">
        <v>9903</v>
      </c>
    </row>
    <row r="7640" spans="2:5">
      <c r="B7640" s="15" t="s">
        <v>9888</v>
      </c>
      <c r="C7640" s="15" t="s">
        <v>9889</v>
      </c>
      <c r="D7640" s="15" t="s">
        <v>1068</v>
      </c>
      <c r="E7640" s="15" t="s">
        <v>9904</v>
      </c>
    </row>
    <row r="7641" ht="15.95" spans="2:2">
      <c r="B7641" s="122" t="s">
        <v>9905</v>
      </c>
    </row>
    <row r="7642" spans="2:5">
      <c r="B7642" s="15" t="s">
        <v>9906</v>
      </c>
      <c r="C7642" s="15" t="s">
        <v>9906</v>
      </c>
      <c r="D7642" s="15" t="s">
        <v>723</v>
      </c>
      <c r="E7642" s="15" t="s">
        <v>9907</v>
      </c>
    </row>
    <row r="7643" spans="2:5">
      <c r="B7643" s="15" t="s">
        <v>9906</v>
      </c>
      <c r="C7643" s="15" t="s">
        <v>9906</v>
      </c>
      <c r="D7643" s="15" t="s">
        <v>725</v>
      </c>
      <c r="E7643" s="15" t="s">
        <v>9908</v>
      </c>
    </row>
    <row r="7644" spans="2:5">
      <c r="B7644" s="15" t="s">
        <v>9906</v>
      </c>
      <c r="C7644" s="15" t="s">
        <v>9906</v>
      </c>
      <c r="D7644" s="15" t="s">
        <v>727</v>
      </c>
      <c r="E7644" s="15" t="s">
        <v>862</v>
      </c>
    </row>
    <row r="7645" ht="15.95" spans="2:2">
      <c r="B7645" s="122" t="s">
        <v>9909</v>
      </c>
    </row>
    <row r="7646" spans="2:5">
      <c r="B7646" s="15" t="s">
        <v>9910</v>
      </c>
      <c r="C7646" s="15" t="s">
        <v>9911</v>
      </c>
      <c r="D7646" s="15" t="s">
        <v>770</v>
      </c>
      <c r="E7646" s="15" t="s">
        <v>9912</v>
      </c>
    </row>
    <row r="7647" spans="2:5">
      <c r="B7647" s="15" t="s">
        <v>9910</v>
      </c>
      <c r="C7647" s="15" t="s">
        <v>9911</v>
      </c>
      <c r="D7647" s="15" t="s">
        <v>772</v>
      </c>
      <c r="E7647" s="15" t="s">
        <v>5014</v>
      </c>
    </row>
    <row r="7648" spans="2:5">
      <c r="B7648" s="15" t="s">
        <v>9910</v>
      </c>
      <c r="C7648" s="15" t="s">
        <v>9911</v>
      </c>
      <c r="D7648" s="15" t="s">
        <v>774</v>
      </c>
      <c r="E7648" s="15" t="s">
        <v>9913</v>
      </c>
    </row>
    <row r="7649" ht="15.95" spans="2:2">
      <c r="B7649" s="122" t="s">
        <v>9914</v>
      </c>
    </row>
    <row r="7650" spans="2:5">
      <c r="B7650" s="15" t="s">
        <v>9915</v>
      </c>
      <c r="C7650" s="15" t="s">
        <v>9916</v>
      </c>
      <c r="D7650" s="15" t="s">
        <v>723</v>
      </c>
      <c r="E7650" s="15" t="s">
        <v>810</v>
      </c>
    </row>
    <row r="7651" spans="2:5">
      <c r="B7651" s="15" t="s">
        <v>9915</v>
      </c>
      <c r="C7651" s="15" t="s">
        <v>9916</v>
      </c>
      <c r="D7651" s="15" t="s">
        <v>725</v>
      </c>
      <c r="E7651" s="15" t="s">
        <v>9917</v>
      </c>
    </row>
    <row r="7652" spans="2:5">
      <c r="B7652" s="15" t="s">
        <v>9915</v>
      </c>
      <c r="C7652" s="15" t="s">
        <v>9916</v>
      </c>
      <c r="D7652" s="15" t="s">
        <v>727</v>
      </c>
      <c r="E7652" s="15" t="s">
        <v>9918</v>
      </c>
    </row>
    <row r="7653" spans="2:5">
      <c r="B7653" s="15" t="s">
        <v>9915</v>
      </c>
      <c r="C7653" s="15" t="s">
        <v>9916</v>
      </c>
      <c r="D7653" s="15" t="s">
        <v>729</v>
      </c>
      <c r="E7653" s="15" t="s">
        <v>9919</v>
      </c>
    </row>
    <row r="7654" spans="2:5">
      <c r="B7654" s="15" t="s">
        <v>9915</v>
      </c>
      <c r="C7654" s="15" t="s">
        <v>9916</v>
      </c>
      <c r="D7654" s="15" t="s">
        <v>760</v>
      </c>
      <c r="E7654" s="15" t="s">
        <v>9920</v>
      </c>
    </row>
    <row r="7655" ht="15.95" spans="2:2">
      <c r="B7655" s="122" t="s">
        <v>9921</v>
      </c>
    </row>
    <row r="7656" spans="2:5">
      <c r="B7656" s="15" t="s">
        <v>9922</v>
      </c>
      <c r="C7656" s="15" t="s">
        <v>896</v>
      </c>
      <c r="D7656" s="15" t="s">
        <v>723</v>
      </c>
      <c r="E7656" s="15" t="s">
        <v>2389</v>
      </c>
    </row>
    <row r="7657" spans="2:5">
      <c r="B7657" s="15" t="s">
        <v>9922</v>
      </c>
      <c r="C7657" s="15" t="s">
        <v>896</v>
      </c>
      <c r="D7657" s="15" t="s">
        <v>725</v>
      </c>
      <c r="E7657" s="15" t="s">
        <v>2390</v>
      </c>
    </row>
    <row r="7658" ht="15.95" spans="2:2">
      <c r="B7658" s="122" t="s">
        <v>9923</v>
      </c>
    </row>
    <row r="7659" spans="2:5">
      <c r="B7659" s="15" t="s">
        <v>9924</v>
      </c>
      <c r="C7659" s="15" t="s">
        <v>9925</v>
      </c>
      <c r="D7659" s="15" t="s">
        <v>770</v>
      </c>
      <c r="E7659" s="15" t="s">
        <v>9926</v>
      </c>
    </row>
    <row r="7660" spans="2:5">
      <c r="B7660" s="15" t="s">
        <v>9924</v>
      </c>
      <c r="C7660" s="15" t="s">
        <v>9925</v>
      </c>
      <c r="D7660" s="15" t="s">
        <v>772</v>
      </c>
      <c r="E7660" s="15" t="s">
        <v>9927</v>
      </c>
    </row>
    <row r="7661" ht="15.95" spans="2:2">
      <c r="B7661" s="122" t="s">
        <v>9928</v>
      </c>
    </row>
    <row r="7662" spans="2:5">
      <c r="B7662" s="15" t="s">
        <v>9929</v>
      </c>
      <c r="C7662" s="15" t="s">
        <v>896</v>
      </c>
      <c r="D7662" s="15" t="s">
        <v>770</v>
      </c>
      <c r="E7662" s="15" t="s">
        <v>7816</v>
      </c>
    </row>
    <row r="7663" spans="2:5">
      <c r="B7663" s="15" t="s">
        <v>9929</v>
      </c>
      <c r="C7663" s="15" t="s">
        <v>896</v>
      </c>
      <c r="D7663" s="15" t="s">
        <v>772</v>
      </c>
      <c r="E7663" s="15" t="s">
        <v>7817</v>
      </c>
    </row>
    <row r="7664" spans="2:5">
      <c r="B7664" s="15" t="s">
        <v>9929</v>
      </c>
      <c r="C7664" s="15" t="s">
        <v>896</v>
      </c>
      <c r="D7664" s="15" t="s">
        <v>774</v>
      </c>
      <c r="E7664" s="15" t="s">
        <v>7818</v>
      </c>
    </row>
    <row r="7665" spans="2:5">
      <c r="B7665" s="15" t="s">
        <v>9929</v>
      </c>
      <c r="C7665" s="15" t="s">
        <v>896</v>
      </c>
      <c r="D7665" s="15" t="s">
        <v>828</v>
      </c>
      <c r="E7665" s="15" t="s">
        <v>7819</v>
      </c>
    </row>
    <row r="7666" ht="15.95" spans="2:2">
      <c r="B7666" s="122" t="s">
        <v>9930</v>
      </c>
    </row>
    <row r="7667" spans="2:5">
      <c r="B7667" s="15" t="s">
        <v>9931</v>
      </c>
      <c r="C7667" s="15" t="s">
        <v>9932</v>
      </c>
      <c r="D7667" s="15" t="s">
        <v>770</v>
      </c>
      <c r="E7667" s="15" t="s">
        <v>4601</v>
      </c>
    </row>
    <row r="7668" spans="2:5">
      <c r="B7668" s="15" t="s">
        <v>9931</v>
      </c>
      <c r="C7668" s="15" t="s">
        <v>9932</v>
      </c>
      <c r="D7668" s="15" t="s">
        <v>772</v>
      </c>
      <c r="E7668" s="15" t="s">
        <v>6662</v>
      </c>
    </row>
    <row r="7669" ht="15.95" spans="2:2">
      <c r="B7669" s="122" t="s">
        <v>9933</v>
      </c>
    </row>
    <row r="7670" spans="2:5">
      <c r="B7670" s="15" t="s">
        <v>9934</v>
      </c>
      <c r="C7670" s="15" t="s">
        <v>896</v>
      </c>
      <c r="D7670" s="15" t="s">
        <v>770</v>
      </c>
      <c r="E7670" s="15" t="s">
        <v>4674</v>
      </c>
    </row>
    <row r="7671" spans="2:5">
      <c r="B7671" s="15" t="s">
        <v>9934</v>
      </c>
      <c r="C7671" s="15" t="s">
        <v>896</v>
      </c>
      <c r="D7671" s="15" t="s">
        <v>772</v>
      </c>
      <c r="E7671" s="15" t="s">
        <v>9935</v>
      </c>
    </row>
    <row r="7672" ht="15.95" spans="2:2">
      <c r="B7672" s="122" t="s">
        <v>9936</v>
      </c>
    </row>
    <row r="7673" spans="2:5">
      <c r="B7673" s="15" t="s">
        <v>9937</v>
      </c>
      <c r="C7673" s="15" t="s">
        <v>9938</v>
      </c>
      <c r="D7673" s="15" t="s">
        <v>933</v>
      </c>
      <c r="E7673" s="15" t="s">
        <v>7966</v>
      </c>
    </row>
    <row r="7674" spans="2:5">
      <c r="B7674" s="15" t="s">
        <v>9937</v>
      </c>
      <c r="C7674" s="15" t="s">
        <v>9938</v>
      </c>
      <c r="D7674" s="15" t="s">
        <v>937</v>
      </c>
      <c r="E7674" s="15" t="s">
        <v>9939</v>
      </c>
    </row>
    <row r="7675" ht="15.95" spans="2:2">
      <c r="B7675" s="122" t="s">
        <v>9940</v>
      </c>
    </row>
    <row r="7676" spans="2:5">
      <c r="B7676" s="15" t="s">
        <v>9941</v>
      </c>
      <c r="C7676" s="15" t="s">
        <v>7150</v>
      </c>
      <c r="D7676" s="15" t="s">
        <v>917</v>
      </c>
      <c r="E7676" s="15" t="s">
        <v>953</v>
      </c>
    </row>
    <row r="7677" spans="2:5">
      <c r="B7677" s="15" t="s">
        <v>9941</v>
      </c>
      <c r="C7677" s="15" t="s">
        <v>7150</v>
      </c>
      <c r="D7677" s="15" t="s">
        <v>919</v>
      </c>
      <c r="E7677" s="15" t="s">
        <v>954</v>
      </c>
    </row>
    <row r="7678" spans="2:5">
      <c r="B7678" s="15" t="s">
        <v>9941</v>
      </c>
      <c r="C7678" s="15" t="s">
        <v>7150</v>
      </c>
      <c r="D7678" s="15" t="s">
        <v>955</v>
      </c>
      <c r="E7678" s="15" t="s">
        <v>956</v>
      </c>
    </row>
    <row r="7679" ht="15.95" spans="2:2">
      <c r="B7679" s="122" t="s">
        <v>9942</v>
      </c>
    </row>
    <row r="7680" spans="2:5">
      <c r="B7680" s="15" t="s">
        <v>9943</v>
      </c>
      <c r="C7680" s="15" t="s">
        <v>9943</v>
      </c>
      <c r="D7680" s="15" t="s">
        <v>723</v>
      </c>
      <c r="E7680" s="15" t="s">
        <v>4596</v>
      </c>
    </row>
    <row r="7681" spans="2:5">
      <c r="B7681" s="15" t="s">
        <v>9943</v>
      </c>
      <c r="C7681" s="15" t="s">
        <v>9943</v>
      </c>
      <c r="D7681" s="15" t="s">
        <v>725</v>
      </c>
      <c r="E7681" s="15" t="s">
        <v>4597</v>
      </c>
    </row>
    <row r="7682" spans="2:5">
      <c r="B7682" s="15" t="s">
        <v>9943</v>
      </c>
      <c r="C7682" s="15" t="s">
        <v>9943</v>
      </c>
      <c r="D7682" s="15" t="s">
        <v>727</v>
      </c>
      <c r="E7682" s="15" t="s">
        <v>862</v>
      </c>
    </row>
    <row r="7683" ht="15.95" spans="2:2">
      <c r="B7683" s="122" t="s">
        <v>9944</v>
      </c>
    </row>
    <row r="7684" spans="2:5">
      <c r="B7684" s="15" t="s">
        <v>9945</v>
      </c>
      <c r="C7684" s="15" t="s">
        <v>9946</v>
      </c>
      <c r="D7684" s="15" t="s">
        <v>635</v>
      </c>
      <c r="E7684" s="15" t="s">
        <v>9947</v>
      </c>
    </row>
    <row r="7685" spans="2:5">
      <c r="B7685" s="15" t="s">
        <v>9945</v>
      </c>
      <c r="C7685" s="15" t="s">
        <v>9946</v>
      </c>
      <c r="D7685" s="15" t="s">
        <v>659</v>
      </c>
      <c r="E7685" s="15" t="s">
        <v>5568</v>
      </c>
    </row>
    <row r="7686" spans="2:5">
      <c r="B7686" s="15" t="s">
        <v>9945</v>
      </c>
      <c r="C7686" s="15" t="s">
        <v>9946</v>
      </c>
      <c r="D7686" s="15" t="s">
        <v>679</v>
      </c>
      <c r="E7686" s="15" t="s">
        <v>5576</v>
      </c>
    </row>
    <row r="7687" spans="2:5">
      <c r="B7687" s="15" t="s">
        <v>9945</v>
      </c>
      <c r="C7687" s="15" t="s">
        <v>9946</v>
      </c>
      <c r="D7687" s="15" t="s">
        <v>705</v>
      </c>
      <c r="E7687" s="15" t="s">
        <v>9948</v>
      </c>
    </row>
    <row r="7688" spans="2:5">
      <c r="B7688" s="15" t="s">
        <v>9945</v>
      </c>
      <c r="C7688" s="15" t="s">
        <v>9946</v>
      </c>
      <c r="D7688" s="15" t="s">
        <v>709</v>
      </c>
      <c r="E7688" s="15" t="s">
        <v>9949</v>
      </c>
    </row>
    <row r="7689" spans="2:5">
      <c r="B7689" s="15" t="s">
        <v>9945</v>
      </c>
      <c r="C7689" s="15" t="s">
        <v>9946</v>
      </c>
      <c r="D7689" s="15" t="s">
        <v>838</v>
      </c>
      <c r="E7689" s="15" t="s">
        <v>9950</v>
      </c>
    </row>
    <row r="7690" ht="15.95" spans="2:2">
      <c r="B7690" s="122" t="s">
        <v>9951</v>
      </c>
    </row>
    <row r="7691" spans="2:5">
      <c r="B7691" s="15" t="s">
        <v>9952</v>
      </c>
      <c r="C7691" s="15" t="s">
        <v>9953</v>
      </c>
      <c r="D7691" s="15" t="s">
        <v>770</v>
      </c>
      <c r="E7691" s="15" t="s">
        <v>9954</v>
      </c>
    </row>
    <row r="7692" spans="2:5">
      <c r="B7692" s="15" t="s">
        <v>9952</v>
      </c>
      <c r="C7692" s="15" t="s">
        <v>9953</v>
      </c>
      <c r="D7692" s="15" t="s">
        <v>772</v>
      </c>
      <c r="E7692" s="15" t="s">
        <v>9955</v>
      </c>
    </row>
    <row r="7693" spans="2:5">
      <c r="B7693" s="15" t="s">
        <v>9952</v>
      </c>
      <c r="C7693" s="15" t="s">
        <v>9953</v>
      </c>
      <c r="D7693" s="15" t="s">
        <v>774</v>
      </c>
      <c r="E7693" s="15" t="s">
        <v>9956</v>
      </c>
    </row>
    <row r="7694" spans="2:5">
      <c r="B7694" s="15" t="s">
        <v>9952</v>
      </c>
      <c r="C7694" s="15" t="s">
        <v>9953</v>
      </c>
      <c r="D7694" s="15" t="s">
        <v>828</v>
      </c>
      <c r="E7694" s="15" t="s">
        <v>9957</v>
      </c>
    </row>
    <row r="7695" spans="2:5">
      <c r="B7695" s="15" t="s">
        <v>9952</v>
      </c>
      <c r="C7695" s="15" t="s">
        <v>9953</v>
      </c>
      <c r="D7695" s="15" t="s">
        <v>901</v>
      </c>
      <c r="E7695" s="15" t="s">
        <v>9958</v>
      </c>
    </row>
    <row r="7696" spans="2:5">
      <c r="B7696" s="15" t="s">
        <v>9952</v>
      </c>
      <c r="C7696" s="15" t="s">
        <v>9953</v>
      </c>
      <c r="D7696" s="15" t="s">
        <v>776</v>
      </c>
      <c r="E7696" s="15" t="s">
        <v>9959</v>
      </c>
    </row>
    <row r="7697" spans="2:5">
      <c r="B7697" s="15" t="s">
        <v>9952</v>
      </c>
      <c r="C7697" s="15" t="s">
        <v>9953</v>
      </c>
      <c r="D7697" s="15" t="s">
        <v>1290</v>
      </c>
      <c r="E7697" s="15" t="s">
        <v>9960</v>
      </c>
    </row>
    <row r="7698" spans="2:5">
      <c r="B7698" s="15" t="s">
        <v>9952</v>
      </c>
      <c r="C7698" s="15" t="s">
        <v>9953</v>
      </c>
      <c r="D7698" s="15" t="s">
        <v>1409</v>
      </c>
      <c r="E7698" s="15" t="s">
        <v>9961</v>
      </c>
    </row>
    <row r="7699" spans="2:5">
      <c r="B7699" s="15" t="s">
        <v>9952</v>
      </c>
      <c r="C7699" s="15" t="s">
        <v>9953</v>
      </c>
      <c r="D7699" s="15" t="s">
        <v>1143</v>
      </c>
      <c r="E7699" s="15" t="s">
        <v>9962</v>
      </c>
    </row>
    <row r="7700" ht="15.95" spans="2:2">
      <c r="B7700" s="122" t="s">
        <v>9963</v>
      </c>
    </row>
    <row r="7701" spans="2:5">
      <c r="B7701" s="15" t="s">
        <v>9964</v>
      </c>
      <c r="C7701" s="15" t="s">
        <v>9965</v>
      </c>
      <c r="D7701" s="15" t="s">
        <v>723</v>
      </c>
      <c r="E7701" s="15" t="s">
        <v>9363</v>
      </c>
    </row>
    <row r="7702" spans="2:5">
      <c r="B7702" s="15" t="s">
        <v>9964</v>
      </c>
      <c r="C7702" s="15" t="s">
        <v>9965</v>
      </c>
      <c r="D7702" s="15" t="s">
        <v>727</v>
      </c>
      <c r="E7702" s="15" t="s">
        <v>9364</v>
      </c>
    </row>
    <row r="7703" spans="2:5">
      <c r="B7703" s="15" t="s">
        <v>9964</v>
      </c>
      <c r="C7703" s="15" t="s">
        <v>9965</v>
      </c>
      <c r="D7703" s="15" t="s">
        <v>762</v>
      </c>
      <c r="E7703" s="15" t="s">
        <v>9365</v>
      </c>
    </row>
    <row r="7704" spans="2:5">
      <c r="B7704" s="15" t="s">
        <v>9964</v>
      </c>
      <c r="C7704" s="15" t="s">
        <v>9965</v>
      </c>
      <c r="D7704" s="15" t="s">
        <v>765</v>
      </c>
      <c r="E7704" s="15" t="s">
        <v>2818</v>
      </c>
    </row>
    <row r="7705" ht="15.95" spans="2:2">
      <c r="B7705" s="122" t="s">
        <v>9966</v>
      </c>
    </row>
    <row r="7706" spans="2:5">
      <c r="B7706" s="15" t="s">
        <v>9967</v>
      </c>
      <c r="C7706" s="15" t="s">
        <v>9968</v>
      </c>
      <c r="D7706" s="15" t="s">
        <v>659</v>
      </c>
      <c r="E7706" s="15" t="s">
        <v>9969</v>
      </c>
    </row>
    <row r="7707" spans="2:5">
      <c r="B7707" s="15" t="s">
        <v>9967</v>
      </c>
      <c r="C7707" s="15" t="s">
        <v>9968</v>
      </c>
      <c r="D7707" s="15" t="s">
        <v>679</v>
      </c>
      <c r="E7707" s="15" t="s">
        <v>7813</v>
      </c>
    </row>
    <row r="7708" spans="2:5">
      <c r="B7708" s="15" t="s">
        <v>9967</v>
      </c>
      <c r="C7708" s="15" t="s">
        <v>9968</v>
      </c>
      <c r="D7708" s="15" t="s">
        <v>705</v>
      </c>
      <c r="E7708" s="15" t="s">
        <v>9970</v>
      </c>
    </row>
    <row r="7709" ht="15.95" spans="2:2">
      <c r="B7709" s="122" t="s">
        <v>9971</v>
      </c>
    </row>
    <row r="7710" spans="2:5">
      <c r="B7710" s="15" t="s">
        <v>9972</v>
      </c>
      <c r="C7710" s="15" t="s">
        <v>9047</v>
      </c>
      <c r="D7710" s="15" t="s">
        <v>785</v>
      </c>
      <c r="E7710" s="15" t="s">
        <v>9973</v>
      </c>
    </row>
    <row r="7711" spans="2:5">
      <c r="B7711" s="15" t="s">
        <v>9972</v>
      </c>
      <c r="C7711" s="15" t="s">
        <v>9047</v>
      </c>
      <c r="D7711" s="15" t="s">
        <v>789</v>
      </c>
      <c r="E7711" s="15" t="s">
        <v>9974</v>
      </c>
    </row>
    <row r="7712" spans="2:5">
      <c r="B7712" s="15" t="s">
        <v>9972</v>
      </c>
      <c r="C7712" s="15" t="s">
        <v>9047</v>
      </c>
      <c r="D7712" s="15" t="s">
        <v>791</v>
      </c>
      <c r="E7712" s="15" t="s">
        <v>9975</v>
      </c>
    </row>
    <row r="7713" ht="15.95" spans="2:2">
      <c r="B7713" s="122" t="s">
        <v>9976</v>
      </c>
    </row>
    <row r="7714" spans="2:5">
      <c r="B7714" s="15" t="s">
        <v>9977</v>
      </c>
      <c r="C7714" s="15" t="s">
        <v>9978</v>
      </c>
      <c r="D7714" s="15" t="s">
        <v>770</v>
      </c>
      <c r="E7714" s="15" t="s">
        <v>9979</v>
      </c>
    </row>
    <row r="7715" spans="2:5">
      <c r="B7715" s="15" t="s">
        <v>9977</v>
      </c>
      <c r="C7715" s="15" t="s">
        <v>9978</v>
      </c>
      <c r="D7715" s="15" t="s">
        <v>1372</v>
      </c>
      <c r="E7715" s="15" t="s">
        <v>9980</v>
      </c>
    </row>
    <row r="7716" spans="2:5">
      <c r="B7716" s="15" t="s">
        <v>9977</v>
      </c>
      <c r="C7716" s="15" t="s">
        <v>9978</v>
      </c>
      <c r="D7716" s="15" t="s">
        <v>1374</v>
      </c>
      <c r="E7716" s="15" t="s">
        <v>9981</v>
      </c>
    </row>
    <row r="7717" spans="2:5">
      <c r="B7717" s="15" t="s">
        <v>9977</v>
      </c>
      <c r="C7717" s="15" t="s">
        <v>9978</v>
      </c>
      <c r="D7717" s="15" t="s">
        <v>1375</v>
      </c>
      <c r="E7717" s="15" t="s">
        <v>9982</v>
      </c>
    </row>
    <row r="7718" spans="2:5">
      <c r="B7718" s="15" t="s">
        <v>9977</v>
      </c>
      <c r="C7718" s="15" t="s">
        <v>9978</v>
      </c>
      <c r="D7718" s="15" t="s">
        <v>3147</v>
      </c>
      <c r="E7718" s="15" t="s">
        <v>9983</v>
      </c>
    </row>
    <row r="7719" spans="2:5">
      <c r="B7719" s="15" t="s">
        <v>9977</v>
      </c>
      <c r="C7719" s="15" t="s">
        <v>9978</v>
      </c>
      <c r="D7719" s="15" t="s">
        <v>9984</v>
      </c>
      <c r="E7719" s="15" t="s">
        <v>9985</v>
      </c>
    </row>
    <row r="7720" spans="2:5">
      <c r="B7720" s="15" t="s">
        <v>9977</v>
      </c>
      <c r="C7720" s="15" t="s">
        <v>9978</v>
      </c>
      <c r="D7720" s="15" t="s">
        <v>772</v>
      </c>
      <c r="E7720" s="15" t="s">
        <v>9986</v>
      </c>
    </row>
    <row r="7721" spans="2:5">
      <c r="B7721" s="15" t="s">
        <v>9977</v>
      </c>
      <c r="C7721" s="15" t="s">
        <v>9978</v>
      </c>
      <c r="D7721" s="15" t="s">
        <v>1378</v>
      </c>
      <c r="E7721" s="15" t="s">
        <v>9987</v>
      </c>
    </row>
    <row r="7722" spans="2:5">
      <c r="B7722" s="15" t="s">
        <v>9977</v>
      </c>
      <c r="C7722" s="15" t="s">
        <v>9978</v>
      </c>
      <c r="D7722" s="15" t="s">
        <v>1380</v>
      </c>
      <c r="E7722" s="15" t="s">
        <v>9988</v>
      </c>
    </row>
    <row r="7723" spans="2:5">
      <c r="B7723" s="15" t="s">
        <v>9977</v>
      </c>
      <c r="C7723" s="15" t="s">
        <v>9978</v>
      </c>
      <c r="D7723" s="15" t="s">
        <v>1382</v>
      </c>
      <c r="E7723" s="15" t="s">
        <v>9989</v>
      </c>
    </row>
    <row r="7724" spans="2:5">
      <c r="B7724" s="15" t="s">
        <v>9977</v>
      </c>
      <c r="C7724" s="15" t="s">
        <v>9978</v>
      </c>
      <c r="D7724" s="15" t="s">
        <v>3047</v>
      </c>
      <c r="E7724" s="15" t="s">
        <v>9990</v>
      </c>
    </row>
    <row r="7725" spans="2:5">
      <c r="B7725" s="15" t="s">
        <v>9977</v>
      </c>
      <c r="C7725" s="15" t="s">
        <v>9978</v>
      </c>
      <c r="D7725" s="15" t="s">
        <v>1411</v>
      </c>
      <c r="E7725" s="15" t="s">
        <v>9991</v>
      </c>
    </row>
    <row r="7726" ht="15.95" spans="2:2">
      <c r="B7726" s="122" t="s">
        <v>9992</v>
      </c>
    </row>
    <row r="7727" spans="2:5">
      <c r="B7727" s="15" t="s">
        <v>9993</v>
      </c>
      <c r="C7727" s="15" t="s">
        <v>9994</v>
      </c>
      <c r="D7727" s="15" t="s">
        <v>1057</v>
      </c>
      <c r="E7727" s="15" t="s">
        <v>9342</v>
      </c>
    </row>
    <row r="7728" spans="2:5">
      <c r="B7728" s="15" t="s">
        <v>9993</v>
      </c>
      <c r="C7728" s="15" t="s">
        <v>9994</v>
      </c>
      <c r="D7728" s="15" t="s">
        <v>7427</v>
      </c>
      <c r="E7728" s="15" t="s">
        <v>1084</v>
      </c>
    </row>
    <row r="7729" spans="2:5">
      <c r="B7729" s="15" t="s">
        <v>9993</v>
      </c>
      <c r="C7729" s="15" t="s">
        <v>9994</v>
      </c>
      <c r="D7729" s="15" t="s">
        <v>9995</v>
      </c>
      <c r="E7729" s="15" t="s">
        <v>9996</v>
      </c>
    </row>
    <row r="7730" spans="2:5">
      <c r="B7730" s="15" t="s">
        <v>9993</v>
      </c>
      <c r="C7730" s="15" t="s">
        <v>9994</v>
      </c>
      <c r="D7730" s="15" t="s">
        <v>5289</v>
      </c>
      <c r="E7730" s="15" t="s">
        <v>1083</v>
      </c>
    </row>
    <row r="7731" spans="2:5">
      <c r="B7731" s="15" t="s">
        <v>9993</v>
      </c>
      <c r="C7731" s="15" t="s">
        <v>9994</v>
      </c>
      <c r="D7731" s="15" t="s">
        <v>9997</v>
      </c>
      <c r="E7731" s="15" t="s">
        <v>9998</v>
      </c>
    </row>
    <row r="7732" spans="2:5">
      <c r="B7732" s="15" t="s">
        <v>9993</v>
      </c>
      <c r="C7732" s="15" t="s">
        <v>9994</v>
      </c>
      <c r="D7732" s="15" t="s">
        <v>1592</v>
      </c>
      <c r="E7732" s="15" t="s">
        <v>1080</v>
      </c>
    </row>
    <row r="7733" ht="15.95" spans="2:2">
      <c r="B7733" s="122" t="s">
        <v>9999</v>
      </c>
    </row>
    <row r="7734" spans="2:5">
      <c r="B7734" s="15" t="s">
        <v>7941</v>
      </c>
      <c r="C7734" s="15" t="s">
        <v>7941</v>
      </c>
      <c r="D7734" s="15" t="s">
        <v>723</v>
      </c>
      <c r="E7734" s="15" t="s">
        <v>10000</v>
      </c>
    </row>
    <row r="7735" spans="2:5">
      <c r="B7735" s="15" t="s">
        <v>7941</v>
      </c>
      <c r="C7735" s="15" t="s">
        <v>7941</v>
      </c>
      <c r="D7735" s="15" t="s">
        <v>725</v>
      </c>
      <c r="E7735" s="15" t="s">
        <v>10001</v>
      </c>
    </row>
    <row r="7736" spans="2:5">
      <c r="B7736" s="15" t="s">
        <v>7941</v>
      </c>
      <c r="C7736" s="15" t="s">
        <v>7941</v>
      </c>
      <c r="D7736" s="15" t="s">
        <v>727</v>
      </c>
      <c r="E7736" s="15" t="s">
        <v>1274</v>
      </c>
    </row>
    <row r="7737" spans="2:5">
      <c r="B7737" s="15" t="s">
        <v>7941</v>
      </c>
      <c r="C7737" s="15" t="s">
        <v>7941</v>
      </c>
      <c r="D7737" s="15" t="s">
        <v>729</v>
      </c>
      <c r="E7737" s="15" t="s">
        <v>10002</v>
      </c>
    </row>
    <row r="7738" ht="15.95" spans="2:2">
      <c r="B7738" s="122" t="s">
        <v>10003</v>
      </c>
    </row>
    <row r="7739" spans="2:5">
      <c r="B7739" s="15" t="s">
        <v>10004</v>
      </c>
      <c r="C7739" s="15" t="s">
        <v>10005</v>
      </c>
      <c r="D7739" s="15" t="s">
        <v>770</v>
      </c>
      <c r="E7739" s="15" t="s">
        <v>10006</v>
      </c>
    </row>
    <row r="7740" spans="2:5">
      <c r="B7740" s="15" t="s">
        <v>10004</v>
      </c>
      <c r="C7740" s="15" t="s">
        <v>10005</v>
      </c>
      <c r="D7740" s="15" t="s">
        <v>772</v>
      </c>
      <c r="E7740" s="15" t="s">
        <v>10007</v>
      </c>
    </row>
    <row r="7741" spans="2:5">
      <c r="B7741" s="15" t="s">
        <v>10004</v>
      </c>
      <c r="C7741" s="15" t="s">
        <v>10005</v>
      </c>
      <c r="D7741" s="15" t="s">
        <v>1145</v>
      </c>
      <c r="E7741" s="15" t="s">
        <v>235</v>
      </c>
    </row>
    <row r="7742" ht="15.95" spans="2:2">
      <c r="B7742" s="122" t="s">
        <v>10008</v>
      </c>
    </row>
    <row r="7743" spans="2:5">
      <c r="B7743" s="15" t="s">
        <v>10009</v>
      </c>
      <c r="C7743" s="15" t="s">
        <v>906</v>
      </c>
      <c r="D7743" s="15" t="s">
        <v>723</v>
      </c>
      <c r="E7743" s="15" t="s">
        <v>4490</v>
      </c>
    </row>
    <row r="7744" spans="2:5">
      <c r="B7744" s="15" t="s">
        <v>10009</v>
      </c>
      <c r="C7744" s="15" t="s">
        <v>906</v>
      </c>
      <c r="D7744" s="15" t="s">
        <v>725</v>
      </c>
      <c r="E7744" s="15" t="s">
        <v>5832</v>
      </c>
    </row>
    <row r="7745" ht="15.95" spans="2:2">
      <c r="B7745" s="122" t="s">
        <v>10010</v>
      </c>
    </row>
    <row r="7746" spans="2:5">
      <c r="B7746" s="15" t="s">
        <v>10011</v>
      </c>
      <c r="C7746" s="15" t="s">
        <v>10011</v>
      </c>
      <c r="D7746" s="15" t="s">
        <v>723</v>
      </c>
      <c r="E7746" s="15" t="s">
        <v>6768</v>
      </c>
    </row>
    <row r="7747" spans="2:5">
      <c r="B7747" s="15" t="s">
        <v>10011</v>
      </c>
      <c r="C7747" s="15" t="s">
        <v>10011</v>
      </c>
      <c r="D7747" s="15" t="s">
        <v>725</v>
      </c>
      <c r="E7747" s="15" t="s">
        <v>3454</v>
      </c>
    </row>
    <row r="7748" spans="2:5">
      <c r="B7748" s="15" t="s">
        <v>10011</v>
      </c>
      <c r="C7748" s="15" t="s">
        <v>10011</v>
      </c>
      <c r="D7748" s="15" t="s">
        <v>727</v>
      </c>
      <c r="E7748" s="15" t="s">
        <v>3455</v>
      </c>
    </row>
    <row r="7749" spans="2:5">
      <c r="B7749" s="15" t="s">
        <v>10011</v>
      </c>
      <c r="C7749" s="15" t="s">
        <v>10011</v>
      </c>
      <c r="D7749" s="15" t="s">
        <v>729</v>
      </c>
      <c r="E7749" s="15" t="s">
        <v>3456</v>
      </c>
    </row>
    <row r="7750" spans="2:5">
      <c r="B7750" s="15" t="s">
        <v>10011</v>
      </c>
      <c r="C7750" s="15" t="s">
        <v>10011</v>
      </c>
      <c r="D7750" s="15" t="s">
        <v>760</v>
      </c>
      <c r="E7750" s="15" t="s">
        <v>3457</v>
      </c>
    </row>
    <row r="7751" spans="2:5">
      <c r="B7751" s="15" t="s">
        <v>10011</v>
      </c>
      <c r="C7751" s="15" t="s">
        <v>10011</v>
      </c>
      <c r="D7751" s="15" t="s">
        <v>762</v>
      </c>
      <c r="E7751" s="15" t="s">
        <v>235</v>
      </c>
    </row>
    <row r="7752" ht="15.95" spans="2:2">
      <c r="B7752" s="122" t="s">
        <v>10012</v>
      </c>
    </row>
    <row r="7753" spans="2:5">
      <c r="B7753" s="15" t="s">
        <v>10013</v>
      </c>
      <c r="C7753" s="15" t="s">
        <v>10013</v>
      </c>
      <c r="D7753" s="15" t="s">
        <v>770</v>
      </c>
      <c r="E7753" s="15" t="s">
        <v>3019</v>
      </c>
    </row>
    <row r="7754" spans="2:5">
      <c r="B7754" s="15" t="s">
        <v>10013</v>
      </c>
      <c r="C7754" s="15" t="s">
        <v>10013</v>
      </c>
      <c r="D7754" s="15" t="s">
        <v>772</v>
      </c>
      <c r="E7754" s="15" t="s">
        <v>3020</v>
      </c>
    </row>
    <row r="7755" spans="2:5">
      <c r="B7755" s="15" t="s">
        <v>10013</v>
      </c>
      <c r="C7755" s="15" t="s">
        <v>10013</v>
      </c>
      <c r="D7755" s="15" t="s">
        <v>774</v>
      </c>
      <c r="E7755" s="15" t="s">
        <v>3021</v>
      </c>
    </row>
    <row r="7756" spans="2:5">
      <c r="B7756" s="15" t="s">
        <v>10013</v>
      </c>
      <c r="C7756" s="15" t="s">
        <v>10013</v>
      </c>
      <c r="D7756" s="15" t="s">
        <v>828</v>
      </c>
      <c r="E7756" s="15" t="s">
        <v>3022</v>
      </c>
    </row>
    <row r="7757" spans="2:5">
      <c r="B7757" s="15" t="s">
        <v>10013</v>
      </c>
      <c r="C7757" s="15" t="s">
        <v>10013</v>
      </c>
      <c r="D7757" s="15" t="s">
        <v>901</v>
      </c>
      <c r="E7757" s="15" t="s">
        <v>3023</v>
      </c>
    </row>
    <row r="7758" spans="2:5">
      <c r="B7758" s="15" t="s">
        <v>10013</v>
      </c>
      <c r="C7758" s="15" t="s">
        <v>10013</v>
      </c>
      <c r="D7758" s="15" t="s">
        <v>776</v>
      </c>
      <c r="E7758" s="15" t="s">
        <v>3024</v>
      </c>
    </row>
    <row r="7759" ht="15.95" spans="2:2">
      <c r="B7759" s="122" t="s">
        <v>10014</v>
      </c>
    </row>
    <row r="7760" spans="2:5">
      <c r="B7760" s="15" t="s">
        <v>10015</v>
      </c>
      <c r="C7760" s="15" t="s">
        <v>10016</v>
      </c>
      <c r="D7760" s="15" t="s">
        <v>635</v>
      </c>
      <c r="E7760" s="15" t="s">
        <v>10017</v>
      </c>
    </row>
    <row r="7761" spans="2:5">
      <c r="B7761" s="15" t="s">
        <v>10015</v>
      </c>
      <c r="C7761" s="15" t="s">
        <v>10016</v>
      </c>
      <c r="D7761" s="15" t="s">
        <v>659</v>
      </c>
      <c r="E7761" s="15" t="s">
        <v>10018</v>
      </c>
    </row>
    <row r="7762" ht="15.95" spans="2:2">
      <c r="B7762" s="122" t="s">
        <v>10019</v>
      </c>
    </row>
    <row r="7763" spans="2:5">
      <c r="B7763" s="15" t="s">
        <v>2341</v>
      </c>
      <c r="C7763" s="15" t="s">
        <v>2341</v>
      </c>
      <c r="D7763" s="15" t="s">
        <v>723</v>
      </c>
      <c r="E7763" s="15" t="s">
        <v>2344</v>
      </c>
    </row>
    <row r="7764" spans="2:5">
      <c r="B7764" s="15" t="s">
        <v>2341</v>
      </c>
      <c r="C7764" s="15" t="s">
        <v>2341</v>
      </c>
      <c r="D7764" s="15" t="s">
        <v>725</v>
      </c>
      <c r="E7764" s="15" t="s">
        <v>2343</v>
      </c>
    </row>
    <row r="7765" spans="2:5">
      <c r="B7765" s="15" t="s">
        <v>2341</v>
      </c>
      <c r="C7765" s="15" t="s">
        <v>2341</v>
      </c>
      <c r="D7765" s="15" t="s">
        <v>727</v>
      </c>
      <c r="E7765" s="15" t="s">
        <v>9310</v>
      </c>
    </row>
    <row r="7766" spans="2:5">
      <c r="B7766" s="15" t="s">
        <v>2341</v>
      </c>
      <c r="C7766" s="15" t="s">
        <v>2341</v>
      </c>
      <c r="D7766" s="15" t="s">
        <v>729</v>
      </c>
      <c r="E7766" s="15" t="s">
        <v>948</v>
      </c>
    </row>
    <row r="7767" ht="15.95" spans="2:2">
      <c r="B7767" s="122" t="s">
        <v>10020</v>
      </c>
    </row>
    <row r="7768" spans="2:5">
      <c r="B7768" s="15" t="s">
        <v>10021</v>
      </c>
      <c r="C7768" s="15" t="s">
        <v>10022</v>
      </c>
      <c r="D7768" s="15" t="s">
        <v>635</v>
      </c>
      <c r="E7768" s="15" t="s">
        <v>10023</v>
      </c>
    </row>
    <row r="7769" spans="2:5">
      <c r="B7769" s="15" t="s">
        <v>10021</v>
      </c>
      <c r="C7769" s="15" t="s">
        <v>10022</v>
      </c>
      <c r="D7769" s="15" t="s">
        <v>659</v>
      </c>
      <c r="E7769" s="15" t="s">
        <v>1203</v>
      </c>
    </row>
    <row r="7770" spans="2:5">
      <c r="B7770" s="15" t="s">
        <v>10021</v>
      </c>
      <c r="C7770" s="15" t="s">
        <v>10022</v>
      </c>
      <c r="D7770" s="15" t="s">
        <v>679</v>
      </c>
      <c r="E7770" s="15" t="s">
        <v>3413</v>
      </c>
    </row>
    <row r="7771" ht="15.95" spans="2:2">
      <c r="B7771" s="122" t="s">
        <v>10024</v>
      </c>
    </row>
    <row r="7772" spans="2:5">
      <c r="B7772" s="15" t="s">
        <v>10025</v>
      </c>
      <c r="C7772" s="15" t="s">
        <v>10025</v>
      </c>
      <c r="D7772" s="15" t="s">
        <v>770</v>
      </c>
      <c r="E7772" s="15" t="s">
        <v>10026</v>
      </c>
    </row>
    <row r="7773" spans="2:5">
      <c r="B7773" s="15" t="s">
        <v>10025</v>
      </c>
      <c r="C7773" s="15" t="s">
        <v>10025</v>
      </c>
      <c r="D7773" s="15" t="s">
        <v>772</v>
      </c>
      <c r="E7773" s="15" t="s">
        <v>10027</v>
      </c>
    </row>
    <row r="7774" spans="2:5">
      <c r="B7774" s="15" t="s">
        <v>10025</v>
      </c>
      <c r="C7774" s="15" t="s">
        <v>10025</v>
      </c>
      <c r="D7774" s="15" t="s">
        <v>774</v>
      </c>
      <c r="E7774" s="15" t="s">
        <v>10028</v>
      </c>
    </row>
    <row r="7775" spans="2:5">
      <c r="B7775" s="15" t="s">
        <v>10025</v>
      </c>
      <c r="C7775" s="15" t="s">
        <v>10025</v>
      </c>
      <c r="D7775" s="15" t="s">
        <v>828</v>
      </c>
      <c r="E7775" s="15" t="s">
        <v>10029</v>
      </c>
    </row>
    <row r="7776" spans="2:5">
      <c r="B7776" s="15" t="s">
        <v>10025</v>
      </c>
      <c r="C7776" s="15" t="s">
        <v>10025</v>
      </c>
      <c r="D7776" s="15" t="s">
        <v>901</v>
      </c>
      <c r="E7776" s="15" t="s">
        <v>5032</v>
      </c>
    </row>
    <row r="7777" ht="15.95" spans="2:2">
      <c r="B7777" s="122" t="s">
        <v>10030</v>
      </c>
    </row>
    <row r="7778" spans="2:5">
      <c r="B7778" s="15" t="s">
        <v>10031</v>
      </c>
      <c r="C7778" s="15" t="s">
        <v>896</v>
      </c>
      <c r="D7778" s="15" t="s">
        <v>770</v>
      </c>
      <c r="E7778" s="15" t="s">
        <v>4418</v>
      </c>
    </row>
    <row r="7779" spans="2:5">
      <c r="B7779" s="15" t="s">
        <v>10031</v>
      </c>
      <c r="C7779" s="15" t="s">
        <v>896</v>
      </c>
      <c r="D7779" s="15" t="s">
        <v>772</v>
      </c>
      <c r="E7779" s="15" t="s">
        <v>1203</v>
      </c>
    </row>
    <row r="7780" spans="2:5">
      <c r="B7780" s="15" t="s">
        <v>10031</v>
      </c>
      <c r="C7780" s="15" t="s">
        <v>896</v>
      </c>
      <c r="D7780" s="15" t="s">
        <v>774</v>
      </c>
      <c r="E7780" s="15" t="s">
        <v>7291</v>
      </c>
    </row>
    <row r="7781" ht="15.95" spans="2:2">
      <c r="B7781" s="122" t="s">
        <v>10032</v>
      </c>
    </row>
    <row r="7782" spans="2:5">
      <c r="B7782" s="15" t="s">
        <v>10033</v>
      </c>
      <c r="C7782" s="15" t="s">
        <v>10033</v>
      </c>
      <c r="D7782" s="15" t="s">
        <v>723</v>
      </c>
      <c r="E7782" s="15" t="s">
        <v>2145</v>
      </c>
    </row>
    <row r="7783" spans="2:5">
      <c r="B7783" s="15" t="s">
        <v>10033</v>
      </c>
      <c r="C7783" s="15" t="s">
        <v>10033</v>
      </c>
      <c r="D7783" s="15" t="s">
        <v>725</v>
      </c>
      <c r="E7783" s="15" t="s">
        <v>2146</v>
      </c>
    </row>
    <row r="7784" spans="2:5">
      <c r="B7784" s="15" t="s">
        <v>10033</v>
      </c>
      <c r="C7784" s="15" t="s">
        <v>10033</v>
      </c>
      <c r="D7784" s="15" t="s">
        <v>727</v>
      </c>
      <c r="E7784" s="15" t="s">
        <v>1936</v>
      </c>
    </row>
    <row r="7785" ht="15.95" spans="2:2">
      <c r="B7785" s="122" t="s">
        <v>10034</v>
      </c>
    </row>
    <row r="7786" spans="2:5">
      <c r="B7786" s="15" t="s">
        <v>10035</v>
      </c>
      <c r="C7786" s="15" t="s">
        <v>10036</v>
      </c>
      <c r="D7786" s="15" t="s">
        <v>770</v>
      </c>
      <c r="E7786" s="15" t="s">
        <v>10037</v>
      </c>
    </row>
    <row r="7787" spans="2:5">
      <c r="B7787" s="15" t="s">
        <v>10035</v>
      </c>
      <c r="C7787" s="15" t="s">
        <v>10036</v>
      </c>
      <c r="D7787" s="15" t="s">
        <v>772</v>
      </c>
      <c r="E7787" s="15" t="s">
        <v>8198</v>
      </c>
    </row>
    <row r="7788" spans="2:5">
      <c r="B7788" s="15" t="s">
        <v>10035</v>
      </c>
      <c r="C7788" s="15" t="s">
        <v>10036</v>
      </c>
      <c r="D7788" s="15" t="s">
        <v>774</v>
      </c>
      <c r="E7788" s="15" t="s">
        <v>8199</v>
      </c>
    </row>
    <row r="7789" spans="2:5">
      <c r="B7789" s="15" t="s">
        <v>10035</v>
      </c>
      <c r="C7789" s="15" t="s">
        <v>10036</v>
      </c>
      <c r="D7789" s="15" t="s">
        <v>828</v>
      </c>
      <c r="E7789" s="15" t="s">
        <v>10038</v>
      </c>
    </row>
    <row r="7790" spans="2:5">
      <c r="B7790" s="15" t="s">
        <v>10035</v>
      </c>
      <c r="C7790" s="15" t="s">
        <v>10036</v>
      </c>
      <c r="D7790" s="15" t="s">
        <v>901</v>
      </c>
      <c r="E7790" s="15" t="s">
        <v>10039</v>
      </c>
    </row>
    <row r="7791" spans="2:5">
      <c r="B7791" s="15" t="s">
        <v>10035</v>
      </c>
      <c r="C7791" s="15" t="s">
        <v>10036</v>
      </c>
      <c r="D7791" s="15" t="s">
        <v>776</v>
      </c>
      <c r="E7791" s="15" t="s">
        <v>8200</v>
      </c>
    </row>
    <row r="7792" spans="2:5">
      <c r="B7792" s="15" t="s">
        <v>10035</v>
      </c>
      <c r="C7792" s="15" t="s">
        <v>10036</v>
      </c>
      <c r="D7792" s="15" t="s">
        <v>1290</v>
      </c>
      <c r="E7792" s="15" t="s">
        <v>10040</v>
      </c>
    </row>
    <row r="7793" spans="2:5">
      <c r="B7793" s="15" t="s">
        <v>10035</v>
      </c>
      <c r="C7793" s="15" t="s">
        <v>10036</v>
      </c>
      <c r="D7793" s="15" t="s">
        <v>1409</v>
      </c>
      <c r="E7793" s="15" t="s">
        <v>10041</v>
      </c>
    </row>
    <row r="7794" spans="2:5">
      <c r="B7794" s="15" t="s">
        <v>10035</v>
      </c>
      <c r="C7794" s="15" t="s">
        <v>10036</v>
      </c>
      <c r="D7794" s="15" t="s">
        <v>1411</v>
      </c>
      <c r="E7794" s="15" t="s">
        <v>948</v>
      </c>
    </row>
    <row r="7795" ht="15.95" spans="2:2">
      <c r="B7795" s="122" t="s">
        <v>10042</v>
      </c>
    </row>
    <row r="7796" spans="2:5">
      <c r="B7796" s="15" t="s">
        <v>10043</v>
      </c>
      <c r="C7796" s="15" t="s">
        <v>10044</v>
      </c>
      <c r="D7796" s="15" t="s">
        <v>770</v>
      </c>
      <c r="E7796" s="15" t="s">
        <v>10045</v>
      </c>
    </row>
    <row r="7797" spans="2:5">
      <c r="B7797" s="15" t="s">
        <v>10043</v>
      </c>
      <c r="C7797" s="15" t="s">
        <v>10044</v>
      </c>
      <c r="D7797" s="15" t="s">
        <v>772</v>
      </c>
      <c r="E7797" s="15" t="s">
        <v>7964</v>
      </c>
    </row>
    <row r="7798" spans="2:5">
      <c r="B7798" s="15" t="s">
        <v>10043</v>
      </c>
      <c r="C7798" s="15" t="s">
        <v>10044</v>
      </c>
      <c r="D7798" s="15" t="s">
        <v>774</v>
      </c>
      <c r="E7798" s="15" t="s">
        <v>10046</v>
      </c>
    </row>
    <row r="7799" ht="15.95" spans="2:2">
      <c r="B7799" s="122" t="s">
        <v>10047</v>
      </c>
    </row>
    <row r="7800" spans="2:5">
      <c r="B7800" s="15" t="s">
        <v>10048</v>
      </c>
      <c r="C7800" s="15" t="s">
        <v>10049</v>
      </c>
      <c r="D7800" s="15" t="s">
        <v>635</v>
      </c>
      <c r="E7800" s="15" t="s">
        <v>10050</v>
      </c>
    </row>
    <row r="7801" spans="2:5">
      <c r="B7801" s="15" t="s">
        <v>10048</v>
      </c>
      <c r="C7801" s="15" t="s">
        <v>10049</v>
      </c>
      <c r="D7801" s="15" t="s">
        <v>10051</v>
      </c>
      <c r="E7801" s="15" t="s">
        <v>10052</v>
      </c>
    </row>
    <row r="7802" spans="2:5">
      <c r="B7802" s="15" t="s">
        <v>10048</v>
      </c>
      <c r="C7802" s="15" t="s">
        <v>10049</v>
      </c>
      <c r="D7802" s="15" t="s">
        <v>10053</v>
      </c>
      <c r="E7802" s="15" t="s">
        <v>10054</v>
      </c>
    </row>
    <row r="7803" spans="2:5">
      <c r="B7803" s="15" t="s">
        <v>10048</v>
      </c>
      <c r="C7803" s="15" t="s">
        <v>10049</v>
      </c>
      <c r="D7803" s="15" t="s">
        <v>10055</v>
      </c>
      <c r="E7803" s="15" t="s">
        <v>10056</v>
      </c>
    </row>
    <row r="7804" spans="2:5">
      <c r="B7804" s="15" t="s">
        <v>10048</v>
      </c>
      <c r="C7804" s="15" t="s">
        <v>10049</v>
      </c>
      <c r="D7804" s="15" t="s">
        <v>10057</v>
      </c>
      <c r="E7804" s="15" t="s">
        <v>10058</v>
      </c>
    </row>
    <row r="7805" spans="2:5">
      <c r="B7805" s="15" t="s">
        <v>10048</v>
      </c>
      <c r="C7805" s="15" t="s">
        <v>10049</v>
      </c>
      <c r="D7805" s="15" t="s">
        <v>10059</v>
      </c>
      <c r="E7805" s="15" t="s">
        <v>10060</v>
      </c>
    </row>
    <row r="7806" spans="2:5">
      <c r="B7806" s="15" t="s">
        <v>10048</v>
      </c>
      <c r="C7806" s="15" t="s">
        <v>10049</v>
      </c>
      <c r="D7806" s="15" t="s">
        <v>637</v>
      </c>
      <c r="E7806" s="15" t="s">
        <v>10061</v>
      </c>
    </row>
    <row r="7807" spans="2:5">
      <c r="B7807" s="15" t="s">
        <v>10048</v>
      </c>
      <c r="C7807" s="15" t="s">
        <v>10049</v>
      </c>
      <c r="D7807" s="15" t="s">
        <v>641</v>
      </c>
      <c r="E7807" s="15" t="s">
        <v>10062</v>
      </c>
    </row>
    <row r="7808" spans="2:5">
      <c r="B7808" s="15" t="s">
        <v>10048</v>
      </c>
      <c r="C7808" s="15" t="s">
        <v>10049</v>
      </c>
      <c r="D7808" s="15" t="s">
        <v>643</v>
      </c>
      <c r="E7808" s="15" t="s">
        <v>10063</v>
      </c>
    </row>
    <row r="7809" spans="2:5">
      <c r="B7809" s="15" t="s">
        <v>10048</v>
      </c>
      <c r="C7809" s="15" t="s">
        <v>10049</v>
      </c>
      <c r="D7809" s="15" t="s">
        <v>645</v>
      </c>
      <c r="E7809" s="15" t="s">
        <v>10064</v>
      </c>
    </row>
    <row r="7810" spans="2:5">
      <c r="B7810" s="15" t="s">
        <v>10048</v>
      </c>
      <c r="C7810" s="15" t="s">
        <v>10049</v>
      </c>
      <c r="D7810" s="15" t="s">
        <v>659</v>
      </c>
      <c r="E7810" s="15" t="s">
        <v>10065</v>
      </c>
    </row>
    <row r="7811" spans="2:5">
      <c r="B7811" s="15" t="s">
        <v>10048</v>
      </c>
      <c r="C7811" s="15" t="s">
        <v>10049</v>
      </c>
      <c r="D7811" s="15" t="s">
        <v>661</v>
      </c>
      <c r="E7811" s="15" t="s">
        <v>10066</v>
      </c>
    </row>
    <row r="7812" spans="2:5">
      <c r="B7812" s="15" t="s">
        <v>10048</v>
      </c>
      <c r="C7812" s="15" t="s">
        <v>10049</v>
      </c>
      <c r="D7812" s="15" t="s">
        <v>663</v>
      </c>
      <c r="E7812" s="15" t="s">
        <v>10067</v>
      </c>
    </row>
    <row r="7813" spans="2:5">
      <c r="B7813" s="15" t="s">
        <v>10048</v>
      </c>
      <c r="C7813" s="15" t="s">
        <v>10049</v>
      </c>
      <c r="D7813" s="15" t="s">
        <v>665</v>
      </c>
      <c r="E7813" s="15" t="s">
        <v>10068</v>
      </c>
    </row>
    <row r="7814" spans="2:5">
      <c r="B7814" s="15" t="s">
        <v>10048</v>
      </c>
      <c r="C7814" s="15" t="s">
        <v>10049</v>
      </c>
      <c r="D7814" s="15" t="s">
        <v>673</v>
      </c>
      <c r="E7814" s="15" t="s">
        <v>10069</v>
      </c>
    </row>
    <row r="7815" ht="15.95" spans="2:2">
      <c r="B7815" s="122" t="s">
        <v>10070</v>
      </c>
    </row>
    <row r="7816" spans="2:5">
      <c r="B7816" s="15" t="s">
        <v>10071</v>
      </c>
      <c r="C7816" s="15" t="s">
        <v>2341</v>
      </c>
      <c r="D7816" s="15" t="s">
        <v>933</v>
      </c>
      <c r="E7816" s="15" t="s">
        <v>2344</v>
      </c>
    </row>
    <row r="7817" spans="2:5">
      <c r="B7817" s="15" t="s">
        <v>10071</v>
      </c>
      <c r="C7817" s="15" t="s">
        <v>2341</v>
      </c>
      <c r="D7817" s="15" t="s">
        <v>937</v>
      </c>
      <c r="E7817" s="15" t="s">
        <v>2343</v>
      </c>
    </row>
    <row r="7818" spans="2:5">
      <c r="B7818" s="15" t="s">
        <v>10071</v>
      </c>
      <c r="C7818" s="15" t="s">
        <v>2341</v>
      </c>
      <c r="D7818" s="15" t="s">
        <v>2101</v>
      </c>
      <c r="E7818" s="15" t="s">
        <v>9310</v>
      </c>
    </row>
    <row r="7819" spans="2:5">
      <c r="B7819" s="15" t="s">
        <v>10071</v>
      </c>
      <c r="C7819" s="15" t="s">
        <v>2341</v>
      </c>
      <c r="D7819" s="15" t="s">
        <v>2103</v>
      </c>
      <c r="E7819" s="15" t="s">
        <v>10072</v>
      </c>
    </row>
    <row r="7820" spans="2:5">
      <c r="B7820" s="15" t="s">
        <v>10071</v>
      </c>
      <c r="C7820" s="15" t="s">
        <v>2341</v>
      </c>
      <c r="D7820" s="15" t="s">
        <v>2105</v>
      </c>
      <c r="E7820" s="15" t="s">
        <v>10073</v>
      </c>
    </row>
    <row r="7821" spans="2:5">
      <c r="B7821" s="15" t="s">
        <v>10071</v>
      </c>
      <c r="C7821" s="15" t="s">
        <v>2341</v>
      </c>
      <c r="D7821" s="15" t="s">
        <v>939</v>
      </c>
      <c r="E7821" s="15" t="s">
        <v>10074</v>
      </c>
    </row>
    <row r="7822" spans="2:5">
      <c r="B7822" s="15" t="s">
        <v>10071</v>
      </c>
      <c r="C7822" s="15" t="s">
        <v>2341</v>
      </c>
      <c r="D7822" s="15" t="s">
        <v>941</v>
      </c>
      <c r="E7822" s="15" t="s">
        <v>3159</v>
      </c>
    </row>
    <row r="7823" spans="2:5">
      <c r="B7823" s="15" t="s">
        <v>10071</v>
      </c>
      <c r="C7823" s="15" t="s">
        <v>2341</v>
      </c>
      <c r="D7823" s="15" t="s">
        <v>1143</v>
      </c>
      <c r="E7823" s="15" t="s">
        <v>10075</v>
      </c>
    </row>
    <row r="7824" ht="15.95" spans="2:2">
      <c r="B7824" s="122" t="s">
        <v>10076</v>
      </c>
    </row>
    <row r="7825" spans="2:5">
      <c r="B7825" s="15" t="s">
        <v>10077</v>
      </c>
      <c r="C7825" s="15" t="s">
        <v>10077</v>
      </c>
      <c r="D7825" s="15" t="s">
        <v>770</v>
      </c>
      <c r="E7825" s="15" t="s">
        <v>3801</v>
      </c>
    </row>
    <row r="7826" spans="2:5">
      <c r="B7826" s="15" t="s">
        <v>10077</v>
      </c>
      <c r="C7826" s="15" t="s">
        <v>10077</v>
      </c>
      <c r="D7826" s="15" t="s">
        <v>772</v>
      </c>
      <c r="E7826" s="15" t="s">
        <v>3802</v>
      </c>
    </row>
    <row r="7827" spans="2:5">
      <c r="B7827" s="15" t="s">
        <v>10077</v>
      </c>
      <c r="C7827" s="15" t="s">
        <v>10077</v>
      </c>
      <c r="D7827" s="15" t="s">
        <v>774</v>
      </c>
      <c r="E7827" s="15" t="s">
        <v>3868</v>
      </c>
    </row>
    <row r="7828" spans="2:5">
      <c r="B7828" s="15" t="s">
        <v>10077</v>
      </c>
      <c r="C7828" s="15" t="s">
        <v>10077</v>
      </c>
      <c r="D7828" s="15" t="s">
        <v>828</v>
      </c>
      <c r="E7828" s="15" t="s">
        <v>3869</v>
      </c>
    </row>
    <row r="7829" spans="2:5">
      <c r="B7829" s="15" t="s">
        <v>10077</v>
      </c>
      <c r="C7829" s="15" t="s">
        <v>10077</v>
      </c>
      <c r="D7829" s="15" t="s">
        <v>901</v>
      </c>
      <c r="E7829" s="15" t="s">
        <v>3870</v>
      </c>
    </row>
    <row r="7830" ht="15.95" spans="2:2">
      <c r="B7830" s="122" t="s">
        <v>10078</v>
      </c>
    </row>
    <row r="7831" spans="2:5">
      <c r="B7831" s="15" t="s">
        <v>10079</v>
      </c>
      <c r="C7831" s="15" t="s">
        <v>10080</v>
      </c>
      <c r="D7831" s="15" t="s">
        <v>770</v>
      </c>
      <c r="E7831" s="15" t="s">
        <v>1950</v>
      </c>
    </row>
    <row r="7832" spans="2:5">
      <c r="B7832" s="15" t="s">
        <v>10079</v>
      </c>
      <c r="C7832" s="15" t="s">
        <v>10080</v>
      </c>
      <c r="D7832" s="15" t="s">
        <v>772</v>
      </c>
      <c r="E7832" s="15" t="s">
        <v>1951</v>
      </c>
    </row>
    <row r="7833" spans="2:5">
      <c r="B7833" s="15" t="s">
        <v>10079</v>
      </c>
      <c r="C7833" s="15" t="s">
        <v>10080</v>
      </c>
      <c r="D7833" s="15" t="s">
        <v>774</v>
      </c>
      <c r="E7833" s="15" t="s">
        <v>10081</v>
      </c>
    </row>
    <row r="7834" spans="2:5">
      <c r="B7834" s="15" t="s">
        <v>10079</v>
      </c>
      <c r="C7834" s="15" t="s">
        <v>10080</v>
      </c>
      <c r="D7834" s="15" t="s">
        <v>828</v>
      </c>
      <c r="E7834" s="15" t="s">
        <v>1953</v>
      </c>
    </row>
    <row r="7835" spans="2:5">
      <c r="B7835" s="15" t="s">
        <v>10079</v>
      </c>
      <c r="C7835" s="15" t="s">
        <v>10080</v>
      </c>
      <c r="D7835" s="15" t="s">
        <v>901</v>
      </c>
      <c r="E7835" s="15" t="s">
        <v>1954</v>
      </c>
    </row>
    <row r="7836" spans="2:5">
      <c r="B7836" s="15" t="s">
        <v>10079</v>
      </c>
      <c r="C7836" s="15" t="s">
        <v>10080</v>
      </c>
      <c r="D7836" s="15" t="s">
        <v>776</v>
      </c>
      <c r="E7836" s="15" t="s">
        <v>10082</v>
      </c>
    </row>
    <row r="7837" spans="2:5">
      <c r="B7837" s="15" t="s">
        <v>10079</v>
      </c>
      <c r="C7837" s="15" t="s">
        <v>10080</v>
      </c>
      <c r="D7837" s="15" t="s">
        <v>1290</v>
      </c>
      <c r="E7837" s="15" t="s">
        <v>1956</v>
      </c>
    </row>
    <row r="7838" spans="2:5">
      <c r="B7838" s="15" t="s">
        <v>10079</v>
      </c>
      <c r="C7838" s="15" t="s">
        <v>10080</v>
      </c>
      <c r="D7838" s="15" t="s">
        <v>1409</v>
      </c>
      <c r="E7838" s="15" t="s">
        <v>1957</v>
      </c>
    </row>
    <row r="7839" ht="15.95" spans="2:2">
      <c r="B7839" s="122" t="s">
        <v>10083</v>
      </c>
    </row>
    <row r="7840" spans="2:5">
      <c r="B7840" s="15" t="s">
        <v>10084</v>
      </c>
      <c r="C7840" s="15" t="s">
        <v>10085</v>
      </c>
      <c r="D7840" s="15" t="s">
        <v>770</v>
      </c>
      <c r="E7840" s="15" t="s">
        <v>10086</v>
      </c>
    </row>
    <row r="7841" spans="2:5">
      <c r="B7841" s="15" t="s">
        <v>10084</v>
      </c>
      <c r="C7841" s="15" t="s">
        <v>10085</v>
      </c>
      <c r="D7841" s="15" t="s">
        <v>772</v>
      </c>
      <c r="E7841" s="15" t="s">
        <v>10087</v>
      </c>
    </row>
    <row r="7842" spans="2:5">
      <c r="B7842" s="15" t="s">
        <v>10084</v>
      </c>
      <c r="C7842" s="15" t="s">
        <v>10085</v>
      </c>
      <c r="D7842" s="15" t="s">
        <v>774</v>
      </c>
      <c r="E7842" s="15" t="s">
        <v>10088</v>
      </c>
    </row>
    <row r="7843" spans="2:5">
      <c r="B7843" s="15" t="s">
        <v>10084</v>
      </c>
      <c r="C7843" s="15" t="s">
        <v>10085</v>
      </c>
      <c r="D7843" s="15" t="s">
        <v>828</v>
      </c>
      <c r="E7843" s="15" t="s">
        <v>10089</v>
      </c>
    </row>
    <row r="7844" spans="2:5">
      <c r="B7844" s="15" t="s">
        <v>10084</v>
      </c>
      <c r="C7844" s="15" t="s">
        <v>10085</v>
      </c>
      <c r="D7844" s="15" t="s">
        <v>901</v>
      </c>
      <c r="E7844" s="15" t="s">
        <v>235</v>
      </c>
    </row>
    <row r="7845" ht="15.95" spans="2:2">
      <c r="B7845" s="122" t="s">
        <v>10090</v>
      </c>
    </row>
    <row r="7846" spans="2:5">
      <c r="B7846" s="15" t="s">
        <v>10091</v>
      </c>
      <c r="C7846" s="15" t="s">
        <v>10091</v>
      </c>
      <c r="D7846" s="15" t="s">
        <v>723</v>
      </c>
      <c r="E7846" s="15" t="s">
        <v>10092</v>
      </c>
    </row>
    <row r="7847" spans="2:5">
      <c r="B7847" s="15" t="s">
        <v>10091</v>
      </c>
      <c r="C7847" s="15" t="s">
        <v>10091</v>
      </c>
      <c r="D7847" s="15" t="s">
        <v>725</v>
      </c>
      <c r="E7847" s="15" t="s">
        <v>10093</v>
      </c>
    </row>
    <row r="7848" spans="2:5">
      <c r="B7848" s="15" t="s">
        <v>10091</v>
      </c>
      <c r="C7848" s="15" t="s">
        <v>10091</v>
      </c>
      <c r="D7848" s="15" t="s">
        <v>727</v>
      </c>
      <c r="E7848" s="15" t="s">
        <v>10094</v>
      </c>
    </row>
    <row r="7849" spans="2:5">
      <c r="B7849" s="15" t="s">
        <v>10091</v>
      </c>
      <c r="C7849" s="15" t="s">
        <v>10091</v>
      </c>
      <c r="D7849" s="15" t="s">
        <v>729</v>
      </c>
      <c r="E7849" s="15" t="s">
        <v>10095</v>
      </c>
    </row>
    <row r="7850" spans="2:5">
      <c r="B7850" s="15" t="s">
        <v>10091</v>
      </c>
      <c r="C7850" s="15" t="s">
        <v>10091</v>
      </c>
      <c r="D7850" s="15" t="s">
        <v>760</v>
      </c>
      <c r="E7850" s="15" t="s">
        <v>10096</v>
      </c>
    </row>
    <row r="7851" spans="2:5">
      <c r="B7851" s="15" t="s">
        <v>10091</v>
      </c>
      <c r="C7851" s="15" t="s">
        <v>10091</v>
      </c>
      <c r="D7851" s="15" t="s">
        <v>762</v>
      </c>
      <c r="E7851" s="15" t="s">
        <v>8237</v>
      </c>
    </row>
    <row r="7852" spans="2:5">
      <c r="B7852" s="15" t="s">
        <v>10091</v>
      </c>
      <c r="C7852" s="15" t="s">
        <v>10091</v>
      </c>
      <c r="D7852" s="15" t="s">
        <v>764</v>
      </c>
      <c r="E7852" s="15" t="s">
        <v>8238</v>
      </c>
    </row>
    <row r="7853" ht="15.95" spans="2:2">
      <c r="B7853" s="122" t="s">
        <v>10097</v>
      </c>
    </row>
    <row r="7854" spans="2:5">
      <c r="B7854" s="15" t="s">
        <v>10098</v>
      </c>
      <c r="C7854" s="15" t="s">
        <v>10099</v>
      </c>
      <c r="D7854" s="15" t="s">
        <v>770</v>
      </c>
      <c r="E7854" s="15" t="s">
        <v>10100</v>
      </c>
    </row>
    <row r="7855" spans="2:5">
      <c r="B7855" s="15" t="s">
        <v>10098</v>
      </c>
      <c r="C7855" s="15" t="s">
        <v>10099</v>
      </c>
      <c r="D7855" s="15" t="s">
        <v>772</v>
      </c>
      <c r="E7855" s="15" t="s">
        <v>1872</v>
      </c>
    </row>
    <row r="7856" spans="2:5">
      <c r="B7856" s="15" t="s">
        <v>10098</v>
      </c>
      <c r="C7856" s="15" t="s">
        <v>10099</v>
      </c>
      <c r="D7856" s="15" t="s">
        <v>774</v>
      </c>
      <c r="E7856" s="15" t="s">
        <v>1598</v>
      </c>
    </row>
    <row r="7857" spans="2:5">
      <c r="B7857" s="15" t="s">
        <v>10098</v>
      </c>
      <c r="C7857" s="15" t="s">
        <v>10099</v>
      </c>
      <c r="D7857" s="15" t="s">
        <v>828</v>
      </c>
      <c r="E7857" s="15" t="s">
        <v>10101</v>
      </c>
    </row>
    <row r="7858" spans="2:5">
      <c r="B7858" s="15" t="s">
        <v>10098</v>
      </c>
      <c r="C7858" s="15" t="s">
        <v>10099</v>
      </c>
      <c r="D7858" s="15" t="s">
        <v>901</v>
      </c>
      <c r="E7858" s="15" t="s">
        <v>10102</v>
      </c>
    </row>
    <row r="7859" spans="2:5">
      <c r="B7859" s="15" t="s">
        <v>10098</v>
      </c>
      <c r="C7859" s="15" t="s">
        <v>10099</v>
      </c>
      <c r="D7859" s="15" t="s">
        <v>1143</v>
      </c>
      <c r="E7859" s="15" t="s">
        <v>235</v>
      </c>
    </row>
    <row r="7860" ht="15.95" spans="2:2">
      <c r="B7860" s="122" t="s">
        <v>10103</v>
      </c>
    </row>
    <row r="7861" spans="2:5">
      <c r="B7861" s="15" t="s">
        <v>10104</v>
      </c>
      <c r="C7861" s="15" t="s">
        <v>10104</v>
      </c>
      <c r="D7861" s="15" t="s">
        <v>723</v>
      </c>
      <c r="E7861" s="15" t="s">
        <v>10105</v>
      </c>
    </row>
    <row r="7862" spans="2:5">
      <c r="B7862" s="15" t="s">
        <v>10104</v>
      </c>
      <c r="C7862" s="15" t="s">
        <v>10104</v>
      </c>
      <c r="D7862" s="15" t="s">
        <v>725</v>
      </c>
      <c r="E7862" s="15" t="s">
        <v>10106</v>
      </c>
    </row>
    <row r="7863" spans="2:5">
      <c r="B7863" s="15" t="s">
        <v>10104</v>
      </c>
      <c r="C7863" s="15" t="s">
        <v>10104</v>
      </c>
      <c r="D7863" s="15" t="s">
        <v>727</v>
      </c>
      <c r="E7863" s="15" t="s">
        <v>10107</v>
      </c>
    </row>
    <row r="7864" ht="15.95" spans="2:2">
      <c r="B7864" s="122" t="s">
        <v>10108</v>
      </c>
    </row>
    <row r="7865" spans="2:5">
      <c r="B7865" s="15" t="s">
        <v>10109</v>
      </c>
      <c r="C7865" s="15" t="s">
        <v>10110</v>
      </c>
      <c r="D7865" s="15" t="s">
        <v>917</v>
      </c>
      <c r="E7865" s="15" t="s">
        <v>953</v>
      </c>
    </row>
    <row r="7866" spans="2:5">
      <c r="B7866" s="15" t="s">
        <v>10109</v>
      </c>
      <c r="C7866" s="15" t="s">
        <v>10110</v>
      </c>
      <c r="D7866" s="15" t="s">
        <v>919</v>
      </c>
      <c r="E7866" s="15" t="s">
        <v>954</v>
      </c>
    </row>
    <row r="7867" spans="2:5">
      <c r="B7867" s="15" t="s">
        <v>10109</v>
      </c>
      <c r="C7867" s="15" t="s">
        <v>10110</v>
      </c>
      <c r="D7867" s="15" t="s">
        <v>955</v>
      </c>
      <c r="E7867" s="15" t="s">
        <v>956</v>
      </c>
    </row>
    <row r="7868" ht="15.95" spans="2:2">
      <c r="B7868" s="122" t="s">
        <v>10111</v>
      </c>
    </row>
    <row r="7869" spans="2:5">
      <c r="B7869" s="15" t="s">
        <v>10112</v>
      </c>
      <c r="C7869" s="15" t="s">
        <v>896</v>
      </c>
      <c r="D7869" s="15" t="s">
        <v>770</v>
      </c>
      <c r="E7869" s="15" t="s">
        <v>6182</v>
      </c>
    </row>
    <row r="7870" spans="2:5">
      <c r="B7870" s="15" t="s">
        <v>10112</v>
      </c>
      <c r="C7870" s="15" t="s">
        <v>896</v>
      </c>
      <c r="D7870" s="15" t="s">
        <v>772</v>
      </c>
      <c r="E7870" s="15" t="s">
        <v>6183</v>
      </c>
    </row>
    <row r="7871" spans="2:5">
      <c r="B7871" s="15" t="s">
        <v>10112</v>
      </c>
      <c r="C7871" s="15" t="s">
        <v>896</v>
      </c>
      <c r="D7871" s="15" t="s">
        <v>774</v>
      </c>
      <c r="E7871" s="15" t="s">
        <v>6184</v>
      </c>
    </row>
    <row r="7872" spans="2:5">
      <c r="B7872" s="15" t="s">
        <v>10112</v>
      </c>
      <c r="C7872" s="15" t="s">
        <v>896</v>
      </c>
      <c r="D7872" s="15" t="s">
        <v>828</v>
      </c>
      <c r="E7872" s="15" t="s">
        <v>6185</v>
      </c>
    </row>
    <row r="7873" ht="15.95" spans="2:2">
      <c r="B7873" s="122" t="s">
        <v>10113</v>
      </c>
    </row>
    <row r="7874" spans="2:5">
      <c r="B7874" s="15" t="s">
        <v>10114</v>
      </c>
      <c r="C7874" s="15" t="s">
        <v>10114</v>
      </c>
      <c r="D7874" s="15" t="s">
        <v>723</v>
      </c>
      <c r="E7874" s="15" t="s">
        <v>1960</v>
      </c>
    </row>
    <row r="7875" spans="2:5">
      <c r="B7875" s="15" t="s">
        <v>10114</v>
      </c>
      <c r="C7875" s="15" t="s">
        <v>10114</v>
      </c>
      <c r="D7875" s="15" t="s">
        <v>725</v>
      </c>
      <c r="E7875" s="15" t="s">
        <v>1203</v>
      </c>
    </row>
    <row r="7876" spans="2:5">
      <c r="B7876" s="15" t="s">
        <v>10114</v>
      </c>
      <c r="C7876" s="15" t="s">
        <v>10114</v>
      </c>
      <c r="D7876" s="15" t="s">
        <v>727</v>
      </c>
      <c r="E7876" s="15" t="s">
        <v>3413</v>
      </c>
    </row>
    <row r="7877" ht="15.95" spans="2:2">
      <c r="B7877" s="122" t="s">
        <v>10115</v>
      </c>
    </row>
    <row r="7878" spans="2:5">
      <c r="B7878" s="15" t="s">
        <v>10116</v>
      </c>
      <c r="C7878" s="15" t="s">
        <v>10117</v>
      </c>
      <c r="D7878" s="15" t="s">
        <v>1432</v>
      </c>
      <c r="E7878" s="15" t="s">
        <v>2212</v>
      </c>
    </row>
    <row r="7879" spans="2:5">
      <c r="B7879" s="15" t="s">
        <v>10116</v>
      </c>
      <c r="C7879" s="15" t="s">
        <v>10117</v>
      </c>
      <c r="D7879" s="15" t="s">
        <v>723</v>
      </c>
      <c r="E7879" s="15" t="s">
        <v>1439</v>
      </c>
    </row>
    <row r="7880" spans="2:5">
      <c r="B7880" s="15" t="s">
        <v>10116</v>
      </c>
      <c r="C7880" s="15" t="s">
        <v>10117</v>
      </c>
      <c r="D7880" s="15" t="s">
        <v>725</v>
      </c>
      <c r="E7880" s="15" t="s">
        <v>1443</v>
      </c>
    </row>
    <row r="7881" spans="2:5">
      <c r="B7881" s="15" t="s">
        <v>10116</v>
      </c>
      <c r="C7881" s="15" t="s">
        <v>10117</v>
      </c>
      <c r="D7881" s="15" t="s">
        <v>727</v>
      </c>
      <c r="E7881" s="15" t="s">
        <v>10118</v>
      </c>
    </row>
    <row r="7882" ht="15.95" spans="2:2">
      <c r="B7882" s="122" t="s">
        <v>10119</v>
      </c>
    </row>
    <row r="7883" spans="2:5">
      <c r="B7883" s="15" t="s">
        <v>10120</v>
      </c>
      <c r="C7883" s="15" t="s">
        <v>10121</v>
      </c>
      <c r="D7883" s="15" t="s">
        <v>1267</v>
      </c>
      <c r="E7883" s="15" t="s">
        <v>1268</v>
      </c>
    </row>
    <row r="7884" spans="2:5">
      <c r="B7884" s="15" t="s">
        <v>10120</v>
      </c>
      <c r="C7884" s="15" t="s">
        <v>10121</v>
      </c>
      <c r="D7884" s="15" t="s">
        <v>1269</v>
      </c>
      <c r="E7884" s="15" t="s">
        <v>1270</v>
      </c>
    </row>
    <row r="7885" spans="2:5">
      <c r="B7885" s="15" t="s">
        <v>10120</v>
      </c>
      <c r="C7885" s="15" t="s">
        <v>10121</v>
      </c>
      <c r="D7885" s="15" t="s">
        <v>1919</v>
      </c>
      <c r="E7885" s="15" t="s">
        <v>1920</v>
      </c>
    </row>
    <row r="7886" ht="15.95" spans="2:2">
      <c r="B7886" s="122" t="s">
        <v>10122</v>
      </c>
    </row>
    <row r="7887" spans="2:5">
      <c r="B7887" s="15" t="s">
        <v>10123</v>
      </c>
      <c r="C7887" s="15" t="s">
        <v>896</v>
      </c>
      <c r="D7887" s="15" t="s">
        <v>770</v>
      </c>
      <c r="E7887" s="15" t="s">
        <v>5028</v>
      </c>
    </row>
    <row r="7888" spans="2:5">
      <c r="B7888" s="15" t="s">
        <v>10123</v>
      </c>
      <c r="C7888" s="15" t="s">
        <v>896</v>
      </c>
      <c r="D7888" s="15" t="s">
        <v>772</v>
      </c>
      <c r="E7888" s="15" t="s">
        <v>5029</v>
      </c>
    </row>
    <row r="7889" spans="2:5">
      <c r="B7889" s="15" t="s">
        <v>10123</v>
      </c>
      <c r="C7889" s="15" t="s">
        <v>896</v>
      </c>
      <c r="D7889" s="15" t="s">
        <v>774</v>
      </c>
      <c r="E7889" s="15" t="s">
        <v>5030</v>
      </c>
    </row>
    <row r="7890" spans="2:5">
      <c r="B7890" s="15" t="s">
        <v>10123</v>
      </c>
      <c r="C7890" s="15" t="s">
        <v>896</v>
      </c>
      <c r="D7890" s="15" t="s">
        <v>828</v>
      </c>
      <c r="E7890" s="15" t="s">
        <v>5031</v>
      </c>
    </row>
    <row r="7891" spans="2:5">
      <c r="B7891" s="15" t="s">
        <v>10123</v>
      </c>
      <c r="C7891" s="15" t="s">
        <v>896</v>
      </c>
      <c r="D7891" s="15" t="s">
        <v>901</v>
      </c>
      <c r="E7891" s="15" t="s">
        <v>5032</v>
      </c>
    </row>
    <row r="7892" ht="15.95" spans="2:2">
      <c r="B7892" s="122" t="s">
        <v>10124</v>
      </c>
    </row>
    <row r="7893" spans="2:5">
      <c r="B7893" s="15" t="s">
        <v>10125</v>
      </c>
      <c r="C7893" s="15" t="s">
        <v>6030</v>
      </c>
      <c r="D7893" s="15" t="s">
        <v>770</v>
      </c>
      <c r="E7893" s="15" t="s">
        <v>10126</v>
      </c>
    </row>
    <row r="7894" spans="2:5">
      <c r="B7894" s="15" t="s">
        <v>10125</v>
      </c>
      <c r="C7894" s="15" t="s">
        <v>6030</v>
      </c>
      <c r="D7894" s="15" t="s">
        <v>772</v>
      </c>
      <c r="E7894" s="15" t="s">
        <v>10127</v>
      </c>
    </row>
    <row r="7895" spans="2:5">
      <c r="B7895" s="15" t="s">
        <v>10125</v>
      </c>
      <c r="C7895" s="15" t="s">
        <v>6030</v>
      </c>
      <c r="D7895" s="15" t="s">
        <v>774</v>
      </c>
      <c r="E7895" s="15" t="s">
        <v>10128</v>
      </c>
    </row>
    <row r="7896" spans="2:5">
      <c r="B7896" s="15" t="s">
        <v>10125</v>
      </c>
      <c r="C7896" s="15" t="s">
        <v>6030</v>
      </c>
      <c r="D7896" s="15" t="s">
        <v>828</v>
      </c>
      <c r="E7896" s="15" t="s">
        <v>10129</v>
      </c>
    </row>
    <row r="7897" spans="2:5">
      <c r="B7897" s="15" t="s">
        <v>10125</v>
      </c>
      <c r="C7897" s="15" t="s">
        <v>6030</v>
      </c>
      <c r="D7897" s="15" t="s">
        <v>901</v>
      </c>
      <c r="E7897" s="15" t="s">
        <v>10130</v>
      </c>
    </row>
    <row r="7898" ht="15.95" spans="2:2">
      <c r="B7898" s="122" t="s">
        <v>10131</v>
      </c>
    </row>
    <row r="7899" spans="2:5">
      <c r="B7899" s="15" t="s">
        <v>10132</v>
      </c>
      <c r="C7899" s="15" t="s">
        <v>10133</v>
      </c>
      <c r="D7899" s="15" t="s">
        <v>770</v>
      </c>
      <c r="E7899" s="15" t="s">
        <v>10134</v>
      </c>
    </row>
    <row r="7900" spans="2:5">
      <c r="B7900" s="15" t="s">
        <v>10132</v>
      </c>
      <c r="C7900" s="15" t="s">
        <v>10133</v>
      </c>
      <c r="D7900" s="15" t="s">
        <v>772</v>
      </c>
      <c r="E7900" s="15" t="s">
        <v>10135</v>
      </c>
    </row>
    <row r="7901" spans="2:5">
      <c r="B7901" s="15" t="s">
        <v>10132</v>
      </c>
      <c r="C7901" s="15" t="s">
        <v>10133</v>
      </c>
      <c r="D7901" s="15" t="s">
        <v>774</v>
      </c>
      <c r="E7901" s="15" t="s">
        <v>10136</v>
      </c>
    </row>
    <row r="7902" ht="15.95" spans="2:2">
      <c r="B7902" s="122" t="s">
        <v>10137</v>
      </c>
    </row>
    <row r="7903" spans="2:5">
      <c r="B7903" s="15" t="s">
        <v>10138</v>
      </c>
      <c r="C7903" s="15" t="s">
        <v>10139</v>
      </c>
      <c r="D7903" s="15" t="s">
        <v>10140</v>
      </c>
      <c r="E7903" s="15" t="s">
        <v>4112</v>
      </c>
    </row>
    <row r="7904" spans="2:5">
      <c r="B7904" s="15" t="s">
        <v>10138</v>
      </c>
      <c r="C7904" s="15" t="s">
        <v>10139</v>
      </c>
      <c r="D7904" s="15" t="s">
        <v>10141</v>
      </c>
      <c r="E7904" s="15" t="s">
        <v>10142</v>
      </c>
    </row>
    <row r="7905" spans="2:5">
      <c r="B7905" s="15" t="s">
        <v>10138</v>
      </c>
      <c r="C7905" s="15" t="s">
        <v>10139</v>
      </c>
      <c r="D7905" s="15" t="s">
        <v>10143</v>
      </c>
      <c r="E7905" s="15" t="s">
        <v>10144</v>
      </c>
    </row>
    <row r="7906" spans="2:5">
      <c r="B7906" s="15" t="s">
        <v>10138</v>
      </c>
      <c r="C7906" s="15" t="s">
        <v>10139</v>
      </c>
      <c r="D7906" s="15" t="s">
        <v>10145</v>
      </c>
      <c r="E7906" s="15" t="s">
        <v>10146</v>
      </c>
    </row>
    <row r="7907" spans="2:5">
      <c r="B7907" s="15" t="s">
        <v>10138</v>
      </c>
      <c r="C7907" s="15" t="s">
        <v>10139</v>
      </c>
      <c r="D7907" s="15" t="s">
        <v>10147</v>
      </c>
      <c r="E7907" s="15" t="s">
        <v>10148</v>
      </c>
    </row>
    <row r="7908" spans="2:5">
      <c r="B7908" s="15" t="s">
        <v>10138</v>
      </c>
      <c r="C7908" s="15" t="s">
        <v>10139</v>
      </c>
      <c r="D7908" s="15" t="s">
        <v>10149</v>
      </c>
      <c r="E7908" s="15" t="s">
        <v>10150</v>
      </c>
    </row>
    <row r="7909" spans="2:5">
      <c r="B7909" s="15" t="s">
        <v>10138</v>
      </c>
      <c r="C7909" s="15" t="s">
        <v>10139</v>
      </c>
      <c r="D7909" s="15" t="s">
        <v>10151</v>
      </c>
      <c r="E7909" s="15" t="s">
        <v>10152</v>
      </c>
    </row>
    <row r="7910" spans="2:5">
      <c r="B7910" s="15" t="s">
        <v>10138</v>
      </c>
      <c r="C7910" s="15" t="s">
        <v>10139</v>
      </c>
      <c r="D7910" s="15" t="s">
        <v>10153</v>
      </c>
      <c r="E7910" s="15" t="s">
        <v>10154</v>
      </c>
    </row>
    <row r="7911" spans="2:5">
      <c r="B7911" s="15" t="s">
        <v>10138</v>
      </c>
      <c r="C7911" s="15" t="s">
        <v>10139</v>
      </c>
      <c r="D7911" s="15" t="s">
        <v>10155</v>
      </c>
      <c r="E7911" s="15" t="s">
        <v>10156</v>
      </c>
    </row>
    <row r="7912" spans="2:5">
      <c r="B7912" s="15" t="s">
        <v>10138</v>
      </c>
      <c r="C7912" s="15" t="s">
        <v>10139</v>
      </c>
      <c r="D7912" s="15" t="s">
        <v>10157</v>
      </c>
      <c r="E7912" s="15" t="s">
        <v>10158</v>
      </c>
    </row>
    <row r="7913" spans="2:5">
      <c r="B7913" s="15" t="s">
        <v>10138</v>
      </c>
      <c r="C7913" s="15" t="s">
        <v>10139</v>
      </c>
      <c r="D7913" s="15" t="s">
        <v>10159</v>
      </c>
      <c r="E7913" s="15" t="s">
        <v>10160</v>
      </c>
    </row>
    <row r="7914" spans="2:5">
      <c r="B7914" s="15" t="s">
        <v>10138</v>
      </c>
      <c r="C7914" s="15" t="s">
        <v>10139</v>
      </c>
      <c r="D7914" s="15" t="s">
        <v>10161</v>
      </c>
      <c r="E7914" s="15" t="s">
        <v>10162</v>
      </c>
    </row>
    <row r="7915" spans="2:5">
      <c r="B7915" s="15" t="s">
        <v>10138</v>
      </c>
      <c r="C7915" s="15" t="s">
        <v>10139</v>
      </c>
      <c r="D7915" s="15" t="s">
        <v>10163</v>
      </c>
      <c r="E7915" s="15" t="s">
        <v>10164</v>
      </c>
    </row>
    <row r="7916" spans="2:5">
      <c r="B7916" s="15" t="s">
        <v>10138</v>
      </c>
      <c r="C7916" s="15" t="s">
        <v>10139</v>
      </c>
      <c r="D7916" s="15" t="s">
        <v>10165</v>
      </c>
      <c r="E7916" s="15" t="s">
        <v>2017</v>
      </c>
    </row>
    <row r="7917" spans="2:5">
      <c r="B7917" s="15" t="s">
        <v>10138</v>
      </c>
      <c r="C7917" s="15" t="s">
        <v>10139</v>
      </c>
      <c r="D7917" s="15" t="s">
        <v>10051</v>
      </c>
      <c r="E7917" s="15" t="s">
        <v>10166</v>
      </c>
    </row>
    <row r="7918" spans="2:5">
      <c r="B7918" s="15" t="s">
        <v>10138</v>
      </c>
      <c r="C7918" s="15" t="s">
        <v>10139</v>
      </c>
      <c r="D7918" s="15" t="s">
        <v>10053</v>
      </c>
      <c r="E7918" s="15" t="s">
        <v>8024</v>
      </c>
    </row>
    <row r="7919" spans="2:5">
      <c r="B7919" s="15" t="s">
        <v>10138</v>
      </c>
      <c r="C7919" s="15" t="s">
        <v>10139</v>
      </c>
      <c r="D7919" s="15" t="s">
        <v>2334</v>
      </c>
      <c r="E7919" s="15" t="s">
        <v>10167</v>
      </c>
    </row>
    <row r="7920" spans="2:5">
      <c r="B7920" s="15" t="s">
        <v>10138</v>
      </c>
      <c r="C7920" s="15" t="s">
        <v>10139</v>
      </c>
      <c r="D7920" s="15" t="s">
        <v>4547</v>
      </c>
      <c r="E7920" s="15" t="s">
        <v>10168</v>
      </c>
    </row>
    <row r="7921" spans="2:5">
      <c r="B7921" s="15" t="s">
        <v>10138</v>
      </c>
      <c r="C7921" s="15" t="s">
        <v>10139</v>
      </c>
      <c r="D7921" s="15" t="s">
        <v>10169</v>
      </c>
      <c r="E7921" s="15" t="s">
        <v>10170</v>
      </c>
    </row>
    <row r="7922" spans="2:5">
      <c r="B7922" s="15" t="s">
        <v>10138</v>
      </c>
      <c r="C7922" s="15" t="s">
        <v>10139</v>
      </c>
      <c r="D7922" s="15" t="s">
        <v>10171</v>
      </c>
      <c r="E7922" s="15" t="s">
        <v>2554</v>
      </c>
    </row>
    <row r="7923" spans="2:5">
      <c r="B7923" s="15" t="s">
        <v>10138</v>
      </c>
      <c r="C7923" s="15" t="s">
        <v>10139</v>
      </c>
      <c r="D7923" s="15" t="s">
        <v>10172</v>
      </c>
      <c r="E7923" s="15" t="s">
        <v>4121</v>
      </c>
    </row>
    <row r="7924" spans="2:5">
      <c r="B7924" s="15" t="s">
        <v>10138</v>
      </c>
      <c r="C7924" s="15" t="s">
        <v>10139</v>
      </c>
      <c r="D7924" s="15" t="s">
        <v>10173</v>
      </c>
      <c r="E7924" s="15" t="s">
        <v>4123</v>
      </c>
    </row>
    <row r="7925" spans="2:5">
      <c r="B7925" s="15" t="s">
        <v>10138</v>
      </c>
      <c r="C7925" s="15" t="s">
        <v>10139</v>
      </c>
      <c r="D7925" s="15" t="s">
        <v>10174</v>
      </c>
      <c r="E7925" s="15" t="s">
        <v>4125</v>
      </c>
    </row>
    <row r="7926" spans="2:5">
      <c r="B7926" s="15" t="s">
        <v>10138</v>
      </c>
      <c r="C7926" s="15" t="s">
        <v>10139</v>
      </c>
      <c r="D7926" s="15" t="s">
        <v>10175</v>
      </c>
      <c r="E7926" s="15" t="s">
        <v>4127</v>
      </c>
    </row>
    <row r="7927" spans="2:5">
      <c r="B7927" s="15" t="s">
        <v>10138</v>
      </c>
      <c r="C7927" s="15" t="s">
        <v>10139</v>
      </c>
      <c r="D7927" s="15" t="s">
        <v>10176</v>
      </c>
      <c r="E7927" s="15" t="s">
        <v>4129</v>
      </c>
    </row>
    <row r="7928" spans="2:5">
      <c r="B7928" s="15" t="s">
        <v>10138</v>
      </c>
      <c r="C7928" s="15" t="s">
        <v>10139</v>
      </c>
      <c r="D7928" s="15" t="s">
        <v>10177</v>
      </c>
      <c r="E7928" s="15" t="s">
        <v>4131</v>
      </c>
    </row>
    <row r="7929" spans="2:5">
      <c r="B7929" s="15" t="s">
        <v>10138</v>
      </c>
      <c r="C7929" s="15" t="s">
        <v>10139</v>
      </c>
      <c r="D7929" s="15" t="s">
        <v>10178</v>
      </c>
      <c r="E7929" s="15" t="s">
        <v>4133</v>
      </c>
    </row>
    <row r="7930" spans="2:5">
      <c r="B7930" s="15" t="s">
        <v>10138</v>
      </c>
      <c r="C7930" s="15" t="s">
        <v>10139</v>
      </c>
      <c r="D7930" s="15" t="s">
        <v>10179</v>
      </c>
      <c r="E7930" s="15" t="s">
        <v>4135</v>
      </c>
    </row>
    <row r="7931" spans="2:5">
      <c r="B7931" s="15" t="s">
        <v>10138</v>
      </c>
      <c r="C7931" s="15" t="s">
        <v>10139</v>
      </c>
      <c r="D7931" s="15" t="s">
        <v>10180</v>
      </c>
      <c r="E7931" s="15" t="s">
        <v>4137</v>
      </c>
    </row>
    <row r="7932" spans="2:5">
      <c r="B7932" s="15" t="s">
        <v>10138</v>
      </c>
      <c r="C7932" s="15" t="s">
        <v>10139</v>
      </c>
      <c r="D7932" s="15" t="s">
        <v>10181</v>
      </c>
      <c r="E7932" s="15" t="s">
        <v>4139</v>
      </c>
    </row>
    <row r="7933" spans="2:5">
      <c r="B7933" s="15" t="s">
        <v>10138</v>
      </c>
      <c r="C7933" s="15" t="s">
        <v>10139</v>
      </c>
      <c r="D7933" s="15" t="s">
        <v>10182</v>
      </c>
      <c r="E7933" s="15" t="s">
        <v>10183</v>
      </c>
    </row>
    <row r="7934" spans="2:5">
      <c r="B7934" s="15" t="s">
        <v>10138</v>
      </c>
      <c r="C7934" s="15" t="s">
        <v>10139</v>
      </c>
      <c r="D7934" s="15" t="s">
        <v>10184</v>
      </c>
      <c r="E7934" s="15" t="s">
        <v>4143</v>
      </c>
    </row>
    <row r="7935" spans="2:5">
      <c r="B7935" s="15" t="s">
        <v>10138</v>
      </c>
      <c r="C7935" s="15" t="s">
        <v>10139</v>
      </c>
      <c r="D7935" s="15" t="s">
        <v>10185</v>
      </c>
      <c r="E7935" s="15" t="s">
        <v>4145</v>
      </c>
    </row>
    <row r="7936" spans="2:5">
      <c r="B7936" s="15" t="s">
        <v>10138</v>
      </c>
      <c r="C7936" s="15" t="s">
        <v>10139</v>
      </c>
      <c r="D7936" s="15" t="s">
        <v>10186</v>
      </c>
      <c r="E7936" s="15" t="s">
        <v>4147</v>
      </c>
    </row>
    <row r="7937" ht="15.95" spans="2:2">
      <c r="B7937" s="122" t="s">
        <v>10187</v>
      </c>
    </row>
    <row r="7938" spans="2:5">
      <c r="B7938" s="15" t="s">
        <v>10188</v>
      </c>
      <c r="C7938" s="15" t="s">
        <v>10188</v>
      </c>
      <c r="D7938" s="15" t="s">
        <v>770</v>
      </c>
      <c r="E7938" s="15" t="s">
        <v>10189</v>
      </c>
    </row>
    <row r="7939" spans="2:5">
      <c r="B7939" s="15" t="s">
        <v>10188</v>
      </c>
      <c r="C7939" s="15" t="s">
        <v>10188</v>
      </c>
      <c r="D7939" s="15" t="s">
        <v>772</v>
      </c>
      <c r="E7939" s="15" t="s">
        <v>10190</v>
      </c>
    </row>
    <row r="7940" ht="15.95" spans="2:2">
      <c r="B7940" s="122" t="s">
        <v>10191</v>
      </c>
    </row>
    <row r="7941" spans="2:5">
      <c r="B7941" s="15" t="s">
        <v>10192</v>
      </c>
      <c r="C7941" s="15" t="s">
        <v>10192</v>
      </c>
      <c r="D7941" s="15" t="s">
        <v>723</v>
      </c>
      <c r="E7941" s="15" t="s">
        <v>10193</v>
      </c>
    </row>
    <row r="7942" spans="2:5">
      <c r="B7942" s="15" t="s">
        <v>10192</v>
      </c>
      <c r="C7942" s="15" t="s">
        <v>10192</v>
      </c>
      <c r="D7942" s="15" t="s">
        <v>725</v>
      </c>
      <c r="E7942" s="15" t="s">
        <v>10194</v>
      </c>
    </row>
    <row r="7943" spans="2:5">
      <c r="B7943" s="15" t="s">
        <v>10192</v>
      </c>
      <c r="C7943" s="15" t="s">
        <v>10192</v>
      </c>
      <c r="D7943" s="15" t="s">
        <v>727</v>
      </c>
      <c r="E7943" s="15" t="s">
        <v>10195</v>
      </c>
    </row>
    <row r="7944" spans="2:5">
      <c r="B7944" s="15" t="s">
        <v>10192</v>
      </c>
      <c r="C7944" s="15" t="s">
        <v>10192</v>
      </c>
      <c r="D7944" s="15" t="s">
        <v>729</v>
      </c>
      <c r="E7944" s="15" t="s">
        <v>10196</v>
      </c>
    </row>
    <row r="7945" spans="2:5">
      <c r="B7945" s="15" t="s">
        <v>10192</v>
      </c>
      <c r="C7945" s="15" t="s">
        <v>10192</v>
      </c>
      <c r="D7945" s="15" t="s">
        <v>760</v>
      </c>
      <c r="E7945" s="15" t="s">
        <v>10197</v>
      </c>
    </row>
    <row r="7946" ht="15.95" spans="2:2">
      <c r="B7946" s="122" t="s">
        <v>10198</v>
      </c>
    </row>
    <row r="7947" spans="2:5">
      <c r="B7947" s="15" t="s">
        <v>10199</v>
      </c>
      <c r="C7947" s="15" t="s">
        <v>2305</v>
      </c>
      <c r="D7947" s="15" t="s">
        <v>1432</v>
      </c>
      <c r="E7947" s="15" t="s">
        <v>2306</v>
      </c>
    </row>
    <row r="7948" spans="2:5">
      <c r="B7948" s="15" t="s">
        <v>10199</v>
      </c>
      <c r="C7948" s="15" t="s">
        <v>2305</v>
      </c>
      <c r="D7948" s="15" t="s">
        <v>723</v>
      </c>
      <c r="E7948" s="15" t="s">
        <v>2307</v>
      </c>
    </row>
    <row r="7949" spans="2:5">
      <c r="B7949" s="15" t="s">
        <v>10199</v>
      </c>
      <c r="C7949" s="15" t="s">
        <v>2305</v>
      </c>
      <c r="D7949" s="15" t="s">
        <v>725</v>
      </c>
      <c r="E7949" s="15" t="s">
        <v>2308</v>
      </c>
    </row>
    <row r="7950" spans="2:5">
      <c r="B7950" s="15" t="s">
        <v>10199</v>
      </c>
      <c r="C7950" s="15" t="s">
        <v>2305</v>
      </c>
      <c r="D7950" s="15" t="s">
        <v>727</v>
      </c>
      <c r="E7950" s="15" t="s">
        <v>2309</v>
      </c>
    </row>
    <row r="7951" spans="2:5">
      <c r="B7951" s="15" t="s">
        <v>10199</v>
      </c>
      <c r="C7951" s="15" t="s">
        <v>2305</v>
      </c>
      <c r="D7951" s="15" t="s">
        <v>1587</v>
      </c>
      <c r="E7951" s="15" t="s">
        <v>2310</v>
      </c>
    </row>
    <row r="7952" spans="2:5">
      <c r="B7952" s="15" t="s">
        <v>10199</v>
      </c>
      <c r="C7952" s="15" t="s">
        <v>2305</v>
      </c>
      <c r="D7952" s="15" t="s">
        <v>765</v>
      </c>
      <c r="E7952" s="15" t="s">
        <v>2311</v>
      </c>
    </row>
    <row r="7953" ht="15.95" spans="2:2">
      <c r="B7953" s="122" t="s">
        <v>10200</v>
      </c>
    </row>
    <row r="7954" spans="2:5">
      <c r="B7954" s="15" t="s">
        <v>10201</v>
      </c>
      <c r="C7954" s="15"/>
      <c r="D7954" s="15" t="s">
        <v>770</v>
      </c>
      <c r="E7954" s="15" t="s">
        <v>10202</v>
      </c>
    </row>
    <row r="7955" spans="2:5">
      <c r="B7955" s="15" t="s">
        <v>10201</v>
      </c>
      <c r="C7955" s="15"/>
      <c r="D7955" s="15" t="s">
        <v>772</v>
      </c>
      <c r="E7955" s="15" t="s">
        <v>10203</v>
      </c>
    </row>
    <row r="7956" spans="2:5">
      <c r="B7956" s="15" t="s">
        <v>10201</v>
      </c>
      <c r="C7956" s="15"/>
      <c r="D7956" s="15" t="s">
        <v>774</v>
      </c>
      <c r="E7956" s="15" t="s">
        <v>10204</v>
      </c>
    </row>
    <row r="7957" spans="2:5">
      <c r="B7957" s="15" t="s">
        <v>10201</v>
      </c>
      <c r="C7957" s="15"/>
      <c r="D7957" s="15" t="s">
        <v>828</v>
      </c>
      <c r="E7957" s="15" t="s">
        <v>10205</v>
      </c>
    </row>
    <row r="7958" ht="15.95" spans="2:2">
      <c r="B7958" s="122" t="s">
        <v>10206</v>
      </c>
    </row>
    <row r="7959" spans="2:5">
      <c r="B7959" s="15" t="s">
        <v>10207</v>
      </c>
      <c r="C7959" s="15" t="s">
        <v>10208</v>
      </c>
      <c r="D7959" s="15" t="s">
        <v>770</v>
      </c>
      <c r="E7959" s="15" t="s">
        <v>10209</v>
      </c>
    </row>
    <row r="7960" spans="2:5">
      <c r="B7960" s="15" t="s">
        <v>10207</v>
      </c>
      <c r="C7960" s="15" t="s">
        <v>10208</v>
      </c>
      <c r="D7960" s="15" t="s">
        <v>772</v>
      </c>
      <c r="E7960" s="15" t="s">
        <v>10210</v>
      </c>
    </row>
    <row r="7961" spans="2:5">
      <c r="B7961" s="15" t="s">
        <v>10207</v>
      </c>
      <c r="C7961" s="15" t="s">
        <v>10208</v>
      </c>
      <c r="D7961" s="15" t="s">
        <v>774</v>
      </c>
      <c r="E7961" s="15" t="s">
        <v>10211</v>
      </c>
    </row>
    <row r="7962" spans="2:5">
      <c r="B7962" s="15" t="s">
        <v>10207</v>
      </c>
      <c r="C7962" s="15" t="s">
        <v>10208</v>
      </c>
      <c r="D7962" s="15" t="s">
        <v>828</v>
      </c>
      <c r="E7962" s="15" t="s">
        <v>10212</v>
      </c>
    </row>
    <row r="7963" spans="2:5">
      <c r="B7963" s="15" t="s">
        <v>10207</v>
      </c>
      <c r="C7963" s="15" t="s">
        <v>10208</v>
      </c>
      <c r="D7963" s="15" t="s">
        <v>901</v>
      </c>
      <c r="E7963" s="15" t="s">
        <v>10213</v>
      </c>
    </row>
    <row r="7964" spans="2:5">
      <c r="B7964" s="15" t="s">
        <v>10207</v>
      </c>
      <c r="C7964" s="15" t="s">
        <v>10208</v>
      </c>
      <c r="D7964" s="15" t="s">
        <v>776</v>
      </c>
      <c r="E7964" s="15" t="s">
        <v>10214</v>
      </c>
    </row>
    <row r="7965" ht="15.95" spans="2:2">
      <c r="B7965" s="122" t="s">
        <v>10215</v>
      </c>
    </row>
    <row r="7966" spans="2:5">
      <c r="B7966" s="15" t="s">
        <v>10216</v>
      </c>
      <c r="C7966" s="15" t="s">
        <v>10217</v>
      </c>
      <c r="D7966" s="15" t="s">
        <v>770</v>
      </c>
      <c r="E7966" s="15" t="s">
        <v>4917</v>
      </c>
    </row>
    <row r="7967" spans="2:5">
      <c r="B7967" s="15" t="s">
        <v>10216</v>
      </c>
      <c r="C7967" s="15" t="s">
        <v>10217</v>
      </c>
      <c r="D7967" s="15" t="s">
        <v>772</v>
      </c>
      <c r="E7967" s="15" t="s">
        <v>4918</v>
      </c>
    </row>
    <row r="7968" spans="2:5">
      <c r="B7968" s="15" t="s">
        <v>10216</v>
      </c>
      <c r="C7968" s="15" t="s">
        <v>10217</v>
      </c>
      <c r="D7968" s="15" t="s">
        <v>774</v>
      </c>
      <c r="E7968" s="15" t="s">
        <v>4919</v>
      </c>
    </row>
    <row r="7969" spans="2:5">
      <c r="B7969" s="15" t="s">
        <v>10216</v>
      </c>
      <c r="C7969" s="15" t="s">
        <v>10217</v>
      </c>
      <c r="D7969" s="15" t="s">
        <v>828</v>
      </c>
      <c r="E7969" s="15" t="s">
        <v>4920</v>
      </c>
    </row>
    <row r="7970" spans="2:5">
      <c r="B7970" s="15" t="s">
        <v>10216</v>
      </c>
      <c r="C7970" s="15" t="s">
        <v>10217</v>
      </c>
      <c r="D7970" s="15" t="s">
        <v>901</v>
      </c>
      <c r="E7970" s="15" t="s">
        <v>4921</v>
      </c>
    </row>
    <row r="7971" spans="2:5">
      <c r="B7971" s="15" t="s">
        <v>10216</v>
      </c>
      <c r="C7971" s="15" t="s">
        <v>10217</v>
      </c>
      <c r="D7971" s="15" t="s">
        <v>776</v>
      </c>
      <c r="E7971" s="15" t="s">
        <v>4922</v>
      </c>
    </row>
    <row r="7972" spans="2:5">
      <c r="B7972" s="15" t="s">
        <v>10216</v>
      </c>
      <c r="C7972" s="15" t="s">
        <v>10217</v>
      </c>
      <c r="D7972" s="15" t="s">
        <v>1290</v>
      </c>
      <c r="E7972" s="15" t="s">
        <v>4923</v>
      </c>
    </row>
    <row r="7973" spans="2:5">
      <c r="B7973" s="15" t="s">
        <v>10216</v>
      </c>
      <c r="C7973" s="15" t="s">
        <v>10217</v>
      </c>
      <c r="D7973" s="15" t="s">
        <v>1409</v>
      </c>
      <c r="E7973" s="15" t="s">
        <v>4924</v>
      </c>
    </row>
    <row r="7974" spans="2:5">
      <c r="B7974" s="15" t="s">
        <v>10216</v>
      </c>
      <c r="C7974" s="15" t="s">
        <v>10217</v>
      </c>
      <c r="D7974" s="15" t="s">
        <v>1411</v>
      </c>
      <c r="E7974" s="15" t="s">
        <v>4925</v>
      </c>
    </row>
    <row r="7975" spans="2:5">
      <c r="B7975" s="15" t="s">
        <v>10216</v>
      </c>
      <c r="C7975" s="15" t="s">
        <v>10217</v>
      </c>
      <c r="D7975" s="15" t="s">
        <v>933</v>
      </c>
      <c r="E7975" s="15" t="s">
        <v>10218</v>
      </c>
    </row>
    <row r="7976" spans="2:5">
      <c r="B7976" s="15" t="s">
        <v>10216</v>
      </c>
      <c r="C7976" s="15" t="s">
        <v>10217</v>
      </c>
      <c r="D7976" s="15" t="s">
        <v>1059</v>
      </c>
      <c r="E7976" s="15" t="s">
        <v>4927</v>
      </c>
    </row>
    <row r="7977" spans="2:5">
      <c r="B7977" s="15" t="s">
        <v>10216</v>
      </c>
      <c r="C7977" s="15" t="s">
        <v>10217</v>
      </c>
      <c r="D7977" s="15" t="s">
        <v>1061</v>
      </c>
      <c r="E7977" s="15" t="s">
        <v>948</v>
      </c>
    </row>
    <row r="7978" ht="15.95" spans="2:2">
      <c r="B7978" s="122" t="s">
        <v>10219</v>
      </c>
    </row>
    <row r="7979" spans="2:5">
      <c r="B7979" s="15" t="s">
        <v>10220</v>
      </c>
      <c r="C7979" s="15" t="s">
        <v>10221</v>
      </c>
      <c r="D7979" s="15" t="s">
        <v>770</v>
      </c>
      <c r="E7979" s="15" t="s">
        <v>10222</v>
      </c>
    </row>
    <row r="7980" spans="2:5">
      <c r="B7980" s="15" t="s">
        <v>10220</v>
      </c>
      <c r="C7980" s="15" t="s">
        <v>10221</v>
      </c>
      <c r="D7980" s="15" t="s">
        <v>780</v>
      </c>
      <c r="E7980" s="15" t="s">
        <v>10223</v>
      </c>
    </row>
    <row r="7981" spans="2:5">
      <c r="B7981" s="15" t="s">
        <v>10220</v>
      </c>
      <c r="C7981" s="15" t="s">
        <v>10221</v>
      </c>
      <c r="D7981" s="15" t="s">
        <v>3040</v>
      </c>
      <c r="E7981" s="15" t="s">
        <v>10224</v>
      </c>
    </row>
    <row r="7982" spans="2:5">
      <c r="B7982" s="15" t="s">
        <v>10220</v>
      </c>
      <c r="C7982" s="15" t="s">
        <v>10221</v>
      </c>
      <c r="D7982" s="15" t="s">
        <v>1372</v>
      </c>
      <c r="E7982" s="15" t="s">
        <v>10225</v>
      </c>
    </row>
    <row r="7983" spans="2:5">
      <c r="B7983" s="15" t="s">
        <v>10220</v>
      </c>
      <c r="C7983" s="15" t="s">
        <v>10221</v>
      </c>
      <c r="D7983" s="15" t="s">
        <v>3147</v>
      </c>
      <c r="E7983" s="15" t="s">
        <v>10226</v>
      </c>
    </row>
    <row r="7984" spans="2:5">
      <c r="B7984" s="15" t="s">
        <v>10220</v>
      </c>
      <c r="C7984" s="15" t="s">
        <v>10221</v>
      </c>
      <c r="D7984" s="15" t="s">
        <v>3149</v>
      </c>
      <c r="E7984" s="15" t="s">
        <v>10227</v>
      </c>
    </row>
    <row r="7985" spans="2:5">
      <c r="B7985" s="15" t="s">
        <v>10220</v>
      </c>
      <c r="C7985" s="15" t="s">
        <v>10221</v>
      </c>
      <c r="D7985" s="15" t="s">
        <v>772</v>
      </c>
      <c r="E7985" s="15" t="s">
        <v>10222</v>
      </c>
    </row>
    <row r="7986" spans="2:5">
      <c r="B7986" s="15" t="s">
        <v>10220</v>
      </c>
      <c r="C7986" s="15" t="s">
        <v>10221</v>
      </c>
      <c r="D7986" s="15" t="s">
        <v>1378</v>
      </c>
      <c r="E7986" s="15" t="s">
        <v>10223</v>
      </c>
    </row>
    <row r="7987" spans="2:5">
      <c r="B7987" s="15" t="s">
        <v>10220</v>
      </c>
      <c r="C7987" s="15" t="s">
        <v>10221</v>
      </c>
      <c r="D7987" s="15" t="s">
        <v>1380</v>
      </c>
      <c r="E7987" s="15" t="s">
        <v>10228</v>
      </c>
    </row>
    <row r="7988" spans="2:5">
      <c r="B7988" s="15" t="s">
        <v>10220</v>
      </c>
      <c r="C7988" s="15" t="s">
        <v>10221</v>
      </c>
      <c r="D7988" s="15" t="s">
        <v>1382</v>
      </c>
      <c r="E7988" s="15" t="s">
        <v>10226</v>
      </c>
    </row>
    <row r="7989" spans="2:5">
      <c r="B7989" s="15" t="s">
        <v>10220</v>
      </c>
      <c r="C7989" s="15" t="s">
        <v>10221</v>
      </c>
      <c r="D7989" s="15" t="s">
        <v>3047</v>
      </c>
      <c r="E7989" s="15" t="s">
        <v>10227</v>
      </c>
    </row>
    <row r="7990" spans="2:5">
      <c r="B7990" s="15" t="s">
        <v>10220</v>
      </c>
      <c r="C7990" s="15" t="s">
        <v>10221</v>
      </c>
      <c r="D7990" s="15" t="s">
        <v>774</v>
      </c>
      <c r="E7990" s="15" t="s">
        <v>10229</v>
      </c>
    </row>
    <row r="7991" ht="15.95" spans="2:2">
      <c r="B7991" s="122" t="s">
        <v>10230</v>
      </c>
    </row>
    <row r="7992" spans="2:5">
      <c r="B7992" s="15" t="s">
        <v>10231</v>
      </c>
      <c r="C7992" s="15" t="s">
        <v>10232</v>
      </c>
      <c r="D7992" s="15" t="s">
        <v>6845</v>
      </c>
      <c r="E7992" s="15" t="s">
        <v>6846</v>
      </c>
    </row>
    <row r="7993" spans="2:5">
      <c r="B7993" s="15" t="s">
        <v>10231</v>
      </c>
      <c r="C7993" s="15" t="s">
        <v>10232</v>
      </c>
      <c r="D7993" s="15" t="s">
        <v>6869</v>
      </c>
      <c r="E7993" s="15" t="s">
        <v>6870</v>
      </c>
    </row>
    <row r="7994" ht="15.95" spans="2:2">
      <c r="B7994" s="122" t="s">
        <v>10233</v>
      </c>
    </row>
    <row r="7995" spans="2:5">
      <c r="B7995" s="15" t="s">
        <v>10234</v>
      </c>
      <c r="C7995" s="15" t="s">
        <v>10235</v>
      </c>
      <c r="D7995" s="15" t="s">
        <v>635</v>
      </c>
      <c r="E7995" s="15" t="s">
        <v>8061</v>
      </c>
    </row>
    <row r="7996" spans="2:5">
      <c r="B7996" s="15" t="s">
        <v>10234</v>
      </c>
      <c r="C7996" s="15" t="s">
        <v>10235</v>
      </c>
      <c r="D7996" s="15" t="s">
        <v>659</v>
      </c>
      <c r="E7996" s="15" t="s">
        <v>8062</v>
      </c>
    </row>
    <row r="7997" spans="2:5">
      <c r="B7997" s="15" t="s">
        <v>10234</v>
      </c>
      <c r="C7997" s="15" t="s">
        <v>10235</v>
      </c>
      <c r="D7997" s="15" t="s">
        <v>679</v>
      </c>
      <c r="E7997" s="15" t="s">
        <v>8063</v>
      </c>
    </row>
    <row r="7998" ht="15.95" spans="2:2">
      <c r="B7998" s="122" t="s">
        <v>10236</v>
      </c>
    </row>
    <row r="7999" spans="2:5">
      <c r="B7999" s="15" t="s">
        <v>10237</v>
      </c>
      <c r="C7999" s="15" t="s">
        <v>9305</v>
      </c>
      <c r="D7999" s="15" t="s">
        <v>10238</v>
      </c>
      <c r="E7999" s="15" t="s">
        <v>10239</v>
      </c>
    </row>
    <row r="8000" spans="2:5">
      <c r="B8000" s="15" t="s">
        <v>10237</v>
      </c>
      <c r="C8000" s="15" t="s">
        <v>9305</v>
      </c>
      <c r="D8000" s="15" t="s">
        <v>10240</v>
      </c>
      <c r="E8000" s="15" t="s">
        <v>10241</v>
      </c>
    </row>
    <row r="8001" spans="2:5">
      <c r="B8001" s="15" t="s">
        <v>10237</v>
      </c>
      <c r="C8001" s="15" t="s">
        <v>9305</v>
      </c>
      <c r="D8001" s="15" t="s">
        <v>10242</v>
      </c>
      <c r="E8001" s="15" t="s">
        <v>10243</v>
      </c>
    </row>
    <row r="8002" spans="2:5">
      <c r="B8002" s="15" t="s">
        <v>10237</v>
      </c>
      <c r="C8002" s="15" t="s">
        <v>9305</v>
      </c>
      <c r="D8002" s="15" t="s">
        <v>10244</v>
      </c>
      <c r="E8002" s="15" t="s">
        <v>10245</v>
      </c>
    </row>
    <row r="8003" spans="2:5">
      <c r="B8003" s="15" t="s">
        <v>10237</v>
      </c>
      <c r="C8003" s="15" t="s">
        <v>9305</v>
      </c>
      <c r="D8003" s="15" t="s">
        <v>10246</v>
      </c>
      <c r="E8003" s="15" t="s">
        <v>10247</v>
      </c>
    </row>
    <row r="8004" spans="2:5">
      <c r="B8004" s="15" t="s">
        <v>10237</v>
      </c>
      <c r="C8004" s="15" t="s">
        <v>9305</v>
      </c>
      <c r="D8004" s="15" t="s">
        <v>10248</v>
      </c>
      <c r="E8004" s="15" t="s">
        <v>10249</v>
      </c>
    </row>
    <row r="8005" spans="2:5">
      <c r="B8005" s="15" t="s">
        <v>10237</v>
      </c>
      <c r="C8005" s="15" t="s">
        <v>9305</v>
      </c>
      <c r="D8005" s="15" t="s">
        <v>4018</v>
      </c>
      <c r="E8005" s="15" t="s">
        <v>10250</v>
      </c>
    </row>
    <row r="8006" spans="2:5">
      <c r="B8006" s="15" t="s">
        <v>10237</v>
      </c>
      <c r="C8006" s="15" t="s">
        <v>9305</v>
      </c>
      <c r="D8006" s="15" t="s">
        <v>10251</v>
      </c>
      <c r="E8006" s="15" t="s">
        <v>10252</v>
      </c>
    </row>
    <row r="8007" spans="2:5">
      <c r="B8007" s="15" t="s">
        <v>10237</v>
      </c>
      <c r="C8007" s="15" t="s">
        <v>9305</v>
      </c>
      <c r="D8007" s="15" t="s">
        <v>10253</v>
      </c>
      <c r="E8007" s="15" t="s">
        <v>10254</v>
      </c>
    </row>
    <row r="8008" spans="2:5">
      <c r="B8008" s="15" t="s">
        <v>10237</v>
      </c>
      <c r="C8008" s="15" t="s">
        <v>9305</v>
      </c>
      <c r="D8008" s="15" t="s">
        <v>10255</v>
      </c>
      <c r="E8008" s="15" t="s">
        <v>10256</v>
      </c>
    </row>
    <row r="8009" spans="2:5">
      <c r="B8009" s="15" t="s">
        <v>10237</v>
      </c>
      <c r="C8009" s="15" t="s">
        <v>9305</v>
      </c>
      <c r="D8009" s="15" t="s">
        <v>10257</v>
      </c>
      <c r="E8009" s="15" t="s">
        <v>10258</v>
      </c>
    </row>
    <row r="8010" spans="2:5">
      <c r="B8010" s="15" t="s">
        <v>10237</v>
      </c>
      <c r="C8010" s="15" t="s">
        <v>9305</v>
      </c>
      <c r="D8010" s="15" t="s">
        <v>10259</v>
      </c>
      <c r="E8010" s="15" t="s">
        <v>10260</v>
      </c>
    </row>
    <row r="8011" spans="2:5">
      <c r="B8011" s="15" t="s">
        <v>10237</v>
      </c>
      <c r="C8011" s="15" t="s">
        <v>9305</v>
      </c>
      <c r="D8011" s="15" t="s">
        <v>10261</v>
      </c>
      <c r="E8011" s="15" t="s">
        <v>10262</v>
      </c>
    </row>
    <row r="8012" ht="15.95" spans="2:2">
      <c r="B8012" s="122" t="s">
        <v>10263</v>
      </c>
    </row>
    <row r="8013" spans="2:5">
      <c r="B8013" s="15" t="s">
        <v>10264</v>
      </c>
      <c r="C8013" s="15" t="s">
        <v>10264</v>
      </c>
      <c r="D8013" s="15" t="s">
        <v>770</v>
      </c>
      <c r="E8013" s="15" t="s">
        <v>3778</v>
      </c>
    </row>
    <row r="8014" spans="2:5">
      <c r="B8014" s="15" t="s">
        <v>10264</v>
      </c>
      <c r="C8014" s="15" t="s">
        <v>10264</v>
      </c>
      <c r="D8014" s="15" t="s">
        <v>772</v>
      </c>
      <c r="E8014" s="15" t="s">
        <v>10265</v>
      </c>
    </row>
    <row r="8015" spans="2:5">
      <c r="B8015" s="15" t="s">
        <v>10264</v>
      </c>
      <c r="C8015" s="15" t="s">
        <v>10264</v>
      </c>
      <c r="D8015" s="15" t="s">
        <v>774</v>
      </c>
      <c r="E8015" s="15" t="s">
        <v>10266</v>
      </c>
    </row>
    <row r="8016" spans="2:5">
      <c r="B8016" s="15" t="s">
        <v>10264</v>
      </c>
      <c r="C8016" s="15" t="s">
        <v>10264</v>
      </c>
      <c r="D8016" s="15" t="s">
        <v>828</v>
      </c>
      <c r="E8016" s="15" t="s">
        <v>3780</v>
      </c>
    </row>
    <row r="8017" ht="15.95" spans="2:2">
      <c r="B8017" s="122" t="s">
        <v>10267</v>
      </c>
    </row>
    <row r="8018" spans="2:5">
      <c r="B8018" s="15" t="s">
        <v>10268</v>
      </c>
      <c r="C8018" s="15" t="s">
        <v>6971</v>
      </c>
      <c r="D8018" s="15" t="s">
        <v>6979</v>
      </c>
      <c r="E8018" s="15" t="s">
        <v>6980</v>
      </c>
    </row>
    <row r="8019" spans="2:5">
      <c r="B8019" s="15" t="s">
        <v>10268</v>
      </c>
      <c r="C8019" s="15" t="s">
        <v>6971</v>
      </c>
      <c r="D8019" s="15" t="s">
        <v>6981</v>
      </c>
      <c r="E8019" s="15" t="s">
        <v>6982</v>
      </c>
    </row>
    <row r="8020" spans="2:5">
      <c r="B8020" s="15" t="s">
        <v>10268</v>
      </c>
      <c r="C8020" s="15" t="s">
        <v>6971</v>
      </c>
      <c r="D8020" s="15" t="s">
        <v>7015</v>
      </c>
      <c r="E8020" s="15" t="s">
        <v>10269</v>
      </c>
    </row>
    <row r="8021" spans="2:5">
      <c r="B8021" s="15" t="s">
        <v>10268</v>
      </c>
      <c r="C8021" s="15" t="s">
        <v>6971</v>
      </c>
      <c r="D8021" s="15" t="s">
        <v>7025</v>
      </c>
      <c r="E8021" s="15" t="s">
        <v>7107</v>
      </c>
    </row>
    <row r="8022" spans="2:5">
      <c r="B8022" s="15" t="s">
        <v>10268</v>
      </c>
      <c r="C8022" s="15" t="s">
        <v>6971</v>
      </c>
      <c r="D8022" s="15" t="s">
        <v>7033</v>
      </c>
      <c r="E8022" s="15" t="s">
        <v>7140</v>
      </c>
    </row>
    <row r="8023" spans="2:5">
      <c r="B8023" s="15" t="s">
        <v>10268</v>
      </c>
      <c r="C8023" s="15" t="s">
        <v>6971</v>
      </c>
      <c r="D8023" s="15" t="s">
        <v>7074</v>
      </c>
      <c r="E8023" s="15" t="s">
        <v>7075</v>
      </c>
    </row>
    <row r="8024" spans="2:5">
      <c r="B8024" s="15" t="s">
        <v>10268</v>
      </c>
      <c r="C8024" s="15" t="s">
        <v>6971</v>
      </c>
      <c r="D8024" s="15" t="s">
        <v>7079</v>
      </c>
      <c r="E8024" s="15" t="s">
        <v>7077</v>
      </c>
    </row>
    <row r="8025" spans="2:5">
      <c r="B8025" s="15" t="s">
        <v>10268</v>
      </c>
      <c r="C8025" s="15" t="s">
        <v>6971</v>
      </c>
      <c r="D8025" s="15" t="s">
        <v>7096</v>
      </c>
      <c r="E8025" s="15" t="s">
        <v>7096</v>
      </c>
    </row>
    <row r="8026" spans="2:5">
      <c r="B8026" s="15" t="s">
        <v>10268</v>
      </c>
      <c r="C8026" s="15" t="s">
        <v>6971</v>
      </c>
      <c r="D8026" s="15" t="s">
        <v>7097</v>
      </c>
      <c r="E8026" s="15" t="s">
        <v>3360</v>
      </c>
    </row>
    <row r="8027" spans="2:5">
      <c r="B8027" s="15" t="s">
        <v>10268</v>
      </c>
      <c r="C8027" s="15" t="s">
        <v>6971</v>
      </c>
      <c r="D8027" s="15" t="s">
        <v>7098</v>
      </c>
      <c r="E8027" s="15" t="s">
        <v>7099</v>
      </c>
    </row>
    <row r="8028" spans="2:5">
      <c r="B8028" s="15" t="s">
        <v>10268</v>
      </c>
      <c r="C8028" s="15" t="s">
        <v>6971</v>
      </c>
      <c r="D8028" s="15" t="s">
        <v>7153</v>
      </c>
      <c r="E8028" s="15" t="s">
        <v>7154</v>
      </c>
    </row>
    <row r="8029" spans="2:5">
      <c r="B8029" s="15" t="s">
        <v>10268</v>
      </c>
      <c r="C8029" s="15" t="s">
        <v>6971</v>
      </c>
      <c r="D8029" s="15" t="s">
        <v>7165</v>
      </c>
      <c r="E8029" s="15" t="s">
        <v>7166</v>
      </c>
    </row>
    <row r="8030" spans="2:5">
      <c r="B8030" s="15" t="s">
        <v>10268</v>
      </c>
      <c r="C8030" s="15" t="s">
        <v>6971</v>
      </c>
      <c r="D8030" s="15" t="s">
        <v>7167</v>
      </c>
      <c r="E8030" s="15" t="s">
        <v>7168</v>
      </c>
    </row>
    <row r="8031" spans="2:5">
      <c r="B8031" s="15" t="s">
        <v>10268</v>
      </c>
      <c r="C8031" s="15" t="s">
        <v>6971</v>
      </c>
      <c r="D8031" s="15" t="s">
        <v>7175</v>
      </c>
      <c r="E8031" s="15" t="s">
        <v>7176</v>
      </c>
    </row>
    <row r="8032" spans="2:5">
      <c r="B8032" s="15" t="s">
        <v>10268</v>
      </c>
      <c r="C8032" s="15" t="s">
        <v>6971</v>
      </c>
      <c r="D8032" s="15" t="s">
        <v>7177</v>
      </c>
      <c r="E8032" s="15" t="s">
        <v>7178</v>
      </c>
    </row>
    <row r="8033" spans="2:5">
      <c r="B8033" s="15" t="s">
        <v>10268</v>
      </c>
      <c r="C8033" s="15" t="s">
        <v>6971</v>
      </c>
      <c r="D8033" s="15" t="s">
        <v>7190</v>
      </c>
      <c r="E8033" s="15" t="s">
        <v>7191</v>
      </c>
    </row>
    <row r="8034" spans="2:5">
      <c r="B8034" s="15" t="s">
        <v>10268</v>
      </c>
      <c r="C8034" s="15" t="s">
        <v>6971</v>
      </c>
      <c r="D8034" s="15" t="s">
        <v>7207</v>
      </c>
      <c r="E8034" s="15" t="s">
        <v>7137</v>
      </c>
    </row>
    <row r="8035" spans="2:5">
      <c r="B8035" s="15" t="s">
        <v>10268</v>
      </c>
      <c r="C8035" s="15" t="s">
        <v>6971</v>
      </c>
      <c r="D8035" s="15" t="s">
        <v>7208</v>
      </c>
      <c r="E8035" s="15" t="s">
        <v>7209</v>
      </c>
    </row>
    <row r="8036" spans="2:5">
      <c r="B8036" s="15" t="s">
        <v>10268</v>
      </c>
      <c r="C8036" s="15" t="s">
        <v>6971</v>
      </c>
      <c r="D8036" s="15" t="s">
        <v>7212</v>
      </c>
      <c r="E8036" s="15" t="s">
        <v>7213</v>
      </c>
    </row>
    <row r="8037" ht="15.95" spans="2:2">
      <c r="B8037" s="122" t="s">
        <v>10270</v>
      </c>
    </row>
    <row r="8038" spans="2:5">
      <c r="B8038" s="15" t="s">
        <v>10271</v>
      </c>
      <c r="C8038" s="15" t="s">
        <v>10272</v>
      </c>
      <c r="D8038" s="15" t="s">
        <v>770</v>
      </c>
      <c r="E8038" s="15" t="s">
        <v>10273</v>
      </c>
    </row>
    <row r="8039" spans="2:5">
      <c r="B8039" s="15" t="s">
        <v>10271</v>
      </c>
      <c r="C8039" s="15" t="s">
        <v>10272</v>
      </c>
      <c r="D8039" s="15" t="s">
        <v>772</v>
      </c>
      <c r="E8039" s="15" t="s">
        <v>10274</v>
      </c>
    </row>
    <row r="8040" spans="2:5">
      <c r="B8040" s="15" t="s">
        <v>10271</v>
      </c>
      <c r="C8040" s="15" t="s">
        <v>10272</v>
      </c>
      <c r="D8040" s="15" t="s">
        <v>774</v>
      </c>
      <c r="E8040" s="15" t="s">
        <v>10275</v>
      </c>
    </row>
    <row r="8041" spans="2:5">
      <c r="B8041" s="15" t="s">
        <v>10271</v>
      </c>
      <c r="C8041" s="15" t="s">
        <v>10272</v>
      </c>
      <c r="D8041" s="15" t="s">
        <v>828</v>
      </c>
      <c r="E8041" s="15" t="s">
        <v>10276</v>
      </c>
    </row>
    <row r="8042" spans="2:5">
      <c r="B8042" s="15" t="s">
        <v>10271</v>
      </c>
      <c r="C8042" s="15" t="s">
        <v>10272</v>
      </c>
      <c r="D8042" s="15" t="s">
        <v>901</v>
      </c>
      <c r="E8042" s="15" t="s">
        <v>10277</v>
      </c>
    </row>
    <row r="8043" spans="2:5">
      <c r="B8043" s="15" t="s">
        <v>10271</v>
      </c>
      <c r="C8043" s="15" t="s">
        <v>10272</v>
      </c>
      <c r="D8043" s="15" t="s">
        <v>776</v>
      </c>
      <c r="E8043" s="15" t="s">
        <v>10278</v>
      </c>
    </row>
    <row r="8044" spans="2:5">
      <c r="B8044" s="15" t="s">
        <v>10271</v>
      </c>
      <c r="C8044" s="15" t="s">
        <v>10272</v>
      </c>
      <c r="D8044" s="15" t="s">
        <v>1290</v>
      </c>
      <c r="E8044" s="15" t="s">
        <v>10279</v>
      </c>
    </row>
    <row r="8045" spans="2:5">
      <c r="B8045" s="15" t="s">
        <v>10271</v>
      </c>
      <c r="C8045" s="15" t="s">
        <v>10272</v>
      </c>
      <c r="D8045" s="15" t="s">
        <v>1409</v>
      </c>
      <c r="E8045" s="15" t="s">
        <v>10280</v>
      </c>
    </row>
    <row r="8046" ht="15.95" spans="2:2">
      <c r="B8046" s="122" t="s">
        <v>10281</v>
      </c>
    </row>
    <row r="8047" spans="2:5">
      <c r="B8047" s="15" t="s">
        <v>10282</v>
      </c>
      <c r="C8047" s="15" t="s">
        <v>10283</v>
      </c>
      <c r="D8047" s="15" t="s">
        <v>635</v>
      </c>
      <c r="E8047" s="15" t="s">
        <v>1814</v>
      </c>
    </row>
    <row r="8048" spans="2:5">
      <c r="B8048" s="15" t="s">
        <v>10282</v>
      </c>
      <c r="C8048" s="15" t="s">
        <v>10283</v>
      </c>
      <c r="D8048" s="15" t="s">
        <v>659</v>
      </c>
      <c r="E8048" s="15" t="s">
        <v>1822</v>
      </c>
    </row>
    <row r="8049" ht="15.95" spans="2:2">
      <c r="B8049" s="122" t="s">
        <v>10284</v>
      </c>
    </row>
    <row r="8050" spans="2:5">
      <c r="B8050" s="15" t="s">
        <v>10285</v>
      </c>
      <c r="C8050" s="15" t="s">
        <v>10286</v>
      </c>
      <c r="D8050" s="15" t="s">
        <v>770</v>
      </c>
      <c r="E8050" s="15" t="s">
        <v>10287</v>
      </c>
    </row>
    <row r="8051" spans="2:5">
      <c r="B8051" s="15" t="s">
        <v>10285</v>
      </c>
      <c r="C8051" s="15" t="s">
        <v>10286</v>
      </c>
      <c r="D8051" s="15" t="s">
        <v>772</v>
      </c>
      <c r="E8051" s="15" t="s">
        <v>10288</v>
      </c>
    </row>
    <row r="8052" spans="2:5">
      <c r="B8052" s="15" t="s">
        <v>10285</v>
      </c>
      <c r="C8052" s="15" t="s">
        <v>10286</v>
      </c>
      <c r="D8052" s="15" t="s">
        <v>774</v>
      </c>
      <c r="E8052" s="15" t="s">
        <v>10289</v>
      </c>
    </row>
    <row r="8053" spans="2:5">
      <c r="B8053" s="15" t="s">
        <v>10285</v>
      </c>
      <c r="C8053" s="15" t="s">
        <v>10286</v>
      </c>
      <c r="D8053" s="15" t="s">
        <v>828</v>
      </c>
      <c r="E8053" s="15" t="s">
        <v>10290</v>
      </c>
    </row>
    <row r="8054" ht="15.95" spans="2:2">
      <c r="B8054" s="122" t="s">
        <v>10291</v>
      </c>
    </row>
    <row r="8055" spans="2:5">
      <c r="B8055" s="15" t="s">
        <v>10292</v>
      </c>
      <c r="C8055" s="15" t="s">
        <v>10292</v>
      </c>
      <c r="D8055" s="15" t="s">
        <v>770</v>
      </c>
      <c r="E8055" s="15" t="s">
        <v>2384</v>
      </c>
    </row>
    <row r="8056" spans="2:5">
      <c r="B8056" s="15" t="s">
        <v>10292</v>
      </c>
      <c r="C8056" s="15" t="s">
        <v>10292</v>
      </c>
      <c r="D8056" s="15" t="s">
        <v>772</v>
      </c>
      <c r="E8056" s="15" t="s">
        <v>2385</v>
      </c>
    </row>
    <row r="8057" spans="2:5">
      <c r="B8057" s="15" t="s">
        <v>10292</v>
      </c>
      <c r="C8057" s="15" t="s">
        <v>10292</v>
      </c>
      <c r="D8057" s="15" t="s">
        <v>774</v>
      </c>
      <c r="E8057" s="15" t="s">
        <v>2386</v>
      </c>
    </row>
    <row r="8058" ht="15.95" spans="2:2">
      <c r="B8058" s="122" t="s">
        <v>10293</v>
      </c>
    </row>
    <row r="8059" spans="2:5">
      <c r="B8059" s="15" t="s">
        <v>10294</v>
      </c>
      <c r="C8059" s="15" t="s">
        <v>10294</v>
      </c>
      <c r="D8059" s="15" t="s">
        <v>770</v>
      </c>
      <c r="E8059" s="15" t="s">
        <v>1294</v>
      </c>
    </row>
    <row r="8060" spans="2:5">
      <c r="B8060" s="15" t="s">
        <v>10294</v>
      </c>
      <c r="C8060" s="15" t="s">
        <v>10294</v>
      </c>
      <c r="D8060" s="15" t="s">
        <v>772</v>
      </c>
      <c r="E8060" s="15" t="s">
        <v>1295</v>
      </c>
    </row>
    <row r="8061" spans="2:5">
      <c r="B8061" s="15" t="s">
        <v>10294</v>
      </c>
      <c r="C8061" s="15" t="s">
        <v>10294</v>
      </c>
      <c r="D8061" s="15" t="s">
        <v>774</v>
      </c>
      <c r="E8061" s="15" t="s">
        <v>1296</v>
      </c>
    </row>
    <row r="8062" spans="2:5">
      <c r="B8062" s="15" t="s">
        <v>10294</v>
      </c>
      <c r="C8062" s="15" t="s">
        <v>10294</v>
      </c>
      <c r="D8062" s="15" t="s">
        <v>828</v>
      </c>
      <c r="E8062" s="15" t="s">
        <v>1297</v>
      </c>
    </row>
    <row r="8063" spans="2:5">
      <c r="B8063" s="15" t="s">
        <v>10294</v>
      </c>
      <c r="C8063" s="15" t="s">
        <v>10294</v>
      </c>
      <c r="D8063" s="15" t="s">
        <v>901</v>
      </c>
      <c r="E8063" s="15" t="s">
        <v>1298</v>
      </c>
    </row>
    <row r="8064" ht="15.95" spans="2:2">
      <c r="B8064" s="122" t="s">
        <v>10295</v>
      </c>
    </row>
    <row r="8065" spans="2:5">
      <c r="B8065" s="15" t="s">
        <v>10296</v>
      </c>
      <c r="C8065" s="15" t="s">
        <v>10297</v>
      </c>
      <c r="D8065" s="15" t="s">
        <v>2221</v>
      </c>
      <c r="E8065" s="15" t="s">
        <v>2221</v>
      </c>
    </row>
    <row r="8066" spans="2:5">
      <c r="B8066" s="15" t="s">
        <v>10296</v>
      </c>
      <c r="C8066" s="15" t="s">
        <v>10297</v>
      </c>
      <c r="D8066" s="15" t="s">
        <v>2222</v>
      </c>
      <c r="E8066" s="15" t="s">
        <v>2222</v>
      </c>
    </row>
    <row r="8067" ht="15.95" spans="2:2">
      <c r="B8067" s="122" t="s">
        <v>10298</v>
      </c>
    </row>
    <row r="8068" spans="2:5">
      <c r="B8068" s="15" t="s">
        <v>10299</v>
      </c>
      <c r="C8068" s="15" t="s">
        <v>10299</v>
      </c>
      <c r="D8068" s="15" t="s">
        <v>723</v>
      </c>
      <c r="E8068" s="15" t="s">
        <v>10300</v>
      </c>
    </row>
    <row r="8069" spans="2:5">
      <c r="B8069" s="15" t="s">
        <v>10299</v>
      </c>
      <c r="C8069" s="15" t="s">
        <v>10299</v>
      </c>
      <c r="D8069" s="15" t="s">
        <v>725</v>
      </c>
      <c r="E8069" s="15" t="s">
        <v>10301</v>
      </c>
    </row>
    <row r="8070" ht="15.95" spans="2:2">
      <c r="B8070" s="122" t="s">
        <v>10302</v>
      </c>
    </row>
    <row r="8071" spans="2:5">
      <c r="B8071" s="15" t="s">
        <v>10303</v>
      </c>
      <c r="C8071" s="15" t="s">
        <v>10304</v>
      </c>
      <c r="D8071" s="15" t="s">
        <v>770</v>
      </c>
      <c r="E8071" s="15" t="s">
        <v>10305</v>
      </c>
    </row>
    <row r="8072" spans="2:5">
      <c r="B8072" s="15" t="s">
        <v>10303</v>
      </c>
      <c r="C8072" s="15" t="s">
        <v>10304</v>
      </c>
      <c r="D8072" s="15" t="s">
        <v>772</v>
      </c>
      <c r="E8072" s="15" t="s">
        <v>10306</v>
      </c>
    </row>
    <row r="8073" spans="2:5">
      <c r="B8073" s="15" t="s">
        <v>10303</v>
      </c>
      <c r="C8073" s="15" t="s">
        <v>10304</v>
      </c>
      <c r="D8073" s="15" t="s">
        <v>774</v>
      </c>
      <c r="E8073" s="15" t="s">
        <v>10307</v>
      </c>
    </row>
    <row r="8074" spans="2:5">
      <c r="B8074" s="15" t="s">
        <v>10303</v>
      </c>
      <c r="C8074" s="15" t="s">
        <v>10304</v>
      </c>
      <c r="D8074" s="15" t="s">
        <v>828</v>
      </c>
      <c r="E8074" s="15" t="s">
        <v>10308</v>
      </c>
    </row>
    <row r="8075" spans="2:5">
      <c r="B8075" s="15" t="s">
        <v>10303</v>
      </c>
      <c r="C8075" s="15" t="s">
        <v>10304</v>
      </c>
      <c r="D8075" s="15" t="s">
        <v>901</v>
      </c>
      <c r="E8075" s="15" t="s">
        <v>10309</v>
      </c>
    </row>
    <row r="8076" spans="2:5">
      <c r="B8076" s="15" t="s">
        <v>10303</v>
      </c>
      <c r="C8076" s="15" t="s">
        <v>10304</v>
      </c>
      <c r="D8076" s="15" t="s">
        <v>776</v>
      </c>
      <c r="E8076" s="15" t="s">
        <v>10310</v>
      </c>
    </row>
    <row r="8077" spans="2:5">
      <c r="B8077" s="15" t="s">
        <v>10303</v>
      </c>
      <c r="C8077" s="15" t="s">
        <v>10304</v>
      </c>
      <c r="D8077" s="15" t="s">
        <v>1290</v>
      </c>
      <c r="E8077" s="15" t="s">
        <v>10311</v>
      </c>
    </row>
    <row r="8078" spans="2:5">
      <c r="B8078" s="15" t="s">
        <v>10303</v>
      </c>
      <c r="C8078" s="15" t="s">
        <v>10304</v>
      </c>
      <c r="D8078" s="15" t="s">
        <v>1409</v>
      </c>
      <c r="E8078" s="15" t="s">
        <v>10312</v>
      </c>
    </row>
    <row r="8079" spans="2:5">
      <c r="B8079" s="15" t="s">
        <v>10303</v>
      </c>
      <c r="C8079" s="15" t="s">
        <v>10304</v>
      </c>
      <c r="D8079" s="15" t="s">
        <v>1411</v>
      </c>
      <c r="E8079" s="15" t="s">
        <v>10313</v>
      </c>
    </row>
    <row r="8080" spans="2:5">
      <c r="B8080" s="15" t="s">
        <v>10303</v>
      </c>
      <c r="C8080" s="15" t="s">
        <v>10304</v>
      </c>
      <c r="D8080" s="15" t="s">
        <v>933</v>
      </c>
      <c r="E8080" s="15" t="s">
        <v>10314</v>
      </c>
    </row>
    <row r="8081" spans="2:5">
      <c r="B8081" s="15" t="s">
        <v>10303</v>
      </c>
      <c r="C8081" s="15" t="s">
        <v>10304</v>
      </c>
      <c r="D8081" s="15" t="s">
        <v>1059</v>
      </c>
      <c r="E8081" s="15" t="s">
        <v>10315</v>
      </c>
    </row>
    <row r="8082" spans="2:5">
      <c r="B8082" s="15" t="s">
        <v>10303</v>
      </c>
      <c r="C8082" s="15" t="s">
        <v>10304</v>
      </c>
      <c r="D8082" s="15" t="s">
        <v>1061</v>
      </c>
      <c r="E8082" s="15" t="s">
        <v>10316</v>
      </c>
    </row>
    <row r="8083" spans="2:5">
      <c r="B8083" s="15" t="s">
        <v>10303</v>
      </c>
      <c r="C8083" s="15" t="s">
        <v>10304</v>
      </c>
      <c r="D8083" s="15" t="s">
        <v>1063</v>
      </c>
      <c r="E8083" s="15" t="s">
        <v>10317</v>
      </c>
    </row>
    <row r="8084" ht="15.95" spans="2:2">
      <c r="B8084" s="122" t="s">
        <v>10318</v>
      </c>
    </row>
    <row r="8085" spans="2:5">
      <c r="B8085" s="15" t="s">
        <v>10319</v>
      </c>
      <c r="C8085" s="15" t="s">
        <v>10319</v>
      </c>
      <c r="D8085" s="15" t="s">
        <v>723</v>
      </c>
      <c r="E8085" s="15" t="s">
        <v>1201</v>
      </c>
    </row>
    <row r="8086" spans="2:5">
      <c r="B8086" s="15" t="s">
        <v>10319</v>
      </c>
      <c r="C8086" s="15" t="s">
        <v>10319</v>
      </c>
      <c r="D8086" s="15" t="s">
        <v>725</v>
      </c>
      <c r="E8086" s="15" t="s">
        <v>1202</v>
      </c>
    </row>
    <row r="8087" spans="2:5">
      <c r="B8087" s="15" t="s">
        <v>10319</v>
      </c>
      <c r="C8087" s="15" t="s">
        <v>10319</v>
      </c>
      <c r="D8087" s="15" t="s">
        <v>727</v>
      </c>
      <c r="E8087" s="15" t="s">
        <v>1203</v>
      </c>
    </row>
    <row r="8088" spans="2:5">
      <c r="B8088" s="15" t="s">
        <v>10319</v>
      </c>
      <c r="C8088" s="15" t="s">
        <v>10319</v>
      </c>
      <c r="D8088" s="15" t="s">
        <v>729</v>
      </c>
      <c r="E8088" s="15" t="s">
        <v>3413</v>
      </c>
    </row>
    <row r="8089" ht="15.95" spans="2:2">
      <c r="B8089" s="122" t="s">
        <v>10320</v>
      </c>
    </row>
    <row r="8090" spans="2:5">
      <c r="B8090" s="15" t="s">
        <v>10321</v>
      </c>
      <c r="C8090" s="15" t="s">
        <v>9173</v>
      </c>
      <c r="D8090" s="15" t="s">
        <v>10322</v>
      </c>
      <c r="E8090" s="15" t="s">
        <v>10323</v>
      </c>
    </row>
    <row r="8091" spans="2:5">
      <c r="B8091" s="15" t="s">
        <v>10321</v>
      </c>
      <c r="C8091" s="15" t="s">
        <v>9173</v>
      </c>
      <c r="D8091" s="15" t="s">
        <v>10324</v>
      </c>
      <c r="E8091" s="15" t="s">
        <v>10325</v>
      </c>
    </row>
    <row r="8092" spans="2:5">
      <c r="B8092" s="15" t="s">
        <v>10321</v>
      </c>
      <c r="C8092" s="15" t="s">
        <v>9173</v>
      </c>
      <c r="D8092" s="15" t="s">
        <v>10326</v>
      </c>
      <c r="E8092" s="15" t="s">
        <v>10327</v>
      </c>
    </row>
    <row r="8093" ht="15.95" spans="2:2">
      <c r="B8093" s="122" t="s">
        <v>10328</v>
      </c>
    </row>
    <row r="8094" spans="2:5">
      <c r="B8094" s="15" t="s">
        <v>10329</v>
      </c>
      <c r="C8094" s="15" t="s">
        <v>10330</v>
      </c>
      <c r="D8094" s="15" t="s">
        <v>10331</v>
      </c>
      <c r="E8094" s="15" t="s">
        <v>10332</v>
      </c>
    </row>
    <row r="8095" spans="2:5">
      <c r="B8095" s="15" t="s">
        <v>10329</v>
      </c>
      <c r="C8095" s="15" t="s">
        <v>10330</v>
      </c>
      <c r="D8095" s="15" t="s">
        <v>10333</v>
      </c>
      <c r="E8095" s="15" t="s">
        <v>10334</v>
      </c>
    </row>
    <row r="8096" spans="2:5">
      <c r="B8096" s="15" t="s">
        <v>10329</v>
      </c>
      <c r="C8096" s="15" t="s">
        <v>10330</v>
      </c>
      <c r="D8096" s="15" t="s">
        <v>10335</v>
      </c>
      <c r="E8096" s="15" t="s">
        <v>10336</v>
      </c>
    </row>
    <row r="8097" spans="2:5">
      <c r="B8097" s="15" t="s">
        <v>10329</v>
      </c>
      <c r="C8097" s="15" t="s">
        <v>10330</v>
      </c>
      <c r="D8097" s="15" t="s">
        <v>10337</v>
      </c>
      <c r="E8097" s="15" t="s">
        <v>10338</v>
      </c>
    </row>
    <row r="8098" spans="2:5">
      <c r="B8098" s="15" t="s">
        <v>10329</v>
      </c>
      <c r="C8098" s="15" t="s">
        <v>10330</v>
      </c>
      <c r="D8098" s="15" t="s">
        <v>10339</v>
      </c>
      <c r="E8098" s="15" t="s">
        <v>10340</v>
      </c>
    </row>
    <row r="8099" spans="2:5">
      <c r="B8099" s="15" t="s">
        <v>10329</v>
      </c>
      <c r="C8099" s="15" t="s">
        <v>10330</v>
      </c>
      <c r="D8099" s="15" t="s">
        <v>10341</v>
      </c>
      <c r="E8099" s="15" t="s">
        <v>10342</v>
      </c>
    </row>
    <row r="8100" spans="2:5">
      <c r="B8100" s="15" t="s">
        <v>10329</v>
      </c>
      <c r="C8100" s="15" t="s">
        <v>10330</v>
      </c>
      <c r="D8100" s="15" t="s">
        <v>10343</v>
      </c>
      <c r="E8100" s="15" t="s">
        <v>10344</v>
      </c>
    </row>
    <row r="8101" spans="2:5">
      <c r="B8101" s="15" t="s">
        <v>10329</v>
      </c>
      <c r="C8101" s="15" t="s">
        <v>10330</v>
      </c>
      <c r="D8101" s="15" t="s">
        <v>10345</v>
      </c>
      <c r="E8101" s="15" t="s">
        <v>10346</v>
      </c>
    </row>
    <row r="8102" spans="2:5">
      <c r="B8102" s="15" t="s">
        <v>10329</v>
      </c>
      <c r="C8102" s="15" t="s">
        <v>10330</v>
      </c>
      <c r="D8102" s="15" t="s">
        <v>10347</v>
      </c>
      <c r="E8102" s="15" t="s">
        <v>10348</v>
      </c>
    </row>
    <row r="8103" spans="2:5">
      <c r="B8103" s="15" t="s">
        <v>10329</v>
      </c>
      <c r="C8103" s="15" t="s">
        <v>10330</v>
      </c>
      <c r="D8103" s="15" t="s">
        <v>10349</v>
      </c>
      <c r="E8103" s="15" t="s">
        <v>10350</v>
      </c>
    </row>
    <row r="8104" spans="2:5">
      <c r="B8104" s="15" t="s">
        <v>10329</v>
      </c>
      <c r="C8104" s="15" t="s">
        <v>10330</v>
      </c>
      <c r="D8104" s="15" t="s">
        <v>10351</v>
      </c>
      <c r="E8104" s="15" t="s">
        <v>10352</v>
      </c>
    </row>
    <row r="8105" spans="2:5">
      <c r="B8105" s="15" t="s">
        <v>10329</v>
      </c>
      <c r="C8105" s="15" t="s">
        <v>10330</v>
      </c>
      <c r="D8105" s="15" t="s">
        <v>10353</v>
      </c>
      <c r="E8105" s="15" t="s">
        <v>10354</v>
      </c>
    </row>
    <row r="8106" spans="2:5">
      <c r="B8106" s="15" t="s">
        <v>10329</v>
      </c>
      <c r="C8106" s="15" t="s">
        <v>10330</v>
      </c>
      <c r="D8106" s="15" t="s">
        <v>10355</v>
      </c>
      <c r="E8106" s="15" t="s">
        <v>10356</v>
      </c>
    </row>
    <row r="8107" ht="15.95" spans="2:2">
      <c r="B8107" s="122" t="s">
        <v>10357</v>
      </c>
    </row>
    <row r="8108" spans="2:5">
      <c r="B8108" s="15" t="s">
        <v>10358</v>
      </c>
      <c r="C8108" s="15" t="s">
        <v>10359</v>
      </c>
      <c r="D8108" s="15" t="s">
        <v>770</v>
      </c>
      <c r="E8108" s="15" t="s">
        <v>10360</v>
      </c>
    </row>
    <row r="8109" spans="2:5">
      <c r="B8109" s="15" t="s">
        <v>10358</v>
      </c>
      <c r="C8109" s="15" t="s">
        <v>10359</v>
      </c>
      <c r="D8109" s="15" t="s">
        <v>772</v>
      </c>
      <c r="E8109" s="15" t="s">
        <v>10361</v>
      </c>
    </row>
    <row r="8110" spans="2:5">
      <c r="B8110" s="15" t="s">
        <v>10358</v>
      </c>
      <c r="C8110" s="15" t="s">
        <v>10359</v>
      </c>
      <c r="D8110" s="15" t="s">
        <v>774</v>
      </c>
      <c r="E8110" s="15" t="s">
        <v>10362</v>
      </c>
    </row>
    <row r="8111" spans="2:5">
      <c r="B8111" s="15" t="s">
        <v>10358</v>
      </c>
      <c r="C8111" s="15" t="s">
        <v>10359</v>
      </c>
      <c r="D8111" s="15" t="s">
        <v>828</v>
      </c>
      <c r="E8111" s="15" t="s">
        <v>10363</v>
      </c>
    </row>
    <row r="8112" spans="2:5">
      <c r="B8112" s="15" t="s">
        <v>10358</v>
      </c>
      <c r="C8112" s="15" t="s">
        <v>10359</v>
      </c>
      <c r="D8112" s="15" t="s">
        <v>901</v>
      </c>
      <c r="E8112" s="15" t="s">
        <v>10364</v>
      </c>
    </row>
    <row r="8113" spans="2:5">
      <c r="B8113" s="15" t="s">
        <v>10358</v>
      </c>
      <c r="C8113" s="15" t="s">
        <v>10359</v>
      </c>
      <c r="D8113" s="15" t="s">
        <v>776</v>
      </c>
      <c r="E8113" s="15" t="s">
        <v>10365</v>
      </c>
    </row>
    <row r="8114" ht="15.95" spans="2:2">
      <c r="B8114" s="122" t="s">
        <v>10366</v>
      </c>
    </row>
    <row r="8115" spans="2:5">
      <c r="B8115" s="15" t="s">
        <v>10367</v>
      </c>
      <c r="C8115" s="15" t="s">
        <v>10368</v>
      </c>
      <c r="D8115" s="15" t="s">
        <v>770</v>
      </c>
      <c r="E8115" s="15" t="s">
        <v>10369</v>
      </c>
    </row>
    <row r="8116" spans="2:5">
      <c r="B8116" s="15" t="s">
        <v>10367</v>
      </c>
      <c r="C8116" s="15" t="s">
        <v>10368</v>
      </c>
      <c r="D8116" s="15" t="s">
        <v>772</v>
      </c>
      <c r="E8116" s="15" t="s">
        <v>10370</v>
      </c>
    </row>
    <row r="8117" ht="15.95" spans="2:2">
      <c r="B8117" s="122" t="s">
        <v>10371</v>
      </c>
    </row>
    <row r="8118" spans="2:5">
      <c r="B8118" s="15" t="s">
        <v>10372</v>
      </c>
      <c r="C8118" s="15" t="s">
        <v>10373</v>
      </c>
      <c r="D8118" s="15" t="s">
        <v>6843</v>
      </c>
      <c r="E8118" s="15" t="s">
        <v>6844</v>
      </c>
    </row>
    <row r="8119" spans="2:5">
      <c r="B8119" s="15" t="s">
        <v>10372</v>
      </c>
      <c r="C8119" s="15" t="s">
        <v>10373</v>
      </c>
      <c r="D8119" s="15" t="s">
        <v>6851</v>
      </c>
      <c r="E8119" s="15" t="s">
        <v>6852</v>
      </c>
    </row>
    <row r="8120" spans="2:5">
      <c r="B8120" s="15" t="s">
        <v>10372</v>
      </c>
      <c r="C8120" s="15" t="s">
        <v>10373</v>
      </c>
      <c r="D8120" s="15" t="s">
        <v>6859</v>
      </c>
      <c r="E8120" s="15" t="s">
        <v>6860</v>
      </c>
    </row>
    <row r="8121" spans="2:5">
      <c r="B8121" s="15" t="s">
        <v>10372</v>
      </c>
      <c r="C8121" s="15" t="s">
        <v>10373</v>
      </c>
      <c r="D8121" s="15" t="s">
        <v>6865</v>
      </c>
      <c r="E8121" s="15" t="s">
        <v>6866</v>
      </c>
    </row>
    <row r="8122" spans="2:5">
      <c r="B8122" s="15" t="s">
        <v>10372</v>
      </c>
      <c r="C8122" s="15" t="s">
        <v>10373</v>
      </c>
      <c r="D8122" s="15" t="s">
        <v>6867</v>
      </c>
      <c r="E8122" s="15" t="s">
        <v>6868</v>
      </c>
    </row>
    <row r="8123" spans="2:5">
      <c r="B8123" s="15" t="s">
        <v>10372</v>
      </c>
      <c r="C8123" s="15" t="s">
        <v>10373</v>
      </c>
      <c r="D8123" s="15" t="s">
        <v>6871</v>
      </c>
      <c r="E8123" s="15" t="s">
        <v>6872</v>
      </c>
    </row>
    <row r="8124" spans="2:5">
      <c r="B8124" s="15" t="s">
        <v>10372</v>
      </c>
      <c r="C8124" s="15" t="s">
        <v>10373</v>
      </c>
      <c r="D8124" s="15" t="s">
        <v>6873</v>
      </c>
      <c r="E8124" s="15" t="s">
        <v>6874</v>
      </c>
    </row>
    <row r="8125" spans="2:5">
      <c r="B8125" s="15" t="s">
        <v>10372</v>
      </c>
      <c r="C8125" s="15" t="s">
        <v>10373</v>
      </c>
      <c r="D8125" s="15" t="s">
        <v>6877</v>
      </c>
      <c r="E8125" s="15" t="s">
        <v>6878</v>
      </c>
    </row>
    <row r="8126" ht="15.95" spans="2:2">
      <c r="B8126" s="122" t="s">
        <v>10374</v>
      </c>
    </row>
    <row r="8127" spans="2:5">
      <c r="B8127" s="15" t="s">
        <v>10375</v>
      </c>
      <c r="C8127" s="15" t="s">
        <v>1776</v>
      </c>
      <c r="D8127" s="15" t="s">
        <v>1779</v>
      </c>
      <c r="E8127" s="15" t="s">
        <v>1780</v>
      </c>
    </row>
    <row r="8128" spans="2:5">
      <c r="B8128" s="15" t="s">
        <v>10375</v>
      </c>
      <c r="C8128" s="15" t="s">
        <v>1776</v>
      </c>
      <c r="D8128" s="15" t="s">
        <v>1781</v>
      </c>
      <c r="E8128" s="15" t="s">
        <v>1782</v>
      </c>
    </row>
    <row r="8129" spans="2:5">
      <c r="B8129" s="15" t="s">
        <v>10375</v>
      </c>
      <c r="C8129" s="15" t="s">
        <v>1776</v>
      </c>
      <c r="D8129" s="15" t="s">
        <v>10376</v>
      </c>
      <c r="E8129" s="15" t="s">
        <v>1778</v>
      </c>
    </row>
    <row r="8130" spans="2:5">
      <c r="B8130" s="15" t="s">
        <v>10375</v>
      </c>
      <c r="C8130" s="15" t="s">
        <v>1776</v>
      </c>
      <c r="D8130" s="15" t="s">
        <v>1783</v>
      </c>
      <c r="E8130" s="15" t="s">
        <v>1784</v>
      </c>
    </row>
    <row r="8131" spans="2:5">
      <c r="B8131" s="15" t="s">
        <v>10375</v>
      </c>
      <c r="C8131" s="15" t="s">
        <v>1776</v>
      </c>
      <c r="D8131" s="15" t="s">
        <v>1785</v>
      </c>
      <c r="E8131" s="15" t="s">
        <v>10377</v>
      </c>
    </row>
    <row r="8132" spans="2:5">
      <c r="B8132" s="15" t="s">
        <v>10375</v>
      </c>
      <c r="C8132" s="15" t="s">
        <v>1776</v>
      </c>
      <c r="D8132" s="15" t="s">
        <v>1252</v>
      </c>
      <c r="E8132" s="15" t="s">
        <v>1787</v>
      </c>
    </row>
    <row r="8133" spans="2:5">
      <c r="B8133" s="15" t="s">
        <v>10375</v>
      </c>
      <c r="C8133" s="15" t="s">
        <v>1776</v>
      </c>
      <c r="D8133" s="15" t="s">
        <v>1788</v>
      </c>
      <c r="E8133" s="15" t="s">
        <v>10378</v>
      </c>
    </row>
    <row r="8134" spans="2:5">
      <c r="B8134" s="15" t="s">
        <v>10375</v>
      </c>
      <c r="C8134" s="15" t="s">
        <v>1776</v>
      </c>
      <c r="D8134" s="15" t="s">
        <v>1253</v>
      </c>
      <c r="E8134" s="15" t="s">
        <v>1254</v>
      </c>
    </row>
    <row r="8135" spans="2:5">
      <c r="B8135" s="15" t="s">
        <v>10375</v>
      </c>
      <c r="C8135" s="15" t="s">
        <v>1776</v>
      </c>
      <c r="D8135" s="15" t="s">
        <v>1790</v>
      </c>
      <c r="E8135" s="15" t="s">
        <v>10379</v>
      </c>
    </row>
    <row r="8136" spans="2:5">
      <c r="B8136" s="15" t="s">
        <v>10375</v>
      </c>
      <c r="C8136" s="15" t="s">
        <v>1776</v>
      </c>
      <c r="D8136" s="15" t="s">
        <v>1255</v>
      </c>
      <c r="E8136" s="15" t="s">
        <v>10380</v>
      </c>
    </row>
    <row r="8137" spans="2:5">
      <c r="B8137" s="15" t="s">
        <v>10375</v>
      </c>
      <c r="C8137" s="15" t="s">
        <v>1776</v>
      </c>
      <c r="D8137" s="15" t="s">
        <v>1257</v>
      </c>
      <c r="E8137" s="15" t="s">
        <v>1256</v>
      </c>
    </row>
    <row r="8138" spans="2:5">
      <c r="B8138" s="15" t="s">
        <v>10375</v>
      </c>
      <c r="C8138" s="15" t="s">
        <v>1776</v>
      </c>
      <c r="D8138" s="15" t="s">
        <v>1791</v>
      </c>
      <c r="E8138" s="15" t="s">
        <v>1792</v>
      </c>
    </row>
    <row r="8139" spans="2:5">
      <c r="B8139" s="15" t="s">
        <v>10375</v>
      </c>
      <c r="C8139" s="15" t="s">
        <v>1776</v>
      </c>
      <c r="D8139" s="15" t="s">
        <v>1793</v>
      </c>
      <c r="E8139" s="15" t="s">
        <v>1794</v>
      </c>
    </row>
    <row r="8140" spans="2:5">
      <c r="B8140" s="15" t="s">
        <v>10375</v>
      </c>
      <c r="C8140" s="15" t="s">
        <v>1776</v>
      </c>
      <c r="D8140" s="15" t="s">
        <v>1795</v>
      </c>
      <c r="E8140" s="15" t="s">
        <v>10381</v>
      </c>
    </row>
    <row r="8141" spans="2:5">
      <c r="B8141" s="15" t="s">
        <v>10375</v>
      </c>
      <c r="C8141" s="15" t="s">
        <v>1776</v>
      </c>
      <c r="D8141" s="15" t="s">
        <v>1797</v>
      </c>
      <c r="E8141" s="15" t="s">
        <v>1798</v>
      </c>
    </row>
    <row r="8142" spans="2:5">
      <c r="B8142" s="15" t="s">
        <v>10375</v>
      </c>
      <c r="C8142" s="15" t="s">
        <v>1776</v>
      </c>
      <c r="D8142" s="15" t="s">
        <v>6684</v>
      </c>
      <c r="E8142" s="15" t="s">
        <v>6685</v>
      </c>
    </row>
    <row r="8143" spans="2:5">
      <c r="B8143" s="15" t="s">
        <v>10375</v>
      </c>
      <c r="C8143" s="15" t="s">
        <v>1776</v>
      </c>
      <c r="D8143" s="15" t="s">
        <v>1799</v>
      </c>
      <c r="E8143" s="15" t="s">
        <v>6686</v>
      </c>
    </row>
    <row r="8144" spans="2:5">
      <c r="B8144" s="15" t="s">
        <v>10375</v>
      </c>
      <c r="C8144" s="15" t="s">
        <v>1776</v>
      </c>
      <c r="D8144" s="15" t="s">
        <v>1801</v>
      </c>
      <c r="E8144" s="15" t="s">
        <v>10382</v>
      </c>
    </row>
    <row r="8145" spans="2:5">
      <c r="B8145" s="15" t="s">
        <v>10375</v>
      </c>
      <c r="C8145" s="15" t="s">
        <v>1776</v>
      </c>
      <c r="D8145" s="15" t="s">
        <v>4782</v>
      </c>
      <c r="E8145" s="15" t="s">
        <v>6687</v>
      </c>
    </row>
    <row r="8146" spans="2:5">
      <c r="B8146" s="15" t="s">
        <v>10375</v>
      </c>
      <c r="C8146" s="15" t="s">
        <v>1776</v>
      </c>
      <c r="D8146" s="15" t="s">
        <v>1803</v>
      </c>
      <c r="E8146" s="15" t="s">
        <v>1804</v>
      </c>
    </row>
    <row r="8147" ht="15.95" spans="2:2">
      <c r="B8147" s="122" t="s">
        <v>10383</v>
      </c>
    </row>
    <row r="8148" spans="2:5">
      <c r="B8148" s="15" t="s">
        <v>10384</v>
      </c>
      <c r="C8148" s="15" t="s">
        <v>10385</v>
      </c>
      <c r="D8148" s="15" t="s">
        <v>635</v>
      </c>
      <c r="E8148" s="15" t="s">
        <v>636</v>
      </c>
    </row>
    <row r="8149" spans="2:5">
      <c r="B8149" s="15" t="s">
        <v>10384</v>
      </c>
      <c r="C8149" s="15" t="s">
        <v>10385</v>
      </c>
      <c r="D8149" s="15" t="s">
        <v>637</v>
      </c>
      <c r="E8149" s="15" t="s">
        <v>2492</v>
      </c>
    </row>
    <row r="8150" spans="2:5">
      <c r="B8150" s="15" t="s">
        <v>10384</v>
      </c>
      <c r="C8150" s="15" t="s">
        <v>10385</v>
      </c>
      <c r="D8150" s="15" t="s">
        <v>641</v>
      </c>
      <c r="E8150" s="15" t="s">
        <v>3351</v>
      </c>
    </row>
    <row r="8151" spans="2:5">
      <c r="B8151" s="15" t="s">
        <v>10384</v>
      </c>
      <c r="C8151" s="15" t="s">
        <v>10385</v>
      </c>
      <c r="D8151" s="15" t="s">
        <v>643</v>
      </c>
      <c r="E8151" s="15" t="s">
        <v>1991</v>
      </c>
    </row>
    <row r="8152" spans="2:5">
      <c r="B8152" s="15" t="s">
        <v>10384</v>
      </c>
      <c r="C8152" s="15" t="s">
        <v>10385</v>
      </c>
      <c r="D8152" s="15" t="s">
        <v>645</v>
      </c>
      <c r="E8152" s="15" t="s">
        <v>1992</v>
      </c>
    </row>
    <row r="8153" ht="15.95" spans="2:2">
      <c r="B8153" s="122" t="s">
        <v>10386</v>
      </c>
    </row>
    <row r="8154" spans="2:5">
      <c r="B8154" s="15" t="s">
        <v>10387</v>
      </c>
      <c r="C8154" s="15" t="s">
        <v>10388</v>
      </c>
      <c r="D8154" s="15" t="s">
        <v>770</v>
      </c>
      <c r="E8154" s="15" t="s">
        <v>10389</v>
      </c>
    </row>
    <row r="8155" spans="2:5">
      <c r="B8155" s="15" t="s">
        <v>10387</v>
      </c>
      <c r="C8155" s="15" t="s">
        <v>10388</v>
      </c>
      <c r="D8155" s="15" t="s">
        <v>772</v>
      </c>
      <c r="E8155" s="15" t="s">
        <v>10390</v>
      </c>
    </row>
    <row r="8156" spans="2:5">
      <c r="B8156" s="15" t="s">
        <v>10387</v>
      </c>
      <c r="C8156" s="15" t="s">
        <v>10388</v>
      </c>
      <c r="D8156" s="15" t="s">
        <v>774</v>
      </c>
      <c r="E8156" s="15" t="s">
        <v>948</v>
      </c>
    </row>
    <row r="8157" ht="15.95" spans="2:2">
      <c r="B8157" s="122" t="s">
        <v>10391</v>
      </c>
    </row>
    <row r="8158" spans="2:5">
      <c r="B8158" s="15" t="s">
        <v>10392</v>
      </c>
      <c r="C8158" s="15" t="s">
        <v>10393</v>
      </c>
      <c r="D8158" s="15" t="s">
        <v>770</v>
      </c>
      <c r="E8158" s="15" t="s">
        <v>10394</v>
      </c>
    </row>
    <row r="8159" ht="15.95" spans="2:2">
      <c r="B8159" s="122" t="s">
        <v>10395</v>
      </c>
    </row>
    <row r="8160" spans="2:5">
      <c r="B8160" s="15" t="s">
        <v>10396</v>
      </c>
      <c r="C8160" s="15" t="s">
        <v>10397</v>
      </c>
      <c r="D8160" s="15" t="s">
        <v>770</v>
      </c>
      <c r="E8160" s="15" t="s">
        <v>10398</v>
      </c>
    </row>
    <row r="8161" spans="2:5">
      <c r="B8161" s="15" t="s">
        <v>10396</v>
      </c>
      <c r="C8161" s="15" t="s">
        <v>10397</v>
      </c>
      <c r="D8161" s="15" t="s">
        <v>772</v>
      </c>
      <c r="E8161" s="15" t="s">
        <v>10399</v>
      </c>
    </row>
    <row r="8162" spans="2:5">
      <c r="B8162" s="15" t="s">
        <v>10396</v>
      </c>
      <c r="C8162" s="15" t="s">
        <v>10397</v>
      </c>
      <c r="D8162" s="15" t="s">
        <v>774</v>
      </c>
      <c r="E8162" s="15" t="s">
        <v>10400</v>
      </c>
    </row>
    <row r="8163" spans="2:5">
      <c r="B8163" s="15" t="s">
        <v>10396</v>
      </c>
      <c r="C8163" s="15" t="s">
        <v>10397</v>
      </c>
      <c r="D8163" s="15" t="s">
        <v>828</v>
      </c>
      <c r="E8163" s="15" t="s">
        <v>10401</v>
      </c>
    </row>
    <row r="8164" spans="2:5">
      <c r="B8164" s="15" t="s">
        <v>10396</v>
      </c>
      <c r="C8164" s="15" t="s">
        <v>10397</v>
      </c>
      <c r="D8164" s="15" t="s">
        <v>901</v>
      </c>
      <c r="E8164" s="15" t="s">
        <v>10402</v>
      </c>
    </row>
    <row r="8165" spans="2:5">
      <c r="B8165" s="15" t="s">
        <v>10396</v>
      </c>
      <c r="C8165" s="15" t="s">
        <v>10397</v>
      </c>
      <c r="D8165" s="15" t="s">
        <v>776</v>
      </c>
      <c r="E8165" s="15" t="s">
        <v>10403</v>
      </c>
    </row>
    <row r="8166" spans="2:5">
      <c r="B8166" s="15" t="s">
        <v>10396</v>
      </c>
      <c r="C8166" s="15" t="s">
        <v>10397</v>
      </c>
      <c r="D8166" s="15" t="s">
        <v>1290</v>
      </c>
      <c r="E8166" s="15" t="s">
        <v>10404</v>
      </c>
    </row>
    <row r="8167" spans="2:5">
      <c r="B8167" s="15" t="s">
        <v>10396</v>
      </c>
      <c r="C8167" s="15" t="s">
        <v>10397</v>
      </c>
      <c r="D8167" s="15" t="s">
        <v>1409</v>
      </c>
      <c r="E8167" s="15" t="s">
        <v>10405</v>
      </c>
    </row>
    <row r="8168" spans="2:5">
      <c r="B8168" s="15" t="s">
        <v>10396</v>
      </c>
      <c r="C8168" s="15" t="s">
        <v>10397</v>
      </c>
      <c r="D8168" s="15" t="s">
        <v>1411</v>
      </c>
      <c r="E8168" s="15" t="s">
        <v>10406</v>
      </c>
    </row>
    <row r="8169" ht="15.95" spans="2:2">
      <c r="B8169" s="122" t="s">
        <v>10407</v>
      </c>
    </row>
    <row r="8170" spans="2:5">
      <c r="B8170" s="15" t="s">
        <v>10408</v>
      </c>
      <c r="C8170" s="15" t="s">
        <v>10409</v>
      </c>
      <c r="D8170" s="15" t="s">
        <v>770</v>
      </c>
      <c r="E8170" s="15" t="s">
        <v>10410</v>
      </c>
    </row>
    <row r="8171" spans="2:5">
      <c r="B8171" s="15" t="s">
        <v>10408</v>
      </c>
      <c r="C8171" s="15" t="s">
        <v>10409</v>
      </c>
      <c r="D8171" s="15" t="s">
        <v>772</v>
      </c>
      <c r="E8171" s="15" t="s">
        <v>10411</v>
      </c>
    </row>
    <row r="8172" ht="15.95" spans="2:2">
      <c r="B8172" s="122" t="s">
        <v>10412</v>
      </c>
    </row>
    <row r="8173" spans="2:5">
      <c r="B8173" s="15" t="s">
        <v>10413</v>
      </c>
      <c r="C8173" s="15" t="s">
        <v>10414</v>
      </c>
      <c r="D8173" s="15" t="s">
        <v>770</v>
      </c>
      <c r="E8173" s="15" t="s">
        <v>10415</v>
      </c>
    </row>
    <row r="8174" spans="2:5">
      <c r="B8174" s="15" t="s">
        <v>10413</v>
      </c>
      <c r="C8174" s="15" t="s">
        <v>10414</v>
      </c>
      <c r="D8174" s="15" t="s">
        <v>772</v>
      </c>
      <c r="E8174" s="15" t="s">
        <v>10416</v>
      </c>
    </row>
    <row r="8175" spans="2:5">
      <c r="B8175" s="15" t="s">
        <v>10413</v>
      </c>
      <c r="C8175" s="15" t="s">
        <v>10414</v>
      </c>
      <c r="D8175" s="15" t="s">
        <v>774</v>
      </c>
      <c r="E8175" s="15" t="s">
        <v>10417</v>
      </c>
    </row>
    <row r="8176" spans="2:5">
      <c r="B8176" s="15" t="s">
        <v>10413</v>
      </c>
      <c r="C8176" s="15" t="s">
        <v>10414</v>
      </c>
      <c r="D8176" s="15" t="s">
        <v>828</v>
      </c>
      <c r="E8176" s="15" t="s">
        <v>10418</v>
      </c>
    </row>
    <row r="8177" spans="2:5">
      <c r="B8177" s="15" t="s">
        <v>10413</v>
      </c>
      <c r="C8177" s="15" t="s">
        <v>10414</v>
      </c>
      <c r="D8177" s="15" t="s">
        <v>901</v>
      </c>
      <c r="E8177" s="15" t="s">
        <v>10419</v>
      </c>
    </row>
    <row r="8178" ht="15.95" spans="2:2">
      <c r="B8178" s="122" t="s">
        <v>10420</v>
      </c>
    </row>
    <row r="8179" spans="2:5">
      <c r="B8179" s="15" t="s">
        <v>10421</v>
      </c>
      <c r="C8179" s="15" t="s">
        <v>10422</v>
      </c>
      <c r="D8179" s="15" t="s">
        <v>1267</v>
      </c>
      <c r="E8179" s="15" t="s">
        <v>1268</v>
      </c>
    </row>
    <row r="8180" spans="2:5">
      <c r="B8180" s="15" t="s">
        <v>10421</v>
      </c>
      <c r="C8180" s="15" t="s">
        <v>10422</v>
      </c>
      <c r="D8180" s="15" t="s">
        <v>1269</v>
      </c>
      <c r="E8180" s="15" t="s">
        <v>1270</v>
      </c>
    </row>
    <row r="8181" ht="15.95" spans="2:2">
      <c r="B8181" s="122" t="s">
        <v>10423</v>
      </c>
    </row>
    <row r="8182" spans="2:5">
      <c r="B8182" s="15" t="s">
        <v>10424</v>
      </c>
      <c r="C8182" s="15" t="s">
        <v>10425</v>
      </c>
      <c r="D8182" s="15" t="s">
        <v>770</v>
      </c>
      <c r="E8182" s="15" t="s">
        <v>10426</v>
      </c>
    </row>
    <row r="8183" spans="2:5">
      <c r="B8183" s="15" t="s">
        <v>10424</v>
      </c>
      <c r="C8183" s="15" t="s">
        <v>10425</v>
      </c>
      <c r="D8183" s="15" t="s">
        <v>772</v>
      </c>
      <c r="E8183" s="15" t="s">
        <v>10427</v>
      </c>
    </row>
    <row r="8184" ht="15.95" spans="2:2">
      <c r="B8184" s="122" t="s">
        <v>10428</v>
      </c>
    </row>
    <row r="8185" spans="2:5">
      <c r="B8185" s="15" t="s">
        <v>10429</v>
      </c>
      <c r="C8185" s="15" t="s">
        <v>10430</v>
      </c>
      <c r="D8185" s="15" t="s">
        <v>770</v>
      </c>
      <c r="E8185" s="15" t="s">
        <v>10431</v>
      </c>
    </row>
    <row r="8186" spans="2:5">
      <c r="B8186" s="15" t="s">
        <v>10429</v>
      </c>
      <c r="C8186" s="15" t="s">
        <v>10430</v>
      </c>
      <c r="D8186" s="15" t="s">
        <v>772</v>
      </c>
      <c r="E8186" s="15" t="s">
        <v>10432</v>
      </c>
    </row>
    <row r="8187" spans="2:5">
      <c r="B8187" s="15" t="s">
        <v>10429</v>
      </c>
      <c r="C8187" s="15" t="s">
        <v>10430</v>
      </c>
      <c r="D8187" s="15" t="s">
        <v>774</v>
      </c>
      <c r="E8187" s="15" t="s">
        <v>10433</v>
      </c>
    </row>
    <row r="8188" ht="15.95" spans="2:2">
      <c r="B8188" s="122" t="s">
        <v>10434</v>
      </c>
    </row>
    <row r="8189" spans="2:5">
      <c r="B8189" s="15" t="s">
        <v>10435</v>
      </c>
      <c r="C8189" s="15" t="s">
        <v>10436</v>
      </c>
      <c r="D8189" s="15" t="s">
        <v>2324</v>
      </c>
      <c r="E8189" s="15" t="s">
        <v>10437</v>
      </c>
    </row>
    <row r="8190" spans="2:5">
      <c r="B8190" s="15" t="s">
        <v>10435</v>
      </c>
      <c r="C8190" s="15" t="s">
        <v>10436</v>
      </c>
      <c r="D8190" s="15" t="s">
        <v>8279</v>
      </c>
      <c r="E8190" s="15" t="s">
        <v>10438</v>
      </c>
    </row>
    <row r="8191" spans="2:5">
      <c r="B8191" s="15" t="s">
        <v>10435</v>
      </c>
      <c r="C8191" s="15" t="s">
        <v>10436</v>
      </c>
      <c r="D8191" s="15" t="s">
        <v>7175</v>
      </c>
      <c r="E8191" s="15" t="s">
        <v>10439</v>
      </c>
    </row>
    <row r="8192" ht="15.95" spans="2:2">
      <c r="B8192" s="122" t="s">
        <v>10440</v>
      </c>
    </row>
    <row r="8193" spans="2:5">
      <c r="B8193" s="15" t="s">
        <v>10441</v>
      </c>
      <c r="C8193" s="15" t="s">
        <v>10441</v>
      </c>
      <c r="D8193" s="15" t="s">
        <v>723</v>
      </c>
      <c r="E8193" s="15" t="s">
        <v>3082</v>
      </c>
    </row>
    <row r="8194" spans="2:5">
      <c r="B8194" s="15" t="s">
        <v>10441</v>
      </c>
      <c r="C8194" s="15" t="s">
        <v>10441</v>
      </c>
      <c r="D8194" s="15" t="s">
        <v>725</v>
      </c>
      <c r="E8194" s="15" t="s">
        <v>10442</v>
      </c>
    </row>
    <row r="8195" spans="2:5">
      <c r="B8195" s="15" t="s">
        <v>10441</v>
      </c>
      <c r="C8195" s="15" t="s">
        <v>10441</v>
      </c>
      <c r="D8195" s="15" t="s">
        <v>727</v>
      </c>
      <c r="E8195" s="15" t="s">
        <v>10443</v>
      </c>
    </row>
    <row r="8196" spans="2:5">
      <c r="B8196" s="15" t="s">
        <v>10441</v>
      </c>
      <c r="C8196" s="15" t="s">
        <v>10441</v>
      </c>
      <c r="D8196" s="15" t="s">
        <v>729</v>
      </c>
      <c r="E8196" s="15" t="s">
        <v>10444</v>
      </c>
    </row>
    <row r="8197" spans="2:5">
      <c r="B8197" s="15" t="s">
        <v>10441</v>
      </c>
      <c r="C8197" s="15" t="s">
        <v>10441</v>
      </c>
      <c r="D8197" s="15" t="s">
        <v>760</v>
      </c>
      <c r="E8197" s="15" t="s">
        <v>1957</v>
      </c>
    </row>
    <row r="8198" ht="15.95" spans="2:2">
      <c r="B8198" s="122" t="s">
        <v>10445</v>
      </c>
    </row>
    <row r="8199" spans="2:5">
      <c r="B8199" s="15" t="s">
        <v>10446</v>
      </c>
      <c r="C8199" s="15" t="s">
        <v>10447</v>
      </c>
      <c r="D8199" s="15" t="s">
        <v>770</v>
      </c>
      <c r="E8199" s="15" t="s">
        <v>10448</v>
      </c>
    </row>
    <row r="8200" spans="2:5">
      <c r="B8200" s="15" t="s">
        <v>10446</v>
      </c>
      <c r="C8200" s="15" t="s">
        <v>10447</v>
      </c>
      <c r="D8200" s="15" t="s">
        <v>772</v>
      </c>
      <c r="E8200" s="15" t="s">
        <v>10449</v>
      </c>
    </row>
    <row r="8201" ht="15.95" spans="2:2">
      <c r="B8201" s="122" t="s">
        <v>10450</v>
      </c>
    </row>
    <row r="8202" spans="2:5">
      <c r="B8202" s="15" t="s">
        <v>10451</v>
      </c>
      <c r="C8202" s="15" t="s">
        <v>10452</v>
      </c>
      <c r="D8202" s="15" t="s">
        <v>723</v>
      </c>
      <c r="E8202" s="15" t="s">
        <v>10453</v>
      </c>
    </row>
    <row r="8203" spans="2:5">
      <c r="B8203" s="15" t="s">
        <v>10451</v>
      </c>
      <c r="C8203" s="15" t="s">
        <v>10452</v>
      </c>
      <c r="D8203" s="15" t="s">
        <v>725</v>
      </c>
      <c r="E8203" s="15" t="s">
        <v>10454</v>
      </c>
    </row>
    <row r="8204" spans="2:5">
      <c r="B8204" s="15" t="s">
        <v>10451</v>
      </c>
      <c r="C8204" s="15" t="s">
        <v>10452</v>
      </c>
      <c r="D8204" s="15" t="s">
        <v>727</v>
      </c>
      <c r="E8204" s="15" t="s">
        <v>10455</v>
      </c>
    </row>
    <row r="8205" ht="15.95" spans="2:2">
      <c r="B8205" s="122" t="s">
        <v>10456</v>
      </c>
    </row>
    <row r="8206" spans="2:5">
      <c r="B8206" s="15" t="s">
        <v>10457</v>
      </c>
      <c r="C8206" s="15" t="s">
        <v>10458</v>
      </c>
      <c r="D8206" s="15" t="s">
        <v>635</v>
      </c>
      <c r="E8206" s="15" t="s">
        <v>10459</v>
      </c>
    </row>
    <row r="8207" spans="2:5">
      <c r="B8207" s="15" t="s">
        <v>10457</v>
      </c>
      <c r="C8207" s="15" t="s">
        <v>10458</v>
      </c>
      <c r="D8207" s="15" t="s">
        <v>659</v>
      </c>
      <c r="E8207" s="15" t="s">
        <v>10460</v>
      </c>
    </row>
    <row r="8208" spans="2:5">
      <c r="B8208" s="15" t="s">
        <v>10457</v>
      </c>
      <c r="C8208" s="15" t="s">
        <v>10458</v>
      </c>
      <c r="D8208" s="15" t="s">
        <v>2479</v>
      </c>
      <c r="E8208" s="15" t="s">
        <v>235</v>
      </c>
    </row>
    <row r="8209" ht="15.95" spans="2:2">
      <c r="B8209" s="122" t="s">
        <v>10461</v>
      </c>
    </row>
    <row r="8210" spans="2:5">
      <c r="B8210" s="15" t="s">
        <v>10462</v>
      </c>
      <c r="C8210" s="15" t="s">
        <v>10462</v>
      </c>
      <c r="D8210" s="15" t="s">
        <v>723</v>
      </c>
      <c r="E8210" s="15" t="s">
        <v>1713</v>
      </c>
    </row>
    <row r="8211" spans="2:5">
      <c r="B8211" s="15" t="s">
        <v>10462</v>
      </c>
      <c r="C8211" s="15" t="s">
        <v>10462</v>
      </c>
      <c r="D8211" s="15" t="s">
        <v>725</v>
      </c>
      <c r="E8211" s="15" t="s">
        <v>1712</v>
      </c>
    </row>
    <row r="8212" ht="15.95" spans="2:2">
      <c r="B8212" s="122" t="s">
        <v>10463</v>
      </c>
    </row>
    <row r="8213" spans="2:5">
      <c r="B8213" s="15" t="s">
        <v>10464</v>
      </c>
      <c r="C8213" s="15" t="s">
        <v>896</v>
      </c>
      <c r="D8213" s="15" t="s">
        <v>723</v>
      </c>
      <c r="E8213" s="15" t="s">
        <v>10465</v>
      </c>
    </row>
    <row r="8214" spans="2:5">
      <c r="B8214" s="15" t="s">
        <v>10464</v>
      </c>
      <c r="C8214" s="15" t="s">
        <v>896</v>
      </c>
      <c r="D8214" s="15" t="s">
        <v>725</v>
      </c>
      <c r="E8214" s="15" t="s">
        <v>10466</v>
      </c>
    </row>
    <row r="8215" spans="2:5">
      <c r="B8215" s="15" t="s">
        <v>10464</v>
      </c>
      <c r="C8215" s="15" t="s">
        <v>896</v>
      </c>
      <c r="D8215" s="15" t="s">
        <v>727</v>
      </c>
      <c r="E8215" s="15" t="s">
        <v>10467</v>
      </c>
    </row>
    <row r="8216" spans="2:5">
      <c r="B8216" s="15" t="s">
        <v>10464</v>
      </c>
      <c r="C8216" s="15" t="s">
        <v>896</v>
      </c>
      <c r="D8216" s="15" t="s">
        <v>729</v>
      </c>
      <c r="E8216" s="15" t="s">
        <v>10468</v>
      </c>
    </row>
    <row r="8217" spans="2:5">
      <c r="B8217" s="15" t="s">
        <v>10464</v>
      </c>
      <c r="C8217" s="15" t="s">
        <v>896</v>
      </c>
      <c r="D8217" s="15" t="s">
        <v>760</v>
      </c>
      <c r="E8217" s="15" t="s">
        <v>10469</v>
      </c>
    </row>
    <row r="8218" ht="15.95" spans="2:2">
      <c r="B8218" s="122" t="s">
        <v>10470</v>
      </c>
    </row>
    <row r="8219" spans="2:5">
      <c r="B8219" s="15" t="s">
        <v>10471</v>
      </c>
      <c r="C8219" s="15" t="s">
        <v>10472</v>
      </c>
      <c r="D8219" s="15" t="s">
        <v>723</v>
      </c>
      <c r="E8219" s="15" t="s">
        <v>10473</v>
      </c>
    </row>
    <row r="8220" spans="2:5">
      <c r="B8220" s="15" t="s">
        <v>10471</v>
      </c>
      <c r="C8220" s="15" t="s">
        <v>10472</v>
      </c>
      <c r="D8220" s="15" t="s">
        <v>725</v>
      </c>
      <c r="E8220" s="15" t="s">
        <v>10474</v>
      </c>
    </row>
    <row r="8221" spans="2:5">
      <c r="B8221" s="15" t="s">
        <v>10471</v>
      </c>
      <c r="C8221" s="15" t="s">
        <v>10472</v>
      </c>
      <c r="D8221" s="15" t="s">
        <v>727</v>
      </c>
      <c r="E8221" s="15" t="s">
        <v>10475</v>
      </c>
    </row>
    <row r="8222" ht="15.95" spans="2:2">
      <c r="B8222" s="122" t="s">
        <v>10476</v>
      </c>
    </row>
    <row r="8223" spans="2:5">
      <c r="B8223" s="15" t="s">
        <v>10477</v>
      </c>
      <c r="C8223" s="15" t="s">
        <v>10478</v>
      </c>
      <c r="D8223" s="15" t="s">
        <v>635</v>
      </c>
      <c r="E8223" s="15" t="s">
        <v>8816</v>
      </c>
    </row>
    <row r="8224" spans="2:5">
      <c r="B8224" s="15" t="s">
        <v>10477</v>
      </c>
      <c r="C8224" s="15" t="s">
        <v>10478</v>
      </c>
      <c r="D8224" s="15" t="s">
        <v>659</v>
      </c>
      <c r="E8224" s="15" t="s">
        <v>8817</v>
      </c>
    </row>
    <row r="8225" spans="2:5">
      <c r="B8225" s="15" t="s">
        <v>10477</v>
      </c>
      <c r="C8225" s="15" t="s">
        <v>10478</v>
      </c>
      <c r="D8225" s="15" t="s">
        <v>679</v>
      </c>
      <c r="E8225" s="15" t="s">
        <v>8818</v>
      </c>
    </row>
    <row r="8226" spans="2:5">
      <c r="B8226" s="15" t="s">
        <v>10477</v>
      </c>
      <c r="C8226" s="15" t="s">
        <v>10478</v>
      </c>
      <c r="D8226" s="15" t="s">
        <v>705</v>
      </c>
      <c r="E8226" s="15" t="s">
        <v>8819</v>
      </c>
    </row>
    <row r="8227" spans="2:5">
      <c r="B8227" s="15" t="s">
        <v>10477</v>
      </c>
      <c r="C8227" s="15" t="s">
        <v>10478</v>
      </c>
      <c r="D8227" s="15" t="s">
        <v>709</v>
      </c>
      <c r="E8227" s="15" t="s">
        <v>8820</v>
      </c>
    </row>
    <row r="8228" spans="2:5">
      <c r="B8228" s="15" t="s">
        <v>10477</v>
      </c>
      <c r="C8228" s="15" t="s">
        <v>10478</v>
      </c>
      <c r="D8228" s="15" t="s">
        <v>838</v>
      </c>
      <c r="E8228" s="15" t="s">
        <v>8821</v>
      </c>
    </row>
    <row r="8229" spans="2:5">
      <c r="B8229" s="15" t="s">
        <v>10477</v>
      </c>
      <c r="C8229" s="15" t="s">
        <v>10478</v>
      </c>
      <c r="D8229" s="15" t="s">
        <v>840</v>
      </c>
      <c r="E8229" s="15" t="s">
        <v>8822</v>
      </c>
    </row>
    <row r="8230" ht="15.95" spans="2:2">
      <c r="B8230" s="122" t="s">
        <v>10479</v>
      </c>
    </row>
    <row r="8231" spans="2:5">
      <c r="B8231" s="15" t="s">
        <v>10480</v>
      </c>
      <c r="C8231" s="15" t="s">
        <v>896</v>
      </c>
      <c r="D8231" s="15" t="s">
        <v>770</v>
      </c>
      <c r="E8231" s="15" t="s">
        <v>5621</v>
      </c>
    </row>
    <row r="8232" spans="2:5">
      <c r="B8232" s="15" t="s">
        <v>10480</v>
      </c>
      <c r="C8232" s="15" t="s">
        <v>896</v>
      </c>
      <c r="D8232" s="15" t="s">
        <v>772</v>
      </c>
      <c r="E8232" s="15" t="s">
        <v>5622</v>
      </c>
    </row>
    <row r="8233" spans="2:5">
      <c r="B8233" s="15" t="s">
        <v>10480</v>
      </c>
      <c r="C8233" s="15" t="s">
        <v>896</v>
      </c>
      <c r="D8233" s="15" t="s">
        <v>774</v>
      </c>
      <c r="E8233" s="15" t="s">
        <v>5623</v>
      </c>
    </row>
    <row r="8234" spans="2:5">
      <c r="B8234" s="15" t="s">
        <v>10480</v>
      </c>
      <c r="C8234" s="15" t="s">
        <v>896</v>
      </c>
      <c r="D8234" s="15" t="s">
        <v>828</v>
      </c>
      <c r="E8234" s="15" t="s">
        <v>5032</v>
      </c>
    </row>
    <row r="8235" ht="15.95" spans="2:2">
      <c r="B8235" s="122" t="s">
        <v>10481</v>
      </c>
    </row>
    <row r="8236" spans="2:5">
      <c r="B8236" s="15" t="s">
        <v>10482</v>
      </c>
      <c r="C8236" s="15" t="s">
        <v>10483</v>
      </c>
      <c r="D8236" s="15" t="s">
        <v>723</v>
      </c>
      <c r="E8236" s="15" t="s">
        <v>10484</v>
      </c>
    </row>
    <row r="8237" spans="2:5">
      <c r="B8237" s="15" t="s">
        <v>10482</v>
      </c>
      <c r="C8237" s="15" t="s">
        <v>10483</v>
      </c>
      <c r="D8237" s="15" t="s">
        <v>725</v>
      </c>
      <c r="E8237" s="15" t="s">
        <v>10485</v>
      </c>
    </row>
    <row r="8238" spans="2:5">
      <c r="B8238" s="15" t="s">
        <v>10482</v>
      </c>
      <c r="C8238" s="15" t="s">
        <v>10483</v>
      </c>
      <c r="D8238" s="15" t="s">
        <v>727</v>
      </c>
      <c r="E8238" s="15" t="s">
        <v>10486</v>
      </c>
    </row>
    <row r="8239" spans="2:5">
      <c r="B8239" s="15" t="s">
        <v>10482</v>
      </c>
      <c r="C8239" s="15" t="s">
        <v>10483</v>
      </c>
      <c r="D8239" s="15" t="s">
        <v>729</v>
      </c>
      <c r="E8239" s="15" t="s">
        <v>3000</v>
      </c>
    </row>
    <row r="8240" ht="15.95" spans="2:2">
      <c r="B8240" s="122" t="s">
        <v>10487</v>
      </c>
    </row>
    <row r="8241" spans="2:5">
      <c r="B8241" s="15" t="s">
        <v>10488</v>
      </c>
      <c r="C8241" s="15" t="s">
        <v>10489</v>
      </c>
      <c r="D8241" s="15" t="s">
        <v>933</v>
      </c>
      <c r="E8241" s="15" t="s">
        <v>8589</v>
      </c>
    </row>
    <row r="8242" spans="2:5">
      <c r="B8242" s="15" t="s">
        <v>10488</v>
      </c>
      <c r="C8242" s="15" t="s">
        <v>10489</v>
      </c>
      <c r="D8242" s="15" t="s">
        <v>937</v>
      </c>
      <c r="E8242" s="15" t="s">
        <v>6603</v>
      </c>
    </row>
    <row r="8243" ht="15.95" spans="2:2">
      <c r="B8243" s="122" t="s">
        <v>10490</v>
      </c>
    </row>
    <row r="8244" spans="2:5">
      <c r="B8244" s="15" t="s">
        <v>10491</v>
      </c>
      <c r="C8244" s="15" t="s">
        <v>10492</v>
      </c>
      <c r="D8244" s="15" t="s">
        <v>770</v>
      </c>
      <c r="E8244" s="15" t="s">
        <v>10493</v>
      </c>
    </row>
    <row r="8245" spans="2:5">
      <c r="B8245" s="15" t="s">
        <v>10491</v>
      </c>
      <c r="C8245" s="15" t="s">
        <v>10492</v>
      </c>
      <c r="D8245" s="15" t="s">
        <v>772</v>
      </c>
      <c r="E8245" s="15" t="s">
        <v>10494</v>
      </c>
    </row>
    <row r="8246" ht="15.95" spans="2:2">
      <c r="B8246" s="122" t="s">
        <v>10495</v>
      </c>
    </row>
    <row r="8247" spans="2:5">
      <c r="B8247" s="15" t="s">
        <v>10496</v>
      </c>
      <c r="C8247" s="15" t="s">
        <v>10497</v>
      </c>
      <c r="D8247" s="15" t="s">
        <v>635</v>
      </c>
      <c r="E8247" s="15" t="s">
        <v>10498</v>
      </c>
    </row>
    <row r="8248" spans="2:5">
      <c r="B8248" s="15" t="s">
        <v>10496</v>
      </c>
      <c r="C8248" s="15" t="s">
        <v>10497</v>
      </c>
      <c r="D8248" s="15" t="s">
        <v>659</v>
      </c>
      <c r="E8248" s="15" t="s">
        <v>10499</v>
      </c>
    </row>
    <row r="8249" ht="15.95" spans="2:2">
      <c r="B8249" s="122" t="s">
        <v>10500</v>
      </c>
    </row>
    <row r="8250" spans="2:5">
      <c r="B8250" s="15" t="s">
        <v>10501</v>
      </c>
      <c r="C8250" s="15" t="s">
        <v>10502</v>
      </c>
      <c r="D8250" s="15" t="s">
        <v>10503</v>
      </c>
      <c r="E8250" s="15" t="s">
        <v>10504</v>
      </c>
    </row>
    <row r="8251" spans="2:5">
      <c r="B8251" s="15" t="s">
        <v>10501</v>
      </c>
      <c r="C8251" s="15" t="s">
        <v>10502</v>
      </c>
      <c r="D8251" s="15" t="s">
        <v>10505</v>
      </c>
      <c r="E8251" s="15" t="s">
        <v>10506</v>
      </c>
    </row>
    <row r="8252" spans="2:5">
      <c r="B8252" s="15" t="s">
        <v>10501</v>
      </c>
      <c r="C8252" s="15" t="s">
        <v>10502</v>
      </c>
      <c r="D8252" s="15" t="s">
        <v>10507</v>
      </c>
      <c r="E8252" s="15" t="s">
        <v>10508</v>
      </c>
    </row>
    <row r="8253" spans="2:5">
      <c r="B8253" s="15" t="s">
        <v>10501</v>
      </c>
      <c r="C8253" s="15" t="s">
        <v>10502</v>
      </c>
      <c r="D8253" s="15" t="s">
        <v>10509</v>
      </c>
      <c r="E8253" s="15" t="s">
        <v>10510</v>
      </c>
    </row>
    <row r="8254" spans="2:5">
      <c r="B8254" s="15" t="s">
        <v>10501</v>
      </c>
      <c r="C8254" s="15" t="s">
        <v>10502</v>
      </c>
      <c r="D8254" s="15" t="s">
        <v>10511</v>
      </c>
      <c r="E8254" s="15" t="s">
        <v>10512</v>
      </c>
    </row>
    <row r="8255" spans="2:5">
      <c r="B8255" s="15" t="s">
        <v>10501</v>
      </c>
      <c r="C8255" s="15" t="s">
        <v>10502</v>
      </c>
      <c r="D8255" s="15" t="s">
        <v>10513</v>
      </c>
      <c r="E8255" s="15" t="s">
        <v>10514</v>
      </c>
    </row>
    <row r="8256" spans="2:5">
      <c r="B8256" s="15" t="s">
        <v>10501</v>
      </c>
      <c r="C8256" s="15" t="s">
        <v>10502</v>
      </c>
      <c r="D8256" s="15" t="s">
        <v>10515</v>
      </c>
      <c r="E8256" s="15" t="s">
        <v>10516</v>
      </c>
    </row>
    <row r="8257" spans="2:5">
      <c r="B8257" s="15" t="s">
        <v>10501</v>
      </c>
      <c r="C8257" s="15" t="s">
        <v>10502</v>
      </c>
      <c r="D8257" s="15" t="s">
        <v>10517</v>
      </c>
      <c r="E8257" s="15" t="s">
        <v>10518</v>
      </c>
    </row>
    <row r="8258" spans="2:5">
      <c r="B8258" s="15" t="s">
        <v>10501</v>
      </c>
      <c r="C8258" s="15" t="s">
        <v>10502</v>
      </c>
      <c r="D8258" s="15" t="s">
        <v>10519</v>
      </c>
      <c r="E8258" s="15" t="s">
        <v>10520</v>
      </c>
    </row>
    <row r="8259" spans="2:5">
      <c r="B8259" s="15" t="s">
        <v>10501</v>
      </c>
      <c r="C8259" s="15" t="s">
        <v>10502</v>
      </c>
      <c r="D8259" s="15" t="s">
        <v>10521</v>
      </c>
      <c r="E8259" s="15" t="s">
        <v>10522</v>
      </c>
    </row>
    <row r="8260" spans="2:5">
      <c r="B8260" s="15" t="s">
        <v>10501</v>
      </c>
      <c r="C8260" s="15" t="s">
        <v>10502</v>
      </c>
      <c r="D8260" s="15" t="s">
        <v>10523</v>
      </c>
      <c r="E8260" s="15" t="s">
        <v>10524</v>
      </c>
    </row>
    <row r="8261" spans="2:5">
      <c r="B8261" s="15" t="s">
        <v>10501</v>
      </c>
      <c r="C8261" s="15" t="s">
        <v>10502</v>
      </c>
      <c r="D8261" s="15" t="s">
        <v>10525</v>
      </c>
      <c r="E8261" s="15" t="s">
        <v>10526</v>
      </c>
    </row>
    <row r="8262" spans="2:5">
      <c r="B8262" s="15" t="s">
        <v>10501</v>
      </c>
      <c r="C8262" s="15" t="s">
        <v>10502</v>
      </c>
      <c r="D8262" s="15" t="s">
        <v>10527</v>
      </c>
      <c r="E8262" s="15" t="s">
        <v>10528</v>
      </c>
    </row>
    <row r="8263" spans="2:5">
      <c r="B8263" s="15" t="s">
        <v>10501</v>
      </c>
      <c r="C8263" s="15" t="s">
        <v>10502</v>
      </c>
      <c r="D8263" s="15" t="s">
        <v>10529</v>
      </c>
      <c r="E8263" s="15" t="s">
        <v>10530</v>
      </c>
    </row>
    <row r="8264" spans="2:5">
      <c r="B8264" s="15" t="s">
        <v>10501</v>
      </c>
      <c r="C8264" s="15" t="s">
        <v>10502</v>
      </c>
      <c r="D8264" s="15" t="s">
        <v>10531</v>
      </c>
      <c r="E8264" s="15" t="s">
        <v>10532</v>
      </c>
    </row>
    <row r="8265" spans="2:5">
      <c r="B8265" s="15" t="s">
        <v>10501</v>
      </c>
      <c r="C8265" s="15" t="s">
        <v>10502</v>
      </c>
      <c r="D8265" s="15" t="s">
        <v>10533</v>
      </c>
      <c r="E8265" s="15" t="s">
        <v>10534</v>
      </c>
    </row>
    <row r="8266" spans="2:5">
      <c r="B8266" s="15" t="s">
        <v>10501</v>
      </c>
      <c r="C8266" s="15" t="s">
        <v>10502</v>
      </c>
      <c r="D8266" s="15" t="s">
        <v>10535</v>
      </c>
      <c r="E8266" s="15" t="s">
        <v>10536</v>
      </c>
    </row>
    <row r="8267" spans="2:5">
      <c r="B8267" s="15" t="s">
        <v>10501</v>
      </c>
      <c r="C8267" s="15" t="s">
        <v>10502</v>
      </c>
      <c r="D8267" s="15" t="s">
        <v>10537</v>
      </c>
      <c r="E8267" s="15" t="s">
        <v>10538</v>
      </c>
    </row>
    <row r="8268" spans="2:5">
      <c r="B8268" s="15" t="s">
        <v>10501</v>
      </c>
      <c r="C8268" s="15" t="s">
        <v>10502</v>
      </c>
      <c r="D8268" s="15" t="s">
        <v>10539</v>
      </c>
      <c r="E8268" s="15" t="s">
        <v>10540</v>
      </c>
    </row>
    <row r="8269" spans="2:5">
      <c r="B8269" s="15" t="s">
        <v>10501</v>
      </c>
      <c r="C8269" s="15" t="s">
        <v>10502</v>
      </c>
      <c r="D8269" s="15" t="s">
        <v>10541</v>
      </c>
      <c r="E8269" s="15" t="s">
        <v>10542</v>
      </c>
    </row>
    <row r="8270" ht="15.95" spans="2:2">
      <c r="B8270" s="122" t="s">
        <v>10543</v>
      </c>
    </row>
    <row r="8271" spans="2:5">
      <c r="B8271" s="15" t="s">
        <v>10544</v>
      </c>
      <c r="C8271" s="15" t="s">
        <v>10545</v>
      </c>
      <c r="D8271" s="15" t="s">
        <v>770</v>
      </c>
      <c r="E8271" s="15" t="s">
        <v>10546</v>
      </c>
    </row>
    <row r="8272" spans="2:5">
      <c r="B8272" s="15" t="s">
        <v>10544</v>
      </c>
      <c r="C8272" s="15" t="s">
        <v>10545</v>
      </c>
      <c r="D8272" s="15" t="s">
        <v>772</v>
      </c>
      <c r="E8272" s="15" t="s">
        <v>10547</v>
      </c>
    </row>
    <row r="8273" spans="2:5">
      <c r="B8273" s="15" t="s">
        <v>10544</v>
      </c>
      <c r="C8273" s="15" t="s">
        <v>10545</v>
      </c>
      <c r="D8273" s="15" t="s">
        <v>774</v>
      </c>
      <c r="E8273" s="15" t="s">
        <v>10548</v>
      </c>
    </row>
    <row r="8274" spans="2:5">
      <c r="B8274" s="15" t="s">
        <v>10544</v>
      </c>
      <c r="C8274" s="15" t="s">
        <v>10545</v>
      </c>
      <c r="D8274" s="15" t="s">
        <v>828</v>
      </c>
      <c r="E8274" s="15" t="s">
        <v>10549</v>
      </c>
    </row>
    <row r="8275" spans="2:5">
      <c r="B8275" s="15" t="s">
        <v>10544</v>
      </c>
      <c r="C8275" s="15" t="s">
        <v>10545</v>
      </c>
      <c r="D8275" s="15" t="s">
        <v>901</v>
      </c>
      <c r="E8275" s="15" t="s">
        <v>10550</v>
      </c>
    </row>
    <row r="8276" ht="15.95" spans="2:2">
      <c r="B8276" s="122" t="s">
        <v>10551</v>
      </c>
    </row>
    <row r="8277" spans="2:5">
      <c r="B8277" s="15" t="s">
        <v>10552</v>
      </c>
      <c r="C8277" s="15" t="s">
        <v>10552</v>
      </c>
      <c r="D8277" s="15" t="s">
        <v>723</v>
      </c>
      <c r="E8277" s="15" t="s">
        <v>7285</v>
      </c>
    </row>
    <row r="8278" spans="2:5">
      <c r="B8278" s="15" t="s">
        <v>10552</v>
      </c>
      <c r="C8278" s="15" t="s">
        <v>10552</v>
      </c>
      <c r="D8278" s="15" t="s">
        <v>725</v>
      </c>
      <c r="E8278" s="15" t="s">
        <v>7286</v>
      </c>
    </row>
    <row r="8279" ht="15.95" spans="2:2">
      <c r="B8279" s="122" t="s">
        <v>10553</v>
      </c>
    </row>
    <row r="8280" spans="2:5">
      <c r="B8280" s="15" t="s">
        <v>10554</v>
      </c>
      <c r="C8280" s="15" t="s">
        <v>1089</v>
      </c>
      <c r="D8280" s="15" t="s">
        <v>917</v>
      </c>
      <c r="E8280" s="15" t="s">
        <v>918</v>
      </c>
    </row>
    <row r="8281" spans="2:5">
      <c r="B8281" s="15" t="s">
        <v>10554</v>
      </c>
      <c r="C8281" s="15" t="s">
        <v>1089</v>
      </c>
      <c r="D8281" s="15" t="s">
        <v>919</v>
      </c>
      <c r="E8281" s="15" t="s">
        <v>1090</v>
      </c>
    </row>
    <row r="8282" spans="2:5">
      <c r="B8282" s="15" t="s">
        <v>10554</v>
      </c>
      <c r="C8282" s="15" t="s">
        <v>1089</v>
      </c>
      <c r="D8282" s="15" t="s">
        <v>1091</v>
      </c>
      <c r="E8282" s="15" t="s">
        <v>1092</v>
      </c>
    </row>
    <row r="8283" spans="2:5">
      <c r="B8283" s="15" t="s">
        <v>10554</v>
      </c>
      <c r="C8283" s="15" t="s">
        <v>1089</v>
      </c>
      <c r="D8283" s="15" t="s">
        <v>921</v>
      </c>
      <c r="E8283" s="15" t="s">
        <v>1093</v>
      </c>
    </row>
    <row r="8284" spans="2:5">
      <c r="B8284" s="15" t="s">
        <v>10554</v>
      </c>
      <c r="C8284" s="15" t="s">
        <v>1089</v>
      </c>
      <c r="D8284" s="15" t="s">
        <v>923</v>
      </c>
      <c r="E8284" s="15" t="s">
        <v>1094</v>
      </c>
    </row>
    <row r="8285" spans="2:5">
      <c r="B8285" s="15" t="s">
        <v>10554</v>
      </c>
      <c r="C8285" s="15" t="s">
        <v>1089</v>
      </c>
      <c r="D8285" s="15" t="s">
        <v>1095</v>
      </c>
      <c r="E8285" s="15" t="s">
        <v>1096</v>
      </c>
    </row>
    <row r="8286" ht="15.95" spans="2:2">
      <c r="B8286" s="122" t="s">
        <v>10555</v>
      </c>
    </row>
    <row r="8287" spans="2:5">
      <c r="B8287" s="15" t="s">
        <v>10556</v>
      </c>
      <c r="C8287" s="15" t="s">
        <v>10557</v>
      </c>
      <c r="D8287" s="15" t="s">
        <v>635</v>
      </c>
      <c r="E8287" s="15" t="s">
        <v>10558</v>
      </c>
    </row>
    <row r="8288" spans="2:5">
      <c r="B8288" s="15" t="s">
        <v>10556</v>
      </c>
      <c r="C8288" s="15" t="s">
        <v>10557</v>
      </c>
      <c r="D8288" s="15" t="s">
        <v>659</v>
      </c>
      <c r="E8288" s="15" t="s">
        <v>10559</v>
      </c>
    </row>
    <row r="8289" spans="2:5">
      <c r="B8289" s="15" t="s">
        <v>10556</v>
      </c>
      <c r="C8289" s="15" t="s">
        <v>10557</v>
      </c>
      <c r="D8289" s="15" t="s">
        <v>679</v>
      </c>
      <c r="E8289" s="15" t="s">
        <v>10560</v>
      </c>
    </row>
    <row r="8290" ht="15.95" spans="2:2">
      <c r="B8290" s="122" t="s">
        <v>10561</v>
      </c>
    </row>
    <row r="8291" spans="2:5">
      <c r="B8291" s="15" t="s">
        <v>10562</v>
      </c>
      <c r="C8291" s="15" t="s">
        <v>1222</v>
      </c>
      <c r="D8291" s="15" t="s">
        <v>635</v>
      </c>
      <c r="E8291" s="15" t="s">
        <v>1223</v>
      </c>
    </row>
    <row r="8292" spans="2:5">
      <c r="B8292" s="15" t="s">
        <v>10562</v>
      </c>
      <c r="C8292" s="15" t="s">
        <v>1222</v>
      </c>
      <c r="D8292" s="15" t="s">
        <v>659</v>
      </c>
      <c r="E8292" s="15" t="s">
        <v>1224</v>
      </c>
    </row>
    <row r="8293" spans="2:5">
      <c r="B8293" s="15" t="s">
        <v>10562</v>
      </c>
      <c r="C8293" s="15" t="s">
        <v>1222</v>
      </c>
      <c r="D8293" s="15" t="s">
        <v>679</v>
      </c>
      <c r="E8293" s="15" t="s">
        <v>1225</v>
      </c>
    </row>
    <row r="8294" spans="2:5">
      <c r="B8294" s="15" t="s">
        <v>10562</v>
      </c>
      <c r="C8294" s="15" t="s">
        <v>1222</v>
      </c>
      <c r="D8294" s="15" t="s">
        <v>705</v>
      </c>
      <c r="E8294" s="15" t="s">
        <v>1226</v>
      </c>
    </row>
    <row r="8295" spans="2:5">
      <c r="B8295" s="15" t="s">
        <v>10562</v>
      </c>
      <c r="C8295" s="15" t="s">
        <v>1222</v>
      </c>
      <c r="D8295" s="15" t="s">
        <v>709</v>
      </c>
      <c r="E8295" s="15" t="s">
        <v>1227</v>
      </c>
    </row>
    <row r="8296" spans="2:5">
      <c r="B8296" s="15" t="s">
        <v>10562</v>
      </c>
      <c r="C8296" s="15" t="s">
        <v>1222</v>
      </c>
      <c r="D8296" s="15" t="s">
        <v>1230</v>
      </c>
      <c r="E8296" s="15" t="s">
        <v>10563</v>
      </c>
    </row>
    <row r="8297" spans="2:5">
      <c r="B8297" s="15" t="s">
        <v>10562</v>
      </c>
      <c r="C8297" s="15" t="s">
        <v>1222</v>
      </c>
      <c r="D8297" s="15" t="s">
        <v>1232</v>
      </c>
      <c r="E8297" s="15" t="s">
        <v>1231</v>
      </c>
    </row>
    <row r="8298" spans="2:5">
      <c r="B8298" s="15" t="s">
        <v>10562</v>
      </c>
      <c r="C8298" s="15" t="s">
        <v>1222</v>
      </c>
      <c r="D8298" s="15" t="s">
        <v>1234</v>
      </c>
      <c r="E8298" s="15" t="s">
        <v>1233</v>
      </c>
    </row>
    <row r="8299" spans="2:5">
      <c r="B8299" s="15" t="s">
        <v>10562</v>
      </c>
      <c r="C8299" s="15" t="s">
        <v>1222</v>
      </c>
      <c r="D8299" s="15" t="s">
        <v>1236</v>
      </c>
      <c r="E8299" s="15" t="s">
        <v>1235</v>
      </c>
    </row>
    <row r="8300" spans="2:5">
      <c r="B8300" s="15" t="s">
        <v>10562</v>
      </c>
      <c r="C8300" s="15" t="s">
        <v>1222</v>
      </c>
      <c r="D8300" s="15" t="s">
        <v>10564</v>
      </c>
      <c r="E8300" s="15" t="s">
        <v>1237</v>
      </c>
    </row>
    <row r="8301" ht="15.95" spans="2:2">
      <c r="B8301" s="122" t="s">
        <v>10565</v>
      </c>
    </row>
    <row r="8302" spans="2:5">
      <c r="B8302" s="15" t="s">
        <v>10566</v>
      </c>
      <c r="C8302" s="15" t="s">
        <v>879</v>
      </c>
      <c r="D8302" s="15" t="s">
        <v>770</v>
      </c>
      <c r="E8302" s="15" t="s">
        <v>6066</v>
      </c>
    </row>
    <row r="8303" spans="2:5">
      <c r="B8303" s="15" t="s">
        <v>10566</v>
      </c>
      <c r="C8303" s="15" t="s">
        <v>879</v>
      </c>
      <c r="D8303" s="15" t="s">
        <v>772</v>
      </c>
      <c r="E8303" s="15" t="s">
        <v>6067</v>
      </c>
    </row>
    <row r="8304" spans="2:5">
      <c r="B8304" s="15" t="s">
        <v>10566</v>
      </c>
      <c r="C8304" s="15" t="s">
        <v>879</v>
      </c>
      <c r="D8304" s="15" t="s">
        <v>774</v>
      </c>
      <c r="E8304" s="15" t="s">
        <v>6068</v>
      </c>
    </row>
    <row r="8305" spans="2:5">
      <c r="B8305" s="15" t="s">
        <v>10566</v>
      </c>
      <c r="C8305" s="15" t="s">
        <v>879</v>
      </c>
      <c r="D8305" s="15" t="s">
        <v>828</v>
      </c>
      <c r="E8305" s="15" t="s">
        <v>6069</v>
      </c>
    </row>
    <row r="8306" spans="2:5">
      <c r="B8306" s="15" t="s">
        <v>10566</v>
      </c>
      <c r="C8306" s="15" t="s">
        <v>879</v>
      </c>
      <c r="D8306" s="15" t="s">
        <v>901</v>
      </c>
      <c r="E8306" s="15" t="s">
        <v>6070</v>
      </c>
    </row>
    <row r="8307" ht="15.95" spans="2:2">
      <c r="B8307" s="122" t="s">
        <v>10567</v>
      </c>
    </row>
    <row r="8308" spans="2:5">
      <c r="B8308" s="15" t="s">
        <v>10568</v>
      </c>
      <c r="C8308" s="15" t="s">
        <v>10569</v>
      </c>
      <c r="D8308" s="15" t="s">
        <v>10570</v>
      </c>
      <c r="E8308" s="15" t="s">
        <v>10571</v>
      </c>
    </row>
    <row r="8309" ht="15.95" spans="2:2">
      <c r="B8309" s="122" t="s">
        <v>10572</v>
      </c>
    </row>
    <row r="8310" spans="2:5">
      <c r="B8310" s="15" t="s">
        <v>10573</v>
      </c>
      <c r="C8310" s="15" t="s">
        <v>896</v>
      </c>
      <c r="D8310" s="15" t="s">
        <v>770</v>
      </c>
      <c r="E8310" s="15" t="s">
        <v>7365</v>
      </c>
    </row>
    <row r="8311" spans="2:5">
      <c r="B8311" s="15" t="s">
        <v>10573</v>
      </c>
      <c r="C8311" s="15" t="s">
        <v>896</v>
      </c>
      <c r="D8311" s="15" t="s">
        <v>772</v>
      </c>
      <c r="E8311" s="15" t="s">
        <v>7366</v>
      </c>
    </row>
    <row r="8312" spans="2:5">
      <c r="B8312" s="15" t="s">
        <v>10573</v>
      </c>
      <c r="C8312" s="15" t="s">
        <v>896</v>
      </c>
      <c r="D8312" s="15" t="s">
        <v>774</v>
      </c>
      <c r="E8312" s="15" t="s">
        <v>7367</v>
      </c>
    </row>
    <row r="8313" spans="2:5">
      <c r="B8313" s="15" t="s">
        <v>10573</v>
      </c>
      <c r="C8313" s="15" t="s">
        <v>896</v>
      </c>
      <c r="D8313" s="15" t="s">
        <v>828</v>
      </c>
      <c r="E8313" s="15" t="s">
        <v>7368</v>
      </c>
    </row>
    <row r="8314" spans="2:5">
      <c r="B8314" s="15" t="s">
        <v>10573</v>
      </c>
      <c r="C8314" s="15" t="s">
        <v>896</v>
      </c>
      <c r="D8314" s="15" t="s">
        <v>901</v>
      </c>
      <c r="E8314" s="15" t="s">
        <v>7369</v>
      </c>
    </row>
    <row r="8315" spans="2:5">
      <c r="B8315" s="15" t="s">
        <v>10573</v>
      </c>
      <c r="C8315" s="15" t="s">
        <v>896</v>
      </c>
      <c r="D8315" s="15" t="s">
        <v>776</v>
      </c>
      <c r="E8315" s="15" t="s">
        <v>235</v>
      </c>
    </row>
    <row r="8316" ht="15.95" spans="2:2">
      <c r="B8316" s="122" t="s">
        <v>10574</v>
      </c>
    </row>
    <row r="8317" spans="2:5">
      <c r="B8317" s="15" t="s">
        <v>10575</v>
      </c>
      <c r="C8317" s="15" t="s">
        <v>10576</v>
      </c>
      <c r="D8317" s="15" t="s">
        <v>723</v>
      </c>
      <c r="E8317" s="15" t="s">
        <v>1861</v>
      </c>
    </row>
    <row r="8318" spans="2:5">
      <c r="B8318" s="15" t="s">
        <v>10575</v>
      </c>
      <c r="C8318" s="15" t="s">
        <v>10576</v>
      </c>
      <c r="D8318" s="15" t="s">
        <v>725</v>
      </c>
      <c r="E8318" s="15" t="s">
        <v>1860</v>
      </c>
    </row>
    <row r="8319" ht="15.95" spans="2:2">
      <c r="B8319" s="122" t="s">
        <v>10577</v>
      </c>
    </row>
    <row r="8320" spans="2:5">
      <c r="B8320" s="15" t="s">
        <v>10578</v>
      </c>
      <c r="C8320" s="15" t="s">
        <v>10579</v>
      </c>
      <c r="D8320" s="15" t="s">
        <v>1057</v>
      </c>
      <c r="E8320" s="15" t="s">
        <v>10580</v>
      </c>
    </row>
    <row r="8321" spans="2:5">
      <c r="B8321" s="15" t="s">
        <v>10578</v>
      </c>
      <c r="C8321" s="15" t="s">
        <v>10579</v>
      </c>
      <c r="D8321" s="15" t="s">
        <v>785</v>
      </c>
      <c r="E8321" s="15" t="s">
        <v>10581</v>
      </c>
    </row>
    <row r="8322" spans="2:5">
      <c r="B8322" s="15" t="s">
        <v>10578</v>
      </c>
      <c r="C8322" s="15" t="s">
        <v>10579</v>
      </c>
      <c r="D8322" s="15" t="s">
        <v>787</v>
      </c>
      <c r="E8322" s="15" t="s">
        <v>10582</v>
      </c>
    </row>
    <row r="8323" ht="15.95" spans="2:2">
      <c r="B8323" s="122" t="s">
        <v>10583</v>
      </c>
    </row>
    <row r="8324" spans="2:5">
      <c r="B8324" s="15" t="s">
        <v>10584</v>
      </c>
      <c r="C8324" s="15" t="s">
        <v>10585</v>
      </c>
      <c r="D8324" s="15" t="s">
        <v>770</v>
      </c>
      <c r="E8324" s="15" t="s">
        <v>10586</v>
      </c>
    </row>
    <row r="8325" spans="2:5">
      <c r="B8325" s="15" t="s">
        <v>10584</v>
      </c>
      <c r="C8325" s="15" t="s">
        <v>10585</v>
      </c>
      <c r="D8325" s="15" t="s">
        <v>772</v>
      </c>
      <c r="E8325" s="15" t="s">
        <v>10587</v>
      </c>
    </row>
    <row r="8326" spans="2:5">
      <c r="B8326" s="15" t="s">
        <v>10584</v>
      </c>
      <c r="C8326" s="15" t="s">
        <v>10585</v>
      </c>
      <c r="D8326" s="15" t="s">
        <v>901</v>
      </c>
      <c r="E8326" s="15" t="s">
        <v>10588</v>
      </c>
    </row>
    <row r="8327" ht="15.95" spans="2:2">
      <c r="B8327" s="122" t="s">
        <v>10589</v>
      </c>
    </row>
    <row r="8328" spans="2:5">
      <c r="B8328" s="15" t="s">
        <v>10590</v>
      </c>
      <c r="C8328" s="15" t="s">
        <v>896</v>
      </c>
      <c r="D8328" s="15" t="s">
        <v>770</v>
      </c>
      <c r="E8328" s="15" t="s">
        <v>8189</v>
      </c>
    </row>
    <row r="8329" spans="2:5">
      <c r="B8329" s="15" t="s">
        <v>10590</v>
      </c>
      <c r="C8329" s="15" t="s">
        <v>896</v>
      </c>
      <c r="D8329" s="15" t="s">
        <v>772</v>
      </c>
      <c r="E8329" s="15" t="s">
        <v>8190</v>
      </c>
    </row>
    <row r="8330" spans="2:5">
      <c r="B8330" s="15" t="s">
        <v>10590</v>
      </c>
      <c r="C8330" s="15" t="s">
        <v>896</v>
      </c>
      <c r="D8330" s="15" t="s">
        <v>774</v>
      </c>
      <c r="E8330" s="15" t="s">
        <v>8191</v>
      </c>
    </row>
    <row r="8331" spans="2:5">
      <c r="B8331" s="15" t="s">
        <v>10590</v>
      </c>
      <c r="C8331" s="15" t="s">
        <v>896</v>
      </c>
      <c r="D8331" s="15" t="s">
        <v>828</v>
      </c>
      <c r="E8331" s="15" t="s">
        <v>8192</v>
      </c>
    </row>
    <row r="8332" spans="2:5">
      <c r="B8332" s="15" t="s">
        <v>10590</v>
      </c>
      <c r="C8332" s="15" t="s">
        <v>896</v>
      </c>
      <c r="D8332" s="15" t="s">
        <v>901</v>
      </c>
      <c r="E8332" s="15" t="s">
        <v>8193</v>
      </c>
    </row>
    <row r="8333" spans="2:5">
      <c r="B8333" s="15" t="s">
        <v>10590</v>
      </c>
      <c r="C8333" s="15" t="s">
        <v>896</v>
      </c>
      <c r="D8333" s="15" t="s">
        <v>776</v>
      </c>
      <c r="E8333" s="15" t="s">
        <v>8194</v>
      </c>
    </row>
    <row r="8334" ht="15.95" spans="2:2">
      <c r="B8334" s="122" t="s">
        <v>10591</v>
      </c>
    </row>
    <row r="8335" spans="2:5">
      <c r="B8335" s="15" t="s">
        <v>10592</v>
      </c>
      <c r="C8335" s="15" t="s">
        <v>10593</v>
      </c>
      <c r="D8335" s="15" t="s">
        <v>723</v>
      </c>
      <c r="E8335" s="15" t="s">
        <v>723</v>
      </c>
    </row>
    <row r="8336" spans="2:5">
      <c r="B8336" s="15" t="s">
        <v>10592</v>
      </c>
      <c r="C8336" s="15" t="s">
        <v>10593</v>
      </c>
      <c r="D8336" s="15" t="s">
        <v>725</v>
      </c>
      <c r="E8336" s="15" t="s">
        <v>725</v>
      </c>
    </row>
    <row r="8337" spans="2:5">
      <c r="B8337" s="15" t="s">
        <v>10592</v>
      </c>
      <c r="C8337" s="15" t="s">
        <v>10593</v>
      </c>
      <c r="D8337" s="15" t="s">
        <v>727</v>
      </c>
      <c r="E8337" s="15" t="s">
        <v>727</v>
      </c>
    </row>
    <row r="8338" spans="2:5">
      <c r="B8338" s="15" t="s">
        <v>10592</v>
      </c>
      <c r="C8338" s="15" t="s">
        <v>10593</v>
      </c>
      <c r="D8338" s="15" t="s">
        <v>729</v>
      </c>
      <c r="E8338" s="15" t="s">
        <v>729</v>
      </c>
    </row>
    <row r="8339" spans="2:5">
      <c r="B8339" s="15" t="s">
        <v>10592</v>
      </c>
      <c r="C8339" s="15" t="s">
        <v>10593</v>
      </c>
      <c r="D8339" s="15" t="s">
        <v>760</v>
      </c>
      <c r="E8339" s="15" t="s">
        <v>760</v>
      </c>
    </row>
    <row r="8340" spans="2:5">
      <c r="B8340" s="15" t="s">
        <v>10592</v>
      </c>
      <c r="C8340" s="15" t="s">
        <v>10593</v>
      </c>
      <c r="D8340" s="15" t="s">
        <v>762</v>
      </c>
      <c r="E8340" s="15" t="s">
        <v>762</v>
      </c>
    </row>
    <row r="8341" spans="2:5">
      <c r="B8341" s="15" t="s">
        <v>10592</v>
      </c>
      <c r="C8341" s="15" t="s">
        <v>10593</v>
      </c>
      <c r="D8341" s="15" t="s">
        <v>764</v>
      </c>
      <c r="E8341" s="15" t="s">
        <v>764</v>
      </c>
    </row>
    <row r="8342" spans="2:5">
      <c r="B8342" s="15" t="s">
        <v>10592</v>
      </c>
      <c r="C8342" s="15" t="s">
        <v>10593</v>
      </c>
      <c r="D8342" s="15" t="s">
        <v>1587</v>
      </c>
      <c r="E8342" s="15" t="s">
        <v>1587</v>
      </c>
    </row>
    <row r="8343" spans="2:5">
      <c r="B8343" s="15" t="s">
        <v>10592</v>
      </c>
      <c r="C8343" s="15" t="s">
        <v>10593</v>
      </c>
      <c r="D8343" s="15" t="s">
        <v>765</v>
      </c>
      <c r="E8343" s="15" t="s">
        <v>765</v>
      </c>
    </row>
    <row r="8344" ht="15.95" spans="2:2">
      <c r="B8344" s="122" t="s">
        <v>10594</v>
      </c>
    </row>
    <row r="8345" spans="2:5">
      <c r="B8345" s="15" t="s">
        <v>10595</v>
      </c>
      <c r="C8345" s="15" t="s">
        <v>10596</v>
      </c>
      <c r="D8345" s="15" t="s">
        <v>635</v>
      </c>
      <c r="E8345" s="15" t="s">
        <v>10597</v>
      </c>
    </row>
    <row r="8346" spans="2:5">
      <c r="B8346" s="15" t="s">
        <v>10595</v>
      </c>
      <c r="C8346" s="15" t="s">
        <v>10596</v>
      </c>
      <c r="D8346" s="15" t="s">
        <v>659</v>
      </c>
      <c r="E8346" s="15" t="s">
        <v>10598</v>
      </c>
    </row>
    <row r="8347" spans="2:5">
      <c r="B8347" s="15" t="s">
        <v>10595</v>
      </c>
      <c r="C8347" s="15" t="s">
        <v>10596</v>
      </c>
      <c r="D8347" s="15" t="s">
        <v>679</v>
      </c>
      <c r="E8347" s="15" t="s">
        <v>10599</v>
      </c>
    </row>
    <row r="8348" spans="2:5">
      <c r="B8348" s="15" t="s">
        <v>10595</v>
      </c>
      <c r="C8348" s="15" t="s">
        <v>10596</v>
      </c>
      <c r="D8348" s="15" t="s">
        <v>705</v>
      </c>
      <c r="E8348" s="15" t="s">
        <v>10600</v>
      </c>
    </row>
    <row r="8349" spans="2:5">
      <c r="B8349" s="15" t="s">
        <v>10595</v>
      </c>
      <c r="C8349" s="15" t="s">
        <v>10596</v>
      </c>
      <c r="D8349" s="15" t="s">
        <v>709</v>
      </c>
      <c r="E8349" s="15" t="s">
        <v>10601</v>
      </c>
    </row>
    <row r="8350" spans="2:5">
      <c r="B8350" s="15" t="s">
        <v>10595</v>
      </c>
      <c r="C8350" s="15" t="s">
        <v>10596</v>
      </c>
      <c r="D8350" s="15" t="s">
        <v>838</v>
      </c>
      <c r="E8350" s="15" t="s">
        <v>10602</v>
      </c>
    </row>
    <row r="8351" spans="2:5">
      <c r="B8351" s="15" t="s">
        <v>10595</v>
      </c>
      <c r="C8351" s="15" t="s">
        <v>10596</v>
      </c>
      <c r="D8351" s="15" t="s">
        <v>840</v>
      </c>
      <c r="E8351" s="15" t="s">
        <v>10603</v>
      </c>
    </row>
    <row r="8352" spans="2:5">
      <c r="B8352" s="15" t="s">
        <v>10595</v>
      </c>
      <c r="C8352" s="15" t="s">
        <v>10596</v>
      </c>
      <c r="D8352" s="15" t="s">
        <v>842</v>
      </c>
      <c r="E8352" s="15" t="s">
        <v>10604</v>
      </c>
    </row>
    <row r="8353" spans="2:5">
      <c r="B8353" s="15" t="s">
        <v>10595</v>
      </c>
      <c r="C8353" s="15" t="s">
        <v>10596</v>
      </c>
      <c r="D8353" s="15" t="s">
        <v>844</v>
      </c>
      <c r="E8353" s="15" t="s">
        <v>10605</v>
      </c>
    </row>
    <row r="8354" spans="2:5">
      <c r="B8354" s="15" t="s">
        <v>10595</v>
      </c>
      <c r="C8354" s="15" t="s">
        <v>10596</v>
      </c>
      <c r="D8354" s="15" t="s">
        <v>713</v>
      </c>
      <c r="E8354" s="15" t="s">
        <v>10606</v>
      </c>
    </row>
    <row r="8355" spans="2:5">
      <c r="B8355" s="15" t="s">
        <v>10595</v>
      </c>
      <c r="C8355" s="15" t="s">
        <v>10596</v>
      </c>
      <c r="D8355" s="15" t="s">
        <v>6214</v>
      </c>
      <c r="E8355" s="15" t="s">
        <v>10607</v>
      </c>
    </row>
    <row r="8356" spans="2:5">
      <c r="B8356" s="15" t="s">
        <v>10595</v>
      </c>
      <c r="C8356" s="15" t="s">
        <v>10596</v>
      </c>
      <c r="D8356" s="15" t="s">
        <v>6216</v>
      </c>
      <c r="E8356" s="15" t="s">
        <v>10608</v>
      </c>
    </row>
    <row r="8357" spans="2:5">
      <c r="B8357" s="15" t="s">
        <v>10595</v>
      </c>
      <c r="C8357" s="15" t="s">
        <v>10596</v>
      </c>
      <c r="D8357" s="15" t="s">
        <v>6218</v>
      </c>
      <c r="E8357" s="15" t="s">
        <v>10609</v>
      </c>
    </row>
    <row r="8358" spans="2:5">
      <c r="B8358" s="15" t="s">
        <v>10595</v>
      </c>
      <c r="C8358" s="15" t="s">
        <v>10596</v>
      </c>
      <c r="D8358" s="15" t="s">
        <v>6220</v>
      </c>
      <c r="E8358" s="15" t="s">
        <v>10610</v>
      </c>
    </row>
    <row r="8359" spans="2:5">
      <c r="B8359" s="15" t="s">
        <v>10595</v>
      </c>
      <c r="C8359" s="15" t="s">
        <v>10596</v>
      </c>
      <c r="D8359" s="15" t="s">
        <v>6222</v>
      </c>
      <c r="E8359" s="15" t="s">
        <v>1719</v>
      </c>
    </row>
    <row r="8360" ht="15.95" spans="2:2">
      <c r="B8360" s="122" t="s">
        <v>10611</v>
      </c>
    </row>
    <row r="8361" spans="2:5">
      <c r="B8361" s="15" t="s">
        <v>10612</v>
      </c>
      <c r="C8361" s="15" t="s">
        <v>10613</v>
      </c>
      <c r="D8361" s="15" t="s">
        <v>635</v>
      </c>
      <c r="E8361" s="15" t="s">
        <v>8201</v>
      </c>
    </row>
    <row r="8362" spans="2:5">
      <c r="B8362" s="15" t="s">
        <v>10612</v>
      </c>
      <c r="C8362" s="15" t="s">
        <v>10613</v>
      </c>
      <c r="D8362" s="15" t="s">
        <v>659</v>
      </c>
      <c r="E8362" s="15" t="s">
        <v>4610</v>
      </c>
    </row>
    <row r="8363" spans="2:5">
      <c r="B8363" s="15" t="s">
        <v>10612</v>
      </c>
      <c r="C8363" s="15" t="s">
        <v>10613</v>
      </c>
      <c r="D8363" s="15" t="s">
        <v>679</v>
      </c>
      <c r="E8363" s="15" t="s">
        <v>10614</v>
      </c>
    </row>
    <row r="8364" ht="15.95" spans="2:2">
      <c r="B8364" s="122" t="s">
        <v>10615</v>
      </c>
    </row>
    <row r="8365" spans="2:5">
      <c r="B8365" s="15" t="s">
        <v>10616</v>
      </c>
      <c r="C8365" s="15" t="s">
        <v>8695</v>
      </c>
      <c r="D8365" s="15" t="s">
        <v>1267</v>
      </c>
      <c r="E8365" s="15" t="s">
        <v>1268</v>
      </c>
    </row>
    <row r="8366" spans="2:5">
      <c r="B8366" s="15" t="s">
        <v>10616</v>
      </c>
      <c r="C8366" s="15" t="s">
        <v>8695</v>
      </c>
      <c r="D8366" s="15" t="s">
        <v>1269</v>
      </c>
      <c r="E8366" s="15" t="s">
        <v>1270</v>
      </c>
    </row>
    <row r="8367" ht="15.95" spans="2:2">
      <c r="B8367" s="122" t="s">
        <v>10617</v>
      </c>
    </row>
    <row r="8368" spans="2:5">
      <c r="B8368" s="15" t="s">
        <v>10618</v>
      </c>
      <c r="C8368" s="15" t="s">
        <v>10618</v>
      </c>
      <c r="D8368" s="15" t="s">
        <v>723</v>
      </c>
      <c r="E8368" s="15" t="s">
        <v>10619</v>
      </c>
    </row>
    <row r="8369" spans="2:5">
      <c r="B8369" s="15" t="s">
        <v>10618</v>
      </c>
      <c r="C8369" s="15" t="s">
        <v>10618</v>
      </c>
      <c r="D8369" s="15" t="s">
        <v>725</v>
      </c>
      <c r="E8369" s="15" t="s">
        <v>10620</v>
      </c>
    </row>
    <row r="8370" spans="2:5">
      <c r="B8370" s="15" t="s">
        <v>10618</v>
      </c>
      <c r="C8370" s="15" t="s">
        <v>10618</v>
      </c>
      <c r="D8370" s="15" t="s">
        <v>727</v>
      </c>
      <c r="E8370" s="15" t="s">
        <v>10621</v>
      </c>
    </row>
    <row r="8371" ht="15.95" spans="2:2">
      <c r="B8371" s="122" t="s">
        <v>10622</v>
      </c>
    </row>
    <row r="8372" spans="2:5">
      <c r="B8372" s="15" t="s">
        <v>10623</v>
      </c>
      <c r="C8372" s="15" t="s">
        <v>10623</v>
      </c>
      <c r="D8372" s="15" t="s">
        <v>770</v>
      </c>
      <c r="E8372" s="15" t="s">
        <v>4947</v>
      </c>
    </row>
    <row r="8373" spans="2:5">
      <c r="B8373" s="15" t="s">
        <v>10623</v>
      </c>
      <c r="C8373" s="15" t="s">
        <v>10623</v>
      </c>
      <c r="D8373" s="15" t="s">
        <v>772</v>
      </c>
      <c r="E8373" s="15" t="s">
        <v>4948</v>
      </c>
    </row>
    <row r="8374" spans="2:5">
      <c r="B8374" s="15" t="s">
        <v>10623</v>
      </c>
      <c r="C8374" s="15" t="s">
        <v>10623</v>
      </c>
      <c r="D8374" s="15" t="s">
        <v>774</v>
      </c>
      <c r="E8374" s="15" t="s">
        <v>4949</v>
      </c>
    </row>
    <row r="8375" ht="15.95" spans="2:2">
      <c r="B8375" s="122" t="s">
        <v>10624</v>
      </c>
    </row>
    <row r="8376" spans="2:5">
      <c r="B8376" s="15" t="s">
        <v>7097</v>
      </c>
      <c r="C8376" s="15" t="s">
        <v>3360</v>
      </c>
      <c r="D8376" s="15" t="s">
        <v>933</v>
      </c>
      <c r="E8376" s="15" t="s">
        <v>3360</v>
      </c>
    </row>
    <row r="8377" spans="2:5">
      <c r="B8377" s="15" t="s">
        <v>7097</v>
      </c>
      <c r="C8377" s="15" t="s">
        <v>3360</v>
      </c>
      <c r="D8377" s="15" t="s">
        <v>917</v>
      </c>
      <c r="E8377" s="15" t="s">
        <v>10625</v>
      </c>
    </row>
    <row r="8378" spans="2:5">
      <c r="B8378" s="15" t="s">
        <v>7097</v>
      </c>
      <c r="C8378" s="15" t="s">
        <v>3360</v>
      </c>
      <c r="D8378" s="15" t="s">
        <v>919</v>
      </c>
      <c r="E8378" s="15" t="s">
        <v>3364</v>
      </c>
    </row>
    <row r="8379" spans="2:5">
      <c r="B8379" s="15" t="s">
        <v>7097</v>
      </c>
      <c r="C8379" s="15" t="s">
        <v>3360</v>
      </c>
      <c r="D8379" s="15" t="s">
        <v>1091</v>
      </c>
      <c r="E8379" s="15" t="s">
        <v>3366</v>
      </c>
    </row>
    <row r="8380" spans="2:5">
      <c r="B8380" s="15" t="s">
        <v>7097</v>
      </c>
      <c r="C8380" s="15" t="s">
        <v>3360</v>
      </c>
      <c r="D8380" s="15" t="s">
        <v>921</v>
      </c>
      <c r="E8380" s="15" t="s">
        <v>3368</v>
      </c>
    </row>
    <row r="8381" spans="2:5">
      <c r="B8381" s="15" t="s">
        <v>7097</v>
      </c>
      <c r="C8381" s="15" t="s">
        <v>3360</v>
      </c>
      <c r="D8381" s="15" t="s">
        <v>923</v>
      </c>
      <c r="E8381" s="15" t="s">
        <v>698</v>
      </c>
    </row>
    <row r="8382" ht="15.95" spans="2:2">
      <c r="B8382" s="122" t="s">
        <v>10626</v>
      </c>
    </row>
    <row r="8383" spans="2:5">
      <c r="B8383" s="15" t="s">
        <v>10627</v>
      </c>
      <c r="C8383" s="15" t="s">
        <v>10628</v>
      </c>
      <c r="D8383" s="15" t="s">
        <v>770</v>
      </c>
      <c r="E8383" s="15" t="s">
        <v>10629</v>
      </c>
    </row>
    <row r="8384" spans="2:5">
      <c r="B8384" s="15" t="s">
        <v>10627</v>
      </c>
      <c r="C8384" s="15" t="s">
        <v>10628</v>
      </c>
      <c r="D8384" s="15" t="s">
        <v>772</v>
      </c>
      <c r="E8384" s="15" t="s">
        <v>10630</v>
      </c>
    </row>
    <row r="8385" spans="2:5">
      <c r="B8385" s="15" t="s">
        <v>10627</v>
      </c>
      <c r="C8385" s="15" t="s">
        <v>10628</v>
      </c>
      <c r="D8385" s="15" t="s">
        <v>774</v>
      </c>
      <c r="E8385" s="15" t="s">
        <v>10631</v>
      </c>
    </row>
    <row r="8386" spans="2:5">
      <c r="B8386" s="15" t="s">
        <v>10627</v>
      </c>
      <c r="C8386" s="15" t="s">
        <v>10628</v>
      </c>
      <c r="D8386" s="15" t="s">
        <v>828</v>
      </c>
      <c r="E8386" s="15" t="s">
        <v>10632</v>
      </c>
    </row>
    <row r="8387" spans="2:5">
      <c r="B8387" s="15" t="s">
        <v>10627</v>
      </c>
      <c r="C8387" s="15" t="s">
        <v>10628</v>
      </c>
      <c r="D8387" s="15" t="s">
        <v>901</v>
      </c>
      <c r="E8387" s="15" t="s">
        <v>10633</v>
      </c>
    </row>
    <row r="8388" spans="2:5">
      <c r="B8388" s="15" t="s">
        <v>10627</v>
      </c>
      <c r="C8388" s="15" t="s">
        <v>10628</v>
      </c>
      <c r="D8388" s="15" t="s">
        <v>776</v>
      </c>
      <c r="E8388" s="15" t="s">
        <v>10634</v>
      </c>
    </row>
    <row r="8389" spans="2:5">
      <c r="B8389" s="15" t="s">
        <v>10627</v>
      </c>
      <c r="C8389" s="15" t="s">
        <v>10628</v>
      </c>
      <c r="D8389" s="15" t="s">
        <v>1290</v>
      </c>
      <c r="E8389" s="15" t="s">
        <v>10635</v>
      </c>
    </row>
    <row r="8390" spans="2:5">
      <c r="B8390" s="15" t="s">
        <v>10627</v>
      </c>
      <c r="C8390" s="15" t="s">
        <v>10628</v>
      </c>
      <c r="D8390" s="15" t="s">
        <v>1409</v>
      </c>
      <c r="E8390" s="15" t="s">
        <v>10636</v>
      </c>
    </row>
    <row r="8391" spans="2:5">
      <c r="B8391" s="15" t="s">
        <v>10627</v>
      </c>
      <c r="C8391" s="15" t="s">
        <v>10628</v>
      </c>
      <c r="D8391" s="15" t="s">
        <v>1411</v>
      </c>
      <c r="E8391" s="15" t="s">
        <v>5588</v>
      </c>
    </row>
    <row r="8392" spans="2:5">
      <c r="B8392" s="15" t="s">
        <v>10627</v>
      </c>
      <c r="C8392" s="15" t="s">
        <v>10628</v>
      </c>
      <c r="D8392" s="15" t="s">
        <v>933</v>
      </c>
      <c r="E8392" s="15" t="s">
        <v>10637</v>
      </c>
    </row>
    <row r="8393" spans="2:5">
      <c r="B8393" s="15" t="s">
        <v>10627</v>
      </c>
      <c r="C8393" s="15" t="s">
        <v>10628</v>
      </c>
      <c r="D8393" s="15" t="s">
        <v>1059</v>
      </c>
      <c r="E8393" s="15" t="s">
        <v>10638</v>
      </c>
    </row>
    <row r="8394" spans="2:5">
      <c r="B8394" s="15" t="s">
        <v>10627</v>
      </c>
      <c r="C8394" s="15" t="s">
        <v>10628</v>
      </c>
      <c r="D8394" s="15" t="s">
        <v>1061</v>
      </c>
      <c r="E8394" s="15" t="s">
        <v>10639</v>
      </c>
    </row>
    <row r="8395" spans="2:5">
      <c r="B8395" s="15" t="s">
        <v>10627</v>
      </c>
      <c r="C8395" s="15" t="s">
        <v>10628</v>
      </c>
      <c r="D8395" s="15" t="s">
        <v>1063</v>
      </c>
      <c r="E8395" s="15" t="s">
        <v>10640</v>
      </c>
    </row>
    <row r="8396" spans="2:5">
      <c r="B8396" s="15" t="s">
        <v>10627</v>
      </c>
      <c r="C8396" s="15" t="s">
        <v>10628</v>
      </c>
      <c r="D8396" s="15" t="s">
        <v>1065</v>
      </c>
      <c r="E8396" s="15" t="s">
        <v>10641</v>
      </c>
    </row>
    <row r="8397" spans="2:5">
      <c r="B8397" s="15" t="s">
        <v>10627</v>
      </c>
      <c r="C8397" s="15" t="s">
        <v>10628</v>
      </c>
      <c r="D8397" s="15" t="s">
        <v>935</v>
      </c>
      <c r="E8397" s="15" t="s">
        <v>10642</v>
      </c>
    </row>
    <row r="8398" spans="2:5">
      <c r="B8398" s="15" t="s">
        <v>10627</v>
      </c>
      <c r="C8398" s="15" t="s">
        <v>10628</v>
      </c>
      <c r="D8398" s="15" t="s">
        <v>1068</v>
      </c>
      <c r="E8398" s="15" t="s">
        <v>10643</v>
      </c>
    </row>
    <row r="8399" spans="2:5">
      <c r="B8399" s="15" t="s">
        <v>10627</v>
      </c>
      <c r="C8399" s="15" t="s">
        <v>10628</v>
      </c>
      <c r="D8399" s="15" t="s">
        <v>1070</v>
      </c>
      <c r="E8399" s="15" t="s">
        <v>10644</v>
      </c>
    </row>
    <row r="8400" spans="2:5">
      <c r="B8400" s="15" t="s">
        <v>10627</v>
      </c>
      <c r="C8400" s="15" t="s">
        <v>10628</v>
      </c>
      <c r="D8400" s="15" t="s">
        <v>1072</v>
      </c>
      <c r="E8400" s="15" t="s">
        <v>10645</v>
      </c>
    </row>
    <row r="8401" spans="2:5">
      <c r="B8401" s="15" t="s">
        <v>10627</v>
      </c>
      <c r="C8401" s="15" t="s">
        <v>10628</v>
      </c>
      <c r="D8401" s="15" t="s">
        <v>1074</v>
      </c>
      <c r="E8401" s="15" t="s">
        <v>10646</v>
      </c>
    </row>
    <row r="8402" spans="2:5">
      <c r="B8402" s="15" t="s">
        <v>10627</v>
      </c>
      <c r="C8402" s="15" t="s">
        <v>10628</v>
      </c>
      <c r="D8402" s="15" t="s">
        <v>937</v>
      </c>
      <c r="E8402" s="15" t="s">
        <v>10647</v>
      </c>
    </row>
    <row r="8403" spans="2:5">
      <c r="B8403" s="15" t="s">
        <v>10627</v>
      </c>
      <c r="C8403" s="15" t="s">
        <v>10628</v>
      </c>
      <c r="D8403" s="15" t="s">
        <v>2101</v>
      </c>
      <c r="E8403" s="15" t="s">
        <v>10648</v>
      </c>
    </row>
    <row r="8404" spans="2:5">
      <c r="B8404" s="15" t="s">
        <v>10627</v>
      </c>
      <c r="C8404" s="15" t="s">
        <v>10628</v>
      </c>
      <c r="D8404" s="15" t="s">
        <v>2103</v>
      </c>
      <c r="E8404" s="15" t="s">
        <v>10649</v>
      </c>
    </row>
    <row r="8405" spans="2:5">
      <c r="B8405" s="15" t="s">
        <v>10627</v>
      </c>
      <c r="C8405" s="15" t="s">
        <v>10628</v>
      </c>
      <c r="D8405" s="15" t="s">
        <v>2105</v>
      </c>
      <c r="E8405" s="15" t="s">
        <v>10650</v>
      </c>
    </row>
    <row r="8406" spans="2:5">
      <c r="B8406" s="15" t="s">
        <v>10627</v>
      </c>
      <c r="C8406" s="15" t="s">
        <v>10628</v>
      </c>
      <c r="D8406" s="15" t="s">
        <v>2107</v>
      </c>
      <c r="E8406" s="15" t="s">
        <v>10651</v>
      </c>
    </row>
    <row r="8407" spans="2:5">
      <c r="B8407" s="15" t="s">
        <v>10627</v>
      </c>
      <c r="C8407" s="15" t="s">
        <v>10628</v>
      </c>
      <c r="D8407" s="15" t="s">
        <v>1626</v>
      </c>
      <c r="E8407" s="15" t="s">
        <v>10652</v>
      </c>
    </row>
    <row r="8408" spans="2:5">
      <c r="B8408" s="15" t="s">
        <v>10627</v>
      </c>
      <c r="C8408" s="15" t="s">
        <v>10628</v>
      </c>
      <c r="D8408" s="15" t="s">
        <v>6323</v>
      </c>
      <c r="E8408" s="15" t="s">
        <v>10653</v>
      </c>
    </row>
    <row r="8409" spans="2:5">
      <c r="B8409" s="15" t="s">
        <v>10627</v>
      </c>
      <c r="C8409" s="15" t="s">
        <v>10628</v>
      </c>
      <c r="D8409" s="15" t="s">
        <v>6325</v>
      </c>
      <c r="E8409" s="15" t="s">
        <v>10654</v>
      </c>
    </row>
    <row r="8410" spans="2:5">
      <c r="B8410" s="15" t="s">
        <v>10627</v>
      </c>
      <c r="C8410" s="15" t="s">
        <v>10628</v>
      </c>
      <c r="D8410" s="15" t="s">
        <v>6327</v>
      </c>
      <c r="E8410" s="15" t="s">
        <v>10655</v>
      </c>
    </row>
    <row r="8411" spans="2:5">
      <c r="B8411" s="15" t="s">
        <v>10627</v>
      </c>
      <c r="C8411" s="15" t="s">
        <v>10628</v>
      </c>
      <c r="D8411" s="15" t="s">
        <v>6329</v>
      </c>
      <c r="E8411" s="15" t="s">
        <v>10656</v>
      </c>
    </row>
    <row r="8412" spans="2:5">
      <c r="B8412" s="15" t="s">
        <v>10627</v>
      </c>
      <c r="C8412" s="15" t="s">
        <v>10628</v>
      </c>
      <c r="D8412" s="15" t="s">
        <v>939</v>
      </c>
      <c r="E8412" s="15" t="s">
        <v>10657</v>
      </c>
    </row>
    <row r="8413" spans="2:5">
      <c r="B8413" s="15" t="s">
        <v>10627</v>
      </c>
      <c r="C8413" s="15" t="s">
        <v>10628</v>
      </c>
      <c r="D8413" s="15" t="s">
        <v>2110</v>
      </c>
      <c r="E8413" s="15" t="s">
        <v>10658</v>
      </c>
    </row>
    <row r="8414" spans="2:5">
      <c r="B8414" s="15" t="s">
        <v>10627</v>
      </c>
      <c r="C8414" s="15" t="s">
        <v>10628</v>
      </c>
      <c r="D8414" s="15" t="s">
        <v>2112</v>
      </c>
      <c r="E8414" s="15" t="s">
        <v>10659</v>
      </c>
    </row>
    <row r="8415" spans="2:5">
      <c r="B8415" s="15" t="s">
        <v>10627</v>
      </c>
      <c r="C8415" s="15" t="s">
        <v>10628</v>
      </c>
      <c r="D8415" s="15" t="s">
        <v>6334</v>
      </c>
      <c r="E8415" s="15" t="s">
        <v>10660</v>
      </c>
    </row>
    <row r="8416" spans="2:5">
      <c r="B8416" s="15" t="s">
        <v>10627</v>
      </c>
      <c r="C8416" s="15" t="s">
        <v>10628</v>
      </c>
      <c r="D8416" s="15" t="s">
        <v>6336</v>
      </c>
      <c r="E8416" s="15" t="s">
        <v>10661</v>
      </c>
    </row>
    <row r="8417" spans="2:5">
      <c r="B8417" s="15" t="s">
        <v>10627</v>
      </c>
      <c r="C8417" s="15" t="s">
        <v>10628</v>
      </c>
      <c r="D8417" s="15" t="s">
        <v>6338</v>
      </c>
      <c r="E8417" s="15" t="s">
        <v>10662</v>
      </c>
    </row>
    <row r="8418" spans="2:5">
      <c r="B8418" s="15" t="s">
        <v>10627</v>
      </c>
      <c r="C8418" s="15" t="s">
        <v>10628</v>
      </c>
      <c r="D8418" s="15" t="s">
        <v>6340</v>
      </c>
      <c r="E8418" s="15" t="s">
        <v>10663</v>
      </c>
    </row>
    <row r="8419" spans="2:5">
      <c r="B8419" s="15" t="s">
        <v>10627</v>
      </c>
      <c r="C8419" s="15" t="s">
        <v>10628</v>
      </c>
      <c r="D8419" s="15" t="s">
        <v>6342</v>
      </c>
      <c r="E8419" s="15" t="s">
        <v>10664</v>
      </c>
    </row>
    <row r="8420" spans="2:5">
      <c r="B8420" s="15" t="s">
        <v>10627</v>
      </c>
      <c r="C8420" s="15" t="s">
        <v>10628</v>
      </c>
      <c r="D8420" s="15" t="s">
        <v>6344</v>
      </c>
      <c r="E8420" s="15" t="s">
        <v>10665</v>
      </c>
    </row>
    <row r="8421" spans="2:5">
      <c r="B8421" s="15" t="s">
        <v>10627</v>
      </c>
      <c r="C8421" s="15" t="s">
        <v>10628</v>
      </c>
      <c r="D8421" s="15" t="s">
        <v>6346</v>
      </c>
      <c r="E8421" s="15" t="s">
        <v>10666</v>
      </c>
    </row>
    <row r="8422" spans="2:5">
      <c r="B8422" s="15" t="s">
        <v>10627</v>
      </c>
      <c r="C8422" s="15" t="s">
        <v>10628</v>
      </c>
      <c r="D8422" s="15" t="s">
        <v>941</v>
      </c>
      <c r="E8422" s="15" t="s">
        <v>10667</v>
      </c>
    </row>
    <row r="8423" spans="2:5">
      <c r="B8423" s="15" t="s">
        <v>10627</v>
      </c>
      <c r="C8423" s="15" t="s">
        <v>10628</v>
      </c>
      <c r="D8423" s="15" t="s">
        <v>6349</v>
      </c>
      <c r="E8423" s="15" t="s">
        <v>10668</v>
      </c>
    </row>
    <row r="8424" spans="2:5">
      <c r="B8424" s="15" t="s">
        <v>10627</v>
      </c>
      <c r="C8424" s="15" t="s">
        <v>10628</v>
      </c>
      <c r="D8424" s="15" t="s">
        <v>6351</v>
      </c>
      <c r="E8424" s="15" t="s">
        <v>10669</v>
      </c>
    </row>
    <row r="8425" spans="2:5">
      <c r="B8425" s="15" t="s">
        <v>10627</v>
      </c>
      <c r="C8425" s="15" t="s">
        <v>10628</v>
      </c>
      <c r="D8425" s="15" t="s">
        <v>6353</v>
      </c>
      <c r="E8425" s="15" t="s">
        <v>10670</v>
      </c>
    </row>
    <row r="8426" spans="2:5">
      <c r="B8426" s="15" t="s">
        <v>10627</v>
      </c>
      <c r="C8426" s="15" t="s">
        <v>10628</v>
      </c>
      <c r="D8426" s="15" t="s">
        <v>6355</v>
      </c>
      <c r="E8426" s="15" t="s">
        <v>10671</v>
      </c>
    </row>
    <row r="8427" spans="2:5">
      <c r="B8427" s="15" t="s">
        <v>10627</v>
      </c>
      <c r="C8427" s="15" t="s">
        <v>10628</v>
      </c>
      <c r="D8427" s="15" t="s">
        <v>1143</v>
      </c>
      <c r="E8427" s="15" t="s">
        <v>235</v>
      </c>
    </row>
    <row r="8428" ht="15.95" spans="2:2">
      <c r="B8428" s="122" t="s">
        <v>10672</v>
      </c>
    </row>
    <row r="8429" spans="2:5">
      <c r="B8429" s="15" t="s">
        <v>10673</v>
      </c>
      <c r="C8429" s="15" t="s">
        <v>10674</v>
      </c>
      <c r="D8429" s="15" t="s">
        <v>770</v>
      </c>
      <c r="E8429" s="15" t="s">
        <v>9705</v>
      </c>
    </row>
    <row r="8430" spans="2:5">
      <c r="B8430" s="15" t="s">
        <v>10673</v>
      </c>
      <c r="C8430" s="15" t="s">
        <v>10674</v>
      </c>
      <c r="D8430" s="15" t="s">
        <v>772</v>
      </c>
      <c r="E8430" s="15" t="s">
        <v>4423</v>
      </c>
    </row>
    <row r="8431" ht="15.95" spans="2:2">
      <c r="B8431" s="122" t="s">
        <v>10675</v>
      </c>
    </row>
    <row r="8432" spans="2:5">
      <c r="B8432" s="15" t="s">
        <v>10676</v>
      </c>
      <c r="C8432" s="15" t="s">
        <v>896</v>
      </c>
      <c r="D8432" s="15" t="s">
        <v>770</v>
      </c>
      <c r="E8432" s="15" t="s">
        <v>10677</v>
      </c>
    </row>
    <row r="8433" spans="2:5">
      <c r="B8433" s="15" t="s">
        <v>10676</v>
      </c>
      <c r="C8433" s="15" t="s">
        <v>896</v>
      </c>
      <c r="D8433" s="15" t="s">
        <v>772</v>
      </c>
      <c r="E8433" s="15" t="s">
        <v>10678</v>
      </c>
    </row>
    <row r="8434" spans="2:5">
      <c r="B8434" s="15" t="s">
        <v>10676</v>
      </c>
      <c r="C8434" s="15" t="s">
        <v>896</v>
      </c>
      <c r="D8434" s="15" t="s">
        <v>774</v>
      </c>
      <c r="E8434" s="15" t="s">
        <v>10679</v>
      </c>
    </row>
    <row r="8435" ht="15.95" spans="2:2">
      <c r="B8435" s="122" t="s">
        <v>10680</v>
      </c>
    </row>
    <row r="8436" spans="2:5">
      <c r="B8436" s="15" t="s">
        <v>10681</v>
      </c>
      <c r="C8436" s="15" t="s">
        <v>10682</v>
      </c>
      <c r="D8436" s="15" t="s">
        <v>723</v>
      </c>
      <c r="E8436" s="15" t="s">
        <v>1648</v>
      </c>
    </row>
    <row r="8437" spans="2:5">
      <c r="B8437" s="15" t="s">
        <v>10681</v>
      </c>
      <c r="C8437" s="15" t="s">
        <v>10682</v>
      </c>
      <c r="D8437" s="15" t="s">
        <v>725</v>
      </c>
      <c r="E8437" s="15" t="s">
        <v>10683</v>
      </c>
    </row>
    <row r="8438" ht="15.95" spans="2:2">
      <c r="B8438" s="122" t="s">
        <v>10684</v>
      </c>
    </row>
    <row r="8439" spans="2:5">
      <c r="B8439" s="15" t="s">
        <v>10685</v>
      </c>
      <c r="C8439" s="15" t="s">
        <v>10685</v>
      </c>
      <c r="D8439" s="15" t="s">
        <v>770</v>
      </c>
      <c r="E8439" s="15" t="s">
        <v>3133</v>
      </c>
    </row>
    <row r="8440" spans="2:5">
      <c r="B8440" s="15" t="s">
        <v>10685</v>
      </c>
      <c r="C8440" s="15" t="s">
        <v>10685</v>
      </c>
      <c r="D8440" s="15" t="s">
        <v>772</v>
      </c>
      <c r="E8440" s="15" t="s">
        <v>3134</v>
      </c>
    </row>
    <row r="8441" spans="2:5">
      <c r="B8441" s="15" t="s">
        <v>10685</v>
      </c>
      <c r="C8441" s="15" t="s">
        <v>10685</v>
      </c>
      <c r="D8441" s="15" t="s">
        <v>774</v>
      </c>
      <c r="E8441" s="15" t="s">
        <v>3135</v>
      </c>
    </row>
    <row r="8442" spans="2:5">
      <c r="B8442" s="15" t="s">
        <v>10685</v>
      </c>
      <c r="C8442" s="15" t="s">
        <v>10685</v>
      </c>
      <c r="D8442" s="15" t="s">
        <v>828</v>
      </c>
      <c r="E8442" s="15" t="s">
        <v>3136</v>
      </c>
    </row>
    <row r="8443" spans="2:5">
      <c r="B8443" s="15" t="s">
        <v>10685</v>
      </c>
      <c r="C8443" s="15" t="s">
        <v>10685</v>
      </c>
      <c r="D8443" s="15" t="s">
        <v>901</v>
      </c>
      <c r="E8443" s="15" t="s">
        <v>3137</v>
      </c>
    </row>
    <row r="8444" spans="2:5">
      <c r="B8444" s="15" t="s">
        <v>10685</v>
      </c>
      <c r="C8444" s="15" t="s">
        <v>10685</v>
      </c>
      <c r="D8444" s="15" t="s">
        <v>776</v>
      </c>
      <c r="E8444" s="15" t="s">
        <v>235</v>
      </c>
    </row>
    <row r="8445" spans="2:5">
      <c r="B8445" s="15" t="s">
        <v>10685</v>
      </c>
      <c r="C8445" s="15" t="s">
        <v>10685</v>
      </c>
      <c r="D8445" s="15" t="s">
        <v>1290</v>
      </c>
      <c r="E8445" s="15" t="s">
        <v>3138</v>
      </c>
    </row>
    <row r="8446" ht="15.95" spans="2:2">
      <c r="B8446" s="122" t="s">
        <v>10686</v>
      </c>
    </row>
    <row r="8447" spans="2:5">
      <c r="B8447" s="15" t="s">
        <v>10687</v>
      </c>
      <c r="C8447" s="15" t="s">
        <v>10688</v>
      </c>
      <c r="D8447" s="15" t="s">
        <v>635</v>
      </c>
      <c r="E8447" s="15" t="s">
        <v>10689</v>
      </c>
    </row>
    <row r="8448" spans="2:5">
      <c r="B8448" s="15" t="s">
        <v>10687</v>
      </c>
      <c r="C8448" s="15" t="s">
        <v>10688</v>
      </c>
      <c r="D8448" s="15" t="s">
        <v>659</v>
      </c>
      <c r="E8448" s="15" t="s">
        <v>10690</v>
      </c>
    </row>
    <row r="8449" spans="2:5">
      <c r="B8449" s="15" t="s">
        <v>10687</v>
      </c>
      <c r="C8449" s="15" t="s">
        <v>10688</v>
      </c>
      <c r="D8449" s="15" t="s">
        <v>679</v>
      </c>
      <c r="E8449" s="15" t="s">
        <v>10691</v>
      </c>
    </row>
    <row r="8450" spans="2:5">
      <c r="B8450" s="15" t="s">
        <v>10687</v>
      </c>
      <c r="C8450" s="15" t="s">
        <v>10688</v>
      </c>
      <c r="D8450" s="15" t="s">
        <v>705</v>
      </c>
      <c r="E8450" s="15" t="s">
        <v>10692</v>
      </c>
    </row>
    <row r="8451" spans="2:5">
      <c r="B8451" s="15" t="s">
        <v>10687</v>
      </c>
      <c r="C8451" s="15" t="s">
        <v>10688</v>
      </c>
      <c r="D8451" s="15" t="s">
        <v>709</v>
      </c>
      <c r="E8451" s="15" t="s">
        <v>10693</v>
      </c>
    </row>
    <row r="8452" spans="2:5">
      <c r="B8452" s="15" t="s">
        <v>10687</v>
      </c>
      <c r="C8452" s="15" t="s">
        <v>10688</v>
      </c>
      <c r="D8452" s="15" t="s">
        <v>838</v>
      </c>
      <c r="E8452" s="15" t="s">
        <v>3768</v>
      </c>
    </row>
    <row r="8453" spans="2:5">
      <c r="B8453" s="15" t="s">
        <v>10687</v>
      </c>
      <c r="C8453" s="15" t="s">
        <v>10688</v>
      </c>
      <c r="D8453" s="15" t="s">
        <v>840</v>
      </c>
      <c r="E8453" s="15" t="s">
        <v>10694</v>
      </c>
    </row>
    <row r="8454" ht="15.95" spans="2:2">
      <c r="B8454" s="122" t="s">
        <v>10695</v>
      </c>
    </row>
    <row r="8455" spans="2:5">
      <c r="B8455" s="15" t="s">
        <v>10696</v>
      </c>
      <c r="C8455" s="15" t="s">
        <v>10697</v>
      </c>
      <c r="D8455" s="15" t="s">
        <v>933</v>
      </c>
      <c r="E8455" s="15" t="s">
        <v>10698</v>
      </c>
    </row>
    <row r="8456" spans="2:5">
      <c r="B8456" s="15" t="s">
        <v>10696</v>
      </c>
      <c r="C8456" s="15" t="s">
        <v>10697</v>
      </c>
      <c r="D8456" s="15" t="s">
        <v>937</v>
      </c>
      <c r="E8456" s="15" t="s">
        <v>10699</v>
      </c>
    </row>
    <row r="8457" ht="15.95" spans="2:2">
      <c r="B8457" s="122" t="s">
        <v>10700</v>
      </c>
    </row>
    <row r="8458" spans="2:5">
      <c r="B8458" s="15" t="s">
        <v>10701</v>
      </c>
      <c r="C8458" s="15" t="s">
        <v>10702</v>
      </c>
      <c r="D8458" s="15" t="s">
        <v>770</v>
      </c>
      <c r="E8458" s="15" t="s">
        <v>10703</v>
      </c>
    </row>
    <row r="8459" spans="2:5">
      <c r="B8459" s="15" t="s">
        <v>10701</v>
      </c>
      <c r="C8459" s="15" t="s">
        <v>10702</v>
      </c>
      <c r="D8459" s="15" t="s">
        <v>772</v>
      </c>
      <c r="E8459" s="15" t="s">
        <v>10704</v>
      </c>
    </row>
    <row r="8460" spans="2:5">
      <c r="B8460" s="15" t="s">
        <v>10701</v>
      </c>
      <c r="C8460" s="15" t="s">
        <v>10702</v>
      </c>
      <c r="D8460" s="15" t="s">
        <v>774</v>
      </c>
      <c r="E8460" s="15" t="s">
        <v>10705</v>
      </c>
    </row>
    <row r="8461" ht="15.95" spans="2:2">
      <c r="B8461" s="122" t="s">
        <v>10706</v>
      </c>
    </row>
    <row r="8462" spans="2:5">
      <c r="B8462" s="15" t="s">
        <v>10707</v>
      </c>
      <c r="C8462" s="15" t="s">
        <v>896</v>
      </c>
      <c r="D8462" s="15" t="s">
        <v>770</v>
      </c>
      <c r="E8462" s="15" t="s">
        <v>1882</v>
      </c>
    </row>
    <row r="8463" spans="2:5">
      <c r="B8463" s="15" t="s">
        <v>10707</v>
      </c>
      <c r="C8463" s="15" t="s">
        <v>896</v>
      </c>
      <c r="D8463" s="15" t="s">
        <v>772</v>
      </c>
      <c r="E8463" s="15" t="s">
        <v>1883</v>
      </c>
    </row>
    <row r="8464" spans="2:5">
      <c r="B8464" s="15" t="s">
        <v>10707</v>
      </c>
      <c r="C8464" s="15" t="s">
        <v>896</v>
      </c>
      <c r="D8464" s="15" t="s">
        <v>774</v>
      </c>
      <c r="E8464" s="15" t="s">
        <v>1884</v>
      </c>
    </row>
    <row r="8465" spans="2:5">
      <c r="B8465" s="15" t="s">
        <v>10707</v>
      </c>
      <c r="C8465" s="15" t="s">
        <v>896</v>
      </c>
      <c r="D8465" s="15" t="s">
        <v>828</v>
      </c>
      <c r="E8465" s="15" t="s">
        <v>1885</v>
      </c>
    </row>
    <row r="8466" ht="15.95" spans="2:2">
      <c r="B8466" s="122" t="s">
        <v>10708</v>
      </c>
    </row>
    <row r="8467" spans="2:5">
      <c r="B8467" s="15" t="s">
        <v>10709</v>
      </c>
      <c r="C8467" s="15" t="s">
        <v>10710</v>
      </c>
      <c r="D8467" s="15" t="s">
        <v>10711</v>
      </c>
      <c r="E8467" s="15" t="s">
        <v>8849</v>
      </c>
    </row>
    <row r="8468" spans="2:5">
      <c r="B8468" s="15" t="s">
        <v>10709</v>
      </c>
      <c r="C8468" s="15" t="s">
        <v>10710</v>
      </c>
      <c r="D8468" s="15" t="s">
        <v>659</v>
      </c>
      <c r="E8468" s="15" t="s">
        <v>8850</v>
      </c>
    </row>
    <row r="8469" ht="15.95" spans="2:2">
      <c r="B8469" s="122" t="s">
        <v>10712</v>
      </c>
    </row>
    <row r="8470" spans="2:5">
      <c r="B8470" s="15" t="s">
        <v>10713</v>
      </c>
      <c r="C8470" s="15" t="s">
        <v>10714</v>
      </c>
      <c r="D8470" s="15" t="s">
        <v>770</v>
      </c>
      <c r="E8470" s="15" t="s">
        <v>10715</v>
      </c>
    </row>
    <row r="8471" spans="2:5">
      <c r="B8471" s="15" t="s">
        <v>10713</v>
      </c>
      <c r="C8471" s="15" t="s">
        <v>10714</v>
      </c>
      <c r="D8471" s="15" t="s">
        <v>772</v>
      </c>
      <c r="E8471" s="15" t="s">
        <v>10716</v>
      </c>
    </row>
    <row r="8472" ht="15.95" spans="2:2">
      <c r="B8472" s="122" t="s">
        <v>10717</v>
      </c>
    </row>
    <row r="8473" spans="2:5">
      <c r="B8473" s="15" t="s">
        <v>10718</v>
      </c>
      <c r="C8473" s="15" t="s">
        <v>10718</v>
      </c>
      <c r="D8473" s="15" t="s">
        <v>723</v>
      </c>
      <c r="E8473" s="15" t="s">
        <v>1201</v>
      </c>
    </row>
    <row r="8474" spans="2:5">
      <c r="B8474" s="15" t="s">
        <v>10718</v>
      </c>
      <c r="C8474" s="15" t="s">
        <v>10718</v>
      </c>
      <c r="D8474" s="15" t="s">
        <v>725</v>
      </c>
      <c r="E8474" s="15" t="s">
        <v>1203</v>
      </c>
    </row>
    <row r="8475" spans="2:5">
      <c r="B8475" s="15" t="s">
        <v>10718</v>
      </c>
      <c r="C8475" s="15" t="s">
        <v>10718</v>
      </c>
      <c r="D8475" s="15" t="s">
        <v>727</v>
      </c>
      <c r="E8475" s="15" t="s">
        <v>1936</v>
      </c>
    </row>
    <row r="8476" ht="15.95" spans="2:2">
      <c r="B8476" s="122" t="s">
        <v>10719</v>
      </c>
    </row>
    <row r="8477" spans="2:5">
      <c r="B8477" s="15" t="s">
        <v>10720</v>
      </c>
      <c r="C8477" s="15" t="s">
        <v>10721</v>
      </c>
      <c r="D8477" s="15" t="s">
        <v>770</v>
      </c>
      <c r="E8477" s="15" t="s">
        <v>1720</v>
      </c>
    </row>
    <row r="8478" spans="2:5">
      <c r="B8478" s="15" t="s">
        <v>10720</v>
      </c>
      <c r="C8478" s="15" t="s">
        <v>10721</v>
      </c>
      <c r="D8478" s="15" t="s">
        <v>772</v>
      </c>
      <c r="E8478" s="15" t="s">
        <v>10722</v>
      </c>
    </row>
    <row r="8479" ht="15.95" spans="2:2">
      <c r="B8479" s="122" t="s">
        <v>10723</v>
      </c>
    </row>
    <row r="8480" spans="2:5">
      <c r="B8480" s="15" t="s">
        <v>10724</v>
      </c>
      <c r="C8480" s="15" t="s">
        <v>10725</v>
      </c>
      <c r="D8480" s="15" t="s">
        <v>770</v>
      </c>
      <c r="E8480" s="15" t="s">
        <v>10726</v>
      </c>
    </row>
    <row r="8481" spans="2:5">
      <c r="B8481" s="15" t="s">
        <v>10724</v>
      </c>
      <c r="C8481" s="15" t="s">
        <v>10725</v>
      </c>
      <c r="D8481" s="15" t="s">
        <v>772</v>
      </c>
      <c r="E8481" s="15" t="s">
        <v>10727</v>
      </c>
    </row>
    <row r="8482" spans="2:5">
      <c r="B8482" s="15" t="s">
        <v>10724</v>
      </c>
      <c r="C8482" s="15" t="s">
        <v>10725</v>
      </c>
      <c r="D8482" s="15" t="s">
        <v>774</v>
      </c>
      <c r="E8482" s="15" t="s">
        <v>10728</v>
      </c>
    </row>
    <row r="8483" spans="2:5">
      <c r="B8483" s="15" t="s">
        <v>10724</v>
      </c>
      <c r="C8483" s="15" t="s">
        <v>10725</v>
      </c>
      <c r="D8483" s="15" t="s">
        <v>828</v>
      </c>
      <c r="E8483" s="15" t="s">
        <v>235</v>
      </c>
    </row>
    <row r="8484" ht="15.95" spans="2:2">
      <c r="B8484" s="122" t="s">
        <v>10729</v>
      </c>
    </row>
    <row r="8485" spans="2:5">
      <c r="B8485" s="15" t="s">
        <v>10730</v>
      </c>
      <c r="C8485" s="15" t="s">
        <v>5149</v>
      </c>
      <c r="D8485" s="15" t="s">
        <v>770</v>
      </c>
      <c r="E8485" s="15" t="s">
        <v>10731</v>
      </c>
    </row>
    <row r="8486" spans="2:5">
      <c r="B8486" s="15" t="s">
        <v>10730</v>
      </c>
      <c r="C8486" s="15" t="s">
        <v>5149</v>
      </c>
      <c r="D8486" s="15" t="s">
        <v>772</v>
      </c>
      <c r="E8486" s="15" t="s">
        <v>2554</v>
      </c>
    </row>
    <row r="8487" spans="2:5">
      <c r="B8487" s="15" t="s">
        <v>10730</v>
      </c>
      <c r="C8487" s="15" t="s">
        <v>5149</v>
      </c>
      <c r="D8487" s="15" t="s">
        <v>774</v>
      </c>
      <c r="E8487" s="15" t="s">
        <v>10732</v>
      </c>
    </row>
    <row r="8488" spans="2:5">
      <c r="B8488" s="15" t="s">
        <v>10730</v>
      </c>
      <c r="C8488" s="15" t="s">
        <v>5149</v>
      </c>
      <c r="D8488" s="15" t="s">
        <v>828</v>
      </c>
      <c r="E8488" s="15" t="s">
        <v>10733</v>
      </c>
    </row>
    <row r="8489" spans="2:5">
      <c r="B8489" s="15" t="s">
        <v>10730</v>
      </c>
      <c r="C8489" s="15" t="s">
        <v>5149</v>
      </c>
      <c r="D8489" s="15" t="s">
        <v>901</v>
      </c>
      <c r="E8489" s="15" t="s">
        <v>10734</v>
      </c>
    </row>
    <row r="8490" spans="2:5">
      <c r="B8490" s="15" t="s">
        <v>10730</v>
      </c>
      <c r="C8490" s="15" t="s">
        <v>5149</v>
      </c>
      <c r="D8490" s="15" t="s">
        <v>776</v>
      </c>
      <c r="E8490" s="15" t="s">
        <v>1647</v>
      </c>
    </row>
    <row r="8491" spans="2:5">
      <c r="B8491" s="15" t="s">
        <v>10730</v>
      </c>
      <c r="C8491" s="15" t="s">
        <v>5149</v>
      </c>
      <c r="D8491" s="15" t="s">
        <v>1290</v>
      </c>
      <c r="E8491" s="15" t="s">
        <v>235</v>
      </c>
    </row>
    <row r="8492" ht="15.95" spans="2:2">
      <c r="B8492" s="122" t="s">
        <v>10735</v>
      </c>
    </row>
    <row r="8493" spans="2:5">
      <c r="B8493" s="15" t="s">
        <v>10736</v>
      </c>
      <c r="C8493" s="15" t="s">
        <v>8318</v>
      </c>
      <c r="D8493" s="15" t="s">
        <v>723</v>
      </c>
      <c r="E8493" s="15" t="s">
        <v>8319</v>
      </c>
    </row>
    <row r="8494" spans="2:5">
      <c r="B8494" s="15" t="s">
        <v>10736</v>
      </c>
      <c r="C8494" s="15" t="s">
        <v>8318</v>
      </c>
      <c r="D8494" s="15" t="s">
        <v>725</v>
      </c>
      <c r="E8494" s="15" t="s">
        <v>8320</v>
      </c>
    </row>
    <row r="8495" spans="2:5">
      <c r="B8495" s="15" t="s">
        <v>10736</v>
      </c>
      <c r="C8495" s="15" t="s">
        <v>8318</v>
      </c>
      <c r="D8495" s="15" t="s">
        <v>727</v>
      </c>
      <c r="E8495" s="15" t="s">
        <v>8321</v>
      </c>
    </row>
    <row r="8496" spans="2:5">
      <c r="B8496" s="15" t="s">
        <v>10736</v>
      </c>
      <c r="C8496" s="15" t="s">
        <v>8318</v>
      </c>
      <c r="D8496" s="15" t="s">
        <v>729</v>
      </c>
      <c r="E8496" s="15" t="s">
        <v>8322</v>
      </c>
    </row>
    <row r="8497" spans="2:5">
      <c r="B8497" s="15" t="s">
        <v>10736</v>
      </c>
      <c r="C8497" s="15" t="s">
        <v>8318</v>
      </c>
      <c r="D8497" s="15" t="s">
        <v>760</v>
      </c>
      <c r="E8497" s="15" t="s">
        <v>8323</v>
      </c>
    </row>
    <row r="8498" spans="2:5">
      <c r="B8498" s="15" t="s">
        <v>10736</v>
      </c>
      <c r="C8498" s="15" t="s">
        <v>8318</v>
      </c>
      <c r="D8498" s="15" t="s">
        <v>762</v>
      </c>
      <c r="E8498" s="15" t="s">
        <v>8324</v>
      </c>
    </row>
    <row r="8499" spans="2:5">
      <c r="B8499" s="15" t="s">
        <v>10736</v>
      </c>
      <c r="C8499" s="15" t="s">
        <v>8318</v>
      </c>
      <c r="D8499" s="15" t="s">
        <v>764</v>
      </c>
      <c r="E8499" s="15" t="s">
        <v>8325</v>
      </c>
    </row>
    <row r="8500" ht="15.95" spans="2:2">
      <c r="B8500" s="122" t="s">
        <v>10737</v>
      </c>
    </row>
    <row r="8501" spans="2:5">
      <c r="B8501" s="15" t="s">
        <v>10738</v>
      </c>
      <c r="C8501" s="15" t="s">
        <v>10739</v>
      </c>
      <c r="D8501" s="15" t="s">
        <v>770</v>
      </c>
      <c r="E8501" s="15" t="s">
        <v>10740</v>
      </c>
    </row>
    <row r="8502" spans="2:5">
      <c r="B8502" s="15" t="s">
        <v>10738</v>
      </c>
      <c r="C8502" s="15" t="s">
        <v>10739</v>
      </c>
      <c r="D8502" s="15" t="s">
        <v>772</v>
      </c>
      <c r="E8502" s="15" t="s">
        <v>10741</v>
      </c>
    </row>
    <row r="8503" spans="2:5">
      <c r="B8503" s="15" t="s">
        <v>10738</v>
      </c>
      <c r="C8503" s="15" t="s">
        <v>10739</v>
      </c>
      <c r="D8503" s="15" t="s">
        <v>774</v>
      </c>
      <c r="E8503" s="15" t="s">
        <v>235</v>
      </c>
    </row>
    <row r="8504" ht="15.95" spans="2:2">
      <c r="B8504" s="122" t="s">
        <v>10742</v>
      </c>
    </row>
    <row r="8505" spans="2:5">
      <c r="B8505" s="15" t="s">
        <v>10743</v>
      </c>
      <c r="C8505" s="15" t="s">
        <v>10744</v>
      </c>
      <c r="D8505" s="15" t="s">
        <v>770</v>
      </c>
      <c r="E8505" s="15" t="s">
        <v>2557</v>
      </c>
    </row>
    <row r="8506" spans="2:5">
      <c r="B8506" s="15" t="s">
        <v>10743</v>
      </c>
      <c r="C8506" s="15" t="s">
        <v>10744</v>
      </c>
      <c r="D8506" s="15" t="s">
        <v>772</v>
      </c>
      <c r="E8506" s="15" t="s">
        <v>2487</v>
      </c>
    </row>
    <row r="8507" spans="2:5">
      <c r="B8507" s="15" t="s">
        <v>10743</v>
      </c>
      <c r="C8507" s="15" t="s">
        <v>10744</v>
      </c>
      <c r="D8507" s="15" t="s">
        <v>774</v>
      </c>
      <c r="E8507" s="15" t="s">
        <v>3080</v>
      </c>
    </row>
    <row r="8508" spans="2:5">
      <c r="B8508" s="15" t="s">
        <v>10743</v>
      </c>
      <c r="C8508" s="15" t="s">
        <v>10744</v>
      </c>
      <c r="D8508" s="15" t="s">
        <v>828</v>
      </c>
      <c r="E8508" s="15" t="s">
        <v>10745</v>
      </c>
    </row>
    <row r="8509" ht="15.95" spans="2:2">
      <c r="B8509" s="122" t="s">
        <v>10746</v>
      </c>
    </row>
    <row r="8510" spans="2:5">
      <c r="B8510" s="15" t="s">
        <v>10747</v>
      </c>
      <c r="C8510" s="15" t="s">
        <v>10748</v>
      </c>
      <c r="D8510" s="15" t="s">
        <v>1432</v>
      </c>
      <c r="E8510" s="15" t="s">
        <v>10118</v>
      </c>
    </row>
    <row r="8511" spans="2:5">
      <c r="B8511" s="15" t="s">
        <v>10747</v>
      </c>
      <c r="C8511" s="15" t="s">
        <v>10748</v>
      </c>
      <c r="D8511" s="15" t="s">
        <v>723</v>
      </c>
      <c r="E8511" s="15" t="s">
        <v>10749</v>
      </c>
    </row>
    <row r="8512" spans="2:5">
      <c r="B8512" s="15" t="s">
        <v>10747</v>
      </c>
      <c r="C8512" s="15" t="s">
        <v>10748</v>
      </c>
      <c r="D8512" s="15" t="s">
        <v>725</v>
      </c>
      <c r="E8512" s="15" t="s">
        <v>10750</v>
      </c>
    </row>
    <row r="8513" ht="15.95" spans="2:2">
      <c r="B8513" s="122" t="s">
        <v>10751</v>
      </c>
    </row>
    <row r="8514" spans="2:5">
      <c r="B8514" s="15" t="s">
        <v>10752</v>
      </c>
      <c r="C8514" s="15" t="s">
        <v>10753</v>
      </c>
      <c r="D8514" s="15" t="s">
        <v>785</v>
      </c>
      <c r="E8514" s="15" t="s">
        <v>7335</v>
      </c>
    </row>
    <row r="8515" spans="2:5">
      <c r="B8515" s="15" t="s">
        <v>10752</v>
      </c>
      <c r="C8515" s="15" t="s">
        <v>10753</v>
      </c>
      <c r="D8515" s="15" t="s">
        <v>787</v>
      </c>
      <c r="E8515" s="15" t="s">
        <v>2201</v>
      </c>
    </row>
    <row r="8516" spans="2:5">
      <c r="B8516" s="15" t="s">
        <v>10752</v>
      </c>
      <c r="C8516" s="15" t="s">
        <v>10753</v>
      </c>
      <c r="D8516" s="15" t="s">
        <v>789</v>
      </c>
      <c r="E8516" s="15" t="s">
        <v>10754</v>
      </c>
    </row>
    <row r="8517" spans="2:5">
      <c r="B8517" s="15" t="s">
        <v>10752</v>
      </c>
      <c r="C8517" s="15" t="s">
        <v>10753</v>
      </c>
      <c r="D8517" s="15" t="s">
        <v>791</v>
      </c>
      <c r="E8517" s="15" t="s">
        <v>10755</v>
      </c>
    </row>
    <row r="8518" spans="2:5">
      <c r="B8518" s="15" t="s">
        <v>10752</v>
      </c>
      <c r="C8518" s="15" t="s">
        <v>10753</v>
      </c>
      <c r="D8518" s="15" t="s">
        <v>10756</v>
      </c>
      <c r="E8518" s="15" t="s">
        <v>10757</v>
      </c>
    </row>
    <row r="8519" spans="2:5">
      <c r="B8519" s="15" t="s">
        <v>10752</v>
      </c>
      <c r="C8519" s="15" t="s">
        <v>10753</v>
      </c>
      <c r="D8519" s="15" t="s">
        <v>10758</v>
      </c>
      <c r="E8519" s="15" t="s">
        <v>10759</v>
      </c>
    </row>
    <row r="8520" spans="2:5">
      <c r="B8520" s="15" t="s">
        <v>10752</v>
      </c>
      <c r="C8520" s="15" t="s">
        <v>10753</v>
      </c>
      <c r="D8520" s="15" t="s">
        <v>10760</v>
      </c>
      <c r="E8520" s="15" t="s">
        <v>10761</v>
      </c>
    </row>
    <row r="8521" spans="2:5">
      <c r="B8521" s="15" t="s">
        <v>10752</v>
      </c>
      <c r="C8521" s="15" t="s">
        <v>10753</v>
      </c>
      <c r="D8521" s="15" t="s">
        <v>10762</v>
      </c>
      <c r="E8521" s="15" t="s">
        <v>2085</v>
      </c>
    </row>
    <row r="8522" spans="2:5">
      <c r="B8522" s="15" t="s">
        <v>10752</v>
      </c>
      <c r="C8522" s="15" t="s">
        <v>10753</v>
      </c>
      <c r="D8522" s="15" t="s">
        <v>10763</v>
      </c>
      <c r="E8522" s="15" t="s">
        <v>10764</v>
      </c>
    </row>
    <row r="8523" spans="2:5">
      <c r="B8523" s="15" t="s">
        <v>10752</v>
      </c>
      <c r="C8523" s="15" t="s">
        <v>10753</v>
      </c>
      <c r="D8523" s="15" t="s">
        <v>10765</v>
      </c>
      <c r="E8523" s="15" t="s">
        <v>10766</v>
      </c>
    </row>
    <row r="8524" spans="2:5">
      <c r="B8524" s="15" t="s">
        <v>10752</v>
      </c>
      <c r="C8524" s="15" t="s">
        <v>10753</v>
      </c>
      <c r="D8524" s="15" t="s">
        <v>10767</v>
      </c>
      <c r="E8524" s="15" t="s">
        <v>10768</v>
      </c>
    </row>
    <row r="8525" spans="2:5">
      <c r="B8525" s="15" t="s">
        <v>10752</v>
      </c>
      <c r="C8525" s="15" t="s">
        <v>10753</v>
      </c>
      <c r="D8525" s="15" t="s">
        <v>10769</v>
      </c>
      <c r="E8525" s="15" t="s">
        <v>10770</v>
      </c>
    </row>
    <row r="8526" ht="15.95" spans="2:2">
      <c r="B8526" s="122" t="s">
        <v>10771</v>
      </c>
    </row>
    <row r="8527" spans="2:5">
      <c r="B8527" s="15" t="s">
        <v>10772</v>
      </c>
      <c r="C8527" s="15" t="s">
        <v>10772</v>
      </c>
      <c r="D8527" s="15" t="s">
        <v>770</v>
      </c>
      <c r="E8527" s="15" t="s">
        <v>10677</v>
      </c>
    </row>
    <row r="8528" spans="2:5">
      <c r="B8528" s="15" t="s">
        <v>10772</v>
      </c>
      <c r="C8528" s="15" t="s">
        <v>10772</v>
      </c>
      <c r="D8528" s="15" t="s">
        <v>772</v>
      </c>
      <c r="E8528" s="15" t="s">
        <v>10678</v>
      </c>
    </row>
    <row r="8529" spans="2:5">
      <c r="B8529" s="15" t="s">
        <v>10772</v>
      </c>
      <c r="C8529" s="15" t="s">
        <v>10772</v>
      </c>
      <c r="D8529" s="15" t="s">
        <v>774</v>
      </c>
      <c r="E8529" s="15" t="s">
        <v>10679</v>
      </c>
    </row>
    <row r="8530" ht="15.95" spans="2:2">
      <c r="B8530" s="122" t="s">
        <v>10773</v>
      </c>
    </row>
    <row r="8531" spans="2:5">
      <c r="B8531" s="15" t="s">
        <v>10774</v>
      </c>
      <c r="C8531" s="15" t="s">
        <v>10774</v>
      </c>
      <c r="D8531" s="15" t="s">
        <v>723</v>
      </c>
      <c r="E8531" s="15" t="s">
        <v>1825</v>
      </c>
    </row>
    <row r="8532" spans="2:5">
      <c r="B8532" s="15" t="s">
        <v>10774</v>
      </c>
      <c r="C8532" s="15" t="s">
        <v>10774</v>
      </c>
      <c r="D8532" s="15" t="s">
        <v>725</v>
      </c>
      <c r="E8532" s="15" t="s">
        <v>1826</v>
      </c>
    </row>
    <row r="8533" spans="2:5">
      <c r="B8533" s="15" t="s">
        <v>10774</v>
      </c>
      <c r="C8533" s="15" t="s">
        <v>10774</v>
      </c>
      <c r="D8533" s="15" t="s">
        <v>727</v>
      </c>
      <c r="E8533" s="15" t="s">
        <v>1827</v>
      </c>
    </row>
    <row r="8534" ht="15.95" spans="2:2">
      <c r="B8534" s="122" t="s">
        <v>10775</v>
      </c>
    </row>
    <row r="8535" spans="2:5">
      <c r="B8535" s="15" t="s">
        <v>10776</v>
      </c>
      <c r="C8535" s="15" t="s">
        <v>5641</v>
      </c>
      <c r="D8535" s="15" t="s">
        <v>770</v>
      </c>
      <c r="E8535" s="15" t="s">
        <v>6968</v>
      </c>
    </row>
    <row r="8536" spans="2:5">
      <c r="B8536" s="15" t="s">
        <v>10776</v>
      </c>
      <c r="C8536" s="15" t="s">
        <v>5641</v>
      </c>
      <c r="D8536" s="15" t="s">
        <v>772</v>
      </c>
      <c r="E8536" s="15" t="s">
        <v>1726</v>
      </c>
    </row>
    <row r="8537" ht="15.95" spans="2:2">
      <c r="B8537" s="122" t="s">
        <v>10777</v>
      </c>
    </row>
    <row r="8538" spans="2:5">
      <c r="B8538" s="15" t="s">
        <v>10778</v>
      </c>
      <c r="C8538" s="15" t="s">
        <v>10779</v>
      </c>
      <c r="D8538" s="15" t="s">
        <v>770</v>
      </c>
      <c r="E8538" s="15" t="s">
        <v>7310</v>
      </c>
    </row>
    <row r="8539" spans="2:5">
      <c r="B8539" s="15" t="s">
        <v>10778</v>
      </c>
      <c r="C8539" s="15" t="s">
        <v>10779</v>
      </c>
      <c r="D8539" s="15" t="s">
        <v>772</v>
      </c>
      <c r="E8539" s="15" t="s">
        <v>8301</v>
      </c>
    </row>
    <row r="8540" ht="15.95" spans="2:2">
      <c r="B8540" s="122" t="s">
        <v>10780</v>
      </c>
    </row>
    <row r="8541" spans="2:5">
      <c r="B8541" s="15" t="s">
        <v>10781</v>
      </c>
      <c r="C8541" s="15" t="s">
        <v>896</v>
      </c>
      <c r="D8541" s="15" t="s">
        <v>770</v>
      </c>
      <c r="E8541" s="15" t="s">
        <v>1712</v>
      </c>
    </row>
    <row r="8542" spans="2:5">
      <c r="B8542" s="15" t="s">
        <v>10781</v>
      </c>
      <c r="C8542" s="15" t="s">
        <v>896</v>
      </c>
      <c r="D8542" s="15" t="s">
        <v>772</v>
      </c>
      <c r="E8542" s="15" t="s">
        <v>1203</v>
      </c>
    </row>
    <row r="8543" spans="2:5">
      <c r="B8543" s="15" t="s">
        <v>10781</v>
      </c>
      <c r="C8543" s="15" t="s">
        <v>896</v>
      </c>
      <c r="D8543" s="15" t="s">
        <v>774</v>
      </c>
      <c r="E8543" s="15" t="s">
        <v>1713</v>
      </c>
    </row>
    <row r="8544" ht="15.95" spans="2:2">
      <c r="B8544" s="122" t="s">
        <v>10782</v>
      </c>
    </row>
    <row r="8545" spans="2:5">
      <c r="B8545" s="15" t="s">
        <v>10783</v>
      </c>
      <c r="C8545" s="15" t="s">
        <v>10784</v>
      </c>
      <c r="D8545" s="15" t="s">
        <v>9174</v>
      </c>
      <c r="E8545" s="15" t="s">
        <v>8130</v>
      </c>
    </row>
    <row r="8546" spans="2:5">
      <c r="B8546" s="15" t="s">
        <v>10783</v>
      </c>
      <c r="C8546" s="15" t="s">
        <v>10784</v>
      </c>
      <c r="D8546" s="15" t="s">
        <v>10785</v>
      </c>
      <c r="E8546" s="15" t="s">
        <v>10786</v>
      </c>
    </row>
    <row r="8547" ht="15.95" spans="2:2">
      <c r="B8547" s="122" t="s">
        <v>10787</v>
      </c>
    </row>
    <row r="8548" spans="2:5">
      <c r="B8548" s="15" t="s">
        <v>10788</v>
      </c>
      <c r="C8548" s="15" t="s">
        <v>10789</v>
      </c>
      <c r="D8548" s="15" t="s">
        <v>917</v>
      </c>
      <c r="E8548" s="15" t="s">
        <v>10790</v>
      </c>
    </row>
    <row r="8549" spans="2:5">
      <c r="B8549" s="15" t="s">
        <v>10788</v>
      </c>
      <c r="C8549" s="15" t="s">
        <v>10789</v>
      </c>
      <c r="D8549" s="15" t="s">
        <v>919</v>
      </c>
      <c r="E8549" s="15" t="s">
        <v>10791</v>
      </c>
    </row>
    <row r="8550" spans="2:5">
      <c r="B8550" s="15" t="s">
        <v>10788</v>
      </c>
      <c r="C8550" s="15" t="s">
        <v>10789</v>
      </c>
      <c r="D8550" s="15" t="s">
        <v>1091</v>
      </c>
      <c r="E8550" s="15" t="s">
        <v>10792</v>
      </c>
    </row>
    <row r="8551" spans="2:5">
      <c r="B8551" s="15" t="s">
        <v>10788</v>
      </c>
      <c r="C8551" s="15" t="s">
        <v>10789</v>
      </c>
      <c r="D8551" s="15" t="s">
        <v>921</v>
      </c>
      <c r="E8551" s="15" t="s">
        <v>10793</v>
      </c>
    </row>
    <row r="8552" spans="2:5">
      <c r="B8552" s="15" t="s">
        <v>10788</v>
      </c>
      <c r="C8552" s="15" t="s">
        <v>10789</v>
      </c>
      <c r="D8552" s="15" t="s">
        <v>923</v>
      </c>
      <c r="E8552" s="15" t="s">
        <v>10794</v>
      </c>
    </row>
    <row r="8553" spans="2:5">
      <c r="B8553" s="15" t="s">
        <v>10788</v>
      </c>
      <c r="C8553" s="15" t="s">
        <v>10789</v>
      </c>
      <c r="D8553" s="15" t="s">
        <v>1095</v>
      </c>
      <c r="E8553" s="15" t="s">
        <v>10795</v>
      </c>
    </row>
    <row r="8554" ht="15.95" spans="2:2">
      <c r="B8554" s="122" t="s">
        <v>10796</v>
      </c>
    </row>
    <row r="8555" spans="2:5">
      <c r="B8555" s="15" t="s">
        <v>10797</v>
      </c>
      <c r="C8555" s="15" t="s">
        <v>10797</v>
      </c>
      <c r="D8555" s="15" t="s">
        <v>770</v>
      </c>
      <c r="E8555" s="15" t="s">
        <v>1337</v>
      </c>
    </row>
    <row r="8556" spans="2:5">
      <c r="B8556" s="15" t="s">
        <v>10797</v>
      </c>
      <c r="C8556" s="15" t="s">
        <v>10797</v>
      </c>
      <c r="D8556" s="15" t="s">
        <v>772</v>
      </c>
      <c r="E8556" s="15" t="s">
        <v>1338</v>
      </c>
    </row>
    <row r="8557" spans="2:5">
      <c r="B8557" s="15" t="s">
        <v>10797</v>
      </c>
      <c r="C8557" s="15" t="s">
        <v>10797</v>
      </c>
      <c r="D8557" s="15" t="s">
        <v>774</v>
      </c>
      <c r="E8557" s="15" t="s">
        <v>1339</v>
      </c>
    </row>
    <row r="8558" spans="2:5">
      <c r="B8558" s="15" t="s">
        <v>10797</v>
      </c>
      <c r="C8558" s="15" t="s">
        <v>10797</v>
      </c>
      <c r="D8558" s="15" t="s">
        <v>828</v>
      </c>
      <c r="E8558" s="15" t="s">
        <v>1340</v>
      </c>
    </row>
    <row r="8559" ht="15.95" spans="2:2">
      <c r="B8559" s="122" t="s">
        <v>10798</v>
      </c>
    </row>
    <row r="8560" spans="2:5">
      <c r="B8560" s="15" t="s">
        <v>10799</v>
      </c>
      <c r="C8560" s="15" t="s">
        <v>10800</v>
      </c>
      <c r="D8560" s="15" t="s">
        <v>1267</v>
      </c>
      <c r="E8560" s="15" t="s">
        <v>1268</v>
      </c>
    </row>
    <row r="8561" spans="2:5">
      <c r="B8561" s="15" t="s">
        <v>10799</v>
      </c>
      <c r="C8561" s="15" t="s">
        <v>10800</v>
      </c>
      <c r="D8561" s="15" t="s">
        <v>1269</v>
      </c>
      <c r="E8561" s="15" t="s">
        <v>1270</v>
      </c>
    </row>
    <row r="8562" spans="2:5">
      <c r="B8562" s="15" t="s">
        <v>10799</v>
      </c>
      <c r="C8562" s="15" t="s">
        <v>10800</v>
      </c>
      <c r="D8562" s="15" t="s">
        <v>1919</v>
      </c>
      <c r="E8562" s="15" t="s">
        <v>1920</v>
      </c>
    </row>
    <row r="8563" ht="15.95" spans="2:2">
      <c r="B8563" s="122" t="s">
        <v>10801</v>
      </c>
    </row>
    <row r="8564" spans="2:5">
      <c r="B8564" s="15" t="s">
        <v>10802</v>
      </c>
      <c r="C8564" s="15"/>
      <c r="D8564" s="15" t="s">
        <v>1267</v>
      </c>
      <c r="E8564" s="15" t="s">
        <v>1355</v>
      </c>
    </row>
    <row r="8565" spans="2:5">
      <c r="B8565" s="15" t="s">
        <v>10802</v>
      </c>
      <c r="C8565" s="15"/>
      <c r="D8565" s="15" t="s">
        <v>1269</v>
      </c>
      <c r="E8565" s="15" t="s">
        <v>1356</v>
      </c>
    </row>
    <row r="8566" ht="15.95" spans="2:2">
      <c r="B8566" s="122" t="s">
        <v>10803</v>
      </c>
    </row>
    <row r="8567" spans="2:5">
      <c r="B8567" s="15" t="s">
        <v>10804</v>
      </c>
      <c r="C8567" s="15" t="s">
        <v>10804</v>
      </c>
      <c r="D8567" s="15" t="s">
        <v>770</v>
      </c>
      <c r="E8567" s="15" t="s">
        <v>8982</v>
      </c>
    </row>
    <row r="8568" spans="2:5">
      <c r="B8568" s="15" t="s">
        <v>10804</v>
      </c>
      <c r="C8568" s="15" t="s">
        <v>10804</v>
      </c>
      <c r="D8568" s="15" t="s">
        <v>772</v>
      </c>
      <c r="E8568" s="15" t="s">
        <v>10805</v>
      </c>
    </row>
    <row r="8569" spans="2:5">
      <c r="B8569" s="15" t="s">
        <v>10804</v>
      </c>
      <c r="C8569" s="15" t="s">
        <v>10804</v>
      </c>
      <c r="D8569" s="15" t="s">
        <v>774</v>
      </c>
      <c r="E8569" s="15" t="s">
        <v>8984</v>
      </c>
    </row>
    <row r="8570" spans="2:5">
      <c r="B8570" s="15" t="s">
        <v>10804</v>
      </c>
      <c r="C8570" s="15" t="s">
        <v>10804</v>
      </c>
      <c r="D8570" s="15" t="s">
        <v>828</v>
      </c>
      <c r="E8570" s="15" t="s">
        <v>8985</v>
      </c>
    </row>
    <row r="8571" spans="2:5">
      <c r="B8571" s="15" t="s">
        <v>10804</v>
      </c>
      <c r="C8571" s="15" t="s">
        <v>10804</v>
      </c>
      <c r="D8571" s="15" t="s">
        <v>901</v>
      </c>
      <c r="E8571" s="15" t="s">
        <v>8986</v>
      </c>
    </row>
    <row r="8572" ht="15.95" spans="2:2">
      <c r="B8572" s="122" t="s">
        <v>10806</v>
      </c>
    </row>
    <row r="8573" spans="2:5">
      <c r="B8573" s="15" t="s">
        <v>10807</v>
      </c>
      <c r="C8573" s="15" t="s">
        <v>1493</v>
      </c>
      <c r="D8573" s="15" t="s">
        <v>770</v>
      </c>
      <c r="E8573" s="15" t="s">
        <v>10808</v>
      </c>
    </row>
    <row r="8574" spans="2:5">
      <c r="B8574" s="15" t="s">
        <v>10807</v>
      </c>
      <c r="C8574" s="15" t="s">
        <v>1493</v>
      </c>
      <c r="D8574" s="15" t="s">
        <v>772</v>
      </c>
      <c r="E8574" s="15" t="s">
        <v>10809</v>
      </c>
    </row>
    <row r="8575" spans="2:5">
      <c r="B8575" s="15" t="s">
        <v>10807</v>
      </c>
      <c r="C8575" s="15" t="s">
        <v>1493</v>
      </c>
      <c r="D8575" s="15" t="s">
        <v>774</v>
      </c>
      <c r="E8575" s="15" t="s">
        <v>10810</v>
      </c>
    </row>
    <row r="8576" ht="15.95" spans="2:2">
      <c r="B8576" s="122" t="s">
        <v>10811</v>
      </c>
    </row>
    <row r="8577" spans="2:5">
      <c r="B8577" s="15" t="s">
        <v>10812</v>
      </c>
      <c r="C8577" s="15" t="s">
        <v>10813</v>
      </c>
      <c r="D8577" s="15" t="s">
        <v>635</v>
      </c>
      <c r="E8577" s="15" t="s">
        <v>10814</v>
      </c>
    </row>
    <row r="8578" spans="2:5">
      <c r="B8578" s="15" t="s">
        <v>10812</v>
      </c>
      <c r="C8578" s="15" t="s">
        <v>10813</v>
      </c>
      <c r="D8578" s="15" t="s">
        <v>659</v>
      </c>
      <c r="E8578" s="15" t="s">
        <v>10815</v>
      </c>
    </row>
    <row r="8579" spans="2:5">
      <c r="B8579" s="15" t="s">
        <v>10812</v>
      </c>
      <c r="C8579" s="15" t="s">
        <v>10813</v>
      </c>
      <c r="D8579" s="15" t="s">
        <v>7562</v>
      </c>
      <c r="E8579" s="15" t="s">
        <v>10816</v>
      </c>
    </row>
    <row r="8580" spans="2:5">
      <c r="B8580" s="15" t="s">
        <v>10812</v>
      </c>
      <c r="C8580" s="15" t="s">
        <v>10813</v>
      </c>
      <c r="D8580" s="15" t="s">
        <v>679</v>
      </c>
      <c r="E8580" s="15" t="s">
        <v>10817</v>
      </c>
    </row>
    <row r="8581" spans="2:5">
      <c r="B8581" s="15" t="s">
        <v>10812</v>
      </c>
      <c r="C8581" s="15" t="s">
        <v>10813</v>
      </c>
      <c r="D8581" s="15" t="s">
        <v>705</v>
      </c>
      <c r="E8581" s="15" t="s">
        <v>10818</v>
      </c>
    </row>
    <row r="8582" spans="2:5">
      <c r="B8582" s="15" t="s">
        <v>10812</v>
      </c>
      <c r="C8582" s="15" t="s">
        <v>10813</v>
      </c>
      <c r="D8582" s="15" t="s">
        <v>709</v>
      </c>
      <c r="E8582" s="15" t="s">
        <v>10819</v>
      </c>
    </row>
    <row r="8583" spans="2:5">
      <c r="B8583" s="15" t="s">
        <v>10812</v>
      </c>
      <c r="C8583" s="15" t="s">
        <v>10813</v>
      </c>
      <c r="D8583" s="15" t="s">
        <v>838</v>
      </c>
      <c r="E8583" s="15" t="s">
        <v>10820</v>
      </c>
    </row>
    <row r="8584" spans="2:5">
      <c r="B8584" s="15" t="s">
        <v>10812</v>
      </c>
      <c r="C8584" s="15" t="s">
        <v>10813</v>
      </c>
      <c r="D8584" s="15" t="s">
        <v>1472</v>
      </c>
      <c r="E8584" s="15" t="s">
        <v>10821</v>
      </c>
    </row>
    <row r="8585" spans="2:5">
      <c r="B8585" s="15" t="s">
        <v>10812</v>
      </c>
      <c r="C8585" s="15" t="s">
        <v>10813</v>
      </c>
      <c r="D8585" s="15" t="s">
        <v>8334</v>
      </c>
      <c r="E8585" s="15" t="s">
        <v>10822</v>
      </c>
    </row>
    <row r="8586" spans="2:5">
      <c r="B8586" s="15" t="s">
        <v>10812</v>
      </c>
      <c r="C8586" s="15" t="s">
        <v>10813</v>
      </c>
      <c r="D8586" s="15" t="s">
        <v>840</v>
      </c>
      <c r="E8586" s="15" t="s">
        <v>10823</v>
      </c>
    </row>
    <row r="8587" spans="2:5">
      <c r="B8587" s="15" t="s">
        <v>10812</v>
      </c>
      <c r="C8587" s="15" t="s">
        <v>10813</v>
      </c>
      <c r="D8587" s="15" t="s">
        <v>842</v>
      </c>
      <c r="E8587" s="15" t="s">
        <v>10824</v>
      </c>
    </row>
    <row r="8588" ht="15.95" spans="2:2">
      <c r="B8588" s="122" t="s">
        <v>10825</v>
      </c>
    </row>
    <row r="8589" spans="2:5">
      <c r="B8589" s="15" t="s">
        <v>10826</v>
      </c>
      <c r="C8589" s="15" t="s">
        <v>896</v>
      </c>
      <c r="D8589" s="15" t="s">
        <v>770</v>
      </c>
      <c r="E8589" s="15" t="s">
        <v>4379</v>
      </c>
    </row>
    <row r="8590" spans="2:5">
      <c r="B8590" s="15" t="s">
        <v>10826</v>
      </c>
      <c r="C8590" s="15" t="s">
        <v>896</v>
      </c>
      <c r="D8590" s="15" t="s">
        <v>772</v>
      </c>
      <c r="E8590" s="15" t="s">
        <v>4380</v>
      </c>
    </row>
    <row r="8591" spans="2:5">
      <c r="B8591" s="15" t="s">
        <v>10826</v>
      </c>
      <c r="C8591" s="15" t="s">
        <v>896</v>
      </c>
      <c r="D8591" s="15" t="s">
        <v>774</v>
      </c>
      <c r="E8591" s="15" t="s">
        <v>4381</v>
      </c>
    </row>
    <row r="8592" ht="15.95" spans="2:2">
      <c r="B8592" s="122" t="s">
        <v>10827</v>
      </c>
    </row>
    <row r="8593" spans="2:5">
      <c r="B8593" s="15" t="s">
        <v>10828</v>
      </c>
      <c r="C8593" s="15" t="s">
        <v>896</v>
      </c>
      <c r="D8593" s="15" t="s">
        <v>770</v>
      </c>
      <c r="E8593" s="15" t="s">
        <v>10026</v>
      </c>
    </row>
    <row r="8594" spans="2:5">
      <c r="B8594" s="15" t="s">
        <v>10828</v>
      </c>
      <c r="C8594" s="15" t="s">
        <v>896</v>
      </c>
      <c r="D8594" s="15" t="s">
        <v>772</v>
      </c>
      <c r="E8594" s="15" t="s">
        <v>10027</v>
      </c>
    </row>
    <row r="8595" spans="2:5">
      <c r="B8595" s="15" t="s">
        <v>10828</v>
      </c>
      <c r="C8595" s="15" t="s">
        <v>896</v>
      </c>
      <c r="D8595" s="15" t="s">
        <v>774</v>
      </c>
      <c r="E8595" s="15" t="s">
        <v>10028</v>
      </c>
    </row>
    <row r="8596" spans="2:5">
      <c r="B8596" s="15" t="s">
        <v>10828</v>
      </c>
      <c r="C8596" s="15" t="s">
        <v>896</v>
      </c>
      <c r="D8596" s="15" t="s">
        <v>828</v>
      </c>
      <c r="E8596" s="15" t="s">
        <v>10029</v>
      </c>
    </row>
    <row r="8597" spans="2:5">
      <c r="B8597" s="15" t="s">
        <v>10828</v>
      </c>
      <c r="C8597" s="15" t="s">
        <v>896</v>
      </c>
      <c r="D8597" s="15" t="s">
        <v>901</v>
      </c>
      <c r="E8597" s="15" t="s">
        <v>5032</v>
      </c>
    </row>
    <row r="8598" ht="15.95" spans="2:2">
      <c r="B8598" s="122" t="s">
        <v>10829</v>
      </c>
    </row>
    <row r="8599" spans="2:5">
      <c r="B8599" s="15" t="s">
        <v>10830</v>
      </c>
      <c r="C8599" s="15" t="s">
        <v>10831</v>
      </c>
      <c r="D8599" s="15" t="s">
        <v>933</v>
      </c>
      <c r="E8599" s="15" t="s">
        <v>3360</v>
      </c>
    </row>
    <row r="8600" spans="2:5">
      <c r="B8600" s="15" t="s">
        <v>10830</v>
      </c>
      <c r="C8600" s="15" t="s">
        <v>10831</v>
      </c>
      <c r="D8600" s="15" t="s">
        <v>917</v>
      </c>
      <c r="E8600" s="15" t="s">
        <v>10625</v>
      </c>
    </row>
    <row r="8601" spans="2:5">
      <c r="B8601" s="15" t="s">
        <v>10830</v>
      </c>
      <c r="C8601" s="15" t="s">
        <v>10831</v>
      </c>
      <c r="D8601" s="15" t="s">
        <v>919</v>
      </c>
      <c r="E8601" s="15" t="s">
        <v>3364</v>
      </c>
    </row>
    <row r="8602" spans="2:5">
      <c r="B8602" s="15" t="s">
        <v>10830</v>
      </c>
      <c r="C8602" s="15" t="s">
        <v>10831</v>
      </c>
      <c r="D8602" s="15" t="s">
        <v>1091</v>
      </c>
      <c r="E8602" s="15" t="s">
        <v>3366</v>
      </c>
    </row>
    <row r="8603" spans="2:5">
      <c r="B8603" s="15" t="s">
        <v>10830</v>
      </c>
      <c r="C8603" s="15" t="s">
        <v>10831</v>
      </c>
      <c r="D8603" s="15" t="s">
        <v>921</v>
      </c>
      <c r="E8603" s="15" t="s">
        <v>3368</v>
      </c>
    </row>
    <row r="8604" spans="2:5">
      <c r="B8604" s="15" t="s">
        <v>10830</v>
      </c>
      <c r="C8604" s="15" t="s">
        <v>10831</v>
      </c>
      <c r="D8604" s="15" t="s">
        <v>923</v>
      </c>
      <c r="E8604" s="15" t="s">
        <v>698</v>
      </c>
    </row>
    <row r="8605" ht="15.95" spans="2:2">
      <c r="B8605" s="122" t="s">
        <v>10832</v>
      </c>
    </row>
    <row r="8606" spans="2:5">
      <c r="B8606" s="15" t="s">
        <v>10833</v>
      </c>
      <c r="C8606" s="15" t="s">
        <v>10834</v>
      </c>
      <c r="D8606" s="15" t="s">
        <v>635</v>
      </c>
      <c r="E8606" s="15" t="s">
        <v>10835</v>
      </c>
    </row>
    <row r="8607" spans="2:5">
      <c r="B8607" s="15" t="s">
        <v>10833</v>
      </c>
      <c r="C8607" s="15" t="s">
        <v>10834</v>
      </c>
      <c r="D8607" s="15" t="s">
        <v>659</v>
      </c>
      <c r="E8607" s="15" t="s">
        <v>10836</v>
      </c>
    </row>
    <row r="8608" spans="2:5">
      <c r="B8608" s="15" t="s">
        <v>10833</v>
      </c>
      <c r="C8608" s="15" t="s">
        <v>10834</v>
      </c>
      <c r="D8608" s="15" t="s">
        <v>679</v>
      </c>
      <c r="E8608" s="15" t="s">
        <v>10837</v>
      </c>
    </row>
    <row r="8609" spans="2:5">
      <c r="B8609" s="15" t="s">
        <v>10833</v>
      </c>
      <c r="C8609" s="15" t="s">
        <v>10834</v>
      </c>
      <c r="D8609" s="15" t="s">
        <v>705</v>
      </c>
      <c r="E8609" s="15" t="s">
        <v>10838</v>
      </c>
    </row>
    <row r="8610" spans="2:5">
      <c r="B8610" s="15" t="s">
        <v>10833</v>
      </c>
      <c r="C8610" s="15" t="s">
        <v>10834</v>
      </c>
      <c r="D8610" s="15" t="s">
        <v>709</v>
      </c>
      <c r="E8610" s="15" t="s">
        <v>10839</v>
      </c>
    </row>
    <row r="8611" spans="2:5">
      <c r="B8611" s="15" t="s">
        <v>10833</v>
      </c>
      <c r="C8611" s="15" t="s">
        <v>10834</v>
      </c>
      <c r="D8611" s="15" t="s">
        <v>838</v>
      </c>
      <c r="E8611" s="15" t="s">
        <v>10840</v>
      </c>
    </row>
    <row r="8612" ht="15.95" spans="2:2">
      <c r="B8612" s="122" t="s">
        <v>10841</v>
      </c>
    </row>
    <row r="8613" spans="2:5">
      <c r="B8613" s="15" t="s">
        <v>10842</v>
      </c>
      <c r="C8613" s="15" t="s">
        <v>10843</v>
      </c>
      <c r="D8613" s="15" t="s">
        <v>933</v>
      </c>
      <c r="E8613" s="15" t="s">
        <v>10844</v>
      </c>
    </row>
    <row r="8614" spans="2:5">
      <c r="B8614" s="15" t="s">
        <v>10842</v>
      </c>
      <c r="C8614" s="15" t="s">
        <v>10843</v>
      </c>
      <c r="D8614" s="15" t="s">
        <v>937</v>
      </c>
      <c r="E8614" s="15" t="s">
        <v>10845</v>
      </c>
    </row>
    <row r="8615" ht="15.95" spans="2:2">
      <c r="B8615" s="122" t="s">
        <v>10846</v>
      </c>
    </row>
    <row r="8616" spans="2:5">
      <c r="B8616" s="15" t="s">
        <v>10847</v>
      </c>
      <c r="C8616" s="15" t="s">
        <v>10848</v>
      </c>
      <c r="D8616" s="15" t="s">
        <v>770</v>
      </c>
      <c r="E8616" s="15" t="s">
        <v>10849</v>
      </c>
    </row>
    <row r="8617" spans="2:5">
      <c r="B8617" s="15" t="s">
        <v>10847</v>
      </c>
      <c r="C8617" s="15" t="s">
        <v>10848</v>
      </c>
      <c r="D8617" s="15" t="s">
        <v>772</v>
      </c>
      <c r="E8617" s="15" t="s">
        <v>10850</v>
      </c>
    </row>
    <row r="8618" spans="2:5">
      <c r="B8618" s="15" t="s">
        <v>10847</v>
      </c>
      <c r="C8618" s="15" t="s">
        <v>10848</v>
      </c>
      <c r="D8618" s="15" t="s">
        <v>774</v>
      </c>
      <c r="E8618" s="15" t="s">
        <v>10851</v>
      </c>
    </row>
    <row r="8619" spans="2:5">
      <c r="B8619" s="15" t="s">
        <v>10847</v>
      </c>
      <c r="C8619" s="15" t="s">
        <v>10848</v>
      </c>
      <c r="D8619" s="15" t="s">
        <v>828</v>
      </c>
      <c r="E8619" s="15" t="s">
        <v>10852</v>
      </c>
    </row>
    <row r="8620" spans="2:5">
      <c r="B8620" s="15" t="s">
        <v>10847</v>
      </c>
      <c r="C8620" s="15" t="s">
        <v>10848</v>
      </c>
      <c r="D8620" s="15" t="s">
        <v>901</v>
      </c>
      <c r="E8620" s="15" t="s">
        <v>10853</v>
      </c>
    </row>
    <row r="8621" spans="2:5">
      <c r="B8621" s="15" t="s">
        <v>10847</v>
      </c>
      <c r="C8621" s="15" t="s">
        <v>10848</v>
      </c>
      <c r="D8621" s="15" t="s">
        <v>776</v>
      </c>
      <c r="E8621" s="15" t="s">
        <v>10854</v>
      </c>
    </row>
    <row r="8622" spans="2:5">
      <c r="B8622" s="15" t="s">
        <v>10847</v>
      </c>
      <c r="C8622" s="15" t="s">
        <v>10848</v>
      </c>
      <c r="D8622" s="15" t="s">
        <v>1290</v>
      </c>
      <c r="E8622" s="15" t="s">
        <v>10855</v>
      </c>
    </row>
    <row r="8623" spans="2:5">
      <c r="B8623" s="15" t="s">
        <v>10847</v>
      </c>
      <c r="C8623" s="15" t="s">
        <v>10848</v>
      </c>
      <c r="D8623" s="15" t="s">
        <v>1409</v>
      </c>
      <c r="E8623" s="15" t="s">
        <v>10856</v>
      </c>
    </row>
    <row r="8624" spans="2:5">
      <c r="B8624" s="15" t="s">
        <v>10847</v>
      </c>
      <c r="C8624" s="15" t="s">
        <v>10848</v>
      </c>
      <c r="D8624" s="15" t="s">
        <v>1411</v>
      </c>
      <c r="E8624" s="15" t="s">
        <v>10857</v>
      </c>
    </row>
    <row r="8625" spans="2:5">
      <c r="B8625" s="15" t="s">
        <v>10847</v>
      </c>
      <c r="C8625" s="15" t="s">
        <v>10848</v>
      </c>
      <c r="D8625" s="15" t="s">
        <v>1143</v>
      </c>
      <c r="E8625" s="15" t="s">
        <v>10858</v>
      </c>
    </row>
    <row r="8626" ht="15.95" spans="2:2">
      <c r="B8626" s="122" t="s">
        <v>10859</v>
      </c>
    </row>
    <row r="8627" spans="2:5">
      <c r="B8627" s="15" t="s">
        <v>10860</v>
      </c>
      <c r="C8627" s="15" t="s">
        <v>10861</v>
      </c>
      <c r="D8627" s="15" t="s">
        <v>770</v>
      </c>
      <c r="E8627" s="15" t="s">
        <v>3074</v>
      </c>
    </row>
    <row r="8628" spans="2:5">
      <c r="B8628" s="15" t="s">
        <v>10860</v>
      </c>
      <c r="C8628" s="15" t="s">
        <v>10861</v>
      </c>
      <c r="D8628" s="15" t="s">
        <v>772</v>
      </c>
      <c r="E8628" s="15" t="s">
        <v>3075</v>
      </c>
    </row>
    <row r="8629" spans="2:5">
      <c r="B8629" s="15" t="s">
        <v>10860</v>
      </c>
      <c r="C8629" s="15" t="s">
        <v>10861</v>
      </c>
      <c r="D8629" s="15" t="s">
        <v>774</v>
      </c>
      <c r="E8629" s="15" t="s">
        <v>3076</v>
      </c>
    </row>
    <row r="8630" ht="15.95" spans="2:2">
      <c r="B8630" s="122" t="s">
        <v>10862</v>
      </c>
    </row>
    <row r="8631" spans="2:5">
      <c r="B8631" s="15" t="s">
        <v>10863</v>
      </c>
      <c r="C8631" s="15" t="s">
        <v>10863</v>
      </c>
      <c r="D8631" s="15" t="s">
        <v>770</v>
      </c>
      <c r="E8631" s="15" t="s">
        <v>3546</v>
      </c>
    </row>
    <row r="8632" spans="2:5">
      <c r="B8632" s="15" t="s">
        <v>10863</v>
      </c>
      <c r="C8632" s="15" t="s">
        <v>10863</v>
      </c>
      <c r="D8632" s="15" t="s">
        <v>772</v>
      </c>
      <c r="E8632" s="15" t="s">
        <v>3547</v>
      </c>
    </row>
    <row r="8633" spans="2:5">
      <c r="B8633" s="15" t="s">
        <v>10863</v>
      </c>
      <c r="C8633" s="15" t="s">
        <v>10863</v>
      </c>
      <c r="D8633" s="15" t="s">
        <v>774</v>
      </c>
      <c r="E8633" s="15" t="s">
        <v>235</v>
      </c>
    </row>
    <row r="8634" ht="15.95" spans="2:2">
      <c r="B8634" s="122" t="s">
        <v>10864</v>
      </c>
    </row>
    <row r="8635" spans="2:5">
      <c r="B8635" s="15" t="s">
        <v>10865</v>
      </c>
      <c r="C8635" s="15" t="s">
        <v>10866</v>
      </c>
      <c r="D8635" s="15" t="s">
        <v>770</v>
      </c>
      <c r="E8635" s="15" t="s">
        <v>10867</v>
      </c>
    </row>
    <row r="8636" spans="2:5">
      <c r="B8636" s="15" t="s">
        <v>10865</v>
      </c>
      <c r="C8636" s="15" t="s">
        <v>10866</v>
      </c>
      <c r="D8636" s="15" t="s">
        <v>772</v>
      </c>
      <c r="E8636" s="15" t="s">
        <v>10868</v>
      </c>
    </row>
    <row r="8637" spans="2:5">
      <c r="B8637" s="15" t="s">
        <v>10865</v>
      </c>
      <c r="C8637" s="15" t="s">
        <v>10866</v>
      </c>
      <c r="D8637" s="15" t="s">
        <v>774</v>
      </c>
      <c r="E8637" s="15" t="s">
        <v>10869</v>
      </c>
    </row>
    <row r="8638" spans="2:5">
      <c r="B8638" s="15" t="s">
        <v>10865</v>
      </c>
      <c r="C8638" s="15" t="s">
        <v>10866</v>
      </c>
      <c r="D8638" s="15" t="s">
        <v>828</v>
      </c>
      <c r="E8638" s="15" t="s">
        <v>235</v>
      </c>
    </row>
    <row r="8639" ht="15.95" spans="2:2">
      <c r="B8639" s="122" t="s">
        <v>10870</v>
      </c>
    </row>
    <row r="8640" spans="2:5">
      <c r="B8640" s="15" t="s">
        <v>10871</v>
      </c>
      <c r="C8640" s="15" t="s">
        <v>10872</v>
      </c>
      <c r="D8640" s="15" t="s">
        <v>770</v>
      </c>
      <c r="E8640" s="15" t="s">
        <v>10873</v>
      </c>
    </row>
    <row r="8641" spans="2:5">
      <c r="B8641" s="15" t="s">
        <v>10871</v>
      </c>
      <c r="C8641" s="15" t="s">
        <v>10872</v>
      </c>
      <c r="D8641" s="15" t="s">
        <v>772</v>
      </c>
      <c r="E8641" s="15" t="s">
        <v>10874</v>
      </c>
    </row>
    <row r="8642" ht="15.95" spans="2:2">
      <c r="B8642" s="122" t="s">
        <v>10875</v>
      </c>
    </row>
    <row r="8643" spans="2:5">
      <c r="B8643" s="15" t="s">
        <v>10876</v>
      </c>
      <c r="C8643" s="15" t="s">
        <v>10877</v>
      </c>
      <c r="D8643" s="15" t="s">
        <v>770</v>
      </c>
      <c r="E8643" s="15" t="s">
        <v>6691</v>
      </c>
    </row>
    <row r="8644" spans="2:5">
      <c r="B8644" s="15" t="s">
        <v>10876</v>
      </c>
      <c r="C8644" s="15" t="s">
        <v>10877</v>
      </c>
      <c r="D8644" s="15" t="s">
        <v>635</v>
      </c>
      <c r="E8644" s="15" t="s">
        <v>6660</v>
      </c>
    </row>
    <row r="8645" spans="2:5">
      <c r="B8645" s="15" t="s">
        <v>10876</v>
      </c>
      <c r="C8645" s="15" t="s">
        <v>10877</v>
      </c>
      <c r="D8645" s="15" t="s">
        <v>772</v>
      </c>
      <c r="E8645" s="15" t="s">
        <v>5650</v>
      </c>
    </row>
    <row r="8646" spans="2:5">
      <c r="B8646" s="15" t="s">
        <v>10876</v>
      </c>
      <c r="C8646" s="15" t="s">
        <v>10877</v>
      </c>
      <c r="D8646" s="15" t="s">
        <v>659</v>
      </c>
      <c r="E8646" s="15" t="s">
        <v>6661</v>
      </c>
    </row>
    <row r="8647" spans="2:5">
      <c r="B8647" s="15" t="s">
        <v>10876</v>
      </c>
      <c r="C8647" s="15" t="s">
        <v>10877</v>
      </c>
      <c r="D8647" s="15" t="s">
        <v>774</v>
      </c>
      <c r="E8647" s="15" t="s">
        <v>5658</v>
      </c>
    </row>
    <row r="8648" spans="2:5">
      <c r="B8648" s="15" t="s">
        <v>10876</v>
      </c>
      <c r="C8648" s="15" t="s">
        <v>10877</v>
      </c>
      <c r="D8648" s="15" t="s">
        <v>679</v>
      </c>
      <c r="E8648" s="15" t="s">
        <v>10878</v>
      </c>
    </row>
    <row r="8649" spans="2:5">
      <c r="B8649" s="15" t="s">
        <v>10876</v>
      </c>
      <c r="C8649" s="15" t="s">
        <v>10877</v>
      </c>
      <c r="D8649" s="15" t="s">
        <v>828</v>
      </c>
      <c r="E8649" s="15" t="s">
        <v>2212</v>
      </c>
    </row>
    <row r="8650" spans="2:5">
      <c r="B8650" s="15" t="s">
        <v>10876</v>
      </c>
      <c r="C8650" s="15" t="s">
        <v>10877</v>
      </c>
      <c r="D8650" s="15" t="s">
        <v>901</v>
      </c>
      <c r="E8650" s="15" t="s">
        <v>8138</v>
      </c>
    </row>
    <row r="8651" spans="2:5">
      <c r="B8651" s="15" t="s">
        <v>10876</v>
      </c>
      <c r="C8651" s="15" t="s">
        <v>10877</v>
      </c>
      <c r="D8651" s="15" t="s">
        <v>776</v>
      </c>
      <c r="E8651" s="15" t="s">
        <v>3761</v>
      </c>
    </row>
    <row r="8652" ht="15.95" spans="2:2">
      <c r="B8652" s="122" t="s">
        <v>10879</v>
      </c>
    </row>
    <row r="8653" spans="2:5">
      <c r="B8653" s="15" t="s">
        <v>10880</v>
      </c>
      <c r="C8653" s="15" t="s">
        <v>10881</v>
      </c>
      <c r="D8653" s="15" t="s">
        <v>770</v>
      </c>
      <c r="E8653" s="15" t="s">
        <v>10882</v>
      </c>
    </row>
    <row r="8654" spans="2:5">
      <c r="B8654" s="15" t="s">
        <v>10880</v>
      </c>
      <c r="C8654" s="15" t="s">
        <v>10881</v>
      </c>
      <c r="D8654" s="15" t="s">
        <v>772</v>
      </c>
      <c r="E8654" s="15" t="s">
        <v>10883</v>
      </c>
    </row>
    <row r="8655" ht="15.95" spans="2:2">
      <c r="B8655" s="122" t="s">
        <v>10884</v>
      </c>
    </row>
    <row r="8656" spans="2:5">
      <c r="B8656" s="15" t="s">
        <v>10885</v>
      </c>
      <c r="C8656" s="15" t="s">
        <v>10886</v>
      </c>
      <c r="D8656" s="15" t="s">
        <v>8363</v>
      </c>
      <c r="E8656" s="15" t="s">
        <v>10887</v>
      </c>
    </row>
    <row r="8657" spans="2:5">
      <c r="B8657" s="15" t="s">
        <v>10885</v>
      </c>
      <c r="C8657" s="15" t="s">
        <v>10886</v>
      </c>
      <c r="D8657" s="15" t="s">
        <v>8365</v>
      </c>
      <c r="E8657" s="15" t="s">
        <v>10888</v>
      </c>
    </row>
    <row r="8658" ht="15.95" spans="2:2">
      <c r="B8658" s="122" t="s">
        <v>10889</v>
      </c>
    </row>
    <row r="8659" spans="2:5">
      <c r="B8659" s="15" t="s">
        <v>10890</v>
      </c>
      <c r="C8659" s="15" t="s">
        <v>10891</v>
      </c>
      <c r="D8659" s="15" t="s">
        <v>770</v>
      </c>
      <c r="E8659" s="15" t="s">
        <v>10892</v>
      </c>
    </row>
    <row r="8660" spans="2:5">
      <c r="B8660" s="15" t="s">
        <v>10890</v>
      </c>
      <c r="C8660" s="15" t="s">
        <v>10891</v>
      </c>
      <c r="D8660" s="15" t="s">
        <v>772</v>
      </c>
      <c r="E8660" s="15" t="s">
        <v>906</v>
      </c>
    </row>
    <row r="8661" spans="2:5">
      <c r="B8661" s="15" t="s">
        <v>10890</v>
      </c>
      <c r="C8661" s="15" t="s">
        <v>10891</v>
      </c>
      <c r="D8661" s="15" t="s">
        <v>774</v>
      </c>
      <c r="E8661" s="15" t="s">
        <v>10893</v>
      </c>
    </row>
    <row r="8662" spans="2:5">
      <c r="B8662" s="15" t="s">
        <v>10890</v>
      </c>
      <c r="C8662" s="15" t="s">
        <v>10891</v>
      </c>
      <c r="D8662" s="15" t="s">
        <v>828</v>
      </c>
      <c r="E8662" s="15" t="s">
        <v>907</v>
      </c>
    </row>
    <row r="8663" ht="15.95" spans="2:2">
      <c r="B8663" s="122" t="s">
        <v>10894</v>
      </c>
    </row>
    <row r="8664" spans="2:5">
      <c r="B8664" s="15" t="s">
        <v>10895</v>
      </c>
      <c r="C8664" s="15" t="s">
        <v>10896</v>
      </c>
      <c r="D8664" s="15" t="s">
        <v>770</v>
      </c>
      <c r="E8664" s="15" t="s">
        <v>10897</v>
      </c>
    </row>
    <row r="8665" spans="2:5">
      <c r="B8665" s="15" t="s">
        <v>10895</v>
      </c>
      <c r="C8665" s="15" t="s">
        <v>10896</v>
      </c>
      <c r="D8665" s="15" t="s">
        <v>772</v>
      </c>
      <c r="E8665" s="15" t="s">
        <v>10898</v>
      </c>
    </row>
    <row r="8666" spans="2:5">
      <c r="B8666" s="15" t="s">
        <v>10895</v>
      </c>
      <c r="C8666" s="15" t="s">
        <v>10896</v>
      </c>
      <c r="D8666" s="15" t="s">
        <v>774</v>
      </c>
      <c r="E8666" s="15" t="s">
        <v>10899</v>
      </c>
    </row>
    <row r="8667" spans="2:5">
      <c r="B8667" s="15" t="s">
        <v>10895</v>
      </c>
      <c r="C8667" s="15" t="s">
        <v>10896</v>
      </c>
      <c r="D8667" s="15" t="s">
        <v>828</v>
      </c>
      <c r="E8667" s="15" t="s">
        <v>10900</v>
      </c>
    </row>
    <row r="8668" spans="2:5">
      <c r="B8668" s="15" t="s">
        <v>10895</v>
      </c>
      <c r="C8668" s="15" t="s">
        <v>10896</v>
      </c>
      <c r="D8668" s="15" t="s">
        <v>901</v>
      </c>
      <c r="E8668" s="15" t="s">
        <v>10901</v>
      </c>
    </row>
    <row r="8669" spans="2:5">
      <c r="B8669" s="15" t="s">
        <v>10895</v>
      </c>
      <c r="C8669" s="15" t="s">
        <v>10896</v>
      </c>
      <c r="D8669" s="15" t="s">
        <v>776</v>
      </c>
      <c r="E8669" s="15" t="s">
        <v>10902</v>
      </c>
    </row>
    <row r="8670" spans="2:5">
      <c r="B8670" s="15" t="s">
        <v>10895</v>
      </c>
      <c r="C8670" s="15" t="s">
        <v>10896</v>
      </c>
      <c r="D8670" s="15" t="s">
        <v>1290</v>
      </c>
      <c r="E8670" s="15" t="s">
        <v>235</v>
      </c>
    </row>
    <row r="8671" ht="15.95" spans="2:2">
      <c r="B8671" s="122" t="s">
        <v>10903</v>
      </c>
    </row>
    <row r="8672" spans="2:5">
      <c r="B8672" s="15" t="s">
        <v>10904</v>
      </c>
      <c r="C8672" s="15" t="s">
        <v>10905</v>
      </c>
      <c r="D8672" s="15" t="s">
        <v>770</v>
      </c>
      <c r="E8672" s="15" t="s">
        <v>10906</v>
      </c>
    </row>
    <row r="8673" spans="2:5">
      <c r="B8673" s="15" t="s">
        <v>10904</v>
      </c>
      <c r="C8673" s="15" t="s">
        <v>10905</v>
      </c>
      <c r="D8673" s="15" t="s">
        <v>772</v>
      </c>
      <c r="E8673" s="15" t="s">
        <v>934</v>
      </c>
    </row>
    <row r="8674" spans="2:5">
      <c r="B8674" s="15" t="s">
        <v>10904</v>
      </c>
      <c r="C8674" s="15" t="s">
        <v>10905</v>
      </c>
      <c r="D8674" s="15" t="s">
        <v>774</v>
      </c>
      <c r="E8674" s="15" t="s">
        <v>10907</v>
      </c>
    </row>
    <row r="8675" ht="15.95" spans="2:2">
      <c r="B8675" s="122" t="s">
        <v>10908</v>
      </c>
    </row>
    <row r="8676" spans="2:5">
      <c r="B8676" s="15" t="s">
        <v>10909</v>
      </c>
      <c r="C8676" s="15" t="s">
        <v>8730</v>
      </c>
      <c r="D8676" s="15" t="s">
        <v>1267</v>
      </c>
      <c r="E8676" s="15" t="s">
        <v>1268</v>
      </c>
    </row>
    <row r="8677" spans="2:5">
      <c r="B8677" s="15" t="s">
        <v>10909</v>
      </c>
      <c r="C8677" s="15" t="s">
        <v>8730</v>
      </c>
      <c r="D8677" s="15" t="s">
        <v>1269</v>
      </c>
      <c r="E8677" s="15" t="s">
        <v>1270</v>
      </c>
    </row>
    <row r="8678" spans="2:5">
      <c r="B8678" s="15" t="s">
        <v>10909</v>
      </c>
      <c r="C8678" s="15" t="s">
        <v>8730</v>
      </c>
      <c r="D8678" s="15" t="s">
        <v>1919</v>
      </c>
      <c r="E8678" s="15" t="s">
        <v>1920</v>
      </c>
    </row>
    <row r="8679" ht="15.95" spans="2:2">
      <c r="B8679" s="122" t="s">
        <v>10910</v>
      </c>
    </row>
    <row r="8680" spans="2:5">
      <c r="B8680" s="15" t="s">
        <v>10911</v>
      </c>
      <c r="C8680" s="15" t="s">
        <v>10912</v>
      </c>
      <c r="D8680" s="15" t="s">
        <v>10913</v>
      </c>
      <c r="E8680" s="15" t="s">
        <v>10914</v>
      </c>
    </row>
    <row r="8681" spans="2:5">
      <c r="B8681" s="15" t="s">
        <v>10911</v>
      </c>
      <c r="C8681" s="15" t="s">
        <v>10912</v>
      </c>
      <c r="D8681" s="15" t="s">
        <v>10915</v>
      </c>
      <c r="E8681" s="15" t="s">
        <v>10916</v>
      </c>
    </row>
    <row r="8682" spans="2:5">
      <c r="B8682" s="15" t="s">
        <v>10911</v>
      </c>
      <c r="C8682" s="15" t="s">
        <v>10912</v>
      </c>
      <c r="D8682" s="15" t="s">
        <v>10917</v>
      </c>
      <c r="E8682" s="15" t="s">
        <v>10918</v>
      </c>
    </row>
    <row r="8683" ht="15.95" spans="2:2">
      <c r="B8683" s="122" t="s">
        <v>10919</v>
      </c>
    </row>
    <row r="8684" spans="2:5">
      <c r="B8684" s="15" t="s">
        <v>10920</v>
      </c>
      <c r="C8684" s="15" t="s">
        <v>6724</v>
      </c>
      <c r="D8684" s="15" t="s">
        <v>770</v>
      </c>
      <c r="E8684" s="15" t="s">
        <v>1599</v>
      </c>
    </row>
    <row r="8685" spans="2:5">
      <c r="B8685" s="15" t="s">
        <v>10920</v>
      </c>
      <c r="C8685" s="15" t="s">
        <v>6724</v>
      </c>
      <c r="D8685" s="15" t="s">
        <v>772</v>
      </c>
      <c r="E8685" s="15" t="s">
        <v>1873</v>
      </c>
    </row>
    <row r="8686" spans="2:5">
      <c r="B8686" s="15" t="s">
        <v>10920</v>
      </c>
      <c r="C8686" s="15" t="s">
        <v>6724</v>
      </c>
      <c r="D8686" s="15" t="s">
        <v>774</v>
      </c>
      <c r="E8686" s="15" t="s">
        <v>1872</v>
      </c>
    </row>
    <row r="8687" spans="2:5">
      <c r="B8687" s="15" t="s">
        <v>10920</v>
      </c>
      <c r="C8687" s="15" t="s">
        <v>6724</v>
      </c>
      <c r="D8687" s="15" t="s">
        <v>828</v>
      </c>
      <c r="E8687" s="15" t="s">
        <v>1597</v>
      </c>
    </row>
    <row r="8688" spans="2:5">
      <c r="B8688" s="15" t="s">
        <v>10920</v>
      </c>
      <c r="C8688" s="15" t="s">
        <v>6724</v>
      </c>
      <c r="D8688" s="15" t="s">
        <v>901</v>
      </c>
      <c r="E8688" s="15" t="s">
        <v>10921</v>
      </c>
    </row>
    <row r="8689" spans="2:5">
      <c r="B8689" s="15" t="s">
        <v>10920</v>
      </c>
      <c r="C8689" s="15" t="s">
        <v>6724</v>
      </c>
      <c r="D8689" s="15" t="s">
        <v>776</v>
      </c>
      <c r="E8689" s="15" t="s">
        <v>3729</v>
      </c>
    </row>
    <row r="8690" ht="15.95" spans="2:2">
      <c r="B8690" s="122" t="s">
        <v>10922</v>
      </c>
    </row>
    <row r="8691" spans="2:5">
      <c r="B8691" s="15" t="s">
        <v>10923</v>
      </c>
      <c r="C8691" s="15" t="s">
        <v>10924</v>
      </c>
      <c r="D8691" s="15" t="s">
        <v>917</v>
      </c>
      <c r="E8691" s="15" t="s">
        <v>10925</v>
      </c>
    </row>
    <row r="8692" spans="2:5">
      <c r="B8692" s="15" t="s">
        <v>10923</v>
      </c>
      <c r="C8692" s="15" t="s">
        <v>10924</v>
      </c>
      <c r="D8692" s="15" t="s">
        <v>919</v>
      </c>
      <c r="E8692" s="15" t="s">
        <v>10926</v>
      </c>
    </row>
    <row r="8693" spans="2:5">
      <c r="B8693" s="15" t="s">
        <v>10923</v>
      </c>
      <c r="C8693" s="15" t="s">
        <v>10924</v>
      </c>
      <c r="D8693" s="15" t="s">
        <v>1091</v>
      </c>
      <c r="E8693" s="15" t="s">
        <v>10927</v>
      </c>
    </row>
    <row r="8694" spans="2:5">
      <c r="B8694" s="15" t="s">
        <v>10923</v>
      </c>
      <c r="C8694" s="15" t="s">
        <v>10924</v>
      </c>
      <c r="D8694" s="15" t="s">
        <v>921</v>
      </c>
      <c r="E8694" s="15" t="s">
        <v>1506</v>
      </c>
    </row>
    <row r="8695" spans="2:5">
      <c r="B8695" s="15" t="s">
        <v>10923</v>
      </c>
      <c r="C8695" s="15" t="s">
        <v>10924</v>
      </c>
      <c r="D8695" s="15" t="s">
        <v>923</v>
      </c>
      <c r="E8695" s="15" t="s">
        <v>10928</v>
      </c>
    </row>
    <row r="8696" spans="2:5">
      <c r="B8696" s="15" t="s">
        <v>10923</v>
      </c>
      <c r="C8696" s="15" t="s">
        <v>10924</v>
      </c>
      <c r="D8696" s="15" t="s">
        <v>1095</v>
      </c>
      <c r="E8696" s="15" t="s">
        <v>10929</v>
      </c>
    </row>
    <row r="8697" ht="15.95" spans="2:2">
      <c r="B8697" s="122" t="s">
        <v>10930</v>
      </c>
    </row>
    <row r="8698" spans="2:5">
      <c r="B8698" s="15" t="s">
        <v>10931</v>
      </c>
      <c r="C8698" s="15" t="s">
        <v>7206</v>
      </c>
      <c r="D8698" s="15" t="s">
        <v>917</v>
      </c>
      <c r="E8698" s="15" t="s">
        <v>953</v>
      </c>
    </row>
    <row r="8699" spans="2:5">
      <c r="B8699" s="15" t="s">
        <v>10931</v>
      </c>
      <c r="C8699" s="15" t="s">
        <v>7206</v>
      </c>
      <c r="D8699" s="15" t="s">
        <v>919</v>
      </c>
      <c r="E8699" s="15" t="s">
        <v>954</v>
      </c>
    </row>
    <row r="8700" spans="2:5">
      <c r="B8700" s="15" t="s">
        <v>10931</v>
      </c>
      <c r="C8700" s="15" t="s">
        <v>7206</v>
      </c>
      <c r="D8700" s="15" t="s">
        <v>955</v>
      </c>
      <c r="E8700" s="15" t="s">
        <v>956</v>
      </c>
    </row>
    <row r="8701" ht="15.95" spans="2:2">
      <c r="B8701" s="122" t="s">
        <v>10932</v>
      </c>
    </row>
    <row r="8702" spans="2:5">
      <c r="B8702" s="15" t="s">
        <v>10933</v>
      </c>
      <c r="C8702" s="15" t="s">
        <v>10934</v>
      </c>
      <c r="D8702" s="15" t="s">
        <v>1267</v>
      </c>
      <c r="E8702" s="15" t="s">
        <v>1268</v>
      </c>
    </row>
    <row r="8703" spans="2:5">
      <c r="B8703" s="15" t="s">
        <v>10933</v>
      </c>
      <c r="C8703" s="15" t="s">
        <v>10934</v>
      </c>
      <c r="D8703" s="15" t="s">
        <v>1269</v>
      </c>
      <c r="E8703" s="15" t="s">
        <v>1270</v>
      </c>
    </row>
    <row r="8704" spans="2:5">
      <c r="B8704" s="15" t="s">
        <v>10933</v>
      </c>
      <c r="C8704" s="15" t="s">
        <v>10934</v>
      </c>
      <c r="D8704" s="15" t="s">
        <v>1919</v>
      </c>
      <c r="E8704" s="15" t="s">
        <v>1920</v>
      </c>
    </row>
    <row r="8705" ht="15.95" spans="2:2">
      <c r="B8705" s="122" t="s">
        <v>10935</v>
      </c>
    </row>
    <row r="8706" spans="2:5">
      <c r="B8706" s="15" t="s">
        <v>10936</v>
      </c>
      <c r="C8706" s="15" t="s">
        <v>10936</v>
      </c>
      <c r="D8706" s="15" t="s">
        <v>723</v>
      </c>
      <c r="E8706" s="15" t="s">
        <v>1825</v>
      </c>
    </row>
    <row r="8707" spans="2:5">
      <c r="B8707" s="15" t="s">
        <v>10936</v>
      </c>
      <c r="C8707" s="15" t="s">
        <v>10936</v>
      </c>
      <c r="D8707" s="15" t="s">
        <v>725</v>
      </c>
      <c r="E8707" s="15" t="s">
        <v>1826</v>
      </c>
    </row>
    <row r="8708" spans="2:5">
      <c r="B8708" s="15" t="s">
        <v>10936</v>
      </c>
      <c r="C8708" s="15" t="s">
        <v>10936</v>
      </c>
      <c r="D8708" s="15" t="s">
        <v>727</v>
      </c>
      <c r="E8708" s="15" t="s">
        <v>1827</v>
      </c>
    </row>
    <row r="8709" ht="15.95" spans="2:2">
      <c r="B8709" s="122" t="s">
        <v>10937</v>
      </c>
    </row>
    <row r="8710" spans="2:5">
      <c r="B8710" s="15" t="s">
        <v>10938</v>
      </c>
      <c r="C8710" s="15" t="s">
        <v>896</v>
      </c>
      <c r="D8710" s="15" t="s">
        <v>723</v>
      </c>
      <c r="E8710" s="15" t="s">
        <v>10619</v>
      </c>
    </row>
    <row r="8711" spans="2:5">
      <c r="B8711" s="15" t="s">
        <v>10938</v>
      </c>
      <c r="C8711" s="15" t="s">
        <v>896</v>
      </c>
      <c r="D8711" s="15" t="s">
        <v>725</v>
      </c>
      <c r="E8711" s="15" t="s">
        <v>10620</v>
      </c>
    </row>
    <row r="8712" spans="2:5">
      <c r="B8712" s="15" t="s">
        <v>10938</v>
      </c>
      <c r="C8712" s="15" t="s">
        <v>896</v>
      </c>
      <c r="D8712" s="15" t="s">
        <v>727</v>
      </c>
      <c r="E8712" s="15" t="s">
        <v>10621</v>
      </c>
    </row>
    <row r="8713" ht="15.95" spans="2:2">
      <c r="B8713" s="122" t="s">
        <v>10939</v>
      </c>
    </row>
    <row r="8714" spans="2:5">
      <c r="B8714" s="15" t="s">
        <v>10940</v>
      </c>
      <c r="C8714" s="15"/>
      <c r="D8714" s="15" t="s">
        <v>1267</v>
      </c>
      <c r="E8714" s="15" t="s">
        <v>1355</v>
      </c>
    </row>
    <row r="8715" spans="2:5">
      <c r="B8715" s="15" t="s">
        <v>10940</v>
      </c>
      <c r="C8715" s="15"/>
      <c r="D8715" s="15" t="s">
        <v>1269</v>
      </c>
      <c r="E8715" s="15" t="s">
        <v>1356</v>
      </c>
    </row>
    <row r="8716" ht="15.95" spans="2:2">
      <c r="B8716" s="122" t="s">
        <v>10941</v>
      </c>
    </row>
    <row r="8717" spans="2:5">
      <c r="B8717" s="15" t="s">
        <v>10942</v>
      </c>
      <c r="C8717" s="15" t="s">
        <v>10943</v>
      </c>
      <c r="D8717" s="15" t="s">
        <v>770</v>
      </c>
      <c r="E8717" s="15" t="s">
        <v>1713</v>
      </c>
    </row>
    <row r="8718" spans="2:5">
      <c r="B8718" s="15" t="s">
        <v>10942</v>
      </c>
      <c r="C8718" s="15" t="s">
        <v>10943</v>
      </c>
      <c r="D8718" s="15" t="s">
        <v>772</v>
      </c>
      <c r="E8718" s="15" t="s">
        <v>1712</v>
      </c>
    </row>
    <row r="8719" ht="15.95" spans="2:2">
      <c r="B8719" s="122" t="s">
        <v>10944</v>
      </c>
    </row>
    <row r="8720" spans="2:5">
      <c r="B8720" s="15" t="s">
        <v>10945</v>
      </c>
      <c r="C8720" s="15" t="s">
        <v>10946</v>
      </c>
      <c r="D8720" s="15" t="s">
        <v>770</v>
      </c>
      <c r="E8720" s="15" t="s">
        <v>10947</v>
      </c>
    </row>
    <row r="8721" spans="2:5">
      <c r="B8721" s="15" t="s">
        <v>10945</v>
      </c>
      <c r="C8721" s="15" t="s">
        <v>10946</v>
      </c>
      <c r="D8721" s="15" t="s">
        <v>772</v>
      </c>
      <c r="E8721" s="15" t="s">
        <v>10948</v>
      </c>
    </row>
    <row r="8722" ht="15.95" spans="2:2">
      <c r="B8722" s="122" t="s">
        <v>10949</v>
      </c>
    </row>
    <row r="8723" spans="2:5">
      <c r="B8723" s="15" t="s">
        <v>2208</v>
      </c>
      <c r="C8723" s="15" t="s">
        <v>2208</v>
      </c>
      <c r="D8723" s="15" t="s">
        <v>723</v>
      </c>
      <c r="E8723" s="15" t="s">
        <v>1825</v>
      </c>
    </row>
    <row r="8724" spans="2:5">
      <c r="B8724" s="15" t="s">
        <v>2208</v>
      </c>
      <c r="C8724" s="15" t="s">
        <v>2208</v>
      </c>
      <c r="D8724" s="15" t="s">
        <v>725</v>
      </c>
      <c r="E8724" s="15" t="s">
        <v>1826</v>
      </c>
    </row>
    <row r="8725" spans="2:5">
      <c r="B8725" s="15" t="s">
        <v>2208</v>
      </c>
      <c r="C8725" s="15" t="s">
        <v>2208</v>
      </c>
      <c r="D8725" s="15" t="s">
        <v>727</v>
      </c>
      <c r="E8725" s="15" t="s">
        <v>1827</v>
      </c>
    </row>
    <row r="8726" spans="2:5">
      <c r="B8726" s="15" t="s">
        <v>2208</v>
      </c>
      <c r="C8726" s="15" t="s">
        <v>2208</v>
      </c>
      <c r="D8726" s="15" t="s">
        <v>729</v>
      </c>
      <c r="E8726" s="15" t="s">
        <v>1828</v>
      </c>
    </row>
    <row r="8727" ht="15.95" spans="2:2">
      <c r="B8727" s="122" t="s">
        <v>10950</v>
      </c>
    </row>
    <row r="8728" spans="2:5">
      <c r="B8728" s="15" t="s">
        <v>10951</v>
      </c>
      <c r="C8728" s="15" t="s">
        <v>10952</v>
      </c>
      <c r="D8728" s="15" t="s">
        <v>770</v>
      </c>
      <c r="E8728" s="15" t="s">
        <v>10953</v>
      </c>
    </row>
    <row r="8729" spans="2:5">
      <c r="B8729" s="15" t="s">
        <v>10951</v>
      </c>
      <c r="C8729" s="15" t="s">
        <v>10952</v>
      </c>
      <c r="D8729" s="15" t="s">
        <v>772</v>
      </c>
      <c r="E8729" s="15" t="s">
        <v>10954</v>
      </c>
    </row>
    <row r="8730" ht="15.95" spans="2:2">
      <c r="B8730" s="122" t="s">
        <v>10955</v>
      </c>
    </row>
    <row r="8731" spans="2:5">
      <c r="B8731" s="15" t="s">
        <v>10956</v>
      </c>
      <c r="C8731" s="15" t="s">
        <v>896</v>
      </c>
      <c r="D8731" s="15" t="s">
        <v>770</v>
      </c>
      <c r="E8731" s="15" t="s">
        <v>2821</v>
      </c>
    </row>
    <row r="8732" spans="2:5">
      <c r="B8732" s="15" t="s">
        <v>10956</v>
      </c>
      <c r="C8732" s="15" t="s">
        <v>896</v>
      </c>
      <c r="D8732" s="15" t="s">
        <v>772</v>
      </c>
      <c r="E8732" s="15" t="s">
        <v>2822</v>
      </c>
    </row>
    <row r="8733" ht="15.95" spans="2:2">
      <c r="B8733" s="122" t="s">
        <v>10957</v>
      </c>
    </row>
    <row r="8734" spans="2:5">
      <c r="B8734" s="15" t="s">
        <v>10958</v>
      </c>
      <c r="C8734" s="15" t="s">
        <v>10958</v>
      </c>
      <c r="D8734" s="15" t="s">
        <v>723</v>
      </c>
      <c r="E8734" s="15" t="s">
        <v>10959</v>
      </c>
    </row>
    <row r="8735" spans="2:5">
      <c r="B8735" s="15" t="s">
        <v>10958</v>
      </c>
      <c r="C8735" s="15" t="s">
        <v>10958</v>
      </c>
      <c r="D8735" s="15" t="s">
        <v>725</v>
      </c>
      <c r="E8735" s="15" t="s">
        <v>10960</v>
      </c>
    </row>
    <row r="8736" spans="2:5">
      <c r="B8736" s="15" t="s">
        <v>10958</v>
      </c>
      <c r="C8736" s="15" t="s">
        <v>10958</v>
      </c>
      <c r="D8736" s="15" t="s">
        <v>727</v>
      </c>
      <c r="E8736" s="15" t="s">
        <v>10961</v>
      </c>
    </row>
    <row r="8737" ht="15.95" spans="2:2">
      <c r="B8737" s="122" t="s">
        <v>10962</v>
      </c>
    </row>
    <row r="8738" spans="2:5">
      <c r="B8738" s="15" t="s">
        <v>10963</v>
      </c>
      <c r="C8738" s="15" t="s">
        <v>10964</v>
      </c>
      <c r="D8738" s="15" t="s">
        <v>770</v>
      </c>
      <c r="E8738" s="15" t="s">
        <v>10965</v>
      </c>
    </row>
    <row r="8739" spans="2:5">
      <c r="B8739" s="15" t="s">
        <v>10963</v>
      </c>
      <c r="C8739" s="15" t="s">
        <v>10964</v>
      </c>
      <c r="D8739" s="15" t="s">
        <v>772</v>
      </c>
      <c r="E8739" s="15" t="s">
        <v>10427</v>
      </c>
    </row>
    <row r="8740" spans="2:5">
      <c r="B8740" s="15" t="s">
        <v>10963</v>
      </c>
      <c r="C8740" s="15" t="s">
        <v>10964</v>
      </c>
      <c r="D8740" s="15" t="s">
        <v>774</v>
      </c>
      <c r="E8740" s="15" t="s">
        <v>10966</v>
      </c>
    </row>
    <row r="8741" spans="2:5">
      <c r="B8741" s="15" t="s">
        <v>10963</v>
      </c>
      <c r="C8741" s="15" t="s">
        <v>10964</v>
      </c>
      <c r="D8741" s="15" t="s">
        <v>828</v>
      </c>
      <c r="E8741" s="15" t="s">
        <v>948</v>
      </c>
    </row>
    <row r="8742" ht="15.95" spans="2:2">
      <c r="B8742" s="122" t="s">
        <v>10967</v>
      </c>
    </row>
    <row r="8743" spans="2:5">
      <c r="B8743" s="15" t="s">
        <v>10968</v>
      </c>
      <c r="C8743" s="15" t="s">
        <v>896</v>
      </c>
      <c r="D8743" s="15" t="s">
        <v>770</v>
      </c>
      <c r="E8743" s="15" t="s">
        <v>2363</v>
      </c>
    </row>
    <row r="8744" spans="2:5">
      <c r="B8744" s="15" t="s">
        <v>10968</v>
      </c>
      <c r="C8744" s="15" t="s">
        <v>896</v>
      </c>
      <c r="D8744" s="15" t="s">
        <v>772</v>
      </c>
      <c r="E8744" s="15" t="s">
        <v>2364</v>
      </c>
    </row>
    <row r="8745" spans="2:5">
      <c r="B8745" s="15" t="s">
        <v>10968</v>
      </c>
      <c r="C8745" s="15" t="s">
        <v>896</v>
      </c>
      <c r="D8745" s="15" t="s">
        <v>774</v>
      </c>
      <c r="E8745" s="15" t="s">
        <v>2365</v>
      </c>
    </row>
    <row r="8746" ht="15.95" spans="2:2">
      <c r="B8746" s="122" t="s">
        <v>10969</v>
      </c>
    </row>
    <row r="8747" spans="2:5">
      <c r="B8747" s="15" t="s">
        <v>10970</v>
      </c>
      <c r="C8747" s="15" t="s">
        <v>10970</v>
      </c>
      <c r="D8747" s="15" t="s">
        <v>723</v>
      </c>
      <c r="E8747" s="15" t="s">
        <v>5862</v>
      </c>
    </row>
    <row r="8748" spans="2:5">
      <c r="B8748" s="15" t="s">
        <v>10970</v>
      </c>
      <c r="C8748" s="15" t="s">
        <v>10970</v>
      </c>
      <c r="D8748" s="15" t="s">
        <v>725</v>
      </c>
      <c r="E8748" s="15" t="s">
        <v>10971</v>
      </c>
    </row>
    <row r="8749" spans="2:5">
      <c r="B8749" s="15" t="s">
        <v>10970</v>
      </c>
      <c r="C8749" s="15" t="s">
        <v>10970</v>
      </c>
      <c r="D8749" s="15" t="s">
        <v>727</v>
      </c>
      <c r="E8749" s="15" t="s">
        <v>5864</v>
      </c>
    </row>
    <row r="8750" spans="2:5">
      <c r="B8750" s="15" t="s">
        <v>10970</v>
      </c>
      <c r="C8750" s="15" t="s">
        <v>10970</v>
      </c>
      <c r="D8750" s="15" t="s">
        <v>729</v>
      </c>
      <c r="E8750" s="15" t="s">
        <v>5865</v>
      </c>
    </row>
    <row r="8751" ht="15.95" spans="2:2">
      <c r="B8751" s="122" t="s">
        <v>10972</v>
      </c>
    </row>
    <row r="8752" spans="2:5">
      <c r="B8752" s="15" t="s">
        <v>10973</v>
      </c>
      <c r="C8752" s="15" t="s">
        <v>10974</v>
      </c>
      <c r="D8752" s="15" t="s">
        <v>723</v>
      </c>
      <c r="E8752" s="15" t="s">
        <v>10975</v>
      </c>
    </row>
    <row r="8753" spans="2:5">
      <c r="B8753" s="15" t="s">
        <v>10973</v>
      </c>
      <c r="C8753" s="15" t="s">
        <v>10974</v>
      </c>
      <c r="D8753" s="15" t="s">
        <v>725</v>
      </c>
      <c r="E8753" s="15" t="s">
        <v>5514</v>
      </c>
    </row>
    <row r="8754" spans="2:5">
      <c r="B8754" s="15" t="s">
        <v>10973</v>
      </c>
      <c r="C8754" s="15" t="s">
        <v>10974</v>
      </c>
      <c r="D8754" s="15" t="s">
        <v>727</v>
      </c>
      <c r="E8754" s="15" t="s">
        <v>1084</v>
      </c>
    </row>
    <row r="8755" spans="2:5">
      <c r="B8755" s="15" t="s">
        <v>10973</v>
      </c>
      <c r="C8755" s="15" t="s">
        <v>10974</v>
      </c>
      <c r="D8755" s="15" t="s">
        <v>729</v>
      </c>
      <c r="E8755" s="15" t="s">
        <v>10976</v>
      </c>
    </row>
    <row r="8756" spans="2:5">
      <c r="B8756" s="15" t="s">
        <v>10973</v>
      </c>
      <c r="C8756" s="15" t="s">
        <v>10974</v>
      </c>
      <c r="D8756" s="15" t="s">
        <v>760</v>
      </c>
      <c r="E8756" s="15" t="s">
        <v>1086</v>
      </c>
    </row>
    <row r="8757" spans="2:5">
      <c r="B8757" s="15" t="s">
        <v>10973</v>
      </c>
      <c r="C8757" s="15" t="s">
        <v>10974</v>
      </c>
      <c r="D8757" s="15" t="s">
        <v>762</v>
      </c>
      <c r="E8757" s="15" t="s">
        <v>5518</v>
      </c>
    </row>
    <row r="8758" ht="15.95" spans="2:2">
      <c r="B8758" s="122" t="s">
        <v>10977</v>
      </c>
    </row>
    <row r="8759" spans="2:5">
      <c r="B8759" s="15" t="s">
        <v>10978</v>
      </c>
      <c r="C8759" s="15" t="s">
        <v>10979</v>
      </c>
      <c r="D8759" s="15" t="s">
        <v>10980</v>
      </c>
      <c r="E8759" s="15" t="s">
        <v>10981</v>
      </c>
    </row>
    <row r="8760" spans="2:5">
      <c r="B8760" s="15" t="s">
        <v>10978</v>
      </c>
      <c r="C8760" s="15" t="s">
        <v>10979</v>
      </c>
      <c r="D8760" s="15" t="s">
        <v>10982</v>
      </c>
      <c r="E8760" s="15" t="s">
        <v>10983</v>
      </c>
    </row>
    <row r="8761" spans="2:5">
      <c r="B8761" s="15" t="s">
        <v>10978</v>
      </c>
      <c r="C8761" s="15" t="s">
        <v>10979</v>
      </c>
      <c r="D8761" s="15" t="s">
        <v>10984</v>
      </c>
      <c r="E8761" s="15" t="s">
        <v>10985</v>
      </c>
    </row>
    <row r="8762" spans="2:5">
      <c r="B8762" s="15" t="s">
        <v>10978</v>
      </c>
      <c r="C8762" s="15" t="s">
        <v>10979</v>
      </c>
      <c r="D8762" s="15" t="s">
        <v>10986</v>
      </c>
      <c r="E8762" s="15" t="s">
        <v>948</v>
      </c>
    </row>
    <row r="8763" spans="2:5">
      <c r="B8763" s="15" t="s">
        <v>10978</v>
      </c>
      <c r="C8763" s="15" t="s">
        <v>10979</v>
      </c>
      <c r="D8763" s="15" t="s">
        <v>10987</v>
      </c>
      <c r="E8763" s="15" t="s">
        <v>2485</v>
      </c>
    </row>
    <row r="8764" spans="2:5">
      <c r="B8764" s="15" t="s">
        <v>10978</v>
      </c>
      <c r="C8764" s="15" t="s">
        <v>10979</v>
      </c>
      <c r="D8764" s="15" t="s">
        <v>10988</v>
      </c>
      <c r="E8764" s="15" t="s">
        <v>10989</v>
      </c>
    </row>
    <row r="8765" spans="2:5">
      <c r="B8765" s="15" t="s">
        <v>10978</v>
      </c>
      <c r="C8765" s="15" t="s">
        <v>10979</v>
      </c>
      <c r="D8765" s="15" t="s">
        <v>10990</v>
      </c>
      <c r="E8765" s="15" t="s">
        <v>10991</v>
      </c>
    </row>
    <row r="8766" ht="15.95" spans="2:2">
      <c r="B8766" s="122" t="s">
        <v>10992</v>
      </c>
    </row>
    <row r="8767" spans="2:5">
      <c r="B8767" s="15" t="s">
        <v>10993</v>
      </c>
      <c r="C8767" s="15" t="s">
        <v>10993</v>
      </c>
      <c r="D8767" s="15" t="s">
        <v>723</v>
      </c>
      <c r="E8767" s="15" t="s">
        <v>10994</v>
      </c>
    </row>
    <row r="8768" spans="2:5">
      <c r="B8768" s="15" t="s">
        <v>10993</v>
      </c>
      <c r="C8768" s="15" t="s">
        <v>10993</v>
      </c>
      <c r="D8768" s="15" t="s">
        <v>725</v>
      </c>
      <c r="E8768" s="15" t="s">
        <v>10995</v>
      </c>
    </row>
    <row r="8769" spans="2:5">
      <c r="B8769" s="15" t="s">
        <v>10993</v>
      </c>
      <c r="C8769" s="15" t="s">
        <v>10993</v>
      </c>
      <c r="D8769" s="15" t="s">
        <v>727</v>
      </c>
      <c r="E8769" s="15" t="s">
        <v>10961</v>
      </c>
    </row>
    <row r="8770" ht="15.95" spans="2:2">
      <c r="B8770" s="122" t="s">
        <v>10996</v>
      </c>
    </row>
    <row r="8771" spans="2:5">
      <c r="B8771" s="15" t="s">
        <v>10997</v>
      </c>
      <c r="C8771" s="15" t="s">
        <v>10998</v>
      </c>
      <c r="D8771" s="15" t="s">
        <v>770</v>
      </c>
      <c r="E8771" s="15" t="s">
        <v>2821</v>
      </c>
    </row>
    <row r="8772" spans="2:5">
      <c r="B8772" s="15" t="s">
        <v>10997</v>
      </c>
      <c r="C8772" s="15" t="s">
        <v>10998</v>
      </c>
      <c r="D8772" s="15" t="s">
        <v>772</v>
      </c>
      <c r="E8772" s="15" t="s">
        <v>10999</v>
      </c>
    </row>
    <row r="8773" spans="2:5">
      <c r="B8773" s="15" t="s">
        <v>10997</v>
      </c>
      <c r="C8773" s="15" t="s">
        <v>10998</v>
      </c>
      <c r="D8773" s="15" t="s">
        <v>774</v>
      </c>
      <c r="E8773" s="15" t="s">
        <v>3784</v>
      </c>
    </row>
    <row r="8774" spans="2:5">
      <c r="B8774" s="15" t="s">
        <v>10997</v>
      </c>
      <c r="C8774" s="15" t="s">
        <v>10998</v>
      </c>
      <c r="D8774" s="15" t="s">
        <v>828</v>
      </c>
      <c r="E8774" s="15" t="s">
        <v>1648</v>
      </c>
    </row>
    <row r="8775" spans="2:5">
      <c r="B8775" s="15" t="s">
        <v>10997</v>
      </c>
      <c r="C8775" s="15" t="s">
        <v>10998</v>
      </c>
      <c r="D8775" s="15" t="s">
        <v>901</v>
      </c>
      <c r="E8775" s="15" t="s">
        <v>11000</v>
      </c>
    </row>
    <row r="8776" spans="2:5">
      <c r="B8776" s="15" t="s">
        <v>10997</v>
      </c>
      <c r="C8776" s="15" t="s">
        <v>10998</v>
      </c>
      <c r="D8776" s="15" t="s">
        <v>776</v>
      </c>
      <c r="E8776" s="15" t="s">
        <v>11001</v>
      </c>
    </row>
    <row r="8777" spans="2:5">
      <c r="B8777" s="15" t="s">
        <v>10997</v>
      </c>
      <c r="C8777" s="15" t="s">
        <v>10998</v>
      </c>
      <c r="D8777" s="15" t="s">
        <v>1290</v>
      </c>
      <c r="E8777" s="15" t="s">
        <v>11002</v>
      </c>
    </row>
    <row r="8778" spans="2:5">
      <c r="B8778" s="15" t="s">
        <v>10997</v>
      </c>
      <c r="C8778" s="15" t="s">
        <v>10998</v>
      </c>
      <c r="D8778" s="15" t="s">
        <v>1409</v>
      </c>
      <c r="E8778" s="15" t="s">
        <v>11003</v>
      </c>
    </row>
    <row r="8779" spans="2:5">
      <c r="B8779" s="15" t="s">
        <v>10997</v>
      </c>
      <c r="C8779" s="15" t="s">
        <v>10998</v>
      </c>
      <c r="D8779" s="15" t="s">
        <v>1411</v>
      </c>
      <c r="E8779" s="15" t="s">
        <v>11004</v>
      </c>
    </row>
    <row r="8780" spans="2:5">
      <c r="B8780" s="15" t="s">
        <v>10997</v>
      </c>
      <c r="C8780" s="15" t="s">
        <v>10998</v>
      </c>
      <c r="D8780" s="15" t="s">
        <v>933</v>
      </c>
      <c r="E8780" s="15" t="s">
        <v>11005</v>
      </c>
    </row>
    <row r="8781" spans="2:5">
      <c r="B8781" s="15" t="s">
        <v>10997</v>
      </c>
      <c r="C8781" s="15" t="s">
        <v>10998</v>
      </c>
      <c r="D8781" s="15" t="s">
        <v>1059</v>
      </c>
      <c r="E8781" s="15" t="s">
        <v>235</v>
      </c>
    </row>
    <row r="8782" ht="15.95" spans="2:2">
      <c r="B8782" s="122" t="s">
        <v>11006</v>
      </c>
    </row>
    <row r="8783" spans="2:5">
      <c r="B8783" s="15" t="s">
        <v>11007</v>
      </c>
      <c r="C8783" s="15" t="s">
        <v>11008</v>
      </c>
      <c r="D8783" s="15" t="s">
        <v>11009</v>
      </c>
      <c r="E8783" s="15" t="s">
        <v>11010</v>
      </c>
    </row>
    <row r="8784" spans="2:5">
      <c r="B8784" s="15" t="s">
        <v>11007</v>
      </c>
      <c r="C8784" s="15" t="s">
        <v>11008</v>
      </c>
      <c r="D8784" s="15" t="s">
        <v>11011</v>
      </c>
      <c r="E8784" s="15" t="s">
        <v>11012</v>
      </c>
    </row>
    <row r="8785" spans="2:5">
      <c r="B8785" s="15" t="s">
        <v>11007</v>
      </c>
      <c r="C8785" s="15" t="s">
        <v>11008</v>
      </c>
      <c r="D8785" s="15" t="s">
        <v>11013</v>
      </c>
      <c r="E8785" s="15" t="s">
        <v>11013</v>
      </c>
    </row>
    <row r="8786" spans="2:5">
      <c r="B8786" s="15" t="s">
        <v>11007</v>
      </c>
      <c r="C8786" s="15" t="s">
        <v>11008</v>
      </c>
      <c r="D8786" s="15" t="s">
        <v>11014</v>
      </c>
      <c r="E8786" s="15" t="s">
        <v>11014</v>
      </c>
    </row>
    <row r="8787" ht="15.95" spans="2:2">
      <c r="B8787" s="122" t="s">
        <v>11015</v>
      </c>
    </row>
    <row r="8788" spans="2:5">
      <c r="B8788" s="15" t="s">
        <v>11016</v>
      </c>
      <c r="C8788" s="15" t="s">
        <v>11017</v>
      </c>
      <c r="D8788" s="15" t="s">
        <v>1432</v>
      </c>
      <c r="E8788" s="15" t="s">
        <v>11018</v>
      </c>
    </row>
    <row r="8789" spans="2:5">
      <c r="B8789" s="15" t="s">
        <v>11016</v>
      </c>
      <c r="C8789" s="15" t="s">
        <v>11017</v>
      </c>
      <c r="D8789" s="15" t="s">
        <v>723</v>
      </c>
      <c r="E8789" s="15" t="s">
        <v>11019</v>
      </c>
    </row>
    <row r="8790" spans="2:5">
      <c r="B8790" s="15" t="s">
        <v>11016</v>
      </c>
      <c r="C8790" s="15" t="s">
        <v>11017</v>
      </c>
      <c r="D8790" s="15" t="s">
        <v>725</v>
      </c>
      <c r="E8790" s="15" t="s">
        <v>11020</v>
      </c>
    </row>
    <row r="8791" ht="15.95" spans="2:2">
      <c r="B8791" s="122" t="s">
        <v>11021</v>
      </c>
    </row>
    <row r="8792" spans="2:5">
      <c r="B8792" s="15" t="s">
        <v>11022</v>
      </c>
      <c r="C8792" s="15" t="s">
        <v>11023</v>
      </c>
      <c r="D8792" s="15" t="s">
        <v>770</v>
      </c>
      <c r="E8792" s="15" t="s">
        <v>9432</v>
      </c>
    </row>
    <row r="8793" spans="2:5">
      <c r="B8793" s="15" t="s">
        <v>11022</v>
      </c>
      <c r="C8793" s="15" t="s">
        <v>11023</v>
      </c>
      <c r="D8793" s="15" t="s">
        <v>772</v>
      </c>
      <c r="E8793" s="15" t="s">
        <v>9433</v>
      </c>
    </row>
    <row r="8794" ht="15.95" spans="2:2">
      <c r="B8794" s="122" t="s">
        <v>11024</v>
      </c>
    </row>
    <row r="8795" spans="2:5">
      <c r="B8795" s="15" t="s">
        <v>11025</v>
      </c>
      <c r="C8795" s="15" t="s">
        <v>11025</v>
      </c>
      <c r="D8795" s="15" t="s">
        <v>723</v>
      </c>
      <c r="E8795" s="15" t="s">
        <v>11026</v>
      </c>
    </row>
    <row r="8796" spans="2:5">
      <c r="B8796" s="15" t="s">
        <v>11025</v>
      </c>
      <c r="C8796" s="15" t="s">
        <v>11025</v>
      </c>
      <c r="D8796" s="15" t="s">
        <v>725</v>
      </c>
      <c r="E8796" s="15" t="s">
        <v>11027</v>
      </c>
    </row>
    <row r="8797" ht="15.95" spans="2:2">
      <c r="B8797" s="122" t="s">
        <v>11028</v>
      </c>
    </row>
    <row r="8798" spans="2:5">
      <c r="B8798" s="15" t="s">
        <v>11029</v>
      </c>
      <c r="C8798" s="15" t="s">
        <v>2825</v>
      </c>
      <c r="D8798" s="15" t="s">
        <v>723</v>
      </c>
      <c r="E8798" s="15" t="s">
        <v>2826</v>
      </c>
    </row>
    <row r="8799" spans="2:5">
      <c r="B8799" s="15" t="s">
        <v>11029</v>
      </c>
      <c r="C8799" s="15" t="s">
        <v>2825</v>
      </c>
      <c r="D8799" s="15" t="s">
        <v>725</v>
      </c>
      <c r="E8799" s="15" t="s">
        <v>2827</v>
      </c>
    </row>
    <row r="8800" spans="2:5">
      <c r="B8800" s="15" t="s">
        <v>11029</v>
      </c>
      <c r="C8800" s="15" t="s">
        <v>2825</v>
      </c>
      <c r="D8800" s="15" t="s">
        <v>727</v>
      </c>
      <c r="E8800" s="15" t="s">
        <v>1483</v>
      </c>
    </row>
    <row r="8801" spans="2:5">
      <c r="B8801" s="15" t="s">
        <v>11029</v>
      </c>
      <c r="C8801" s="15" t="s">
        <v>2825</v>
      </c>
      <c r="D8801" s="15" t="s">
        <v>729</v>
      </c>
      <c r="E8801" s="15" t="s">
        <v>2828</v>
      </c>
    </row>
    <row r="8802" ht="15.95" spans="2:2">
      <c r="B8802" s="122" t="s">
        <v>11030</v>
      </c>
    </row>
    <row r="8803" spans="2:5">
      <c r="B8803" s="15" t="s">
        <v>11031</v>
      </c>
      <c r="C8803" s="15" t="s">
        <v>11032</v>
      </c>
      <c r="D8803" s="15" t="s">
        <v>939</v>
      </c>
      <c r="E8803" s="15" t="s">
        <v>11033</v>
      </c>
    </row>
    <row r="8804" spans="2:5">
      <c r="B8804" s="15" t="s">
        <v>11031</v>
      </c>
      <c r="C8804" s="15" t="s">
        <v>11032</v>
      </c>
      <c r="D8804" s="15" t="s">
        <v>11034</v>
      </c>
      <c r="E8804" s="15" t="s">
        <v>11035</v>
      </c>
    </row>
    <row r="8805" spans="2:5">
      <c r="B8805" s="15" t="s">
        <v>11031</v>
      </c>
      <c r="C8805" s="15" t="s">
        <v>11032</v>
      </c>
      <c r="D8805" s="15" t="s">
        <v>11036</v>
      </c>
      <c r="E8805" s="15" t="s">
        <v>11037</v>
      </c>
    </row>
    <row r="8806" spans="2:5">
      <c r="B8806" s="15" t="s">
        <v>11031</v>
      </c>
      <c r="C8806" s="15" t="s">
        <v>11032</v>
      </c>
      <c r="D8806" s="15" t="s">
        <v>11038</v>
      </c>
      <c r="E8806" s="15" t="s">
        <v>11039</v>
      </c>
    </row>
    <row r="8807" spans="2:5">
      <c r="B8807" s="15" t="s">
        <v>11031</v>
      </c>
      <c r="C8807" s="15" t="s">
        <v>11032</v>
      </c>
      <c r="D8807" s="15" t="s">
        <v>11040</v>
      </c>
      <c r="E8807" s="15" t="s">
        <v>11041</v>
      </c>
    </row>
    <row r="8808" spans="2:5">
      <c r="B8808" s="15" t="s">
        <v>11031</v>
      </c>
      <c r="C8808" s="15" t="s">
        <v>11032</v>
      </c>
      <c r="D8808" s="15" t="s">
        <v>11042</v>
      </c>
      <c r="E8808" s="15" t="s">
        <v>11043</v>
      </c>
    </row>
    <row r="8809" spans="2:5">
      <c r="B8809" s="15" t="s">
        <v>11031</v>
      </c>
      <c r="C8809" s="15" t="s">
        <v>11032</v>
      </c>
      <c r="D8809" s="15" t="s">
        <v>11044</v>
      </c>
      <c r="E8809" s="15" t="s">
        <v>11045</v>
      </c>
    </row>
    <row r="8810" spans="2:5">
      <c r="B8810" s="15" t="s">
        <v>11031</v>
      </c>
      <c r="C8810" s="15" t="s">
        <v>11032</v>
      </c>
      <c r="D8810" s="15" t="s">
        <v>11046</v>
      </c>
      <c r="E8810" s="15" t="s">
        <v>11047</v>
      </c>
    </row>
    <row r="8811" spans="2:5">
      <c r="B8811" s="15" t="s">
        <v>11031</v>
      </c>
      <c r="C8811" s="15" t="s">
        <v>11032</v>
      </c>
      <c r="D8811" s="15" t="s">
        <v>11048</v>
      </c>
      <c r="E8811" s="15" t="s">
        <v>11049</v>
      </c>
    </row>
    <row r="8812" spans="2:5">
      <c r="B8812" s="15" t="s">
        <v>11031</v>
      </c>
      <c r="C8812" s="15" t="s">
        <v>11032</v>
      </c>
      <c r="D8812" s="15" t="s">
        <v>11050</v>
      </c>
      <c r="E8812" s="15" t="s">
        <v>11051</v>
      </c>
    </row>
    <row r="8813" spans="2:5">
      <c r="B8813" s="15" t="s">
        <v>11031</v>
      </c>
      <c r="C8813" s="15" t="s">
        <v>11032</v>
      </c>
      <c r="D8813" s="15" t="s">
        <v>11052</v>
      </c>
      <c r="E8813" s="15" t="s">
        <v>11053</v>
      </c>
    </row>
    <row r="8814" spans="2:5">
      <c r="B8814" s="15" t="s">
        <v>11031</v>
      </c>
      <c r="C8814" s="15" t="s">
        <v>11032</v>
      </c>
      <c r="D8814" s="15" t="s">
        <v>11054</v>
      </c>
      <c r="E8814" s="15" t="s">
        <v>11055</v>
      </c>
    </row>
    <row r="8815" spans="2:5">
      <c r="B8815" s="15" t="s">
        <v>11031</v>
      </c>
      <c r="C8815" s="15" t="s">
        <v>11032</v>
      </c>
      <c r="D8815" s="15" t="s">
        <v>11056</v>
      </c>
      <c r="E8815" s="15" t="s">
        <v>11057</v>
      </c>
    </row>
    <row r="8816" spans="2:5">
      <c r="B8816" s="15" t="s">
        <v>11031</v>
      </c>
      <c r="C8816" s="15" t="s">
        <v>11032</v>
      </c>
      <c r="D8816" s="15" t="s">
        <v>11058</v>
      </c>
      <c r="E8816" s="15" t="s">
        <v>11059</v>
      </c>
    </row>
    <row r="8817" spans="2:5">
      <c r="B8817" s="15" t="s">
        <v>11031</v>
      </c>
      <c r="C8817" s="15" t="s">
        <v>11032</v>
      </c>
      <c r="D8817" s="15" t="s">
        <v>11060</v>
      </c>
      <c r="E8817" s="15" t="s">
        <v>11061</v>
      </c>
    </row>
    <row r="8818" spans="2:5">
      <c r="B8818" s="15" t="s">
        <v>11031</v>
      </c>
      <c r="C8818" s="15" t="s">
        <v>11032</v>
      </c>
      <c r="D8818" s="15" t="s">
        <v>11062</v>
      </c>
      <c r="E8818" s="15" t="s">
        <v>11063</v>
      </c>
    </row>
    <row r="8819" spans="2:5">
      <c r="B8819" s="15" t="s">
        <v>11031</v>
      </c>
      <c r="C8819" s="15" t="s">
        <v>11032</v>
      </c>
      <c r="D8819" s="15" t="s">
        <v>11064</v>
      </c>
      <c r="E8819" s="15" t="s">
        <v>11065</v>
      </c>
    </row>
    <row r="8820" spans="2:5">
      <c r="B8820" s="15" t="s">
        <v>11031</v>
      </c>
      <c r="C8820" s="15" t="s">
        <v>11032</v>
      </c>
      <c r="D8820" s="15" t="s">
        <v>11066</v>
      </c>
      <c r="E8820" s="15" t="s">
        <v>11067</v>
      </c>
    </row>
    <row r="8821" spans="2:5">
      <c r="B8821" s="15" t="s">
        <v>11031</v>
      </c>
      <c r="C8821" s="15" t="s">
        <v>11032</v>
      </c>
      <c r="D8821" s="15" t="s">
        <v>11068</v>
      </c>
      <c r="E8821" s="15" t="s">
        <v>11069</v>
      </c>
    </row>
    <row r="8822" spans="2:5">
      <c r="B8822" s="15" t="s">
        <v>11031</v>
      </c>
      <c r="C8822" s="15" t="s">
        <v>11032</v>
      </c>
      <c r="D8822" s="15" t="s">
        <v>11070</v>
      </c>
      <c r="E8822" s="15" t="s">
        <v>11071</v>
      </c>
    </row>
    <row r="8823" spans="2:5">
      <c r="B8823" s="15" t="s">
        <v>11031</v>
      </c>
      <c r="C8823" s="15" t="s">
        <v>11032</v>
      </c>
      <c r="D8823" s="15" t="s">
        <v>11072</v>
      </c>
      <c r="E8823" s="15" t="s">
        <v>11073</v>
      </c>
    </row>
    <row r="8824" spans="2:5">
      <c r="B8824" s="15" t="s">
        <v>11031</v>
      </c>
      <c r="C8824" s="15" t="s">
        <v>11032</v>
      </c>
      <c r="D8824" s="15" t="s">
        <v>11074</v>
      </c>
      <c r="E8824" s="15" t="s">
        <v>11075</v>
      </c>
    </row>
    <row r="8825" spans="2:5">
      <c r="B8825" s="15" t="s">
        <v>11031</v>
      </c>
      <c r="C8825" s="15" t="s">
        <v>11032</v>
      </c>
      <c r="D8825" s="15" t="s">
        <v>11076</v>
      </c>
      <c r="E8825" s="15" t="s">
        <v>11077</v>
      </c>
    </row>
    <row r="8826" spans="2:5">
      <c r="B8826" s="15" t="s">
        <v>11031</v>
      </c>
      <c r="C8826" s="15" t="s">
        <v>11032</v>
      </c>
      <c r="D8826" s="15" t="s">
        <v>11078</v>
      </c>
      <c r="E8826" s="15" t="s">
        <v>11079</v>
      </c>
    </row>
    <row r="8827" spans="2:5">
      <c r="B8827" s="15" t="s">
        <v>11031</v>
      </c>
      <c r="C8827" s="15" t="s">
        <v>11032</v>
      </c>
      <c r="D8827" s="15" t="s">
        <v>11080</v>
      </c>
      <c r="E8827" s="15" t="s">
        <v>11081</v>
      </c>
    </row>
    <row r="8828" spans="2:5">
      <c r="B8828" s="15" t="s">
        <v>11031</v>
      </c>
      <c r="C8828" s="15" t="s">
        <v>11032</v>
      </c>
      <c r="D8828" s="15" t="s">
        <v>11082</v>
      </c>
      <c r="E8828" s="15" t="s">
        <v>11083</v>
      </c>
    </row>
    <row r="8829" spans="2:5">
      <c r="B8829" s="15" t="s">
        <v>11031</v>
      </c>
      <c r="C8829" s="15" t="s">
        <v>11032</v>
      </c>
      <c r="D8829" s="15" t="s">
        <v>11084</v>
      </c>
      <c r="E8829" s="15" t="s">
        <v>11085</v>
      </c>
    </row>
    <row r="8830" spans="2:5">
      <c r="B8830" s="15" t="s">
        <v>11031</v>
      </c>
      <c r="C8830" s="15" t="s">
        <v>11032</v>
      </c>
      <c r="D8830" s="15" t="s">
        <v>11086</v>
      </c>
      <c r="E8830" s="15" t="s">
        <v>11087</v>
      </c>
    </row>
    <row r="8831" spans="2:5">
      <c r="B8831" s="15" t="s">
        <v>11031</v>
      </c>
      <c r="C8831" s="15" t="s">
        <v>11032</v>
      </c>
      <c r="D8831" s="15" t="s">
        <v>11088</v>
      </c>
      <c r="E8831" s="15" t="s">
        <v>11089</v>
      </c>
    </row>
    <row r="8832" ht="15.95" spans="2:2">
      <c r="B8832" s="122" t="s">
        <v>11090</v>
      </c>
    </row>
    <row r="8833" spans="2:5">
      <c r="B8833" s="15" t="s">
        <v>11091</v>
      </c>
      <c r="C8833" s="15" t="s">
        <v>11092</v>
      </c>
      <c r="D8833" s="15" t="s">
        <v>635</v>
      </c>
      <c r="E8833" s="15" t="s">
        <v>11093</v>
      </c>
    </row>
    <row r="8834" spans="2:5">
      <c r="B8834" s="15" t="s">
        <v>11091</v>
      </c>
      <c r="C8834" s="15" t="s">
        <v>11092</v>
      </c>
      <c r="D8834" s="15" t="s">
        <v>659</v>
      </c>
      <c r="E8834" s="15" t="s">
        <v>11094</v>
      </c>
    </row>
    <row r="8835" spans="2:5">
      <c r="B8835" s="15" t="s">
        <v>11091</v>
      </c>
      <c r="C8835" s="15" t="s">
        <v>11092</v>
      </c>
      <c r="D8835" s="15" t="s">
        <v>679</v>
      </c>
      <c r="E8835" s="15" t="s">
        <v>11095</v>
      </c>
    </row>
    <row r="8836" spans="2:5">
      <c r="B8836" s="15" t="s">
        <v>11091</v>
      </c>
      <c r="C8836" s="15" t="s">
        <v>11092</v>
      </c>
      <c r="D8836" s="15" t="s">
        <v>705</v>
      </c>
      <c r="E8836" s="15" t="s">
        <v>235</v>
      </c>
    </row>
    <row r="8837" ht="15.95" spans="2:2">
      <c r="B8837" s="122" t="s">
        <v>11096</v>
      </c>
    </row>
    <row r="8838" spans="2:5">
      <c r="B8838" s="15" t="s">
        <v>11097</v>
      </c>
      <c r="C8838" s="15" t="s">
        <v>896</v>
      </c>
      <c r="D8838" s="15" t="s">
        <v>723</v>
      </c>
      <c r="E8838" s="15" t="s">
        <v>5820</v>
      </c>
    </row>
    <row r="8839" spans="2:5">
      <c r="B8839" s="15" t="s">
        <v>11097</v>
      </c>
      <c r="C8839" s="15" t="s">
        <v>896</v>
      </c>
      <c r="D8839" s="15" t="s">
        <v>725</v>
      </c>
      <c r="E8839" s="15" t="s">
        <v>5821</v>
      </c>
    </row>
    <row r="8840" spans="2:5">
      <c r="B8840" s="15" t="s">
        <v>11097</v>
      </c>
      <c r="C8840" s="15" t="s">
        <v>896</v>
      </c>
      <c r="D8840" s="15" t="s">
        <v>727</v>
      </c>
      <c r="E8840" s="15" t="s">
        <v>5822</v>
      </c>
    </row>
    <row r="8841" ht="15.95" spans="2:2">
      <c r="B8841" s="122" t="s">
        <v>11098</v>
      </c>
    </row>
    <row r="8842" spans="2:5">
      <c r="B8842" s="15" t="s">
        <v>11099</v>
      </c>
      <c r="C8842" s="15" t="s">
        <v>11100</v>
      </c>
      <c r="D8842" s="15" t="s">
        <v>770</v>
      </c>
      <c r="E8842" s="15" t="s">
        <v>11101</v>
      </c>
    </row>
    <row r="8843" spans="2:5">
      <c r="B8843" s="15" t="s">
        <v>11099</v>
      </c>
      <c r="C8843" s="15" t="s">
        <v>11100</v>
      </c>
      <c r="D8843" s="15" t="s">
        <v>772</v>
      </c>
      <c r="E8843" s="15" t="s">
        <v>11102</v>
      </c>
    </row>
    <row r="8844" spans="2:5">
      <c r="B8844" s="15" t="s">
        <v>11099</v>
      </c>
      <c r="C8844" s="15" t="s">
        <v>11100</v>
      </c>
      <c r="D8844" s="15" t="s">
        <v>774</v>
      </c>
      <c r="E8844" s="15" t="s">
        <v>11103</v>
      </c>
    </row>
    <row r="8845" spans="2:5">
      <c r="B8845" s="15" t="s">
        <v>11099</v>
      </c>
      <c r="C8845" s="15" t="s">
        <v>11100</v>
      </c>
      <c r="D8845" s="15" t="s">
        <v>828</v>
      </c>
      <c r="E8845" s="15" t="s">
        <v>235</v>
      </c>
    </row>
    <row r="8846" ht="15.95" spans="2:2">
      <c r="B8846" s="122" t="s">
        <v>11104</v>
      </c>
    </row>
    <row r="8847" spans="2:5">
      <c r="B8847" s="15" t="s">
        <v>11105</v>
      </c>
      <c r="C8847" s="15" t="s">
        <v>11106</v>
      </c>
      <c r="D8847" s="15" t="s">
        <v>635</v>
      </c>
      <c r="E8847" s="15" t="s">
        <v>11107</v>
      </c>
    </row>
    <row r="8848" spans="2:5">
      <c r="B8848" s="15" t="s">
        <v>11105</v>
      </c>
      <c r="C8848" s="15" t="s">
        <v>11106</v>
      </c>
      <c r="D8848" s="15" t="s">
        <v>637</v>
      </c>
      <c r="E8848" s="15" t="s">
        <v>638</v>
      </c>
    </row>
    <row r="8849" spans="2:5">
      <c r="B8849" s="15" t="s">
        <v>11105</v>
      </c>
      <c r="C8849" s="15" t="s">
        <v>11106</v>
      </c>
      <c r="D8849" s="15" t="s">
        <v>641</v>
      </c>
      <c r="E8849" s="15" t="s">
        <v>6028</v>
      </c>
    </row>
    <row r="8850" spans="2:5">
      <c r="B8850" s="15" t="s">
        <v>11105</v>
      </c>
      <c r="C8850" s="15" t="s">
        <v>11106</v>
      </c>
      <c r="D8850" s="15" t="s">
        <v>643</v>
      </c>
      <c r="E8850" s="15" t="s">
        <v>648</v>
      </c>
    </row>
    <row r="8851" spans="2:5">
      <c r="B8851" s="15" t="s">
        <v>11105</v>
      </c>
      <c r="C8851" s="15" t="s">
        <v>11106</v>
      </c>
      <c r="D8851" s="15" t="s">
        <v>645</v>
      </c>
      <c r="E8851" s="15" t="s">
        <v>650</v>
      </c>
    </row>
    <row r="8852" ht="15.95" spans="2:2">
      <c r="B8852" s="122" t="s">
        <v>11108</v>
      </c>
    </row>
    <row r="8853" spans="2:5">
      <c r="B8853" s="15" t="s">
        <v>11109</v>
      </c>
      <c r="C8853" s="15" t="s">
        <v>896</v>
      </c>
      <c r="D8853" s="15" t="s">
        <v>770</v>
      </c>
      <c r="E8853" s="15" t="s">
        <v>11110</v>
      </c>
    </row>
    <row r="8854" spans="2:5">
      <c r="B8854" s="15" t="s">
        <v>11109</v>
      </c>
      <c r="C8854" s="15" t="s">
        <v>896</v>
      </c>
      <c r="D8854" s="15" t="s">
        <v>772</v>
      </c>
      <c r="E8854" s="15" t="s">
        <v>11111</v>
      </c>
    </row>
    <row r="8855" spans="2:5">
      <c r="B8855" s="15" t="s">
        <v>11109</v>
      </c>
      <c r="C8855" s="15" t="s">
        <v>896</v>
      </c>
      <c r="D8855" s="15" t="s">
        <v>774</v>
      </c>
      <c r="E8855" s="15" t="s">
        <v>11112</v>
      </c>
    </row>
    <row r="8856" spans="2:5">
      <c r="B8856" s="15" t="s">
        <v>11109</v>
      </c>
      <c r="C8856" s="15" t="s">
        <v>896</v>
      </c>
      <c r="D8856" s="15" t="s">
        <v>828</v>
      </c>
      <c r="E8856" s="15" t="s">
        <v>11113</v>
      </c>
    </row>
    <row r="8857" ht="15.95" spans="2:2">
      <c r="B8857" s="122" t="s">
        <v>11114</v>
      </c>
    </row>
    <row r="8858" spans="2:5">
      <c r="B8858" s="15" t="s">
        <v>11115</v>
      </c>
      <c r="C8858" s="15" t="s">
        <v>896</v>
      </c>
      <c r="D8858" s="15" t="s">
        <v>770</v>
      </c>
      <c r="E8858" s="15" t="s">
        <v>825</v>
      </c>
    </row>
    <row r="8859" spans="2:5">
      <c r="B8859" s="15" t="s">
        <v>11115</v>
      </c>
      <c r="C8859" s="15" t="s">
        <v>896</v>
      </c>
      <c r="D8859" s="15" t="s">
        <v>772</v>
      </c>
      <c r="E8859" s="15" t="s">
        <v>826</v>
      </c>
    </row>
    <row r="8860" spans="2:5">
      <c r="B8860" s="15" t="s">
        <v>11115</v>
      </c>
      <c r="C8860" s="15" t="s">
        <v>896</v>
      </c>
      <c r="D8860" s="15" t="s">
        <v>774</v>
      </c>
      <c r="E8860" s="15" t="s">
        <v>827</v>
      </c>
    </row>
    <row r="8861" spans="2:5">
      <c r="B8861" s="15" t="s">
        <v>11115</v>
      </c>
      <c r="C8861" s="15" t="s">
        <v>896</v>
      </c>
      <c r="D8861" s="15" t="s">
        <v>828</v>
      </c>
      <c r="E8861" s="15" t="s">
        <v>829</v>
      </c>
    </row>
    <row r="8862" ht="15.95" spans="2:2">
      <c r="B8862" s="122" t="s">
        <v>11116</v>
      </c>
    </row>
    <row r="8863" spans="2:5">
      <c r="B8863" s="15" t="s">
        <v>11117</v>
      </c>
      <c r="C8863" s="15" t="s">
        <v>7144</v>
      </c>
      <c r="D8863" s="15" t="s">
        <v>917</v>
      </c>
      <c r="E8863" s="15" t="s">
        <v>953</v>
      </c>
    </row>
    <row r="8864" spans="2:5">
      <c r="B8864" s="15" t="s">
        <v>11117</v>
      </c>
      <c r="C8864" s="15" t="s">
        <v>7144</v>
      </c>
      <c r="D8864" s="15" t="s">
        <v>919</v>
      </c>
      <c r="E8864" s="15" t="s">
        <v>954</v>
      </c>
    </row>
    <row r="8865" spans="2:5">
      <c r="B8865" s="15" t="s">
        <v>11117</v>
      </c>
      <c r="C8865" s="15" t="s">
        <v>7144</v>
      </c>
      <c r="D8865" s="15" t="s">
        <v>955</v>
      </c>
      <c r="E8865" s="15" t="s">
        <v>956</v>
      </c>
    </row>
    <row r="8866" ht="15.95" spans="2:2">
      <c r="B8866" s="122" t="s">
        <v>11118</v>
      </c>
    </row>
    <row r="8867" spans="2:5">
      <c r="B8867" s="15" t="s">
        <v>11119</v>
      </c>
      <c r="C8867" s="15" t="s">
        <v>896</v>
      </c>
      <c r="D8867" s="15" t="s">
        <v>770</v>
      </c>
      <c r="E8867" s="15" t="s">
        <v>1189</v>
      </c>
    </row>
    <row r="8868" spans="2:5">
      <c r="B8868" s="15" t="s">
        <v>11119</v>
      </c>
      <c r="C8868" s="15" t="s">
        <v>896</v>
      </c>
      <c r="D8868" s="15" t="s">
        <v>772</v>
      </c>
      <c r="E8868" s="15" t="s">
        <v>1190</v>
      </c>
    </row>
    <row r="8869" spans="2:5">
      <c r="B8869" s="15" t="s">
        <v>11119</v>
      </c>
      <c r="C8869" s="15" t="s">
        <v>896</v>
      </c>
      <c r="D8869" s="15" t="s">
        <v>774</v>
      </c>
      <c r="E8869" s="15" t="s">
        <v>7918</v>
      </c>
    </row>
    <row r="8870" spans="2:5">
      <c r="B8870" s="15" t="s">
        <v>11119</v>
      </c>
      <c r="C8870" s="15" t="s">
        <v>896</v>
      </c>
      <c r="D8870" s="15" t="s">
        <v>828</v>
      </c>
      <c r="E8870" s="15" t="s">
        <v>11120</v>
      </c>
    </row>
    <row r="8871" spans="2:5">
      <c r="B8871" s="15" t="s">
        <v>11119</v>
      </c>
      <c r="C8871" s="15" t="s">
        <v>896</v>
      </c>
      <c r="D8871" s="15" t="s">
        <v>901</v>
      </c>
      <c r="E8871" s="15" t="s">
        <v>11121</v>
      </c>
    </row>
    <row r="8872" ht="15.95" spans="2:2">
      <c r="B8872" s="122" t="s">
        <v>11122</v>
      </c>
    </row>
    <row r="8873" spans="2:5">
      <c r="B8873" s="15" t="s">
        <v>11123</v>
      </c>
      <c r="C8873" s="15" t="s">
        <v>11124</v>
      </c>
      <c r="D8873" s="15" t="s">
        <v>785</v>
      </c>
      <c r="E8873" s="15" t="s">
        <v>2894</v>
      </c>
    </row>
    <row r="8874" spans="2:5">
      <c r="B8874" s="15" t="s">
        <v>11123</v>
      </c>
      <c r="C8874" s="15" t="s">
        <v>11124</v>
      </c>
      <c r="D8874" s="15" t="s">
        <v>787</v>
      </c>
      <c r="E8874" s="15" t="s">
        <v>2896</v>
      </c>
    </row>
    <row r="8875" spans="2:5">
      <c r="B8875" s="15" t="s">
        <v>11123</v>
      </c>
      <c r="C8875" s="15" t="s">
        <v>11124</v>
      </c>
      <c r="D8875" s="15" t="s">
        <v>789</v>
      </c>
      <c r="E8875" s="15" t="s">
        <v>2898</v>
      </c>
    </row>
    <row r="8876" spans="2:5">
      <c r="B8876" s="15" t="s">
        <v>11123</v>
      </c>
      <c r="C8876" s="15" t="s">
        <v>11124</v>
      </c>
      <c r="D8876" s="15" t="s">
        <v>791</v>
      </c>
      <c r="E8876" s="15" t="s">
        <v>2900</v>
      </c>
    </row>
    <row r="8877" ht="15.95" spans="2:2">
      <c r="B8877" s="122" t="s">
        <v>11125</v>
      </c>
    </row>
    <row r="8878" spans="2:5">
      <c r="B8878" s="15" t="s">
        <v>11126</v>
      </c>
      <c r="C8878" s="15" t="s">
        <v>11127</v>
      </c>
      <c r="D8878" s="15" t="s">
        <v>770</v>
      </c>
      <c r="E8878" s="15" t="s">
        <v>2221</v>
      </c>
    </row>
    <row r="8879" spans="2:5">
      <c r="B8879" s="15" t="s">
        <v>11126</v>
      </c>
      <c r="C8879" s="15" t="s">
        <v>11127</v>
      </c>
      <c r="D8879" s="15" t="s">
        <v>772</v>
      </c>
      <c r="E8879" s="15" t="s">
        <v>2222</v>
      </c>
    </row>
    <row r="8880" ht="15.95" spans="2:2">
      <c r="B8880" s="122" t="s">
        <v>11128</v>
      </c>
    </row>
    <row r="8881" spans="2:5">
      <c r="B8881" s="15" t="s">
        <v>11129</v>
      </c>
      <c r="C8881" s="15" t="s">
        <v>1206</v>
      </c>
      <c r="D8881" s="15" t="s">
        <v>11130</v>
      </c>
      <c r="E8881" s="15" t="s">
        <v>1207</v>
      </c>
    </row>
    <row r="8882" spans="2:5">
      <c r="B8882" s="15" t="s">
        <v>11129</v>
      </c>
      <c r="C8882" s="15" t="s">
        <v>1206</v>
      </c>
      <c r="D8882" s="15" t="s">
        <v>11131</v>
      </c>
      <c r="E8882" s="15" t="s">
        <v>1050</v>
      </c>
    </row>
    <row r="8883" spans="2:5">
      <c r="B8883" s="15" t="s">
        <v>11129</v>
      </c>
      <c r="C8883" s="15" t="s">
        <v>1206</v>
      </c>
      <c r="D8883" s="15" t="s">
        <v>11132</v>
      </c>
      <c r="E8883" s="15" t="s">
        <v>1208</v>
      </c>
    </row>
    <row r="8884" spans="2:5">
      <c r="B8884" s="15" t="s">
        <v>11129</v>
      </c>
      <c r="C8884" s="15" t="s">
        <v>1206</v>
      </c>
      <c r="D8884" s="15" t="s">
        <v>11133</v>
      </c>
      <c r="E8884" s="15" t="s">
        <v>1209</v>
      </c>
    </row>
    <row r="8885" spans="2:5">
      <c r="B8885" s="15" t="s">
        <v>11129</v>
      </c>
      <c r="C8885" s="15" t="s">
        <v>1206</v>
      </c>
      <c r="D8885" s="15" t="s">
        <v>11134</v>
      </c>
      <c r="E8885" s="15" t="s">
        <v>1210</v>
      </c>
    </row>
    <row r="8886" spans="2:5">
      <c r="B8886" s="15" t="s">
        <v>11129</v>
      </c>
      <c r="C8886" s="15" t="s">
        <v>1206</v>
      </c>
      <c r="D8886" s="15" t="s">
        <v>11135</v>
      </c>
      <c r="E8886" s="15" t="s">
        <v>1211</v>
      </c>
    </row>
    <row r="8887" ht="15.95" spans="2:2">
      <c r="B8887" s="122" t="s">
        <v>11136</v>
      </c>
    </row>
    <row r="8888" spans="2:5">
      <c r="B8888" s="15" t="s">
        <v>11137</v>
      </c>
      <c r="C8888" s="15" t="s">
        <v>896</v>
      </c>
      <c r="D8888" s="15" t="s">
        <v>770</v>
      </c>
      <c r="E8888" s="15" t="s">
        <v>11138</v>
      </c>
    </row>
    <row r="8889" spans="2:5">
      <c r="B8889" s="15" t="s">
        <v>11137</v>
      </c>
      <c r="C8889" s="15" t="s">
        <v>896</v>
      </c>
      <c r="D8889" s="15" t="s">
        <v>772</v>
      </c>
      <c r="E8889" s="15" t="s">
        <v>11139</v>
      </c>
    </row>
    <row r="8890" spans="2:5">
      <c r="B8890" s="15" t="s">
        <v>11137</v>
      </c>
      <c r="C8890" s="15" t="s">
        <v>896</v>
      </c>
      <c r="D8890" s="15" t="s">
        <v>774</v>
      </c>
      <c r="E8890" s="15" t="s">
        <v>11140</v>
      </c>
    </row>
    <row r="8891" spans="2:5">
      <c r="B8891" s="15" t="s">
        <v>11137</v>
      </c>
      <c r="C8891" s="15" t="s">
        <v>896</v>
      </c>
      <c r="D8891" s="15" t="s">
        <v>828</v>
      </c>
      <c r="E8891" s="15" t="s">
        <v>11141</v>
      </c>
    </row>
    <row r="8892" spans="2:5">
      <c r="B8892" s="15" t="s">
        <v>11137</v>
      </c>
      <c r="C8892" s="15" t="s">
        <v>896</v>
      </c>
      <c r="D8892" s="15" t="s">
        <v>901</v>
      </c>
      <c r="E8892" s="15" t="s">
        <v>11142</v>
      </c>
    </row>
    <row r="8893" ht="15.95" spans="2:2">
      <c r="B8893" s="122" t="s">
        <v>11143</v>
      </c>
    </row>
    <row r="8894" spans="2:5">
      <c r="B8894" s="15" t="s">
        <v>11144</v>
      </c>
      <c r="C8894" s="15" t="s">
        <v>11145</v>
      </c>
      <c r="D8894" s="15" t="s">
        <v>1169</v>
      </c>
      <c r="E8894" s="15" t="s">
        <v>1170</v>
      </c>
    </row>
    <row r="8895" spans="2:5">
      <c r="B8895" s="15" t="s">
        <v>11144</v>
      </c>
      <c r="C8895" s="15" t="s">
        <v>11145</v>
      </c>
      <c r="D8895" s="15" t="s">
        <v>1171</v>
      </c>
      <c r="E8895" s="15" t="s">
        <v>1172</v>
      </c>
    </row>
    <row r="8896" spans="2:5">
      <c r="B8896" s="15" t="s">
        <v>11144</v>
      </c>
      <c r="C8896" s="15" t="s">
        <v>11145</v>
      </c>
      <c r="D8896" s="15" t="s">
        <v>1173</v>
      </c>
      <c r="E8896" s="15" t="s">
        <v>1174</v>
      </c>
    </row>
    <row r="8897" spans="2:5">
      <c r="B8897" s="15" t="s">
        <v>11144</v>
      </c>
      <c r="C8897" s="15" t="s">
        <v>11145</v>
      </c>
      <c r="D8897" s="15" t="s">
        <v>1175</v>
      </c>
      <c r="E8897" s="15" t="s">
        <v>1176</v>
      </c>
    </row>
    <row r="8898" spans="2:5">
      <c r="B8898" s="15" t="s">
        <v>11144</v>
      </c>
      <c r="C8898" s="15" t="s">
        <v>11145</v>
      </c>
      <c r="D8898" s="15" t="s">
        <v>1177</v>
      </c>
      <c r="E8898" s="15" t="s">
        <v>1178</v>
      </c>
    </row>
    <row r="8899" spans="2:5">
      <c r="B8899" s="15" t="s">
        <v>11144</v>
      </c>
      <c r="C8899" s="15" t="s">
        <v>11145</v>
      </c>
      <c r="D8899" s="15" t="s">
        <v>1179</v>
      </c>
      <c r="E8899" s="15" t="s">
        <v>1180</v>
      </c>
    </row>
    <row r="8900" spans="2:5">
      <c r="B8900" s="15" t="s">
        <v>11144</v>
      </c>
      <c r="C8900" s="15" t="s">
        <v>11145</v>
      </c>
      <c r="D8900" s="15" t="s">
        <v>1181</v>
      </c>
      <c r="E8900" s="15" t="s">
        <v>1182</v>
      </c>
    </row>
    <row r="8901" ht="15.95" spans="2:2">
      <c r="B8901" s="122" t="s">
        <v>11146</v>
      </c>
    </row>
    <row r="8902" spans="2:5">
      <c r="B8902" s="15" t="s">
        <v>11147</v>
      </c>
      <c r="C8902" s="15" t="s">
        <v>11147</v>
      </c>
      <c r="D8902" s="15" t="s">
        <v>723</v>
      </c>
      <c r="E8902" s="15" t="s">
        <v>3436</v>
      </c>
    </row>
    <row r="8903" spans="2:5">
      <c r="B8903" s="15" t="s">
        <v>11147</v>
      </c>
      <c r="C8903" s="15" t="s">
        <v>11147</v>
      </c>
      <c r="D8903" s="15" t="s">
        <v>725</v>
      </c>
      <c r="E8903" s="15" t="s">
        <v>3437</v>
      </c>
    </row>
    <row r="8904" spans="2:5">
      <c r="B8904" s="15" t="s">
        <v>11147</v>
      </c>
      <c r="C8904" s="15" t="s">
        <v>11147</v>
      </c>
      <c r="D8904" s="15" t="s">
        <v>727</v>
      </c>
      <c r="E8904" s="15" t="s">
        <v>3438</v>
      </c>
    </row>
    <row r="8905" ht="15.95" spans="2:2">
      <c r="B8905" s="122" t="s">
        <v>11148</v>
      </c>
    </row>
    <row r="8906" spans="2:5">
      <c r="B8906" s="15" t="s">
        <v>11149</v>
      </c>
      <c r="C8906" s="15" t="s">
        <v>11150</v>
      </c>
      <c r="D8906" s="15" t="s">
        <v>723</v>
      </c>
      <c r="E8906" s="15" t="s">
        <v>1196</v>
      </c>
    </row>
    <row r="8907" spans="2:5">
      <c r="B8907" s="15" t="s">
        <v>11149</v>
      </c>
      <c r="C8907" s="15" t="s">
        <v>11150</v>
      </c>
      <c r="D8907" s="15" t="s">
        <v>725</v>
      </c>
      <c r="E8907" s="15" t="s">
        <v>1197</v>
      </c>
    </row>
    <row r="8908" spans="2:5">
      <c r="B8908" s="15" t="s">
        <v>11149</v>
      </c>
      <c r="C8908" s="15" t="s">
        <v>11150</v>
      </c>
      <c r="D8908" s="15" t="s">
        <v>727</v>
      </c>
      <c r="E8908" s="15" t="s">
        <v>1198</v>
      </c>
    </row>
    <row r="8909" ht="15.95" spans="2:2">
      <c r="B8909" s="122" t="s">
        <v>11151</v>
      </c>
    </row>
    <row r="8910" spans="2:5">
      <c r="B8910" s="15" t="s">
        <v>11152</v>
      </c>
      <c r="C8910" s="15" t="s">
        <v>11153</v>
      </c>
      <c r="D8910" s="15" t="s">
        <v>637</v>
      </c>
      <c r="E8910" s="15" t="s">
        <v>11154</v>
      </c>
    </row>
    <row r="8911" spans="2:5">
      <c r="B8911" s="15" t="s">
        <v>11152</v>
      </c>
      <c r="C8911" s="15" t="s">
        <v>11153</v>
      </c>
      <c r="D8911" s="15" t="s">
        <v>641</v>
      </c>
      <c r="E8911" s="15" t="s">
        <v>11155</v>
      </c>
    </row>
    <row r="8912" ht="15.95" spans="2:2">
      <c r="B8912" s="122" t="s">
        <v>11156</v>
      </c>
    </row>
    <row r="8913" spans="2:5">
      <c r="B8913" s="15" t="s">
        <v>11157</v>
      </c>
      <c r="C8913" s="15" t="s">
        <v>896</v>
      </c>
      <c r="D8913" s="15" t="s">
        <v>770</v>
      </c>
      <c r="E8913" s="15" t="s">
        <v>11158</v>
      </c>
    </row>
    <row r="8914" spans="2:5">
      <c r="B8914" s="15" t="s">
        <v>11157</v>
      </c>
      <c r="C8914" s="15" t="s">
        <v>896</v>
      </c>
      <c r="D8914" s="15" t="s">
        <v>772</v>
      </c>
      <c r="E8914" s="15" t="s">
        <v>11159</v>
      </c>
    </row>
    <row r="8915" spans="2:5">
      <c r="B8915" s="15" t="s">
        <v>11157</v>
      </c>
      <c r="C8915" s="15" t="s">
        <v>896</v>
      </c>
      <c r="D8915" s="15" t="s">
        <v>774</v>
      </c>
      <c r="E8915" s="15" t="s">
        <v>11160</v>
      </c>
    </row>
    <row r="8916" spans="2:5">
      <c r="B8916" s="15" t="s">
        <v>11157</v>
      </c>
      <c r="C8916" s="15" t="s">
        <v>896</v>
      </c>
      <c r="D8916" s="15" t="s">
        <v>828</v>
      </c>
      <c r="E8916" s="15" t="s">
        <v>11161</v>
      </c>
    </row>
    <row r="8917" spans="2:5">
      <c r="B8917" s="15" t="s">
        <v>11157</v>
      </c>
      <c r="C8917" s="15" t="s">
        <v>896</v>
      </c>
      <c r="D8917" s="15" t="s">
        <v>901</v>
      </c>
      <c r="E8917" s="15" t="s">
        <v>11162</v>
      </c>
    </row>
    <row r="8918" ht="15.95" spans="2:2">
      <c r="B8918" s="122" t="s">
        <v>11163</v>
      </c>
    </row>
    <row r="8919" spans="2:5">
      <c r="B8919" s="15" t="s">
        <v>11164</v>
      </c>
      <c r="C8919" s="15" t="s">
        <v>11164</v>
      </c>
      <c r="D8919" s="15" t="s">
        <v>723</v>
      </c>
      <c r="E8919" s="15" t="s">
        <v>11165</v>
      </c>
    </row>
    <row r="8920" spans="2:5">
      <c r="B8920" s="15" t="s">
        <v>11164</v>
      </c>
      <c r="C8920" s="15" t="s">
        <v>11164</v>
      </c>
      <c r="D8920" s="15" t="s">
        <v>725</v>
      </c>
      <c r="E8920" s="15" t="s">
        <v>11166</v>
      </c>
    </row>
    <row r="8921" ht="15.95" spans="2:2">
      <c r="B8921" s="122" t="s">
        <v>11167</v>
      </c>
    </row>
    <row r="8922" spans="2:5">
      <c r="B8922" s="15" t="s">
        <v>11168</v>
      </c>
      <c r="C8922" s="15" t="s">
        <v>11169</v>
      </c>
      <c r="D8922" s="15" t="s">
        <v>770</v>
      </c>
      <c r="E8922" s="15" t="s">
        <v>11170</v>
      </c>
    </row>
    <row r="8923" spans="2:5">
      <c r="B8923" s="15" t="s">
        <v>11168</v>
      </c>
      <c r="C8923" s="15" t="s">
        <v>11169</v>
      </c>
      <c r="D8923" s="15" t="s">
        <v>772</v>
      </c>
      <c r="E8923" s="15" t="s">
        <v>11171</v>
      </c>
    </row>
    <row r="8924" spans="2:5">
      <c r="B8924" s="15" t="s">
        <v>11168</v>
      </c>
      <c r="C8924" s="15" t="s">
        <v>11169</v>
      </c>
      <c r="D8924" s="15" t="s">
        <v>774</v>
      </c>
      <c r="E8924" s="15" t="s">
        <v>11172</v>
      </c>
    </row>
    <row r="8925" ht="15.95" spans="2:2">
      <c r="B8925" s="122" t="s">
        <v>11173</v>
      </c>
    </row>
    <row r="8926" spans="2:5">
      <c r="B8926" s="15" t="s">
        <v>11174</v>
      </c>
      <c r="C8926" s="15" t="s">
        <v>11175</v>
      </c>
      <c r="D8926" s="15" t="s">
        <v>770</v>
      </c>
      <c r="E8926" s="15" t="s">
        <v>11176</v>
      </c>
    </row>
    <row r="8927" spans="2:5">
      <c r="B8927" s="15" t="s">
        <v>11174</v>
      </c>
      <c r="C8927" s="15" t="s">
        <v>11175</v>
      </c>
      <c r="D8927" s="15" t="s">
        <v>772</v>
      </c>
      <c r="E8927" s="15" t="s">
        <v>11177</v>
      </c>
    </row>
    <row r="8928" spans="2:5">
      <c r="B8928" s="15" t="s">
        <v>11174</v>
      </c>
      <c r="C8928" s="15" t="s">
        <v>11175</v>
      </c>
      <c r="D8928" s="15" t="s">
        <v>774</v>
      </c>
      <c r="E8928" s="15" t="s">
        <v>11178</v>
      </c>
    </row>
    <row r="8929" ht="15.95" spans="2:2">
      <c r="B8929" s="122" t="s">
        <v>11179</v>
      </c>
    </row>
    <row r="8930" spans="2:5">
      <c r="B8930" s="15" t="s">
        <v>11180</v>
      </c>
      <c r="C8930" s="15" t="s">
        <v>11181</v>
      </c>
      <c r="D8930" s="15" t="s">
        <v>770</v>
      </c>
      <c r="E8930" s="15" t="s">
        <v>11182</v>
      </c>
    </row>
    <row r="8931" spans="2:5">
      <c r="B8931" s="15" t="s">
        <v>11180</v>
      </c>
      <c r="C8931" s="15" t="s">
        <v>11181</v>
      </c>
      <c r="D8931" s="15" t="s">
        <v>772</v>
      </c>
      <c r="E8931" s="15" t="s">
        <v>11183</v>
      </c>
    </row>
    <row r="8932" spans="2:5">
      <c r="B8932" s="15" t="s">
        <v>11180</v>
      </c>
      <c r="C8932" s="15" t="s">
        <v>11181</v>
      </c>
      <c r="D8932" s="15" t="s">
        <v>774</v>
      </c>
      <c r="E8932" s="15" t="s">
        <v>11184</v>
      </c>
    </row>
    <row r="8933" ht="15.95" spans="2:2">
      <c r="B8933" s="122" t="s">
        <v>11185</v>
      </c>
    </row>
    <row r="8934" spans="2:5">
      <c r="B8934" s="15" t="s">
        <v>11186</v>
      </c>
      <c r="C8934" s="15" t="s">
        <v>11187</v>
      </c>
      <c r="D8934" s="15" t="s">
        <v>723</v>
      </c>
      <c r="E8934" s="15" t="s">
        <v>10473</v>
      </c>
    </row>
    <row r="8935" spans="2:5">
      <c r="B8935" s="15" t="s">
        <v>11186</v>
      </c>
      <c r="C8935" s="15" t="s">
        <v>11187</v>
      </c>
      <c r="D8935" s="15" t="s">
        <v>725</v>
      </c>
      <c r="E8935" s="15" t="s">
        <v>10474</v>
      </c>
    </row>
    <row r="8936" spans="2:5">
      <c r="B8936" s="15" t="s">
        <v>11186</v>
      </c>
      <c r="C8936" s="15" t="s">
        <v>11187</v>
      </c>
      <c r="D8936" s="15" t="s">
        <v>727</v>
      </c>
      <c r="E8936" s="15" t="s">
        <v>10475</v>
      </c>
    </row>
    <row r="8937" ht="15.95" spans="2:2">
      <c r="B8937" s="122" t="s">
        <v>11188</v>
      </c>
    </row>
    <row r="8938" spans="2:5">
      <c r="B8938" s="15" t="s">
        <v>11189</v>
      </c>
      <c r="C8938" s="15" t="s">
        <v>11190</v>
      </c>
      <c r="D8938" s="15" t="s">
        <v>770</v>
      </c>
      <c r="E8938" s="15" t="s">
        <v>11191</v>
      </c>
    </row>
    <row r="8939" spans="2:5">
      <c r="B8939" s="15" t="s">
        <v>11189</v>
      </c>
      <c r="C8939" s="15" t="s">
        <v>11190</v>
      </c>
      <c r="D8939" s="15" t="s">
        <v>772</v>
      </c>
      <c r="E8939" s="15" t="s">
        <v>11192</v>
      </c>
    </row>
    <row r="8940" spans="2:5">
      <c r="B8940" s="15" t="s">
        <v>11189</v>
      </c>
      <c r="C8940" s="15" t="s">
        <v>11190</v>
      </c>
      <c r="D8940" s="15" t="s">
        <v>774</v>
      </c>
      <c r="E8940" s="15" t="s">
        <v>11193</v>
      </c>
    </row>
    <row r="8941" spans="2:5">
      <c r="B8941" s="15" t="s">
        <v>11189</v>
      </c>
      <c r="C8941" s="15" t="s">
        <v>11190</v>
      </c>
      <c r="D8941" s="15" t="s">
        <v>828</v>
      </c>
      <c r="E8941" s="15" t="s">
        <v>11194</v>
      </c>
    </row>
    <row r="8942" spans="2:5">
      <c r="B8942" s="15" t="s">
        <v>11189</v>
      </c>
      <c r="C8942" s="15" t="s">
        <v>11190</v>
      </c>
      <c r="D8942" s="15" t="s">
        <v>901</v>
      </c>
      <c r="E8942" s="15" t="s">
        <v>11195</v>
      </c>
    </row>
    <row r="8943" spans="2:5">
      <c r="B8943" s="15" t="s">
        <v>11189</v>
      </c>
      <c r="C8943" s="15" t="s">
        <v>11190</v>
      </c>
      <c r="D8943" s="15" t="s">
        <v>776</v>
      </c>
      <c r="E8943" s="15" t="s">
        <v>11196</v>
      </c>
    </row>
    <row r="8944" spans="2:5">
      <c r="B8944" s="15" t="s">
        <v>11189</v>
      </c>
      <c r="C8944" s="15" t="s">
        <v>11190</v>
      </c>
      <c r="D8944" s="15" t="s">
        <v>1290</v>
      </c>
      <c r="E8944" s="15" t="s">
        <v>11197</v>
      </c>
    </row>
    <row r="8945" spans="2:5">
      <c r="B8945" s="15" t="s">
        <v>11189</v>
      </c>
      <c r="C8945" s="15" t="s">
        <v>11190</v>
      </c>
      <c r="D8945" s="15" t="s">
        <v>1409</v>
      </c>
      <c r="E8945" s="15" t="s">
        <v>11198</v>
      </c>
    </row>
    <row r="8946" spans="2:5">
      <c r="B8946" s="15" t="s">
        <v>11189</v>
      </c>
      <c r="C8946" s="15" t="s">
        <v>11190</v>
      </c>
      <c r="D8946" s="15" t="s">
        <v>1411</v>
      </c>
      <c r="E8946" s="15" t="s">
        <v>11199</v>
      </c>
    </row>
    <row r="8947" spans="2:5">
      <c r="B8947" s="15" t="s">
        <v>11189</v>
      </c>
      <c r="C8947" s="15" t="s">
        <v>11190</v>
      </c>
      <c r="D8947" s="15" t="s">
        <v>933</v>
      </c>
      <c r="E8947" s="15" t="s">
        <v>11200</v>
      </c>
    </row>
    <row r="8948" spans="2:5">
      <c r="B8948" s="15" t="s">
        <v>11189</v>
      </c>
      <c r="C8948" s="15" t="s">
        <v>11190</v>
      </c>
      <c r="D8948" s="15" t="s">
        <v>1059</v>
      </c>
      <c r="E8948" s="15" t="s">
        <v>11201</v>
      </c>
    </row>
    <row r="8949" ht="15.95" spans="2:2">
      <c r="B8949" s="122" t="s">
        <v>11202</v>
      </c>
    </row>
    <row r="8950" spans="2:5">
      <c r="B8950" s="15" t="s">
        <v>11203</v>
      </c>
      <c r="C8950" s="15" t="s">
        <v>11204</v>
      </c>
      <c r="D8950" s="15" t="s">
        <v>785</v>
      </c>
      <c r="E8950" s="15" t="s">
        <v>11205</v>
      </c>
    </row>
    <row r="8951" spans="2:5">
      <c r="B8951" s="15" t="s">
        <v>11203</v>
      </c>
      <c r="C8951" s="15" t="s">
        <v>11204</v>
      </c>
      <c r="D8951" s="15" t="s">
        <v>787</v>
      </c>
      <c r="E8951" s="15" t="s">
        <v>11206</v>
      </c>
    </row>
    <row r="8952" spans="2:5">
      <c r="B8952" s="15" t="s">
        <v>11203</v>
      </c>
      <c r="C8952" s="15" t="s">
        <v>11204</v>
      </c>
      <c r="D8952" s="15" t="s">
        <v>917</v>
      </c>
      <c r="E8952" s="15" t="s">
        <v>11207</v>
      </c>
    </row>
    <row r="8953" spans="2:5">
      <c r="B8953" s="15" t="s">
        <v>11203</v>
      </c>
      <c r="C8953" s="15" t="s">
        <v>11204</v>
      </c>
      <c r="D8953" s="15" t="s">
        <v>919</v>
      </c>
      <c r="E8953" s="15" t="s">
        <v>11208</v>
      </c>
    </row>
    <row r="8954" spans="2:5">
      <c r="B8954" s="15" t="s">
        <v>11203</v>
      </c>
      <c r="C8954" s="15" t="s">
        <v>11204</v>
      </c>
      <c r="D8954" s="15" t="s">
        <v>1091</v>
      </c>
      <c r="E8954" s="15" t="s">
        <v>11209</v>
      </c>
    </row>
    <row r="8955" spans="2:5">
      <c r="B8955" s="15" t="s">
        <v>11203</v>
      </c>
      <c r="C8955" s="15" t="s">
        <v>11204</v>
      </c>
      <c r="D8955" s="15" t="s">
        <v>921</v>
      </c>
      <c r="E8955" s="15" t="s">
        <v>11210</v>
      </c>
    </row>
    <row r="8956" spans="2:5">
      <c r="B8956" s="15" t="s">
        <v>11203</v>
      </c>
      <c r="C8956" s="15" t="s">
        <v>11204</v>
      </c>
      <c r="D8956" s="15" t="s">
        <v>923</v>
      </c>
      <c r="E8956" s="15" t="s">
        <v>9821</v>
      </c>
    </row>
    <row r="8957" spans="2:5">
      <c r="B8957" s="15" t="s">
        <v>11203</v>
      </c>
      <c r="C8957" s="15" t="s">
        <v>11204</v>
      </c>
      <c r="D8957" s="15" t="s">
        <v>1095</v>
      </c>
      <c r="E8957" s="15" t="s">
        <v>11211</v>
      </c>
    </row>
    <row r="8958" spans="2:5">
      <c r="B8958" s="15" t="s">
        <v>11203</v>
      </c>
      <c r="C8958" s="15" t="s">
        <v>11204</v>
      </c>
      <c r="D8958" s="15" t="s">
        <v>11212</v>
      </c>
      <c r="E8958" s="15" t="s">
        <v>11213</v>
      </c>
    </row>
    <row r="8959" spans="2:5">
      <c r="B8959" s="15" t="s">
        <v>11203</v>
      </c>
      <c r="C8959" s="15" t="s">
        <v>11204</v>
      </c>
      <c r="D8959" s="15" t="s">
        <v>11214</v>
      </c>
      <c r="E8959" s="15" t="s">
        <v>11215</v>
      </c>
    </row>
    <row r="8960" spans="2:5">
      <c r="B8960" s="15" t="s">
        <v>11203</v>
      </c>
      <c r="C8960" s="15" t="s">
        <v>11204</v>
      </c>
      <c r="D8960" s="15" t="s">
        <v>11216</v>
      </c>
      <c r="E8960" s="15" t="s">
        <v>11217</v>
      </c>
    </row>
    <row r="8961" spans="2:5">
      <c r="B8961" s="15" t="s">
        <v>11203</v>
      </c>
      <c r="C8961" s="15" t="s">
        <v>11204</v>
      </c>
      <c r="D8961" s="15" t="s">
        <v>11218</v>
      </c>
      <c r="E8961" s="15" t="s">
        <v>11219</v>
      </c>
    </row>
    <row r="8962" spans="2:5">
      <c r="B8962" s="15" t="s">
        <v>11203</v>
      </c>
      <c r="C8962" s="15" t="s">
        <v>11204</v>
      </c>
      <c r="D8962" s="15" t="s">
        <v>11220</v>
      </c>
      <c r="E8962" s="15" t="s">
        <v>11221</v>
      </c>
    </row>
    <row r="8963" spans="2:5">
      <c r="B8963" s="15" t="s">
        <v>11203</v>
      </c>
      <c r="C8963" s="15" t="s">
        <v>11204</v>
      </c>
      <c r="D8963" s="15" t="s">
        <v>11222</v>
      </c>
      <c r="E8963" s="15" t="s">
        <v>11223</v>
      </c>
    </row>
    <row r="8964" spans="2:5">
      <c r="B8964" s="15" t="s">
        <v>11203</v>
      </c>
      <c r="C8964" s="15" t="s">
        <v>11204</v>
      </c>
      <c r="D8964" s="15" t="s">
        <v>11224</v>
      </c>
      <c r="E8964" s="15" t="s">
        <v>11225</v>
      </c>
    </row>
    <row r="8965" spans="2:5">
      <c r="B8965" s="15" t="s">
        <v>11203</v>
      </c>
      <c r="C8965" s="15" t="s">
        <v>11204</v>
      </c>
      <c r="D8965" s="15" t="s">
        <v>11226</v>
      </c>
      <c r="E8965" s="15" t="s">
        <v>11227</v>
      </c>
    </row>
    <row r="8966" spans="2:5">
      <c r="B8966" s="15" t="s">
        <v>11203</v>
      </c>
      <c r="C8966" s="15" t="s">
        <v>11204</v>
      </c>
      <c r="D8966" s="15" t="s">
        <v>11228</v>
      </c>
      <c r="E8966" s="15" t="s">
        <v>11229</v>
      </c>
    </row>
    <row r="8967" spans="2:5">
      <c r="B8967" s="15" t="s">
        <v>11203</v>
      </c>
      <c r="C8967" s="15" t="s">
        <v>11204</v>
      </c>
      <c r="D8967" s="15" t="s">
        <v>11230</v>
      </c>
      <c r="E8967" s="15" t="s">
        <v>11231</v>
      </c>
    </row>
    <row r="8968" spans="2:5">
      <c r="B8968" s="15" t="s">
        <v>11203</v>
      </c>
      <c r="C8968" s="15" t="s">
        <v>11204</v>
      </c>
      <c r="D8968" s="15" t="s">
        <v>11232</v>
      </c>
      <c r="E8968" s="15" t="s">
        <v>11233</v>
      </c>
    </row>
    <row r="8969" spans="2:5">
      <c r="B8969" s="15" t="s">
        <v>11203</v>
      </c>
      <c r="C8969" s="15" t="s">
        <v>11204</v>
      </c>
      <c r="D8969" s="15" t="s">
        <v>11234</v>
      </c>
      <c r="E8969" s="15" t="s">
        <v>11235</v>
      </c>
    </row>
    <row r="8970" spans="2:5">
      <c r="B8970" s="15" t="s">
        <v>11203</v>
      </c>
      <c r="C8970" s="15" t="s">
        <v>11204</v>
      </c>
      <c r="D8970" s="15" t="s">
        <v>11236</v>
      </c>
      <c r="E8970" s="15" t="s">
        <v>11237</v>
      </c>
    </row>
    <row r="8971" spans="2:5">
      <c r="B8971" s="15" t="s">
        <v>11203</v>
      </c>
      <c r="C8971" s="15" t="s">
        <v>11204</v>
      </c>
      <c r="D8971" s="15" t="s">
        <v>11238</v>
      </c>
      <c r="E8971" s="15" t="s">
        <v>11239</v>
      </c>
    </row>
    <row r="8972" spans="2:5">
      <c r="B8972" s="15" t="s">
        <v>11203</v>
      </c>
      <c r="C8972" s="15" t="s">
        <v>11204</v>
      </c>
      <c r="D8972" s="15" t="s">
        <v>11240</v>
      </c>
      <c r="E8972" s="15" t="s">
        <v>11241</v>
      </c>
    </row>
    <row r="8973" spans="2:5">
      <c r="B8973" s="15" t="s">
        <v>11203</v>
      </c>
      <c r="C8973" s="15" t="s">
        <v>11204</v>
      </c>
      <c r="D8973" s="15" t="s">
        <v>11242</v>
      </c>
      <c r="E8973" s="15" t="s">
        <v>11243</v>
      </c>
    </row>
    <row r="8974" spans="2:5">
      <c r="B8974" s="15" t="s">
        <v>11203</v>
      </c>
      <c r="C8974" s="15" t="s">
        <v>11204</v>
      </c>
      <c r="D8974" s="15" t="s">
        <v>11244</v>
      </c>
      <c r="E8974" s="15" t="s">
        <v>11245</v>
      </c>
    </row>
    <row r="8975" spans="2:5">
      <c r="B8975" s="15" t="s">
        <v>11203</v>
      </c>
      <c r="C8975" s="15" t="s">
        <v>11204</v>
      </c>
      <c r="D8975" s="15" t="s">
        <v>11246</v>
      </c>
      <c r="E8975" s="15" t="s">
        <v>11247</v>
      </c>
    </row>
    <row r="8976" spans="2:5">
      <c r="B8976" s="15" t="s">
        <v>11203</v>
      </c>
      <c r="C8976" s="15" t="s">
        <v>11204</v>
      </c>
      <c r="D8976" s="15" t="s">
        <v>11248</v>
      </c>
      <c r="E8976" s="15" t="s">
        <v>11249</v>
      </c>
    </row>
    <row r="8977" spans="2:5">
      <c r="B8977" s="15" t="s">
        <v>11203</v>
      </c>
      <c r="C8977" s="15" t="s">
        <v>11204</v>
      </c>
      <c r="D8977" s="15" t="s">
        <v>11250</v>
      </c>
      <c r="E8977" s="15" t="s">
        <v>11251</v>
      </c>
    </row>
    <row r="8978" spans="2:5">
      <c r="B8978" s="15" t="s">
        <v>11203</v>
      </c>
      <c r="C8978" s="15" t="s">
        <v>11204</v>
      </c>
      <c r="D8978" s="15" t="s">
        <v>11252</v>
      </c>
      <c r="E8978" s="15" t="s">
        <v>11253</v>
      </c>
    </row>
    <row r="8979" spans="2:5">
      <c r="B8979" s="15" t="s">
        <v>11203</v>
      </c>
      <c r="C8979" s="15" t="s">
        <v>11204</v>
      </c>
      <c r="D8979" s="15" t="s">
        <v>11254</v>
      </c>
      <c r="E8979" s="15" t="s">
        <v>11255</v>
      </c>
    </row>
    <row r="8980" spans="2:5">
      <c r="B8980" s="15" t="s">
        <v>11203</v>
      </c>
      <c r="C8980" s="15" t="s">
        <v>11204</v>
      </c>
      <c r="D8980" s="15" t="s">
        <v>11256</v>
      </c>
      <c r="E8980" s="15" t="s">
        <v>8200</v>
      </c>
    </row>
    <row r="8981" spans="2:5">
      <c r="B8981" s="15" t="s">
        <v>11203</v>
      </c>
      <c r="C8981" s="15" t="s">
        <v>11204</v>
      </c>
      <c r="D8981" s="15" t="s">
        <v>11257</v>
      </c>
      <c r="E8981" s="15" t="s">
        <v>11258</v>
      </c>
    </row>
    <row r="8982" spans="2:5">
      <c r="B8982" s="15" t="s">
        <v>11203</v>
      </c>
      <c r="C8982" s="15" t="s">
        <v>11204</v>
      </c>
      <c r="D8982" s="15" t="s">
        <v>11259</v>
      </c>
      <c r="E8982" s="15" t="s">
        <v>11260</v>
      </c>
    </row>
    <row r="8983" ht="15.95" spans="2:2">
      <c r="B8983" s="122" t="s">
        <v>11261</v>
      </c>
    </row>
    <row r="8984" spans="2:5">
      <c r="B8984" s="15" t="s">
        <v>11262</v>
      </c>
      <c r="C8984" s="15" t="s">
        <v>896</v>
      </c>
      <c r="D8984" s="15" t="s">
        <v>770</v>
      </c>
      <c r="E8984" s="15" t="s">
        <v>3502</v>
      </c>
    </row>
    <row r="8985" spans="2:5">
      <c r="B8985" s="15" t="s">
        <v>11262</v>
      </c>
      <c r="C8985" s="15" t="s">
        <v>896</v>
      </c>
      <c r="D8985" s="15" t="s">
        <v>772</v>
      </c>
      <c r="E8985" s="15" t="s">
        <v>3503</v>
      </c>
    </row>
    <row r="8986" spans="2:5">
      <c r="B8986" s="15" t="s">
        <v>11262</v>
      </c>
      <c r="C8986" s="15" t="s">
        <v>896</v>
      </c>
      <c r="D8986" s="15" t="s">
        <v>774</v>
      </c>
      <c r="E8986" s="15" t="s">
        <v>3504</v>
      </c>
    </row>
    <row r="8987" spans="2:5">
      <c r="B8987" s="15" t="s">
        <v>11262</v>
      </c>
      <c r="C8987" s="15" t="s">
        <v>896</v>
      </c>
      <c r="D8987" s="15" t="s">
        <v>828</v>
      </c>
      <c r="E8987" s="15" t="s">
        <v>11263</v>
      </c>
    </row>
    <row r="8988" ht="15.95" spans="2:2">
      <c r="B8988" s="122" t="s">
        <v>11264</v>
      </c>
    </row>
    <row r="8989" spans="2:5">
      <c r="B8989" s="15" t="s">
        <v>11265</v>
      </c>
      <c r="C8989" s="15" t="s">
        <v>11266</v>
      </c>
      <c r="D8989" s="15" t="s">
        <v>933</v>
      </c>
      <c r="E8989" s="15" t="s">
        <v>11267</v>
      </c>
    </row>
    <row r="8990" spans="2:5">
      <c r="B8990" s="15" t="s">
        <v>11265</v>
      </c>
      <c r="C8990" s="15" t="s">
        <v>11266</v>
      </c>
      <c r="D8990" s="15" t="s">
        <v>937</v>
      </c>
      <c r="E8990" s="15" t="s">
        <v>10683</v>
      </c>
    </row>
    <row r="8991" spans="2:5">
      <c r="B8991" s="15" t="s">
        <v>11265</v>
      </c>
      <c r="C8991" s="15" t="s">
        <v>11266</v>
      </c>
      <c r="D8991" s="15" t="s">
        <v>939</v>
      </c>
      <c r="E8991" s="15" t="s">
        <v>334</v>
      </c>
    </row>
    <row r="8992" spans="2:5">
      <c r="B8992" s="15" t="s">
        <v>11265</v>
      </c>
      <c r="C8992" s="15" t="s">
        <v>11266</v>
      </c>
      <c r="D8992" s="15" t="s">
        <v>941</v>
      </c>
      <c r="E8992" s="15" t="s">
        <v>8205</v>
      </c>
    </row>
    <row r="8993" spans="2:5">
      <c r="B8993" s="15" t="s">
        <v>11265</v>
      </c>
      <c r="C8993" s="15" t="s">
        <v>11266</v>
      </c>
      <c r="D8993" s="15" t="s">
        <v>1007</v>
      </c>
      <c r="E8993" s="15" t="s">
        <v>11268</v>
      </c>
    </row>
    <row r="8994" ht="15.95" spans="2:2">
      <c r="B8994" s="122" t="s">
        <v>11269</v>
      </c>
    </row>
    <row r="8995" spans="2:5">
      <c r="B8995" s="15" t="s">
        <v>11270</v>
      </c>
      <c r="C8995" s="15" t="s">
        <v>10099</v>
      </c>
      <c r="D8995" s="15" t="s">
        <v>1432</v>
      </c>
      <c r="E8995" s="15" t="s">
        <v>11271</v>
      </c>
    </row>
    <row r="8996" spans="2:5">
      <c r="B8996" s="15" t="s">
        <v>11270</v>
      </c>
      <c r="C8996" s="15" t="s">
        <v>10099</v>
      </c>
      <c r="D8996" s="15" t="s">
        <v>723</v>
      </c>
      <c r="E8996" s="15" t="s">
        <v>11272</v>
      </c>
    </row>
    <row r="8997" spans="2:5">
      <c r="B8997" s="15" t="s">
        <v>11270</v>
      </c>
      <c r="C8997" s="15" t="s">
        <v>10099</v>
      </c>
      <c r="D8997" s="15" t="s">
        <v>725</v>
      </c>
      <c r="E8997" s="15" t="s">
        <v>11273</v>
      </c>
    </row>
    <row r="8998" spans="2:5">
      <c r="B8998" s="15" t="s">
        <v>11270</v>
      </c>
      <c r="C8998" s="15" t="s">
        <v>10099</v>
      </c>
      <c r="D8998" s="15" t="s">
        <v>727</v>
      </c>
      <c r="E8998" s="15" t="s">
        <v>11274</v>
      </c>
    </row>
    <row r="8999" spans="2:5">
      <c r="B8999" s="15" t="s">
        <v>11270</v>
      </c>
      <c r="C8999" s="15" t="s">
        <v>10099</v>
      </c>
      <c r="D8999" s="15" t="s">
        <v>729</v>
      </c>
      <c r="E8999" s="15" t="s">
        <v>11275</v>
      </c>
    </row>
    <row r="9000" spans="2:5">
      <c r="B9000" s="15" t="s">
        <v>11270</v>
      </c>
      <c r="C9000" s="15" t="s">
        <v>10099</v>
      </c>
      <c r="D9000" s="15" t="s">
        <v>760</v>
      </c>
      <c r="E9000" s="15" t="s">
        <v>11276</v>
      </c>
    </row>
    <row r="9001" spans="2:5">
      <c r="B9001" s="15" t="s">
        <v>11270</v>
      </c>
      <c r="C9001" s="15" t="s">
        <v>10099</v>
      </c>
      <c r="D9001" s="15" t="s">
        <v>762</v>
      </c>
      <c r="E9001" s="15" t="s">
        <v>11277</v>
      </c>
    </row>
    <row r="9002" spans="2:5">
      <c r="B9002" s="15" t="s">
        <v>11270</v>
      </c>
      <c r="C9002" s="15" t="s">
        <v>10099</v>
      </c>
      <c r="D9002" s="15" t="s">
        <v>764</v>
      </c>
      <c r="E9002" s="15" t="s">
        <v>11278</v>
      </c>
    </row>
    <row r="9003" spans="2:5">
      <c r="B9003" s="15" t="s">
        <v>11270</v>
      </c>
      <c r="C9003" s="15" t="s">
        <v>10099</v>
      </c>
      <c r="D9003" s="15" t="s">
        <v>1587</v>
      </c>
      <c r="E9003" s="15" t="s">
        <v>11279</v>
      </c>
    </row>
    <row r="9004" spans="2:5">
      <c r="B9004" s="15" t="s">
        <v>11270</v>
      </c>
      <c r="C9004" s="15" t="s">
        <v>10099</v>
      </c>
      <c r="D9004" s="15" t="s">
        <v>765</v>
      </c>
      <c r="E9004" s="15" t="s">
        <v>11280</v>
      </c>
    </row>
    <row r="9005" ht="15.95" spans="2:2">
      <c r="B9005" s="122" t="s">
        <v>11281</v>
      </c>
    </row>
    <row r="9006" spans="2:5">
      <c r="B9006" s="15" t="s">
        <v>11282</v>
      </c>
      <c r="C9006" s="15" t="s">
        <v>11283</v>
      </c>
      <c r="D9006" s="15" t="s">
        <v>1555</v>
      </c>
      <c r="E9006" s="15" t="s">
        <v>6520</v>
      </c>
    </row>
    <row r="9007" spans="2:5">
      <c r="B9007" s="15" t="s">
        <v>11282</v>
      </c>
      <c r="C9007" s="15" t="s">
        <v>11283</v>
      </c>
      <c r="D9007" s="15" t="s">
        <v>1557</v>
      </c>
      <c r="E9007" s="15" t="s">
        <v>11284</v>
      </c>
    </row>
    <row r="9008" spans="2:5">
      <c r="B9008" s="15" t="s">
        <v>11282</v>
      </c>
      <c r="C9008" s="15" t="s">
        <v>11283</v>
      </c>
      <c r="D9008" s="15" t="s">
        <v>1559</v>
      </c>
      <c r="E9008" s="15" t="s">
        <v>11285</v>
      </c>
    </row>
    <row r="9009" spans="2:5">
      <c r="B9009" s="15" t="s">
        <v>11282</v>
      </c>
      <c r="C9009" s="15" t="s">
        <v>11283</v>
      </c>
      <c r="D9009" s="15" t="s">
        <v>1561</v>
      </c>
      <c r="E9009" s="15" t="s">
        <v>8203</v>
      </c>
    </row>
    <row r="9010" spans="2:5">
      <c r="B9010" s="15" t="s">
        <v>11282</v>
      </c>
      <c r="C9010" s="15" t="s">
        <v>11283</v>
      </c>
      <c r="D9010" s="15" t="s">
        <v>1565</v>
      </c>
      <c r="E9010" s="15" t="s">
        <v>11286</v>
      </c>
    </row>
    <row r="9011" spans="2:5">
      <c r="B9011" s="15" t="s">
        <v>11282</v>
      </c>
      <c r="C9011" s="15" t="s">
        <v>11283</v>
      </c>
      <c r="D9011" s="15" t="s">
        <v>1567</v>
      </c>
      <c r="E9011" s="15" t="s">
        <v>11287</v>
      </c>
    </row>
    <row r="9012" spans="2:5">
      <c r="B9012" s="15" t="s">
        <v>11282</v>
      </c>
      <c r="C9012" s="15" t="s">
        <v>11283</v>
      </c>
      <c r="D9012" s="15" t="s">
        <v>1569</v>
      </c>
      <c r="E9012" s="15" t="s">
        <v>11288</v>
      </c>
    </row>
    <row r="9013" spans="2:5">
      <c r="B9013" s="15" t="s">
        <v>11282</v>
      </c>
      <c r="C9013" s="15" t="s">
        <v>11283</v>
      </c>
      <c r="D9013" s="15" t="s">
        <v>1571</v>
      </c>
      <c r="E9013" s="15" t="s">
        <v>11289</v>
      </c>
    </row>
    <row r="9014" spans="2:5">
      <c r="B9014" s="15" t="s">
        <v>11282</v>
      </c>
      <c r="C9014" s="15" t="s">
        <v>11283</v>
      </c>
      <c r="D9014" s="15" t="s">
        <v>2672</v>
      </c>
      <c r="E9014" s="15" t="s">
        <v>11290</v>
      </c>
    </row>
    <row r="9015" ht="15.95" spans="2:2">
      <c r="B9015" s="122" t="s">
        <v>11291</v>
      </c>
    </row>
    <row r="9016" spans="2:5">
      <c r="B9016" s="15" t="s">
        <v>11292</v>
      </c>
      <c r="C9016" s="15" t="s">
        <v>11292</v>
      </c>
      <c r="D9016" s="15" t="s">
        <v>723</v>
      </c>
      <c r="E9016" s="15" t="s">
        <v>11293</v>
      </c>
    </row>
    <row r="9017" spans="2:5">
      <c r="B9017" s="15" t="s">
        <v>11292</v>
      </c>
      <c r="C9017" s="15" t="s">
        <v>11292</v>
      </c>
      <c r="D9017" s="15" t="s">
        <v>725</v>
      </c>
      <c r="E9017" s="15" t="s">
        <v>3239</v>
      </c>
    </row>
    <row r="9018" spans="2:5">
      <c r="B9018" s="15" t="s">
        <v>11292</v>
      </c>
      <c r="C9018" s="15" t="s">
        <v>11292</v>
      </c>
      <c r="D9018" s="15" t="s">
        <v>727</v>
      </c>
      <c r="E9018" s="15" t="s">
        <v>2658</v>
      </c>
    </row>
    <row r="9019" spans="2:5">
      <c r="B9019" s="15" t="s">
        <v>11292</v>
      </c>
      <c r="C9019" s="15" t="s">
        <v>11292</v>
      </c>
      <c r="D9019" s="15" t="s">
        <v>729</v>
      </c>
      <c r="E9019" s="15" t="s">
        <v>2659</v>
      </c>
    </row>
    <row r="9020" spans="2:5">
      <c r="B9020" s="15" t="s">
        <v>11292</v>
      </c>
      <c r="C9020" s="15" t="s">
        <v>11292</v>
      </c>
      <c r="D9020" s="15" t="s">
        <v>760</v>
      </c>
      <c r="E9020" s="15" t="s">
        <v>235</v>
      </c>
    </row>
    <row r="9021" spans="2:5">
      <c r="B9021" s="15" t="s">
        <v>11292</v>
      </c>
      <c r="C9021" s="15" t="s">
        <v>11292</v>
      </c>
      <c r="D9021" s="15" t="s">
        <v>762</v>
      </c>
      <c r="E9021" s="15" t="s">
        <v>2660</v>
      </c>
    </row>
    <row r="9022" ht="15.95" spans="2:2">
      <c r="B9022" s="122" t="s">
        <v>11294</v>
      </c>
    </row>
    <row r="9023" spans="2:5">
      <c r="B9023" s="15" t="s">
        <v>11295</v>
      </c>
      <c r="C9023" s="15" t="s">
        <v>11296</v>
      </c>
      <c r="D9023" s="15" t="s">
        <v>770</v>
      </c>
      <c r="E9023" s="15" t="s">
        <v>11297</v>
      </c>
    </row>
    <row r="9024" spans="2:5">
      <c r="B9024" s="15" t="s">
        <v>11295</v>
      </c>
      <c r="C9024" s="15" t="s">
        <v>11296</v>
      </c>
      <c r="D9024" s="15" t="s">
        <v>772</v>
      </c>
      <c r="E9024" s="15" t="s">
        <v>11298</v>
      </c>
    </row>
    <row r="9025" spans="2:5">
      <c r="B9025" s="15" t="s">
        <v>11295</v>
      </c>
      <c r="C9025" s="15" t="s">
        <v>11296</v>
      </c>
      <c r="D9025" s="15" t="s">
        <v>774</v>
      </c>
      <c r="E9025" s="15" t="s">
        <v>235</v>
      </c>
    </row>
    <row r="9026" ht="15.95" spans="2:2">
      <c r="B9026" s="122" t="s">
        <v>11299</v>
      </c>
    </row>
    <row r="9027" spans="2:5">
      <c r="B9027" s="15" t="s">
        <v>11300</v>
      </c>
      <c r="C9027" s="15" t="s">
        <v>11301</v>
      </c>
      <c r="D9027" s="15" t="s">
        <v>770</v>
      </c>
      <c r="E9027" s="15" t="s">
        <v>4968</v>
      </c>
    </row>
    <row r="9028" spans="2:5">
      <c r="B9028" s="15" t="s">
        <v>11300</v>
      </c>
      <c r="C9028" s="15" t="s">
        <v>11301</v>
      </c>
      <c r="D9028" s="15" t="s">
        <v>772</v>
      </c>
      <c r="E9028" s="15" t="s">
        <v>4969</v>
      </c>
    </row>
    <row r="9029" spans="2:5">
      <c r="B9029" s="15" t="s">
        <v>11300</v>
      </c>
      <c r="C9029" s="15" t="s">
        <v>11301</v>
      </c>
      <c r="D9029" s="15" t="s">
        <v>774</v>
      </c>
      <c r="E9029" s="15" t="s">
        <v>4970</v>
      </c>
    </row>
    <row r="9030" spans="2:5">
      <c r="B9030" s="15" t="s">
        <v>11300</v>
      </c>
      <c r="C9030" s="15" t="s">
        <v>11301</v>
      </c>
      <c r="D9030" s="15" t="s">
        <v>828</v>
      </c>
      <c r="E9030" s="15" t="s">
        <v>4971</v>
      </c>
    </row>
    <row r="9031" ht="15.95" spans="2:2">
      <c r="B9031" s="122" t="s">
        <v>11302</v>
      </c>
    </row>
    <row r="9032" spans="2:5">
      <c r="B9032" s="15" t="s">
        <v>11303</v>
      </c>
      <c r="C9032" s="15" t="s">
        <v>11304</v>
      </c>
      <c r="D9032" s="15" t="s">
        <v>635</v>
      </c>
      <c r="E9032" s="15" t="s">
        <v>11305</v>
      </c>
    </row>
    <row r="9033" spans="2:5">
      <c r="B9033" s="15" t="s">
        <v>11303</v>
      </c>
      <c r="C9033" s="15" t="s">
        <v>11304</v>
      </c>
      <c r="D9033" s="15" t="s">
        <v>659</v>
      </c>
      <c r="E9033" s="15" t="s">
        <v>11306</v>
      </c>
    </row>
    <row r="9034" ht="15.95" spans="2:2">
      <c r="B9034" s="122" t="s">
        <v>11307</v>
      </c>
    </row>
    <row r="9035" spans="2:5">
      <c r="B9035" s="15" t="s">
        <v>11308</v>
      </c>
      <c r="C9035" s="15" t="s">
        <v>896</v>
      </c>
      <c r="D9035" s="15" t="s">
        <v>723</v>
      </c>
      <c r="E9035" s="15" t="s">
        <v>8208</v>
      </c>
    </row>
    <row r="9036" spans="2:5">
      <c r="B9036" s="15" t="s">
        <v>11308</v>
      </c>
      <c r="C9036" s="15" t="s">
        <v>896</v>
      </c>
      <c r="D9036" s="15" t="s">
        <v>725</v>
      </c>
      <c r="E9036" s="15" t="s">
        <v>8209</v>
      </c>
    </row>
    <row r="9037" spans="2:5">
      <c r="B9037" s="15" t="s">
        <v>11308</v>
      </c>
      <c r="C9037" s="15" t="s">
        <v>896</v>
      </c>
      <c r="D9037" s="15" t="s">
        <v>727</v>
      </c>
      <c r="E9037" s="15" t="s">
        <v>8210</v>
      </c>
    </row>
    <row r="9038" spans="2:5">
      <c r="B9038" s="15" t="s">
        <v>11308</v>
      </c>
      <c r="C9038" s="15" t="s">
        <v>896</v>
      </c>
      <c r="D9038" s="15" t="s">
        <v>729</v>
      </c>
      <c r="E9038" s="15" t="s">
        <v>8211</v>
      </c>
    </row>
    <row r="9039" ht="15.95" spans="2:2">
      <c r="B9039" s="122" t="s">
        <v>11309</v>
      </c>
    </row>
    <row r="9040" spans="2:5">
      <c r="B9040" s="15" t="s">
        <v>11310</v>
      </c>
      <c r="C9040" s="15" t="s">
        <v>11311</v>
      </c>
      <c r="D9040" s="15" t="s">
        <v>770</v>
      </c>
      <c r="E9040" s="15" t="s">
        <v>11312</v>
      </c>
    </row>
    <row r="9041" spans="2:5">
      <c r="B9041" s="15" t="s">
        <v>11310</v>
      </c>
      <c r="C9041" s="15" t="s">
        <v>11311</v>
      </c>
      <c r="D9041" s="15" t="s">
        <v>772</v>
      </c>
      <c r="E9041" s="15" t="s">
        <v>6926</v>
      </c>
    </row>
    <row r="9042" ht="15.95" spans="2:2">
      <c r="B9042" s="122" t="s">
        <v>11313</v>
      </c>
    </row>
    <row r="9043" spans="2:5">
      <c r="B9043" s="15" t="s">
        <v>11314</v>
      </c>
      <c r="C9043" s="15" t="s">
        <v>11315</v>
      </c>
      <c r="D9043" s="15" t="s">
        <v>770</v>
      </c>
      <c r="E9043" s="15" t="s">
        <v>11316</v>
      </c>
    </row>
    <row r="9044" spans="2:5">
      <c r="B9044" s="15" t="s">
        <v>11314</v>
      </c>
      <c r="C9044" s="15" t="s">
        <v>11315</v>
      </c>
      <c r="D9044" s="15" t="s">
        <v>772</v>
      </c>
      <c r="E9044" s="15" t="s">
        <v>11317</v>
      </c>
    </row>
    <row r="9045" ht="15.95" spans="2:2">
      <c r="B9045" s="122" t="s">
        <v>11318</v>
      </c>
    </row>
    <row r="9046" spans="2:5">
      <c r="B9046" s="15" t="s">
        <v>11319</v>
      </c>
      <c r="C9046" s="15" t="s">
        <v>11320</v>
      </c>
      <c r="D9046" s="15" t="s">
        <v>770</v>
      </c>
      <c r="E9046" s="15" t="s">
        <v>11321</v>
      </c>
    </row>
    <row r="9047" spans="2:5">
      <c r="B9047" s="15" t="s">
        <v>11319</v>
      </c>
      <c r="C9047" s="15" t="s">
        <v>11320</v>
      </c>
      <c r="D9047" s="15" t="s">
        <v>772</v>
      </c>
      <c r="E9047" s="15" t="s">
        <v>11322</v>
      </c>
    </row>
    <row r="9048" spans="2:5">
      <c r="B9048" s="15" t="s">
        <v>11319</v>
      </c>
      <c r="C9048" s="15" t="s">
        <v>11320</v>
      </c>
      <c r="D9048" s="15" t="s">
        <v>774</v>
      </c>
      <c r="E9048" s="15" t="s">
        <v>11323</v>
      </c>
    </row>
    <row r="9049" ht="15.95" spans="2:2">
      <c r="B9049" s="122" t="s">
        <v>11324</v>
      </c>
    </row>
    <row r="9050" spans="2:5">
      <c r="B9050" s="15" t="s">
        <v>11325</v>
      </c>
      <c r="C9050" s="15"/>
      <c r="D9050" s="15" t="s">
        <v>1267</v>
      </c>
      <c r="E9050" s="15" t="s">
        <v>1355</v>
      </c>
    </row>
    <row r="9051" spans="2:5">
      <c r="B9051" s="15" t="s">
        <v>11325</v>
      </c>
      <c r="C9051" s="15"/>
      <c r="D9051" s="15" t="s">
        <v>1269</v>
      </c>
      <c r="E9051" s="15" t="s">
        <v>1356</v>
      </c>
    </row>
    <row r="9052" ht="15.95" spans="2:2">
      <c r="B9052" s="122" t="s">
        <v>11326</v>
      </c>
    </row>
    <row r="9053" spans="2:5">
      <c r="B9053" s="15" t="s">
        <v>11327</v>
      </c>
      <c r="C9053" s="15" t="s">
        <v>11328</v>
      </c>
      <c r="D9053" s="15" t="s">
        <v>770</v>
      </c>
      <c r="E9053" s="15" t="s">
        <v>2534</v>
      </c>
    </row>
    <row r="9054" spans="2:5">
      <c r="B9054" s="15" t="s">
        <v>11327</v>
      </c>
      <c r="C9054" s="15" t="s">
        <v>11328</v>
      </c>
      <c r="D9054" s="15" t="s">
        <v>635</v>
      </c>
      <c r="E9054" s="15" t="s">
        <v>2535</v>
      </c>
    </row>
    <row r="9055" spans="2:5">
      <c r="B9055" s="15" t="s">
        <v>11327</v>
      </c>
      <c r="C9055" s="15" t="s">
        <v>11328</v>
      </c>
      <c r="D9055" s="15" t="s">
        <v>659</v>
      </c>
      <c r="E9055" s="15" t="s">
        <v>2536</v>
      </c>
    </row>
    <row r="9056" spans="2:5">
      <c r="B9056" s="15" t="s">
        <v>11327</v>
      </c>
      <c r="C9056" s="15" t="s">
        <v>11328</v>
      </c>
      <c r="D9056" s="15" t="s">
        <v>2416</v>
      </c>
      <c r="E9056" s="15" t="s">
        <v>2537</v>
      </c>
    </row>
    <row r="9057" spans="2:5">
      <c r="B9057" s="15" t="s">
        <v>11327</v>
      </c>
      <c r="C9057" s="15" t="s">
        <v>11328</v>
      </c>
      <c r="D9057" s="15" t="s">
        <v>679</v>
      </c>
      <c r="E9057" s="15" t="s">
        <v>2538</v>
      </c>
    </row>
    <row r="9058" spans="2:5">
      <c r="B9058" s="15" t="s">
        <v>11327</v>
      </c>
      <c r="C9058" s="15" t="s">
        <v>11328</v>
      </c>
      <c r="D9058" s="15" t="s">
        <v>705</v>
      </c>
      <c r="E9058" s="15" t="s">
        <v>2539</v>
      </c>
    </row>
    <row r="9059" spans="2:5">
      <c r="B9059" s="15" t="s">
        <v>11327</v>
      </c>
      <c r="C9059" s="15" t="s">
        <v>11328</v>
      </c>
      <c r="D9059" s="15" t="s">
        <v>709</v>
      </c>
      <c r="E9059" s="15" t="s">
        <v>2540</v>
      </c>
    </row>
    <row r="9060" spans="2:5">
      <c r="B9060" s="15" t="s">
        <v>11327</v>
      </c>
      <c r="C9060" s="15" t="s">
        <v>11328</v>
      </c>
      <c r="D9060" s="15" t="s">
        <v>838</v>
      </c>
      <c r="E9060" s="15" t="s">
        <v>2541</v>
      </c>
    </row>
    <row r="9061" ht="15.95" spans="2:2">
      <c r="B9061" s="122" t="s">
        <v>11329</v>
      </c>
    </row>
    <row r="9062" spans="2:5">
      <c r="B9062" s="15" t="s">
        <v>11330</v>
      </c>
      <c r="C9062" s="15" t="s">
        <v>11330</v>
      </c>
      <c r="D9062" s="15" t="s">
        <v>770</v>
      </c>
      <c r="E9062" s="15" t="s">
        <v>7935</v>
      </c>
    </row>
    <row r="9063" spans="2:5">
      <c r="B9063" s="15" t="s">
        <v>11330</v>
      </c>
      <c r="C9063" s="15" t="s">
        <v>11330</v>
      </c>
      <c r="D9063" s="15" t="s">
        <v>772</v>
      </c>
      <c r="E9063" s="15" t="s">
        <v>7936</v>
      </c>
    </row>
    <row r="9064" spans="2:5">
      <c r="B9064" s="15" t="s">
        <v>11330</v>
      </c>
      <c r="C9064" s="15" t="s">
        <v>11330</v>
      </c>
      <c r="D9064" s="15" t="s">
        <v>774</v>
      </c>
      <c r="E9064" s="15" t="s">
        <v>7937</v>
      </c>
    </row>
    <row r="9065" spans="2:5">
      <c r="B9065" s="15" t="s">
        <v>11330</v>
      </c>
      <c r="C9065" s="15" t="s">
        <v>11330</v>
      </c>
      <c r="D9065" s="15" t="s">
        <v>828</v>
      </c>
      <c r="E9065" s="15" t="s">
        <v>7938</v>
      </c>
    </row>
    <row r="9066" ht="15.95" spans="2:2">
      <c r="B9066" s="122" t="s">
        <v>11331</v>
      </c>
    </row>
    <row r="9067" spans="2:5">
      <c r="B9067" s="15" t="s">
        <v>11332</v>
      </c>
      <c r="C9067" s="15" t="s">
        <v>7464</v>
      </c>
      <c r="D9067" s="15" t="s">
        <v>770</v>
      </c>
      <c r="E9067" s="15" t="s">
        <v>4646</v>
      </c>
    </row>
    <row r="9068" spans="2:5">
      <c r="B9068" s="15" t="s">
        <v>11332</v>
      </c>
      <c r="C9068" s="15" t="s">
        <v>7464</v>
      </c>
      <c r="D9068" s="15" t="s">
        <v>772</v>
      </c>
      <c r="E9068" s="15" t="s">
        <v>4648</v>
      </c>
    </row>
    <row r="9069" ht="15.95" spans="2:2">
      <c r="B9069" s="122" t="s">
        <v>11333</v>
      </c>
    </row>
    <row r="9070" spans="2:5">
      <c r="B9070" s="15" t="s">
        <v>11334</v>
      </c>
      <c r="C9070" s="15" t="s">
        <v>11335</v>
      </c>
      <c r="D9070" s="15" t="s">
        <v>635</v>
      </c>
      <c r="E9070" s="15" t="s">
        <v>11336</v>
      </c>
    </row>
    <row r="9071" spans="2:5">
      <c r="B9071" s="15" t="s">
        <v>11334</v>
      </c>
      <c r="C9071" s="15" t="s">
        <v>11335</v>
      </c>
      <c r="D9071" s="15" t="s">
        <v>659</v>
      </c>
      <c r="E9071" s="15" t="s">
        <v>11337</v>
      </c>
    </row>
    <row r="9072" ht="15.95" spans="2:2">
      <c r="B9072" s="122" t="s">
        <v>11338</v>
      </c>
    </row>
    <row r="9073" spans="2:5">
      <c r="B9073" s="15" t="s">
        <v>11339</v>
      </c>
      <c r="C9073" s="15" t="s">
        <v>4158</v>
      </c>
      <c r="D9073" s="15" t="s">
        <v>770</v>
      </c>
      <c r="E9073" s="15" t="s">
        <v>5306</v>
      </c>
    </row>
    <row r="9074" spans="2:5">
      <c r="B9074" s="15" t="s">
        <v>11339</v>
      </c>
      <c r="C9074" s="15" t="s">
        <v>4158</v>
      </c>
      <c r="D9074" s="15" t="s">
        <v>772</v>
      </c>
      <c r="E9074" s="15" t="s">
        <v>5312</v>
      </c>
    </row>
    <row r="9075" spans="2:5">
      <c r="B9075" s="15" t="s">
        <v>11339</v>
      </c>
      <c r="C9075" s="15" t="s">
        <v>4158</v>
      </c>
      <c r="D9075" s="15" t="s">
        <v>774</v>
      </c>
      <c r="E9075" s="15" t="s">
        <v>5314</v>
      </c>
    </row>
    <row r="9076" spans="2:5">
      <c r="B9076" s="15" t="s">
        <v>11339</v>
      </c>
      <c r="C9076" s="15" t="s">
        <v>4158</v>
      </c>
      <c r="D9076" s="15" t="s">
        <v>828</v>
      </c>
      <c r="E9076" s="15" t="s">
        <v>5308</v>
      </c>
    </row>
    <row r="9077" spans="2:5">
      <c r="B9077" s="15" t="s">
        <v>11339</v>
      </c>
      <c r="C9077" s="15" t="s">
        <v>4158</v>
      </c>
      <c r="D9077" s="15" t="s">
        <v>776</v>
      </c>
      <c r="E9077" s="15" t="s">
        <v>5310</v>
      </c>
    </row>
    <row r="9078" ht="15.95" spans="2:2">
      <c r="B9078" s="122" t="s">
        <v>11340</v>
      </c>
    </row>
    <row r="9079" spans="2:5">
      <c r="B9079" s="15" t="s">
        <v>11341</v>
      </c>
      <c r="C9079" s="15" t="s">
        <v>11341</v>
      </c>
      <c r="D9079" s="15" t="s">
        <v>770</v>
      </c>
      <c r="E9079" s="15" t="s">
        <v>5320</v>
      </c>
    </row>
    <row r="9080" spans="2:5">
      <c r="B9080" s="15" t="s">
        <v>11341</v>
      </c>
      <c r="C9080" s="15" t="s">
        <v>11341</v>
      </c>
      <c r="D9080" s="15" t="s">
        <v>772</v>
      </c>
      <c r="E9080" s="15" t="s">
        <v>5321</v>
      </c>
    </row>
    <row r="9081" spans="2:5">
      <c r="B9081" s="15" t="s">
        <v>11341</v>
      </c>
      <c r="C9081" s="15" t="s">
        <v>11341</v>
      </c>
      <c r="D9081" s="15" t="s">
        <v>774</v>
      </c>
      <c r="E9081" s="15" t="s">
        <v>5322</v>
      </c>
    </row>
    <row r="9082" ht="15.95" spans="2:2">
      <c r="B9082" s="122" t="s">
        <v>11342</v>
      </c>
    </row>
    <row r="9083" spans="2:5">
      <c r="B9083" s="15" t="s">
        <v>11343</v>
      </c>
      <c r="C9083" s="15" t="s">
        <v>11344</v>
      </c>
      <c r="D9083" s="15" t="s">
        <v>1267</v>
      </c>
      <c r="E9083" s="15" t="s">
        <v>1268</v>
      </c>
    </row>
    <row r="9084" spans="2:5">
      <c r="B9084" s="15" t="s">
        <v>11343</v>
      </c>
      <c r="C9084" s="15" t="s">
        <v>11344</v>
      </c>
      <c r="D9084" s="15" t="s">
        <v>1269</v>
      </c>
      <c r="E9084" s="15" t="s">
        <v>1270</v>
      </c>
    </row>
    <row r="9085" spans="2:5">
      <c r="B9085" s="15" t="s">
        <v>11343</v>
      </c>
      <c r="C9085" s="15" t="s">
        <v>11344</v>
      </c>
      <c r="D9085" s="15" t="s">
        <v>1919</v>
      </c>
      <c r="E9085" s="15" t="s">
        <v>1920</v>
      </c>
    </row>
    <row r="9086" ht="15.95" spans="2:2">
      <c r="B9086" s="122" t="s">
        <v>11345</v>
      </c>
    </row>
    <row r="9087" spans="2:5">
      <c r="B9087" s="15" t="s">
        <v>11346</v>
      </c>
      <c r="C9087" s="15" t="s">
        <v>11347</v>
      </c>
      <c r="D9087" s="15" t="s">
        <v>770</v>
      </c>
      <c r="E9087" s="15" t="s">
        <v>11348</v>
      </c>
    </row>
    <row r="9088" spans="2:5">
      <c r="B9088" s="15" t="s">
        <v>11346</v>
      </c>
      <c r="C9088" s="15" t="s">
        <v>11347</v>
      </c>
      <c r="D9088" s="15" t="s">
        <v>772</v>
      </c>
      <c r="E9088" s="15" t="s">
        <v>11349</v>
      </c>
    </row>
    <row r="9089" spans="2:5">
      <c r="B9089" s="15" t="s">
        <v>11346</v>
      </c>
      <c r="C9089" s="15" t="s">
        <v>11347</v>
      </c>
      <c r="D9089" s="15" t="s">
        <v>774</v>
      </c>
      <c r="E9089" s="15" t="s">
        <v>11350</v>
      </c>
    </row>
    <row r="9090" spans="2:5">
      <c r="B9090" s="15" t="s">
        <v>11346</v>
      </c>
      <c r="C9090" s="15" t="s">
        <v>11347</v>
      </c>
      <c r="D9090" s="15" t="s">
        <v>828</v>
      </c>
      <c r="E9090" s="15" t="s">
        <v>11351</v>
      </c>
    </row>
    <row r="9091" spans="2:5">
      <c r="B9091" s="15" t="s">
        <v>11346</v>
      </c>
      <c r="C9091" s="15" t="s">
        <v>11347</v>
      </c>
      <c r="D9091" s="15" t="s">
        <v>901</v>
      </c>
      <c r="E9091" s="15" t="s">
        <v>11352</v>
      </c>
    </row>
    <row r="9092" spans="2:5">
      <c r="B9092" s="15" t="s">
        <v>11346</v>
      </c>
      <c r="C9092" s="15" t="s">
        <v>11347</v>
      </c>
      <c r="D9092" s="15" t="s">
        <v>776</v>
      </c>
      <c r="E9092" s="15" t="s">
        <v>11353</v>
      </c>
    </row>
    <row r="9093" spans="2:5">
      <c r="B9093" s="15" t="s">
        <v>11346</v>
      </c>
      <c r="C9093" s="15" t="s">
        <v>11347</v>
      </c>
      <c r="D9093" s="15" t="s">
        <v>1290</v>
      </c>
      <c r="E9093" s="15" t="s">
        <v>11354</v>
      </c>
    </row>
    <row r="9094" spans="2:5">
      <c r="B9094" s="15" t="s">
        <v>11346</v>
      </c>
      <c r="C9094" s="15" t="s">
        <v>11347</v>
      </c>
      <c r="D9094" s="15" t="s">
        <v>1143</v>
      </c>
      <c r="E9094" s="15" t="s">
        <v>235</v>
      </c>
    </row>
    <row r="9095" ht="15.95" spans="2:2">
      <c r="B9095" s="122" t="s">
        <v>11355</v>
      </c>
    </row>
    <row r="9096" spans="2:5">
      <c r="B9096" s="15" t="s">
        <v>11356</v>
      </c>
      <c r="C9096" s="15" t="s">
        <v>11357</v>
      </c>
      <c r="D9096" s="15" t="s">
        <v>11358</v>
      </c>
      <c r="E9096" s="15" t="s">
        <v>11359</v>
      </c>
    </row>
    <row r="9097" spans="2:5">
      <c r="B9097" s="15" t="s">
        <v>11356</v>
      </c>
      <c r="C9097" s="15" t="s">
        <v>11357</v>
      </c>
      <c r="D9097" s="15" t="s">
        <v>11360</v>
      </c>
      <c r="E9097" s="15" t="s">
        <v>11361</v>
      </c>
    </row>
    <row r="9098" spans="2:5">
      <c r="B9098" s="15" t="s">
        <v>11356</v>
      </c>
      <c r="C9098" s="15" t="s">
        <v>11357</v>
      </c>
      <c r="D9098" s="15" t="s">
        <v>11362</v>
      </c>
      <c r="E9098" s="15" t="s">
        <v>11363</v>
      </c>
    </row>
    <row r="9099" spans="2:5">
      <c r="B9099" s="15" t="s">
        <v>11356</v>
      </c>
      <c r="C9099" s="15" t="s">
        <v>11357</v>
      </c>
      <c r="D9099" s="15" t="s">
        <v>11364</v>
      </c>
      <c r="E9099" s="15" t="s">
        <v>11365</v>
      </c>
    </row>
    <row r="9100" spans="2:5">
      <c r="B9100" s="15" t="s">
        <v>11356</v>
      </c>
      <c r="C9100" s="15" t="s">
        <v>11357</v>
      </c>
      <c r="D9100" s="15" t="s">
        <v>11366</v>
      </c>
      <c r="E9100" s="15" t="s">
        <v>11367</v>
      </c>
    </row>
    <row r="9101" spans="2:5">
      <c r="B9101" s="15" t="s">
        <v>11356</v>
      </c>
      <c r="C9101" s="15" t="s">
        <v>11357</v>
      </c>
      <c r="D9101" s="15" t="s">
        <v>11368</v>
      </c>
      <c r="E9101" s="15" t="s">
        <v>11369</v>
      </c>
    </row>
    <row r="9102" spans="2:5">
      <c r="B9102" s="15" t="s">
        <v>11356</v>
      </c>
      <c r="C9102" s="15" t="s">
        <v>11357</v>
      </c>
      <c r="D9102" s="15" t="s">
        <v>11370</v>
      </c>
      <c r="E9102" s="15" t="s">
        <v>11371</v>
      </c>
    </row>
    <row r="9103" spans="2:5">
      <c r="B9103" s="15" t="s">
        <v>11356</v>
      </c>
      <c r="C9103" s="15" t="s">
        <v>11357</v>
      </c>
      <c r="D9103" s="15" t="s">
        <v>11372</v>
      </c>
      <c r="E9103" s="15" t="s">
        <v>11373</v>
      </c>
    </row>
    <row r="9104" spans="2:5">
      <c r="B9104" s="15" t="s">
        <v>11356</v>
      </c>
      <c r="C9104" s="15" t="s">
        <v>11357</v>
      </c>
      <c r="D9104" s="15" t="s">
        <v>11374</v>
      </c>
      <c r="E9104" s="15" t="s">
        <v>11375</v>
      </c>
    </row>
    <row r="9105" spans="2:5">
      <c r="B9105" s="15" t="s">
        <v>11356</v>
      </c>
      <c r="C9105" s="15" t="s">
        <v>11357</v>
      </c>
      <c r="D9105" s="15" t="s">
        <v>11376</v>
      </c>
      <c r="E9105" s="15" t="s">
        <v>11377</v>
      </c>
    </row>
    <row r="9106" ht="15.95" spans="2:2">
      <c r="B9106" s="122" t="s">
        <v>11378</v>
      </c>
    </row>
    <row r="9107" spans="2:5">
      <c r="B9107" s="15" t="s">
        <v>11379</v>
      </c>
      <c r="C9107" s="15" t="s">
        <v>11380</v>
      </c>
      <c r="D9107" s="15" t="s">
        <v>1267</v>
      </c>
      <c r="E9107" s="15" t="s">
        <v>1268</v>
      </c>
    </row>
    <row r="9108" spans="2:5">
      <c r="B9108" s="15" t="s">
        <v>11379</v>
      </c>
      <c r="C9108" s="15" t="s">
        <v>11380</v>
      </c>
      <c r="D9108" s="15" t="s">
        <v>1269</v>
      </c>
      <c r="E9108" s="15" t="s">
        <v>1270</v>
      </c>
    </row>
    <row r="9109" ht="15.95" spans="2:2">
      <c r="B9109" s="122" t="s">
        <v>11381</v>
      </c>
    </row>
    <row r="9110" spans="2:5">
      <c r="B9110" s="15" t="s">
        <v>11382</v>
      </c>
      <c r="C9110" s="15" t="s">
        <v>896</v>
      </c>
      <c r="D9110" s="15" t="s">
        <v>723</v>
      </c>
      <c r="E9110" s="15" t="s">
        <v>976</v>
      </c>
    </row>
    <row r="9111" spans="2:5">
      <c r="B9111" s="15" t="s">
        <v>11382</v>
      </c>
      <c r="C9111" s="15" t="s">
        <v>896</v>
      </c>
      <c r="D9111" s="15" t="s">
        <v>725</v>
      </c>
      <c r="E9111" s="15" t="s">
        <v>977</v>
      </c>
    </row>
    <row r="9112" spans="2:5">
      <c r="B9112" s="15" t="s">
        <v>11382</v>
      </c>
      <c r="C9112" s="15" t="s">
        <v>896</v>
      </c>
      <c r="D9112" s="15" t="s">
        <v>727</v>
      </c>
      <c r="E9112" s="15" t="s">
        <v>978</v>
      </c>
    </row>
    <row r="9113" ht="15.95" spans="2:2">
      <c r="B9113" s="122" t="s">
        <v>11383</v>
      </c>
    </row>
    <row r="9114" spans="2:5">
      <c r="B9114" s="15" t="s">
        <v>11384</v>
      </c>
      <c r="C9114" s="15" t="s">
        <v>11385</v>
      </c>
      <c r="D9114" s="15" t="s">
        <v>723</v>
      </c>
      <c r="E9114" s="15" t="s">
        <v>11386</v>
      </c>
    </row>
    <row r="9115" spans="2:5">
      <c r="B9115" s="15" t="s">
        <v>11384</v>
      </c>
      <c r="C9115" s="15" t="s">
        <v>11385</v>
      </c>
      <c r="D9115" s="15" t="s">
        <v>725</v>
      </c>
      <c r="E9115" s="15" t="s">
        <v>11387</v>
      </c>
    </row>
    <row r="9116" ht="15.95" spans="2:2">
      <c r="B9116" s="122" t="s">
        <v>11388</v>
      </c>
    </row>
    <row r="9117" spans="2:5">
      <c r="B9117" s="15" t="s">
        <v>11389</v>
      </c>
      <c r="C9117" s="15" t="s">
        <v>11390</v>
      </c>
      <c r="D9117" s="15" t="s">
        <v>770</v>
      </c>
      <c r="E9117" s="15" t="s">
        <v>11391</v>
      </c>
    </row>
    <row r="9118" spans="2:5">
      <c r="B9118" s="15" t="s">
        <v>11389</v>
      </c>
      <c r="C9118" s="15" t="s">
        <v>11390</v>
      </c>
      <c r="D9118" s="15" t="s">
        <v>772</v>
      </c>
      <c r="E9118" s="15" t="s">
        <v>11392</v>
      </c>
    </row>
    <row r="9119" ht="15.95" spans="2:2">
      <c r="B9119" s="122" t="s">
        <v>11393</v>
      </c>
    </row>
    <row r="9120" spans="2:5">
      <c r="B9120" s="15" t="s">
        <v>11394</v>
      </c>
      <c r="C9120" s="15" t="s">
        <v>11395</v>
      </c>
      <c r="D9120" s="15" t="s">
        <v>770</v>
      </c>
      <c r="E9120" s="15" t="s">
        <v>11396</v>
      </c>
    </row>
    <row r="9121" spans="2:5">
      <c r="B9121" s="15" t="s">
        <v>11394</v>
      </c>
      <c r="C9121" s="15" t="s">
        <v>11395</v>
      </c>
      <c r="D9121" s="15" t="s">
        <v>772</v>
      </c>
      <c r="E9121" s="15" t="s">
        <v>6156</v>
      </c>
    </row>
    <row r="9122" spans="2:5">
      <c r="B9122" s="15" t="s">
        <v>11394</v>
      </c>
      <c r="C9122" s="15" t="s">
        <v>11395</v>
      </c>
      <c r="D9122" s="15" t="s">
        <v>774</v>
      </c>
      <c r="E9122" s="15" t="s">
        <v>3105</v>
      </c>
    </row>
    <row r="9123" spans="2:5">
      <c r="B9123" s="15" t="s">
        <v>11394</v>
      </c>
      <c r="C9123" s="15" t="s">
        <v>11395</v>
      </c>
      <c r="D9123" s="15" t="s">
        <v>828</v>
      </c>
      <c r="E9123" s="15" t="s">
        <v>3106</v>
      </c>
    </row>
    <row r="9124" ht="15.95" spans="2:2">
      <c r="B9124" s="122" t="s">
        <v>11397</v>
      </c>
    </row>
    <row r="9125" spans="2:5">
      <c r="B9125" s="15" t="s">
        <v>11398</v>
      </c>
      <c r="C9125" s="15" t="s">
        <v>11399</v>
      </c>
      <c r="D9125" s="15" t="s">
        <v>11400</v>
      </c>
      <c r="E9125" s="15" t="s">
        <v>11401</v>
      </c>
    </row>
    <row r="9126" spans="2:5">
      <c r="B9126" s="15" t="s">
        <v>11398</v>
      </c>
      <c r="C9126" s="15" t="s">
        <v>11399</v>
      </c>
      <c r="D9126" s="15" t="s">
        <v>11402</v>
      </c>
      <c r="E9126" s="15" t="s">
        <v>3015</v>
      </c>
    </row>
    <row r="9127" spans="2:5">
      <c r="B9127" s="15" t="s">
        <v>11398</v>
      </c>
      <c r="C9127" s="15" t="s">
        <v>11399</v>
      </c>
      <c r="D9127" s="15" t="s">
        <v>11403</v>
      </c>
      <c r="E9127" s="15" t="s">
        <v>11404</v>
      </c>
    </row>
    <row r="9128" spans="2:5">
      <c r="B9128" s="15" t="s">
        <v>11398</v>
      </c>
      <c r="C9128" s="15" t="s">
        <v>11399</v>
      </c>
      <c r="D9128" s="15" t="s">
        <v>11405</v>
      </c>
      <c r="E9128" s="15" t="s">
        <v>11406</v>
      </c>
    </row>
    <row r="9129" spans="2:5">
      <c r="B9129" s="15" t="s">
        <v>11398</v>
      </c>
      <c r="C9129" s="15" t="s">
        <v>11399</v>
      </c>
      <c r="D9129" s="15" t="s">
        <v>7427</v>
      </c>
      <c r="E9129" s="15" t="s">
        <v>11407</v>
      </c>
    </row>
    <row r="9130" spans="2:5">
      <c r="B9130" s="15" t="s">
        <v>11398</v>
      </c>
      <c r="C9130" s="15" t="s">
        <v>11399</v>
      </c>
      <c r="D9130" s="15" t="s">
        <v>11408</v>
      </c>
      <c r="E9130" s="15" t="s">
        <v>11409</v>
      </c>
    </row>
    <row r="9131" spans="2:5">
      <c r="B9131" s="15" t="s">
        <v>11398</v>
      </c>
      <c r="C9131" s="15" t="s">
        <v>11399</v>
      </c>
      <c r="D9131" s="15" t="s">
        <v>11410</v>
      </c>
      <c r="E9131" s="15" t="s">
        <v>3010</v>
      </c>
    </row>
    <row r="9132" spans="2:5">
      <c r="B9132" s="15" t="s">
        <v>11398</v>
      </c>
      <c r="C9132" s="15" t="s">
        <v>11399</v>
      </c>
      <c r="D9132" s="15" t="s">
        <v>11411</v>
      </c>
      <c r="E9132" s="15" t="s">
        <v>11412</v>
      </c>
    </row>
    <row r="9133" spans="2:5">
      <c r="B9133" s="15" t="s">
        <v>11398</v>
      </c>
      <c r="C9133" s="15" t="s">
        <v>11399</v>
      </c>
      <c r="D9133" s="15" t="s">
        <v>11413</v>
      </c>
      <c r="E9133" s="15" t="s">
        <v>11414</v>
      </c>
    </row>
    <row r="9134" spans="2:5">
      <c r="B9134" s="15" t="s">
        <v>11398</v>
      </c>
      <c r="C9134" s="15" t="s">
        <v>11399</v>
      </c>
      <c r="D9134" s="15" t="s">
        <v>11415</v>
      </c>
      <c r="E9134" s="15" t="s">
        <v>11416</v>
      </c>
    </row>
    <row r="9135" spans="2:5">
      <c r="B9135" s="15" t="s">
        <v>11398</v>
      </c>
      <c r="C9135" s="15" t="s">
        <v>11399</v>
      </c>
      <c r="D9135" s="15" t="s">
        <v>11417</v>
      </c>
      <c r="E9135" s="15" t="s">
        <v>3008</v>
      </c>
    </row>
    <row r="9136" spans="2:5">
      <c r="B9136" s="15" t="s">
        <v>11398</v>
      </c>
      <c r="C9136" s="15" t="s">
        <v>11399</v>
      </c>
      <c r="D9136" s="15" t="s">
        <v>11418</v>
      </c>
      <c r="E9136" s="15" t="s">
        <v>11419</v>
      </c>
    </row>
    <row r="9137" spans="2:5">
      <c r="B9137" s="15" t="s">
        <v>11398</v>
      </c>
      <c r="C9137" s="15" t="s">
        <v>11399</v>
      </c>
      <c r="D9137" s="15" t="s">
        <v>11420</v>
      </c>
      <c r="E9137" s="15" t="s">
        <v>11421</v>
      </c>
    </row>
    <row r="9138" spans="2:5">
      <c r="B9138" s="15" t="s">
        <v>11398</v>
      </c>
      <c r="C9138" s="15" t="s">
        <v>11399</v>
      </c>
      <c r="D9138" s="15" t="s">
        <v>11422</v>
      </c>
      <c r="E9138" s="15" t="s">
        <v>11423</v>
      </c>
    </row>
    <row r="9139" spans="2:5">
      <c r="B9139" s="15" t="s">
        <v>11398</v>
      </c>
      <c r="C9139" s="15" t="s">
        <v>11399</v>
      </c>
      <c r="D9139" s="15" t="s">
        <v>11424</v>
      </c>
      <c r="E9139" s="15" t="s">
        <v>11425</v>
      </c>
    </row>
    <row r="9140" spans="2:5">
      <c r="B9140" s="15" t="s">
        <v>11398</v>
      </c>
      <c r="C9140" s="15" t="s">
        <v>11399</v>
      </c>
      <c r="D9140" s="15" t="s">
        <v>11426</v>
      </c>
      <c r="E9140" s="15" t="s">
        <v>11427</v>
      </c>
    </row>
    <row r="9141" spans="2:5">
      <c r="B9141" s="15" t="s">
        <v>11398</v>
      </c>
      <c r="C9141" s="15" t="s">
        <v>11399</v>
      </c>
      <c r="D9141" s="15" t="s">
        <v>11428</v>
      </c>
      <c r="E9141" s="15" t="s">
        <v>11429</v>
      </c>
    </row>
    <row r="9142" spans="2:5">
      <c r="B9142" s="15" t="s">
        <v>11398</v>
      </c>
      <c r="C9142" s="15" t="s">
        <v>11399</v>
      </c>
      <c r="D9142" s="15" t="s">
        <v>11430</v>
      </c>
      <c r="E9142" s="15" t="s">
        <v>3007</v>
      </c>
    </row>
    <row r="9143" spans="2:5">
      <c r="B9143" s="15" t="s">
        <v>11398</v>
      </c>
      <c r="C9143" s="15" t="s">
        <v>11399</v>
      </c>
      <c r="D9143" s="15" t="s">
        <v>11431</v>
      </c>
      <c r="E9143" s="15" t="s">
        <v>11432</v>
      </c>
    </row>
    <row r="9144" spans="2:5">
      <c r="B9144" s="15" t="s">
        <v>11398</v>
      </c>
      <c r="C9144" s="15" t="s">
        <v>11399</v>
      </c>
      <c r="D9144" s="15" t="s">
        <v>11433</v>
      </c>
      <c r="E9144" s="15" t="s">
        <v>11434</v>
      </c>
    </row>
    <row r="9145" ht="15.95" spans="2:2">
      <c r="B9145" s="122" t="s">
        <v>11435</v>
      </c>
    </row>
    <row r="9146" spans="2:5">
      <c r="B9146" s="15" t="s">
        <v>11436</v>
      </c>
      <c r="C9146" s="15" t="s">
        <v>896</v>
      </c>
      <c r="D9146" s="15" t="s">
        <v>770</v>
      </c>
      <c r="E9146" s="15" t="s">
        <v>11437</v>
      </c>
    </row>
    <row r="9147" spans="2:5">
      <c r="B9147" s="15" t="s">
        <v>11436</v>
      </c>
      <c r="C9147" s="15" t="s">
        <v>896</v>
      </c>
      <c r="D9147" s="15" t="s">
        <v>772</v>
      </c>
      <c r="E9147" s="15" t="s">
        <v>5627</v>
      </c>
    </row>
    <row r="9148" spans="2:5">
      <c r="B9148" s="15" t="s">
        <v>11436</v>
      </c>
      <c r="C9148" s="15" t="s">
        <v>896</v>
      </c>
      <c r="D9148" s="15" t="s">
        <v>774</v>
      </c>
      <c r="E9148" s="15" t="s">
        <v>11438</v>
      </c>
    </row>
    <row r="9149" spans="2:5">
      <c r="B9149" s="15" t="s">
        <v>11436</v>
      </c>
      <c r="C9149" s="15" t="s">
        <v>896</v>
      </c>
      <c r="D9149" s="15" t="s">
        <v>828</v>
      </c>
      <c r="E9149" s="15" t="s">
        <v>5629</v>
      </c>
    </row>
    <row r="9150" spans="2:5">
      <c r="B9150" s="15" t="s">
        <v>11436</v>
      </c>
      <c r="C9150" s="15" t="s">
        <v>896</v>
      </c>
      <c r="D9150" s="15" t="s">
        <v>901</v>
      </c>
      <c r="E9150" s="15" t="s">
        <v>5630</v>
      </c>
    </row>
    <row r="9151" ht="15.95" spans="2:2">
      <c r="B9151" s="122" t="s">
        <v>11439</v>
      </c>
    </row>
    <row r="9152" spans="2:5">
      <c r="B9152" s="15" t="s">
        <v>11440</v>
      </c>
      <c r="C9152" s="15" t="s">
        <v>11441</v>
      </c>
      <c r="D9152" s="15" t="s">
        <v>770</v>
      </c>
      <c r="E9152" s="15" t="s">
        <v>1769</v>
      </c>
    </row>
    <row r="9153" spans="2:5">
      <c r="B9153" s="15" t="s">
        <v>11440</v>
      </c>
      <c r="C9153" s="15" t="s">
        <v>11441</v>
      </c>
      <c r="D9153" s="15" t="s">
        <v>772</v>
      </c>
      <c r="E9153" s="15" t="s">
        <v>1770</v>
      </c>
    </row>
    <row r="9154" spans="2:5">
      <c r="B9154" s="15" t="s">
        <v>11440</v>
      </c>
      <c r="C9154" s="15" t="s">
        <v>11441</v>
      </c>
      <c r="D9154" s="15" t="s">
        <v>774</v>
      </c>
      <c r="E9154" s="15" t="s">
        <v>1396</v>
      </c>
    </row>
    <row r="9155" spans="2:5">
      <c r="B9155" s="15" t="s">
        <v>11440</v>
      </c>
      <c r="C9155" s="15" t="s">
        <v>11441</v>
      </c>
      <c r="D9155" s="15" t="s">
        <v>828</v>
      </c>
      <c r="E9155" s="15" t="s">
        <v>1771</v>
      </c>
    </row>
    <row r="9156" spans="2:5">
      <c r="B9156" s="15" t="s">
        <v>11440</v>
      </c>
      <c r="C9156" s="15" t="s">
        <v>11441</v>
      </c>
      <c r="D9156" s="15" t="s">
        <v>901</v>
      </c>
      <c r="E9156" s="15" t="s">
        <v>1772</v>
      </c>
    </row>
    <row r="9157" spans="2:5">
      <c r="B9157" s="15" t="s">
        <v>11440</v>
      </c>
      <c r="C9157" s="15" t="s">
        <v>11441</v>
      </c>
      <c r="D9157" s="15" t="s">
        <v>776</v>
      </c>
      <c r="E9157" s="15" t="s">
        <v>1773</v>
      </c>
    </row>
    <row r="9158" spans="2:5">
      <c r="B9158" s="15" t="s">
        <v>11440</v>
      </c>
      <c r="C9158" s="15" t="s">
        <v>11441</v>
      </c>
      <c r="D9158" s="15" t="s">
        <v>1290</v>
      </c>
      <c r="E9158" s="15" t="s">
        <v>948</v>
      </c>
    </row>
    <row r="9159" ht="15.95" spans="2:2">
      <c r="B9159" s="122" t="s">
        <v>11442</v>
      </c>
    </row>
    <row r="9160" spans="2:5">
      <c r="B9160" s="15" t="s">
        <v>11443</v>
      </c>
      <c r="C9160" s="15" t="s">
        <v>11443</v>
      </c>
      <c r="D9160" s="15" t="s">
        <v>770</v>
      </c>
      <c r="E9160" s="15" t="s">
        <v>1860</v>
      </c>
    </row>
    <row r="9161" spans="2:5">
      <c r="B9161" s="15" t="s">
        <v>11443</v>
      </c>
      <c r="C9161" s="15" t="s">
        <v>11443</v>
      </c>
      <c r="D9161" s="15" t="s">
        <v>772</v>
      </c>
      <c r="E9161" s="15" t="s">
        <v>1861</v>
      </c>
    </row>
    <row r="9162" ht="15.95" spans="2:2">
      <c r="B9162" s="122" t="s">
        <v>11444</v>
      </c>
    </row>
    <row r="9163" spans="2:5">
      <c r="B9163" s="15" t="s">
        <v>11445</v>
      </c>
      <c r="C9163" s="15" t="s">
        <v>11446</v>
      </c>
      <c r="D9163" s="15" t="s">
        <v>723</v>
      </c>
      <c r="E9163" s="15" t="s">
        <v>8098</v>
      </c>
    </row>
    <row r="9164" spans="2:5">
      <c r="B9164" s="15" t="s">
        <v>11445</v>
      </c>
      <c r="C9164" s="15" t="s">
        <v>11446</v>
      </c>
      <c r="D9164" s="15" t="s">
        <v>725</v>
      </c>
      <c r="E9164" s="15" t="s">
        <v>8099</v>
      </c>
    </row>
    <row r="9165" ht="15.95" spans="2:2">
      <c r="B9165" s="122" t="s">
        <v>11447</v>
      </c>
    </row>
    <row r="9166" spans="2:5">
      <c r="B9166" s="15" t="s">
        <v>11448</v>
      </c>
      <c r="C9166" s="15" t="s">
        <v>11304</v>
      </c>
      <c r="D9166" s="15" t="s">
        <v>635</v>
      </c>
      <c r="E9166" s="15" t="s">
        <v>11449</v>
      </c>
    </row>
    <row r="9167" spans="2:5">
      <c r="B9167" s="15" t="s">
        <v>11448</v>
      </c>
      <c r="C9167" s="15" t="s">
        <v>11304</v>
      </c>
      <c r="D9167" s="15" t="s">
        <v>659</v>
      </c>
      <c r="E9167" s="15" t="s">
        <v>11450</v>
      </c>
    </row>
    <row r="9168" ht="15.95" spans="2:2">
      <c r="B9168" s="122" t="s">
        <v>11451</v>
      </c>
    </row>
    <row r="9169" spans="2:5">
      <c r="B9169" s="15" t="s">
        <v>11452</v>
      </c>
      <c r="C9169" s="15" t="s">
        <v>11453</v>
      </c>
      <c r="D9169" s="15" t="s">
        <v>11454</v>
      </c>
      <c r="E9169" s="15" t="s">
        <v>11455</v>
      </c>
    </row>
    <row r="9170" spans="2:5">
      <c r="B9170" s="15" t="s">
        <v>11452</v>
      </c>
      <c r="C9170" s="15" t="s">
        <v>11453</v>
      </c>
      <c r="D9170" s="15" t="s">
        <v>11456</v>
      </c>
      <c r="E9170" s="15" t="s">
        <v>11457</v>
      </c>
    </row>
    <row r="9171" spans="2:5">
      <c r="B9171" s="15" t="s">
        <v>11452</v>
      </c>
      <c r="C9171" s="15" t="s">
        <v>11453</v>
      </c>
      <c r="D9171" s="15" t="s">
        <v>11458</v>
      </c>
      <c r="E9171" s="15" t="s">
        <v>8879</v>
      </c>
    </row>
    <row r="9172" ht="15.95" spans="2:2">
      <c r="B9172" s="122" t="s">
        <v>11459</v>
      </c>
    </row>
    <row r="9173" spans="2:5">
      <c r="B9173" s="15" t="s">
        <v>11460</v>
      </c>
      <c r="C9173" s="15" t="s">
        <v>11461</v>
      </c>
      <c r="D9173" s="15" t="s">
        <v>5345</v>
      </c>
      <c r="E9173" s="15" t="s">
        <v>11462</v>
      </c>
    </row>
    <row r="9174" spans="2:5">
      <c r="B9174" s="15" t="s">
        <v>11460</v>
      </c>
      <c r="C9174" s="15" t="s">
        <v>11461</v>
      </c>
      <c r="D9174" s="15" t="s">
        <v>637</v>
      </c>
      <c r="E9174" s="15" t="s">
        <v>4391</v>
      </c>
    </row>
    <row r="9175" spans="2:5">
      <c r="B9175" s="15" t="s">
        <v>11460</v>
      </c>
      <c r="C9175" s="15" t="s">
        <v>11461</v>
      </c>
      <c r="D9175" s="15" t="s">
        <v>641</v>
      </c>
      <c r="E9175" s="15" t="s">
        <v>4392</v>
      </c>
    </row>
    <row r="9176" spans="2:5">
      <c r="B9176" s="15" t="s">
        <v>11460</v>
      </c>
      <c r="C9176" s="15" t="s">
        <v>11461</v>
      </c>
      <c r="D9176" s="15" t="s">
        <v>643</v>
      </c>
      <c r="E9176" s="15" t="s">
        <v>4393</v>
      </c>
    </row>
    <row r="9177" ht="15.95" spans="2:2">
      <c r="B9177" s="122" t="s">
        <v>11463</v>
      </c>
    </row>
    <row r="9178" spans="2:5">
      <c r="B9178" s="15" t="s">
        <v>11464</v>
      </c>
      <c r="C9178" s="15" t="s">
        <v>11465</v>
      </c>
      <c r="D9178" s="15" t="s">
        <v>635</v>
      </c>
      <c r="E9178" s="15" t="s">
        <v>11466</v>
      </c>
    </row>
    <row r="9179" spans="2:5">
      <c r="B9179" s="15" t="s">
        <v>11464</v>
      </c>
      <c r="C9179" s="15" t="s">
        <v>11465</v>
      </c>
      <c r="D9179" s="15" t="s">
        <v>2972</v>
      </c>
      <c r="E9179" s="15" t="s">
        <v>11467</v>
      </c>
    </row>
    <row r="9180" spans="2:5">
      <c r="B9180" s="15" t="s">
        <v>11464</v>
      </c>
      <c r="C9180" s="15" t="s">
        <v>11465</v>
      </c>
      <c r="D9180" s="15" t="s">
        <v>2978</v>
      </c>
      <c r="E9180" s="15" t="s">
        <v>11468</v>
      </c>
    </row>
    <row r="9181" ht="15.95" spans="2:2">
      <c r="B9181" s="122" t="s">
        <v>11469</v>
      </c>
    </row>
    <row r="9182" spans="2:5">
      <c r="B9182" s="15" t="s">
        <v>11470</v>
      </c>
      <c r="C9182" s="15" t="s">
        <v>11471</v>
      </c>
      <c r="D9182" s="15" t="s">
        <v>1267</v>
      </c>
      <c r="E9182" s="15" t="s">
        <v>1268</v>
      </c>
    </row>
    <row r="9183" spans="2:5">
      <c r="B9183" s="15" t="s">
        <v>11470</v>
      </c>
      <c r="C9183" s="15" t="s">
        <v>11471</v>
      </c>
      <c r="D9183" s="15" t="s">
        <v>1269</v>
      </c>
      <c r="E9183" s="15" t="s">
        <v>1270</v>
      </c>
    </row>
    <row r="9184" ht="15.95" spans="2:2">
      <c r="B9184" s="122" t="s">
        <v>11472</v>
      </c>
    </row>
    <row r="9185" spans="2:5">
      <c r="B9185" s="15" t="s">
        <v>11473</v>
      </c>
      <c r="C9185" s="15" t="s">
        <v>11473</v>
      </c>
      <c r="D9185" s="15" t="s">
        <v>723</v>
      </c>
      <c r="E9185" s="15" t="s">
        <v>11474</v>
      </c>
    </row>
    <row r="9186" spans="2:5">
      <c r="B9186" s="15" t="s">
        <v>11473</v>
      </c>
      <c r="C9186" s="15" t="s">
        <v>11473</v>
      </c>
      <c r="D9186" s="15" t="s">
        <v>725</v>
      </c>
      <c r="E9186" s="15" t="s">
        <v>1203</v>
      </c>
    </row>
    <row r="9187" spans="2:5">
      <c r="B9187" s="15" t="s">
        <v>11473</v>
      </c>
      <c r="C9187" s="15" t="s">
        <v>11473</v>
      </c>
      <c r="D9187" s="15" t="s">
        <v>727</v>
      </c>
      <c r="E9187" s="15" t="s">
        <v>11475</v>
      </c>
    </row>
    <row r="9188" ht="15.95" spans="2:2">
      <c r="B9188" s="122" t="s">
        <v>11476</v>
      </c>
    </row>
    <row r="9189" spans="2:5">
      <c r="B9189" s="15" t="s">
        <v>11477</v>
      </c>
      <c r="C9189" s="15" t="s">
        <v>11478</v>
      </c>
      <c r="D9189" s="15" t="s">
        <v>770</v>
      </c>
      <c r="E9189" s="15" t="s">
        <v>11479</v>
      </c>
    </row>
    <row r="9190" spans="2:5">
      <c r="B9190" s="15" t="s">
        <v>11477</v>
      </c>
      <c r="C9190" s="15" t="s">
        <v>11478</v>
      </c>
      <c r="D9190" s="15" t="s">
        <v>772</v>
      </c>
      <c r="E9190" s="15" t="s">
        <v>11480</v>
      </c>
    </row>
    <row r="9191" spans="2:5">
      <c r="B9191" s="15" t="s">
        <v>11477</v>
      </c>
      <c r="C9191" s="15" t="s">
        <v>11478</v>
      </c>
      <c r="D9191" s="15" t="s">
        <v>774</v>
      </c>
      <c r="E9191" s="15" t="s">
        <v>11481</v>
      </c>
    </row>
    <row r="9192" ht="15.95" spans="2:2">
      <c r="B9192" s="122" t="s">
        <v>11482</v>
      </c>
    </row>
    <row r="9193" spans="2:5">
      <c r="B9193" s="15" t="s">
        <v>11483</v>
      </c>
      <c r="C9193" s="15" t="s">
        <v>11483</v>
      </c>
      <c r="D9193" s="15" t="s">
        <v>723</v>
      </c>
      <c r="E9193" s="15" t="s">
        <v>10465</v>
      </c>
    </row>
    <row r="9194" spans="2:5">
      <c r="B9194" s="15" t="s">
        <v>11483</v>
      </c>
      <c r="C9194" s="15" t="s">
        <v>11483</v>
      </c>
      <c r="D9194" s="15" t="s">
        <v>725</v>
      </c>
      <c r="E9194" s="15" t="s">
        <v>10466</v>
      </c>
    </row>
    <row r="9195" spans="2:5">
      <c r="B9195" s="15" t="s">
        <v>11483</v>
      </c>
      <c r="C9195" s="15" t="s">
        <v>11483</v>
      </c>
      <c r="D9195" s="15" t="s">
        <v>727</v>
      </c>
      <c r="E9195" s="15" t="s">
        <v>10467</v>
      </c>
    </row>
    <row r="9196" spans="2:5">
      <c r="B9196" s="15" t="s">
        <v>11483</v>
      </c>
      <c r="C9196" s="15" t="s">
        <v>11483</v>
      </c>
      <c r="D9196" s="15" t="s">
        <v>729</v>
      </c>
      <c r="E9196" s="15" t="s">
        <v>10468</v>
      </c>
    </row>
    <row r="9197" spans="2:5">
      <c r="B9197" s="15" t="s">
        <v>11483</v>
      </c>
      <c r="C9197" s="15" t="s">
        <v>11483</v>
      </c>
      <c r="D9197" s="15" t="s">
        <v>760</v>
      </c>
      <c r="E9197" s="15" t="s">
        <v>10469</v>
      </c>
    </row>
    <row r="9198" ht="15.95" spans="2:2">
      <c r="B9198" s="122" t="s">
        <v>11484</v>
      </c>
    </row>
    <row r="9199" spans="2:5">
      <c r="B9199" s="15" t="s">
        <v>11485</v>
      </c>
      <c r="C9199" s="15" t="s">
        <v>11486</v>
      </c>
      <c r="D9199" s="15" t="s">
        <v>6847</v>
      </c>
      <c r="E9199" s="15" t="s">
        <v>6848</v>
      </c>
    </row>
    <row r="9200" spans="2:5">
      <c r="B9200" s="15" t="s">
        <v>11485</v>
      </c>
      <c r="C9200" s="15" t="s">
        <v>11486</v>
      </c>
      <c r="D9200" s="15" t="s">
        <v>6849</v>
      </c>
      <c r="E9200" s="15" t="s">
        <v>6850</v>
      </c>
    </row>
    <row r="9201" spans="2:5">
      <c r="B9201" s="15" t="s">
        <v>11485</v>
      </c>
      <c r="C9201" s="15" t="s">
        <v>11486</v>
      </c>
      <c r="D9201" s="15" t="s">
        <v>6853</v>
      </c>
      <c r="E9201" s="15" t="s">
        <v>6854</v>
      </c>
    </row>
    <row r="9202" spans="2:5">
      <c r="B9202" s="15" t="s">
        <v>11485</v>
      </c>
      <c r="C9202" s="15" t="s">
        <v>11486</v>
      </c>
      <c r="D9202" s="15" t="s">
        <v>6855</v>
      </c>
      <c r="E9202" s="15" t="s">
        <v>6856</v>
      </c>
    </row>
    <row r="9203" spans="2:5">
      <c r="B9203" s="15" t="s">
        <v>11485</v>
      </c>
      <c r="C9203" s="15" t="s">
        <v>11486</v>
      </c>
      <c r="D9203" s="15" t="s">
        <v>6857</v>
      </c>
      <c r="E9203" s="15" t="s">
        <v>6858</v>
      </c>
    </row>
    <row r="9204" spans="2:5">
      <c r="B9204" s="15" t="s">
        <v>11485</v>
      </c>
      <c r="C9204" s="15" t="s">
        <v>11486</v>
      </c>
      <c r="D9204" s="15" t="s">
        <v>6861</v>
      </c>
      <c r="E9204" s="15" t="s">
        <v>6862</v>
      </c>
    </row>
    <row r="9205" spans="2:5">
      <c r="B9205" s="15" t="s">
        <v>11485</v>
      </c>
      <c r="C9205" s="15" t="s">
        <v>11486</v>
      </c>
      <c r="D9205" s="15" t="s">
        <v>6863</v>
      </c>
      <c r="E9205" s="15" t="s">
        <v>6864</v>
      </c>
    </row>
    <row r="9206" spans="2:5">
      <c r="B9206" s="15" t="s">
        <v>11485</v>
      </c>
      <c r="C9206" s="15" t="s">
        <v>11486</v>
      </c>
      <c r="D9206" s="15" t="s">
        <v>6875</v>
      </c>
      <c r="E9206" s="15" t="s">
        <v>6876</v>
      </c>
    </row>
    <row r="9207" spans="2:5">
      <c r="B9207" s="15" t="s">
        <v>11485</v>
      </c>
      <c r="C9207" s="15" t="s">
        <v>11486</v>
      </c>
      <c r="D9207" s="15" t="s">
        <v>6879</v>
      </c>
      <c r="E9207" s="15" t="s">
        <v>6880</v>
      </c>
    </row>
    <row r="9208" spans="2:5">
      <c r="B9208" s="15" t="s">
        <v>11485</v>
      </c>
      <c r="C9208" s="15" t="s">
        <v>11486</v>
      </c>
      <c r="D9208" s="15" t="s">
        <v>6881</v>
      </c>
      <c r="E9208" s="15" t="s">
        <v>6882</v>
      </c>
    </row>
    <row r="9209" spans="2:5">
      <c r="B9209" s="15" t="s">
        <v>11485</v>
      </c>
      <c r="C9209" s="15" t="s">
        <v>11486</v>
      </c>
      <c r="D9209" s="15" t="s">
        <v>6883</v>
      </c>
      <c r="E9209" s="15" t="s">
        <v>6884</v>
      </c>
    </row>
    <row r="9210" ht="15.95" spans="2:2">
      <c r="B9210" s="122" t="s">
        <v>11487</v>
      </c>
    </row>
    <row r="9211" spans="2:5">
      <c r="B9211" s="15" t="s">
        <v>11488</v>
      </c>
      <c r="C9211" s="15" t="s">
        <v>11488</v>
      </c>
      <c r="D9211" s="15" t="s">
        <v>723</v>
      </c>
      <c r="E9211" s="15" t="s">
        <v>11489</v>
      </c>
    </row>
    <row r="9212" spans="2:5">
      <c r="B9212" s="15" t="s">
        <v>11488</v>
      </c>
      <c r="C9212" s="15" t="s">
        <v>11488</v>
      </c>
      <c r="D9212" s="15" t="s">
        <v>725</v>
      </c>
      <c r="E9212" s="15" t="s">
        <v>11490</v>
      </c>
    </row>
    <row r="9213" ht="15.95" spans="2:2">
      <c r="B9213" s="122" t="s">
        <v>11491</v>
      </c>
    </row>
    <row r="9214" spans="2:5">
      <c r="B9214" s="15" t="s">
        <v>11492</v>
      </c>
      <c r="C9214" s="15" t="s">
        <v>3478</v>
      </c>
      <c r="D9214" s="15" t="s">
        <v>770</v>
      </c>
      <c r="E9214" s="15" t="s">
        <v>3479</v>
      </c>
    </row>
    <row r="9215" spans="2:5">
      <c r="B9215" s="15" t="s">
        <v>11492</v>
      </c>
      <c r="C9215" s="15" t="s">
        <v>3478</v>
      </c>
      <c r="D9215" s="15" t="s">
        <v>772</v>
      </c>
      <c r="E9215" s="15" t="s">
        <v>3480</v>
      </c>
    </row>
    <row r="9216" spans="2:5">
      <c r="B9216" s="15" t="s">
        <v>11492</v>
      </c>
      <c r="C9216" s="15" t="s">
        <v>3478</v>
      </c>
      <c r="D9216" s="15" t="s">
        <v>774</v>
      </c>
      <c r="E9216" s="15" t="s">
        <v>3481</v>
      </c>
    </row>
    <row r="9217" spans="2:5">
      <c r="B9217" s="15" t="s">
        <v>11492</v>
      </c>
      <c r="C9217" s="15" t="s">
        <v>3478</v>
      </c>
      <c r="D9217" s="15" t="s">
        <v>828</v>
      </c>
      <c r="E9217" s="15" t="s">
        <v>948</v>
      </c>
    </row>
    <row r="9218" ht="15.95" spans="2:2">
      <c r="B9218" s="122" t="s">
        <v>11493</v>
      </c>
    </row>
    <row r="9219" spans="2:5">
      <c r="B9219" s="15" t="s">
        <v>11494</v>
      </c>
      <c r="C9219" s="15" t="s">
        <v>11495</v>
      </c>
      <c r="D9219" s="15" t="s">
        <v>635</v>
      </c>
      <c r="E9219" s="15" t="s">
        <v>1814</v>
      </c>
    </row>
    <row r="9220" spans="2:5">
      <c r="B9220" s="15" t="s">
        <v>11494</v>
      </c>
      <c r="C9220" s="15" t="s">
        <v>11495</v>
      </c>
      <c r="D9220" s="15" t="s">
        <v>659</v>
      </c>
      <c r="E9220" s="15" t="s">
        <v>4941</v>
      </c>
    </row>
    <row r="9221" spans="2:5">
      <c r="B9221" s="15" t="s">
        <v>11494</v>
      </c>
      <c r="C9221" s="15" t="s">
        <v>11495</v>
      </c>
      <c r="D9221" s="15" t="s">
        <v>679</v>
      </c>
      <c r="E9221" s="15" t="s">
        <v>4942</v>
      </c>
    </row>
    <row r="9222" spans="2:5">
      <c r="B9222" s="15" t="s">
        <v>11494</v>
      </c>
      <c r="C9222" s="15" t="s">
        <v>11495</v>
      </c>
      <c r="D9222" s="15" t="s">
        <v>705</v>
      </c>
      <c r="E9222" s="15" t="s">
        <v>1816</v>
      </c>
    </row>
    <row r="9223" spans="2:5">
      <c r="B9223" s="15" t="s">
        <v>11494</v>
      </c>
      <c r="C9223" s="15" t="s">
        <v>11495</v>
      </c>
      <c r="D9223" s="15" t="s">
        <v>707</v>
      </c>
      <c r="E9223" s="15" t="s">
        <v>7573</v>
      </c>
    </row>
    <row r="9224" spans="2:5">
      <c r="B9224" s="15" t="s">
        <v>11494</v>
      </c>
      <c r="C9224" s="15" t="s">
        <v>11495</v>
      </c>
      <c r="D9224" s="15" t="s">
        <v>2020</v>
      </c>
      <c r="E9224" s="15" t="s">
        <v>7575</v>
      </c>
    </row>
    <row r="9225" spans="2:5">
      <c r="B9225" s="15" t="s">
        <v>11494</v>
      </c>
      <c r="C9225" s="15" t="s">
        <v>11495</v>
      </c>
      <c r="D9225" s="15" t="s">
        <v>2022</v>
      </c>
      <c r="E9225" s="15" t="s">
        <v>7573</v>
      </c>
    </row>
    <row r="9226" spans="2:5">
      <c r="B9226" s="15" t="s">
        <v>11494</v>
      </c>
      <c r="C9226" s="15" t="s">
        <v>11495</v>
      </c>
      <c r="D9226" s="15" t="s">
        <v>7578</v>
      </c>
      <c r="E9226" s="15" t="s">
        <v>7575</v>
      </c>
    </row>
    <row r="9227" spans="2:5">
      <c r="B9227" s="15" t="s">
        <v>11494</v>
      </c>
      <c r="C9227" s="15" t="s">
        <v>11495</v>
      </c>
      <c r="D9227" s="15" t="s">
        <v>4943</v>
      </c>
      <c r="E9227" s="15" t="s">
        <v>1903</v>
      </c>
    </row>
    <row r="9228" spans="2:5">
      <c r="B9228" s="15" t="s">
        <v>11494</v>
      </c>
      <c r="C9228" s="15" t="s">
        <v>11495</v>
      </c>
      <c r="D9228" s="15" t="s">
        <v>4944</v>
      </c>
      <c r="E9228" s="15" t="s">
        <v>1904</v>
      </c>
    </row>
    <row r="9229" spans="2:5">
      <c r="B9229" s="15" t="s">
        <v>11494</v>
      </c>
      <c r="C9229" s="15" t="s">
        <v>11495</v>
      </c>
      <c r="D9229" s="15" t="s">
        <v>840</v>
      </c>
      <c r="E9229" s="15" t="s">
        <v>1822</v>
      </c>
    </row>
    <row r="9230" spans="2:5">
      <c r="B9230" s="15" t="s">
        <v>11494</v>
      </c>
      <c r="C9230" s="15" t="s">
        <v>11495</v>
      </c>
      <c r="D9230" s="15" t="s">
        <v>842</v>
      </c>
      <c r="E9230" s="15" t="s">
        <v>1330</v>
      </c>
    </row>
    <row r="9231" spans="2:5">
      <c r="B9231" s="15" t="s">
        <v>11494</v>
      </c>
      <c r="C9231" s="15" t="s">
        <v>11495</v>
      </c>
      <c r="D9231" s="15" t="s">
        <v>844</v>
      </c>
      <c r="E9231" s="15" t="s">
        <v>7585</v>
      </c>
    </row>
    <row r="9232" ht="15.95" spans="2:2">
      <c r="B9232" s="122" t="s">
        <v>11496</v>
      </c>
    </row>
    <row r="9233" spans="2:5">
      <c r="B9233" s="15" t="s">
        <v>11497</v>
      </c>
      <c r="C9233" s="15" t="s">
        <v>11498</v>
      </c>
      <c r="D9233" s="15" t="s">
        <v>11499</v>
      </c>
      <c r="E9233" s="15" t="s">
        <v>10985</v>
      </c>
    </row>
    <row r="9234" spans="2:5">
      <c r="B9234" s="15" t="s">
        <v>11497</v>
      </c>
      <c r="C9234" s="15" t="s">
        <v>11498</v>
      </c>
      <c r="D9234" s="15" t="s">
        <v>11500</v>
      </c>
      <c r="E9234" s="15" t="s">
        <v>10989</v>
      </c>
    </row>
    <row r="9235" spans="2:5">
      <c r="B9235" s="15" t="s">
        <v>11497</v>
      </c>
      <c r="C9235" s="15" t="s">
        <v>11498</v>
      </c>
      <c r="D9235" s="15" t="s">
        <v>11501</v>
      </c>
      <c r="E9235" s="15" t="s">
        <v>10991</v>
      </c>
    </row>
    <row r="9236" spans="2:5">
      <c r="B9236" s="15" t="s">
        <v>11497</v>
      </c>
      <c r="C9236" s="15" t="s">
        <v>11498</v>
      </c>
      <c r="D9236" s="15" t="s">
        <v>11502</v>
      </c>
      <c r="E9236" s="15" t="s">
        <v>2485</v>
      </c>
    </row>
    <row r="9237" spans="2:5">
      <c r="B9237" s="15" t="s">
        <v>11497</v>
      </c>
      <c r="C9237" s="15" t="s">
        <v>11498</v>
      </c>
      <c r="D9237" s="15" t="s">
        <v>11503</v>
      </c>
      <c r="E9237" s="15" t="s">
        <v>10983</v>
      </c>
    </row>
    <row r="9238" spans="2:5">
      <c r="B9238" s="15" t="s">
        <v>11497</v>
      </c>
      <c r="C9238" s="15" t="s">
        <v>11498</v>
      </c>
      <c r="D9238" s="15" t="s">
        <v>11504</v>
      </c>
      <c r="E9238" s="15" t="s">
        <v>10981</v>
      </c>
    </row>
    <row r="9239" spans="2:5">
      <c r="B9239" s="15" t="s">
        <v>11497</v>
      </c>
      <c r="C9239" s="15" t="s">
        <v>11498</v>
      </c>
      <c r="D9239" s="15" t="s">
        <v>11505</v>
      </c>
      <c r="E9239" s="15" t="s">
        <v>235</v>
      </c>
    </row>
    <row r="9240" ht="15.95" spans="2:2">
      <c r="B9240" s="122" t="s">
        <v>11506</v>
      </c>
    </row>
    <row r="9241" spans="2:5">
      <c r="B9241" s="15" t="s">
        <v>11507</v>
      </c>
      <c r="C9241" s="15" t="s">
        <v>11508</v>
      </c>
      <c r="D9241" s="15" t="s">
        <v>770</v>
      </c>
      <c r="E9241" s="15" t="s">
        <v>11509</v>
      </c>
    </row>
    <row r="9242" spans="2:5">
      <c r="B9242" s="15" t="s">
        <v>11507</v>
      </c>
      <c r="C9242" s="15" t="s">
        <v>11508</v>
      </c>
      <c r="D9242" s="15" t="s">
        <v>772</v>
      </c>
      <c r="E9242" s="15" t="s">
        <v>11510</v>
      </c>
    </row>
    <row r="9243" ht="15.95" spans="2:2">
      <c r="B9243" s="122" t="s">
        <v>11511</v>
      </c>
    </row>
    <row r="9244" spans="2:5">
      <c r="B9244" s="15" t="s">
        <v>11512</v>
      </c>
      <c r="C9244" s="15" t="s">
        <v>11513</v>
      </c>
      <c r="D9244" s="15" t="s">
        <v>770</v>
      </c>
      <c r="E9244" s="15" t="s">
        <v>2380</v>
      </c>
    </row>
    <row r="9245" spans="2:5">
      <c r="B9245" s="15" t="s">
        <v>11512</v>
      </c>
      <c r="C9245" s="15" t="s">
        <v>11513</v>
      </c>
      <c r="D9245" s="15" t="s">
        <v>772</v>
      </c>
      <c r="E9245" s="15" t="s">
        <v>2381</v>
      </c>
    </row>
    <row r="9246" spans="2:5">
      <c r="B9246" s="15" t="s">
        <v>11512</v>
      </c>
      <c r="C9246" s="15" t="s">
        <v>11513</v>
      </c>
      <c r="D9246" s="15" t="s">
        <v>774</v>
      </c>
      <c r="E9246" s="15" t="s">
        <v>2292</v>
      </c>
    </row>
    <row r="9247" ht="15.95" spans="2:2">
      <c r="B9247" s="122" t="s">
        <v>11514</v>
      </c>
    </row>
    <row r="9248" spans="2:5">
      <c r="B9248" s="15" t="s">
        <v>11515</v>
      </c>
      <c r="C9248" s="15" t="s">
        <v>11515</v>
      </c>
      <c r="D9248" s="15" t="s">
        <v>723</v>
      </c>
      <c r="E9248" s="15" t="s">
        <v>11516</v>
      </c>
    </row>
    <row r="9249" spans="2:5">
      <c r="B9249" s="15" t="s">
        <v>11515</v>
      </c>
      <c r="C9249" s="15" t="s">
        <v>11515</v>
      </c>
      <c r="D9249" s="15" t="s">
        <v>725</v>
      </c>
      <c r="E9249" s="15" t="s">
        <v>11517</v>
      </c>
    </row>
    <row r="9250" spans="2:5">
      <c r="B9250" s="15" t="s">
        <v>11515</v>
      </c>
      <c r="C9250" s="15" t="s">
        <v>11515</v>
      </c>
      <c r="D9250" s="15" t="s">
        <v>727</v>
      </c>
      <c r="E9250" s="15" t="s">
        <v>9486</v>
      </c>
    </row>
    <row r="9251" ht="15.95" spans="2:2">
      <c r="B9251" s="122" t="s">
        <v>11518</v>
      </c>
    </row>
    <row r="9252" spans="2:5">
      <c r="B9252" s="15" t="s">
        <v>11519</v>
      </c>
      <c r="C9252" s="15" t="s">
        <v>11520</v>
      </c>
      <c r="D9252" s="15" t="s">
        <v>770</v>
      </c>
      <c r="E9252" s="15" t="s">
        <v>11521</v>
      </c>
    </row>
    <row r="9253" spans="2:5">
      <c r="B9253" s="15" t="s">
        <v>11519</v>
      </c>
      <c r="C9253" s="15" t="s">
        <v>11520</v>
      </c>
      <c r="D9253" s="15" t="s">
        <v>772</v>
      </c>
      <c r="E9253" s="15" t="s">
        <v>11522</v>
      </c>
    </row>
    <row r="9254" spans="2:5">
      <c r="B9254" s="15" t="s">
        <v>11519</v>
      </c>
      <c r="C9254" s="15" t="s">
        <v>11520</v>
      </c>
      <c r="D9254" s="15" t="s">
        <v>774</v>
      </c>
      <c r="E9254" s="15" t="s">
        <v>11523</v>
      </c>
    </row>
    <row r="9255" ht="15.95" spans="2:2">
      <c r="B9255" s="122" t="s">
        <v>11524</v>
      </c>
    </row>
    <row r="9256" spans="2:5">
      <c r="B9256" s="15" t="s">
        <v>11525</v>
      </c>
      <c r="C9256" s="15" t="s">
        <v>11525</v>
      </c>
      <c r="D9256" s="15" t="s">
        <v>770</v>
      </c>
      <c r="E9256" s="15" t="s">
        <v>5418</v>
      </c>
    </row>
    <row r="9257" spans="2:5">
      <c r="B9257" s="15" t="s">
        <v>11525</v>
      </c>
      <c r="C9257" s="15" t="s">
        <v>11525</v>
      </c>
      <c r="D9257" s="15" t="s">
        <v>772</v>
      </c>
      <c r="E9257" s="15" t="s">
        <v>5419</v>
      </c>
    </row>
    <row r="9258" spans="2:5">
      <c r="B9258" s="15" t="s">
        <v>11525</v>
      </c>
      <c r="C9258" s="15" t="s">
        <v>11525</v>
      </c>
      <c r="D9258" s="15" t="s">
        <v>774</v>
      </c>
      <c r="E9258" s="15" t="s">
        <v>5420</v>
      </c>
    </row>
    <row r="9259" spans="2:5">
      <c r="B9259" s="15" t="s">
        <v>11525</v>
      </c>
      <c r="C9259" s="15" t="s">
        <v>11525</v>
      </c>
      <c r="D9259" s="15" t="s">
        <v>828</v>
      </c>
      <c r="E9259" s="15" t="s">
        <v>5421</v>
      </c>
    </row>
    <row r="9260" spans="2:5">
      <c r="B9260" s="15" t="s">
        <v>11525</v>
      </c>
      <c r="C9260" s="15" t="s">
        <v>11525</v>
      </c>
      <c r="D9260" s="15" t="s">
        <v>901</v>
      </c>
      <c r="E9260" s="15" t="s">
        <v>5422</v>
      </c>
    </row>
    <row r="9261" spans="2:5">
      <c r="B9261" s="15" t="s">
        <v>11525</v>
      </c>
      <c r="C9261" s="15" t="s">
        <v>11525</v>
      </c>
      <c r="D9261" s="15" t="s">
        <v>776</v>
      </c>
      <c r="E9261" s="15" t="s">
        <v>5423</v>
      </c>
    </row>
    <row r="9262" ht="15.95" spans="2:2">
      <c r="B9262" s="122" t="s">
        <v>11526</v>
      </c>
    </row>
    <row r="9263" spans="2:5">
      <c r="B9263" s="15" t="s">
        <v>11527</v>
      </c>
      <c r="C9263" s="15" t="s">
        <v>11527</v>
      </c>
      <c r="D9263" s="15" t="s">
        <v>770</v>
      </c>
      <c r="E9263" s="15" t="s">
        <v>7642</v>
      </c>
    </row>
    <row r="9264" spans="2:5">
      <c r="B9264" s="15" t="s">
        <v>11527</v>
      </c>
      <c r="C9264" s="15" t="s">
        <v>11527</v>
      </c>
      <c r="D9264" s="15" t="s">
        <v>772</v>
      </c>
      <c r="E9264" s="15" t="s">
        <v>7643</v>
      </c>
    </row>
    <row r="9265" spans="2:5">
      <c r="B9265" s="15" t="s">
        <v>11527</v>
      </c>
      <c r="C9265" s="15" t="s">
        <v>11527</v>
      </c>
      <c r="D9265" s="15" t="s">
        <v>774</v>
      </c>
      <c r="E9265" s="15" t="s">
        <v>7644</v>
      </c>
    </row>
    <row r="9266" spans="2:5">
      <c r="B9266" s="15" t="s">
        <v>11527</v>
      </c>
      <c r="C9266" s="15" t="s">
        <v>11527</v>
      </c>
      <c r="D9266" s="15" t="s">
        <v>828</v>
      </c>
      <c r="E9266" s="15" t="s">
        <v>7645</v>
      </c>
    </row>
    <row r="9267" ht="15.95" spans="2:2">
      <c r="B9267" s="122" t="s">
        <v>11528</v>
      </c>
    </row>
    <row r="9268" spans="2:5">
      <c r="B9268" s="15" t="s">
        <v>11529</v>
      </c>
      <c r="C9268" s="15" t="s">
        <v>896</v>
      </c>
      <c r="D9268" s="15" t="s">
        <v>770</v>
      </c>
      <c r="E9268" s="15" t="s">
        <v>6754</v>
      </c>
    </row>
    <row r="9269" spans="2:5">
      <c r="B9269" s="15" t="s">
        <v>11529</v>
      </c>
      <c r="C9269" s="15" t="s">
        <v>896</v>
      </c>
      <c r="D9269" s="15" t="s">
        <v>772</v>
      </c>
      <c r="E9269" s="15" t="s">
        <v>6755</v>
      </c>
    </row>
    <row r="9270" spans="2:5">
      <c r="B9270" s="15" t="s">
        <v>11529</v>
      </c>
      <c r="C9270" s="15" t="s">
        <v>896</v>
      </c>
      <c r="D9270" s="15" t="s">
        <v>774</v>
      </c>
      <c r="E9270" s="15" t="s">
        <v>6756</v>
      </c>
    </row>
    <row r="9271" ht="15.95" spans="2:2">
      <c r="B9271" s="122" t="s">
        <v>11530</v>
      </c>
    </row>
    <row r="9272" spans="2:5">
      <c r="B9272" s="15" t="s">
        <v>11531</v>
      </c>
      <c r="C9272" s="15" t="s">
        <v>11532</v>
      </c>
      <c r="D9272" s="15" t="s">
        <v>770</v>
      </c>
      <c r="E9272" s="15" t="s">
        <v>2557</v>
      </c>
    </row>
    <row r="9273" spans="2:5">
      <c r="B9273" s="15" t="s">
        <v>11531</v>
      </c>
      <c r="C9273" s="15" t="s">
        <v>11532</v>
      </c>
      <c r="D9273" s="15" t="s">
        <v>772</v>
      </c>
      <c r="E9273" s="15" t="s">
        <v>2556</v>
      </c>
    </row>
    <row r="9274" spans="2:5">
      <c r="B9274" s="15" t="s">
        <v>11531</v>
      </c>
      <c r="C9274" s="15" t="s">
        <v>11532</v>
      </c>
      <c r="D9274" s="15" t="s">
        <v>774</v>
      </c>
      <c r="E9274" s="15" t="s">
        <v>2487</v>
      </c>
    </row>
    <row r="9275" spans="2:5">
      <c r="B9275" s="15" t="s">
        <v>11531</v>
      </c>
      <c r="C9275" s="15" t="s">
        <v>11532</v>
      </c>
      <c r="D9275" s="15" t="s">
        <v>828</v>
      </c>
      <c r="E9275" s="15" t="s">
        <v>3080</v>
      </c>
    </row>
    <row r="9276" spans="2:5">
      <c r="B9276" s="15" t="s">
        <v>11531</v>
      </c>
      <c r="C9276" s="15" t="s">
        <v>11532</v>
      </c>
      <c r="D9276" s="15" t="s">
        <v>901</v>
      </c>
      <c r="E9276" s="15" t="s">
        <v>11533</v>
      </c>
    </row>
    <row r="9277" spans="2:5">
      <c r="B9277" s="15" t="s">
        <v>11531</v>
      </c>
      <c r="C9277" s="15" t="s">
        <v>11532</v>
      </c>
      <c r="D9277" s="15" t="s">
        <v>776</v>
      </c>
      <c r="E9277" s="15" t="s">
        <v>4505</v>
      </c>
    </row>
    <row r="9278" spans="2:5">
      <c r="B9278" s="15" t="s">
        <v>11531</v>
      </c>
      <c r="C9278" s="15" t="s">
        <v>11532</v>
      </c>
      <c r="D9278" s="15" t="s">
        <v>1290</v>
      </c>
      <c r="E9278" s="15" t="s">
        <v>948</v>
      </c>
    </row>
    <row r="9279" ht="15.95" spans="2:2">
      <c r="B9279" s="122" t="s">
        <v>11534</v>
      </c>
    </row>
    <row r="9280" spans="2:5">
      <c r="B9280" s="15" t="s">
        <v>11535</v>
      </c>
      <c r="C9280" s="15" t="s">
        <v>11536</v>
      </c>
      <c r="D9280" s="15" t="s">
        <v>637</v>
      </c>
      <c r="E9280" s="15" t="s">
        <v>11537</v>
      </c>
    </row>
    <row r="9281" spans="2:5">
      <c r="B9281" s="15" t="s">
        <v>11535</v>
      </c>
      <c r="C9281" s="15" t="s">
        <v>11536</v>
      </c>
      <c r="D9281" s="15" t="s">
        <v>641</v>
      </c>
      <c r="E9281" s="15" t="s">
        <v>11538</v>
      </c>
    </row>
    <row r="9282" spans="2:5">
      <c r="B9282" s="15" t="s">
        <v>11535</v>
      </c>
      <c r="C9282" s="15" t="s">
        <v>11536</v>
      </c>
      <c r="D9282" s="15" t="s">
        <v>661</v>
      </c>
      <c r="E9282" s="15" t="s">
        <v>11539</v>
      </c>
    </row>
    <row r="9283" spans="2:5">
      <c r="B9283" s="15" t="s">
        <v>11535</v>
      </c>
      <c r="C9283" s="15" t="s">
        <v>11536</v>
      </c>
      <c r="D9283" s="15" t="s">
        <v>663</v>
      </c>
      <c r="E9283" s="15" t="s">
        <v>11540</v>
      </c>
    </row>
    <row r="9284" spans="2:5">
      <c r="B9284" s="15" t="s">
        <v>11535</v>
      </c>
      <c r="C9284" s="15" t="s">
        <v>11536</v>
      </c>
      <c r="D9284" s="15" t="s">
        <v>665</v>
      </c>
      <c r="E9284" s="15" t="s">
        <v>11541</v>
      </c>
    </row>
    <row r="9285" spans="2:5">
      <c r="B9285" s="15" t="s">
        <v>11535</v>
      </c>
      <c r="C9285" s="15" t="s">
        <v>11536</v>
      </c>
      <c r="D9285" s="15" t="s">
        <v>673</v>
      </c>
      <c r="E9285" s="15" t="s">
        <v>11542</v>
      </c>
    </row>
    <row r="9286" spans="2:5">
      <c r="B9286" s="15" t="s">
        <v>11535</v>
      </c>
      <c r="C9286" s="15" t="s">
        <v>11536</v>
      </c>
      <c r="D9286" s="15" t="s">
        <v>2252</v>
      </c>
      <c r="E9286" s="15" t="s">
        <v>11543</v>
      </c>
    </row>
    <row r="9287" spans="2:5">
      <c r="B9287" s="15" t="s">
        <v>11535</v>
      </c>
      <c r="C9287" s="15" t="s">
        <v>11536</v>
      </c>
      <c r="D9287" s="15" t="s">
        <v>2254</v>
      </c>
      <c r="E9287" s="15" t="s">
        <v>11544</v>
      </c>
    </row>
    <row r="9288" spans="2:5">
      <c r="B9288" s="15" t="s">
        <v>11535</v>
      </c>
      <c r="C9288" s="15" t="s">
        <v>11536</v>
      </c>
      <c r="D9288" s="15" t="s">
        <v>681</v>
      </c>
      <c r="E9288" s="15" t="s">
        <v>11545</v>
      </c>
    </row>
    <row r="9289" spans="2:5">
      <c r="B9289" s="15" t="s">
        <v>11535</v>
      </c>
      <c r="C9289" s="15" t="s">
        <v>11536</v>
      </c>
      <c r="D9289" s="15" t="s">
        <v>683</v>
      </c>
      <c r="E9289" s="15" t="s">
        <v>11546</v>
      </c>
    </row>
    <row r="9290" spans="2:5">
      <c r="B9290" s="15" t="s">
        <v>11535</v>
      </c>
      <c r="C9290" s="15" t="s">
        <v>11536</v>
      </c>
      <c r="D9290" s="15" t="s">
        <v>707</v>
      </c>
      <c r="E9290" s="15" t="s">
        <v>11547</v>
      </c>
    </row>
    <row r="9291" spans="2:5">
      <c r="B9291" s="15" t="s">
        <v>11535</v>
      </c>
      <c r="C9291" s="15" t="s">
        <v>11536</v>
      </c>
      <c r="D9291" s="15" t="s">
        <v>2020</v>
      </c>
      <c r="E9291" s="15" t="s">
        <v>11548</v>
      </c>
    </row>
    <row r="9292" spans="2:5">
      <c r="B9292" s="15" t="s">
        <v>11535</v>
      </c>
      <c r="C9292" s="15" t="s">
        <v>11536</v>
      </c>
      <c r="D9292" s="15" t="s">
        <v>711</v>
      </c>
      <c r="E9292" s="15" t="s">
        <v>11549</v>
      </c>
    </row>
    <row r="9293" spans="2:5">
      <c r="B9293" s="15" t="s">
        <v>11535</v>
      </c>
      <c r="C9293" s="15" t="s">
        <v>11536</v>
      </c>
      <c r="D9293" s="15" t="s">
        <v>2042</v>
      </c>
      <c r="E9293" s="15" t="s">
        <v>11550</v>
      </c>
    </row>
    <row r="9294" spans="2:5">
      <c r="B9294" s="15" t="s">
        <v>11535</v>
      </c>
      <c r="C9294" s="15" t="s">
        <v>11536</v>
      </c>
      <c r="D9294" s="15" t="s">
        <v>3385</v>
      </c>
      <c r="E9294" s="15" t="s">
        <v>11551</v>
      </c>
    </row>
    <row r="9295" spans="2:5">
      <c r="B9295" s="15" t="s">
        <v>11535</v>
      </c>
      <c r="C9295" s="15" t="s">
        <v>11536</v>
      </c>
      <c r="D9295" s="15" t="s">
        <v>3386</v>
      </c>
      <c r="E9295" s="15" t="s">
        <v>11552</v>
      </c>
    </row>
    <row r="9296" spans="2:5">
      <c r="B9296" s="15" t="s">
        <v>11535</v>
      </c>
      <c r="C9296" s="15" t="s">
        <v>11536</v>
      </c>
      <c r="D9296" s="15" t="s">
        <v>3387</v>
      </c>
      <c r="E9296" s="15" t="s">
        <v>11553</v>
      </c>
    </row>
    <row r="9297" spans="2:5">
      <c r="B9297" s="15" t="s">
        <v>11535</v>
      </c>
      <c r="C9297" s="15" t="s">
        <v>11536</v>
      </c>
      <c r="D9297" s="15" t="s">
        <v>3388</v>
      </c>
      <c r="E9297" s="15" t="s">
        <v>11554</v>
      </c>
    </row>
    <row r="9298" spans="2:5">
      <c r="B9298" s="15" t="s">
        <v>11535</v>
      </c>
      <c r="C9298" s="15" t="s">
        <v>11536</v>
      </c>
      <c r="D9298" s="15" t="s">
        <v>3389</v>
      </c>
      <c r="E9298" s="15" t="s">
        <v>11555</v>
      </c>
    </row>
    <row r="9299" spans="2:5">
      <c r="B9299" s="15" t="s">
        <v>11535</v>
      </c>
      <c r="C9299" s="15" t="s">
        <v>11536</v>
      </c>
      <c r="D9299" s="15" t="s">
        <v>3390</v>
      </c>
      <c r="E9299" s="15" t="s">
        <v>11556</v>
      </c>
    </row>
    <row r="9300" spans="2:5">
      <c r="B9300" s="15" t="s">
        <v>11535</v>
      </c>
      <c r="C9300" s="15" t="s">
        <v>11536</v>
      </c>
      <c r="D9300" s="15" t="s">
        <v>3391</v>
      </c>
      <c r="E9300" s="15" t="s">
        <v>11557</v>
      </c>
    </row>
    <row r="9301" spans="2:5">
      <c r="B9301" s="15" t="s">
        <v>11535</v>
      </c>
      <c r="C9301" s="15" t="s">
        <v>11536</v>
      </c>
      <c r="D9301" s="15" t="s">
        <v>11558</v>
      </c>
      <c r="E9301" s="15" t="s">
        <v>11559</v>
      </c>
    </row>
    <row r="9302" spans="2:5">
      <c r="B9302" s="15" t="s">
        <v>11535</v>
      </c>
      <c r="C9302" s="15" t="s">
        <v>11536</v>
      </c>
      <c r="D9302" s="15" t="s">
        <v>11560</v>
      </c>
      <c r="E9302" s="15" t="s">
        <v>11561</v>
      </c>
    </row>
    <row r="9303" spans="2:5">
      <c r="B9303" s="15" t="s">
        <v>11535</v>
      </c>
      <c r="C9303" s="15" t="s">
        <v>11536</v>
      </c>
      <c r="D9303" s="15" t="s">
        <v>11562</v>
      </c>
      <c r="E9303" s="15" t="s">
        <v>11563</v>
      </c>
    </row>
    <row r="9304" spans="2:5">
      <c r="B9304" s="15" t="s">
        <v>11535</v>
      </c>
      <c r="C9304" s="15" t="s">
        <v>11536</v>
      </c>
      <c r="D9304" s="15" t="s">
        <v>11564</v>
      </c>
      <c r="E9304" s="15" t="s">
        <v>11565</v>
      </c>
    </row>
    <row r="9305" spans="2:5">
      <c r="B9305" s="15" t="s">
        <v>11535</v>
      </c>
      <c r="C9305" s="15" t="s">
        <v>11536</v>
      </c>
      <c r="D9305" s="15" t="s">
        <v>11566</v>
      </c>
      <c r="E9305" s="15" t="s">
        <v>11567</v>
      </c>
    </row>
    <row r="9306" spans="2:5">
      <c r="B9306" s="15" t="s">
        <v>11535</v>
      </c>
      <c r="C9306" s="15" t="s">
        <v>11536</v>
      </c>
      <c r="D9306" s="15" t="s">
        <v>11568</v>
      </c>
      <c r="E9306" s="15" t="s">
        <v>11569</v>
      </c>
    </row>
    <row r="9307" spans="2:5">
      <c r="B9307" s="15" t="s">
        <v>11535</v>
      </c>
      <c r="C9307" s="15" t="s">
        <v>11536</v>
      </c>
      <c r="D9307" s="15" t="s">
        <v>11570</v>
      </c>
      <c r="E9307" s="15" t="s">
        <v>11571</v>
      </c>
    </row>
    <row r="9308" spans="2:5">
      <c r="B9308" s="15" t="s">
        <v>11535</v>
      </c>
      <c r="C9308" s="15" t="s">
        <v>11536</v>
      </c>
      <c r="D9308" s="15" t="s">
        <v>11572</v>
      </c>
      <c r="E9308" s="15" t="s">
        <v>11573</v>
      </c>
    </row>
    <row r="9309" spans="2:5">
      <c r="B9309" s="15" t="s">
        <v>11535</v>
      </c>
      <c r="C9309" s="15" t="s">
        <v>11536</v>
      </c>
      <c r="D9309" s="15" t="s">
        <v>11574</v>
      </c>
      <c r="E9309" s="15" t="s">
        <v>11575</v>
      </c>
    </row>
    <row r="9310" spans="2:5">
      <c r="B9310" s="15" t="s">
        <v>11535</v>
      </c>
      <c r="C9310" s="15" t="s">
        <v>11536</v>
      </c>
      <c r="D9310" s="15" t="s">
        <v>11576</v>
      </c>
      <c r="E9310" s="15" t="s">
        <v>11577</v>
      </c>
    </row>
    <row r="9311" spans="2:5">
      <c r="B9311" s="15" t="s">
        <v>11535</v>
      </c>
      <c r="C9311" s="15" t="s">
        <v>11536</v>
      </c>
      <c r="D9311" s="15" t="s">
        <v>11578</v>
      </c>
      <c r="E9311" s="15" t="s">
        <v>11579</v>
      </c>
    </row>
    <row r="9312" spans="2:5">
      <c r="B9312" s="15" t="s">
        <v>11535</v>
      </c>
      <c r="C9312" s="15" t="s">
        <v>11536</v>
      </c>
      <c r="D9312" s="15" t="s">
        <v>11580</v>
      </c>
      <c r="E9312" s="15" t="s">
        <v>11581</v>
      </c>
    </row>
    <row r="9313" spans="2:5">
      <c r="B9313" s="15" t="s">
        <v>11535</v>
      </c>
      <c r="C9313" s="15" t="s">
        <v>11536</v>
      </c>
      <c r="D9313" s="15" t="s">
        <v>11582</v>
      </c>
      <c r="E9313" s="15" t="s">
        <v>11583</v>
      </c>
    </row>
    <row r="9314" spans="2:5">
      <c r="B9314" s="15" t="s">
        <v>11535</v>
      </c>
      <c r="C9314" s="15" t="s">
        <v>11536</v>
      </c>
      <c r="D9314" s="15" t="s">
        <v>11584</v>
      </c>
      <c r="E9314" s="15" t="s">
        <v>11585</v>
      </c>
    </row>
    <row r="9315" spans="2:5">
      <c r="B9315" s="15" t="s">
        <v>11535</v>
      </c>
      <c r="C9315" s="15" t="s">
        <v>11536</v>
      </c>
      <c r="D9315" s="15" t="s">
        <v>11586</v>
      </c>
      <c r="E9315" s="15" t="s">
        <v>11587</v>
      </c>
    </row>
    <row r="9316" spans="2:5">
      <c r="B9316" s="15" t="s">
        <v>11535</v>
      </c>
      <c r="C9316" s="15" t="s">
        <v>11536</v>
      </c>
      <c r="D9316" s="15" t="s">
        <v>11588</v>
      </c>
      <c r="E9316" s="15" t="s">
        <v>11589</v>
      </c>
    </row>
    <row r="9317" spans="2:5">
      <c r="B9317" s="15" t="s">
        <v>11535</v>
      </c>
      <c r="C9317" s="15" t="s">
        <v>11536</v>
      </c>
      <c r="D9317" s="15" t="s">
        <v>11590</v>
      </c>
      <c r="E9317" s="15" t="s">
        <v>11591</v>
      </c>
    </row>
    <row r="9318" spans="2:5">
      <c r="B9318" s="15" t="s">
        <v>11535</v>
      </c>
      <c r="C9318" s="15" t="s">
        <v>11536</v>
      </c>
      <c r="D9318" s="15" t="s">
        <v>11592</v>
      </c>
      <c r="E9318" s="15" t="s">
        <v>11593</v>
      </c>
    </row>
    <row r="9319" spans="2:5">
      <c r="B9319" s="15" t="s">
        <v>11535</v>
      </c>
      <c r="C9319" s="15" t="s">
        <v>11536</v>
      </c>
      <c r="D9319" s="15" t="s">
        <v>11594</v>
      </c>
      <c r="E9319" s="15" t="s">
        <v>11595</v>
      </c>
    </row>
    <row r="9320" spans="2:5">
      <c r="B9320" s="15" t="s">
        <v>11535</v>
      </c>
      <c r="C9320" s="15" t="s">
        <v>11536</v>
      </c>
      <c r="D9320" s="15" t="s">
        <v>11596</v>
      </c>
      <c r="E9320" s="15" t="s">
        <v>11597</v>
      </c>
    </row>
    <row r="9321" spans="2:5">
      <c r="B9321" s="15" t="s">
        <v>11535</v>
      </c>
      <c r="C9321" s="15" t="s">
        <v>11536</v>
      </c>
      <c r="D9321" s="15" t="s">
        <v>11598</v>
      </c>
      <c r="E9321" s="15" t="s">
        <v>11599</v>
      </c>
    </row>
    <row r="9322" spans="2:5">
      <c r="B9322" s="15" t="s">
        <v>11535</v>
      </c>
      <c r="C9322" s="15" t="s">
        <v>11536</v>
      </c>
      <c r="D9322" s="15" t="s">
        <v>11600</v>
      </c>
      <c r="E9322" s="15" t="s">
        <v>11601</v>
      </c>
    </row>
    <row r="9323" spans="2:5">
      <c r="B9323" s="15" t="s">
        <v>11535</v>
      </c>
      <c r="C9323" s="15" t="s">
        <v>11536</v>
      </c>
      <c r="D9323" s="15" t="s">
        <v>11602</v>
      </c>
      <c r="E9323" s="15" t="s">
        <v>11603</v>
      </c>
    </row>
    <row r="9324" spans="2:5">
      <c r="B9324" s="15" t="s">
        <v>11535</v>
      </c>
      <c r="C9324" s="15" t="s">
        <v>11536</v>
      </c>
      <c r="D9324" s="15" t="s">
        <v>11604</v>
      </c>
      <c r="E9324" s="15" t="s">
        <v>11605</v>
      </c>
    </row>
    <row r="9325" spans="2:5">
      <c r="B9325" s="15" t="s">
        <v>11535</v>
      </c>
      <c r="C9325" s="15" t="s">
        <v>11536</v>
      </c>
      <c r="D9325" s="15" t="s">
        <v>11606</v>
      </c>
      <c r="E9325" s="15" t="s">
        <v>11607</v>
      </c>
    </row>
    <row r="9326" spans="2:5">
      <c r="B9326" s="15" t="s">
        <v>11535</v>
      </c>
      <c r="C9326" s="15" t="s">
        <v>11536</v>
      </c>
      <c r="D9326" s="15" t="s">
        <v>11608</v>
      </c>
      <c r="E9326" s="15" t="s">
        <v>11609</v>
      </c>
    </row>
    <row r="9327" spans="2:5">
      <c r="B9327" s="15" t="s">
        <v>11535</v>
      </c>
      <c r="C9327" s="15" t="s">
        <v>11536</v>
      </c>
      <c r="D9327" s="15" t="s">
        <v>11610</v>
      </c>
      <c r="E9327" s="15" t="s">
        <v>11611</v>
      </c>
    </row>
    <row r="9328" spans="2:5">
      <c r="B9328" s="15" t="s">
        <v>11535</v>
      </c>
      <c r="C9328" s="15" t="s">
        <v>11536</v>
      </c>
      <c r="D9328" s="15" t="s">
        <v>11612</v>
      </c>
      <c r="E9328" s="15" t="s">
        <v>11613</v>
      </c>
    </row>
    <row r="9329" spans="2:5">
      <c r="B9329" s="15" t="s">
        <v>11535</v>
      </c>
      <c r="C9329" s="15" t="s">
        <v>11536</v>
      </c>
      <c r="D9329" s="15" t="s">
        <v>11614</v>
      </c>
      <c r="E9329" s="15" t="s">
        <v>11615</v>
      </c>
    </row>
    <row r="9330" spans="2:5">
      <c r="B9330" s="15" t="s">
        <v>11535</v>
      </c>
      <c r="C9330" s="15" t="s">
        <v>11536</v>
      </c>
      <c r="D9330" s="15" t="s">
        <v>11616</v>
      </c>
      <c r="E9330" s="15" t="s">
        <v>11617</v>
      </c>
    </row>
    <row r="9331" spans="2:5">
      <c r="B9331" s="15" t="s">
        <v>11535</v>
      </c>
      <c r="C9331" s="15" t="s">
        <v>11536</v>
      </c>
      <c r="D9331" s="15" t="s">
        <v>11618</v>
      </c>
      <c r="E9331" s="15" t="s">
        <v>11619</v>
      </c>
    </row>
    <row r="9332" spans="2:5">
      <c r="B9332" s="15" t="s">
        <v>11535</v>
      </c>
      <c r="C9332" s="15" t="s">
        <v>11536</v>
      </c>
      <c r="D9332" s="15" t="s">
        <v>11620</v>
      </c>
      <c r="E9332" s="15" t="s">
        <v>11621</v>
      </c>
    </row>
    <row r="9333" spans="2:5">
      <c r="B9333" s="15" t="s">
        <v>11535</v>
      </c>
      <c r="C9333" s="15" t="s">
        <v>11536</v>
      </c>
      <c r="D9333" s="15" t="s">
        <v>11622</v>
      </c>
      <c r="E9333" s="15" t="s">
        <v>11623</v>
      </c>
    </row>
    <row r="9334" spans="2:5">
      <c r="B9334" s="15" t="s">
        <v>11535</v>
      </c>
      <c r="C9334" s="15" t="s">
        <v>11536</v>
      </c>
      <c r="D9334" s="15" t="s">
        <v>11624</v>
      </c>
      <c r="E9334" s="15" t="s">
        <v>11625</v>
      </c>
    </row>
    <row r="9335" spans="2:5">
      <c r="B9335" s="15" t="s">
        <v>11535</v>
      </c>
      <c r="C9335" s="15" t="s">
        <v>11536</v>
      </c>
      <c r="D9335" s="15" t="s">
        <v>11626</v>
      </c>
      <c r="E9335" s="15" t="s">
        <v>11627</v>
      </c>
    </row>
    <row r="9336" spans="2:5">
      <c r="B9336" s="15" t="s">
        <v>11535</v>
      </c>
      <c r="C9336" s="15" t="s">
        <v>11536</v>
      </c>
      <c r="D9336" s="15" t="s">
        <v>11628</v>
      </c>
      <c r="E9336" s="15" t="s">
        <v>11629</v>
      </c>
    </row>
    <row r="9337" spans="2:5">
      <c r="B9337" s="15" t="s">
        <v>11535</v>
      </c>
      <c r="C9337" s="15" t="s">
        <v>11536</v>
      </c>
      <c r="D9337" s="15" t="s">
        <v>11630</v>
      </c>
      <c r="E9337" s="15" t="s">
        <v>11631</v>
      </c>
    </row>
    <row r="9338" spans="2:5">
      <c r="B9338" s="15" t="s">
        <v>11535</v>
      </c>
      <c r="C9338" s="15" t="s">
        <v>11536</v>
      </c>
      <c r="D9338" s="15" t="s">
        <v>11632</v>
      </c>
      <c r="E9338" s="15" t="s">
        <v>11633</v>
      </c>
    </row>
    <row r="9339" spans="2:5">
      <c r="B9339" s="15" t="s">
        <v>11535</v>
      </c>
      <c r="C9339" s="15" t="s">
        <v>11536</v>
      </c>
      <c r="D9339" s="15" t="s">
        <v>11634</v>
      </c>
      <c r="E9339" s="15" t="s">
        <v>11635</v>
      </c>
    </row>
    <row r="9340" spans="2:5">
      <c r="B9340" s="15" t="s">
        <v>11535</v>
      </c>
      <c r="C9340" s="15" t="s">
        <v>11536</v>
      </c>
      <c r="D9340" s="15" t="s">
        <v>11636</v>
      </c>
      <c r="E9340" s="15" t="s">
        <v>11637</v>
      </c>
    </row>
    <row r="9341" spans="2:5">
      <c r="B9341" s="15" t="s">
        <v>11535</v>
      </c>
      <c r="C9341" s="15" t="s">
        <v>11536</v>
      </c>
      <c r="D9341" s="15" t="s">
        <v>11638</v>
      </c>
      <c r="E9341" s="15" t="s">
        <v>11639</v>
      </c>
    </row>
    <row r="9342" spans="2:5">
      <c r="B9342" s="15" t="s">
        <v>11535</v>
      </c>
      <c r="C9342" s="15" t="s">
        <v>11536</v>
      </c>
      <c r="D9342" s="15" t="s">
        <v>11640</v>
      </c>
      <c r="E9342" s="15" t="s">
        <v>11637</v>
      </c>
    </row>
    <row r="9343" spans="2:5">
      <c r="B9343" s="15" t="s">
        <v>11535</v>
      </c>
      <c r="C9343" s="15" t="s">
        <v>11536</v>
      </c>
      <c r="D9343" s="15" t="s">
        <v>11641</v>
      </c>
      <c r="E9343" s="15" t="s">
        <v>11639</v>
      </c>
    </row>
    <row r="9344" spans="2:5">
      <c r="B9344" s="15" t="s">
        <v>11535</v>
      </c>
      <c r="C9344" s="15" t="s">
        <v>11536</v>
      </c>
      <c r="D9344" s="15" t="s">
        <v>11642</v>
      </c>
      <c r="E9344" s="15" t="s">
        <v>11637</v>
      </c>
    </row>
    <row r="9345" spans="2:5">
      <c r="B9345" s="15" t="s">
        <v>11535</v>
      </c>
      <c r="C9345" s="15" t="s">
        <v>11536</v>
      </c>
      <c r="D9345" s="15" t="s">
        <v>11643</v>
      </c>
      <c r="E9345" s="15" t="s">
        <v>11639</v>
      </c>
    </row>
    <row r="9346" spans="2:5">
      <c r="B9346" s="15" t="s">
        <v>11535</v>
      </c>
      <c r="C9346" s="15" t="s">
        <v>11536</v>
      </c>
      <c r="D9346" s="15" t="s">
        <v>11644</v>
      </c>
      <c r="E9346" s="15" t="s">
        <v>11637</v>
      </c>
    </row>
    <row r="9347" spans="2:5">
      <c r="B9347" s="15" t="s">
        <v>11535</v>
      </c>
      <c r="C9347" s="15" t="s">
        <v>11536</v>
      </c>
      <c r="D9347" s="15" t="s">
        <v>11645</v>
      </c>
      <c r="E9347" s="15" t="s">
        <v>11639</v>
      </c>
    </row>
    <row r="9348" spans="2:5">
      <c r="B9348" s="15" t="s">
        <v>11535</v>
      </c>
      <c r="C9348" s="15" t="s">
        <v>11536</v>
      </c>
      <c r="D9348" s="15" t="s">
        <v>11646</v>
      </c>
      <c r="E9348" s="15" t="s">
        <v>6984</v>
      </c>
    </row>
    <row r="9349" spans="2:5">
      <c r="B9349" s="15" t="s">
        <v>11535</v>
      </c>
      <c r="C9349" s="15" t="s">
        <v>11536</v>
      </c>
      <c r="D9349" s="15" t="s">
        <v>11647</v>
      </c>
      <c r="E9349" s="15" t="s">
        <v>11648</v>
      </c>
    </row>
    <row r="9350" spans="2:5">
      <c r="B9350" s="15" t="s">
        <v>11535</v>
      </c>
      <c r="C9350" s="15" t="s">
        <v>11536</v>
      </c>
      <c r="D9350" s="15" t="s">
        <v>11649</v>
      </c>
      <c r="E9350" s="15" t="s">
        <v>11650</v>
      </c>
    </row>
    <row r="9351" spans="2:5">
      <c r="B9351" s="15" t="s">
        <v>11535</v>
      </c>
      <c r="C9351" s="15" t="s">
        <v>11536</v>
      </c>
      <c r="D9351" s="15" t="s">
        <v>11651</v>
      </c>
      <c r="E9351" s="15" t="s">
        <v>11652</v>
      </c>
    </row>
    <row r="9352" spans="2:5">
      <c r="B9352" s="15" t="s">
        <v>11535</v>
      </c>
      <c r="C9352" s="15" t="s">
        <v>11536</v>
      </c>
      <c r="D9352" s="15" t="s">
        <v>11653</v>
      </c>
      <c r="E9352" s="15" t="s">
        <v>6990</v>
      </c>
    </row>
    <row r="9353" spans="2:5">
      <c r="B9353" s="15" t="s">
        <v>11535</v>
      </c>
      <c r="C9353" s="15" t="s">
        <v>11536</v>
      </c>
      <c r="D9353" s="15" t="s">
        <v>11654</v>
      </c>
      <c r="E9353" s="15" t="s">
        <v>11655</v>
      </c>
    </row>
    <row r="9354" spans="2:5">
      <c r="B9354" s="15" t="s">
        <v>11535</v>
      </c>
      <c r="C9354" s="15" t="s">
        <v>11536</v>
      </c>
      <c r="D9354" s="15" t="s">
        <v>11656</v>
      </c>
      <c r="E9354" s="15" t="s">
        <v>11657</v>
      </c>
    </row>
    <row r="9355" spans="2:5">
      <c r="B9355" s="15" t="s">
        <v>11535</v>
      </c>
      <c r="C9355" s="15" t="s">
        <v>11536</v>
      </c>
      <c r="D9355" s="15" t="s">
        <v>11658</v>
      </c>
      <c r="E9355" s="15" t="s">
        <v>11659</v>
      </c>
    </row>
    <row r="9356" spans="2:5">
      <c r="B9356" s="15" t="s">
        <v>11535</v>
      </c>
      <c r="C9356" s="15" t="s">
        <v>11536</v>
      </c>
      <c r="D9356" s="15" t="s">
        <v>11660</v>
      </c>
      <c r="E9356" s="15" t="s">
        <v>6988</v>
      </c>
    </row>
    <row r="9357" spans="2:5">
      <c r="B9357" s="15" t="s">
        <v>11535</v>
      </c>
      <c r="C9357" s="15" t="s">
        <v>11536</v>
      </c>
      <c r="D9357" s="15" t="s">
        <v>11661</v>
      </c>
      <c r="E9357" s="15" t="s">
        <v>11662</v>
      </c>
    </row>
    <row r="9358" spans="2:5">
      <c r="B9358" s="15" t="s">
        <v>11535</v>
      </c>
      <c r="C9358" s="15" t="s">
        <v>11536</v>
      </c>
      <c r="D9358" s="15" t="s">
        <v>11663</v>
      </c>
      <c r="E9358" s="15" t="s">
        <v>11664</v>
      </c>
    </row>
    <row r="9359" spans="2:5">
      <c r="B9359" s="15" t="s">
        <v>11535</v>
      </c>
      <c r="C9359" s="15" t="s">
        <v>11536</v>
      </c>
      <c r="D9359" s="15" t="s">
        <v>11665</v>
      </c>
      <c r="E9359" s="15" t="s">
        <v>11666</v>
      </c>
    </row>
    <row r="9360" spans="2:5">
      <c r="B9360" s="15" t="s">
        <v>11535</v>
      </c>
      <c r="C9360" s="15" t="s">
        <v>11536</v>
      </c>
      <c r="D9360" s="15" t="s">
        <v>11667</v>
      </c>
      <c r="E9360" s="15" t="s">
        <v>6986</v>
      </c>
    </row>
    <row r="9361" spans="2:5">
      <c r="B9361" s="15" t="s">
        <v>11535</v>
      </c>
      <c r="C9361" s="15" t="s">
        <v>11536</v>
      </c>
      <c r="D9361" s="15" t="s">
        <v>11668</v>
      </c>
      <c r="E9361" s="15" t="s">
        <v>11669</v>
      </c>
    </row>
    <row r="9362" spans="2:5">
      <c r="B9362" s="15" t="s">
        <v>11535</v>
      </c>
      <c r="C9362" s="15" t="s">
        <v>11536</v>
      </c>
      <c r="D9362" s="15" t="s">
        <v>11670</v>
      </c>
      <c r="E9362" s="15" t="s">
        <v>11671</v>
      </c>
    </row>
    <row r="9363" spans="2:5">
      <c r="B9363" s="15" t="s">
        <v>11535</v>
      </c>
      <c r="C9363" s="15" t="s">
        <v>11536</v>
      </c>
      <c r="D9363" s="15" t="s">
        <v>11672</v>
      </c>
      <c r="E9363" s="15" t="s">
        <v>11673</v>
      </c>
    </row>
    <row r="9364" spans="2:5">
      <c r="B9364" s="15" t="s">
        <v>11535</v>
      </c>
      <c r="C9364" s="15" t="s">
        <v>11536</v>
      </c>
      <c r="D9364" s="15" t="s">
        <v>11674</v>
      </c>
      <c r="E9364" s="15" t="s">
        <v>7081</v>
      </c>
    </row>
    <row r="9365" spans="2:5">
      <c r="B9365" s="15" t="s">
        <v>11535</v>
      </c>
      <c r="C9365" s="15" t="s">
        <v>11536</v>
      </c>
      <c r="D9365" s="15" t="s">
        <v>11675</v>
      </c>
      <c r="E9365" s="15" t="s">
        <v>11676</v>
      </c>
    </row>
    <row r="9366" spans="2:5">
      <c r="B9366" s="15" t="s">
        <v>11535</v>
      </c>
      <c r="C9366" s="15" t="s">
        <v>11536</v>
      </c>
      <c r="D9366" s="15" t="s">
        <v>11677</v>
      </c>
      <c r="E9366" s="15" t="s">
        <v>7006</v>
      </c>
    </row>
    <row r="9367" spans="2:5">
      <c r="B9367" s="15" t="s">
        <v>11535</v>
      </c>
      <c r="C9367" s="15" t="s">
        <v>11536</v>
      </c>
      <c r="D9367" s="15" t="s">
        <v>11678</v>
      </c>
      <c r="E9367" s="15" t="s">
        <v>11679</v>
      </c>
    </row>
    <row r="9368" spans="2:5">
      <c r="B9368" s="15" t="s">
        <v>11535</v>
      </c>
      <c r="C9368" s="15" t="s">
        <v>11536</v>
      </c>
      <c r="D9368" s="15" t="s">
        <v>11680</v>
      </c>
      <c r="E9368" s="15" t="s">
        <v>7089</v>
      </c>
    </row>
    <row r="9369" spans="2:5">
      <c r="B9369" s="15" t="s">
        <v>11535</v>
      </c>
      <c r="C9369" s="15" t="s">
        <v>11536</v>
      </c>
      <c r="D9369" s="15" t="s">
        <v>11681</v>
      </c>
      <c r="E9369" s="15" t="s">
        <v>11682</v>
      </c>
    </row>
    <row r="9370" spans="2:5">
      <c r="B9370" s="15" t="s">
        <v>11535</v>
      </c>
      <c r="C9370" s="15" t="s">
        <v>11536</v>
      </c>
      <c r="D9370" s="15" t="s">
        <v>11683</v>
      </c>
      <c r="E9370" s="15" t="s">
        <v>7012</v>
      </c>
    </row>
    <row r="9371" spans="2:5">
      <c r="B9371" s="15" t="s">
        <v>11535</v>
      </c>
      <c r="C9371" s="15" t="s">
        <v>11536</v>
      </c>
      <c r="D9371" s="15" t="s">
        <v>11684</v>
      </c>
      <c r="E9371" s="15" t="s">
        <v>11685</v>
      </c>
    </row>
    <row r="9372" spans="2:5">
      <c r="B9372" s="15" t="s">
        <v>11535</v>
      </c>
      <c r="C9372" s="15" t="s">
        <v>11536</v>
      </c>
      <c r="D9372" s="15" t="s">
        <v>11686</v>
      </c>
      <c r="E9372" s="15" t="s">
        <v>7087</v>
      </c>
    </row>
    <row r="9373" spans="2:5">
      <c r="B9373" s="15" t="s">
        <v>11535</v>
      </c>
      <c r="C9373" s="15" t="s">
        <v>11536</v>
      </c>
      <c r="D9373" s="15" t="s">
        <v>11687</v>
      </c>
      <c r="E9373" s="15" t="s">
        <v>11688</v>
      </c>
    </row>
    <row r="9374" spans="2:5">
      <c r="B9374" s="15" t="s">
        <v>11535</v>
      </c>
      <c r="C9374" s="15" t="s">
        <v>11536</v>
      </c>
      <c r="D9374" s="15" t="s">
        <v>11689</v>
      </c>
      <c r="E9374" s="15" t="s">
        <v>7010</v>
      </c>
    </row>
    <row r="9375" spans="2:5">
      <c r="B9375" s="15" t="s">
        <v>11535</v>
      </c>
      <c r="C9375" s="15" t="s">
        <v>11536</v>
      </c>
      <c r="D9375" s="15" t="s">
        <v>11690</v>
      </c>
      <c r="E9375" s="15" t="s">
        <v>11691</v>
      </c>
    </row>
    <row r="9376" spans="2:5">
      <c r="B9376" s="15" t="s">
        <v>11535</v>
      </c>
      <c r="C9376" s="15" t="s">
        <v>11536</v>
      </c>
      <c r="D9376" s="15" t="s">
        <v>11692</v>
      </c>
      <c r="E9376" s="15" t="s">
        <v>7085</v>
      </c>
    </row>
    <row r="9377" spans="2:5">
      <c r="B9377" s="15" t="s">
        <v>11535</v>
      </c>
      <c r="C9377" s="15" t="s">
        <v>11536</v>
      </c>
      <c r="D9377" s="15" t="s">
        <v>11693</v>
      </c>
      <c r="E9377" s="15" t="s">
        <v>11694</v>
      </c>
    </row>
    <row r="9378" spans="2:5">
      <c r="B9378" s="15" t="s">
        <v>11535</v>
      </c>
      <c r="C9378" s="15" t="s">
        <v>11536</v>
      </c>
      <c r="D9378" s="15" t="s">
        <v>11695</v>
      </c>
      <c r="E9378" s="15" t="s">
        <v>7008</v>
      </c>
    </row>
    <row r="9379" spans="2:5">
      <c r="B9379" s="15" t="s">
        <v>11535</v>
      </c>
      <c r="C9379" s="15" t="s">
        <v>11536</v>
      </c>
      <c r="D9379" s="15" t="s">
        <v>11696</v>
      </c>
      <c r="E9379" s="15" t="s">
        <v>11697</v>
      </c>
    </row>
    <row r="9380" spans="2:5">
      <c r="B9380" s="15" t="s">
        <v>11535</v>
      </c>
      <c r="C9380" s="15" t="s">
        <v>11536</v>
      </c>
      <c r="D9380" s="15" t="s">
        <v>11698</v>
      </c>
      <c r="E9380" s="15" t="s">
        <v>11699</v>
      </c>
    </row>
    <row r="9381" spans="2:5">
      <c r="B9381" s="15" t="s">
        <v>11535</v>
      </c>
      <c r="C9381" s="15" t="s">
        <v>11536</v>
      </c>
      <c r="D9381" s="15" t="s">
        <v>11700</v>
      </c>
      <c r="E9381" s="15" t="s">
        <v>11701</v>
      </c>
    </row>
    <row r="9382" spans="2:5">
      <c r="B9382" s="15" t="s">
        <v>11535</v>
      </c>
      <c r="C9382" s="15" t="s">
        <v>11536</v>
      </c>
      <c r="D9382" s="15" t="s">
        <v>2044</v>
      </c>
      <c r="E9382" s="15" t="s">
        <v>7073</v>
      </c>
    </row>
    <row r="9383" spans="2:5">
      <c r="B9383" s="15" t="s">
        <v>11535</v>
      </c>
      <c r="C9383" s="15" t="s">
        <v>11536</v>
      </c>
      <c r="D9383" s="15" t="s">
        <v>2045</v>
      </c>
      <c r="E9383" s="15" t="s">
        <v>8652</v>
      </c>
    </row>
    <row r="9384" spans="2:5">
      <c r="B9384" s="15" t="s">
        <v>11535</v>
      </c>
      <c r="C9384" s="15" t="s">
        <v>11536</v>
      </c>
      <c r="D9384" s="15" t="s">
        <v>2047</v>
      </c>
      <c r="E9384" s="15" t="s">
        <v>11702</v>
      </c>
    </row>
    <row r="9385" spans="2:5">
      <c r="B9385" s="15" t="s">
        <v>11535</v>
      </c>
      <c r="C9385" s="15" t="s">
        <v>11536</v>
      </c>
      <c r="D9385" s="15" t="s">
        <v>6050</v>
      </c>
      <c r="E9385" s="15" t="s">
        <v>11703</v>
      </c>
    </row>
    <row r="9386" spans="2:5">
      <c r="B9386" s="15" t="s">
        <v>11535</v>
      </c>
      <c r="C9386" s="15" t="s">
        <v>11536</v>
      </c>
      <c r="D9386" s="15" t="s">
        <v>6051</v>
      </c>
      <c r="E9386" s="15" t="s">
        <v>11704</v>
      </c>
    </row>
    <row r="9387" spans="2:5">
      <c r="B9387" s="15" t="s">
        <v>11535</v>
      </c>
      <c r="C9387" s="15" t="s">
        <v>11536</v>
      </c>
      <c r="D9387" s="15" t="s">
        <v>6052</v>
      </c>
      <c r="E9387" s="15" t="s">
        <v>8621</v>
      </c>
    </row>
    <row r="9388" spans="2:5">
      <c r="B9388" s="15" t="s">
        <v>11535</v>
      </c>
      <c r="C9388" s="15" t="s">
        <v>11536</v>
      </c>
      <c r="D9388" s="15" t="s">
        <v>6053</v>
      </c>
      <c r="E9388" s="15" t="s">
        <v>11705</v>
      </c>
    </row>
    <row r="9389" spans="2:5">
      <c r="B9389" s="15" t="s">
        <v>11535</v>
      </c>
      <c r="C9389" s="15" t="s">
        <v>11536</v>
      </c>
      <c r="D9389" s="15" t="s">
        <v>11706</v>
      </c>
      <c r="E9389" s="15" t="s">
        <v>8619</v>
      </c>
    </row>
    <row r="9390" spans="2:5">
      <c r="B9390" s="15" t="s">
        <v>11535</v>
      </c>
      <c r="C9390" s="15" t="s">
        <v>11536</v>
      </c>
      <c r="D9390" s="15" t="s">
        <v>11707</v>
      </c>
      <c r="E9390" s="15" t="s">
        <v>130</v>
      </c>
    </row>
    <row r="9391" spans="2:5">
      <c r="B9391" s="15" t="s">
        <v>11535</v>
      </c>
      <c r="C9391" s="15" t="s">
        <v>11536</v>
      </c>
      <c r="D9391" s="15" t="s">
        <v>11708</v>
      </c>
      <c r="E9391" s="15" t="s">
        <v>8758</v>
      </c>
    </row>
    <row r="9392" spans="2:5">
      <c r="B9392" s="15" t="s">
        <v>11535</v>
      </c>
      <c r="C9392" s="15" t="s">
        <v>11536</v>
      </c>
      <c r="D9392" s="15" t="s">
        <v>11709</v>
      </c>
      <c r="E9392" s="15" t="s">
        <v>11710</v>
      </c>
    </row>
    <row r="9393" spans="2:5">
      <c r="B9393" s="15" t="s">
        <v>11535</v>
      </c>
      <c r="C9393" s="15" t="s">
        <v>11536</v>
      </c>
      <c r="D9393" s="15" t="s">
        <v>11711</v>
      </c>
      <c r="E9393" s="15" t="s">
        <v>11712</v>
      </c>
    </row>
    <row r="9394" spans="2:5">
      <c r="B9394" s="15" t="s">
        <v>11535</v>
      </c>
      <c r="C9394" s="15" t="s">
        <v>11536</v>
      </c>
      <c r="D9394" s="15" t="s">
        <v>11713</v>
      </c>
      <c r="E9394" s="15" t="s">
        <v>11714</v>
      </c>
    </row>
    <row r="9395" spans="2:5">
      <c r="B9395" s="15" t="s">
        <v>11535</v>
      </c>
      <c r="C9395" s="15" t="s">
        <v>11536</v>
      </c>
      <c r="D9395" s="15" t="s">
        <v>11715</v>
      </c>
      <c r="E9395" s="15" t="s">
        <v>11716</v>
      </c>
    </row>
    <row r="9396" spans="2:5">
      <c r="B9396" s="15" t="s">
        <v>11535</v>
      </c>
      <c r="C9396" s="15" t="s">
        <v>11536</v>
      </c>
      <c r="D9396" s="15" t="s">
        <v>11717</v>
      </c>
      <c r="E9396" s="15" t="s">
        <v>11718</v>
      </c>
    </row>
    <row r="9397" spans="2:5">
      <c r="B9397" s="15" t="s">
        <v>11535</v>
      </c>
      <c r="C9397" s="15" t="s">
        <v>11536</v>
      </c>
      <c r="D9397" s="15" t="s">
        <v>11719</v>
      </c>
      <c r="E9397" s="15" t="s">
        <v>11720</v>
      </c>
    </row>
    <row r="9398" spans="2:5">
      <c r="B9398" s="15" t="s">
        <v>11535</v>
      </c>
      <c r="C9398" s="15" t="s">
        <v>11536</v>
      </c>
      <c r="D9398" s="15" t="s">
        <v>11721</v>
      </c>
      <c r="E9398" s="15" t="s">
        <v>11722</v>
      </c>
    </row>
    <row r="9399" spans="2:5">
      <c r="B9399" s="15" t="s">
        <v>11535</v>
      </c>
      <c r="C9399" s="15" t="s">
        <v>11536</v>
      </c>
      <c r="D9399" s="15" t="s">
        <v>11723</v>
      </c>
      <c r="E9399" s="15" t="s">
        <v>11724</v>
      </c>
    </row>
    <row r="9400" spans="2:5">
      <c r="B9400" s="15" t="s">
        <v>11535</v>
      </c>
      <c r="C9400" s="15" t="s">
        <v>11536</v>
      </c>
      <c r="D9400" s="15" t="s">
        <v>11725</v>
      </c>
      <c r="E9400" s="15" t="s">
        <v>11726</v>
      </c>
    </row>
    <row r="9401" spans="2:5">
      <c r="B9401" s="15" t="s">
        <v>11535</v>
      </c>
      <c r="C9401" s="15" t="s">
        <v>11536</v>
      </c>
      <c r="D9401" s="15" t="s">
        <v>11727</v>
      </c>
      <c r="E9401" s="15" t="s">
        <v>11728</v>
      </c>
    </row>
    <row r="9402" spans="2:5">
      <c r="B9402" s="15" t="s">
        <v>11535</v>
      </c>
      <c r="C9402" s="15" t="s">
        <v>11536</v>
      </c>
      <c r="D9402" s="15" t="s">
        <v>11729</v>
      </c>
      <c r="E9402" s="15" t="s">
        <v>11730</v>
      </c>
    </row>
    <row r="9403" spans="2:5">
      <c r="B9403" s="15" t="s">
        <v>11535</v>
      </c>
      <c r="C9403" s="15" t="s">
        <v>11536</v>
      </c>
      <c r="D9403" s="15" t="s">
        <v>11731</v>
      </c>
      <c r="E9403" s="15" t="s">
        <v>11732</v>
      </c>
    </row>
    <row r="9404" spans="2:5">
      <c r="B9404" s="15" t="s">
        <v>11535</v>
      </c>
      <c r="C9404" s="15" t="s">
        <v>11536</v>
      </c>
      <c r="D9404" s="15" t="s">
        <v>11733</v>
      </c>
      <c r="E9404" s="15" t="s">
        <v>11734</v>
      </c>
    </row>
    <row r="9405" spans="2:5">
      <c r="B9405" s="15" t="s">
        <v>11535</v>
      </c>
      <c r="C9405" s="15" t="s">
        <v>11536</v>
      </c>
      <c r="D9405" s="15" t="s">
        <v>11735</v>
      </c>
      <c r="E9405" s="15" t="s">
        <v>11736</v>
      </c>
    </row>
    <row r="9406" spans="2:5">
      <c r="B9406" s="15" t="s">
        <v>11535</v>
      </c>
      <c r="C9406" s="15" t="s">
        <v>11536</v>
      </c>
      <c r="D9406" s="15" t="s">
        <v>11737</v>
      </c>
      <c r="E9406" s="15" t="s">
        <v>11738</v>
      </c>
    </row>
    <row r="9407" spans="2:5">
      <c r="B9407" s="15" t="s">
        <v>11535</v>
      </c>
      <c r="C9407" s="15" t="s">
        <v>11536</v>
      </c>
      <c r="D9407" s="15" t="s">
        <v>11739</v>
      </c>
      <c r="E9407" s="15" t="s">
        <v>11740</v>
      </c>
    </row>
    <row r="9408" spans="2:5">
      <c r="B9408" s="15" t="s">
        <v>11535</v>
      </c>
      <c r="C9408" s="15" t="s">
        <v>11536</v>
      </c>
      <c r="D9408" s="15" t="s">
        <v>11741</v>
      </c>
      <c r="E9408" s="15" t="s">
        <v>11742</v>
      </c>
    </row>
    <row r="9409" spans="2:5">
      <c r="B9409" s="15" t="s">
        <v>11535</v>
      </c>
      <c r="C9409" s="15" t="s">
        <v>11536</v>
      </c>
      <c r="D9409" s="15" t="s">
        <v>11743</v>
      </c>
      <c r="E9409" s="15" t="s">
        <v>11744</v>
      </c>
    </row>
    <row r="9410" spans="2:5">
      <c r="B9410" s="15" t="s">
        <v>11535</v>
      </c>
      <c r="C9410" s="15" t="s">
        <v>11536</v>
      </c>
      <c r="D9410" s="15" t="s">
        <v>11745</v>
      </c>
      <c r="E9410" s="15" t="s">
        <v>11746</v>
      </c>
    </row>
    <row r="9411" spans="2:5">
      <c r="B9411" s="15" t="s">
        <v>11535</v>
      </c>
      <c r="C9411" s="15" t="s">
        <v>11536</v>
      </c>
      <c r="D9411" s="15" t="s">
        <v>11747</v>
      </c>
      <c r="E9411" s="15" t="s">
        <v>11748</v>
      </c>
    </row>
    <row r="9412" spans="2:5">
      <c r="B9412" s="15" t="s">
        <v>11535</v>
      </c>
      <c r="C9412" s="15" t="s">
        <v>11536</v>
      </c>
      <c r="D9412" s="15" t="s">
        <v>11749</v>
      </c>
      <c r="E9412" s="15" t="s">
        <v>11750</v>
      </c>
    </row>
    <row r="9413" spans="2:5">
      <c r="B9413" s="15" t="s">
        <v>11535</v>
      </c>
      <c r="C9413" s="15" t="s">
        <v>11536</v>
      </c>
      <c r="D9413" s="15" t="s">
        <v>11751</v>
      </c>
      <c r="E9413" s="15" t="s">
        <v>11752</v>
      </c>
    </row>
    <row r="9414" spans="2:5">
      <c r="B9414" s="15" t="s">
        <v>11535</v>
      </c>
      <c r="C9414" s="15" t="s">
        <v>11536</v>
      </c>
      <c r="D9414" s="15" t="s">
        <v>11753</v>
      </c>
      <c r="E9414" s="15" t="s">
        <v>11754</v>
      </c>
    </row>
    <row r="9415" spans="2:5">
      <c r="B9415" s="15" t="s">
        <v>11535</v>
      </c>
      <c r="C9415" s="15" t="s">
        <v>11536</v>
      </c>
      <c r="D9415" s="15" t="s">
        <v>11755</v>
      </c>
      <c r="E9415" s="15" t="s">
        <v>11756</v>
      </c>
    </row>
    <row r="9416" spans="2:5">
      <c r="B9416" s="15" t="s">
        <v>11535</v>
      </c>
      <c r="C9416" s="15" t="s">
        <v>11536</v>
      </c>
      <c r="D9416" s="15" t="s">
        <v>11757</v>
      </c>
      <c r="E9416" s="15" t="s">
        <v>11758</v>
      </c>
    </row>
    <row r="9417" spans="2:5">
      <c r="B9417" s="15" t="s">
        <v>11535</v>
      </c>
      <c r="C9417" s="15" t="s">
        <v>11536</v>
      </c>
      <c r="D9417" s="15" t="s">
        <v>11759</v>
      </c>
      <c r="E9417" s="15" t="s">
        <v>11760</v>
      </c>
    </row>
    <row r="9418" spans="2:5">
      <c r="B9418" s="15" t="s">
        <v>11535</v>
      </c>
      <c r="C9418" s="15" t="s">
        <v>11536</v>
      </c>
      <c r="D9418" s="15" t="s">
        <v>11761</v>
      </c>
      <c r="E9418" s="15" t="s">
        <v>11762</v>
      </c>
    </row>
    <row r="9419" spans="2:5">
      <c r="B9419" s="15" t="s">
        <v>11535</v>
      </c>
      <c r="C9419" s="15" t="s">
        <v>11536</v>
      </c>
      <c r="D9419" s="15" t="s">
        <v>11763</v>
      </c>
      <c r="E9419" s="15" t="s">
        <v>11764</v>
      </c>
    </row>
    <row r="9420" ht="15.95" spans="2:2">
      <c r="B9420" s="122" t="s">
        <v>11765</v>
      </c>
    </row>
    <row r="9421" spans="2:5">
      <c r="B9421" s="15" t="s">
        <v>11766</v>
      </c>
      <c r="C9421" s="15" t="s">
        <v>11767</v>
      </c>
      <c r="D9421" s="15" t="s">
        <v>770</v>
      </c>
      <c r="E9421" s="15" t="s">
        <v>11768</v>
      </c>
    </row>
    <row r="9422" spans="2:5">
      <c r="B9422" s="15" t="s">
        <v>11766</v>
      </c>
      <c r="C9422" s="15" t="s">
        <v>11767</v>
      </c>
      <c r="D9422" s="15" t="s">
        <v>772</v>
      </c>
      <c r="E9422" s="15" t="s">
        <v>11769</v>
      </c>
    </row>
    <row r="9423" ht="15.95" spans="2:2">
      <c r="B9423" s="122" t="s">
        <v>11770</v>
      </c>
    </row>
    <row r="9424" spans="2:5">
      <c r="B9424" s="15" t="s">
        <v>11771</v>
      </c>
      <c r="C9424" s="15" t="s">
        <v>11772</v>
      </c>
      <c r="D9424" s="15" t="s">
        <v>770</v>
      </c>
      <c r="E9424" s="15" t="s">
        <v>11773</v>
      </c>
    </row>
    <row r="9425" spans="2:5">
      <c r="B9425" s="15" t="s">
        <v>11771</v>
      </c>
      <c r="C9425" s="15" t="s">
        <v>11772</v>
      </c>
      <c r="D9425" s="15" t="s">
        <v>772</v>
      </c>
      <c r="E9425" s="15" t="s">
        <v>11774</v>
      </c>
    </row>
    <row r="9426" spans="2:5">
      <c r="B9426" s="15" t="s">
        <v>11771</v>
      </c>
      <c r="C9426" s="15" t="s">
        <v>11772</v>
      </c>
      <c r="D9426" s="15" t="s">
        <v>774</v>
      </c>
      <c r="E9426" s="15" t="s">
        <v>11775</v>
      </c>
    </row>
    <row r="9427" spans="2:5">
      <c r="B9427" s="15" t="s">
        <v>11771</v>
      </c>
      <c r="C9427" s="15" t="s">
        <v>11772</v>
      </c>
      <c r="D9427" s="15" t="s">
        <v>1143</v>
      </c>
      <c r="E9427" s="15" t="s">
        <v>235</v>
      </c>
    </row>
    <row r="9428" ht="15.95" spans="2:2">
      <c r="B9428" s="122" t="s">
        <v>11776</v>
      </c>
    </row>
    <row r="9429" spans="2:5">
      <c r="B9429" s="15" t="s">
        <v>11777</v>
      </c>
      <c r="C9429" s="15" t="s">
        <v>11778</v>
      </c>
      <c r="D9429" s="15" t="s">
        <v>770</v>
      </c>
      <c r="E9429" s="15" t="s">
        <v>1203</v>
      </c>
    </row>
    <row r="9430" spans="2:5">
      <c r="B9430" s="15" t="s">
        <v>11777</v>
      </c>
      <c r="C9430" s="15" t="s">
        <v>11778</v>
      </c>
      <c r="D9430" s="15" t="s">
        <v>772</v>
      </c>
      <c r="E9430" s="15" t="s">
        <v>11779</v>
      </c>
    </row>
    <row r="9431" spans="2:5">
      <c r="B9431" s="15" t="s">
        <v>11777</v>
      </c>
      <c r="C9431" s="15" t="s">
        <v>11778</v>
      </c>
      <c r="D9431" s="15" t="s">
        <v>774</v>
      </c>
      <c r="E9431" s="15" t="s">
        <v>11780</v>
      </c>
    </row>
    <row r="9432" ht="15.95" spans="2:2">
      <c r="B9432" s="122" t="s">
        <v>11781</v>
      </c>
    </row>
    <row r="9433" spans="2:5">
      <c r="B9433" s="15" t="s">
        <v>11782</v>
      </c>
      <c r="C9433" s="15" t="s">
        <v>11783</v>
      </c>
      <c r="D9433" s="15" t="s">
        <v>770</v>
      </c>
      <c r="E9433" s="15" t="s">
        <v>1029</v>
      </c>
    </row>
    <row r="9434" spans="2:5">
      <c r="B9434" s="15" t="s">
        <v>11782</v>
      </c>
      <c r="C9434" s="15" t="s">
        <v>11783</v>
      </c>
      <c r="D9434" s="15" t="s">
        <v>772</v>
      </c>
      <c r="E9434" s="15" t="s">
        <v>1030</v>
      </c>
    </row>
    <row r="9435" spans="2:5">
      <c r="B9435" s="15" t="s">
        <v>11782</v>
      </c>
      <c r="C9435" s="15" t="s">
        <v>11783</v>
      </c>
      <c r="D9435" s="15" t="s">
        <v>774</v>
      </c>
      <c r="E9435" s="15" t="s">
        <v>1031</v>
      </c>
    </row>
    <row r="9436" ht="15.95" spans="2:2">
      <c r="B9436" s="122" t="s">
        <v>11784</v>
      </c>
    </row>
    <row r="9437" spans="2:5">
      <c r="B9437" s="15" t="s">
        <v>11785</v>
      </c>
      <c r="C9437" s="15" t="s">
        <v>11786</v>
      </c>
      <c r="D9437" s="15" t="s">
        <v>770</v>
      </c>
      <c r="E9437" s="15" t="s">
        <v>11787</v>
      </c>
    </row>
    <row r="9438" spans="2:5">
      <c r="B9438" s="15" t="s">
        <v>11785</v>
      </c>
      <c r="C9438" s="15" t="s">
        <v>11786</v>
      </c>
      <c r="D9438" s="15" t="s">
        <v>772</v>
      </c>
      <c r="E9438" s="15" t="s">
        <v>11788</v>
      </c>
    </row>
    <row r="9439" ht="15.95" spans="2:2">
      <c r="B9439" s="122" t="s">
        <v>11789</v>
      </c>
    </row>
    <row r="9440" spans="2:5">
      <c r="B9440" s="15" t="s">
        <v>11790</v>
      </c>
      <c r="C9440" s="15" t="s">
        <v>896</v>
      </c>
      <c r="D9440" s="15" t="s">
        <v>770</v>
      </c>
      <c r="E9440" s="15" t="s">
        <v>3778</v>
      </c>
    </row>
    <row r="9441" spans="2:5">
      <c r="B9441" s="15" t="s">
        <v>11790</v>
      </c>
      <c r="C9441" s="15" t="s">
        <v>896</v>
      </c>
      <c r="D9441" s="15" t="s">
        <v>772</v>
      </c>
      <c r="E9441" s="15" t="s">
        <v>10265</v>
      </c>
    </row>
    <row r="9442" spans="2:5">
      <c r="B9442" s="15" t="s">
        <v>11790</v>
      </c>
      <c r="C9442" s="15" t="s">
        <v>896</v>
      </c>
      <c r="D9442" s="15" t="s">
        <v>774</v>
      </c>
      <c r="E9442" s="15" t="s">
        <v>10266</v>
      </c>
    </row>
    <row r="9443" spans="2:5">
      <c r="B9443" s="15" t="s">
        <v>11790</v>
      </c>
      <c r="C9443" s="15" t="s">
        <v>896</v>
      </c>
      <c r="D9443" s="15" t="s">
        <v>828</v>
      </c>
      <c r="E9443" s="15" t="s">
        <v>3780</v>
      </c>
    </row>
    <row r="9444" ht="15.95" spans="2:2">
      <c r="B9444" s="122" t="s">
        <v>11791</v>
      </c>
    </row>
    <row r="9445" spans="2:5">
      <c r="B9445" s="15" t="s">
        <v>11792</v>
      </c>
      <c r="C9445" s="15" t="s">
        <v>11793</v>
      </c>
      <c r="D9445" s="15" t="s">
        <v>723</v>
      </c>
      <c r="E9445" s="15" t="s">
        <v>11794</v>
      </c>
    </row>
    <row r="9446" spans="2:5">
      <c r="B9446" s="15" t="s">
        <v>11792</v>
      </c>
      <c r="C9446" s="15" t="s">
        <v>11793</v>
      </c>
      <c r="D9446" s="15" t="s">
        <v>725</v>
      </c>
      <c r="E9446" s="15" t="s">
        <v>11795</v>
      </c>
    </row>
    <row r="9447" ht="15.95" spans="2:2">
      <c r="B9447" s="122" t="s">
        <v>11796</v>
      </c>
    </row>
    <row r="9448" spans="2:5">
      <c r="B9448" s="15" t="s">
        <v>11797</v>
      </c>
      <c r="C9448" s="15" t="s">
        <v>11798</v>
      </c>
      <c r="D9448" s="15" t="s">
        <v>917</v>
      </c>
      <c r="E9448" s="15" t="s">
        <v>953</v>
      </c>
    </row>
    <row r="9449" spans="2:5">
      <c r="B9449" s="15" t="s">
        <v>11797</v>
      </c>
      <c r="C9449" s="15" t="s">
        <v>11798</v>
      </c>
      <c r="D9449" s="15" t="s">
        <v>919</v>
      </c>
      <c r="E9449" s="15" t="s">
        <v>954</v>
      </c>
    </row>
    <row r="9450" spans="2:5">
      <c r="B9450" s="15" t="s">
        <v>11797</v>
      </c>
      <c r="C9450" s="15" t="s">
        <v>11798</v>
      </c>
      <c r="D9450" s="15" t="s">
        <v>955</v>
      </c>
      <c r="E9450" s="15" t="s">
        <v>956</v>
      </c>
    </row>
    <row r="9451" ht="15.95" spans="2:2">
      <c r="B9451" s="122" t="s">
        <v>11799</v>
      </c>
    </row>
    <row r="9452" spans="2:5">
      <c r="B9452" s="15" t="s">
        <v>11800</v>
      </c>
      <c r="C9452" s="15" t="s">
        <v>11801</v>
      </c>
      <c r="D9452" s="15" t="s">
        <v>635</v>
      </c>
      <c r="E9452" s="15" t="s">
        <v>11802</v>
      </c>
    </row>
    <row r="9453" spans="2:5">
      <c r="B9453" s="15" t="s">
        <v>11800</v>
      </c>
      <c r="C9453" s="15" t="s">
        <v>11801</v>
      </c>
      <c r="D9453" s="15" t="s">
        <v>1325</v>
      </c>
      <c r="E9453" s="15" t="s">
        <v>11803</v>
      </c>
    </row>
    <row r="9454" spans="2:5">
      <c r="B9454" s="15" t="s">
        <v>11800</v>
      </c>
      <c r="C9454" s="15" t="s">
        <v>11801</v>
      </c>
      <c r="D9454" s="15" t="s">
        <v>659</v>
      </c>
      <c r="E9454" s="15" t="s">
        <v>11804</v>
      </c>
    </row>
    <row r="9455" ht="15.95" spans="2:2">
      <c r="B9455" s="122" t="s">
        <v>11805</v>
      </c>
    </row>
    <row r="9456" spans="2:5">
      <c r="B9456" s="15" t="s">
        <v>11806</v>
      </c>
      <c r="C9456" s="15" t="s">
        <v>11807</v>
      </c>
      <c r="D9456" s="15" t="s">
        <v>1432</v>
      </c>
      <c r="E9456" s="15" t="s">
        <v>11271</v>
      </c>
    </row>
    <row r="9457" spans="2:5">
      <c r="B9457" s="15" t="s">
        <v>11806</v>
      </c>
      <c r="C9457" s="15" t="s">
        <v>11807</v>
      </c>
      <c r="D9457" s="15" t="s">
        <v>723</v>
      </c>
      <c r="E9457" s="15" t="s">
        <v>11276</v>
      </c>
    </row>
    <row r="9458" spans="2:5">
      <c r="B9458" s="15" t="s">
        <v>11806</v>
      </c>
      <c r="C9458" s="15" t="s">
        <v>11807</v>
      </c>
      <c r="D9458" s="15" t="s">
        <v>725</v>
      </c>
      <c r="E9458" s="15" t="s">
        <v>11272</v>
      </c>
    </row>
    <row r="9459" spans="2:5">
      <c r="B9459" s="15" t="s">
        <v>11806</v>
      </c>
      <c r="C9459" s="15" t="s">
        <v>11807</v>
      </c>
      <c r="D9459" s="15" t="s">
        <v>727</v>
      </c>
      <c r="E9459" s="15" t="s">
        <v>11274</v>
      </c>
    </row>
    <row r="9460" ht="15.95" spans="2:2">
      <c r="B9460" s="122" t="s">
        <v>11808</v>
      </c>
    </row>
    <row r="9461" spans="2:5">
      <c r="B9461" s="15" t="s">
        <v>11809</v>
      </c>
      <c r="C9461" s="15" t="s">
        <v>11809</v>
      </c>
      <c r="D9461" s="15" t="s">
        <v>723</v>
      </c>
      <c r="E9461" s="15" t="s">
        <v>11810</v>
      </c>
    </row>
    <row r="9462" spans="2:5">
      <c r="B9462" s="15" t="s">
        <v>11809</v>
      </c>
      <c r="C9462" s="15" t="s">
        <v>11809</v>
      </c>
      <c r="D9462" s="15" t="s">
        <v>725</v>
      </c>
      <c r="E9462" s="15" t="s">
        <v>11811</v>
      </c>
    </row>
    <row r="9463" spans="2:5">
      <c r="B9463" s="15" t="s">
        <v>11809</v>
      </c>
      <c r="C9463" s="15" t="s">
        <v>11809</v>
      </c>
      <c r="D9463" s="15" t="s">
        <v>727</v>
      </c>
      <c r="E9463" s="15" t="s">
        <v>11812</v>
      </c>
    </row>
    <row r="9464" spans="2:5">
      <c r="B9464" s="15" t="s">
        <v>11809</v>
      </c>
      <c r="C9464" s="15" t="s">
        <v>11809</v>
      </c>
      <c r="D9464" s="15" t="s">
        <v>729</v>
      </c>
      <c r="E9464" s="15" t="s">
        <v>11813</v>
      </c>
    </row>
    <row r="9465" ht="15.95" spans="2:2">
      <c r="B9465" s="122" t="s">
        <v>11814</v>
      </c>
    </row>
    <row r="9466" spans="2:5">
      <c r="B9466" s="15" t="s">
        <v>11815</v>
      </c>
      <c r="C9466" s="15" t="s">
        <v>11816</v>
      </c>
      <c r="D9466" s="15" t="s">
        <v>723</v>
      </c>
      <c r="E9466" s="15" t="s">
        <v>11817</v>
      </c>
    </row>
    <row r="9467" spans="2:5">
      <c r="B9467" s="15" t="s">
        <v>11815</v>
      </c>
      <c r="C9467" s="15" t="s">
        <v>11816</v>
      </c>
      <c r="D9467" s="15" t="s">
        <v>725</v>
      </c>
      <c r="E9467" s="15" t="s">
        <v>11818</v>
      </c>
    </row>
    <row r="9468" spans="2:5">
      <c r="B9468" s="15" t="s">
        <v>11815</v>
      </c>
      <c r="C9468" s="15" t="s">
        <v>11816</v>
      </c>
      <c r="D9468" s="15" t="s">
        <v>727</v>
      </c>
      <c r="E9468" s="15" t="s">
        <v>11819</v>
      </c>
    </row>
    <row r="9469" spans="2:5">
      <c r="B9469" s="15" t="s">
        <v>11815</v>
      </c>
      <c r="C9469" s="15" t="s">
        <v>11816</v>
      </c>
      <c r="D9469" s="15" t="s">
        <v>729</v>
      </c>
      <c r="E9469" s="15" t="s">
        <v>5159</v>
      </c>
    </row>
    <row r="9470" spans="2:5">
      <c r="B9470" s="15" t="s">
        <v>11815</v>
      </c>
      <c r="C9470" s="15" t="s">
        <v>11816</v>
      </c>
      <c r="D9470" s="15" t="s">
        <v>760</v>
      </c>
      <c r="E9470" s="15" t="s">
        <v>5158</v>
      </c>
    </row>
    <row r="9471" spans="2:5">
      <c r="B9471" s="15" t="s">
        <v>11815</v>
      </c>
      <c r="C9471" s="15" t="s">
        <v>11816</v>
      </c>
      <c r="D9471" s="15" t="s">
        <v>762</v>
      </c>
      <c r="E9471" s="15" t="s">
        <v>235</v>
      </c>
    </row>
    <row r="9472" ht="15.95" spans="2:2">
      <c r="B9472" s="122" t="s">
        <v>11820</v>
      </c>
    </row>
    <row r="9473" spans="2:5">
      <c r="B9473" s="15" t="s">
        <v>11821</v>
      </c>
      <c r="C9473" s="15" t="s">
        <v>11822</v>
      </c>
      <c r="D9473" s="15" t="s">
        <v>770</v>
      </c>
      <c r="E9473" s="15" t="s">
        <v>1439</v>
      </c>
    </row>
    <row r="9474" spans="2:5">
      <c r="B9474" s="15" t="s">
        <v>11821</v>
      </c>
      <c r="C9474" s="15" t="s">
        <v>11822</v>
      </c>
      <c r="D9474" s="15" t="s">
        <v>772</v>
      </c>
      <c r="E9474" s="15" t="s">
        <v>2212</v>
      </c>
    </row>
    <row r="9475" spans="2:5">
      <c r="B9475" s="15" t="s">
        <v>11821</v>
      </c>
      <c r="C9475" s="15" t="s">
        <v>11822</v>
      </c>
      <c r="D9475" s="15" t="s">
        <v>774</v>
      </c>
      <c r="E9475" s="15" t="s">
        <v>11823</v>
      </c>
    </row>
    <row r="9476" ht="15.95" spans="2:2">
      <c r="B9476" s="122" t="s">
        <v>11824</v>
      </c>
    </row>
    <row r="9477" spans="2:5">
      <c r="B9477" s="15" t="s">
        <v>11825</v>
      </c>
      <c r="C9477" s="15" t="s">
        <v>11826</v>
      </c>
      <c r="D9477" s="15" t="s">
        <v>635</v>
      </c>
      <c r="E9477" s="15" t="s">
        <v>1814</v>
      </c>
    </row>
    <row r="9478" spans="2:5">
      <c r="B9478" s="15" t="s">
        <v>11825</v>
      </c>
      <c r="C9478" s="15" t="s">
        <v>11826</v>
      </c>
      <c r="D9478" s="15" t="s">
        <v>659</v>
      </c>
      <c r="E9478" s="15" t="s">
        <v>5754</v>
      </c>
    </row>
    <row r="9479" spans="2:5">
      <c r="B9479" s="15" t="s">
        <v>11825</v>
      </c>
      <c r="C9479" s="15" t="s">
        <v>11826</v>
      </c>
      <c r="D9479" s="15" t="s">
        <v>679</v>
      </c>
      <c r="E9479" s="15" t="s">
        <v>5755</v>
      </c>
    </row>
    <row r="9480" ht="15.95" spans="2:2">
      <c r="B9480" s="122" t="s">
        <v>11827</v>
      </c>
    </row>
    <row r="9481" spans="2:5">
      <c r="B9481" s="15" t="s">
        <v>11828</v>
      </c>
      <c r="C9481" s="15" t="s">
        <v>11829</v>
      </c>
      <c r="D9481" s="15" t="s">
        <v>785</v>
      </c>
      <c r="E9481" s="15" t="s">
        <v>11830</v>
      </c>
    </row>
    <row r="9482" spans="2:5">
      <c r="B9482" s="15" t="s">
        <v>11828</v>
      </c>
      <c r="C9482" s="15" t="s">
        <v>11829</v>
      </c>
      <c r="D9482" s="15" t="s">
        <v>787</v>
      </c>
      <c r="E9482" s="15" t="s">
        <v>11831</v>
      </c>
    </row>
    <row r="9483" spans="2:5">
      <c r="B9483" s="15" t="s">
        <v>11828</v>
      </c>
      <c r="C9483" s="15" t="s">
        <v>11829</v>
      </c>
      <c r="D9483" s="15" t="s">
        <v>789</v>
      </c>
      <c r="E9483" s="15" t="s">
        <v>11832</v>
      </c>
    </row>
    <row r="9484" spans="2:5">
      <c r="B9484" s="15" t="s">
        <v>11828</v>
      </c>
      <c r="C9484" s="15" t="s">
        <v>11829</v>
      </c>
      <c r="D9484" s="15" t="s">
        <v>791</v>
      </c>
      <c r="E9484" s="15" t="s">
        <v>11833</v>
      </c>
    </row>
    <row r="9485" spans="2:5">
      <c r="B9485" s="15" t="s">
        <v>11828</v>
      </c>
      <c r="C9485" s="15" t="s">
        <v>11829</v>
      </c>
      <c r="D9485" s="15" t="s">
        <v>793</v>
      </c>
      <c r="E9485" s="15" t="s">
        <v>11834</v>
      </c>
    </row>
    <row r="9486" spans="2:5">
      <c r="B9486" s="15" t="s">
        <v>11828</v>
      </c>
      <c r="C9486" s="15" t="s">
        <v>11829</v>
      </c>
      <c r="D9486" s="15" t="s">
        <v>795</v>
      </c>
      <c r="E9486" s="15" t="s">
        <v>11835</v>
      </c>
    </row>
    <row r="9487" spans="2:5">
      <c r="B9487" s="15" t="s">
        <v>11828</v>
      </c>
      <c r="C9487" s="15" t="s">
        <v>11829</v>
      </c>
      <c r="D9487" s="15" t="s">
        <v>797</v>
      </c>
      <c r="E9487" s="15" t="s">
        <v>11836</v>
      </c>
    </row>
    <row r="9488" spans="2:5">
      <c r="B9488" s="15" t="s">
        <v>11828</v>
      </c>
      <c r="C9488" s="15" t="s">
        <v>11829</v>
      </c>
      <c r="D9488" s="15" t="s">
        <v>805</v>
      </c>
      <c r="E9488" s="15" t="s">
        <v>973</v>
      </c>
    </row>
    <row r="9489" spans="2:5">
      <c r="B9489" s="15" t="s">
        <v>11828</v>
      </c>
      <c r="C9489" s="15" t="s">
        <v>11829</v>
      </c>
      <c r="D9489" s="15" t="s">
        <v>5353</v>
      </c>
      <c r="E9489" s="15" t="s">
        <v>11837</v>
      </c>
    </row>
    <row r="9490" spans="2:5">
      <c r="B9490" s="15" t="s">
        <v>11828</v>
      </c>
      <c r="C9490" s="15" t="s">
        <v>11829</v>
      </c>
      <c r="D9490" s="15" t="s">
        <v>3037</v>
      </c>
      <c r="E9490" s="15" t="s">
        <v>11838</v>
      </c>
    </row>
    <row r="9491" spans="2:5">
      <c r="B9491" s="15" t="s">
        <v>11828</v>
      </c>
      <c r="C9491" s="15" t="s">
        <v>11829</v>
      </c>
      <c r="D9491" s="15" t="s">
        <v>2332</v>
      </c>
      <c r="E9491" s="15" t="s">
        <v>11839</v>
      </c>
    </row>
    <row r="9492" spans="2:5">
      <c r="B9492" s="15" t="s">
        <v>11828</v>
      </c>
      <c r="C9492" s="15" t="s">
        <v>11829</v>
      </c>
      <c r="D9492" s="15" t="s">
        <v>2334</v>
      </c>
      <c r="E9492" s="15" t="s">
        <v>11840</v>
      </c>
    </row>
    <row r="9493" spans="2:5">
      <c r="B9493" s="15" t="s">
        <v>11828</v>
      </c>
      <c r="C9493" s="15" t="s">
        <v>11829</v>
      </c>
      <c r="D9493" s="15" t="s">
        <v>4547</v>
      </c>
      <c r="E9493" s="15" t="s">
        <v>11841</v>
      </c>
    </row>
    <row r="9494" spans="2:5">
      <c r="B9494" s="15" t="s">
        <v>11828</v>
      </c>
      <c r="C9494" s="15" t="s">
        <v>11829</v>
      </c>
      <c r="D9494" s="15" t="s">
        <v>4549</v>
      </c>
      <c r="E9494" s="15" t="s">
        <v>11842</v>
      </c>
    </row>
    <row r="9495" spans="2:5">
      <c r="B9495" s="15" t="s">
        <v>11828</v>
      </c>
      <c r="C9495" s="15" t="s">
        <v>11829</v>
      </c>
      <c r="D9495" s="15" t="s">
        <v>7666</v>
      </c>
      <c r="E9495" s="15" t="s">
        <v>11843</v>
      </c>
    </row>
    <row r="9496" spans="2:5">
      <c r="B9496" s="15" t="s">
        <v>11828</v>
      </c>
      <c r="C9496" s="15" t="s">
        <v>11829</v>
      </c>
      <c r="D9496" s="15" t="s">
        <v>7668</v>
      </c>
      <c r="E9496" s="15" t="s">
        <v>11844</v>
      </c>
    </row>
    <row r="9497" spans="2:5">
      <c r="B9497" s="15" t="s">
        <v>11828</v>
      </c>
      <c r="C9497" s="15" t="s">
        <v>11829</v>
      </c>
      <c r="D9497" s="15" t="s">
        <v>7670</v>
      </c>
      <c r="E9497" s="15" t="s">
        <v>11845</v>
      </c>
    </row>
    <row r="9498" spans="2:5">
      <c r="B9498" s="15" t="s">
        <v>11828</v>
      </c>
      <c r="C9498" s="15" t="s">
        <v>11829</v>
      </c>
      <c r="D9498" s="15" t="s">
        <v>7672</v>
      </c>
      <c r="E9498" s="15" t="s">
        <v>11846</v>
      </c>
    </row>
    <row r="9499" spans="2:5">
      <c r="B9499" s="15" t="s">
        <v>11828</v>
      </c>
      <c r="C9499" s="15" t="s">
        <v>11829</v>
      </c>
      <c r="D9499" s="15" t="s">
        <v>11847</v>
      </c>
      <c r="E9499" s="15" t="s">
        <v>11848</v>
      </c>
    </row>
    <row r="9500" spans="2:5">
      <c r="B9500" s="15" t="s">
        <v>11828</v>
      </c>
      <c r="C9500" s="15" t="s">
        <v>11829</v>
      </c>
      <c r="D9500" s="15" t="s">
        <v>11849</v>
      </c>
      <c r="E9500" s="15" t="s">
        <v>11850</v>
      </c>
    </row>
    <row r="9501" spans="2:5">
      <c r="B9501" s="15" t="s">
        <v>11828</v>
      </c>
      <c r="C9501" s="15" t="s">
        <v>11829</v>
      </c>
      <c r="D9501" s="15" t="s">
        <v>11851</v>
      </c>
      <c r="E9501" s="15" t="s">
        <v>11852</v>
      </c>
    </row>
    <row r="9502" spans="2:5">
      <c r="B9502" s="15" t="s">
        <v>11828</v>
      </c>
      <c r="C9502" s="15" t="s">
        <v>11829</v>
      </c>
      <c r="D9502" s="15" t="s">
        <v>11853</v>
      </c>
      <c r="E9502" s="15" t="s">
        <v>11854</v>
      </c>
    </row>
    <row r="9503" spans="2:5">
      <c r="B9503" s="15" t="s">
        <v>11828</v>
      </c>
      <c r="C9503" s="15" t="s">
        <v>11829</v>
      </c>
      <c r="D9503" s="15" t="s">
        <v>11855</v>
      </c>
      <c r="E9503" s="15" t="s">
        <v>11856</v>
      </c>
    </row>
    <row r="9504" spans="2:5">
      <c r="B9504" s="15" t="s">
        <v>11828</v>
      </c>
      <c r="C9504" s="15" t="s">
        <v>11829</v>
      </c>
      <c r="D9504" s="15" t="s">
        <v>11857</v>
      </c>
      <c r="E9504" s="15" t="s">
        <v>11858</v>
      </c>
    </row>
    <row r="9505" spans="2:5">
      <c r="B9505" s="15" t="s">
        <v>11828</v>
      </c>
      <c r="C9505" s="15" t="s">
        <v>11829</v>
      </c>
      <c r="D9505" s="15" t="s">
        <v>11859</v>
      </c>
      <c r="E9505" s="15" t="s">
        <v>11860</v>
      </c>
    </row>
    <row r="9506" spans="2:5">
      <c r="B9506" s="15" t="s">
        <v>11828</v>
      </c>
      <c r="C9506" s="15" t="s">
        <v>11829</v>
      </c>
      <c r="D9506" s="15" t="s">
        <v>11861</v>
      </c>
      <c r="E9506" s="15" t="s">
        <v>11862</v>
      </c>
    </row>
    <row r="9507" ht="15.95" spans="2:2">
      <c r="B9507" s="122" t="s">
        <v>11863</v>
      </c>
    </row>
    <row r="9508" spans="2:5">
      <c r="B9508" s="15" t="s">
        <v>11864</v>
      </c>
      <c r="C9508" s="15" t="s">
        <v>11865</v>
      </c>
      <c r="D9508" s="15" t="s">
        <v>770</v>
      </c>
      <c r="E9508" s="15" t="s">
        <v>11866</v>
      </c>
    </row>
    <row r="9509" spans="2:5">
      <c r="B9509" s="15" t="s">
        <v>11864</v>
      </c>
      <c r="C9509" s="15" t="s">
        <v>11865</v>
      </c>
      <c r="D9509" s="15" t="s">
        <v>772</v>
      </c>
      <c r="E9509" s="15" t="s">
        <v>11867</v>
      </c>
    </row>
    <row r="9510" spans="2:5">
      <c r="B9510" s="15" t="s">
        <v>11864</v>
      </c>
      <c r="C9510" s="15" t="s">
        <v>11865</v>
      </c>
      <c r="D9510" s="15" t="s">
        <v>774</v>
      </c>
      <c r="E9510" s="15" t="s">
        <v>235</v>
      </c>
    </row>
    <row r="9511" ht="15.95" spans="2:2">
      <c r="B9511" s="122" t="s">
        <v>11868</v>
      </c>
    </row>
    <row r="9512" spans="2:5">
      <c r="B9512" s="15" t="s">
        <v>11869</v>
      </c>
      <c r="C9512" s="15" t="s">
        <v>11870</v>
      </c>
      <c r="D9512" s="15" t="s">
        <v>770</v>
      </c>
      <c r="E9512" s="15" t="s">
        <v>11871</v>
      </c>
    </row>
    <row r="9513" spans="2:5">
      <c r="B9513" s="15" t="s">
        <v>11869</v>
      </c>
      <c r="C9513" s="15" t="s">
        <v>11870</v>
      </c>
      <c r="D9513" s="15" t="s">
        <v>772</v>
      </c>
      <c r="E9513" s="15" t="s">
        <v>11872</v>
      </c>
    </row>
    <row r="9514" spans="2:5">
      <c r="B9514" s="15" t="s">
        <v>11869</v>
      </c>
      <c r="C9514" s="15" t="s">
        <v>11870</v>
      </c>
      <c r="D9514" s="15" t="s">
        <v>774</v>
      </c>
      <c r="E9514" s="15" t="s">
        <v>11873</v>
      </c>
    </row>
    <row r="9515" spans="2:5">
      <c r="B9515" s="15" t="s">
        <v>11869</v>
      </c>
      <c r="C9515" s="15" t="s">
        <v>11870</v>
      </c>
      <c r="D9515" s="15" t="s">
        <v>828</v>
      </c>
      <c r="E9515" s="15" t="s">
        <v>11874</v>
      </c>
    </row>
    <row r="9516" spans="2:5">
      <c r="B9516" s="15" t="s">
        <v>11869</v>
      </c>
      <c r="C9516" s="15" t="s">
        <v>11870</v>
      </c>
      <c r="D9516" s="15" t="s">
        <v>901</v>
      </c>
      <c r="E9516" s="15" t="s">
        <v>11875</v>
      </c>
    </row>
    <row r="9517" spans="2:5">
      <c r="B9517" s="15" t="s">
        <v>11869</v>
      </c>
      <c r="C9517" s="15" t="s">
        <v>11870</v>
      </c>
      <c r="D9517" s="15" t="s">
        <v>776</v>
      </c>
      <c r="E9517" s="15" t="s">
        <v>11876</v>
      </c>
    </row>
    <row r="9518" ht="15.95" spans="2:2">
      <c r="B9518" s="122" t="s">
        <v>11877</v>
      </c>
    </row>
    <row r="9519" spans="2:5">
      <c r="B9519" s="15" t="s">
        <v>11878</v>
      </c>
      <c r="C9519" s="15" t="s">
        <v>896</v>
      </c>
      <c r="D9519" s="15" t="s">
        <v>770</v>
      </c>
      <c r="E9519" s="15" t="s">
        <v>3173</v>
      </c>
    </row>
    <row r="9520" spans="2:5">
      <c r="B9520" s="15" t="s">
        <v>11878</v>
      </c>
      <c r="C9520" s="15" t="s">
        <v>896</v>
      </c>
      <c r="D9520" s="15" t="s">
        <v>772</v>
      </c>
      <c r="E9520" s="15" t="s">
        <v>3174</v>
      </c>
    </row>
    <row r="9521" spans="2:5">
      <c r="B9521" s="15" t="s">
        <v>11878</v>
      </c>
      <c r="C9521" s="15" t="s">
        <v>896</v>
      </c>
      <c r="D9521" s="15" t="s">
        <v>774</v>
      </c>
      <c r="E9521" s="15" t="s">
        <v>3175</v>
      </c>
    </row>
    <row r="9522" spans="2:5">
      <c r="B9522" s="15" t="s">
        <v>11878</v>
      </c>
      <c r="C9522" s="15" t="s">
        <v>896</v>
      </c>
      <c r="D9522" s="15" t="s">
        <v>828</v>
      </c>
      <c r="E9522" s="15" t="s">
        <v>3176</v>
      </c>
    </row>
    <row r="9523" ht="15.95" spans="2:2">
      <c r="B9523" s="122" t="s">
        <v>11879</v>
      </c>
    </row>
    <row r="9524" spans="2:5">
      <c r="B9524" s="15" t="s">
        <v>11880</v>
      </c>
      <c r="C9524" s="15" t="s">
        <v>11880</v>
      </c>
      <c r="D9524" s="15" t="s">
        <v>917</v>
      </c>
      <c r="E9524" s="15" t="s">
        <v>1674</v>
      </c>
    </row>
    <row r="9525" spans="2:5">
      <c r="B9525" s="15" t="s">
        <v>11880</v>
      </c>
      <c r="C9525" s="15" t="s">
        <v>11880</v>
      </c>
      <c r="D9525" s="15" t="s">
        <v>919</v>
      </c>
      <c r="E9525" s="15" t="s">
        <v>1675</v>
      </c>
    </row>
    <row r="9526" spans="2:5">
      <c r="B9526" s="15" t="s">
        <v>11880</v>
      </c>
      <c r="C9526" s="15" t="s">
        <v>11880</v>
      </c>
      <c r="D9526" s="15" t="s">
        <v>921</v>
      </c>
      <c r="E9526" s="15" t="s">
        <v>1676</v>
      </c>
    </row>
    <row r="9527" spans="2:5">
      <c r="B9527" s="15" t="s">
        <v>11880</v>
      </c>
      <c r="C9527" s="15" t="s">
        <v>11880</v>
      </c>
      <c r="D9527" s="15" t="s">
        <v>923</v>
      </c>
      <c r="E9527" s="15" t="s">
        <v>3184</v>
      </c>
    </row>
    <row r="9528" ht="15.95" spans="2:2">
      <c r="B9528" s="122" t="s">
        <v>11881</v>
      </c>
    </row>
    <row r="9529" spans="2:5">
      <c r="B9529" s="15" t="s">
        <v>11882</v>
      </c>
      <c r="C9529" s="15" t="s">
        <v>11883</v>
      </c>
      <c r="D9529" s="15" t="s">
        <v>770</v>
      </c>
      <c r="E9529" s="15" t="s">
        <v>11884</v>
      </c>
    </row>
    <row r="9530" spans="2:5">
      <c r="B9530" s="15" t="s">
        <v>11882</v>
      </c>
      <c r="C9530" s="15" t="s">
        <v>11883</v>
      </c>
      <c r="D9530" s="15" t="s">
        <v>772</v>
      </c>
      <c r="E9530" s="15" t="s">
        <v>11885</v>
      </c>
    </row>
    <row r="9531" spans="2:5">
      <c r="B9531" s="15" t="s">
        <v>11882</v>
      </c>
      <c r="C9531" s="15" t="s">
        <v>11883</v>
      </c>
      <c r="D9531" s="15" t="s">
        <v>774</v>
      </c>
      <c r="E9531" s="15" t="s">
        <v>11886</v>
      </c>
    </row>
    <row r="9532" spans="2:5">
      <c r="B9532" s="15" t="s">
        <v>11882</v>
      </c>
      <c r="C9532" s="15" t="s">
        <v>11883</v>
      </c>
      <c r="D9532" s="15" t="s">
        <v>828</v>
      </c>
      <c r="E9532" s="15" t="s">
        <v>11887</v>
      </c>
    </row>
    <row r="9533" spans="2:5">
      <c r="B9533" s="15" t="s">
        <v>11882</v>
      </c>
      <c r="C9533" s="15" t="s">
        <v>11883</v>
      </c>
      <c r="D9533" s="15" t="s">
        <v>1145</v>
      </c>
      <c r="E9533" s="15" t="s">
        <v>235</v>
      </c>
    </row>
    <row r="9534" ht="15.95" spans="2:2">
      <c r="B9534" s="122" t="s">
        <v>11888</v>
      </c>
    </row>
    <row r="9535" spans="2:5">
      <c r="B9535" s="15" t="s">
        <v>11889</v>
      </c>
      <c r="C9535" s="15" t="s">
        <v>7135</v>
      </c>
      <c r="D9535" s="15" t="s">
        <v>917</v>
      </c>
      <c r="E9535" s="15" t="s">
        <v>953</v>
      </c>
    </row>
    <row r="9536" spans="2:5">
      <c r="B9536" s="15" t="s">
        <v>11889</v>
      </c>
      <c r="C9536" s="15" t="s">
        <v>7135</v>
      </c>
      <c r="D9536" s="15" t="s">
        <v>919</v>
      </c>
      <c r="E9536" s="15" t="s">
        <v>954</v>
      </c>
    </row>
    <row r="9537" spans="2:5">
      <c r="B9537" s="15" t="s">
        <v>11889</v>
      </c>
      <c r="C9537" s="15" t="s">
        <v>7135</v>
      </c>
      <c r="D9537" s="15" t="s">
        <v>955</v>
      </c>
      <c r="E9537" s="15" t="s">
        <v>956</v>
      </c>
    </row>
    <row r="9538" ht="15.95" spans="2:2">
      <c r="B9538" s="122" t="s">
        <v>11890</v>
      </c>
    </row>
    <row r="9539" spans="2:5">
      <c r="B9539" s="15" t="s">
        <v>11891</v>
      </c>
      <c r="C9539" s="15" t="s">
        <v>2681</v>
      </c>
      <c r="D9539" s="15" t="s">
        <v>770</v>
      </c>
      <c r="E9539" s="15" t="s">
        <v>11892</v>
      </c>
    </row>
    <row r="9540" spans="2:5">
      <c r="B9540" s="15" t="s">
        <v>11891</v>
      </c>
      <c r="C9540" s="15" t="s">
        <v>2681</v>
      </c>
      <c r="D9540" s="15" t="s">
        <v>772</v>
      </c>
      <c r="E9540" s="15" t="s">
        <v>11893</v>
      </c>
    </row>
    <row r="9541" spans="2:5">
      <c r="B9541" s="15" t="s">
        <v>11891</v>
      </c>
      <c r="C9541" s="15" t="s">
        <v>2681</v>
      </c>
      <c r="D9541" s="15" t="s">
        <v>774</v>
      </c>
      <c r="E9541" s="15" t="s">
        <v>2682</v>
      </c>
    </row>
    <row r="9542" spans="2:5">
      <c r="B9542" s="15" t="s">
        <v>11891</v>
      </c>
      <c r="C9542" s="15" t="s">
        <v>2681</v>
      </c>
      <c r="D9542" s="15" t="s">
        <v>828</v>
      </c>
      <c r="E9542" s="15" t="s">
        <v>235</v>
      </c>
    </row>
    <row r="9543" ht="15.95" spans="2:2">
      <c r="B9543" s="122" t="s">
        <v>11894</v>
      </c>
    </row>
    <row r="9544" spans="2:5">
      <c r="B9544" s="15" t="s">
        <v>11895</v>
      </c>
      <c r="C9544" s="15" t="s">
        <v>11498</v>
      </c>
      <c r="D9544" s="15" t="s">
        <v>770</v>
      </c>
      <c r="E9544" s="15" t="s">
        <v>2354</v>
      </c>
    </row>
    <row r="9545" spans="2:5">
      <c r="B9545" s="15" t="s">
        <v>11895</v>
      </c>
      <c r="C9545" s="15" t="s">
        <v>11498</v>
      </c>
      <c r="D9545" s="15" t="s">
        <v>772</v>
      </c>
      <c r="E9545" s="15" t="s">
        <v>2355</v>
      </c>
    </row>
    <row r="9546" ht="15.95" spans="2:2">
      <c r="B9546" s="122" t="s">
        <v>11896</v>
      </c>
    </row>
    <row r="9547" spans="2:5">
      <c r="B9547" s="15" t="s">
        <v>11897</v>
      </c>
      <c r="C9547" s="15" t="s">
        <v>896</v>
      </c>
      <c r="D9547" s="15" t="s">
        <v>770</v>
      </c>
      <c r="E9547" s="15" t="s">
        <v>9197</v>
      </c>
    </row>
    <row r="9548" spans="2:5">
      <c r="B9548" s="15" t="s">
        <v>11897</v>
      </c>
      <c r="C9548" s="15" t="s">
        <v>896</v>
      </c>
      <c r="D9548" s="15" t="s">
        <v>772</v>
      </c>
      <c r="E9548" s="15" t="s">
        <v>9198</v>
      </c>
    </row>
    <row r="9549" spans="2:5">
      <c r="B9549" s="15" t="s">
        <v>11897</v>
      </c>
      <c r="C9549" s="15" t="s">
        <v>896</v>
      </c>
      <c r="D9549" s="15" t="s">
        <v>774</v>
      </c>
      <c r="E9549" s="15" t="s">
        <v>9199</v>
      </c>
    </row>
    <row r="9550" spans="2:5">
      <c r="B9550" s="15" t="s">
        <v>11897</v>
      </c>
      <c r="C9550" s="15" t="s">
        <v>896</v>
      </c>
      <c r="D9550" s="15" t="s">
        <v>828</v>
      </c>
      <c r="E9550" s="15" t="s">
        <v>9200</v>
      </c>
    </row>
    <row r="9551" spans="2:5">
      <c r="B9551" s="15" t="s">
        <v>11897</v>
      </c>
      <c r="C9551" s="15" t="s">
        <v>896</v>
      </c>
      <c r="D9551" s="15" t="s">
        <v>901</v>
      </c>
      <c r="E9551" s="15" t="s">
        <v>9201</v>
      </c>
    </row>
    <row r="9552" ht="15.95" spans="2:2">
      <c r="B9552" s="122" t="s">
        <v>11898</v>
      </c>
    </row>
    <row r="9553" spans="2:5">
      <c r="B9553" s="15" t="s">
        <v>11899</v>
      </c>
      <c r="C9553" s="15" t="s">
        <v>896</v>
      </c>
      <c r="D9553" s="15" t="s">
        <v>770</v>
      </c>
      <c r="E9553" s="15" t="s">
        <v>3261</v>
      </c>
    </row>
    <row r="9554" spans="2:5">
      <c r="B9554" s="15" t="s">
        <v>11899</v>
      </c>
      <c r="C9554" s="15" t="s">
        <v>896</v>
      </c>
      <c r="D9554" s="15" t="s">
        <v>772</v>
      </c>
      <c r="E9554" s="15" t="s">
        <v>3262</v>
      </c>
    </row>
    <row r="9555" spans="2:5">
      <c r="B9555" s="15" t="s">
        <v>11899</v>
      </c>
      <c r="C9555" s="15" t="s">
        <v>896</v>
      </c>
      <c r="D9555" s="15" t="s">
        <v>774</v>
      </c>
      <c r="E9555" s="15" t="s">
        <v>11900</v>
      </c>
    </row>
    <row r="9556" spans="2:5">
      <c r="B9556" s="15" t="s">
        <v>11899</v>
      </c>
      <c r="C9556" s="15" t="s">
        <v>896</v>
      </c>
      <c r="D9556" s="15" t="s">
        <v>828</v>
      </c>
      <c r="E9556" s="15" t="s">
        <v>3264</v>
      </c>
    </row>
    <row r="9557" ht="15.95" spans="2:2">
      <c r="B9557" s="122" t="s">
        <v>11901</v>
      </c>
    </row>
    <row r="9558" spans="2:5">
      <c r="B9558" s="15" t="s">
        <v>11902</v>
      </c>
      <c r="C9558" s="15" t="s">
        <v>11903</v>
      </c>
      <c r="D9558" s="15" t="s">
        <v>770</v>
      </c>
      <c r="E9558" s="15" t="s">
        <v>2436</v>
      </c>
    </row>
    <row r="9559" spans="2:5">
      <c r="B9559" s="15" t="s">
        <v>11902</v>
      </c>
      <c r="C9559" s="15" t="s">
        <v>11903</v>
      </c>
      <c r="D9559" s="15" t="s">
        <v>772</v>
      </c>
      <c r="E9559" s="15" t="s">
        <v>2308</v>
      </c>
    </row>
    <row r="9560" ht="15.95" spans="2:2">
      <c r="B9560" s="122" t="s">
        <v>11904</v>
      </c>
    </row>
    <row r="9561" spans="2:5">
      <c r="B9561" s="15" t="s">
        <v>11905</v>
      </c>
      <c r="C9561" s="15" t="s">
        <v>11906</v>
      </c>
      <c r="D9561" s="15" t="s">
        <v>635</v>
      </c>
      <c r="E9561" s="15" t="s">
        <v>636</v>
      </c>
    </row>
    <row r="9562" spans="2:5">
      <c r="B9562" s="15" t="s">
        <v>11905</v>
      </c>
      <c r="C9562" s="15" t="s">
        <v>11906</v>
      </c>
      <c r="D9562" s="15" t="s">
        <v>11907</v>
      </c>
      <c r="E9562" s="15" t="s">
        <v>11908</v>
      </c>
    </row>
    <row r="9563" spans="2:5">
      <c r="B9563" s="15" t="s">
        <v>11905</v>
      </c>
      <c r="C9563" s="15" t="s">
        <v>11906</v>
      </c>
      <c r="D9563" s="15" t="s">
        <v>637</v>
      </c>
      <c r="E9563" s="15" t="s">
        <v>2492</v>
      </c>
    </row>
    <row r="9564" spans="2:5">
      <c r="B9564" s="15" t="s">
        <v>11905</v>
      </c>
      <c r="C9564" s="15" t="s">
        <v>11906</v>
      </c>
      <c r="D9564" s="15" t="s">
        <v>641</v>
      </c>
      <c r="E9564" s="15" t="s">
        <v>3351</v>
      </c>
    </row>
    <row r="9565" spans="2:5">
      <c r="B9565" s="15" t="s">
        <v>11905</v>
      </c>
      <c r="C9565" s="15" t="s">
        <v>11906</v>
      </c>
      <c r="D9565" s="15" t="s">
        <v>1905</v>
      </c>
      <c r="E9565" s="15" t="s">
        <v>1990</v>
      </c>
    </row>
    <row r="9566" spans="2:5">
      <c r="B9566" s="15" t="s">
        <v>11905</v>
      </c>
      <c r="C9566" s="15" t="s">
        <v>11906</v>
      </c>
      <c r="D9566" s="15" t="s">
        <v>643</v>
      </c>
      <c r="E9566" s="15" t="s">
        <v>1991</v>
      </c>
    </row>
    <row r="9567" spans="2:5">
      <c r="B9567" s="15" t="s">
        <v>11905</v>
      </c>
      <c r="C9567" s="15" t="s">
        <v>11906</v>
      </c>
      <c r="D9567" s="15" t="s">
        <v>645</v>
      </c>
      <c r="E9567" s="15" t="s">
        <v>1992</v>
      </c>
    </row>
    <row r="9568" spans="2:5">
      <c r="B9568" s="15" t="s">
        <v>11905</v>
      </c>
      <c r="C9568" s="15" t="s">
        <v>11906</v>
      </c>
      <c r="D9568" s="15" t="s">
        <v>647</v>
      </c>
      <c r="E9568" s="15" t="s">
        <v>11909</v>
      </c>
    </row>
    <row r="9569" spans="2:5">
      <c r="B9569" s="15" t="s">
        <v>11905</v>
      </c>
      <c r="C9569" s="15" t="s">
        <v>11906</v>
      </c>
      <c r="D9569" s="15" t="s">
        <v>3352</v>
      </c>
      <c r="E9569" s="15" t="s">
        <v>1994</v>
      </c>
    </row>
    <row r="9570" spans="2:5">
      <c r="B9570" s="15" t="s">
        <v>11905</v>
      </c>
      <c r="C9570" s="15" t="s">
        <v>11906</v>
      </c>
      <c r="D9570" s="15" t="s">
        <v>649</v>
      </c>
      <c r="E9570" s="15" t="s">
        <v>1996</v>
      </c>
    </row>
    <row r="9571" spans="2:5">
      <c r="B9571" s="15" t="s">
        <v>11905</v>
      </c>
      <c r="C9571" s="15" t="s">
        <v>11906</v>
      </c>
      <c r="D9571" s="15" t="s">
        <v>651</v>
      </c>
      <c r="E9571" s="15" t="s">
        <v>1997</v>
      </c>
    </row>
    <row r="9572" spans="2:5">
      <c r="B9572" s="15" t="s">
        <v>11905</v>
      </c>
      <c r="C9572" s="15" t="s">
        <v>11906</v>
      </c>
      <c r="D9572" s="15" t="s">
        <v>653</v>
      </c>
      <c r="E9572" s="15" t="s">
        <v>1999</v>
      </c>
    </row>
    <row r="9573" spans="2:5">
      <c r="B9573" s="15" t="s">
        <v>11905</v>
      </c>
      <c r="C9573" s="15" t="s">
        <v>11906</v>
      </c>
      <c r="D9573" s="15" t="s">
        <v>3353</v>
      </c>
      <c r="E9573" s="15" t="s">
        <v>2001</v>
      </c>
    </row>
    <row r="9574" spans="2:5">
      <c r="B9574" s="15" t="s">
        <v>11905</v>
      </c>
      <c r="C9574" s="15" t="s">
        <v>11906</v>
      </c>
      <c r="D9574" s="15" t="s">
        <v>3354</v>
      </c>
      <c r="E9574" s="15" t="s">
        <v>2003</v>
      </c>
    </row>
    <row r="9575" spans="2:5">
      <c r="B9575" s="15" t="s">
        <v>11905</v>
      </c>
      <c r="C9575" s="15" t="s">
        <v>11906</v>
      </c>
      <c r="D9575" s="15" t="s">
        <v>3355</v>
      </c>
      <c r="E9575" s="15" t="s">
        <v>2005</v>
      </c>
    </row>
    <row r="9576" spans="2:5">
      <c r="B9576" s="15" t="s">
        <v>11905</v>
      </c>
      <c r="C9576" s="15" t="s">
        <v>11906</v>
      </c>
      <c r="D9576" s="15" t="s">
        <v>3356</v>
      </c>
      <c r="E9576" s="15" t="s">
        <v>2007</v>
      </c>
    </row>
    <row r="9577" spans="2:5">
      <c r="B9577" s="15" t="s">
        <v>11905</v>
      </c>
      <c r="C9577" s="15" t="s">
        <v>11906</v>
      </c>
      <c r="D9577" s="15" t="s">
        <v>3357</v>
      </c>
      <c r="E9577" s="15" t="s">
        <v>652</v>
      </c>
    </row>
    <row r="9578" spans="2:5">
      <c r="B9578" s="15" t="s">
        <v>11905</v>
      </c>
      <c r="C9578" s="15" t="s">
        <v>11906</v>
      </c>
      <c r="D9578" s="15" t="s">
        <v>655</v>
      </c>
      <c r="E9578" s="15" t="s">
        <v>654</v>
      </c>
    </row>
    <row r="9579" spans="2:5">
      <c r="B9579" s="15" t="s">
        <v>11905</v>
      </c>
      <c r="C9579" s="15" t="s">
        <v>11906</v>
      </c>
      <c r="D9579" s="15" t="s">
        <v>657</v>
      </c>
      <c r="E9579" s="15" t="s">
        <v>2015</v>
      </c>
    </row>
    <row r="9580" spans="2:5">
      <c r="B9580" s="15" t="s">
        <v>11905</v>
      </c>
      <c r="C9580" s="15" t="s">
        <v>11906</v>
      </c>
      <c r="D9580" s="15" t="s">
        <v>1998</v>
      </c>
      <c r="E9580" s="15" t="s">
        <v>706</v>
      </c>
    </row>
    <row r="9581" spans="2:5">
      <c r="B9581" s="15" t="s">
        <v>11905</v>
      </c>
      <c r="C9581" s="15" t="s">
        <v>11906</v>
      </c>
      <c r="D9581" s="15" t="s">
        <v>659</v>
      </c>
      <c r="E9581" s="15" t="s">
        <v>660</v>
      </c>
    </row>
    <row r="9582" spans="2:5">
      <c r="B9582" s="15" t="s">
        <v>11905</v>
      </c>
      <c r="C9582" s="15" t="s">
        <v>11906</v>
      </c>
      <c r="D9582" s="15" t="s">
        <v>661</v>
      </c>
      <c r="E9582" s="15" t="s">
        <v>2017</v>
      </c>
    </row>
    <row r="9583" spans="2:5">
      <c r="B9583" s="15" t="s">
        <v>11905</v>
      </c>
      <c r="C9583" s="15" t="s">
        <v>11906</v>
      </c>
      <c r="D9583" s="15" t="s">
        <v>663</v>
      </c>
      <c r="E9583" s="15" t="s">
        <v>3360</v>
      </c>
    </row>
    <row r="9584" spans="2:5">
      <c r="B9584" s="15" t="s">
        <v>11905</v>
      </c>
      <c r="C9584" s="15" t="s">
        <v>11906</v>
      </c>
      <c r="D9584" s="15" t="s">
        <v>3361</v>
      </c>
      <c r="E9584" s="15" t="s">
        <v>3362</v>
      </c>
    </row>
    <row r="9585" spans="2:5">
      <c r="B9585" s="15" t="s">
        <v>11905</v>
      </c>
      <c r="C9585" s="15" t="s">
        <v>11906</v>
      </c>
      <c r="D9585" s="15" t="s">
        <v>3363</v>
      </c>
      <c r="E9585" s="15" t="s">
        <v>3364</v>
      </c>
    </row>
    <row r="9586" spans="2:5">
      <c r="B9586" s="15" t="s">
        <v>11905</v>
      </c>
      <c r="C9586" s="15" t="s">
        <v>11906</v>
      </c>
      <c r="D9586" s="15" t="s">
        <v>3365</v>
      </c>
      <c r="E9586" s="15" t="s">
        <v>3366</v>
      </c>
    </row>
    <row r="9587" spans="2:5">
      <c r="B9587" s="15" t="s">
        <v>11905</v>
      </c>
      <c r="C9587" s="15" t="s">
        <v>11906</v>
      </c>
      <c r="D9587" s="15" t="s">
        <v>3367</v>
      </c>
      <c r="E9587" s="15" t="s">
        <v>3368</v>
      </c>
    </row>
    <row r="9588" spans="2:5">
      <c r="B9588" s="15" t="s">
        <v>11905</v>
      </c>
      <c r="C9588" s="15" t="s">
        <v>11906</v>
      </c>
      <c r="D9588" s="15" t="s">
        <v>3369</v>
      </c>
      <c r="E9588" s="15" t="s">
        <v>3370</v>
      </c>
    </row>
    <row r="9589" spans="2:5">
      <c r="B9589" s="15" t="s">
        <v>11905</v>
      </c>
      <c r="C9589" s="15" t="s">
        <v>11906</v>
      </c>
      <c r="D9589" s="15" t="s">
        <v>3371</v>
      </c>
      <c r="E9589" s="15" t="s">
        <v>3372</v>
      </c>
    </row>
    <row r="9590" spans="2:5">
      <c r="B9590" s="15" t="s">
        <v>11905</v>
      </c>
      <c r="C9590" s="15" t="s">
        <v>11906</v>
      </c>
      <c r="D9590" s="15" t="s">
        <v>3373</v>
      </c>
      <c r="E9590" s="15" t="s">
        <v>698</v>
      </c>
    </row>
    <row r="9591" spans="2:5">
      <c r="B9591" s="15" t="s">
        <v>11905</v>
      </c>
      <c r="C9591" s="15" t="s">
        <v>11906</v>
      </c>
      <c r="D9591" s="15" t="s">
        <v>705</v>
      </c>
      <c r="E9591" s="15" t="s">
        <v>2018</v>
      </c>
    </row>
    <row r="9592" spans="2:5">
      <c r="B9592" s="15" t="s">
        <v>11905</v>
      </c>
      <c r="C9592" s="15" t="s">
        <v>11906</v>
      </c>
      <c r="D9592" s="15" t="s">
        <v>707</v>
      </c>
      <c r="E9592" s="15" t="s">
        <v>3374</v>
      </c>
    </row>
    <row r="9593" spans="2:5">
      <c r="B9593" s="15" t="s">
        <v>11905</v>
      </c>
      <c r="C9593" s="15" t="s">
        <v>11906</v>
      </c>
      <c r="D9593" s="15" t="s">
        <v>3375</v>
      </c>
      <c r="E9593" s="15" t="s">
        <v>3376</v>
      </c>
    </row>
    <row r="9594" spans="2:5">
      <c r="B9594" s="15" t="s">
        <v>11905</v>
      </c>
      <c r="C9594" s="15" t="s">
        <v>11906</v>
      </c>
      <c r="D9594" s="15" t="s">
        <v>3377</v>
      </c>
      <c r="E9594" s="15" t="s">
        <v>2033</v>
      </c>
    </row>
    <row r="9595" spans="2:5">
      <c r="B9595" s="15" t="s">
        <v>11905</v>
      </c>
      <c r="C9595" s="15" t="s">
        <v>11906</v>
      </c>
      <c r="D9595" s="15" t="s">
        <v>3378</v>
      </c>
      <c r="E9595" s="15" t="s">
        <v>2035</v>
      </c>
    </row>
    <row r="9596" spans="2:5">
      <c r="B9596" s="15" t="s">
        <v>11905</v>
      </c>
      <c r="C9596" s="15" t="s">
        <v>11906</v>
      </c>
      <c r="D9596" s="15" t="s">
        <v>3379</v>
      </c>
      <c r="E9596" s="15" t="s">
        <v>2037</v>
      </c>
    </row>
    <row r="9597" spans="2:5">
      <c r="B9597" s="15" t="s">
        <v>11905</v>
      </c>
      <c r="C9597" s="15" t="s">
        <v>11906</v>
      </c>
      <c r="D9597" s="15" t="s">
        <v>3380</v>
      </c>
      <c r="E9597" s="15" t="s">
        <v>2039</v>
      </c>
    </row>
    <row r="9598" spans="2:5">
      <c r="B9598" s="15" t="s">
        <v>11905</v>
      </c>
      <c r="C9598" s="15" t="s">
        <v>11906</v>
      </c>
      <c r="D9598" s="15" t="s">
        <v>3381</v>
      </c>
      <c r="E9598" s="15" t="s">
        <v>3382</v>
      </c>
    </row>
    <row r="9599" spans="2:5">
      <c r="B9599" s="15" t="s">
        <v>11905</v>
      </c>
      <c r="C9599" s="15" t="s">
        <v>11906</v>
      </c>
      <c r="D9599" s="15" t="s">
        <v>2020</v>
      </c>
      <c r="E9599" s="15" t="s">
        <v>3383</v>
      </c>
    </row>
    <row r="9600" spans="2:5">
      <c r="B9600" s="15" t="s">
        <v>11905</v>
      </c>
      <c r="C9600" s="15" t="s">
        <v>11906</v>
      </c>
      <c r="D9600" s="15" t="s">
        <v>2022</v>
      </c>
      <c r="E9600" s="15" t="s">
        <v>2023</v>
      </c>
    </row>
    <row r="9601" spans="2:5">
      <c r="B9601" s="15" t="s">
        <v>11905</v>
      </c>
      <c r="C9601" s="15" t="s">
        <v>11906</v>
      </c>
      <c r="D9601" s="15" t="s">
        <v>709</v>
      </c>
      <c r="E9601" s="15" t="s">
        <v>3384</v>
      </c>
    </row>
    <row r="9602" spans="2:5">
      <c r="B9602" s="15" t="s">
        <v>11905</v>
      </c>
      <c r="C9602" s="15" t="s">
        <v>11906</v>
      </c>
      <c r="D9602" s="15" t="s">
        <v>711</v>
      </c>
      <c r="E9602" s="15" t="s">
        <v>3376</v>
      </c>
    </row>
    <row r="9603" spans="2:5">
      <c r="B9603" s="15" t="s">
        <v>11905</v>
      </c>
      <c r="C9603" s="15" t="s">
        <v>11906</v>
      </c>
      <c r="D9603" s="15" t="s">
        <v>2042</v>
      </c>
      <c r="E9603" s="15" t="s">
        <v>2033</v>
      </c>
    </row>
    <row r="9604" spans="2:5">
      <c r="B9604" s="15" t="s">
        <v>11905</v>
      </c>
      <c r="C9604" s="15" t="s">
        <v>11906</v>
      </c>
      <c r="D9604" s="15" t="s">
        <v>3385</v>
      </c>
      <c r="E9604" s="15" t="s">
        <v>2035</v>
      </c>
    </row>
    <row r="9605" spans="2:5">
      <c r="B9605" s="15" t="s">
        <v>11905</v>
      </c>
      <c r="C9605" s="15" t="s">
        <v>11906</v>
      </c>
      <c r="D9605" s="15" t="s">
        <v>3386</v>
      </c>
      <c r="E9605" s="15" t="s">
        <v>2037</v>
      </c>
    </row>
    <row r="9606" spans="2:5">
      <c r="B9606" s="15" t="s">
        <v>11905</v>
      </c>
      <c r="C9606" s="15" t="s">
        <v>11906</v>
      </c>
      <c r="D9606" s="15" t="s">
        <v>3387</v>
      </c>
      <c r="E9606" s="15" t="s">
        <v>2039</v>
      </c>
    </row>
    <row r="9607" spans="2:5">
      <c r="B9607" s="15" t="s">
        <v>11905</v>
      </c>
      <c r="C9607" s="15" t="s">
        <v>11906</v>
      </c>
      <c r="D9607" s="15" t="s">
        <v>3388</v>
      </c>
      <c r="E9607" s="15" t="s">
        <v>3382</v>
      </c>
    </row>
    <row r="9608" spans="2:5">
      <c r="B9608" s="15" t="s">
        <v>11905</v>
      </c>
      <c r="C9608" s="15" t="s">
        <v>11906</v>
      </c>
      <c r="D9608" s="15" t="s">
        <v>3389</v>
      </c>
      <c r="E9608" s="15" t="s">
        <v>2041</v>
      </c>
    </row>
    <row r="9609" spans="2:5">
      <c r="B9609" s="15" t="s">
        <v>11905</v>
      </c>
      <c r="C9609" s="15" t="s">
        <v>11906</v>
      </c>
      <c r="D9609" s="15" t="s">
        <v>3390</v>
      </c>
      <c r="E9609" s="15" t="s">
        <v>2043</v>
      </c>
    </row>
    <row r="9610" spans="2:5">
      <c r="B9610" s="15" t="s">
        <v>11905</v>
      </c>
      <c r="C9610" s="15" t="s">
        <v>11906</v>
      </c>
      <c r="D9610" s="15" t="s">
        <v>3391</v>
      </c>
      <c r="E9610" s="15" t="s">
        <v>2057</v>
      </c>
    </row>
    <row r="9611" spans="2:5">
      <c r="B9611" s="15" t="s">
        <v>11905</v>
      </c>
      <c r="C9611" s="15" t="s">
        <v>11906</v>
      </c>
      <c r="D9611" s="15" t="s">
        <v>842</v>
      </c>
      <c r="E9611" s="15" t="s">
        <v>3392</v>
      </c>
    </row>
    <row r="9612" spans="2:5">
      <c r="B9612" s="15" t="s">
        <v>11905</v>
      </c>
      <c r="C9612" s="15" t="s">
        <v>11906</v>
      </c>
      <c r="D9612" s="15" t="s">
        <v>2075</v>
      </c>
      <c r="E9612" s="15" t="s">
        <v>666</v>
      </c>
    </row>
    <row r="9613" spans="2:5">
      <c r="B9613" s="15" t="s">
        <v>11905</v>
      </c>
      <c r="C9613" s="15" t="s">
        <v>11906</v>
      </c>
      <c r="D9613" s="15" t="s">
        <v>3393</v>
      </c>
      <c r="E9613" s="15" t="s">
        <v>3394</v>
      </c>
    </row>
    <row r="9614" spans="2:5">
      <c r="B9614" s="15" t="s">
        <v>11905</v>
      </c>
      <c r="C9614" s="15" t="s">
        <v>11906</v>
      </c>
      <c r="D9614" s="15" t="s">
        <v>2077</v>
      </c>
      <c r="E9614" s="15" t="s">
        <v>712</v>
      </c>
    </row>
    <row r="9615" spans="2:5">
      <c r="B9615" s="15" t="s">
        <v>11905</v>
      </c>
      <c r="C9615" s="15" t="s">
        <v>11906</v>
      </c>
      <c r="D9615" s="15" t="s">
        <v>2079</v>
      </c>
      <c r="E9615" s="15" t="s">
        <v>3395</v>
      </c>
    </row>
    <row r="9616" spans="2:5">
      <c r="B9616" s="15" t="s">
        <v>11905</v>
      </c>
      <c r="C9616" s="15" t="s">
        <v>11906</v>
      </c>
      <c r="D9616" s="15" t="s">
        <v>3396</v>
      </c>
      <c r="E9616" s="15" t="s">
        <v>3397</v>
      </c>
    </row>
    <row r="9617" spans="2:5">
      <c r="B9617" s="15" t="s">
        <v>11905</v>
      </c>
      <c r="C9617" s="15" t="s">
        <v>11906</v>
      </c>
      <c r="D9617" s="15" t="s">
        <v>3398</v>
      </c>
      <c r="E9617" s="15" t="s">
        <v>3399</v>
      </c>
    </row>
    <row r="9618" spans="2:5">
      <c r="B9618" s="15" t="s">
        <v>11905</v>
      </c>
      <c r="C9618" s="15" t="s">
        <v>11906</v>
      </c>
      <c r="D9618" s="15" t="s">
        <v>844</v>
      </c>
      <c r="E9618" s="15" t="s">
        <v>2048</v>
      </c>
    </row>
    <row r="9619" spans="2:5">
      <c r="B9619" s="15" t="s">
        <v>11905</v>
      </c>
      <c r="C9619" s="15" t="s">
        <v>11906</v>
      </c>
      <c r="D9619" s="15" t="s">
        <v>2084</v>
      </c>
      <c r="E9619" s="15" t="s">
        <v>3404</v>
      </c>
    </row>
    <row r="9620" spans="2:5">
      <c r="B9620" s="15" t="s">
        <v>11905</v>
      </c>
      <c r="C9620" s="15" t="s">
        <v>11906</v>
      </c>
      <c r="D9620" s="15" t="s">
        <v>846</v>
      </c>
      <c r="E9620" s="15" t="s">
        <v>3405</v>
      </c>
    </row>
    <row r="9621" spans="2:5">
      <c r="B9621" s="15" t="s">
        <v>11905</v>
      </c>
      <c r="C9621" s="15" t="s">
        <v>11906</v>
      </c>
      <c r="D9621" s="15" t="s">
        <v>713</v>
      </c>
      <c r="E9621" s="15" t="s">
        <v>714</v>
      </c>
    </row>
    <row r="9622" spans="2:5">
      <c r="B9622" s="15" t="s">
        <v>11905</v>
      </c>
      <c r="C9622" s="15" t="s">
        <v>11906</v>
      </c>
      <c r="D9622" s="15" t="s">
        <v>715</v>
      </c>
      <c r="E9622" s="15" t="s">
        <v>716</v>
      </c>
    </row>
    <row r="9623" spans="2:5">
      <c r="B9623" s="15" t="s">
        <v>11905</v>
      </c>
      <c r="C9623" s="15" t="s">
        <v>11906</v>
      </c>
      <c r="D9623" s="15" t="s">
        <v>717</v>
      </c>
      <c r="E9623" s="15" t="s">
        <v>718</v>
      </c>
    </row>
    <row r="9624" spans="2:5">
      <c r="B9624" s="15" t="s">
        <v>11905</v>
      </c>
      <c r="C9624" s="15" t="s">
        <v>11906</v>
      </c>
      <c r="D9624" s="15" t="s">
        <v>719</v>
      </c>
      <c r="E9624" s="15" t="s">
        <v>720</v>
      </c>
    </row>
    <row r="9625" ht="15.95" spans="2:2">
      <c r="B9625" s="122" t="s">
        <v>11910</v>
      </c>
    </row>
    <row r="9626" spans="2:5">
      <c r="B9626" s="15" t="s">
        <v>11911</v>
      </c>
      <c r="C9626" s="15" t="s">
        <v>10861</v>
      </c>
      <c r="D9626" s="15" t="s">
        <v>770</v>
      </c>
      <c r="E9626" s="15" t="s">
        <v>3074</v>
      </c>
    </row>
    <row r="9627" spans="2:5">
      <c r="B9627" s="15" t="s">
        <v>11911</v>
      </c>
      <c r="C9627" s="15" t="s">
        <v>10861</v>
      </c>
      <c r="D9627" s="15" t="s">
        <v>772</v>
      </c>
      <c r="E9627" s="15" t="s">
        <v>3075</v>
      </c>
    </row>
    <row r="9628" spans="2:5">
      <c r="B9628" s="15" t="s">
        <v>11911</v>
      </c>
      <c r="C9628" s="15" t="s">
        <v>10861</v>
      </c>
      <c r="D9628" s="15" t="s">
        <v>774</v>
      </c>
      <c r="E9628" s="15" t="s">
        <v>3076</v>
      </c>
    </row>
    <row r="9629" ht="15.95" spans="2:2">
      <c r="B9629" s="122" t="s">
        <v>11912</v>
      </c>
    </row>
    <row r="9630" spans="2:5">
      <c r="B9630" s="15" t="s">
        <v>11913</v>
      </c>
      <c r="C9630" s="15" t="s">
        <v>11914</v>
      </c>
      <c r="D9630" s="15" t="s">
        <v>1267</v>
      </c>
      <c r="E9630" s="15" t="s">
        <v>1268</v>
      </c>
    </row>
    <row r="9631" spans="2:5">
      <c r="B9631" s="15" t="s">
        <v>11913</v>
      </c>
      <c r="C9631" s="15" t="s">
        <v>11914</v>
      </c>
      <c r="D9631" s="15" t="s">
        <v>1269</v>
      </c>
      <c r="E9631" s="15" t="s">
        <v>1270</v>
      </c>
    </row>
    <row r="9632" ht="15.95" spans="2:2">
      <c r="B9632" s="122" t="s">
        <v>11915</v>
      </c>
    </row>
    <row r="9633" spans="2:5">
      <c r="B9633" s="15" t="s">
        <v>11916</v>
      </c>
      <c r="C9633" s="15" t="s">
        <v>8898</v>
      </c>
      <c r="D9633" s="15" t="s">
        <v>933</v>
      </c>
      <c r="E9633" s="15" t="s">
        <v>906</v>
      </c>
    </row>
    <row r="9634" spans="2:5">
      <c r="B9634" s="15" t="s">
        <v>11916</v>
      </c>
      <c r="C9634" s="15" t="s">
        <v>8898</v>
      </c>
      <c r="D9634" s="15" t="s">
        <v>937</v>
      </c>
      <c r="E9634" s="15" t="s">
        <v>907</v>
      </c>
    </row>
    <row r="9635" spans="2:5">
      <c r="B9635" s="15" t="s">
        <v>11916</v>
      </c>
      <c r="C9635" s="15" t="s">
        <v>8898</v>
      </c>
      <c r="D9635" s="15" t="s">
        <v>939</v>
      </c>
      <c r="E9635" s="15" t="s">
        <v>6691</v>
      </c>
    </row>
    <row r="9636" ht="15.95" spans="2:2">
      <c r="B9636" s="122" t="s">
        <v>11917</v>
      </c>
    </row>
    <row r="9637" spans="2:5">
      <c r="B9637" s="15" t="s">
        <v>11918</v>
      </c>
      <c r="C9637" s="15" t="s">
        <v>11919</v>
      </c>
      <c r="D9637" s="15" t="s">
        <v>917</v>
      </c>
      <c r="E9637" s="15" t="s">
        <v>953</v>
      </c>
    </row>
    <row r="9638" spans="2:5">
      <c r="B9638" s="15" t="s">
        <v>11918</v>
      </c>
      <c r="C9638" s="15" t="s">
        <v>11919</v>
      </c>
      <c r="D9638" s="15" t="s">
        <v>919</v>
      </c>
      <c r="E9638" s="15" t="s">
        <v>954</v>
      </c>
    </row>
    <row r="9639" spans="2:5">
      <c r="B9639" s="15" t="s">
        <v>11918</v>
      </c>
      <c r="C9639" s="15" t="s">
        <v>11919</v>
      </c>
      <c r="D9639" s="15" t="s">
        <v>955</v>
      </c>
      <c r="E9639" s="15" t="s">
        <v>956</v>
      </c>
    </row>
    <row r="9640" ht="15.95" spans="2:2">
      <c r="B9640" s="122" t="s">
        <v>11920</v>
      </c>
    </row>
    <row r="9641" spans="2:5">
      <c r="B9641" s="15" t="s">
        <v>11921</v>
      </c>
      <c r="C9641" s="15" t="s">
        <v>11922</v>
      </c>
      <c r="D9641" s="15" t="s">
        <v>917</v>
      </c>
      <c r="E9641" s="15" t="s">
        <v>1930</v>
      </c>
    </row>
    <row r="9642" spans="2:5">
      <c r="B9642" s="15" t="s">
        <v>11921</v>
      </c>
      <c r="C9642" s="15" t="s">
        <v>11922</v>
      </c>
      <c r="D9642" s="15" t="s">
        <v>919</v>
      </c>
      <c r="E9642" s="15" t="s">
        <v>954</v>
      </c>
    </row>
    <row r="9643" spans="2:5">
      <c r="B9643" s="15" t="s">
        <v>11921</v>
      </c>
      <c r="C9643" s="15" t="s">
        <v>11922</v>
      </c>
      <c r="D9643" s="15" t="s">
        <v>921</v>
      </c>
      <c r="E9643" s="15" t="s">
        <v>1931</v>
      </c>
    </row>
    <row r="9644" ht="15.95" spans="2:2">
      <c r="B9644" s="122" t="s">
        <v>11923</v>
      </c>
    </row>
    <row r="9645" spans="2:5">
      <c r="B9645" s="15" t="s">
        <v>11924</v>
      </c>
      <c r="C9645" s="15" t="s">
        <v>11924</v>
      </c>
      <c r="D9645" s="15" t="s">
        <v>770</v>
      </c>
      <c r="E9645" s="15" t="s">
        <v>11925</v>
      </c>
    </row>
    <row r="9646" spans="2:5">
      <c r="B9646" s="15" t="s">
        <v>11924</v>
      </c>
      <c r="C9646" s="15" t="s">
        <v>11924</v>
      </c>
      <c r="D9646" s="15" t="s">
        <v>772</v>
      </c>
      <c r="E9646" s="15" t="s">
        <v>11926</v>
      </c>
    </row>
    <row r="9647" spans="2:5">
      <c r="B9647" s="15" t="s">
        <v>11924</v>
      </c>
      <c r="C9647" s="15" t="s">
        <v>11924</v>
      </c>
      <c r="D9647" s="15" t="s">
        <v>774</v>
      </c>
      <c r="E9647" s="15" t="s">
        <v>11927</v>
      </c>
    </row>
    <row r="9648" spans="2:5">
      <c r="B9648" s="15" t="s">
        <v>11924</v>
      </c>
      <c r="C9648" s="15" t="s">
        <v>11924</v>
      </c>
      <c r="D9648" s="15" t="s">
        <v>828</v>
      </c>
      <c r="E9648" s="15" t="s">
        <v>11928</v>
      </c>
    </row>
    <row r="9649" spans="2:5">
      <c r="B9649" s="15" t="s">
        <v>11924</v>
      </c>
      <c r="C9649" s="15" t="s">
        <v>11924</v>
      </c>
      <c r="D9649" s="15" t="s">
        <v>901</v>
      </c>
      <c r="E9649" s="15" t="s">
        <v>11929</v>
      </c>
    </row>
    <row r="9650" spans="2:5">
      <c r="B9650" s="15" t="s">
        <v>11924</v>
      </c>
      <c r="C9650" s="15" t="s">
        <v>11924</v>
      </c>
      <c r="D9650" s="15" t="s">
        <v>776</v>
      </c>
      <c r="E9650" s="15" t="s">
        <v>235</v>
      </c>
    </row>
    <row r="9651" ht="15.95" spans="2:2">
      <c r="B9651" s="122" t="s">
        <v>11930</v>
      </c>
    </row>
    <row r="9652" spans="2:5">
      <c r="B9652" s="15" t="s">
        <v>11931</v>
      </c>
      <c r="C9652" s="15" t="s">
        <v>11931</v>
      </c>
      <c r="D9652" s="15" t="s">
        <v>723</v>
      </c>
      <c r="E9652" s="15" t="s">
        <v>11932</v>
      </c>
    </row>
    <row r="9653" spans="2:5">
      <c r="B9653" s="15" t="s">
        <v>11931</v>
      </c>
      <c r="C9653" s="15" t="s">
        <v>11931</v>
      </c>
      <c r="D9653" s="15" t="s">
        <v>725</v>
      </c>
      <c r="E9653" s="15" t="s">
        <v>11321</v>
      </c>
    </row>
    <row r="9654" spans="2:5">
      <c r="B9654" s="15" t="s">
        <v>11931</v>
      </c>
      <c r="C9654" s="15" t="s">
        <v>11931</v>
      </c>
      <c r="D9654" s="15" t="s">
        <v>727</v>
      </c>
      <c r="E9654" s="15" t="s">
        <v>11933</v>
      </c>
    </row>
    <row r="9655" spans="2:5">
      <c r="B9655" s="15" t="s">
        <v>11931</v>
      </c>
      <c r="C9655" s="15" t="s">
        <v>11931</v>
      </c>
      <c r="D9655" s="15" t="s">
        <v>729</v>
      </c>
      <c r="E9655" s="15" t="s">
        <v>11934</v>
      </c>
    </row>
    <row r="9656" ht="15.95" spans="2:2">
      <c r="B9656" s="122" t="s">
        <v>11935</v>
      </c>
    </row>
    <row r="9657" spans="2:5">
      <c r="B9657" s="15" t="s">
        <v>1548</v>
      </c>
      <c r="C9657" s="15" t="s">
        <v>1548</v>
      </c>
      <c r="D9657" s="15" t="s">
        <v>723</v>
      </c>
      <c r="E9657" s="15" t="s">
        <v>1549</v>
      </c>
    </row>
    <row r="9658" spans="2:5">
      <c r="B9658" s="15" t="s">
        <v>1548</v>
      </c>
      <c r="C9658" s="15" t="s">
        <v>1548</v>
      </c>
      <c r="D9658" s="15" t="s">
        <v>725</v>
      </c>
      <c r="E9658" s="15" t="s">
        <v>1550</v>
      </c>
    </row>
    <row r="9659" spans="2:5">
      <c r="B9659" s="15" t="s">
        <v>1548</v>
      </c>
      <c r="C9659" s="15" t="s">
        <v>1548</v>
      </c>
      <c r="D9659" s="15" t="s">
        <v>727</v>
      </c>
      <c r="E9659" s="15" t="s">
        <v>1551</v>
      </c>
    </row>
    <row r="9660" spans="2:5">
      <c r="B9660" s="15" t="s">
        <v>1548</v>
      </c>
      <c r="C9660" s="15" t="s">
        <v>1548</v>
      </c>
      <c r="D9660" s="15" t="s">
        <v>729</v>
      </c>
      <c r="E9660" s="15" t="s">
        <v>1552</v>
      </c>
    </row>
    <row r="9661" ht="15.95" spans="2:2">
      <c r="B9661" s="122" t="s">
        <v>11936</v>
      </c>
    </row>
    <row r="9662" spans="2:5">
      <c r="B9662" s="15" t="s">
        <v>11937</v>
      </c>
      <c r="C9662" s="15" t="s">
        <v>11938</v>
      </c>
      <c r="D9662" s="15" t="s">
        <v>770</v>
      </c>
      <c r="E9662" s="15" t="s">
        <v>7352</v>
      </c>
    </row>
    <row r="9663" spans="2:5">
      <c r="B9663" s="15" t="s">
        <v>11937</v>
      </c>
      <c r="C9663" s="15" t="s">
        <v>11938</v>
      </c>
      <c r="D9663" s="15" t="s">
        <v>772</v>
      </c>
      <c r="E9663" s="15" t="s">
        <v>7351</v>
      </c>
    </row>
    <row r="9664" ht="15.95" spans="2:2">
      <c r="B9664" s="122" t="s">
        <v>11939</v>
      </c>
    </row>
    <row r="9665" spans="2:5">
      <c r="B9665" s="15" t="s">
        <v>11940</v>
      </c>
      <c r="C9665" s="15" t="s">
        <v>11941</v>
      </c>
      <c r="D9665" s="15" t="s">
        <v>723</v>
      </c>
      <c r="E9665" s="15" t="s">
        <v>11942</v>
      </c>
    </row>
    <row r="9666" spans="2:5">
      <c r="B9666" s="15" t="s">
        <v>11940</v>
      </c>
      <c r="C9666" s="15" t="s">
        <v>11941</v>
      </c>
      <c r="D9666" s="15" t="s">
        <v>725</v>
      </c>
      <c r="E9666" s="15" t="s">
        <v>11943</v>
      </c>
    </row>
    <row r="9667" ht="15.95" spans="2:2">
      <c r="B9667" s="122" t="s">
        <v>11944</v>
      </c>
    </row>
    <row r="9668" spans="2:5">
      <c r="B9668" s="15" t="s">
        <v>11945</v>
      </c>
      <c r="C9668" s="15" t="s">
        <v>11946</v>
      </c>
      <c r="D9668" s="15" t="s">
        <v>1432</v>
      </c>
      <c r="E9668" s="15" t="s">
        <v>4300</v>
      </c>
    </row>
    <row r="9669" spans="2:5">
      <c r="B9669" s="15" t="s">
        <v>11945</v>
      </c>
      <c r="C9669" s="15" t="s">
        <v>11946</v>
      </c>
      <c r="D9669" s="15" t="s">
        <v>723</v>
      </c>
      <c r="E9669" s="15" t="s">
        <v>11947</v>
      </c>
    </row>
    <row r="9670" spans="2:5">
      <c r="B9670" s="15" t="s">
        <v>11945</v>
      </c>
      <c r="C9670" s="15" t="s">
        <v>11946</v>
      </c>
      <c r="D9670" s="15" t="s">
        <v>725</v>
      </c>
      <c r="E9670" s="15" t="s">
        <v>11948</v>
      </c>
    </row>
    <row r="9671" ht="15.95" spans="2:2">
      <c r="B9671" s="122" t="s">
        <v>11949</v>
      </c>
    </row>
    <row r="9672" spans="2:5">
      <c r="B9672" s="15" t="s">
        <v>11950</v>
      </c>
      <c r="C9672" s="15" t="s">
        <v>11951</v>
      </c>
      <c r="D9672" s="15" t="s">
        <v>770</v>
      </c>
      <c r="E9672" s="15" t="s">
        <v>2152</v>
      </c>
    </row>
    <row r="9673" spans="2:5">
      <c r="B9673" s="15" t="s">
        <v>11950</v>
      </c>
      <c r="C9673" s="15" t="s">
        <v>11951</v>
      </c>
      <c r="D9673" s="15" t="s">
        <v>772</v>
      </c>
      <c r="E9673" s="15" t="s">
        <v>11952</v>
      </c>
    </row>
    <row r="9674" spans="2:5">
      <c r="B9674" s="15" t="s">
        <v>11950</v>
      </c>
      <c r="C9674" s="15" t="s">
        <v>11951</v>
      </c>
      <c r="D9674" s="15" t="s">
        <v>774</v>
      </c>
      <c r="E9674" s="15" t="s">
        <v>2153</v>
      </c>
    </row>
    <row r="9675" ht="15.95" spans="2:2">
      <c r="B9675" s="122" t="s">
        <v>11953</v>
      </c>
    </row>
    <row r="9676" spans="2:5">
      <c r="B9676" s="15" t="s">
        <v>11954</v>
      </c>
      <c r="C9676" s="15"/>
      <c r="D9676" s="15" t="s">
        <v>917</v>
      </c>
      <c r="E9676" s="15" t="s">
        <v>953</v>
      </c>
    </row>
    <row r="9677" spans="2:5">
      <c r="B9677" s="15" t="s">
        <v>11954</v>
      </c>
      <c r="C9677" s="15"/>
      <c r="D9677" s="15" t="s">
        <v>919</v>
      </c>
      <c r="E9677" s="15" t="s">
        <v>954</v>
      </c>
    </row>
    <row r="9678" spans="2:5">
      <c r="B9678" s="15" t="s">
        <v>11954</v>
      </c>
      <c r="C9678" s="15"/>
      <c r="D9678" s="15" t="s">
        <v>955</v>
      </c>
      <c r="E9678" s="15" t="s">
        <v>956</v>
      </c>
    </row>
    <row r="9679" ht="15.95" spans="2:2">
      <c r="B9679" s="122" t="s">
        <v>11955</v>
      </c>
    </row>
    <row r="9680" spans="2:5">
      <c r="B9680" s="15" t="s">
        <v>11956</v>
      </c>
      <c r="C9680" s="15" t="s">
        <v>7248</v>
      </c>
      <c r="D9680" s="15" t="s">
        <v>770</v>
      </c>
      <c r="E9680" s="15" t="s">
        <v>11957</v>
      </c>
    </row>
    <row r="9681" spans="2:5">
      <c r="B9681" s="15" t="s">
        <v>11956</v>
      </c>
      <c r="C9681" s="15" t="s">
        <v>7248</v>
      </c>
      <c r="D9681" s="15" t="s">
        <v>11958</v>
      </c>
      <c r="E9681" s="15" t="s">
        <v>11959</v>
      </c>
    </row>
    <row r="9682" spans="2:5">
      <c r="B9682" s="15" t="s">
        <v>11956</v>
      </c>
      <c r="C9682" s="15" t="s">
        <v>7248</v>
      </c>
      <c r="D9682" s="15" t="s">
        <v>11960</v>
      </c>
      <c r="E9682" s="15" t="s">
        <v>11961</v>
      </c>
    </row>
    <row r="9683" spans="2:5">
      <c r="B9683" s="15" t="s">
        <v>11956</v>
      </c>
      <c r="C9683" s="15" t="s">
        <v>7248</v>
      </c>
      <c r="D9683" s="15" t="s">
        <v>774</v>
      </c>
      <c r="E9683" s="15" t="s">
        <v>11962</v>
      </c>
    </row>
    <row r="9684" ht="15.95" spans="2:2">
      <c r="B9684" s="122" t="s">
        <v>11963</v>
      </c>
    </row>
    <row r="9685" spans="2:5">
      <c r="B9685" s="15" t="s">
        <v>11964</v>
      </c>
      <c r="C9685" s="15" t="s">
        <v>11965</v>
      </c>
      <c r="D9685" s="15" t="s">
        <v>770</v>
      </c>
      <c r="E9685" s="15" t="s">
        <v>11966</v>
      </c>
    </row>
    <row r="9686" spans="2:5">
      <c r="B9686" s="15" t="s">
        <v>11964</v>
      </c>
      <c r="C9686" s="15" t="s">
        <v>11965</v>
      </c>
      <c r="D9686" s="15" t="s">
        <v>772</v>
      </c>
      <c r="E9686" s="15" t="s">
        <v>11967</v>
      </c>
    </row>
    <row r="9687" spans="2:5">
      <c r="B9687" s="15" t="s">
        <v>11964</v>
      </c>
      <c r="C9687" s="15" t="s">
        <v>11965</v>
      </c>
      <c r="D9687" s="15" t="s">
        <v>774</v>
      </c>
      <c r="E9687" s="15" t="s">
        <v>11968</v>
      </c>
    </row>
    <row r="9688" ht="15.95" spans="2:2">
      <c r="B9688" s="122" t="s">
        <v>11969</v>
      </c>
    </row>
    <row r="9689" spans="2:5">
      <c r="B9689" s="15" t="s">
        <v>11970</v>
      </c>
      <c r="C9689" s="15" t="s">
        <v>11971</v>
      </c>
      <c r="D9689" s="15" t="s">
        <v>635</v>
      </c>
      <c r="E9689" s="15" t="s">
        <v>636</v>
      </c>
    </row>
    <row r="9690" spans="2:5">
      <c r="B9690" s="15" t="s">
        <v>11970</v>
      </c>
      <c r="C9690" s="15" t="s">
        <v>11971</v>
      </c>
      <c r="D9690" s="15" t="s">
        <v>637</v>
      </c>
      <c r="E9690" s="15" t="s">
        <v>2492</v>
      </c>
    </row>
    <row r="9691" ht="15.95" spans="2:2">
      <c r="B9691" s="122" t="s">
        <v>11972</v>
      </c>
    </row>
    <row r="9692" spans="2:5">
      <c r="B9692" s="15" t="s">
        <v>11973</v>
      </c>
      <c r="C9692" s="15" t="s">
        <v>11973</v>
      </c>
      <c r="D9692" s="15" t="s">
        <v>723</v>
      </c>
      <c r="E9692" s="15" t="s">
        <v>11974</v>
      </c>
    </row>
    <row r="9693" spans="2:5">
      <c r="B9693" s="15" t="s">
        <v>11973</v>
      </c>
      <c r="C9693" s="15" t="s">
        <v>11973</v>
      </c>
      <c r="D9693" s="15" t="s">
        <v>725</v>
      </c>
      <c r="E9693" s="15" t="s">
        <v>11975</v>
      </c>
    </row>
    <row r="9694" spans="2:5">
      <c r="B9694" s="15" t="s">
        <v>11973</v>
      </c>
      <c r="C9694" s="15" t="s">
        <v>11973</v>
      </c>
      <c r="D9694" s="15" t="s">
        <v>727</v>
      </c>
      <c r="E9694" s="15" t="s">
        <v>11976</v>
      </c>
    </row>
    <row r="9695" spans="2:5">
      <c r="B9695" s="15" t="s">
        <v>11973</v>
      </c>
      <c r="C9695" s="15" t="s">
        <v>11973</v>
      </c>
      <c r="D9695" s="15" t="s">
        <v>729</v>
      </c>
      <c r="E9695" s="15" t="s">
        <v>11977</v>
      </c>
    </row>
    <row r="9696" spans="2:5">
      <c r="B9696" s="15" t="s">
        <v>11973</v>
      </c>
      <c r="C9696" s="15" t="s">
        <v>11973</v>
      </c>
      <c r="D9696" s="15" t="s">
        <v>760</v>
      </c>
      <c r="E9696" s="15" t="s">
        <v>11978</v>
      </c>
    </row>
    <row r="9697" spans="2:5">
      <c r="B9697" s="15" t="s">
        <v>11973</v>
      </c>
      <c r="C9697" s="15" t="s">
        <v>11973</v>
      </c>
      <c r="D9697" s="15" t="s">
        <v>762</v>
      </c>
      <c r="E9697" s="15" t="s">
        <v>11979</v>
      </c>
    </row>
    <row r="9698" spans="2:5">
      <c r="B9698" s="15" t="s">
        <v>11973</v>
      </c>
      <c r="C9698" s="15" t="s">
        <v>11973</v>
      </c>
      <c r="D9698" s="15" t="s">
        <v>764</v>
      </c>
      <c r="E9698" s="15" t="s">
        <v>11980</v>
      </c>
    </row>
    <row r="9699" ht="15.95" spans="2:2">
      <c r="B9699" s="122" t="s">
        <v>11981</v>
      </c>
    </row>
    <row r="9700" spans="2:5">
      <c r="B9700" s="15" t="s">
        <v>11982</v>
      </c>
      <c r="C9700" s="15" t="s">
        <v>9889</v>
      </c>
      <c r="D9700" s="15" t="s">
        <v>770</v>
      </c>
      <c r="E9700" s="15" t="s">
        <v>9890</v>
      </c>
    </row>
    <row r="9701" spans="2:5">
      <c r="B9701" s="15" t="s">
        <v>11982</v>
      </c>
      <c r="C9701" s="15" t="s">
        <v>9889</v>
      </c>
      <c r="D9701" s="15" t="s">
        <v>772</v>
      </c>
      <c r="E9701" s="15" t="s">
        <v>9891</v>
      </c>
    </row>
    <row r="9702" spans="2:5">
      <c r="B9702" s="15" t="s">
        <v>11982</v>
      </c>
      <c r="C9702" s="15" t="s">
        <v>9889</v>
      </c>
      <c r="D9702" s="15" t="s">
        <v>774</v>
      </c>
      <c r="E9702" s="15" t="s">
        <v>9892</v>
      </c>
    </row>
    <row r="9703" spans="2:5">
      <c r="B9703" s="15" t="s">
        <v>11982</v>
      </c>
      <c r="C9703" s="15" t="s">
        <v>9889</v>
      </c>
      <c r="D9703" s="15" t="s">
        <v>828</v>
      </c>
      <c r="E9703" s="15" t="s">
        <v>9893</v>
      </c>
    </row>
    <row r="9704" spans="2:5">
      <c r="B9704" s="15" t="s">
        <v>11982</v>
      </c>
      <c r="C9704" s="15" t="s">
        <v>9889</v>
      </c>
      <c r="D9704" s="15" t="s">
        <v>901</v>
      </c>
      <c r="E9704" s="15" t="s">
        <v>9894</v>
      </c>
    </row>
    <row r="9705" spans="2:5">
      <c r="B9705" s="15" t="s">
        <v>11982</v>
      </c>
      <c r="C9705" s="15" t="s">
        <v>9889</v>
      </c>
      <c r="D9705" s="15" t="s">
        <v>776</v>
      </c>
      <c r="E9705" s="15" t="s">
        <v>9895</v>
      </c>
    </row>
    <row r="9706" spans="2:5">
      <c r="B9706" s="15" t="s">
        <v>11982</v>
      </c>
      <c r="C9706" s="15" t="s">
        <v>9889</v>
      </c>
      <c r="D9706" s="15" t="s">
        <v>1290</v>
      </c>
      <c r="E9706" s="15" t="s">
        <v>9896</v>
      </c>
    </row>
    <row r="9707" spans="2:5">
      <c r="B9707" s="15" t="s">
        <v>11982</v>
      </c>
      <c r="C9707" s="15" t="s">
        <v>9889</v>
      </c>
      <c r="D9707" s="15" t="s">
        <v>1409</v>
      </c>
      <c r="E9707" s="15" t="s">
        <v>9897</v>
      </c>
    </row>
    <row r="9708" spans="2:5">
      <c r="B9708" s="15" t="s">
        <v>11982</v>
      </c>
      <c r="C9708" s="15" t="s">
        <v>9889</v>
      </c>
      <c r="D9708" s="15" t="s">
        <v>1411</v>
      </c>
      <c r="E9708" s="15" t="s">
        <v>9898</v>
      </c>
    </row>
    <row r="9709" spans="2:5">
      <c r="B9709" s="15" t="s">
        <v>11982</v>
      </c>
      <c r="C9709" s="15" t="s">
        <v>9889</v>
      </c>
      <c r="D9709" s="15" t="s">
        <v>933</v>
      </c>
      <c r="E9709" s="15" t="s">
        <v>9899</v>
      </c>
    </row>
    <row r="9710" spans="2:5">
      <c r="B9710" s="15" t="s">
        <v>11982</v>
      </c>
      <c r="C9710" s="15" t="s">
        <v>9889</v>
      </c>
      <c r="D9710" s="15" t="s">
        <v>1059</v>
      </c>
      <c r="E9710" s="15" t="s">
        <v>9900</v>
      </c>
    </row>
    <row r="9711" spans="2:5">
      <c r="B9711" s="15" t="s">
        <v>11982</v>
      </c>
      <c r="C9711" s="15" t="s">
        <v>9889</v>
      </c>
      <c r="D9711" s="15" t="s">
        <v>1061</v>
      </c>
      <c r="E9711" s="15" t="s">
        <v>9901</v>
      </c>
    </row>
    <row r="9712" spans="2:5">
      <c r="B9712" s="15" t="s">
        <v>11982</v>
      </c>
      <c r="C9712" s="15" t="s">
        <v>9889</v>
      </c>
      <c r="D9712" s="15" t="s">
        <v>1063</v>
      </c>
      <c r="E9712" s="15" t="s">
        <v>9902</v>
      </c>
    </row>
    <row r="9713" spans="2:5">
      <c r="B9713" s="15" t="s">
        <v>11982</v>
      </c>
      <c r="C9713" s="15" t="s">
        <v>9889</v>
      </c>
      <c r="D9713" s="15" t="s">
        <v>1065</v>
      </c>
      <c r="E9713" s="15" t="s">
        <v>9903</v>
      </c>
    </row>
    <row r="9714" spans="2:5">
      <c r="B9714" s="15" t="s">
        <v>11982</v>
      </c>
      <c r="C9714" s="15" t="s">
        <v>9889</v>
      </c>
      <c r="D9714" s="15" t="s">
        <v>935</v>
      </c>
      <c r="E9714" s="15" t="s">
        <v>9904</v>
      </c>
    </row>
    <row r="9715" ht="15.95" spans="2:2">
      <c r="B9715" s="122" t="s">
        <v>11983</v>
      </c>
    </row>
    <row r="9716" spans="2:5">
      <c r="B9716" s="15" t="s">
        <v>11984</v>
      </c>
      <c r="C9716" s="15" t="s">
        <v>11984</v>
      </c>
      <c r="D9716" s="15" t="s">
        <v>723</v>
      </c>
      <c r="E9716" s="15" t="s">
        <v>11985</v>
      </c>
    </row>
    <row r="9717" spans="2:5">
      <c r="B9717" s="15" t="s">
        <v>11984</v>
      </c>
      <c r="C9717" s="15" t="s">
        <v>11984</v>
      </c>
      <c r="D9717" s="15" t="s">
        <v>725</v>
      </c>
      <c r="E9717" s="15" t="s">
        <v>11986</v>
      </c>
    </row>
    <row r="9718" ht="15.95" spans="2:2">
      <c r="B9718" s="122" t="s">
        <v>11987</v>
      </c>
    </row>
    <row r="9719" spans="2:5">
      <c r="B9719" s="15" t="s">
        <v>11988</v>
      </c>
      <c r="C9719" s="15" t="s">
        <v>11204</v>
      </c>
      <c r="D9719" s="15" t="s">
        <v>770</v>
      </c>
      <c r="E9719" s="15" t="s">
        <v>11989</v>
      </c>
    </row>
    <row r="9720" spans="2:5">
      <c r="B9720" s="15" t="s">
        <v>11988</v>
      </c>
      <c r="C9720" s="15" t="s">
        <v>11204</v>
      </c>
      <c r="D9720" s="15" t="s">
        <v>772</v>
      </c>
      <c r="E9720" s="15" t="s">
        <v>11990</v>
      </c>
    </row>
    <row r="9721" spans="2:5">
      <c r="B9721" s="15" t="s">
        <v>11988</v>
      </c>
      <c r="C9721" s="15" t="s">
        <v>11204</v>
      </c>
      <c r="D9721" s="15" t="s">
        <v>774</v>
      </c>
      <c r="E9721" s="15" t="s">
        <v>11991</v>
      </c>
    </row>
    <row r="9722" spans="2:5">
      <c r="B9722" s="15" t="s">
        <v>11988</v>
      </c>
      <c r="C9722" s="15" t="s">
        <v>11204</v>
      </c>
      <c r="D9722" s="15" t="s">
        <v>828</v>
      </c>
      <c r="E9722" s="15" t="s">
        <v>11992</v>
      </c>
    </row>
    <row r="9723" spans="2:5">
      <c r="B9723" s="15" t="s">
        <v>11988</v>
      </c>
      <c r="C9723" s="15" t="s">
        <v>11204</v>
      </c>
      <c r="D9723" s="15" t="s">
        <v>901</v>
      </c>
      <c r="E9723" s="15" t="s">
        <v>11251</v>
      </c>
    </row>
    <row r="9724" spans="2:5">
      <c r="B9724" s="15" t="s">
        <v>11988</v>
      </c>
      <c r="C9724" s="15" t="s">
        <v>11204</v>
      </c>
      <c r="D9724" s="15" t="s">
        <v>776</v>
      </c>
      <c r="E9724" s="15" t="s">
        <v>235</v>
      </c>
    </row>
    <row r="9725" spans="2:5">
      <c r="B9725" s="15" t="s">
        <v>11988</v>
      </c>
      <c r="C9725" s="15" t="s">
        <v>11204</v>
      </c>
      <c r="D9725" s="15" t="s">
        <v>1290</v>
      </c>
      <c r="E9725" s="15" t="s">
        <v>11993</v>
      </c>
    </row>
    <row r="9726" spans="2:5">
      <c r="B9726" s="15" t="s">
        <v>11988</v>
      </c>
      <c r="C9726" s="15" t="s">
        <v>11204</v>
      </c>
      <c r="D9726" s="15" t="s">
        <v>1409</v>
      </c>
      <c r="E9726" s="15" t="s">
        <v>11994</v>
      </c>
    </row>
    <row r="9727" spans="2:5">
      <c r="B9727" s="15" t="s">
        <v>11988</v>
      </c>
      <c r="C9727" s="15" t="s">
        <v>11204</v>
      </c>
      <c r="D9727" s="15" t="s">
        <v>1411</v>
      </c>
      <c r="E9727" s="15" t="s">
        <v>11995</v>
      </c>
    </row>
    <row r="9728" ht="15.95" spans="2:2">
      <c r="B9728" s="122" t="s">
        <v>11996</v>
      </c>
    </row>
    <row r="9729" spans="2:5">
      <c r="B9729" s="15" t="s">
        <v>11997</v>
      </c>
      <c r="C9729" s="15" t="s">
        <v>11997</v>
      </c>
      <c r="D9729" s="15" t="s">
        <v>723</v>
      </c>
      <c r="E9729" s="15" t="s">
        <v>5806</v>
      </c>
    </row>
    <row r="9730" spans="2:5">
      <c r="B9730" s="15" t="s">
        <v>11997</v>
      </c>
      <c r="C9730" s="15" t="s">
        <v>11997</v>
      </c>
      <c r="D9730" s="15" t="s">
        <v>725</v>
      </c>
      <c r="E9730" s="15" t="s">
        <v>5807</v>
      </c>
    </row>
    <row r="9731" spans="2:5">
      <c r="B9731" s="15" t="s">
        <v>11997</v>
      </c>
      <c r="C9731" s="15" t="s">
        <v>11997</v>
      </c>
      <c r="D9731" s="15" t="s">
        <v>727</v>
      </c>
      <c r="E9731" s="15" t="s">
        <v>5808</v>
      </c>
    </row>
    <row r="9732" spans="2:5">
      <c r="B9732" s="15" t="s">
        <v>11997</v>
      </c>
      <c r="C9732" s="15" t="s">
        <v>11997</v>
      </c>
      <c r="D9732" s="15" t="s">
        <v>729</v>
      </c>
      <c r="E9732" s="15" t="s">
        <v>5809</v>
      </c>
    </row>
    <row r="9733" ht="15.95" spans="2:2">
      <c r="B9733" s="122" t="s">
        <v>11998</v>
      </c>
    </row>
    <row r="9734" spans="2:5">
      <c r="B9734" s="15" t="s">
        <v>11999</v>
      </c>
      <c r="C9734" s="15" t="s">
        <v>12000</v>
      </c>
      <c r="D9734" s="15" t="s">
        <v>12001</v>
      </c>
      <c r="E9734" s="15" t="s">
        <v>1439</v>
      </c>
    </row>
    <row r="9735" spans="2:5">
      <c r="B9735" s="15" t="s">
        <v>11999</v>
      </c>
      <c r="C9735" s="15" t="s">
        <v>12000</v>
      </c>
      <c r="D9735" s="15" t="s">
        <v>12002</v>
      </c>
      <c r="E9735" s="15" t="s">
        <v>2212</v>
      </c>
    </row>
    <row r="9736" spans="2:5">
      <c r="B9736" s="15" t="s">
        <v>11999</v>
      </c>
      <c r="C9736" s="15" t="s">
        <v>12000</v>
      </c>
      <c r="D9736" s="15" t="s">
        <v>12003</v>
      </c>
      <c r="E9736" s="15" t="s">
        <v>1443</v>
      </c>
    </row>
    <row r="9737" spans="2:5">
      <c r="B9737" s="15" t="s">
        <v>11999</v>
      </c>
      <c r="C9737" s="15" t="s">
        <v>12000</v>
      </c>
      <c r="D9737" s="15" t="s">
        <v>12004</v>
      </c>
      <c r="E9737" s="15" t="s">
        <v>10118</v>
      </c>
    </row>
    <row r="9738" ht="15.95" spans="2:2">
      <c r="B9738" s="122" t="s">
        <v>12005</v>
      </c>
    </row>
    <row r="9739" spans="2:5">
      <c r="B9739" s="15" t="s">
        <v>12006</v>
      </c>
      <c r="C9739" s="15" t="s">
        <v>1948</v>
      </c>
      <c r="D9739" s="15" t="s">
        <v>770</v>
      </c>
      <c r="E9739" s="15" t="s">
        <v>12007</v>
      </c>
    </row>
    <row r="9740" spans="2:5">
      <c r="B9740" s="15" t="s">
        <v>12006</v>
      </c>
      <c r="C9740" s="15" t="s">
        <v>1948</v>
      </c>
      <c r="D9740" s="15" t="s">
        <v>772</v>
      </c>
      <c r="E9740" s="15" t="s">
        <v>12008</v>
      </c>
    </row>
    <row r="9741" spans="2:5">
      <c r="B9741" s="15" t="s">
        <v>12006</v>
      </c>
      <c r="C9741" s="15" t="s">
        <v>1948</v>
      </c>
      <c r="D9741" s="15" t="s">
        <v>774</v>
      </c>
      <c r="E9741" s="15" t="s">
        <v>12009</v>
      </c>
    </row>
    <row r="9742" spans="2:5">
      <c r="B9742" s="15" t="s">
        <v>12006</v>
      </c>
      <c r="C9742" s="15" t="s">
        <v>1948</v>
      </c>
      <c r="D9742" s="15" t="s">
        <v>828</v>
      </c>
      <c r="E9742" s="15" t="s">
        <v>235</v>
      </c>
    </row>
    <row r="9743" ht="15.95" spans="2:2">
      <c r="B9743" s="122" t="s">
        <v>12010</v>
      </c>
    </row>
    <row r="9744" spans="2:5">
      <c r="B9744" s="15" t="s">
        <v>12011</v>
      </c>
      <c r="C9744" s="15" t="s">
        <v>12012</v>
      </c>
      <c r="D9744" s="15" t="s">
        <v>659</v>
      </c>
      <c r="E9744" s="15" t="s">
        <v>12013</v>
      </c>
    </row>
    <row r="9745" spans="2:5">
      <c r="B9745" s="15" t="s">
        <v>12011</v>
      </c>
      <c r="C9745" s="15" t="s">
        <v>12012</v>
      </c>
      <c r="D9745" s="15" t="s">
        <v>679</v>
      </c>
      <c r="E9745" s="15" t="s">
        <v>12014</v>
      </c>
    </row>
    <row r="9746" spans="2:5">
      <c r="B9746" s="15" t="s">
        <v>12011</v>
      </c>
      <c r="C9746" s="15" t="s">
        <v>12012</v>
      </c>
      <c r="D9746" s="15" t="s">
        <v>705</v>
      </c>
      <c r="E9746" s="15" t="s">
        <v>12015</v>
      </c>
    </row>
    <row r="9747" spans="2:5">
      <c r="B9747" s="15" t="s">
        <v>12011</v>
      </c>
      <c r="C9747" s="15" t="s">
        <v>12012</v>
      </c>
      <c r="D9747" s="15" t="s">
        <v>709</v>
      </c>
      <c r="E9747" s="15" t="s">
        <v>12016</v>
      </c>
    </row>
    <row r="9748" ht="15.95" spans="2:2">
      <c r="B9748" s="122" t="s">
        <v>12017</v>
      </c>
    </row>
    <row r="9749" spans="2:5">
      <c r="B9749" s="15" t="s">
        <v>12018</v>
      </c>
      <c r="C9749" s="15" t="s">
        <v>12019</v>
      </c>
      <c r="D9749" s="15" t="s">
        <v>770</v>
      </c>
      <c r="E9749" s="15" t="s">
        <v>12020</v>
      </c>
    </row>
    <row r="9750" spans="2:5">
      <c r="B9750" s="15" t="s">
        <v>12018</v>
      </c>
      <c r="C9750" s="15" t="s">
        <v>12019</v>
      </c>
      <c r="D9750" s="15" t="s">
        <v>772</v>
      </c>
      <c r="E9750" s="15" t="s">
        <v>12021</v>
      </c>
    </row>
    <row r="9751" ht="15.95" spans="2:2">
      <c r="B9751" s="122" t="s">
        <v>12022</v>
      </c>
    </row>
    <row r="9752" spans="2:5">
      <c r="B9752" s="15" t="s">
        <v>12023</v>
      </c>
      <c r="C9752" s="15" t="s">
        <v>12023</v>
      </c>
      <c r="D9752" s="15" t="s">
        <v>1061</v>
      </c>
      <c r="E9752" s="15" t="s">
        <v>12024</v>
      </c>
    </row>
    <row r="9753" spans="2:5">
      <c r="B9753" s="15" t="s">
        <v>12023</v>
      </c>
      <c r="C9753" s="15" t="s">
        <v>12023</v>
      </c>
      <c r="D9753" s="15" t="s">
        <v>725</v>
      </c>
      <c r="E9753" s="15" t="s">
        <v>12025</v>
      </c>
    </row>
    <row r="9754" spans="2:5">
      <c r="B9754" s="15" t="s">
        <v>12023</v>
      </c>
      <c r="C9754" s="15" t="s">
        <v>12023</v>
      </c>
      <c r="D9754" s="15" t="s">
        <v>727</v>
      </c>
      <c r="E9754" s="15" t="s">
        <v>7495</v>
      </c>
    </row>
    <row r="9755" ht="15.95" spans="2:2">
      <c r="B9755" s="122" t="s">
        <v>12026</v>
      </c>
    </row>
    <row r="9756" spans="2:5">
      <c r="B9756" s="15" t="s">
        <v>12027</v>
      </c>
      <c r="C9756" s="15" t="s">
        <v>5149</v>
      </c>
      <c r="D9756" s="15" t="s">
        <v>770</v>
      </c>
      <c r="E9756" s="15" t="s">
        <v>10732</v>
      </c>
    </row>
    <row r="9757" spans="2:5">
      <c r="B9757" s="15" t="s">
        <v>12027</v>
      </c>
      <c r="C9757" s="15" t="s">
        <v>5149</v>
      </c>
      <c r="D9757" s="15" t="s">
        <v>772</v>
      </c>
      <c r="E9757" s="15" t="s">
        <v>2554</v>
      </c>
    </row>
    <row r="9758" spans="2:5">
      <c r="B9758" s="15" t="s">
        <v>12027</v>
      </c>
      <c r="C9758" s="15" t="s">
        <v>5149</v>
      </c>
      <c r="D9758" s="15" t="s">
        <v>774</v>
      </c>
      <c r="E9758" s="15" t="s">
        <v>2553</v>
      </c>
    </row>
    <row r="9759" spans="2:5">
      <c r="B9759" s="15" t="s">
        <v>12027</v>
      </c>
      <c r="C9759" s="15" t="s">
        <v>5149</v>
      </c>
      <c r="D9759" s="15" t="s">
        <v>828</v>
      </c>
      <c r="E9759" s="15" t="s">
        <v>2555</v>
      </c>
    </row>
    <row r="9760" spans="2:5">
      <c r="B9760" s="15" t="s">
        <v>12027</v>
      </c>
      <c r="C9760" s="15" t="s">
        <v>5149</v>
      </c>
      <c r="D9760" s="15" t="s">
        <v>901</v>
      </c>
      <c r="E9760" s="15" t="s">
        <v>2556</v>
      </c>
    </row>
    <row r="9761" spans="2:5">
      <c r="B9761" s="15" t="s">
        <v>12027</v>
      </c>
      <c r="C9761" s="15" t="s">
        <v>5149</v>
      </c>
      <c r="D9761" s="15" t="s">
        <v>776</v>
      </c>
      <c r="E9761" s="15" t="s">
        <v>12028</v>
      </c>
    </row>
    <row r="9762" spans="2:5">
      <c r="B9762" s="15" t="s">
        <v>12027</v>
      </c>
      <c r="C9762" s="15" t="s">
        <v>5149</v>
      </c>
      <c r="D9762" s="15" t="s">
        <v>1290</v>
      </c>
      <c r="E9762" s="15" t="s">
        <v>1647</v>
      </c>
    </row>
    <row r="9763" spans="2:5">
      <c r="B9763" s="15" t="s">
        <v>12027</v>
      </c>
      <c r="C9763" s="15" t="s">
        <v>5149</v>
      </c>
      <c r="D9763" s="15" t="s">
        <v>1143</v>
      </c>
      <c r="E9763" s="15" t="s">
        <v>235</v>
      </c>
    </row>
    <row r="9764" ht="15.95" spans="2:2">
      <c r="B9764" s="122" t="s">
        <v>12029</v>
      </c>
    </row>
    <row r="9765" spans="2:5">
      <c r="B9765" s="15" t="s">
        <v>12030</v>
      </c>
      <c r="C9765" s="15"/>
      <c r="D9765" s="15" t="s">
        <v>770</v>
      </c>
      <c r="E9765" s="15" t="s">
        <v>11198</v>
      </c>
    </row>
    <row r="9766" spans="2:5">
      <c r="B9766" s="15" t="s">
        <v>12030</v>
      </c>
      <c r="C9766" s="15"/>
      <c r="D9766" s="15" t="s">
        <v>772</v>
      </c>
      <c r="E9766" s="15" t="s">
        <v>12031</v>
      </c>
    </row>
    <row r="9767" spans="2:5">
      <c r="B9767" s="15" t="s">
        <v>12030</v>
      </c>
      <c r="C9767" s="15"/>
      <c r="D9767" s="15" t="s">
        <v>774</v>
      </c>
      <c r="E9767" s="15" t="s">
        <v>12032</v>
      </c>
    </row>
    <row r="9768" spans="2:5">
      <c r="B9768" s="15" t="s">
        <v>12030</v>
      </c>
      <c r="C9768" s="15"/>
      <c r="D9768" s="15" t="s">
        <v>828</v>
      </c>
      <c r="E9768" s="15" t="s">
        <v>12033</v>
      </c>
    </row>
    <row r="9769" spans="2:5">
      <c r="B9769" s="15" t="s">
        <v>12030</v>
      </c>
      <c r="C9769" s="15"/>
      <c r="D9769" s="15" t="s">
        <v>901</v>
      </c>
      <c r="E9769" s="15" t="s">
        <v>235</v>
      </c>
    </row>
    <row r="9770" ht="15.95" spans="2:2">
      <c r="B9770" s="122" t="s">
        <v>12034</v>
      </c>
    </row>
    <row r="9771" spans="2:5">
      <c r="B9771" s="15" t="s">
        <v>12035</v>
      </c>
      <c r="C9771" s="15"/>
      <c r="D9771" s="15" t="s">
        <v>1267</v>
      </c>
      <c r="E9771" s="15" t="s">
        <v>1355</v>
      </c>
    </row>
    <row r="9772" spans="2:5">
      <c r="B9772" s="15" t="s">
        <v>12035</v>
      </c>
      <c r="C9772" s="15"/>
      <c r="D9772" s="15" t="s">
        <v>1269</v>
      </c>
      <c r="E9772" s="15" t="s">
        <v>1356</v>
      </c>
    </row>
    <row r="9773" ht="15.95" spans="2:2">
      <c r="B9773" s="122" t="s">
        <v>12036</v>
      </c>
    </row>
    <row r="9774" spans="2:5">
      <c r="B9774" s="15" t="s">
        <v>12037</v>
      </c>
      <c r="C9774" s="15" t="s">
        <v>12038</v>
      </c>
      <c r="D9774" s="15" t="s">
        <v>770</v>
      </c>
      <c r="E9774" s="15" t="s">
        <v>12039</v>
      </c>
    </row>
    <row r="9775" ht="15.95" spans="2:2">
      <c r="B9775" s="122" t="s">
        <v>12040</v>
      </c>
    </row>
    <row r="9776" spans="2:5">
      <c r="B9776" s="15" t="s">
        <v>12041</v>
      </c>
      <c r="C9776" s="15" t="s">
        <v>12041</v>
      </c>
      <c r="D9776" s="15" t="s">
        <v>723</v>
      </c>
      <c r="E9776" s="15" t="s">
        <v>12042</v>
      </c>
    </row>
    <row r="9777" spans="2:5">
      <c r="B9777" s="15" t="s">
        <v>12041</v>
      </c>
      <c r="C9777" s="15" t="s">
        <v>12041</v>
      </c>
      <c r="D9777" s="15" t="s">
        <v>725</v>
      </c>
      <c r="E9777" s="15" t="s">
        <v>12043</v>
      </c>
    </row>
    <row r="9778" spans="2:5">
      <c r="B9778" s="15" t="s">
        <v>12041</v>
      </c>
      <c r="C9778" s="15" t="s">
        <v>12041</v>
      </c>
      <c r="D9778" s="15" t="s">
        <v>727</v>
      </c>
      <c r="E9778" s="15" t="s">
        <v>12044</v>
      </c>
    </row>
    <row r="9779" ht="15.95" spans="2:2">
      <c r="B9779" s="122" t="s">
        <v>12045</v>
      </c>
    </row>
    <row r="9780" spans="2:5">
      <c r="B9780" s="15" t="s">
        <v>12046</v>
      </c>
      <c r="C9780" s="15" t="s">
        <v>12047</v>
      </c>
      <c r="D9780" s="15" t="s">
        <v>5345</v>
      </c>
      <c r="E9780" s="15" t="s">
        <v>11462</v>
      </c>
    </row>
    <row r="9781" spans="2:5">
      <c r="B9781" s="15" t="s">
        <v>12046</v>
      </c>
      <c r="C9781" s="15" t="s">
        <v>12047</v>
      </c>
      <c r="D9781" s="15" t="s">
        <v>661</v>
      </c>
      <c r="E9781" s="15" t="s">
        <v>4394</v>
      </c>
    </row>
    <row r="9782" spans="2:5">
      <c r="B9782" s="15" t="s">
        <v>12046</v>
      </c>
      <c r="C9782" s="15" t="s">
        <v>12047</v>
      </c>
      <c r="D9782" s="15" t="s">
        <v>663</v>
      </c>
      <c r="E9782" s="15" t="s">
        <v>4395</v>
      </c>
    </row>
    <row r="9783" ht="15.95" spans="2:2">
      <c r="B9783" s="122" t="s">
        <v>12048</v>
      </c>
    </row>
    <row r="9784" spans="2:5">
      <c r="B9784" s="15" t="s">
        <v>12049</v>
      </c>
      <c r="C9784" s="15" t="s">
        <v>12050</v>
      </c>
      <c r="D9784" s="15" t="s">
        <v>635</v>
      </c>
      <c r="E9784" s="15" t="s">
        <v>12051</v>
      </c>
    </row>
    <row r="9785" spans="2:5">
      <c r="B9785" s="15" t="s">
        <v>12049</v>
      </c>
      <c r="C9785" s="15" t="s">
        <v>12050</v>
      </c>
      <c r="D9785" s="15" t="s">
        <v>659</v>
      </c>
      <c r="E9785" s="15" t="s">
        <v>12052</v>
      </c>
    </row>
    <row r="9786" spans="2:5">
      <c r="B9786" s="15" t="s">
        <v>12049</v>
      </c>
      <c r="C9786" s="15" t="s">
        <v>12050</v>
      </c>
      <c r="D9786" s="15" t="s">
        <v>7553</v>
      </c>
      <c r="E9786" s="15" t="s">
        <v>12053</v>
      </c>
    </row>
    <row r="9787" spans="2:5">
      <c r="B9787" s="15" t="s">
        <v>12049</v>
      </c>
      <c r="C9787" s="15" t="s">
        <v>12050</v>
      </c>
      <c r="D9787" s="15" t="s">
        <v>7555</v>
      </c>
      <c r="E9787" s="15" t="s">
        <v>12054</v>
      </c>
    </row>
    <row r="9788" spans="2:5">
      <c r="B9788" s="15" t="s">
        <v>12049</v>
      </c>
      <c r="C9788" s="15" t="s">
        <v>12050</v>
      </c>
      <c r="D9788" s="15" t="s">
        <v>7557</v>
      </c>
      <c r="E9788" s="15" t="s">
        <v>11337</v>
      </c>
    </row>
    <row r="9789" spans="2:5">
      <c r="B9789" s="15" t="s">
        <v>12049</v>
      </c>
      <c r="C9789" s="15" t="s">
        <v>12050</v>
      </c>
      <c r="D9789" s="15" t="s">
        <v>7559</v>
      </c>
      <c r="E9789" s="15" t="s">
        <v>12055</v>
      </c>
    </row>
    <row r="9790" spans="2:5">
      <c r="B9790" s="15" t="s">
        <v>12049</v>
      </c>
      <c r="C9790" s="15" t="s">
        <v>12050</v>
      </c>
      <c r="D9790" s="15" t="s">
        <v>679</v>
      </c>
      <c r="E9790" s="15" t="s">
        <v>12056</v>
      </c>
    </row>
    <row r="9791" spans="2:5">
      <c r="B9791" s="15" t="s">
        <v>12049</v>
      </c>
      <c r="C9791" s="15" t="s">
        <v>12050</v>
      </c>
      <c r="D9791" s="15" t="s">
        <v>689</v>
      </c>
      <c r="E9791" s="15" t="s">
        <v>10824</v>
      </c>
    </row>
    <row r="9792" spans="2:5">
      <c r="B9792" s="15" t="s">
        <v>12049</v>
      </c>
      <c r="C9792" s="15" t="s">
        <v>12050</v>
      </c>
      <c r="D9792" s="15" t="s">
        <v>693</v>
      </c>
      <c r="E9792" s="15" t="s">
        <v>12057</v>
      </c>
    </row>
    <row r="9793" ht="15.95" spans="2:2">
      <c r="B9793" s="122" t="s">
        <v>12058</v>
      </c>
    </row>
    <row r="9794" spans="2:5">
      <c r="B9794" s="15" t="s">
        <v>12059</v>
      </c>
      <c r="C9794" s="15" t="s">
        <v>12059</v>
      </c>
      <c r="D9794" s="15" t="s">
        <v>770</v>
      </c>
      <c r="E9794" s="15" t="s">
        <v>12060</v>
      </c>
    </row>
    <row r="9795" spans="2:5">
      <c r="B9795" s="15" t="s">
        <v>12059</v>
      </c>
      <c r="C9795" s="15" t="s">
        <v>12059</v>
      </c>
      <c r="D9795" s="15" t="s">
        <v>772</v>
      </c>
      <c r="E9795" s="15" t="s">
        <v>12061</v>
      </c>
    </row>
    <row r="9796" spans="2:5">
      <c r="B9796" s="15" t="s">
        <v>12059</v>
      </c>
      <c r="C9796" s="15" t="s">
        <v>12059</v>
      </c>
      <c r="D9796" s="15" t="s">
        <v>774</v>
      </c>
      <c r="E9796" s="15" t="s">
        <v>12062</v>
      </c>
    </row>
    <row r="9797" ht="15.95" spans="2:2">
      <c r="B9797" s="122" t="s">
        <v>12063</v>
      </c>
    </row>
    <row r="9798" spans="2:5">
      <c r="B9798" s="15" t="s">
        <v>12064</v>
      </c>
      <c r="C9798" s="15" t="s">
        <v>12065</v>
      </c>
      <c r="D9798" s="15" t="s">
        <v>770</v>
      </c>
      <c r="E9798" s="15" t="s">
        <v>12066</v>
      </c>
    </row>
    <row r="9799" ht="15.95" spans="2:2">
      <c r="B9799" s="122" t="s">
        <v>12067</v>
      </c>
    </row>
    <row r="9800" spans="2:5">
      <c r="B9800" s="15" t="s">
        <v>12068</v>
      </c>
      <c r="C9800" s="15" t="s">
        <v>12069</v>
      </c>
      <c r="D9800" s="15" t="s">
        <v>770</v>
      </c>
      <c r="E9800" s="15" t="s">
        <v>12070</v>
      </c>
    </row>
    <row r="9801" spans="2:5">
      <c r="B9801" s="15" t="s">
        <v>12068</v>
      </c>
      <c r="C9801" s="15" t="s">
        <v>12069</v>
      </c>
      <c r="D9801" s="15" t="s">
        <v>772</v>
      </c>
      <c r="E9801" s="15" t="s">
        <v>12071</v>
      </c>
    </row>
    <row r="9802" spans="2:5">
      <c r="B9802" s="15" t="s">
        <v>12068</v>
      </c>
      <c r="C9802" s="15" t="s">
        <v>12069</v>
      </c>
      <c r="D9802" s="15" t="s">
        <v>774</v>
      </c>
      <c r="E9802" s="15" t="s">
        <v>12072</v>
      </c>
    </row>
    <row r="9803" ht="15.95" spans="2:2">
      <c r="B9803" s="122" t="s">
        <v>12073</v>
      </c>
    </row>
    <row r="9804" spans="2:5">
      <c r="B9804" s="15" t="s">
        <v>12074</v>
      </c>
      <c r="C9804" s="15" t="s">
        <v>896</v>
      </c>
      <c r="D9804" s="15" t="s">
        <v>723</v>
      </c>
      <c r="E9804" s="15" t="s">
        <v>4596</v>
      </c>
    </row>
    <row r="9805" spans="2:5">
      <c r="B9805" s="15" t="s">
        <v>12074</v>
      </c>
      <c r="C9805" s="15" t="s">
        <v>896</v>
      </c>
      <c r="D9805" s="15" t="s">
        <v>725</v>
      </c>
      <c r="E9805" s="15" t="s">
        <v>7853</v>
      </c>
    </row>
    <row r="9806" spans="2:5">
      <c r="B9806" s="15" t="s">
        <v>12074</v>
      </c>
      <c r="C9806" s="15" t="s">
        <v>896</v>
      </c>
      <c r="D9806" s="15" t="s">
        <v>727</v>
      </c>
      <c r="E9806" s="15" t="s">
        <v>862</v>
      </c>
    </row>
    <row r="9807" ht="15.95" spans="2:2">
      <c r="B9807" s="122" t="s">
        <v>12075</v>
      </c>
    </row>
    <row r="9808" spans="2:5">
      <c r="B9808" s="15" t="s">
        <v>12076</v>
      </c>
      <c r="C9808" s="15" t="s">
        <v>12076</v>
      </c>
      <c r="D9808" s="15" t="s">
        <v>770</v>
      </c>
      <c r="E9808" s="15" t="s">
        <v>6136</v>
      </c>
    </row>
    <row r="9809" spans="2:5">
      <c r="B9809" s="15" t="s">
        <v>12076</v>
      </c>
      <c r="C9809" s="15" t="s">
        <v>12076</v>
      </c>
      <c r="D9809" s="15" t="s">
        <v>772</v>
      </c>
      <c r="E9809" s="15" t="s">
        <v>6137</v>
      </c>
    </row>
    <row r="9810" spans="2:5">
      <c r="B9810" s="15" t="s">
        <v>12076</v>
      </c>
      <c r="C9810" s="15" t="s">
        <v>12076</v>
      </c>
      <c r="D9810" s="15" t="s">
        <v>774</v>
      </c>
      <c r="E9810" s="15" t="s">
        <v>6138</v>
      </c>
    </row>
    <row r="9811" spans="2:5">
      <c r="B9811" s="15" t="s">
        <v>12076</v>
      </c>
      <c r="C9811" s="15" t="s">
        <v>12076</v>
      </c>
      <c r="D9811" s="15" t="s">
        <v>828</v>
      </c>
      <c r="E9811" s="15" t="s">
        <v>6139</v>
      </c>
    </row>
    <row r="9812" spans="2:5">
      <c r="B9812" s="15" t="s">
        <v>12076</v>
      </c>
      <c r="C9812" s="15" t="s">
        <v>12076</v>
      </c>
      <c r="D9812" s="15" t="s">
        <v>901</v>
      </c>
      <c r="E9812" s="15" t="s">
        <v>6140</v>
      </c>
    </row>
    <row r="9813" ht="15.95" spans="2:2">
      <c r="B9813" s="122" t="s">
        <v>12077</v>
      </c>
    </row>
    <row r="9814" spans="2:5">
      <c r="B9814" s="15" t="s">
        <v>12078</v>
      </c>
      <c r="C9814" s="15" t="s">
        <v>12079</v>
      </c>
      <c r="D9814" s="15" t="s">
        <v>770</v>
      </c>
      <c r="E9814" s="15" t="s">
        <v>12080</v>
      </c>
    </row>
    <row r="9815" spans="2:5">
      <c r="B9815" s="15" t="s">
        <v>12078</v>
      </c>
      <c r="C9815" s="15" t="s">
        <v>12079</v>
      </c>
      <c r="D9815" s="15" t="s">
        <v>772</v>
      </c>
      <c r="E9815" s="15" t="s">
        <v>12081</v>
      </c>
    </row>
    <row r="9816" spans="2:5">
      <c r="B9816" s="15" t="s">
        <v>12078</v>
      </c>
      <c r="C9816" s="15" t="s">
        <v>12079</v>
      </c>
      <c r="D9816" s="15" t="s">
        <v>774</v>
      </c>
      <c r="E9816" s="15" t="s">
        <v>12082</v>
      </c>
    </row>
    <row r="9817" spans="2:5">
      <c r="B9817" s="15" t="s">
        <v>12078</v>
      </c>
      <c r="C9817" s="15" t="s">
        <v>12079</v>
      </c>
      <c r="D9817" s="15" t="s">
        <v>828</v>
      </c>
      <c r="E9817" s="15" t="s">
        <v>8335</v>
      </c>
    </row>
    <row r="9818" spans="2:5">
      <c r="B9818" s="15" t="s">
        <v>12078</v>
      </c>
      <c r="C9818" s="15" t="s">
        <v>12079</v>
      </c>
      <c r="D9818" s="15" t="s">
        <v>901</v>
      </c>
      <c r="E9818" s="15" t="s">
        <v>235</v>
      </c>
    </row>
    <row r="9819" ht="15.95" spans="2:2">
      <c r="B9819" s="122" t="s">
        <v>12083</v>
      </c>
    </row>
    <row r="9820" spans="2:5">
      <c r="B9820" s="15" t="s">
        <v>12084</v>
      </c>
      <c r="C9820" s="15" t="s">
        <v>12085</v>
      </c>
      <c r="D9820" s="15" t="s">
        <v>770</v>
      </c>
      <c r="E9820" s="15" t="s">
        <v>3246</v>
      </c>
    </row>
    <row r="9821" spans="2:5">
      <c r="B9821" s="15" t="s">
        <v>12084</v>
      </c>
      <c r="C9821" s="15" t="s">
        <v>12085</v>
      </c>
      <c r="D9821" s="15" t="s">
        <v>772</v>
      </c>
      <c r="E9821" s="15" t="s">
        <v>3247</v>
      </c>
    </row>
    <row r="9822" spans="2:5">
      <c r="B9822" s="15" t="s">
        <v>12084</v>
      </c>
      <c r="C9822" s="15" t="s">
        <v>12085</v>
      </c>
      <c r="D9822" s="15" t="s">
        <v>774</v>
      </c>
      <c r="E9822" s="15" t="s">
        <v>3252</v>
      </c>
    </row>
    <row r="9823" spans="2:5">
      <c r="B9823" s="15" t="s">
        <v>12084</v>
      </c>
      <c r="C9823" s="15" t="s">
        <v>12085</v>
      </c>
      <c r="D9823" s="15" t="s">
        <v>828</v>
      </c>
      <c r="E9823" s="15" t="s">
        <v>7729</v>
      </c>
    </row>
    <row r="9824" spans="2:5">
      <c r="B9824" s="15" t="s">
        <v>12084</v>
      </c>
      <c r="C9824" s="15" t="s">
        <v>12085</v>
      </c>
      <c r="D9824" s="15" t="s">
        <v>901</v>
      </c>
      <c r="E9824" s="15" t="s">
        <v>12086</v>
      </c>
    </row>
    <row r="9825" spans="2:5">
      <c r="B9825" s="15" t="s">
        <v>12084</v>
      </c>
      <c r="C9825" s="15" t="s">
        <v>12085</v>
      </c>
      <c r="D9825" s="15" t="s">
        <v>776</v>
      </c>
      <c r="E9825" s="15" t="s">
        <v>3250</v>
      </c>
    </row>
    <row r="9826" spans="2:5">
      <c r="B9826" s="15" t="s">
        <v>12084</v>
      </c>
      <c r="C9826" s="15" t="s">
        <v>12085</v>
      </c>
      <c r="D9826" s="15" t="s">
        <v>1290</v>
      </c>
      <c r="E9826" s="15" t="s">
        <v>12087</v>
      </c>
    </row>
    <row r="9827" ht="15.95" spans="2:2">
      <c r="B9827" s="122" t="s">
        <v>12088</v>
      </c>
    </row>
    <row r="9828" spans="2:5">
      <c r="B9828" s="15" t="s">
        <v>12089</v>
      </c>
      <c r="C9828" s="15" t="s">
        <v>12090</v>
      </c>
      <c r="D9828" s="15" t="s">
        <v>770</v>
      </c>
      <c r="E9828" s="15" t="s">
        <v>1960</v>
      </c>
    </row>
    <row r="9829" spans="2:5">
      <c r="B9829" s="15" t="s">
        <v>12089</v>
      </c>
      <c r="C9829" s="15" t="s">
        <v>12090</v>
      </c>
      <c r="D9829" s="15" t="s">
        <v>772</v>
      </c>
      <c r="E9829" s="15" t="s">
        <v>1203</v>
      </c>
    </row>
    <row r="9830" spans="2:5">
      <c r="B9830" s="15" t="s">
        <v>12089</v>
      </c>
      <c r="C9830" s="15" t="s">
        <v>12090</v>
      </c>
      <c r="D9830" s="15" t="s">
        <v>774</v>
      </c>
      <c r="E9830" s="15" t="s">
        <v>1962</v>
      </c>
    </row>
    <row r="9831" ht="15.95" spans="2:2">
      <c r="B9831" s="122" t="s">
        <v>12091</v>
      </c>
    </row>
    <row r="9832" spans="2:5">
      <c r="B9832" s="15" t="s">
        <v>12092</v>
      </c>
      <c r="C9832" s="15" t="s">
        <v>12093</v>
      </c>
      <c r="D9832" s="15" t="s">
        <v>635</v>
      </c>
      <c r="E9832" s="15" t="s">
        <v>12051</v>
      </c>
    </row>
    <row r="9833" spans="2:5">
      <c r="B9833" s="15" t="s">
        <v>12092</v>
      </c>
      <c r="C9833" s="15" t="s">
        <v>12093</v>
      </c>
      <c r="D9833" s="15" t="s">
        <v>659</v>
      </c>
      <c r="E9833" s="15" t="s">
        <v>12052</v>
      </c>
    </row>
    <row r="9834" spans="2:5">
      <c r="B9834" s="15" t="s">
        <v>12092</v>
      </c>
      <c r="C9834" s="15" t="s">
        <v>12093</v>
      </c>
      <c r="D9834" s="15" t="s">
        <v>7553</v>
      </c>
      <c r="E9834" s="15" t="s">
        <v>12053</v>
      </c>
    </row>
    <row r="9835" spans="2:5">
      <c r="B9835" s="15" t="s">
        <v>12092</v>
      </c>
      <c r="C9835" s="15" t="s">
        <v>12093</v>
      </c>
      <c r="D9835" s="15" t="s">
        <v>7555</v>
      </c>
      <c r="E9835" s="15" t="s">
        <v>12054</v>
      </c>
    </row>
    <row r="9836" spans="2:5">
      <c r="B9836" s="15" t="s">
        <v>12092</v>
      </c>
      <c r="C9836" s="15" t="s">
        <v>12093</v>
      </c>
      <c r="D9836" s="15" t="s">
        <v>7557</v>
      </c>
      <c r="E9836" s="15" t="s">
        <v>11337</v>
      </c>
    </row>
    <row r="9837" spans="2:5">
      <c r="B9837" s="15" t="s">
        <v>12092</v>
      </c>
      <c r="C9837" s="15" t="s">
        <v>12093</v>
      </c>
      <c r="D9837" s="15" t="s">
        <v>7559</v>
      </c>
      <c r="E9837" s="15" t="s">
        <v>12055</v>
      </c>
    </row>
    <row r="9838" spans="2:5">
      <c r="B9838" s="15" t="s">
        <v>12092</v>
      </c>
      <c r="C9838" s="15" t="s">
        <v>12093</v>
      </c>
      <c r="D9838" s="15" t="s">
        <v>679</v>
      </c>
      <c r="E9838" s="15" t="s">
        <v>12056</v>
      </c>
    </row>
    <row r="9839" spans="2:5">
      <c r="B9839" s="15" t="s">
        <v>12092</v>
      </c>
      <c r="C9839" s="15" t="s">
        <v>12093</v>
      </c>
      <c r="D9839" s="15" t="s">
        <v>685</v>
      </c>
      <c r="E9839" s="15" t="s">
        <v>10821</v>
      </c>
    </row>
    <row r="9840" spans="2:5">
      <c r="B9840" s="15" t="s">
        <v>12092</v>
      </c>
      <c r="C9840" s="15" t="s">
        <v>12093</v>
      </c>
      <c r="D9840" s="15" t="s">
        <v>687</v>
      </c>
      <c r="E9840" s="15" t="s">
        <v>10822</v>
      </c>
    </row>
    <row r="9841" spans="2:5">
      <c r="B9841" s="15" t="s">
        <v>12092</v>
      </c>
      <c r="C9841" s="15" t="s">
        <v>12093</v>
      </c>
      <c r="D9841" s="15" t="s">
        <v>689</v>
      </c>
      <c r="E9841" s="15" t="s">
        <v>10823</v>
      </c>
    </row>
    <row r="9842" spans="2:5">
      <c r="B9842" s="15" t="s">
        <v>12092</v>
      </c>
      <c r="C9842" s="15" t="s">
        <v>12093</v>
      </c>
      <c r="D9842" s="15" t="s">
        <v>693</v>
      </c>
      <c r="E9842" s="15" t="s">
        <v>12057</v>
      </c>
    </row>
    <row r="9843" spans="2:5">
      <c r="B9843" s="15" t="s">
        <v>12092</v>
      </c>
      <c r="C9843" s="15" t="s">
        <v>12093</v>
      </c>
      <c r="D9843" s="15" t="s">
        <v>695</v>
      </c>
      <c r="E9843" s="15" t="s">
        <v>12094</v>
      </c>
    </row>
    <row r="9844" ht="15.95" spans="2:2">
      <c r="B9844" s="122" t="s">
        <v>12095</v>
      </c>
    </row>
    <row r="9845" spans="2:5">
      <c r="B9845" s="15" t="s">
        <v>12096</v>
      </c>
      <c r="C9845" s="15" t="s">
        <v>4223</v>
      </c>
      <c r="D9845" s="15" t="s">
        <v>1267</v>
      </c>
      <c r="E9845" s="15" t="s">
        <v>1268</v>
      </c>
    </row>
    <row r="9846" spans="2:5">
      <c r="B9846" s="15" t="s">
        <v>12096</v>
      </c>
      <c r="C9846" s="15" t="s">
        <v>4223</v>
      </c>
      <c r="D9846" s="15" t="s">
        <v>1269</v>
      </c>
      <c r="E9846" s="15" t="s">
        <v>1270</v>
      </c>
    </row>
    <row r="9847" spans="2:5">
      <c r="B9847" s="15" t="s">
        <v>12096</v>
      </c>
      <c r="C9847" s="15" t="s">
        <v>4223</v>
      </c>
      <c r="D9847" s="15" t="s">
        <v>1919</v>
      </c>
      <c r="E9847" s="15" t="s">
        <v>1920</v>
      </c>
    </row>
    <row r="9848" ht="15.95" spans="2:2">
      <c r="B9848" s="122" t="s">
        <v>12097</v>
      </c>
    </row>
    <row r="9849" spans="2:5">
      <c r="B9849" s="15" t="s">
        <v>12098</v>
      </c>
      <c r="C9849" s="15" t="s">
        <v>12099</v>
      </c>
      <c r="D9849" s="15" t="s">
        <v>635</v>
      </c>
      <c r="E9849" s="15" t="s">
        <v>12051</v>
      </c>
    </row>
    <row r="9850" spans="2:5">
      <c r="B9850" s="15" t="s">
        <v>12098</v>
      </c>
      <c r="C9850" s="15" t="s">
        <v>12099</v>
      </c>
      <c r="D9850" s="15" t="s">
        <v>659</v>
      </c>
      <c r="E9850" s="15" t="s">
        <v>12052</v>
      </c>
    </row>
    <row r="9851" spans="2:5">
      <c r="B9851" s="15" t="s">
        <v>12098</v>
      </c>
      <c r="C9851" s="15" t="s">
        <v>12099</v>
      </c>
      <c r="D9851" s="15" t="s">
        <v>7553</v>
      </c>
      <c r="E9851" s="15" t="s">
        <v>12053</v>
      </c>
    </row>
    <row r="9852" spans="2:5">
      <c r="B9852" s="15" t="s">
        <v>12098</v>
      </c>
      <c r="C9852" s="15" t="s">
        <v>12099</v>
      </c>
      <c r="D9852" s="15" t="s">
        <v>7555</v>
      </c>
      <c r="E9852" s="15" t="s">
        <v>12054</v>
      </c>
    </row>
    <row r="9853" spans="2:5">
      <c r="B9853" s="15" t="s">
        <v>12098</v>
      </c>
      <c r="C9853" s="15" t="s">
        <v>12099</v>
      </c>
      <c r="D9853" s="15" t="s">
        <v>7557</v>
      </c>
      <c r="E9853" s="15" t="s">
        <v>11337</v>
      </c>
    </row>
    <row r="9854" spans="2:5">
      <c r="B9854" s="15" t="s">
        <v>12098</v>
      </c>
      <c r="C9854" s="15" t="s">
        <v>12099</v>
      </c>
      <c r="D9854" s="15" t="s">
        <v>7559</v>
      </c>
      <c r="E9854" s="15" t="s">
        <v>12055</v>
      </c>
    </row>
    <row r="9855" spans="2:5">
      <c r="B9855" s="15" t="s">
        <v>12098</v>
      </c>
      <c r="C9855" s="15" t="s">
        <v>12099</v>
      </c>
      <c r="D9855" s="15" t="s">
        <v>679</v>
      </c>
      <c r="E9855" s="15" t="s">
        <v>12056</v>
      </c>
    </row>
    <row r="9856" spans="2:5">
      <c r="B9856" s="15" t="s">
        <v>12098</v>
      </c>
      <c r="C9856" s="15" t="s">
        <v>12099</v>
      </c>
      <c r="D9856" s="15" t="s">
        <v>12100</v>
      </c>
      <c r="E9856" s="15" t="s">
        <v>12101</v>
      </c>
    </row>
    <row r="9857" spans="2:5">
      <c r="B9857" s="15" t="s">
        <v>12098</v>
      </c>
      <c r="C9857" s="15" t="s">
        <v>12099</v>
      </c>
      <c r="D9857" s="15" t="s">
        <v>12102</v>
      </c>
      <c r="E9857" s="15" t="s">
        <v>10814</v>
      </c>
    </row>
    <row r="9858" spans="2:5">
      <c r="B9858" s="15" t="s">
        <v>12098</v>
      </c>
      <c r="C9858" s="15" t="s">
        <v>12099</v>
      </c>
      <c r="D9858" s="15" t="s">
        <v>12103</v>
      </c>
      <c r="E9858" s="15" t="s">
        <v>12104</v>
      </c>
    </row>
    <row r="9859" spans="2:5">
      <c r="B9859" s="15" t="s">
        <v>12098</v>
      </c>
      <c r="C9859" s="15" t="s">
        <v>12099</v>
      </c>
      <c r="D9859" s="15" t="s">
        <v>12105</v>
      </c>
      <c r="E9859" s="15" t="s">
        <v>10816</v>
      </c>
    </row>
    <row r="9860" spans="2:5">
      <c r="B9860" s="15" t="s">
        <v>12098</v>
      </c>
      <c r="C9860" s="15" t="s">
        <v>12099</v>
      </c>
      <c r="D9860" s="15" t="s">
        <v>12106</v>
      </c>
      <c r="E9860" s="15" t="s">
        <v>10817</v>
      </c>
    </row>
    <row r="9861" spans="2:5">
      <c r="B9861" s="15" t="s">
        <v>12098</v>
      </c>
      <c r="C9861" s="15" t="s">
        <v>12099</v>
      </c>
      <c r="D9861" s="15" t="s">
        <v>12107</v>
      </c>
      <c r="E9861" s="15" t="s">
        <v>10818</v>
      </c>
    </row>
    <row r="9862" spans="2:5">
      <c r="B9862" s="15" t="s">
        <v>12098</v>
      </c>
      <c r="C9862" s="15" t="s">
        <v>12099</v>
      </c>
      <c r="D9862" s="15" t="s">
        <v>12108</v>
      </c>
      <c r="E9862" s="15" t="s">
        <v>10819</v>
      </c>
    </row>
    <row r="9863" spans="2:5">
      <c r="B9863" s="15" t="s">
        <v>12098</v>
      </c>
      <c r="C9863" s="15" t="s">
        <v>12099</v>
      </c>
      <c r="D9863" s="15" t="s">
        <v>12109</v>
      </c>
      <c r="E9863" s="15" t="s">
        <v>10820</v>
      </c>
    </row>
    <row r="9864" spans="2:5">
      <c r="B9864" s="15" t="s">
        <v>12098</v>
      </c>
      <c r="C9864" s="15" t="s">
        <v>12099</v>
      </c>
      <c r="D9864" s="15" t="s">
        <v>12110</v>
      </c>
      <c r="E9864" s="15" t="s">
        <v>10823</v>
      </c>
    </row>
    <row r="9865" spans="2:5">
      <c r="B9865" s="15" t="s">
        <v>12098</v>
      </c>
      <c r="C9865" s="15" t="s">
        <v>12099</v>
      </c>
      <c r="D9865" s="15" t="s">
        <v>12111</v>
      </c>
      <c r="E9865" s="15" t="s">
        <v>12112</v>
      </c>
    </row>
    <row r="9866" spans="2:5">
      <c r="B9866" s="15" t="s">
        <v>12098</v>
      </c>
      <c r="C9866" s="15" t="s">
        <v>12099</v>
      </c>
      <c r="D9866" s="15" t="s">
        <v>693</v>
      </c>
      <c r="E9866" s="15" t="s">
        <v>12057</v>
      </c>
    </row>
    <row r="9867" spans="2:5">
      <c r="B9867" s="15" t="s">
        <v>12098</v>
      </c>
      <c r="C9867" s="15" t="s">
        <v>12099</v>
      </c>
      <c r="D9867" s="15" t="s">
        <v>695</v>
      </c>
      <c r="E9867" s="15" t="s">
        <v>12094</v>
      </c>
    </row>
    <row r="9868" ht="15.95" spans="2:2">
      <c r="B9868" s="122" t="s">
        <v>12113</v>
      </c>
    </row>
    <row r="9869" spans="2:5">
      <c r="B9869" s="15" t="s">
        <v>12114</v>
      </c>
      <c r="C9869" s="15" t="s">
        <v>12115</v>
      </c>
      <c r="D9869" s="15" t="s">
        <v>6252</v>
      </c>
      <c r="E9869" s="15" t="s">
        <v>12116</v>
      </c>
    </row>
    <row r="9870" spans="2:5">
      <c r="B9870" s="15" t="s">
        <v>12114</v>
      </c>
      <c r="C9870" s="15" t="s">
        <v>12115</v>
      </c>
      <c r="D9870" s="15" t="s">
        <v>6358</v>
      </c>
      <c r="E9870" s="15" t="s">
        <v>4701</v>
      </c>
    </row>
    <row r="9871" spans="2:5">
      <c r="B9871" s="15" t="s">
        <v>12114</v>
      </c>
      <c r="C9871" s="15" t="s">
        <v>12115</v>
      </c>
      <c r="D9871" s="15" t="s">
        <v>6398</v>
      </c>
      <c r="E9871" s="15" t="s">
        <v>12117</v>
      </c>
    </row>
    <row r="9872" spans="2:5">
      <c r="B9872" s="15" t="s">
        <v>12114</v>
      </c>
      <c r="C9872" s="15" t="s">
        <v>12115</v>
      </c>
      <c r="D9872" s="15" t="s">
        <v>6452</v>
      </c>
      <c r="E9872" s="15" t="s">
        <v>12118</v>
      </c>
    </row>
    <row r="9873" ht="15.95" spans="2:2">
      <c r="B9873" s="122" t="s">
        <v>12119</v>
      </c>
    </row>
    <row r="9874" spans="2:5">
      <c r="B9874" s="15" t="s">
        <v>12120</v>
      </c>
      <c r="C9874" s="15" t="s">
        <v>896</v>
      </c>
      <c r="D9874" s="15" t="s">
        <v>770</v>
      </c>
      <c r="E9874" s="15" t="s">
        <v>1643</v>
      </c>
    </row>
    <row r="9875" spans="2:5">
      <c r="B9875" s="15" t="s">
        <v>12120</v>
      </c>
      <c r="C9875" s="15" t="s">
        <v>896</v>
      </c>
      <c r="D9875" s="15" t="s">
        <v>772</v>
      </c>
      <c r="E9875" s="15" t="s">
        <v>862</v>
      </c>
    </row>
    <row r="9876" ht="15.95" spans="2:2">
      <c r="B9876" s="122" t="s">
        <v>12121</v>
      </c>
    </row>
    <row r="9877" spans="2:5">
      <c r="B9877" s="15" t="s">
        <v>12122</v>
      </c>
      <c r="C9877" s="15" t="s">
        <v>12123</v>
      </c>
      <c r="D9877" s="15" t="s">
        <v>770</v>
      </c>
      <c r="E9877" s="15" t="s">
        <v>1310</v>
      </c>
    </row>
    <row r="9878" spans="2:5">
      <c r="B9878" s="15" t="s">
        <v>12122</v>
      </c>
      <c r="C9878" s="15" t="s">
        <v>12123</v>
      </c>
      <c r="D9878" s="15" t="s">
        <v>772</v>
      </c>
      <c r="E9878" s="15" t="s">
        <v>1307</v>
      </c>
    </row>
    <row r="9879" spans="2:5">
      <c r="B9879" s="15" t="s">
        <v>12122</v>
      </c>
      <c r="C9879" s="15" t="s">
        <v>12123</v>
      </c>
      <c r="D9879" s="15" t="s">
        <v>774</v>
      </c>
      <c r="E9879" s="15" t="s">
        <v>1309</v>
      </c>
    </row>
    <row r="9880" ht="15.95" spans="2:2">
      <c r="B9880" s="122" t="s">
        <v>12124</v>
      </c>
    </row>
    <row r="9881" spans="2:5">
      <c r="B9881" s="15" t="s">
        <v>12125</v>
      </c>
      <c r="C9881" s="15" t="s">
        <v>12126</v>
      </c>
      <c r="D9881" s="15" t="s">
        <v>1248</v>
      </c>
      <c r="E9881" s="15" t="s">
        <v>1249</v>
      </c>
    </row>
    <row r="9882" spans="2:5">
      <c r="B9882" s="15" t="s">
        <v>12125</v>
      </c>
      <c r="C9882" s="15" t="s">
        <v>12126</v>
      </c>
      <c r="D9882" s="15" t="s">
        <v>4188</v>
      </c>
      <c r="E9882" s="15" t="s">
        <v>4189</v>
      </c>
    </row>
    <row r="9883" spans="2:5">
      <c r="B9883" s="15" t="s">
        <v>12125</v>
      </c>
      <c r="C9883" s="15" t="s">
        <v>12126</v>
      </c>
      <c r="D9883" s="15" t="s">
        <v>1250</v>
      </c>
      <c r="E9883" s="15" t="s">
        <v>1251</v>
      </c>
    </row>
    <row r="9884" spans="2:5">
      <c r="B9884" s="15" t="s">
        <v>12125</v>
      </c>
      <c r="C9884" s="15" t="s">
        <v>12126</v>
      </c>
      <c r="D9884" s="15" t="s">
        <v>12127</v>
      </c>
      <c r="E9884" s="15" t="s">
        <v>12128</v>
      </c>
    </row>
    <row r="9885" spans="2:5">
      <c r="B9885" s="15" t="s">
        <v>12125</v>
      </c>
      <c r="C9885" s="15" t="s">
        <v>12126</v>
      </c>
      <c r="D9885" s="15" t="s">
        <v>4771</v>
      </c>
      <c r="E9885" s="15" t="s">
        <v>4772</v>
      </c>
    </row>
    <row r="9886" spans="2:5">
      <c r="B9886" s="15" t="s">
        <v>12125</v>
      </c>
      <c r="C9886" s="15" t="s">
        <v>12126</v>
      </c>
      <c r="D9886" s="15" t="s">
        <v>4195</v>
      </c>
      <c r="E9886" s="15" t="s">
        <v>4432</v>
      </c>
    </row>
    <row r="9887" spans="2:5">
      <c r="B9887" s="15" t="s">
        <v>12125</v>
      </c>
      <c r="C9887" s="15" t="s">
        <v>12126</v>
      </c>
      <c r="D9887" s="15" t="s">
        <v>12129</v>
      </c>
      <c r="E9887" s="15" t="s">
        <v>12130</v>
      </c>
    </row>
    <row r="9888" spans="2:5">
      <c r="B9888" s="15" t="s">
        <v>12125</v>
      </c>
      <c r="C9888" s="15" t="s">
        <v>12126</v>
      </c>
      <c r="D9888" s="15" t="s">
        <v>12131</v>
      </c>
      <c r="E9888" s="15" t="s">
        <v>12132</v>
      </c>
    </row>
    <row r="9889" spans="2:5">
      <c r="B9889" s="15" t="s">
        <v>12125</v>
      </c>
      <c r="C9889" s="15" t="s">
        <v>12126</v>
      </c>
      <c r="D9889" s="15" t="s">
        <v>12133</v>
      </c>
      <c r="E9889" s="15" t="s">
        <v>12134</v>
      </c>
    </row>
    <row r="9890" spans="2:5">
      <c r="B9890" s="15" t="s">
        <v>12125</v>
      </c>
      <c r="C9890" s="15" t="s">
        <v>12126</v>
      </c>
      <c r="D9890" s="15" t="s">
        <v>4197</v>
      </c>
      <c r="E9890" s="15" t="s">
        <v>1256</v>
      </c>
    </row>
    <row r="9891" spans="2:5">
      <c r="B9891" s="15" t="s">
        <v>12125</v>
      </c>
      <c r="C9891" s="15" t="s">
        <v>12126</v>
      </c>
      <c r="D9891" s="15" t="s">
        <v>4198</v>
      </c>
      <c r="E9891" s="15" t="s">
        <v>4658</v>
      </c>
    </row>
    <row r="9892" spans="2:5">
      <c r="B9892" s="15" t="s">
        <v>12125</v>
      </c>
      <c r="C9892" s="15" t="s">
        <v>12126</v>
      </c>
      <c r="D9892" s="15" t="s">
        <v>4659</v>
      </c>
      <c r="E9892" s="15" t="s">
        <v>4434</v>
      </c>
    </row>
    <row r="9893" spans="2:5">
      <c r="B9893" s="15" t="s">
        <v>12125</v>
      </c>
      <c r="C9893" s="15" t="s">
        <v>12126</v>
      </c>
      <c r="D9893" s="15" t="s">
        <v>1258</v>
      </c>
      <c r="E9893" s="15" t="s">
        <v>1259</v>
      </c>
    </row>
    <row r="9894" spans="2:5">
      <c r="B9894" s="15" t="s">
        <v>12125</v>
      </c>
      <c r="C9894" s="15" t="s">
        <v>12126</v>
      </c>
      <c r="D9894" s="15" t="s">
        <v>4202</v>
      </c>
      <c r="E9894" s="15" t="s">
        <v>4203</v>
      </c>
    </row>
    <row r="9895" ht="15.95" spans="2:2">
      <c r="B9895" s="122" t="s">
        <v>12135</v>
      </c>
    </row>
    <row r="9896" spans="2:5">
      <c r="B9896" s="15" t="s">
        <v>12136</v>
      </c>
      <c r="C9896" s="15" t="s">
        <v>12137</v>
      </c>
      <c r="D9896" s="15" t="s">
        <v>917</v>
      </c>
      <c r="E9896" s="15" t="s">
        <v>953</v>
      </c>
    </row>
    <row r="9897" spans="2:5">
      <c r="B9897" s="15" t="s">
        <v>12136</v>
      </c>
      <c r="C9897" s="15" t="s">
        <v>12137</v>
      </c>
      <c r="D9897" s="15" t="s">
        <v>919</v>
      </c>
      <c r="E9897" s="15" t="s">
        <v>954</v>
      </c>
    </row>
    <row r="9898" spans="2:5">
      <c r="B9898" s="15" t="s">
        <v>12136</v>
      </c>
      <c r="C9898" s="15" t="s">
        <v>12137</v>
      </c>
      <c r="D9898" s="15" t="s">
        <v>955</v>
      </c>
      <c r="E9898" s="15" t="s">
        <v>956</v>
      </c>
    </row>
    <row r="9899" ht="15.95" spans="2:2">
      <c r="B9899" s="122" t="s">
        <v>12138</v>
      </c>
    </row>
    <row r="9900" spans="2:5">
      <c r="B9900" s="15" t="s">
        <v>12139</v>
      </c>
      <c r="C9900" s="15" t="s">
        <v>12140</v>
      </c>
      <c r="D9900" s="15" t="s">
        <v>770</v>
      </c>
      <c r="E9900" s="15" t="s">
        <v>12141</v>
      </c>
    </row>
    <row r="9901" spans="2:5">
      <c r="B9901" s="15" t="s">
        <v>12139</v>
      </c>
      <c r="C9901" s="15" t="s">
        <v>12140</v>
      </c>
      <c r="D9901" s="15" t="s">
        <v>772</v>
      </c>
      <c r="E9901" s="15" t="s">
        <v>12142</v>
      </c>
    </row>
    <row r="9902" spans="2:5">
      <c r="B9902" s="15" t="s">
        <v>12139</v>
      </c>
      <c r="C9902" s="15" t="s">
        <v>12140</v>
      </c>
      <c r="D9902" s="15" t="s">
        <v>774</v>
      </c>
      <c r="E9902" s="15" t="s">
        <v>12143</v>
      </c>
    </row>
    <row r="9903" spans="2:5">
      <c r="B9903" s="15" t="s">
        <v>12139</v>
      </c>
      <c r="C9903" s="15" t="s">
        <v>12140</v>
      </c>
      <c r="D9903" s="15" t="s">
        <v>1143</v>
      </c>
      <c r="E9903" s="15" t="s">
        <v>235</v>
      </c>
    </row>
    <row r="9904" ht="15.95" spans="2:2">
      <c r="B9904" s="122" t="s">
        <v>12144</v>
      </c>
    </row>
    <row r="9905" spans="2:5">
      <c r="B9905" s="15" t="s">
        <v>12145</v>
      </c>
      <c r="C9905" s="15" t="s">
        <v>12146</v>
      </c>
      <c r="D9905" s="15" t="s">
        <v>770</v>
      </c>
      <c r="E9905" s="15" t="s">
        <v>862</v>
      </c>
    </row>
    <row r="9906" spans="2:5">
      <c r="B9906" s="15" t="s">
        <v>12145</v>
      </c>
      <c r="C9906" s="15" t="s">
        <v>12146</v>
      </c>
      <c r="D9906" s="15" t="s">
        <v>772</v>
      </c>
      <c r="E9906" s="15" t="s">
        <v>12147</v>
      </c>
    </row>
    <row r="9907" spans="2:5">
      <c r="B9907" s="15" t="s">
        <v>12145</v>
      </c>
      <c r="C9907" s="15" t="s">
        <v>12146</v>
      </c>
      <c r="D9907" s="15" t="s">
        <v>774</v>
      </c>
      <c r="E9907" s="15" t="s">
        <v>12148</v>
      </c>
    </row>
    <row r="9908" ht="15.95" spans="2:2">
      <c r="B9908" s="122" t="s">
        <v>12149</v>
      </c>
    </row>
    <row r="9909" spans="2:5">
      <c r="B9909" s="15" t="s">
        <v>12150</v>
      </c>
      <c r="C9909" s="15" t="s">
        <v>12151</v>
      </c>
      <c r="D9909" s="15" t="s">
        <v>770</v>
      </c>
      <c r="E9909" s="15" t="s">
        <v>12152</v>
      </c>
    </row>
    <row r="9910" spans="2:5">
      <c r="B9910" s="15" t="s">
        <v>12150</v>
      </c>
      <c r="C9910" s="15" t="s">
        <v>12151</v>
      </c>
      <c r="D9910" s="15" t="s">
        <v>772</v>
      </c>
      <c r="E9910" s="15" t="s">
        <v>12153</v>
      </c>
    </row>
    <row r="9911" spans="2:5">
      <c r="B9911" s="15" t="s">
        <v>12150</v>
      </c>
      <c r="C9911" s="15" t="s">
        <v>12151</v>
      </c>
      <c r="D9911" s="15" t="s">
        <v>774</v>
      </c>
      <c r="E9911" s="15" t="s">
        <v>12154</v>
      </c>
    </row>
    <row r="9912" spans="2:5">
      <c r="B9912" s="15" t="s">
        <v>12150</v>
      </c>
      <c r="C9912" s="15" t="s">
        <v>12151</v>
      </c>
      <c r="D9912" s="15" t="s">
        <v>828</v>
      </c>
      <c r="E9912" s="15" t="s">
        <v>12155</v>
      </c>
    </row>
    <row r="9913" spans="2:5">
      <c r="B9913" s="15" t="s">
        <v>12150</v>
      </c>
      <c r="C9913" s="15" t="s">
        <v>12151</v>
      </c>
      <c r="D9913" s="15" t="s">
        <v>901</v>
      </c>
      <c r="E9913" s="15" t="s">
        <v>12156</v>
      </c>
    </row>
    <row r="9914" spans="2:5">
      <c r="B9914" s="15" t="s">
        <v>12150</v>
      </c>
      <c r="C9914" s="15" t="s">
        <v>12151</v>
      </c>
      <c r="D9914" s="15" t="s">
        <v>776</v>
      </c>
      <c r="E9914" s="15" t="s">
        <v>12157</v>
      </c>
    </row>
    <row r="9915" ht="15.95" spans="2:2">
      <c r="B9915" s="122" t="s">
        <v>12158</v>
      </c>
    </row>
    <row r="9916" spans="2:5">
      <c r="B9916" s="15" t="s">
        <v>12159</v>
      </c>
      <c r="C9916" s="15" t="s">
        <v>12160</v>
      </c>
      <c r="D9916" s="15" t="s">
        <v>723</v>
      </c>
      <c r="E9916" s="15" t="s">
        <v>2483</v>
      </c>
    </row>
    <row r="9917" spans="2:5">
      <c r="B9917" s="15" t="s">
        <v>12159</v>
      </c>
      <c r="C9917" s="15" t="s">
        <v>12160</v>
      </c>
      <c r="D9917" s="15" t="s">
        <v>725</v>
      </c>
      <c r="E9917" s="15" t="s">
        <v>12161</v>
      </c>
    </row>
    <row r="9918" spans="2:5">
      <c r="B9918" s="15" t="s">
        <v>12159</v>
      </c>
      <c r="C9918" s="15" t="s">
        <v>12160</v>
      </c>
      <c r="D9918" s="15" t="s">
        <v>727</v>
      </c>
      <c r="E9918" s="15" t="s">
        <v>2556</v>
      </c>
    </row>
    <row r="9919" spans="2:5">
      <c r="B9919" s="15" t="s">
        <v>12159</v>
      </c>
      <c r="C9919" s="15" t="s">
        <v>12160</v>
      </c>
      <c r="D9919" s="15" t="s">
        <v>729</v>
      </c>
      <c r="E9919" s="15" t="s">
        <v>235</v>
      </c>
    </row>
    <row r="9920" ht="15.95" spans="2:2">
      <c r="B9920" s="122" t="s">
        <v>12162</v>
      </c>
    </row>
    <row r="9921" spans="2:5">
      <c r="B9921" s="15" t="s">
        <v>12163</v>
      </c>
      <c r="C9921" s="15" t="s">
        <v>896</v>
      </c>
      <c r="D9921" s="15" t="s">
        <v>770</v>
      </c>
      <c r="E9921" s="15" t="s">
        <v>11925</v>
      </c>
    </row>
    <row r="9922" spans="2:5">
      <c r="B9922" s="15" t="s">
        <v>12163</v>
      </c>
      <c r="C9922" s="15" t="s">
        <v>896</v>
      </c>
      <c r="D9922" s="15" t="s">
        <v>772</v>
      </c>
      <c r="E9922" s="15" t="s">
        <v>11926</v>
      </c>
    </row>
    <row r="9923" spans="2:5">
      <c r="B9923" s="15" t="s">
        <v>12163</v>
      </c>
      <c r="C9923" s="15" t="s">
        <v>896</v>
      </c>
      <c r="D9923" s="15" t="s">
        <v>774</v>
      </c>
      <c r="E9923" s="15" t="s">
        <v>11927</v>
      </c>
    </row>
    <row r="9924" spans="2:5">
      <c r="B9924" s="15" t="s">
        <v>12163</v>
      </c>
      <c r="C9924" s="15" t="s">
        <v>896</v>
      </c>
      <c r="D9924" s="15" t="s">
        <v>828</v>
      </c>
      <c r="E9924" s="15" t="s">
        <v>11928</v>
      </c>
    </row>
    <row r="9925" spans="2:5">
      <c r="B9925" s="15" t="s">
        <v>12163</v>
      </c>
      <c r="C9925" s="15" t="s">
        <v>896</v>
      </c>
      <c r="D9925" s="15" t="s">
        <v>901</v>
      </c>
      <c r="E9925" s="15" t="s">
        <v>11929</v>
      </c>
    </row>
    <row r="9926" spans="2:5">
      <c r="B9926" s="15" t="s">
        <v>12163</v>
      </c>
      <c r="C9926" s="15" t="s">
        <v>896</v>
      </c>
      <c r="D9926" s="15" t="s">
        <v>776</v>
      </c>
      <c r="E9926" s="15" t="s">
        <v>235</v>
      </c>
    </row>
    <row r="9927" ht="15.95" spans="2:2">
      <c r="B9927" s="122" t="s">
        <v>12164</v>
      </c>
    </row>
    <row r="9928" spans="2:5">
      <c r="B9928" s="15" t="s">
        <v>12165</v>
      </c>
      <c r="C9928" s="15" t="s">
        <v>12166</v>
      </c>
      <c r="D9928" s="15" t="s">
        <v>770</v>
      </c>
      <c r="E9928" s="15" t="s">
        <v>1713</v>
      </c>
    </row>
    <row r="9929" spans="2:5">
      <c r="B9929" s="15" t="s">
        <v>12165</v>
      </c>
      <c r="C9929" s="15" t="s">
        <v>12166</v>
      </c>
      <c r="D9929" s="15" t="s">
        <v>772</v>
      </c>
      <c r="E9929" s="15" t="s">
        <v>1712</v>
      </c>
    </row>
    <row r="9930" ht="15.95" spans="2:2">
      <c r="B9930" s="122" t="s">
        <v>12167</v>
      </c>
    </row>
    <row r="9931" spans="2:5">
      <c r="B9931" s="15" t="s">
        <v>12168</v>
      </c>
      <c r="C9931" s="15" t="s">
        <v>12169</v>
      </c>
      <c r="D9931" s="15" t="s">
        <v>12170</v>
      </c>
      <c r="E9931" s="15" t="s">
        <v>12171</v>
      </c>
    </row>
    <row r="9932" spans="2:5">
      <c r="B9932" s="15" t="s">
        <v>12168</v>
      </c>
      <c r="C9932" s="15" t="s">
        <v>12169</v>
      </c>
      <c r="D9932" s="15" t="s">
        <v>12172</v>
      </c>
      <c r="E9932" s="15" t="s">
        <v>12173</v>
      </c>
    </row>
    <row r="9933" spans="2:5">
      <c r="B9933" s="15" t="s">
        <v>12168</v>
      </c>
      <c r="C9933" s="15" t="s">
        <v>12169</v>
      </c>
      <c r="D9933" s="15" t="s">
        <v>12174</v>
      </c>
      <c r="E9933" s="15" t="s">
        <v>12175</v>
      </c>
    </row>
    <row r="9934" spans="2:5">
      <c r="B9934" s="15" t="s">
        <v>12168</v>
      </c>
      <c r="C9934" s="15" t="s">
        <v>12169</v>
      </c>
      <c r="D9934" s="15" t="s">
        <v>12176</v>
      </c>
      <c r="E9934" s="15" t="s">
        <v>12177</v>
      </c>
    </row>
    <row r="9935" spans="2:5">
      <c r="B9935" s="15" t="s">
        <v>12168</v>
      </c>
      <c r="C9935" s="15" t="s">
        <v>12169</v>
      </c>
      <c r="D9935" s="15" t="s">
        <v>12178</v>
      </c>
      <c r="E9935" s="15" t="s">
        <v>12179</v>
      </c>
    </row>
    <row r="9936" ht="15.95" spans="2:2">
      <c r="B9936" s="122" t="s">
        <v>12180</v>
      </c>
    </row>
    <row r="9937" spans="2:5">
      <c r="B9937" s="15" t="s">
        <v>12181</v>
      </c>
      <c r="C9937" s="15" t="s">
        <v>12182</v>
      </c>
      <c r="D9937" s="15" t="s">
        <v>12183</v>
      </c>
      <c r="E9937" s="15" t="s">
        <v>12184</v>
      </c>
    </row>
    <row r="9938" spans="2:5">
      <c r="B9938" s="15" t="s">
        <v>12181</v>
      </c>
      <c r="C9938" s="15" t="s">
        <v>12182</v>
      </c>
      <c r="D9938" s="15" t="s">
        <v>12185</v>
      </c>
      <c r="E9938" s="15" t="s">
        <v>12186</v>
      </c>
    </row>
    <row r="9939" spans="2:5">
      <c r="B9939" s="15" t="s">
        <v>12181</v>
      </c>
      <c r="C9939" s="15" t="s">
        <v>12182</v>
      </c>
      <c r="D9939" s="15" t="s">
        <v>12187</v>
      </c>
      <c r="E9939" s="15" t="s">
        <v>12188</v>
      </c>
    </row>
    <row r="9940" spans="2:5">
      <c r="B9940" s="15" t="s">
        <v>12181</v>
      </c>
      <c r="C9940" s="15" t="s">
        <v>12182</v>
      </c>
      <c r="D9940" s="15" t="s">
        <v>12189</v>
      </c>
      <c r="E9940" s="15" t="s">
        <v>12190</v>
      </c>
    </row>
    <row r="9941" spans="2:5">
      <c r="B9941" s="15" t="s">
        <v>12181</v>
      </c>
      <c r="C9941" s="15" t="s">
        <v>12182</v>
      </c>
      <c r="D9941" s="15" t="s">
        <v>12191</v>
      </c>
      <c r="E9941" s="15" t="s">
        <v>12192</v>
      </c>
    </row>
    <row r="9942" spans="2:5">
      <c r="B9942" s="15" t="s">
        <v>12181</v>
      </c>
      <c r="C9942" s="15" t="s">
        <v>12182</v>
      </c>
      <c r="D9942" s="15" t="s">
        <v>12193</v>
      </c>
      <c r="E9942" s="15" t="s">
        <v>12194</v>
      </c>
    </row>
    <row r="9943" spans="2:5">
      <c r="B9943" s="15" t="s">
        <v>12181</v>
      </c>
      <c r="C9943" s="15" t="s">
        <v>12182</v>
      </c>
      <c r="D9943" s="15" t="s">
        <v>12195</v>
      </c>
      <c r="E9943" s="15" t="s">
        <v>12196</v>
      </c>
    </row>
    <row r="9944" spans="2:5">
      <c r="B9944" s="15" t="s">
        <v>12181</v>
      </c>
      <c r="C9944" s="15" t="s">
        <v>12182</v>
      </c>
      <c r="D9944" s="15" t="s">
        <v>12197</v>
      </c>
      <c r="E9944" s="15" t="s">
        <v>12198</v>
      </c>
    </row>
    <row r="9945" spans="2:5">
      <c r="B9945" s="15" t="s">
        <v>12181</v>
      </c>
      <c r="C9945" s="15" t="s">
        <v>12182</v>
      </c>
      <c r="D9945" s="15" t="s">
        <v>12199</v>
      </c>
      <c r="E9945" s="15" t="s">
        <v>12198</v>
      </c>
    </row>
    <row r="9946" ht="15.95" spans="2:2">
      <c r="B9946" s="122" t="s">
        <v>12200</v>
      </c>
    </row>
    <row r="9947" spans="2:5">
      <c r="B9947" s="15" t="s">
        <v>12201</v>
      </c>
      <c r="C9947" s="15" t="s">
        <v>12202</v>
      </c>
      <c r="D9947" s="15" t="s">
        <v>659</v>
      </c>
      <c r="E9947" s="15" t="s">
        <v>12203</v>
      </c>
    </row>
    <row r="9948" spans="2:5">
      <c r="B9948" s="15" t="s">
        <v>12201</v>
      </c>
      <c r="C9948" s="15" t="s">
        <v>12202</v>
      </c>
      <c r="D9948" s="15" t="s">
        <v>679</v>
      </c>
      <c r="E9948" s="15" t="s">
        <v>12204</v>
      </c>
    </row>
    <row r="9949" spans="2:5">
      <c r="B9949" s="15" t="s">
        <v>12201</v>
      </c>
      <c r="C9949" s="15" t="s">
        <v>12202</v>
      </c>
      <c r="D9949" s="15" t="s">
        <v>705</v>
      </c>
      <c r="E9949" s="15" t="s">
        <v>12205</v>
      </c>
    </row>
    <row r="9950" spans="2:5">
      <c r="B9950" s="15" t="s">
        <v>12201</v>
      </c>
      <c r="C9950" s="15" t="s">
        <v>12202</v>
      </c>
      <c r="D9950" s="15" t="s">
        <v>709</v>
      </c>
      <c r="E9950" s="15" t="s">
        <v>12206</v>
      </c>
    </row>
    <row r="9951" ht="15.95" spans="2:2">
      <c r="B9951" s="122" t="s">
        <v>12207</v>
      </c>
    </row>
    <row r="9952" spans="2:5">
      <c r="B9952" s="15" t="s">
        <v>12208</v>
      </c>
      <c r="C9952" s="15" t="s">
        <v>12208</v>
      </c>
      <c r="D9952" s="15" t="s">
        <v>723</v>
      </c>
      <c r="E9952" s="15" t="s">
        <v>12209</v>
      </c>
    </row>
    <row r="9953" spans="2:5">
      <c r="B9953" s="15" t="s">
        <v>12208</v>
      </c>
      <c r="C9953" s="15" t="s">
        <v>12208</v>
      </c>
      <c r="D9953" s="15" t="s">
        <v>725</v>
      </c>
      <c r="E9953" s="15" t="s">
        <v>12210</v>
      </c>
    </row>
    <row r="9954" spans="2:5">
      <c r="B9954" s="15" t="s">
        <v>12208</v>
      </c>
      <c r="C9954" s="15" t="s">
        <v>12208</v>
      </c>
      <c r="D9954" s="15" t="s">
        <v>727</v>
      </c>
      <c r="E9954" s="15" t="s">
        <v>12211</v>
      </c>
    </row>
    <row r="9955" ht="15.95" spans="2:2">
      <c r="B9955" s="122" t="s">
        <v>12212</v>
      </c>
    </row>
    <row r="9956" spans="2:5">
      <c r="B9956" s="15" t="s">
        <v>12213</v>
      </c>
      <c r="C9956" s="15" t="s">
        <v>12214</v>
      </c>
      <c r="D9956" s="15" t="s">
        <v>1267</v>
      </c>
      <c r="E9956" s="15" t="s">
        <v>1268</v>
      </c>
    </row>
    <row r="9957" spans="2:5">
      <c r="B9957" s="15" t="s">
        <v>12213</v>
      </c>
      <c r="C9957" s="15" t="s">
        <v>12214</v>
      </c>
      <c r="D9957" s="15" t="s">
        <v>1269</v>
      </c>
      <c r="E9957" s="15" t="s">
        <v>1270</v>
      </c>
    </row>
    <row r="9958" ht="15.95" spans="2:2">
      <c r="B9958" s="122" t="s">
        <v>12215</v>
      </c>
    </row>
    <row r="9959" spans="2:5">
      <c r="B9959" s="15" t="s">
        <v>12216</v>
      </c>
      <c r="C9959" s="15" t="s">
        <v>896</v>
      </c>
      <c r="D9959" s="15" t="s">
        <v>770</v>
      </c>
      <c r="E9959" s="15" t="s">
        <v>12060</v>
      </c>
    </row>
    <row r="9960" spans="2:5">
      <c r="B9960" s="15" t="s">
        <v>12216</v>
      </c>
      <c r="C9960" s="15" t="s">
        <v>896</v>
      </c>
      <c r="D9960" s="15" t="s">
        <v>772</v>
      </c>
      <c r="E9960" s="15" t="s">
        <v>12061</v>
      </c>
    </row>
    <row r="9961" spans="2:5">
      <c r="B9961" s="15" t="s">
        <v>12216</v>
      </c>
      <c r="C9961" s="15" t="s">
        <v>896</v>
      </c>
      <c r="D9961" s="15" t="s">
        <v>774</v>
      </c>
      <c r="E9961" s="15" t="s">
        <v>12062</v>
      </c>
    </row>
    <row r="9962" ht="15.95" spans="2:2">
      <c r="B9962" s="122" t="s">
        <v>12217</v>
      </c>
    </row>
    <row r="9963" spans="2:5">
      <c r="B9963" s="15" t="s">
        <v>12218</v>
      </c>
      <c r="C9963" s="15" t="s">
        <v>12219</v>
      </c>
      <c r="D9963" s="15" t="s">
        <v>917</v>
      </c>
      <c r="E9963" s="15" t="s">
        <v>953</v>
      </c>
    </row>
    <row r="9964" spans="2:5">
      <c r="B9964" s="15" t="s">
        <v>12218</v>
      </c>
      <c r="C9964" s="15" t="s">
        <v>12219</v>
      </c>
      <c r="D9964" s="15" t="s">
        <v>919</v>
      </c>
      <c r="E9964" s="15" t="s">
        <v>954</v>
      </c>
    </row>
    <row r="9965" spans="2:5">
      <c r="B9965" s="15" t="s">
        <v>12218</v>
      </c>
      <c r="C9965" s="15" t="s">
        <v>12219</v>
      </c>
      <c r="D9965" s="15" t="s">
        <v>955</v>
      </c>
      <c r="E9965" s="15" t="s">
        <v>956</v>
      </c>
    </row>
    <row r="9966" ht="15.95" spans="2:2">
      <c r="B9966" s="122" t="s">
        <v>12220</v>
      </c>
    </row>
    <row r="9967" spans="2:5">
      <c r="B9967" s="15" t="s">
        <v>12221</v>
      </c>
      <c r="C9967" s="15"/>
      <c r="D9967" s="15" t="s">
        <v>1267</v>
      </c>
      <c r="E9967" s="15" t="s">
        <v>1355</v>
      </c>
    </row>
    <row r="9968" spans="2:5">
      <c r="B9968" s="15" t="s">
        <v>12221</v>
      </c>
      <c r="C9968" s="15"/>
      <c r="D9968" s="15" t="s">
        <v>1269</v>
      </c>
      <c r="E9968" s="15" t="s">
        <v>1356</v>
      </c>
    </row>
    <row r="9969" ht="15.95" spans="2:2">
      <c r="B9969" s="122" t="s">
        <v>12222</v>
      </c>
    </row>
    <row r="9970" spans="2:5">
      <c r="B9970" s="15" t="s">
        <v>12223</v>
      </c>
      <c r="C9970" s="15" t="s">
        <v>12224</v>
      </c>
      <c r="D9970" s="15" t="s">
        <v>770</v>
      </c>
      <c r="E9970" s="15" t="s">
        <v>2355</v>
      </c>
    </row>
    <row r="9971" spans="2:5">
      <c r="B9971" s="15" t="s">
        <v>12223</v>
      </c>
      <c r="C9971" s="15" t="s">
        <v>12224</v>
      </c>
      <c r="D9971" s="15" t="s">
        <v>772</v>
      </c>
      <c r="E9971" s="15" t="s">
        <v>12225</v>
      </c>
    </row>
    <row r="9972" ht="15.95" spans="2:2">
      <c r="B9972" s="122" t="s">
        <v>12226</v>
      </c>
    </row>
    <row r="9973" spans="2:5">
      <c r="B9973" s="15" t="s">
        <v>12227</v>
      </c>
      <c r="C9973" s="15" t="s">
        <v>10800</v>
      </c>
      <c r="D9973" s="15" t="s">
        <v>1267</v>
      </c>
      <c r="E9973" s="15" t="s">
        <v>1268</v>
      </c>
    </row>
    <row r="9974" spans="2:5">
      <c r="B9974" s="15" t="s">
        <v>12227</v>
      </c>
      <c r="C9974" s="15" t="s">
        <v>10800</v>
      </c>
      <c r="D9974" s="15" t="s">
        <v>1269</v>
      </c>
      <c r="E9974" s="15" t="s">
        <v>1270</v>
      </c>
    </row>
    <row r="9975" spans="2:5">
      <c r="B9975" s="15" t="s">
        <v>12227</v>
      </c>
      <c r="C9975" s="15" t="s">
        <v>10800</v>
      </c>
      <c r="D9975" s="15" t="s">
        <v>1919</v>
      </c>
      <c r="E9975" s="15" t="s">
        <v>1920</v>
      </c>
    </row>
    <row r="9976" ht="15.95" spans="2:2">
      <c r="B9976" s="122" t="s">
        <v>12228</v>
      </c>
    </row>
    <row r="9977" spans="2:5">
      <c r="B9977" s="15" t="s">
        <v>12229</v>
      </c>
      <c r="C9977" s="15" t="s">
        <v>12230</v>
      </c>
      <c r="D9977" s="15" t="s">
        <v>770</v>
      </c>
      <c r="E9977" s="15" t="s">
        <v>12231</v>
      </c>
    </row>
    <row r="9978" spans="2:5">
      <c r="B9978" s="15" t="s">
        <v>12229</v>
      </c>
      <c r="C9978" s="15" t="s">
        <v>12230</v>
      </c>
      <c r="D9978" s="15" t="s">
        <v>772</v>
      </c>
      <c r="E9978" s="15" t="s">
        <v>12232</v>
      </c>
    </row>
    <row r="9979" spans="2:5">
      <c r="B9979" s="15" t="s">
        <v>12229</v>
      </c>
      <c r="C9979" s="15" t="s">
        <v>12230</v>
      </c>
      <c r="D9979" s="15" t="s">
        <v>774</v>
      </c>
      <c r="E9979" s="15" t="s">
        <v>5687</v>
      </c>
    </row>
    <row r="9980" spans="2:5">
      <c r="B9980" s="15" t="s">
        <v>12229</v>
      </c>
      <c r="C9980" s="15" t="s">
        <v>12230</v>
      </c>
      <c r="D9980" s="15" t="s">
        <v>1145</v>
      </c>
      <c r="E9980" s="15" t="s">
        <v>235</v>
      </c>
    </row>
    <row r="9981" ht="15.95" spans="2:2">
      <c r="B9981" s="122" t="s">
        <v>12233</v>
      </c>
    </row>
    <row r="9982" spans="2:5">
      <c r="B9982" s="15" t="s">
        <v>12234</v>
      </c>
      <c r="C9982" s="15" t="s">
        <v>896</v>
      </c>
      <c r="D9982" s="15" t="s">
        <v>770</v>
      </c>
      <c r="E9982" s="15" t="s">
        <v>12235</v>
      </c>
    </row>
    <row r="9983" spans="2:5">
      <c r="B9983" s="15" t="s">
        <v>12234</v>
      </c>
      <c r="C9983" s="15" t="s">
        <v>896</v>
      </c>
      <c r="D9983" s="15" t="s">
        <v>772</v>
      </c>
      <c r="E9983" s="15" t="s">
        <v>12236</v>
      </c>
    </row>
    <row r="9984" spans="2:5">
      <c r="B9984" s="15" t="s">
        <v>12234</v>
      </c>
      <c r="C9984" s="15" t="s">
        <v>896</v>
      </c>
      <c r="D9984" s="15" t="s">
        <v>774</v>
      </c>
      <c r="E9984" s="15" t="s">
        <v>12237</v>
      </c>
    </row>
    <row r="9985" spans="2:5">
      <c r="B9985" s="15" t="s">
        <v>12234</v>
      </c>
      <c r="C9985" s="15" t="s">
        <v>896</v>
      </c>
      <c r="D9985" s="15" t="s">
        <v>828</v>
      </c>
      <c r="E9985" s="15" t="s">
        <v>235</v>
      </c>
    </row>
    <row r="9986" ht="15.95" spans="2:2">
      <c r="B9986" s="122" t="s">
        <v>12238</v>
      </c>
    </row>
    <row r="9987" spans="2:6">
      <c r="B9987" s="46" t="s">
        <v>12239</v>
      </c>
      <c r="C9987" s="46" t="s">
        <v>12240</v>
      </c>
      <c r="D9987" s="46" t="s">
        <v>770</v>
      </c>
      <c r="E9987" s="46" t="s">
        <v>12241</v>
      </c>
      <c r="F9987" s="126" t="s">
        <v>12242</v>
      </c>
    </row>
    <row r="9988" spans="2:6">
      <c r="B9988" s="46" t="s">
        <v>12239</v>
      </c>
      <c r="C9988" s="46" t="s">
        <v>12240</v>
      </c>
      <c r="D9988" s="46" t="s">
        <v>772</v>
      </c>
      <c r="E9988" s="46" t="s">
        <v>12243</v>
      </c>
      <c r="F9988" s="126" t="s">
        <v>12244</v>
      </c>
    </row>
    <row r="9989" spans="2:5">
      <c r="B9989" s="74" t="s">
        <v>12239</v>
      </c>
      <c r="C9989" s="77" t="s">
        <v>12240</v>
      </c>
      <c r="D9989" s="74" t="s">
        <v>774</v>
      </c>
      <c r="E9989" s="77" t="s">
        <v>12245</v>
      </c>
    </row>
    <row r="9990" spans="2:5">
      <c r="B9990" s="74" t="s">
        <v>12239</v>
      </c>
      <c r="C9990" s="77" t="s">
        <v>12240</v>
      </c>
      <c r="D9990" s="74" t="s">
        <v>828</v>
      </c>
      <c r="E9990" s="77" t="s">
        <v>12246</v>
      </c>
    </row>
    <row r="9991" spans="2:5">
      <c r="B9991" s="74" t="s">
        <v>12239</v>
      </c>
      <c r="C9991" s="77" t="s">
        <v>12240</v>
      </c>
      <c r="D9991" s="74" t="s">
        <v>901</v>
      </c>
      <c r="E9991" s="77" t="s">
        <v>12247</v>
      </c>
    </row>
    <row r="9992" spans="2:5">
      <c r="B9992" s="74" t="s">
        <v>12239</v>
      </c>
      <c r="C9992" s="77" t="s">
        <v>12240</v>
      </c>
      <c r="D9992" s="74" t="s">
        <v>776</v>
      </c>
      <c r="E9992" s="77" t="s">
        <v>12248</v>
      </c>
    </row>
    <row r="9993" spans="2:5">
      <c r="B9993" s="74" t="s">
        <v>12239</v>
      </c>
      <c r="C9993" s="77" t="s">
        <v>12240</v>
      </c>
      <c r="D9993" s="74" t="s">
        <v>1290</v>
      </c>
      <c r="E9993" s="77" t="s">
        <v>9833</v>
      </c>
    </row>
    <row r="9994" spans="2:5">
      <c r="B9994" s="74" t="s">
        <v>12239</v>
      </c>
      <c r="C9994" s="77" t="s">
        <v>12240</v>
      </c>
      <c r="D9994" s="74" t="s">
        <v>1409</v>
      </c>
      <c r="E9994" s="77" t="s">
        <v>12249</v>
      </c>
    </row>
    <row r="9995" ht="15.95" spans="2:2">
      <c r="B9995" s="122" t="s">
        <v>12250</v>
      </c>
    </row>
    <row r="9996" spans="2:5">
      <c r="B9996" s="15" t="s">
        <v>12251</v>
      </c>
      <c r="C9996" s="15" t="s">
        <v>12251</v>
      </c>
      <c r="D9996" s="15" t="s">
        <v>770</v>
      </c>
      <c r="E9996" s="15" t="s">
        <v>1633</v>
      </c>
    </row>
    <row r="9997" spans="2:5">
      <c r="B9997" s="15" t="s">
        <v>12251</v>
      </c>
      <c r="C9997" s="15" t="s">
        <v>12251</v>
      </c>
      <c r="D9997" s="15" t="s">
        <v>772</v>
      </c>
      <c r="E9997" s="15" t="s">
        <v>1634</v>
      </c>
    </row>
    <row r="9998" spans="2:5">
      <c r="B9998" s="15" t="s">
        <v>12251</v>
      </c>
      <c r="C9998" s="15" t="s">
        <v>12251</v>
      </c>
      <c r="D9998" s="15" t="s">
        <v>774</v>
      </c>
      <c r="E9998" s="15" t="s">
        <v>1635</v>
      </c>
    </row>
    <row r="9999" ht="15.95" spans="2:2">
      <c r="B9999" s="122" t="s">
        <v>12252</v>
      </c>
    </row>
    <row r="10000" spans="2:5">
      <c r="B10000" s="15" t="s">
        <v>12253</v>
      </c>
      <c r="C10000" s="15" t="s">
        <v>12254</v>
      </c>
      <c r="D10000" s="15" t="s">
        <v>770</v>
      </c>
      <c r="E10000" s="15" t="s">
        <v>12255</v>
      </c>
    </row>
    <row r="10001" spans="2:5">
      <c r="B10001" s="15" t="s">
        <v>12253</v>
      </c>
      <c r="C10001" s="15" t="s">
        <v>12254</v>
      </c>
      <c r="D10001" s="15" t="s">
        <v>772</v>
      </c>
      <c r="E10001" s="15" t="s">
        <v>12256</v>
      </c>
    </row>
    <row r="10002" ht="15.95" spans="2:2">
      <c r="B10002" s="122" t="s">
        <v>12257</v>
      </c>
    </row>
    <row r="10003" spans="2:5">
      <c r="B10003" s="15" t="s">
        <v>12258</v>
      </c>
      <c r="C10003" s="15" t="s">
        <v>4952</v>
      </c>
      <c r="D10003" s="15" t="s">
        <v>770</v>
      </c>
      <c r="E10003" s="15" t="s">
        <v>5856</v>
      </c>
    </row>
    <row r="10004" spans="2:5">
      <c r="B10004" s="15" t="s">
        <v>12258</v>
      </c>
      <c r="C10004" s="15" t="s">
        <v>4952</v>
      </c>
      <c r="D10004" s="15" t="s">
        <v>772</v>
      </c>
      <c r="E10004" s="15" t="s">
        <v>12259</v>
      </c>
    </row>
    <row r="10005" spans="2:5">
      <c r="B10005" s="15" t="s">
        <v>12258</v>
      </c>
      <c r="C10005" s="15" t="s">
        <v>4952</v>
      </c>
      <c r="D10005" s="15" t="s">
        <v>774</v>
      </c>
      <c r="E10005" s="15" t="s">
        <v>12260</v>
      </c>
    </row>
    <row r="10006" spans="2:5">
      <c r="B10006" s="15" t="s">
        <v>12258</v>
      </c>
      <c r="C10006" s="15" t="s">
        <v>4952</v>
      </c>
      <c r="D10006" s="15" t="s">
        <v>828</v>
      </c>
      <c r="E10006" s="15" t="s">
        <v>12261</v>
      </c>
    </row>
    <row r="10007" ht="15.95" spans="2:2">
      <c r="B10007" s="122" t="s">
        <v>12262</v>
      </c>
    </row>
    <row r="10008" spans="2:5">
      <c r="B10008" s="15" t="s">
        <v>12263</v>
      </c>
      <c r="C10008" s="15"/>
      <c r="D10008" s="15" t="s">
        <v>12264</v>
      </c>
      <c r="E10008" s="15" t="s">
        <v>12265</v>
      </c>
    </row>
    <row r="10009" spans="2:5">
      <c r="B10009" s="15" t="s">
        <v>12263</v>
      </c>
      <c r="C10009" s="15"/>
      <c r="D10009" s="15" t="s">
        <v>12266</v>
      </c>
      <c r="E10009" s="15" t="s">
        <v>12267</v>
      </c>
    </row>
    <row r="10010" spans="2:5">
      <c r="B10010" s="15" t="s">
        <v>12263</v>
      </c>
      <c r="C10010" s="15"/>
      <c r="D10010" s="15" t="s">
        <v>12268</v>
      </c>
      <c r="E10010" s="15" t="s">
        <v>12269</v>
      </c>
    </row>
    <row r="10011" spans="2:5">
      <c r="B10011" s="15" t="s">
        <v>12263</v>
      </c>
      <c r="C10011" s="15"/>
      <c r="D10011" s="15" t="s">
        <v>12270</v>
      </c>
      <c r="E10011" s="15" t="s">
        <v>12271</v>
      </c>
    </row>
    <row r="10012" ht="15.95" spans="2:2">
      <c r="B10012" s="122" t="s">
        <v>12272</v>
      </c>
    </row>
    <row r="10013" spans="2:5">
      <c r="B10013" s="15" t="s">
        <v>12273</v>
      </c>
      <c r="C10013" s="15" t="s">
        <v>12274</v>
      </c>
      <c r="D10013" s="15" t="s">
        <v>933</v>
      </c>
      <c r="E10013" s="15" t="s">
        <v>12275</v>
      </c>
    </row>
    <row r="10014" spans="2:5">
      <c r="B10014" s="15" t="s">
        <v>12273</v>
      </c>
      <c r="C10014" s="15" t="s">
        <v>12274</v>
      </c>
      <c r="D10014" s="15" t="s">
        <v>937</v>
      </c>
      <c r="E10014" s="15" t="s">
        <v>12276</v>
      </c>
    </row>
    <row r="10015" spans="2:5">
      <c r="B10015" s="15" t="s">
        <v>12273</v>
      </c>
      <c r="C10015" s="15" t="s">
        <v>12274</v>
      </c>
      <c r="D10015" s="15" t="s">
        <v>939</v>
      </c>
      <c r="E10015" s="15" t="s">
        <v>12277</v>
      </c>
    </row>
    <row r="10016" ht="15.95" spans="2:2">
      <c r="B10016" s="122" t="s">
        <v>12278</v>
      </c>
    </row>
    <row r="10017" spans="2:5">
      <c r="B10017" s="15" t="s">
        <v>12279</v>
      </c>
      <c r="C10017" s="15" t="s">
        <v>896</v>
      </c>
      <c r="D10017" s="15" t="s">
        <v>770</v>
      </c>
      <c r="E10017" s="15" t="s">
        <v>7790</v>
      </c>
    </row>
    <row r="10018" spans="2:5">
      <c r="B10018" s="15" t="s">
        <v>12279</v>
      </c>
      <c r="C10018" s="15" t="s">
        <v>896</v>
      </c>
      <c r="D10018" s="15" t="s">
        <v>772</v>
      </c>
      <c r="E10018" s="15" t="s">
        <v>7791</v>
      </c>
    </row>
    <row r="10019" spans="2:5">
      <c r="B10019" s="15" t="s">
        <v>12279</v>
      </c>
      <c r="C10019" s="15" t="s">
        <v>896</v>
      </c>
      <c r="D10019" s="15" t="s">
        <v>774</v>
      </c>
      <c r="E10019" s="15" t="s">
        <v>7792</v>
      </c>
    </row>
    <row r="10020" spans="2:5">
      <c r="B10020" s="15" t="s">
        <v>12279</v>
      </c>
      <c r="C10020" s="15" t="s">
        <v>896</v>
      </c>
      <c r="D10020" s="15" t="s">
        <v>828</v>
      </c>
      <c r="E10020" s="15" t="s">
        <v>7793</v>
      </c>
    </row>
    <row r="10021" ht="15.95" spans="2:2">
      <c r="B10021" s="122" t="s">
        <v>12280</v>
      </c>
    </row>
    <row r="10022" spans="2:5">
      <c r="B10022" s="15" t="s">
        <v>12281</v>
      </c>
      <c r="C10022" s="15" t="s">
        <v>12281</v>
      </c>
      <c r="D10022" s="15" t="s">
        <v>770</v>
      </c>
      <c r="E10022" s="15" t="s">
        <v>4458</v>
      </c>
    </row>
    <row r="10023" spans="2:5">
      <c r="B10023" s="15" t="s">
        <v>12281</v>
      </c>
      <c r="C10023" s="15" t="s">
        <v>12281</v>
      </c>
      <c r="D10023" s="15" t="s">
        <v>772</v>
      </c>
      <c r="E10023" s="15" t="s">
        <v>4459</v>
      </c>
    </row>
    <row r="10024" spans="2:5">
      <c r="B10024" s="15" t="s">
        <v>12281</v>
      </c>
      <c r="C10024" s="15" t="s">
        <v>12281</v>
      </c>
      <c r="D10024" s="15" t="s">
        <v>774</v>
      </c>
      <c r="E10024" s="15" t="s">
        <v>4460</v>
      </c>
    </row>
    <row r="10025" spans="2:5">
      <c r="B10025" s="15" t="s">
        <v>12281</v>
      </c>
      <c r="C10025" s="15" t="s">
        <v>12281</v>
      </c>
      <c r="D10025" s="15" t="s">
        <v>828</v>
      </c>
      <c r="E10025" s="15" t="s">
        <v>4461</v>
      </c>
    </row>
    <row r="10026" ht="15.95" spans="2:2">
      <c r="B10026" s="122" t="s">
        <v>12282</v>
      </c>
    </row>
    <row r="10027" spans="2:5">
      <c r="B10027" s="15" t="s">
        <v>12283</v>
      </c>
      <c r="C10027" s="15" t="s">
        <v>1266</v>
      </c>
      <c r="D10027" s="15" t="s">
        <v>1267</v>
      </c>
      <c r="E10027" s="15" t="s">
        <v>1268</v>
      </c>
    </row>
    <row r="10028" spans="2:5">
      <c r="B10028" s="15" t="s">
        <v>12283</v>
      </c>
      <c r="C10028" s="15" t="s">
        <v>1266</v>
      </c>
      <c r="D10028" s="15" t="s">
        <v>1269</v>
      </c>
      <c r="E10028" s="15" t="s">
        <v>1270</v>
      </c>
    </row>
    <row r="10029" ht="15.95" spans="2:2">
      <c r="B10029" s="122" t="s">
        <v>12284</v>
      </c>
    </row>
    <row r="10030" spans="2:5">
      <c r="B10030" s="15" t="s">
        <v>7993</v>
      </c>
      <c r="C10030" s="15" t="s">
        <v>7993</v>
      </c>
      <c r="D10030" s="15" t="s">
        <v>723</v>
      </c>
      <c r="E10030" s="15" t="s">
        <v>1643</v>
      </c>
    </row>
    <row r="10031" spans="2:5">
      <c r="B10031" s="15" t="s">
        <v>7993</v>
      </c>
      <c r="C10031" s="15" t="s">
        <v>7993</v>
      </c>
      <c r="D10031" s="15" t="s">
        <v>725</v>
      </c>
      <c r="E10031" s="15" t="s">
        <v>862</v>
      </c>
    </row>
    <row r="10032" ht="15.95" spans="2:2">
      <c r="B10032" s="122" t="s">
        <v>12285</v>
      </c>
    </row>
    <row r="10033" spans="2:5">
      <c r="B10033" s="15" t="s">
        <v>12286</v>
      </c>
      <c r="C10033" s="15" t="s">
        <v>12287</v>
      </c>
      <c r="D10033" s="15" t="s">
        <v>1267</v>
      </c>
      <c r="E10033" s="15" t="s">
        <v>1268</v>
      </c>
    </row>
    <row r="10034" spans="2:5">
      <c r="B10034" s="15" t="s">
        <v>12286</v>
      </c>
      <c r="C10034" s="15" t="s">
        <v>12287</v>
      </c>
      <c r="D10034" s="15" t="s">
        <v>1269</v>
      </c>
      <c r="E10034" s="15" t="s">
        <v>1270</v>
      </c>
    </row>
    <row r="10035" spans="2:5">
      <c r="B10035" s="15" t="s">
        <v>12286</v>
      </c>
      <c r="C10035" s="15" t="s">
        <v>12287</v>
      </c>
      <c r="D10035" s="15" t="s">
        <v>1919</v>
      </c>
      <c r="E10035" s="15" t="s">
        <v>1920</v>
      </c>
    </row>
    <row r="10036" ht="15.95" spans="2:2">
      <c r="B10036" s="122" t="s">
        <v>12288</v>
      </c>
    </row>
    <row r="10037" spans="2:5">
      <c r="B10037" s="15" t="s">
        <v>12289</v>
      </c>
      <c r="C10037" s="15" t="s">
        <v>12290</v>
      </c>
      <c r="D10037" s="15" t="s">
        <v>770</v>
      </c>
      <c r="E10037" s="15" t="s">
        <v>12291</v>
      </c>
    </row>
    <row r="10038" spans="2:5">
      <c r="B10038" s="15" t="s">
        <v>12289</v>
      </c>
      <c r="C10038" s="15" t="s">
        <v>12290</v>
      </c>
      <c r="D10038" s="15" t="s">
        <v>772</v>
      </c>
      <c r="E10038" s="15" t="s">
        <v>12292</v>
      </c>
    </row>
    <row r="10039" ht="15.95" spans="2:2">
      <c r="B10039" s="122" t="s">
        <v>12293</v>
      </c>
    </row>
    <row r="10040" spans="2:5">
      <c r="B10040" s="15" t="s">
        <v>12294</v>
      </c>
      <c r="C10040" s="15" t="s">
        <v>12295</v>
      </c>
      <c r="D10040" s="15" t="s">
        <v>770</v>
      </c>
      <c r="E10040" s="15" t="s">
        <v>12296</v>
      </c>
    </row>
    <row r="10041" spans="2:5">
      <c r="B10041" s="15" t="s">
        <v>12294</v>
      </c>
      <c r="C10041" s="15" t="s">
        <v>12295</v>
      </c>
      <c r="D10041" s="15" t="s">
        <v>772</v>
      </c>
      <c r="E10041" s="15" t="s">
        <v>12297</v>
      </c>
    </row>
    <row r="10042" ht="15.95" spans="2:2">
      <c r="B10042" s="122" t="s">
        <v>12298</v>
      </c>
    </row>
    <row r="10043" spans="2:5">
      <c r="B10043" s="15" t="s">
        <v>12299</v>
      </c>
      <c r="C10043" s="15" t="s">
        <v>9877</v>
      </c>
      <c r="D10043" s="15" t="s">
        <v>933</v>
      </c>
      <c r="E10043" s="15" t="s">
        <v>7444</v>
      </c>
    </row>
    <row r="10044" spans="2:5">
      <c r="B10044" s="15" t="s">
        <v>12299</v>
      </c>
      <c r="C10044" s="15" t="s">
        <v>9877</v>
      </c>
      <c r="D10044" s="15" t="s">
        <v>937</v>
      </c>
      <c r="E10044" s="15" t="s">
        <v>7445</v>
      </c>
    </row>
    <row r="10045" ht="15.95" spans="2:2">
      <c r="B10045" s="122" t="s">
        <v>12300</v>
      </c>
    </row>
    <row r="10046" spans="2:5">
      <c r="B10046" s="15" t="s">
        <v>12301</v>
      </c>
      <c r="C10046" s="15" t="s">
        <v>12302</v>
      </c>
      <c r="D10046" s="15" t="s">
        <v>785</v>
      </c>
      <c r="E10046" s="15" t="s">
        <v>11359</v>
      </c>
    </row>
    <row r="10047" spans="2:5">
      <c r="B10047" s="15" t="s">
        <v>12301</v>
      </c>
      <c r="C10047" s="15" t="s">
        <v>12302</v>
      </c>
      <c r="D10047" s="15" t="s">
        <v>787</v>
      </c>
      <c r="E10047" s="15" t="s">
        <v>11361</v>
      </c>
    </row>
    <row r="10048" spans="2:5">
      <c r="B10048" s="15" t="s">
        <v>12301</v>
      </c>
      <c r="C10048" s="15" t="s">
        <v>12302</v>
      </c>
      <c r="D10048" s="15" t="s">
        <v>789</v>
      </c>
      <c r="E10048" s="15" t="s">
        <v>11363</v>
      </c>
    </row>
    <row r="10049" spans="2:5">
      <c r="B10049" s="15" t="s">
        <v>12301</v>
      </c>
      <c r="C10049" s="15" t="s">
        <v>12302</v>
      </c>
      <c r="D10049" s="15" t="s">
        <v>791</v>
      </c>
      <c r="E10049" s="15" t="s">
        <v>11365</v>
      </c>
    </row>
    <row r="10050" spans="2:5">
      <c r="B10050" s="15" t="s">
        <v>12301</v>
      </c>
      <c r="C10050" s="15" t="s">
        <v>12302</v>
      </c>
      <c r="D10050" s="15" t="s">
        <v>793</v>
      </c>
      <c r="E10050" s="15" t="s">
        <v>11367</v>
      </c>
    </row>
    <row r="10051" spans="2:5">
      <c r="B10051" s="15" t="s">
        <v>12301</v>
      </c>
      <c r="C10051" s="15" t="s">
        <v>12302</v>
      </c>
      <c r="D10051" s="15" t="s">
        <v>795</v>
      </c>
      <c r="E10051" s="15" t="s">
        <v>11369</v>
      </c>
    </row>
    <row r="10052" spans="2:5">
      <c r="B10052" s="15" t="s">
        <v>12301</v>
      </c>
      <c r="C10052" s="15" t="s">
        <v>12302</v>
      </c>
      <c r="D10052" s="15" t="s">
        <v>797</v>
      </c>
      <c r="E10052" s="15" t="s">
        <v>11371</v>
      </c>
    </row>
    <row r="10053" spans="2:5">
      <c r="B10053" s="15" t="s">
        <v>12301</v>
      </c>
      <c r="C10053" s="15" t="s">
        <v>12302</v>
      </c>
      <c r="D10053" s="15" t="s">
        <v>805</v>
      </c>
      <c r="E10053" s="15" t="s">
        <v>11373</v>
      </c>
    </row>
    <row r="10054" spans="2:5">
      <c r="B10054" s="15" t="s">
        <v>12301</v>
      </c>
      <c r="C10054" s="15" t="s">
        <v>12302</v>
      </c>
      <c r="D10054" s="15" t="s">
        <v>840</v>
      </c>
      <c r="E10054" s="15" t="s">
        <v>12303</v>
      </c>
    </row>
    <row r="10055" spans="2:5">
      <c r="B10055" s="15" t="s">
        <v>12301</v>
      </c>
      <c r="C10055" s="15" t="s">
        <v>12302</v>
      </c>
      <c r="D10055" s="15" t="s">
        <v>842</v>
      </c>
      <c r="E10055" s="15" t="s">
        <v>12304</v>
      </c>
    </row>
    <row r="10056" spans="2:5">
      <c r="B10056" s="15" t="s">
        <v>12301</v>
      </c>
      <c r="C10056" s="15" t="s">
        <v>12302</v>
      </c>
      <c r="D10056" s="15" t="s">
        <v>844</v>
      </c>
      <c r="E10056" s="15" t="s">
        <v>12305</v>
      </c>
    </row>
    <row r="10057" spans="2:5">
      <c r="B10057" s="15" t="s">
        <v>12301</v>
      </c>
      <c r="C10057" s="15" t="s">
        <v>12302</v>
      </c>
      <c r="D10057" s="15" t="s">
        <v>846</v>
      </c>
      <c r="E10057" s="15" t="s">
        <v>11375</v>
      </c>
    </row>
    <row r="10058" spans="2:5">
      <c r="B10058" s="15" t="s">
        <v>12301</v>
      </c>
      <c r="C10058" s="15" t="s">
        <v>12302</v>
      </c>
      <c r="D10058" s="15" t="s">
        <v>713</v>
      </c>
      <c r="E10058" s="15" t="s">
        <v>11377</v>
      </c>
    </row>
    <row r="10059" ht="15.95" spans="2:2">
      <c r="B10059" s="122" t="s">
        <v>12306</v>
      </c>
    </row>
    <row r="10060" spans="2:5">
      <c r="B10060" s="15" t="s">
        <v>12307</v>
      </c>
      <c r="C10060" s="15" t="s">
        <v>12308</v>
      </c>
      <c r="D10060" s="15" t="s">
        <v>723</v>
      </c>
      <c r="E10060" s="15" t="s">
        <v>11871</v>
      </c>
    </row>
    <row r="10061" spans="2:5">
      <c r="B10061" s="15" t="s">
        <v>12307</v>
      </c>
      <c r="C10061" s="15" t="s">
        <v>12308</v>
      </c>
      <c r="D10061" s="15" t="s">
        <v>725</v>
      </c>
      <c r="E10061" s="15" t="s">
        <v>11872</v>
      </c>
    </row>
    <row r="10062" spans="2:5">
      <c r="B10062" s="15" t="s">
        <v>12307</v>
      </c>
      <c r="C10062" s="15" t="s">
        <v>12308</v>
      </c>
      <c r="D10062" s="15" t="s">
        <v>727</v>
      </c>
      <c r="E10062" s="15" t="s">
        <v>11873</v>
      </c>
    </row>
    <row r="10063" spans="2:5">
      <c r="B10063" s="15" t="s">
        <v>12307</v>
      </c>
      <c r="C10063" s="15" t="s">
        <v>12308</v>
      </c>
      <c r="D10063" s="15" t="s">
        <v>729</v>
      </c>
      <c r="E10063" s="15" t="s">
        <v>12309</v>
      </c>
    </row>
    <row r="10064" spans="2:5">
      <c r="B10064" s="15" t="s">
        <v>12307</v>
      </c>
      <c r="C10064" s="15" t="s">
        <v>12308</v>
      </c>
      <c r="D10064" s="15" t="s">
        <v>760</v>
      </c>
      <c r="E10064" s="15" t="s">
        <v>11876</v>
      </c>
    </row>
    <row r="10065" spans="2:5">
      <c r="B10065" s="15" t="s">
        <v>12307</v>
      </c>
      <c r="C10065" s="15" t="s">
        <v>12308</v>
      </c>
      <c r="D10065" s="15" t="s">
        <v>762</v>
      </c>
      <c r="E10065" s="15" t="s">
        <v>11875</v>
      </c>
    </row>
    <row r="10066" spans="2:5">
      <c r="B10066" s="15" t="s">
        <v>12307</v>
      </c>
      <c r="C10066" s="15" t="s">
        <v>12308</v>
      </c>
      <c r="D10066" s="15" t="s">
        <v>764</v>
      </c>
      <c r="E10066" s="15" t="s">
        <v>12310</v>
      </c>
    </row>
    <row r="10067" spans="2:5">
      <c r="B10067" s="15" t="s">
        <v>12307</v>
      </c>
      <c r="C10067" s="15" t="s">
        <v>12308</v>
      </c>
      <c r="D10067" s="15" t="s">
        <v>1587</v>
      </c>
      <c r="E10067" s="15" t="s">
        <v>12311</v>
      </c>
    </row>
    <row r="10068" ht="15.95" spans="2:2">
      <c r="B10068" s="122" t="s">
        <v>12312</v>
      </c>
    </row>
    <row r="10069" spans="2:5">
      <c r="B10069" s="15" t="s">
        <v>12313</v>
      </c>
      <c r="C10069" s="15" t="s">
        <v>12314</v>
      </c>
      <c r="D10069" s="15" t="s">
        <v>2378</v>
      </c>
      <c r="E10069" s="15" t="s">
        <v>12315</v>
      </c>
    </row>
    <row r="10070" spans="2:5">
      <c r="B10070" s="15" t="s">
        <v>12313</v>
      </c>
      <c r="C10070" s="15" t="s">
        <v>12314</v>
      </c>
      <c r="D10070" s="15" t="s">
        <v>12316</v>
      </c>
      <c r="E10070" s="15" t="s">
        <v>12317</v>
      </c>
    </row>
    <row r="10071" spans="2:5">
      <c r="B10071" s="15" t="s">
        <v>12313</v>
      </c>
      <c r="C10071" s="15" t="s">
        <v>12314</v>
      </c>
      <c r="D10071" s="15" t="s">
        <v>12318</v>
      </c>
      <c r="E10071" s="15" t="s">
        <v>1356</v>
      </c>
    </row>
    <row r="10072" spans="2:5">
      <c r="B10072" s="15" t="s">
        <v>12313</v>
      </c>
      <c r="C10072" s="15" t="s">
        <v>12314</v>
      </c>
      <c r="D10072" s="15" t="s">
        <v>635</v>
      </c>
      <c r="E10072" s="15" t="s">
        <v>9116</v>
      </c>
    </row>
    <row r="10073" spans="2:5">
      <c r="B10073" s="15" t="s">
        <v>12313</v>
      </c>
      <c r="C10073" s="15" t="s">
        <v>12314</v>
      </c>
      <c r="D10073" s="15" t="s">
        <v>2972</v>
      </c>
      <c r="E10073" s="15" t="s">
        <v>12319</v>
      </c>
    </row>
    <row r="10074" spans="2:5">
      <c r="B10074" s="15" t="s">
        <v>12313</v>
      </c>
      <c r="C10074" s="15" t="s">
        <v>12314</v>
      </c>
      <c r="D10074" s="15" t="s">
        <v>4361</v>
      </c>
      <c r="E10074" s="15" t="s">
        <v>12320</v>
      </c>
    </row>
    <row r="10075" spans="2:5">
      <c r="B10075" s="15" t="s">
        <v>12313</v>
      </c>
      <c r="C10075" s="15" t="s">
        <v>12314</v>
      </c>
      <c r="D10075" s="15" t="s">
        <v>5842</v>
      </c>
      <c r="E10075" s="15" t="s">
        <v>12321</v>
      </c>
    </row>
    <row r="10076" ht="16" spans="2:2">
      <c r="B10076" s="127" t="s">
        <v>12322</v>
      </c>
    </row>
    <row r="10077" spans="2:5">
      <c r="B10077" s="4" t="s">
        <v>12323</v>
      </c>
      <c r="C10077" s="128" t="s">
        <v>12324</v>
      </c>
      <c r="D10077" s="4">
        <v>1</v>
      </c>
      <c r="E10077" s="4" t="s">
        <v>12325</v>
      </c>
    </row>
    <row r="10078" spans="2:5">
      <c r="B10078" s="4" t="s">
        <v>12323</v>
      </c>
      <c r="C10078" s="128" t="s">
        <v>12324</v>
      </c>
      <c r="D10078" s="4">
        <v>2</v>
      </c>
      <c r="E10078" s="4" t="s">
        <v>12326</v>
      </c>
    </row>
    <row r="10079" spans="2:5">
      <c r="B10079" s="4" t="s">
        <v>12323</v>
      </c>
      <c r="C10079" s="128" t="s">
        <v>12324</v>
      </c>
      <c r="D10079" s="4">
        <v>3</v>
      </c>
      <c r="E10079" s="4" t="s">
        <v>8352</v>
      </c>
    </row>
    <row r="10080" spans="2:5">
      <c r="B10080" s="4" t="s">
        <v>12323</v>
      </c>
      <c r="C10080" s="128" t="s">
        <v>12324</v>
      </c>
      <c r="D10080" s="4">
        <v>4</v>
      </c>
      <c r="E10080" s="4" t="s">
        <v>8355</v>
      </c>
    </row>
    <row r="10081" ht="16" spans="2:2">
      <c r="B10081" s="127" t="s">
        <v>12327</v>
      </c>
    </row>
    <row r="10082" spans="2:5">
      <c r="B10082" s="4" t="s">
        <v>12328</v>
      </c>
      <c r="C10082" s="128" t="s">
        <v>12329</v>
      </c>
      <c r="D10082" s="4">
        <v>1</v>
      </c>
      <c r="E10082" s="4" t="s">
        <v>1439</v>
      </c>
    </row>
    <row r="10083" spans="2:5">
      <c r="B10083" s="4" t="s">
        <v>12328</v>
      </c>
      <c r="C10083" s="128" t="s">
        <v>12329</v>
      </c>
      <c r="D10083" s="4">
        <v>2</v>
      </c>
      <c r="E10083" s="4" t="s">
        <v>1443</v>
      </c>
    </row>
    <row r="10084" ht="16" spans="2:2">
      <c r="B10084" s="127" t="s">
        <v>12330</v>
      </c>
    </row>
    <row r="10085" spans="2:5">
      <c r="B10085" s="4" t="s">
        <v>12331</v>
      </c>
      <c r="C10085" s="128" t="s">
        <v>12329</v>
      </c>
      <c r="D10085" s="4">
        <v>10</v>
      </c>
      <c r="E10085" s="4" t="s">
        <v>11861</v>
      </c>
    </row>
    <row r="10086" spans="2:5">
      <c r="B10086" s="4" t="s">
        <v>12331</v>
      </c>
      <c r="C10086" s="128" t="s">
        <v>12329</v>
      </c>
      <c r="D10086" s="4">
        <v>20</v>
      </c>
      <c r="E10086" s="4" t="s">
        <v>12332</v>
      </c>
    </row>
    <row r="10087" ht="16" spans="2:2">
      <c r="B10087" s="127" t="s">
        <v>12333</v>
      </c>
    </row>
    <row r="10088" spans="2:5">
      <c r="B10088" s="4" t="s">
        <v>12334</v>
      </c>
      <c r="C10088" s="129" t="s">
        <v>12335</v>
      </c>
      <c r="D10088" s="5" t="s">
        <v>839</v>
      </c>
      <c r="E10088" s="5" t="s">
        <v>839</v>
      </c>
    </row>
    <row r="10089" spans="2:5">
      <c r="B10089" s="5" t="s">
        <v>12334</v>
      </c>
      <c r="C10089" s="129" t="s">
        <v>12335</v>
      </c>
      <c r="D10089" s="5" t="s">
        <v>835</v>
      </c>
      <c r="E10089" s="5" t="s">
        <v>835</v>
      </c>
    </row>
    <row r="10090" spans="2:5">
      <c r="B10090" s="5" t="s">
        <v>12334</v>
      </c>
      <c r="C10090" s="129" t="s">
        <v>12335</v>
      </c>
      <c r="D10090" s="5" t="s">
        <v>833</v>
      </c>
      <c r="E10090" s="5" t="s">
        <v>833</v>
      </c>
    </row>
    <row r="10091" spans="2:5">
      <c r="B10091" s="5" t="s">
        <v>12334</v>
      </c>
      <c r="C10091" s="129" t="s">
        <v>12335</v>
      </c>
      <c r="D10091" s="5" t="s">
        <v>856</v>
      </c>
      <c r="E10091" s="5" t="s">
        <v>856</v>
      </c>
    </row>
    <row r="10092" spans="2:5">
      <c r="B10092" s="5" t="s">
        <v>12334</v>
      </c>
      <c r="C10092" s="129" t="s">
        <v>12335</v>
      </c>
      <c r="D10092" s="5" t="s">
        <v>850</v>
      </c>
      <c r="E10092" s="5" t="s">
        <v>850</v>
      </c>
    </row>
    <row r="10093" spans="2:5">
      <c r="B10093" s="5" t="s">
        <v>12334</v>
      </c>
      <c r="C10093" s="129" t="s">
        <v>12335</v>
      </c>
      <c r="D10093" s="5" t="s">
        <v>845</v>
      </c>
      <c r="E10093" s="5" t="s">
        <v>845</v>
      </c>
    </row>
    <row r="10094" spans="2:5">
      <c r="B10094" s="5" t="s">
        <v>12334</v>
      </c>
      <c r="C10094" s="129" t="s">
        <v>12335</v>
      </c>
      <c r="D10094" s="5" t="s">
        <v>2546</v>
      </c>
      <c r="E10094" s="5" t="s">
        <v>2546</v>
      </c>
    </row>
    <row r="10095" spans="2:5">
      <c r="B10095" s="5" t="s">
        <v>12334</v>
      </c>
      <c r="C10095" s="129" t="s">
        <v>12335</v>
      </c>
      <c r="D10095" s="5" t="s">
        <v>6152</v>
      </c>
      <c r="E10095" s="5" t="s">
        <v>6152</v>
      </c>
    </row>
    <row r="10096" spans="2:5">
      <c r="B10096" s="5" t="s">
        <v>12334</v>
      </c>
      <c r="C10096" s="129" t="s">
        <v>12335</v>
      </c>
      <c r="D10096" s="5" t="s">
        <v>6151</v>
      </c>
      <c r="E10096" s="5" t="s">
        <v>6151</v>
      </c>
    </row>
    <row r="10097" spans="2:5">
      <c r="B10097" s="5" t="s">
        <v>12334</v>
      </c>
      <c r="C10097" s="129" t="s">
        <v>12335</v>
      </c>
      <c r="D10097" s="5" t="s">
        <v>2547</v>
      </c>
      <c r="E10097" s="5" t="s">
        <v>2547</v>
      </c>
    </row>
    <row r="10098" ht="16" spans="2:2">
      <c r="B10098" s="127" t="s">
        <v>12336</v>
      </c>
    </row>
    <row r="10099" spans="2:5">
      <c r="B10099" s="4" t="s">
        <v>12337</v>
      </c>
      <c r="C10099" s="129" t="s">
        <v>12338</v>
      </c>
      <c r="D10099" s="5">
        <v>1</v>
      </c>
      <c r="E10099" s="5" t="s">
        <v>12339</v>
      </c>
    </row>
    <row r="10100" spans="2:5">
      <c r="B10100" s="4" t="s">
        <v>12337</v>
      </c>
      <c r="C10100" s="129" t="s">
        <v>12338</v>
      </c>
      <c r="D10100" s="5">
        <v>2</v>
      </c>
      <c r="E10100" s="5" t="s">
        <v>12340</v>
      </c>
    </row>
    <row r="10101" spans="2:5">
      <c r="B10101" s="4" t="s">
        <v>12337</v>
      </c>
      <c r="C10101" s="129" t="s">
        <v>12338</v>
      </c>
      <c r="D10101" s="5">
        <v>3</v>
      </c>
      <c r="E10101" s="5" t="s">
        <v>12341</v>
      </c>
    </row>
    <row r="10102" ht="16" spans="2:2">
      <c r="B10102" s="127" t="s">
        <v>12342</v>
      </c>
    </row>
    <row r="10103" spans="2:5">
      <c r="B10103" s="4" t="s">
        <v>12343</v>
      </c>
      <c r="C10103" s="129" t="s">
        <v>12335</v>
      </c>
      <c r="D10103" s="5">
        <v>1</v>
      </c>
      <c r="E10103" s="5" t="s">
        <v>1310</v>
      </c>
    </row>
    <row r="10104" spans="2:5">
      <c r="B10104" s="4" t="s">
        <v>12343</v>
      </c>
      <c r="C10104" s="129" t="s">
        <v>12335</v>
      </c>
      <c r="D10104" s="5">
        <v>2</v>
      </c>
      <c r="E10104" s="5" t="s">
        <v>1274</v>
      </c>
    </row>
    <row r="10105" spans="2:5">
      <c r="B10105" s="4" t="s">
        <v>12343</v>
      </c>
      <c r="C10105" s="129" t="s">
        <v>12335</v>
      </c>
      <c r="D10105" s="5">
        <v>3</v>
      </c>
      <c r="E10105" s="5" t="s">
        <v>1309</v>
      </c>
    </row>
    <row r="10106" spans="2:5">
      <c r="B10106" s="4" t="s">
        <v>12343</v>
      </c>
      <c r="C10106" s="129" t="s">
        <v>12335</v>
      </c>
      <c r="D10106" s="5">
        <v>4</v>
      </c>
      <c r="E10106" s="5" t="s">
        <v>235</v>
      </c>
    </row>
    <row r="10107" ht="16" spans="2:2">
      <c r="B10107" s="127" t="s">
        <v>12344</v>
      </c>
    </row>
    <row r="10108" spans="2:5">
      <c r="B10108" s="4" t="s">
        <v>12345</v>
      </c>
      <c r="C10108" s="129" t="s">
        <v>12346</v>
      </c>
      <c r="D10108" s="5">
        <v>110000</v>
      </c>
      <c r="E10108" s="5" t="s">
        <v>12347</v>
      </c>
    </row>
    <row r="10109" spans="2:5">
      <c r="B10109" s="4" t="s">
        <v>12345</v>
      </c>
      <c r="C10109" s="129" t="s">
        <v>12346</v>
      </c>
      <c r="D10109" s="5">
        <v>110100</v>
      </c>
      <c r="E10109" s="5" t="s">
        <v>12348</v>
      </c>
    </row>
    <row r="10110" spans="2:5">
      <c r="B10110" s="4" t="s">
        <v>12345</v>
      </c>
      <c r="C10110" s="129" t="s">
        <v>12346</v>
      </c>
      <c r="D10110" s="5">
        <v>110101</v>
      </c>
      <c r="E10110" s="5" t="s">
        <v>12349</v>
      </c>
    </row>
    <row r="10111" spans="2:5">
      <c r="B10111" s="4" t="s">
        <v>12345</v>
      </c>
      <c r="C10111" s="129" t="s">
        <v>12346</v>
      </c>
      <c r="D10111" s="5">
        <v>110102</v>
      </c>
      <c r="E10111" s="5" t="s">
        <v>12350</v>
      </c>
    </row>
    <row r="10112" spans="2:5">
      <c r="B10112" s="4" t="s">
        <v>12345</v>
      </c>
      <c r="C10112" s="129" t="s">
        <v>12346</v>
      </c>
      <c r="D10112" s="5">
        <v>110105</v>
      </c>
      <c r="E10112" s="5" t="s">
        <v>12351</v>
      </c>
    </row>
    <row r="10113" spans="2:5">
      <c r="B10113" s="4" t="s">
        <v>12345</v>
      </c>
      <c r="C10113" s="129" t="s">
        <v>12346</v>
      </c>
      <c r="D10113" s="5">
        <v>110106</v>
      </c>
      <c r="E10113" s="5" t="s">
        <v>12352</v>
      </c>
    </row>
    <row r="10114" spans="2:5">
      <c r="B10114" s="4" t="s">
        <v>12345</v>
      </c>
      <c r="C10114" s="129" t="s">
        <v>12346</v>
      </c>
      <c r="D10114" s="5">
        <v>110107</v>
      </c>
      <c r="E10114" s="5" t="s">
        <v>12353</v>
      </c>
    </row>
    <row r="10115" spans="2:5">
      <c r="B10115" s="4" t="s">
        <v>12345</v>
      </c>
      <c r="C10115" s="129" t="s">
        <v>12346</v>
      </c>
      <c r="D10115" s="5">
        <v>110108</v>
      </c>
      <c r="E10115" s="5" t="s">
        <v>12354</v>
      </c>
    </row>
    <row r="10116" spans="2:5">
      <c r="B10116" s="4" t="s">
        <v>12345</v>
      </c>
      <c r="C10116" s="129" t="s">
        <v>12346</v>
      </c>
      <c r="D10116" s="5">
        <v>110109</v>
      </c>
      <c r="E10116" s="5" t="s">
        <v>12355</v>
      </c>
    </row>
    <row r="10117" spans="2:5">
      <c r="B10117" s="4" t="s">
        <v>12345</v>
      </c>
      <c r="C10117" s="129" t="s">
        <v>12346</v>
      </c>
      <c r="D10117" s="5">
        <v>110111</v>
      </c>
      <c r="E10117" s="5" t="s">
        <v>12356</v>
      </c>
    </row>
    <row r="10118" spans="2:5">
      <c r="B10118" s="4" t="s">
        <v>12345</v>
      </c>
      <c r="C10118" s="129" t="s">
        <v>12346</v>
      </c>
      <c r="D10118" s="5">
        <v>110112</v>
      </c>
      <c r="E10118" s="5" t="s">
        <v>12357</v>
      </c>
    </row>
    <row r="10119" spans="2:5">
      <c r="B10119" s="4" t="s">
        <v>12345</v>
      </c>
      <c r="C10119" s="129" t="s">
        <v>12346</v>
      </c>
      <c r="D10119" s="5">
        <v>110113</v>
      </c>
      <c r="E10119" s="5" t="s">
        <v>12358</v>
      </c>
    </row>
    <row r="10120" spans="2:5">
      <c r="B10120" s="4" t="s">
        <v>12345</v>
      </c>
      <c r="C10120" s="129" t="s">
        <v>12346</v>
      </c>
      <c r="D10120" s="5">
        <v>110114</v>
      </c>
      <c r="E10120" s="5" t="s">
        <v>12359</v>
      </c>
    </row>
    <row r="10121" spans="2:5">
      <c r="B10121" s="4" t="s">
        <v>12345</v>
      </c>
      <c r="C10121" s="129" t="s">
        <v>12346</v>
      </c>
      <c r="D10121" s="5">
        <v>110115</v>
      </c>
      <c r="E10121" s="5" t="s">
        <v>12360</v>
      </c>
    </row>
    <row r="10122" spans="2:5">
      <c r="B10122" s="4" t="s">
        <v>12345</v>
      </c>
      <c r="C10122" s="129" t="s">
        <v>12346</v>
      </c>
      <c r="D10122" s="5">
        <v>110116</v>
      </c>
      <c r="E10122" s="5" t="s">
        <v>12361</v>
      </c>
    </row>
    <row r="10123" spans="2:5">
      <c r="B10123" s="4" t="s">
        <v>12345</v>
      </c>
      <c r="C10123" s="129" t="s">
        <v>12346</v>
      </c>
      <c r="D10123" s="5">
        <v>110117</v>
      </c>
      <c r="E10123" s="5" t="s">
        <v>12362</v>
      </c>
    </row>
    <row r="10124" spans="2:5">
      <c r="B10124" s="4" t="s">
        <v>12345</v>
      </c>
      <c r="C10124" s="129" t="s">
        <v>12346</v>
      </c>
      <c r="D10124" s="5">
        <v>110200</v>
      </c>
      <c r="E10124" s="5" t="s">
        <v>12363</v>
      </c>
    </row>
    <row r="10125" spans="2:5">
      <c r="B10125" s="4" t="s">
        <v>12345</v>
      </c>
      <c r="C10125" s="129" t="s">
        <v>12346</v>
      </c>
      <c r="D10125" s="5">
        <v>110228</v>
      </c>
      <c r="E10125" s="5" t="s">
        <v>12364</v>
      </c>
    </row>
    <row r="10126" spans="2:5">
      <c r="B10126" s="4" t="s">
        <v>12345</v>
      </c>
      <c r="C10126" s="129" t="s">
        <v>12346</v>
      </c>
      <c r="D10126" s="5">
        <v>110229</v>
      </c>
      <c r="E10126" s="5" t="s">
        <v>12365</v>
      </c>
    </row>
    <row r="10127" spans="2:5">
      <c r="B10127" s="4" t="s">
        <v>12345</v>
      </c>
      <c r="C10127" s="129" t="s">
        <v>12346</v>
      </c>
      <c r="D10127" s="5">
        <v>120000</v>
      </c>
      <c r="E10127" s="5" t="s">
        <v>12366</v>
      </c>
    </row>
    <row r="10128" spans="2:5">
      <c r="B10128" s="4" t="s">
        <v>12345</v>
      </c>
      <c r="C10128" s="129" t="s">
        <v>12346</v>
      </c>
      <c r="D10128" s="5">
        <v>120100</v>
      </c>
      <c r="E10128" s="5" t="s">
        <v>12367</v>
      </c>
    </row>
    <row r="10129" spans="2:5">
      <c r="B10129" s="4" t="s">
        <v>12345</v>
      </c>
      <c r="C10129" s="129" t="s">
        <v>12346</v>
      </c>
      <c r="D10129" s="5">
        <v>120101</v>
      </c>
      <c r="E10129" s="5" t="s">
        <v>12368</v>
      </c>
    </row>
    <row r="10130" spans="2:5">
      <c r="B10130" s="4" t="s">
        <v>12345</v>
      </c>
      <c r="C10130" s="129" t="s">
        <v>12346</v>
      </c>
      <c r="D10130" s="5">
        <v>120102</v>
      </c>
      <c r="E10130" s="5" t="s">
        <v>12369</v>
      </c>
    </row>
    <row r="10131" spans="2:5">
      <c r="B10131" s="4" t="s">
        <v>12345</v>
      </c>
      <c r="C10131" s="129" t="s">
        <v>12346</v>
      </c>
      <c r="D10131" s="5">
        <v>120103</v>
      </c>
      <c r="E10131" s="5" t="s">
        <v>12370</v>
      </c>
    </row>
    <row r="10132" spans="2:5">
      <c r="B10132" s="4" t="s">
        <v>12345</v>
      </c>
      <c r="C10132" s="129" t="s">
        <v>12346</v>
      </c>
      <c r="D10132" s="5">
        <v>120104</v>
      </c>
      <c r="E10132" s="5" t="s">
        <v>12371</v>
      </c>
    </row>
    <row r="10133" spans="2:5">
      <c r="B10133" s="4" t="s">
        <v>12345</v>
      </c>
      <c r="C10133" s="129" t="s">
        <v>12346</v>
      </c>
      <c r="D10133" s="5">
        <v>120105</v>
      </c>
      <c r="E10133" s="5" t="s">
        <v>12372</v>
      </c>
    </row>
    <row r="10134" spans="2:5">
      <c r="B10134" s="4" t="s">
        <v>12345</v>
      </c>
      <c r="C10134" s="129" t="s">
        <v>12346</v>
      </c>
      <c r="D10134" s="5">
        <v>120106</v>
      </c>
      <c r="E10134" s="5" t="s">
        <v>12373</v>
      </c>
    </row>
    <row r="10135" spans="2:5">
      <c r="B10135" s="4" t="s">
        <v>12345</v>
      </c>
      <c r="C10135" s="129" t="s">
        <v>12346</v>
      </c>
      <c r="D10135" s="5">
        <v>120110</v>
      </c>
      <c r="E10135" s="5" t="s">
        <v>12374</v>
      </c>
    </row>
    <row r="10136" spans="2:5">
      <c r="B10136" s="4" t="s">
        <v>12345</v>
      </c>
      <c r="C10136" s="129" t="s">
        <v>12346</v>
      </c>
      <c r="D10136" s="5">
        <v>120111</v>
      </c>
      <c r="E10136" s="5" t="s">
        <v>12375</v>
      </c>
    </row>
    <row r="10137" spans="2:5">
      <c r="B10137" s="4" t="s">
        <v>12345</v>
      </c>
      <c r="C10137" s="129" t="s">
        <v>12346</v>
      </c>
      <c r="D10137" s="5">
        <v>120112</v>
      </c>
      <c r="E10137" s="5" t="s">
        <v>12376</v>
      </c>
    </row>
    <row r="10138" spans="2:5">
      <c r="B10138" s="4" t="s">
        <v>12345</v>
      </c>
      <c r="C10138" s="129" t="s">
        <v>12346</v>
      </c>
      <c r="D10138" s="5">
        <v>120113</v>
      </c>
      <c r="E10138" s="5" t="s">
        <v>12377</v>
      </c>
    </row>
    <row r="10139" spans="2:5">
      <c r="B10139" s="4" t="s">
        <v>12345</v>
      </c>
      <c r="C10139" s="129" t="s">
        <v>12346</v>
      </c>
      <c r="D10139" s="5">
        <v>120114</v>
      </c>
      <c r="E10139" s="5" t="s">
        <v>12378</v>
      </c>
    </row>
    <row r="10140" spans="2:5">
      <c r="B10140" s="4" t="s">
        <v>12345</v>
      </c>
      <c r="C10140" s="129" t="s">
        <v>12346</v>
      </c>
      <c r="D10140" s="5">
        <v>120115</v>
      </c>
      <c r="E10140" s="5" t="s">
        <v>12379</v>
      </c>
    </row>
    <row r="10141" spans="2:5">
      <c r="B10141" s="4" t="s">
        <v>12345</v>
      </c>
      <c r="C10141" s="129" t="s">
        <v>12346</v>
      </c>
      <c r="D10141" s="5">
        <v>120116</v>
      </c>
      <c r="E10141" s="5" t="s">
        <v>12380</v>
      </c>
    </row>
    <row r="10142" spans="2:5">
      <c r="B10142" s="4" t="s">
        <v>12345</v>
      </c>
      <c r="C10142" s="129" t="s">
        <v>12346</v>
      </c>
      <c r="D10142" s="5">
        <v>120200</v>
      </c>
      <c r="E10142" s="5" t="s">
        <v>12381</v>
      </c>
    </row>
    <row r="10143" spans="2:5">
      <c r="B10143" s="4" t="s">
        <v>12345</v>
      </c>
      <c r="C10143" s="129" t="s">
        <v>12346</v>
      </c>
      <c r="D10143" s="5">
        <v>120221</v>
      </c>
      <c r="E10143" s="5" t="s">
        <v>12382</v>
      </c>
    </row>
    <row r="10144" spans="2:5">
      <c r="B10144" s="4" t="s">
        <v>12345</v>
      </c>
      <c r="C10144" s="129" t="s">
        <v>12346</v>
      </c>
      <c r="D10144" s="5">
        <v>120223</v>
      </c>
      <c r="E10144" s="5" t="s">
        <v>12383</v>
      </c>
    </row>
    <row r="10145" spans="2:5">
      <c r="B10145" s="4" t="s">
        <v>12345</v>
      </c>
      <c r="C10145" s="129" t="s">
        <v>12346</v>
      </c>
      <c r="D10145" s="5">
        <v>120225</v>
      </c>
      <c r="E10145" s="5" t="s">
        <v>12384</v>
      </c>
    </row>
    <row r="10146" spans="2:5">
      <c r="B10146" s="4" t="s">
        <v>12345</v>
      </c>
      <c r="C10146" s="129" t="s">
        <v>12346</v>
      </c>
      <c r="D10146" s="5">
        <v>130000</v>
      </c>
      <c r="E10146" s="5" t="s">
        <v>12385</v>
      </c>
    </row>
    <row r="10147" spans="2:5">
      <c r="B10147" s="4" t="s">
        <v>12345</v>
      </c>
      <c r="C10147" s="129" t="s">
        <v>12346</v>
      </c>
      <c r="D10147" s="5">
        <v>130100</v>
      </c>
      <c r="E10147" s="5" t="s">
        <v>12386</v>
      </c>
    </row>
    <row r="10148" spans="2:5">
      <c r="B10148" s="4" t="s">
        <v>12345</v>
      </c>
      <c r="C10148" s="129" t="s">
        <v>12346</v>
      </c>
      <c r="D10148" s="5">
        <v>130101</v>
      </c>
      <c r="E10148" s="5" t="s">
        <v>12387</v>
      </c>
    </row>
    <row r="10149" spans="2:5">
      <c r="B10149" s="4" t="s">
        <v>12345</v>
      </c>
      <c r="C10149" s="129" t="s">
        <v>12346</v>
      </c>
      <c r="D10149" s="5">
        <v>130102</v>
      </c>
      <c r="E10149" s="5" t="s">
        <v>12388</v>
      </c>
    </row>
    <row r="10150" spans="2:5">
      <c r="B10150" s="4" t="s">
        <v>12345</v>
      </c>
      <c r="C10150" s="129" t="s">
        <v>12346</v>
      </c>
      <c r="D10150" s="5">
        <v>130104</v>
      </c>
      <c r="E10150" s="5" t="s">
        <v>12389</v>
      </c>
    </row>
    <row r="10151" spans="2:5">
      <c r="B10151" s="4" t="s">
        <v>12345</v>
      </c>
      <c r="C10151" s="129" t="s">
        <v>12346</v>
      </c>
      <c r="D10151" s="5">
        <v>130105</v>
      </c>
      <c r="E10151" s="5" t="s">
        <v>12390</v>
      </c>
    </row>
    <row r="10152" spans="2:5">
      <c r="B10152" s="4" t="s">
        <v>12345</v>
      </c>
      <c r="C10152" s="129" t="s">
        <v>12346</v>
      </c>
      <c r="D10152" s="5">
        <v>130107</v>
      </c>
      <c r="E10152" s="5" t="s">
        <v>12391</v>
      </c>
    </row>
    <row r="10153" spans="2:5">
      <c r="B10153" s="4" t="s">
        <v>12345</v>
      </c>
      <c r="C10153" s="129" t="s">
        <v>12346</v>
      </c>
      <c r="D10153" s="5">
        <v>130108</v>
      </c>
      <c r="E10153" s="5" t="s">
        <v>12392</v>
      </c>
    </row>
    <row r="10154" spans="2:5">
      <c r="B10154" s="4" t="s">
        <v>12345</v>
      </c>
      <c r="C10154" s="129" t="s">
        <v>12346</v>
      </c>
      <c r="D10154" s="5">
        <v>130109</v>
      </c>
      <c r="E10154" s="5" t="s">
        <v>12393</v>
      </c>
    </row>
    <row r="10155" spans="2:5">
      <c r="B10155" s="4" t="s">
        <v>12345</v>
      </c>
      <c r="C10155" s="129" t="s">
        <v>12346</v>
      </c>
      <c r="D10155" s="5">
        <v>130110</v>
      </c>
      <c r="E10155" s="5" t="s">
        <v>12394</v>
      </c>
    </row>
    <row r="10156" spans="2:5">
      <c r="B10156" s="4" t="s">
        <v>12345</v>
      </c>
      <c r="C10156" s="129" t="s">
        <v>12346</v>
      </c>
      <c r="D10156" s="5">
        <v>130111</v>
      </c>
      <c r="E10156" s="5" t="s">
        <v>12395</v>
      </c>
    </row>
    <row r="10157" spans="2:5">
      <c r="B10157" s="4" t="s">
        <v>12345</v>
      </c>
      <c r="C10157" s="129" t="s">
        <v>12346</v>
      </c>
      <c r="D10157" s="5">
        <v>130121</v>
      </c>
      <c r="E10157" s="5" t="s">
        <v>12396</v>
      </c>
    </row>
    <row r="10158" spans="2:5">
      <c r="B10158" s="4" t="s">
        <v>12345</v>
      </c>
      <c r="C10158" s="129" t="s">
        <v>12346</v>
      </c>
      <c r="D10158" s="5">
        <v>130123</v>
      </c>
      <c r="E10158" s="5" t="s">
        <v>12397</v>
      </c>
    </row>
    <row r="10159" spans="2:5">
      <c r="B10159" s="4" t="s">
        <v>12345</v>
      </c>
      <c r="C10159" s="129" t="s">
        <v>12346</v>
      </c>
      <c r="D10159" s="5">
        <v>130125</v>
      </c>
      <c r="E10159" s="5" t="s">
        <v>12398</v>
      </c>
    </row>
    <row r="10160" spans="2:5">
      <c r="B10160" s="4" t="s">
        <v>12345</v>
      </c>
      <c r="C10160" s="129" t="s">
        <v>12346</v>
      </c>
      <c r="D10160" s="5">
        <v>130126</v>
      </c>
      <c r="E10160" s="5" t="s">
        <v>12399</v>
      </c>
    </row>
    <row r="10161" spans="2:5">
      <c r="B10161" s="4" t="s">
        <v>12345</v>
      </c>
      <c r="C10161" s="129" t="s">
        <v>12346</v>
      </c>
      <c r="D10161" s="5">
        <v>130127</v>
      </c>
      <c r="E10161" s="5" t="s">
        <v>12400</v>
      </c>
    </row>
    <row r="10162" spans="2:5">
      <c r="B10162" s="4" t="s">
        <v>12345</v>
      </c>
      <c r="C10162" s="129" t="s">
        <v>12346</v>
      </c>
      <c r="D10162" s="5">
        <v>130128</v>
      </c>
      <c r="E10162" s="5" t="s">
        <v>12401</v>
      </c>
    </row>
    <row r="10163" spans="2:5">
      <c r="B10163" s="4" t="s">
        <v>12345</v>
      </c>
      <c r="C10163" s="129" t="s">
        <v>12346</v>
      </c>
      <c r="D10163" s="5">
        <v>130129</v>
      </c>
      <c r="E10163" s="5" t="s">
        <v>12402</v>
      </c>
    </row>
    <row r="10164" spans="2:5">
      <c r="B10164" s="4" t="s">
        <v>12345</v>
      </c>
      <c r="C10164" s="129" t="s">
        <v>12346</v>
      </c>
      <c r="D10164" s="5">
        <v>130130</v>
      </c>
      <c r="E10164" s="5" t="s">
        <v>12403</v>
      </c>
    </row>
    <row r="10165" spans="2:5">
      <c r="B10165" s="4" t="s">
        <v>12345</v>
      </c>
      <c r="C10165" s="129" t="s">
        <v>12346</v>
      </c>
      <c r="D10165" s="5">
        <v>130131</v>
      </c>
      <c r="E10165" s="5" t="s">
        <v>12404</v>
      </c>
    </row>
    <row r="10166" spans="2:5">
      <c r="B10166" s="4" t="s">
        <v>12345</v>
      </c>
      <c r="C10166" s="129" t="s">
        <v>12346</v>
      </c>
      <c r="D10166" s="5">
        <v>130132</v>
      </c>
      <c r="E10166" s="5" t="s">
        <v>12405</v>
      </c>
    </row>
    <row r="10167" spans="2:5">
      <c r="B10167" s="4" t="s">
        <v>12345</v>
      </c>
      <c r="C10167" s="129" t="s">
        <v>12346</v>
      </c>
      <c r="D10167" s="5">
        <v>130133</v>
      </c>
      <c r="E10167" s="5" t="s">
        <v>12406</v>
      </c>
    </row>
    <row r="10168" spans="2:5">
      <c r="B10168" s="4" t="s">
        <v>12345</v>
      </c>
      <c r="C10168" s="129" t="s">
        <v>12346</v>
      </c>
      <c r="D10168" s="5">
        <v>130183</v>
      </c>
      <c r="E10168" s="5" t="s">
        <v>12407</v>
      </c>
    </row>
    <row r="10169" spans="2:5">
      <c r="B10169" s="4" t="s">
        <v>12345</v>
      </c>
      <c r="C10169" s="129" t="s">
        <v>12346</v>
      </c>
      <c r="D10169" s="5">
        <v>130184</v>
      </c>
      <c r="E10169" s="5" t="s">
        <v>12408</v>
      </c>
    </row>
    <row r="10170" spans="2:5">
      <c r="B10170" s="4" t="s">
        <v>12345</v>
      </c>
      <c r="C10170" s="129" t="s">
        <v>12346</v>
      </c>
      <c r="D10170" s="5">
        <v>130200</v>
      </c>
      <c r="E10170" s="5" t="s">
        <v>12409</v>
      </c>
    </row>
    <row r="10171" spans="2:5">
      <c r="B10171" s="4" t="s">
        <v>12345</v>
      </c>
      <c r="C10171" s="129" t="s">
        <v>12346</v>
      </c>
      <c r="D10171" s="5">
        <v>130201</v>
      </c>
      <c r="E10171" s="5" t="s">
        <v>12410</v>
      </c>
    </row>
    <row r="10172" spans="2:5">
      <c r="B10172" s="4" t="s">
        <v>12345</v>
      </c>
      <c r="C10172" s="129" t="s">
        <v>12346</v>
      </c>
      <c r="D10172" s="5">
        <v>130202</v>
      </c>
      <c r="E10172" s="5" t="s">
        <v>12411</v>
      </c>
    </row>
    <row r="10173" spans="2:5">
      <c r="B10173" s="4" t="s">
        <v>12345</v>
      </c>
      <c r="C10173" s="129" t="s">
        <v>12346</v>
      </c>
      <c r="D10173" s="5">
        <v>130203</v>
      </c>
      <c r="E10173" s="5" t="s">
        <v>12412</v>
      </c>
    </row>
    <row r="10174" spans="2:5">
      <c r="B10174" s="4" t="s">
        <v>12345</v>
      </c>
      <c r="C10174" s="129" t="s">
        <v>12346</v>
      </c>
      <c r="D10174" s="5">
        <v>130204</v>
      </c>
      <c r="E10174" s="5" t="s">
        <v>12413</v>
      </c>
    </row>
    <row r="10175" spans="2:5">
      <c r="B10175" s="4" t="s">
        <v>12345</v>
      </c>
      <c r="C10175" s="129" t="s">
        <v>12346</v>
      </c>
      <c r="D10175" s="5">
        <v>130205</v>
      </c>
      <c r="E10175" s="5" t="s">
        <v>12414</v>
      </c>
    </row>
    <row r="10176" spans="2:5">
      <c r="B10176" s="4" t="s">
        <v>12345</v>
      </c>
      <c r="C10176" s="129" t="s">
        <v>12346</v>
      </c>
      <c r="D10176" s="5">
        <v>130207</v>
      </c>
      <c r="E10176" s="5" t="s">
        <v>12415</v>
      </c>
    </row>
    <row r="10177" spans="2:5">
      <c r="B10177" s="4" t="s">
        <v>12345</v>
      </c>
      <c r="C10177" s="129" t="s">
        <v>12346</v>
      </c>
      <c r="D10177" s="5">
        <v>130208</v>
      </c>
      <c r="E10177" s="5" t="s">
        <v>12416</v>
      </c>
    </row>
    <row r="10178" spans="2:5">
      <c r="B10178" s="4" t="s">
        <v>12345</v>
      </c>
      <c r="C10178" s="129" t="s">
        <v>12346</v>
      </c>
      <c r="D10178" s="5">
        <v>130209</v>
      </c>
      <c r="E10178" s="5" t="s">
        <v>12417</v>
      </c>
    </row>
    <row r="10179" spans="2:5">
      <c r="B10179" s="4" t="s">
        <v>12345</v>
      </c>
      <c r="C10179" s="129" t="s">
        <v>12346</v>
      </c>
      <c r="D10179" s="5">
        <v>130223</v>
      </c>
      <c r="E10179" s="5" t="s">
        <v>12418</v>
      </c>
    </row>
    <row r="10180" spans="2:5">
      <c r="B10180" s="4" t="s">
        <v>12345</v>
      </c>
      <c r="C10180" s="129" t="s">
        <v>12346</v>
      </c>
      <c r="D10180" s="5">
        <v>130224</v>
      </c>
      <c r="E10180" s="5" t="s">
        <v>12419</v>
      </c>
    </row>
    <row r="10181" spans="2:5">
      <c r="B10181" s="4" t="s">
        <v>12345</v>
      </c>
      <c r="C10181" s="129" t="s">
        <v>12346</v>
      </c>
      <c r="D10181" s="5">
        <v>130225</v>
      </c>
      <c r="E10181" s="5" t="s">
        <v>12420</v>
      </c>
    </row>
    <row r="10182" spans="2:5">
      <c r="B10182" s="4" t="s">
        <v>12345</v>
      </c>
      <c r="C10182" s="129" t="s">
        <v>12346</v>
      </c>
      <c r="D10182" s="5">
        <v>130227</v>
      </c>
      <c r="E10182" s="5" t="s">
        <v>12421</v>
      </c>
    </row>
    <row r="10183" spans="2:5">
      <c r="B10183" s="4" t="s">
        <v>12345</v>
      </c>
      <c r="C10183" s="129" t="s">
        <v>12346</v>
      </c>
      <c r="D10183" s="5">
        <v>130229</v>
      </c>
      <c r="E10183" s="5" t="s">
        <v>12422</v>
      </c>
    </row>
    <row r="10184" spans="2:5">
      <c r="B10184" s="4" t="s">
        <v>12345</v>
      </c>
      <c r="C10184" s="129" t="s">
        <v>12346</v>
      </c>
      <c r="D10184" s="5">
        <v>130281</v>
      </c>
      <c r="E10184" s="5" t="s">
        <v>12423</v>
      </c>
    </row>
    <row r="10185" spans="2:5">
      <c r="B10185" s="4" t="s">
        <v>12345</v>
      </c>
      <c r="C10185" s="129" t="s">
        <v>12346</v>
      </c>
      <c r="D10185" s="5">
        <v>130283</v>
      </c>
      <c r="E10185" s="5" t="s">
        <v>12424</v>
      </c>
    </row>
    <row r="10186" spans="2:5">
      <c r="B10186" s="4" t="s">
        <v>12345</v>
      </c>
      <c r="C10186" s="129" t="s">
        <v>12346</v>
      </c>
      <c r="D10186" s="5">
        <v>130300</v>
      </c>
      <c r="E10186" s="5" t="s">
        <v>12425</v>
      </c>
    </row>
    <row r="10187" spans="2:5">
      <c r="B10187" s="4" t="s">
        <v>12345</v>
      </c>
      <c r="C10187" s="129" t="s">
        <v>12346</v>
      </c>
      <c r="D10187" s="5">
        <v>130301</v>
      </c>
      <c r="E10187" s="5" t="s">
        <v>12426</v>
      </c>
    </row>
    <row r="10188" spans="2:5">
      <c r="B10188" s="4" t="s">
        <v>12345</v>
      </c>
      <c r="C10188" s="129" t="s">
        <v>12346</v>
      </c>
      <c r="D10188" s="5">
        <v>130302</v>
      </c>
      <c r="E10188" s="5" t="s">
        <v>12427</v>
      </c>
    </row>
    <row r="10189" spans="2:5">
      <c r="B10189" s="4" t="s">
        <v>12345</v>
      </c>
      <c r="C10189" s="129" t="s">
        <v>12346</v>
      </c>
      <c r="D10189" s="5">
        <v>130303</v>
      </c>
      <c r="E10189" s="5" t="s">
        <v>12428</v>
      </c>
    </row>
    <row r="10190" spans="2:5">
      <c r="B10190" s="4" t="s">
        <v>12345</v>
      </c>
      <c r="C10190" s="129" t="s">
        <v>12346</v>
      </c>
      <c r="D10190" s="5">
        <v>130304</v>
      </c>
      <c r="E10190" s="5" t="s">
        <v>12429</v>
      </c>
    </row>
    <row r="10191" spans="2:5">
      <c r="B10191" s="4" t="s">
        <v>12345</v>
      </c>
      <c r="C10191" s="129" t="s">
        <v>12346</v>
      </c>
      <c r="D10191" s="5">
        <v>130321</v>
      </c>
      <c r="E10191" s="5" t="s">
        <v>12430</v>
      </c>
    </row>
    <row r="10192" spans="2:5">
      <c r="B10192" s="4" t="s">
        <v>12345</v>
      </c>
      <c r="C10192" s="129" t="s">
        <v>12346</v>
      </c>
      <c r="D10192" s="5">
        <v>130322</v>
      </c>
      <c r="E10192" s="5" t="s">
        <v>12431</v>
      </c>
    </row>
    <row r="10193" spans="2:5">
      <c r="B10193" s="4" t="s">
        <v>12345</v>
      </c>
      <c r="C10193" s="129" t="s">
        <v>12346</v>
      </c>
      <c r="D10193" s="5">
        <v>130323</v>
      </c>
      <c r="E10193" s="5" t="s">
        <v>12432</v>
      </c>
    </row>
    <row r="10194" spans="2:5">
      <c r="B10194" s="4" t="s">
        <v>12345</v>
      </c>
      <c r="C10194" s="129" t="s">
        <v>12346</v>
      </c>
      <c r="D10194" s="5">
        <v>130324</v>
      </c>
      <c r="E10194" s="5" t="s">
        <v>12433</v>
      </c>
    </row>
    <row r="10195" spans="2:5">
      <c r="B10195" s="4" t="s">
        <v>12345</v>
      </c>
      <c r="C10195" s="129" t="s">
        <v>12346</v>
      </c>
      <c r="D10195" s="5">
        <v>130400</v>
      </c>
      <c r="E10195" s="5" t="s">
        <v>12434</v>
      </c>
    </row>
    <row r="10196" spans="2:5">
      <c r="B10196" s="4" t="s">
        <v>12345</v>
      </c>
      <c r="C10196" s="129" t="s">
        <v>12346</v>
      </c>
      <c r="D10196" s="5">
        <v>130401</v>
      </c>
      <c r="E10196" s="5" t="s">
        <v>12435</v>
      </c>
    </row>
    <row r="10197" spans="2:5">
      <c r="B10197" s="4" t="s">
        <v>12345</v>
      </c>
      <c r="C10197" s="129" t="s">
        <v>12346</v>
      </c>
      <c r="D10197" s="5">
        <v>130402</v>
      </c>
      <c r="E10197" s="5" t="s">
        <v>12436</v>
      </c>
    </row>
    <row r="10198" spans="2:5">
      <c r="B10198" s="4" t="s">
        <v>12345</v>
      </c>
      <c r="C10198" s="129" t="s">
        <v>12346</v>
      </c>
      <c r="D10198" s="5">
        <v>130403</v>
      </c>
      <c r="E10198" s="5" t="s">
        <v>12437</v>
      </c>
    </row>
    <row r="10199" spans="2:5">
      <c r="B10199" s="4" t="s">
        <v>12345</v>
      </c>
      <c r="C10199" s="129" t="s">
        <v>12346</v>
      </c>
      <c r="D10199" s="5">
        <v>130404</v>
      </c>
      <c r="E10199" s="5" t="s">
        <v>12438</v>
      </c>
    </row>
    <row r="10200" spans="2:5">
      <c r="B10200" s="4" t="s">
        <v>12345</v>
      </c>
      <c r="C10200" s="129" t="s">
        <v>12346</v>
      </c>
      <c r="D10200" s="5">
        <v>130406</v>
      </c>
      <c r="E10200" s="5" t="s">
        <v>12439</v>
      </c>
    </row>
    <row r="10201" spans="2:5">
      <c r="B10201" s="4" t="s">
        <v>12345</v>
      </c>
      <c r="C10201" s="129" t="s">
        <v>12346</v>
      </c>
      <c r="D10201" s="5">
        <v>130421</v>
      </c>
      <c r="E10201" s="5" t="s">
        <v>12440</v>
      </c>
    </row>
    <row r="10202" spans="2:5">
      <c r="B10202" s="4" t="s">
        <v>12345</v>
      </c>
      <c r="C10202" s="129" t="s">
        <v>12346</v>
      </c>
      <c r="D10202" s="5">
        <v>130423</v>
      </c>
      <c r="E10202" s="5" t="s">
        <v>12441</v>
      </c>
    </row>
    <row r="10203" spans="2:5">
      <c r="B10203" s="4" t="s">
        <v>12345</v>
      </c>
      <c r="C10203" s="129" t="s">
        <v>12346</v>
      </c>
      <c r="D10203" s="5">
        <v>130424</v>
      </c>
      <c r="E10203" s="5" t="s">
        <v>12442</v>
      </c>
    </row>
    <row r="10204" spans="2:5">
      <c r="B10204" s="4" t="s">
        <v>12345</v>
      </c>
      <c r="C10204" s="129" t="s">
        <v>12346</v>
      </c>
      <c r="D10204" s="5">
        <v>130425</v>
      </c>
      <c r="E10204" s="5" t="s">
        <v>12443</v>
      </c>
    </row>
    <row r="10205" spans="2:5">
      <c r="B10205" s="4" t="s">
        <v>12345</v>
      </c>
      <c r="C10205" s="129" t="s">
        <v>12346</v>
      </c>
      <c r="D10205" s="5">
        <v>130426</v>
      </c>
      <c r="E10205" s="5" t="s">
        <v>12444</v>
      </c>
    </row>
    <row r="10206" spans="2:5">
      <c r="B10206" s="4" t="s">
        <v>12345</v>
      </c>
      <c r="C10206" s="129" t="s">
        <v>12346</v>
      </c>
      <c r="D10206" s="5">
        <v>130427</v>
      </c>
      <c r="E10206" s="5" t="s">
        <v>12445</v>
      </c>
    </row>
    <row r="10207" spans="2:5">
      <c r="B10207" s="4" t="s">
        <v>12345</v>
      </c>
      <c r="C10207" s="129" t="s">
        <v>12346</v>
      </c>
      <c r="D10207" s="5">
        <v>130428</v>
      </c>
      <c r="E10207" s="5" t="s">
        <v>12446</v>
      </c>
    </row>
    <row r="10208" spans="2:5">
      <c r="B10208" s="4" t="s">
        <v>12345</v>
      </c>
      <c r="C10208" s="129" t="s">
        <v>12346</v>
      </c>
      <c r="D10208" s="5">
        <v>130429</v>
      </c>
      <c r="E10208" s="5" t="s">
        <v>12447</v>
      </c>
    </row>
    <row r="10209" spans="2:5">
      <c r="B10209" s="4" t="s">
        <v>12345</v>
      </c>
      <c r="C10209" s="129" t="s">
        <v>12346</v>
      </c>
      <c r="D10209" s="5">
        <v>130430</v>
      </c>
      <c r="E10209" s="5" t="s">
        <v>12448</v>
      </c>
    </row>
    <row r="10210" spans="2:5">
      <c r="B10210" s="4" t="s">
        <v>12345</v>
      </c>
      <c r="C10210" s="129" t="s">
        <v>12346</v>
      </c>
      <c r="D10210" s="5">
        <v>130431</v>
      </c>
      <c r="E10210" s="5" t="s">
        <v>12449</v>
      </c>
    </row>
    <row r="10211" spans="2:5">
      <c r="B10211" s="4" t="s">
        <v>12345</v>
      </c>
      <c r="C10211" s="129" t="s">
        <v>12346</v>
      </c>
      <c r="D10211" s="5">
        <v>130432</v>
      </c>
      <c r="E10211" s="5" t="s">
        <v>12450</v>
      </c>
    </row>
    <row r="10212" spans="2:5">
      <c r="B10212" s="4" t="s">
        <v>12345</v>
      </c>
      <c r="C10212" s="129" t="s">
        <v>12346</v>
      </c>
      <c r="D10212" s="5">
        <v>130433</v>
      </c>
      <c r="E10212" s="5" t="s">
        <v>12451</v>
      </c>
    </row>
    <row r="10213" spans="2:5">
      <c r="B10213" s="4" t="s">
        <v>12345</v>
      </c>
      <c r="C10213" s="129" t="s">
        <v>12346</v>
      </c>
      <c r="D10213" s="5">
        <v>130434</v>
      </c>
      <c r="E10213" s="5" t="s">
        <v>12452</v>
      </c>
    </row>
    <row r="10214" spans="2:5">
      <c r="B10214" s="4" t="s">
        <v>12345</v>
      </c>
      <c r="C10214" s="129" t="s">
        <v>12346</v>
      </c>
      <c r="D10214" s="5">
        <v>130435</v>
      </c>
      <c r="E10214" s="5" t="s">
        <v>12453</v>
      </c>
    </row>
    <row r="10215" spans="2:5">
      <c r="B10215" s="4" t="s">
        <v>12345</v>
      </c>
      <c r="C10215" s="129" t="s">
        <v>12346</v>
      </c>
      <c r="D10215" s="5">
        <v>130481</v>
      </c>
      <c r="E10215" s="5" t="s">
        <v>12454</v>
      </c>
    </row>
    <row r="10216" spans="2:5">
      <c r="B10216" s="4" t="s">
        <v>12345</v>
      </c>
      <c r="C10216" s="129" t="s">
        <v>12346</v>
      </c>
      <c r="D10216" s="5">
        <v>130500</v>
      </c>
      <c r="E10216" s="5" t="s">
        <v>12455</v>
      </c>
    </row>
    <row r="10217" spans="2:5">
      <c r="B10217" s="4" t="s">
        <v>12345</v>
      </c>
      <c r="C10217" s="129" t="s">
        <v>12346</v>
      </c>
      <c r="D10217" s="5">
        <v>130501</v>
      </c>
      <c r="E10217" s="5" t="s">
        <v>12456</v>
      </c>
    </row>
    <row r="10218" spans="2:5">
      <c r="B10218" s="4" t="s">
        <v>12345</v>
      </c>
      <c r="C10218" s="129" t="s">
        <v>12346</v>
      </c>
      <c r="D10218" s="5">
        <v>130502</v>
      </c>
      <c r="E10218" s="5" t="s">
        <v>12457</v>
      </c>
    </row>
    <row r="10219" spans="2:5">
      <c r="B10219" s="4" t="s">
        <v>12345</v>
      </c>
      <c r="C10219" s="129" t="s">
        <v>12346</v>
      </c>
      <c r="D10219" s="5">
        <v>130503</v>
      </c>
      <c r="E10219" s="5" t="s">
        <v>12458</v>
      </c>
    </row>
    <row r="10220" spans="2:5">
      <c r="B10220" s="4" t="s">
        <v>12345</v>
      </c>
      <c r="C10220" s="129" t="s">
        <v>12346</v>
      </c>
      <c r="D10220" s="5">
        <v>130521</v>
      </c>
      <c r="E10220" s="5" t="s">
        <v>12459</v>
      </c>
    </row>
    <row r="10221" spans="2:5">
      <c r="B10221" s="4" t="s">
        <v>12345</v>
      </c>
      <c r="C10221" s="129" t="s">
        <v>12346</v>
      </c>
      <c r="D10221" s="5">
        <v>130522</v>
      </c>
      <c r="E10221" s="5" t="s">
        <v>12460</v>
      </c>
    </row>
    <row r="10222" spans="2:5">
      <c r="B10222" s="4" t="s">
        <v>12345</v>
      </c>
      <c r="C10222" s="129" t="s">
        <v>12346</v>
      </c>
      <c r="D10222" s="5">
        <v>130523</v>
      </c>
      <c r="E10222" s="5" t="s">
        <v>12461</v>
      </c>
    </row>
    <row r="10223" spans="2:5">
      <c r="B10223" s="4" t="s">
        <v>12345</v>
      </c>
      <c r="C10223" s="129" t="s">
        <v>12346</v>
      </c>
      <c r="D10223" s="5">
        <v>130524</v>
      </c>
      <c r="E10223" s="5" t="s">
        <v>12462</v>
      </c>
    </row>
    <row r="10224" spans="2:5">
      <c r="B10224" s="4" t="s">
        <v>12345</v>
      </c>
      <c r="C10224" s="129" t="s">
        <v>12346</v>
      </c>
      <c r="D10224" s="5">
        <v>130525</v>
      </c>
      <c r="E10224" s="5" t="s">
        <v>12463</v>
      </c>
    </row>
    <row r="10225" spans="2:5">
      <c r="B10225" s="4" t="s">
        <v>12345</v>
      </c>
      <c r="C10225" s="129" t="s">
        <v>12346</v>
      </c>
      <c r="D10225" s="5">
        <v>130526</v>
      </c>
      <c r="E10225" s="5" t="s">
        <v>12464</v>
      </c>
    </row>
    <row r="10226" spans="2:5">
      <c r="B10226" s="4" t="s">
        <v>12345</v>
      </c>
      <c r="C10226" s="129" t="s">
        <v>12346</v>
      </c>
      <c r="D10226" s="5">
        <v>130527</v>
      </c>
      <c r="E10226" s="5" t="s">
        <v>12465</v>
      </c>
    </row>
    <row r="10227" spans="2:5">
      <c r="B10227" s="4" t="s">
        <v>12345</v>
      </c>
      <c r="C10227" s="129" t="s">
        <v>12346</v>
      </c>
      <c r="D10227" s="5">
        <v>130528</v>
      </c>
      <c r="E10227" s="5" t="s">
        <v>12466</v>
      </c>
    </row>
    <row r="10228" spans="2:5">
      <c r="B10228" s="4" t="s">
        <v>12345</v>
      </c>
      <c r="C10228" s="129" t="s">
        <v>12346</v>
      </c>
      <c r="D10228" s="5">
        <v>130529</v>
      </c>
      <c r="E10228" s="5" t="s">
        <v>12467</v>
      </c>
    </row>
    <row r="10229" spans="2:5">
      <c r="B10229" s="4" t="s">
        <v>12345</v>
      </c>
      <c r="C10229" s="129" t="s">
        <v>12346</v>
      </c>
      <c r="D10229" s="5">
        <v>130530</v>
      </c>
      <c r="E10229" s="5" t="s">
        <v>12468</v>
      </c>
    </row>
    <row r="10230" spans="2:5">
      <c r="B10230" s="4" t="s">
        <v>12345</v>
      </c>
      <c r="C10230" s="129" t="s">
        <v>12346</v>
      </c>
      <c r="D10230" s="5">
        <v>130531</v>
      </c>
      <c r="E10230" s="5" t="s">
        <v>12469</v>
      </c>
    </row>
    <row r="10231" spans="2:5">
      <c r="B10231" s="4" t="s">
        <v>12345</v>
      </c>
      <c r="C10231" s="129" t="s">
        <v>12346</v>
      </c>
      <c r="D10231" s="5">
        <v>130532</v>
      </c>
      <c r="E10231" s="5" t="s">
        <v>12470</v>
      </c>
    </row>
    <row r="10232" spans="2:5">
      <c r="B10232" s="4" t="s">
        <v>12345</v>
      </c>
      <c r="C10232" s="129" t="s">
        <v>12346</v>
      </c>
      <c r="D10232" s="5">
        <v>130533</v>
      </c>
      <c r="E10232" s="5" t="s">
        <v>12471</v>
      </c>
    </row>
    <row r="10233" spans="2:5">
      <c r="B10233" s="4" t="s">
        <v>12345</v>
      </c>
      <c r="C10233" s="129" t="s">
        <v>12346</v>
      </c>
      <c r="D10233" s="5">
        <v>130534</v>
      </c>
      <c r="E10233" s="5" t="s">
        <v>12472</v>
      </c>
    </row>
    <row r="10234" spans="2:5">
      <c r="B10234" s="4" t="s">
        <v>12345</v>
      </c>
      <c r="C10234" s="129" t="s">
        <v>12346</v>
      </c>
      <c r="D10234" s="5">
        <v>130535</v>
      </c>
      <c r="E10234" s="5" t="s">
        <v>12473</v>
      </c>
    </row>
    <row r="10235" spans="2:5">
      <c r="B10235" s="4" t="s">
        <v>12345</v>
      </c>
      <c r="C10235" s="129" t="s">
        <v>12346</v>
      </c>
      <c r="D10235" s="5">
        <v>130581</v>
      </c>
      <c r="E10235" s="5" t="s">
        <v>12474</v>
      </c>
    </row>
    <row r="10236" spans="2:5">
      <c r="B10236" s="4" t="s">
        <v>12345</v>
      </c>
      <c r="C10236" s="129" t="s">
        <v>12346</v>
      </c>
      <c r="D10236" s="5">
        <v>130582</v>
      </c>
      <c r="E10236" s="5" t="s">
        <v>12475</v>
      </c>
    </row>
    <row r="10237" spans="2:5">
      <c r="B10237" s="4" t="s">
        <v>12345</v>
      </c>
      <c r="C10237" s="129" t="s">
        <v>12346</v>
      </c>
      <c r="D10237" s="5">
        <v>130600</v>
      </c>
      <c r="E10237" s="5" t="s">
        <v>12476</v>
      </c>
    </row>
    <row r="10238" spans="2:5">
      <c r="B10238" s="4" t="s">
        <v>12345</v>
      </c>
      <c r="C10238" s="129" t="s">
        <v>12346</v>
      </c>
      <c r="D10238" s="5">
        <v>130601</v>
      </c>
      <c r="E10238" s="5" t="s">
        <v>12477</v>
      </c>
    </row>
    <row r="10239" spans="2:5">
      <c r="B10239" s="4" t="s">
        <v>12345</v>
      </c>
      <c r="C10239" s="129" t="s">
        <v>12346</v>
      </c>
      <c r="D10239" s="5">
        <v>130602</v>
      </c>
      <c r="E10239" s="5" t="s">
        <v>12478</v>
      </c>
    </row>
    <row r="10240" spans="2:5">
      <c r="B10240" s="4" t="s">
        <v>12345</v>
      </c>
      <c r="C10240" s="129" t="s">
        <v>12346</v>
      </c>
      <c r="D10240" s="5">
        <v>130603</v>
      </c>
      <c r="E10240" s="5" t="s">
        <v>12479</v>
      </c>
    </row>
    <row r="10241" spans="2:5">
      <c r="B10241" s="4" t="s">
        <v>12345</v>
      </c>
      <c r="C10241" s="129" t="s">
        <v>12346</v>
      </c>
      <c r="D10241" s="5">
        <v>130604</v>
      </c>
      <c r="E10241" s="5" t="s">
        <v>12480</v>
      </c>
    </row>
    <row r="10242" spans="2:5">
      <c r="B10242" s="4" t="s">
        <v>12345</v>
      </c>
      <c r="C10242" s="129" t="s">
        <v>12346</v>
      </c>
      <c r="D10242" s="5">
        <v>130621</v>
      </c>
      <c r="E10242" s="5" t="s">
        <v>12481</v>
      </c>
    </row>
    <row r="10243" spans="2:5">
      <c r="B10243" s="4" t="s">
        <v>12345</v>
      </c>
      <c r="C10243" s="129" t="s">
        <v>12346</v>
      </c>
      <c r="D10243" s="5">
        <v>130622</v>
      </c>
      <c r="E10243" s="5" t="s">
        <v>12482</v>
      </c>
    </row>
    <row r="10244" spans="2:5">
      <c r="B10244" s="4" t="s">
        <v>12345</v>
      </c>
      <c r="C10244" s="129" t="s">
        <v>12346</v>
      </c>
      <c r="D10244" s="5">
        <v>130623</v>
      </c>
      <c r="E10244" s="5" t="s">
        <v>12483</v>
      </c>
    </row>
    <row r="10245" spans="2:5">
      <c r="B10245" s="4" t="s">
        <v>12345</v>
      </c>
      <c r="C10245" s="129" t="s">
        <v>12346</v>
      </c>
      <c r="D10245" s="5">
        <v>130624</v>
      </c>
      <c r="E10245" s="5" t="s">
        <v>12484</v>
      </c>
    </row>
    <row r="10246" spans="2:5">
      <c r="B10246" s="4" t="s">
        <v>12345</v>
      </c>
      <c r="C10246" s="129" t="s">
        <v>12346</v>
      </c>
      <c r="D10246" s="5">
        <v>130625</v>
      </c>
      <c r="E10246" s="5" t="s">
        <v>12485</v>
      </c>
    </row>
    <row r="10247" spans="2:5">
      <c r="B10247" s="4" t="s">
        <v>12345</v>
      </c>
      <c r="C10247" s="129" t="s">
        <v>12346</v>
      </c>
      <c r="D10247" s="5">
        <v>130626</v>
      </c>
      <c r="E10247" s="5" t="s">
        <v>12486</v>
      </c>
    </row>
    <row r="10248" spans="2:5">
      <c r="B10248" s="4" t="s">
        <v>12345</v>
      </c>
      <c r="C10248" s="129" t="s">
        <v>12346</v>
      </c>
      <c r="D10248" s="5">
        <v>130627</v>
      </c>
      <c r="E10248" s="5" t="s">
        <v>12487</v>
      </c>
    </row>
    <row r="10249" spans="2:5">
      <c r="B10249" s="4" t="s">
        <v>12345</v>
      </c>
      <c r="C10249" s="129" t="s">
        <v>12346</v>
      </c>
      <c r="D10249" s="5">
        <v>130628</v>
      </c>
      <c r="E10249" s="5" t="s">
        <v>12488</v>
      </c>
    </row>
    <row r="10250" spans="2:5">
      <c r="B10250" s="4" t="s">
        <v>12345</v>
      </c>
      <c r="C10250" s="129" t="s">
        <v>12346</v>
      </c>
      <c r="D10250" s="5">
        <v>130629</v>
      </c>
      <c r="E10250" s="5" t="s">
        <v>12489</v>
      </c>
    </row>
    <row r="10251" spans="2:5">
      <c r="B10251" s="4" t="s">
        <v>12345</v>
      </c>
      <c r="C10251" s="129" t="s">
        <v>12346</v>
      </c>
      <c r="D10251" s="5">
        <v>130630</v>
      </c>
      <c r="E10251" s="5" t="s">
        <v>12490</v>
      </c>
    </row>
    <row r="10252" spans="2:5">
      <c r="B10252" s="4" t="s">
        <v>12345</v>
      </c>
      <c r="C10252" s="129" t="s">
        <v>12346</v>
      </c>
      <c r="D10252" s="5">
        <v>130631</v>
      </c>
      <c r="E10252" s="5" t="s">
        <v>12491</v>
      </c>
    </row>
    <row r="10253" spans="2:5">
      <c r="B10253" s="4" t="s">
        <v>12345</v>
      </c>
      <c r="C10253" s="129" t="s">
        <v>12346</v>
      </c>
      <c r="D10253" s="5">
        <v>130632</v>
      </c>
      <c r="E10253" s="5" t="s">
        <v>12492</v>
      </c>
    </row>
    <row r="10254" spans="2:5">
      <c r="B10254" s="4" t="s">
        <v>12345</v>
      </c>
      <c r="C10254" s="129" t="s">
        <v>12346</v>
      </c>
      <c r="D10254" s="5">
        <v>130633</v>
      </c>
      <c r="E10254" s="5" t="s">
        <v>12493</v>
      </c>
    </row>
    <row r="10255" spans="2:5">
      <c r="B10255" s="4" t="s">
        <v>12345</v>
      </c>
      <c r="C10255" s="129" t="s">
        <v>12346</v>
      </c>
      <c r="D10255" s="5">
        <v>130634</v>
      </c>
      <c r="E10255" s="5" t="s">
        <v>12494</v>
      </c>
    </row>
    <row r="10256" spans="2:5">
      <c r="B10256" s="4" t="s">
        <v>12345</v>
      </c>
      <c r="C10256" s="129" t="s">
        <v>12346</v>
      </c>
      <c r="D10256" s="5">
        <v>130635</v>
      </c>
      <c r="E10256" s="5" t="s">
        <v>12495</v>
      </c>
    </row>
    <row r="10257" spans="2:5">
      <c r="B10257" s="4" t="s">
        <v>12345</v>
      </c>
      <c r="C10257" s="129" t="s">
        <v>12346</v>
      </c>
      <c r="D10257" s="5">
        <v>130636</v>
      </c>
      <c r="E10257" s="5" t="s">
        <v>12496</v>
      </c>
    </row>
    <row r="10258" spans="2:5">
      <c r="B10258" s="4" t="s">
        <v>12345</v>
      </c>
      <c r="C10258" s="129" t="s">
        <v>12346</v>
      </c>
      <c r="D10258" s="5">
        <v>130637</v>
      </c>
      <c r="E10258" s="5" t="s">
        <v>12497</v>
      </c>
    </row>
    <row r="10259" spans="2:5">
      <c r="B10259" s="4" t="s">
        <v>12345</v>
      </c>
      <c r="C10259" s="129" t="s">
        <v>12346</v>
      </c>
      <c r="D10259" s="5">
        <v>130638</v>
      </c>
      <c r="E10259" s="5" t="s">
        <v>12498</v>
      </c>
    </row>
    <row r="10260" spans="2:5">
      <c r="B10260" s="4" t="s">
        <v>12345</v>
      </c>
      <c r="C10260" s="129" t="s">
        <v>12346</v>
      </c>
      <c r="D10260" s="5">
        <v>130681</v>
      </c>
      <c r="E10260" s="5" t="s">
        <v>12499</v>
      </c>
    </row>
    <row r="10261" spans="2:5">
      <c r="B10261" s="4" t="s">
        <v>12345</v>
      </c>
      <c r="C10261" s="129" t="s">
        <v>12346</v>
      </c>
      <c r="D10261" s="5">
        <v>130683</v>
      </c>
      <c r="E10261" s="5" t="s">
        <v>12500</v>
      </c>
    </row>
    <row r="10262" spans="2:5">
      <c r="B10262" s="4" t="s">
        <v>12345</v>
      </c>
      <c r="C10262" s="129" t="s">
        <v>12346</v>
      </c>
      <c r="D10262" s="5">
        <v>130684</v>
      </c>
      <c r="E10262" s="5" t="s">
        <v>12501</v>
      </c>
    </row>
    <row r="10263" spans="2:5">
      <c r="B10263" s="4" t="s">
        <v>12345</v>
      </c>
      <c r="C10263" s="129" t="s">
        <v>12346</v>
      </c>
      <c r="D10263" s="5">
        <v>130700</v>
      </c>
      <c r="E10263" s="5" t="s">
        <v>12502</v>
      </c>
    </row>
    <row r="10264" spans="2:5">
      <c r="B10264" s="4" t="s">
        <v>12345</v>
      </c>
      <c r="C10264" s="129" t="s">
        <v>12346</v>
      </c>
      <c r="D10264" s="5">
        <v>130701</v>
      </c>
      <c r="E10264" s="5" t="s">
        <v>12503</v>
      </c>
    </row>
    <row r="10265" spans="2:5">
      <c r="B10265" s="4" t="s">
        <v>12345</v>
      </c>
      <c r="C10265" s="129" t="s">
        <v>12346</v>
      </c>
      <c r="D10265" s="5">
        <v>130702</v>
      </c>
      <c r="E10265" s="5" t="s">
        <v>12504</v>
      </c>
    </row>
    <row r="10266" spans="2:5">
      <c r="B10266" s="4" t="s">
        <v>12345</v>
      </c>
      <c r="C10266" s="129" t="s">
        <v>12346</v>
      </c>
      <c r="D10266" s="5">
        <v>130703</v>
      </c>
      <c r="E10266" s="5" t="s">
        <v>12505</v>
      </c>
    </row>
    <row r="10267" spans="2:5">
      <c r="B10267" s="4" t="s">
        <v>12345</v>
      </c>
      <c r="C10267" s="129" t="s">
        <v>12346</v>
      </c>
      <c r="D10267" s="5">
        <v>130705</v>
      </c>
      <c r="E10267" s="5" t="s">
        <v>12506</v>
      </c>
    </row>
    <row r="10268" spans="2:5">
      <c r="B10268" s="4" t="s">
        <v>12345</v>
      </c>
      <c r="C10268" s="129" t="s">
        <v>12346</v>
      </c>
      <c r="D10268" s="5">
        <v>130706</v>
      </c>
      <c r="E10268" s="5" t="s">
        <v>12507</v>
      </c>
    </row>
    <row r="10269" spans="2:5">
      <c r="B10269" s="4" t="s">
        <v>12345</v>
      </c>
      <c r="C10269" s="129" t="s">
        <v>12346</v>
      </c>
      <c r="D10269" s="5">
        <v>130721</v>
      </c>
      <c r="E10269" s="5" t="s">
        <v>12508</v>
      </c>
    </row>
    <row r="10270" spans="2:5">
      <c r="B10270" s="4" t="s">
        <v>12345</v>
      </c>
      <c r="C10270" s="129" t="s">
        <v>12346</v>
      </c>
      <c r="D10270" s="5">
        <v>130722</v>
      </c>
      <c r="E10270" s="5" t="s">
        <v>12509</v>
      </c>
    </row>
    <row r="10271" spans="2:5">
      <c r="B10271" s="4" t="s">
        <v>12345</v>
      </c>
      <c r="C10271" s="129" t="s">
        <v>12346</v>
      </c>
      <c r="D10271" s="5">
        <v>130723</v>
      </c>
      <c r="E10271" s="5" t="s">
        <v>12510</v>
      </c>
    </row>
    <row r="10272" spans="2:5">
      <c r="B10272" s="4" t="s">
        <v>12345</v>
      </c>
      <c r="C10272" s="129" t="s">
        <v>12346</v>
      </c>
      <c r="D10272" s="5">
        <v>130724</v>
      </c>
      <c r="E10272" s="5" t="s">
        <v>12511</v>
      </c>
    </row>
    <row r="10273" spans="2:5">
      <c r="B10273" s="4" t="s">
        <v>12345</v>
      </c>
      <c r="C10273" s="129" t="s">
        <v>12346</v>
      </c>
      <c r="D10273" s="5">
        <v>130725</v>
      </c>
      <c r="E10273" s="5" t="s">
        <v>12512</v>
      </c>
    </row>
    <row r="10274" spans="2:5">
      <c r="B10274" s="4" t="s">
        <v>12345</v>
      </c>
      <c r="C10274" s="129" t="s">
        <v>12346</v>
      </c>
      <c r="D10274" s="5">
        <v>130726</v>
      </c>
      <c r="E10274" s="5" t="s">
        <v>12513</v>
      </c>
    </row>
    <row r="10275" spans="2:5">
      <c r="B10275" s="4" t="s">
        <v>12345</v>
      </c>
      <c r="C10275" s="129" t="s">
        <v>12346</v>
      </c>
      <c r="D10275" s="5">
        <v>130727</v>
      </c>
      <c r="E10275" s="5" t="s">
        <v>12514</v>
      </c>
    </row>
    <row r="10276" spans="2:5">
      <c r="B10276" s="4" t="s">
        <v>12345</v>
      </c>
      <c r="C10276" s="129" t="s">
        <v>12346</v>
      </c>
      <c r="D10276" s="5">
        <v>130728</v>
      </c>
      <c r="E10276" s="5" t="s">
        <v>12515</v>
      </c>
    </row>
    <row r="10277" spans="2:5">
      <c r="B10277" s="4" t="s">
        <v>12345</v>
      </c>
      <c r="C10277" s="129" t="s">
        <v>12346</v>
      </c>
      <c r="D10277" s="5">
        <v>130729</v>
      </c>
      <c r="E10277" s="5" t="s">
        <v>12516</v>
      </c>
    </row>
    <row r="10278" spans="2:5">
      <c r="B10278" s="4" t="s">
        <v>12345</v>
      </c>
      <c r="C10278" s="129" t="s">
        <v>12346</v>
      </c>
      <c r="D10278" s="5">
        <v>130730</v>
      </c>
      <c r="E10278" s="5" t="s">
        <v>12517</v>
      </c>
    </row>
    <row r="10279" spans="2:5">
      <c r="B10279" s="4" t="s">
        <v>12345</v>
      </c>
      <c r="C10279" s="129" t="s">
        <v>12346</v>
      </c>
      <c r="D10279" s="5">
        <v>130731</v>
      </c>
      <c r="E10279" s="5" t="s">
        <v>12518</v>
      </c>
    </row>
    <row r="10280" spans="2:5">
      <c r="B10280" s="4" t="s">
        <v>12345</v>
      </c>
      <c r="C10280" s="129" t="s">
        <v>12346</v>
      </c>
      <c r="D10280" s="5">
        <v>130732</v>
      </c>
      <c r="E10280" s="5" t="s">
        <v>12519</v>
      </c>
    </row>
    <row r="10281" spans="2:5">
      <c r="B10281" s="4" t="s">
        <v>12345</v>
      </c>
      <c r="C10281" s="129" t="s">
        <v>12346</v>
      </c>
      <c r="D10281" s="5">
        <v>130733</v>
      </c>
      <c r="E10281" s="5" t="s">
        <v>12520</v>
      </c>
    </row>
    <row r="10282" spans="2:5">
      <c r="B10282" s="4" t="s">
        <v>12345</v>
      </c>
      <c r="C10282" s="129" t="s">
        <v>12346</v>
      </c>
      <c r="D10282" s="5">
        <v>130800</v>
      </c>
      <c r="E10282" s="5" t="s">
        <v>12521</v>
      </c>
    </row>
    <row r="10283" spans="2:5">
      <c r="B10283" s="4" t="s">
        <v>12345</v>
      </c>
      <c r="C10283" s="129" t="s">
        <v>12346</v>
      </c>
      <c r="D10283" s="5">
        <v>130801</v>
      </c>
      <c r="E10283" s="5" t="s">
        <v>12522</v>
      </c>
    </row>
    <row r="10284" spans="2:5">
      <c r="B10284" s="4" t="s">
        <v>12345</v>
      </c>
      <c r="C10284" s="129" t="s">
        <v>12346</v>
      </c>
      <c r="D10284" s="5">
        <v>130802</v>
      </c>
      <c r="E10284" s="5" t="s">
        <v>12523</v>
      </c>
    </row>
    <row r="10285" spans="2:5">
      <c r="B10285" s="4" t="s">
        <v>12345</v>
      </c>
      <c r="C10285" s="129" t="s">
        <v>12346</v>
      </c>
      <c r="D10285" s="5">
        <v>130803</v>
      </c>
      <c r="E10285" s="5" t="s">
        <v>12524</v>
      </c>
    </row>
    <row r="10286" spans="2:5">
      <c r="B10286" s="4" t="s">
        <v>12345</v>
      </c>
      <c r="C10286" s="129" t="s">
        <v>12346</v>
      </c>
      <c r="D10286" s="5">
        <v>130804</v>
      </c>
      <c r="E10286" s="5" t="s">
        <v>12525</v>
      </c>
    </row>
    <row r="10287" spans="2:5">
      <c r="B10287" s="4" t="s">
        <v>12345</v>
      </c>
      <c r="C10287" s="129" t="s">
        <v>12346</v>
      </c>
      <c r="D10287" s="5">
        <v>130821</v>
      </c>
      <c r="E10287" s="5" t="s">
        <v>12526</v>
      </c>
    </row>
    <row r="10288" spans="2:5">
      <c r="B10288" s="4" t="s">
        <v>12345</v>
      </c>
      <c r="C10288" s="129" t="s">
        <v>12346</v>
      </c>
      <c r="D10288" s="5">
        <v>130822</v>
      </c>
      <c r="E10288" s="5" t="s">
        <v>12527</v>
      </c>
    </row>
    <row r="10289" spans="2:5">
      <c r="B10289" s="4" t="s">
        <v>12345</v>
      </c>
      <c r="C10289" s="129" t="s">
        <v>12346</v>
      </c>
      <c r="D10289" s="5">
        <v>130823</v>
      </c>
      <c r="E10289" s="5" t="s">
        <v>12528</v>
      </c>
    </row>
    <row r="10290" spans="2:5">
      <c r="B10290" s="4" t="s">
        <v>12345</v>
      </c>
      <c r="C10290" s="129" t="s">
        <v>12346</v>
      </c>
      <c r="D10290" s="5">
        <v>130824</v>
      </c>
      <c r="E10290" s="5" t="s">
        <v>12529</v>
      </c>
    </row>
    <row r="10291" spans="2:5">
      <c r="B10291" s="4" t="s">
        <v>12345</v>
      </c>
      <c r="C10291" s="129" t="s">
        <v>12346</v>
      </c>
      <c r="D10291" s="5">
        <v>130825</v>
      </c>
      <c r="E10291" s="5" t="s">
        <v>12530</v>
      </c>
    </row>
    <row r="10292" spans="2:5">
      <c r="B10292" s="4" t="s">
        <v>12345</v>
      </c>
      <c r="C10292" s="129" t="s">
        <v>12346</v>
      </c>
      <c r="D10292" s="5">
        <v>130826</v>
      </c>
      <c r="E10292" s="5" t="s">
        <v>12531</v>
      </c>
    </row>
    <row r="10293" spans="2:5">
      <c r="B10293" s="4" t="s">
        <v>12345</v>
      </c>
      <c r="C10293" s="129" t="s">
        <v>12346</v>
      </c>
      <c r="D10293" s="5">
        <v>130827</v>
      </c>
      <c r="E10293" s="5" t="s">
        <v>12532</v>
      </c>
    </row>
    <row r="10294" spans="2:5">
      <c r="B10294" s="4" t="s">
        <v>12345</v>
      </c>
      <c r="C10294" s="129" t="s">
        <v>12346</v>
      </c>
      <c r="D10294" s="5">
        <v>130828</v>
      </c>
      <c r="E10294" s="5" t="s">
        <v>12533</v>
      </c>
    </row>
    <row r="10295" spans="2:5">
      <c r="B10295" s="4" t="s">
        <v>12345</v>
      </c>
      <c r="C10295" s="129" t="s">
        <v>12346</v>
      </c>
      <c r="D10295" s="5">
        <v>130900</v>
      </c>
      <c r="E10295" s="5" t="s">
        <v>12534</v>
      </c>
    </row>
    <row r="10296" spans="2:5">
      <c r="B10296" s="4" t="s">
        <v>12345</v>
      </c>
      <c r="C10296" s="129" t="s">
        <v>12346</v>
      </c>
      <c r="D10296" s="5">
        <v>130901</v>
      </c>
      <c r="E10296" s="5" t="s">
        <v>12535</v>
      </c>
    </row>
    <row r="10297" spans="2:5">
      <c r="B10297" s="4" t="s">
        <v>12345</v>
      </c>
      <c r="C10297" s="129" t="s">
        <v>12346</v>
      </c>
      <c r="D10297" s="5">
        <v>130902</v>
      </c>
      <c r="E10297" s="5" t="s">
        <v>12536</v>
      </c>
    </row>
    <row r="10298" spans="2:5">
      <c r="B10298" s="4" t="s">
        <v>12345</v>
      </c>
      <c r="C10298" s="129" t="s">
        <v>12346</v>
      </c>
      <c r="D10298" s="5">
        <v>130903</v>
      </c>
      <c r="E10298" s="5" t="s">
        <v>12537</v>
      </c>
    </row>
    <row r="10299" spans="2:5">
      <c r="B10299" s="4" t="s">
        <v>12345</v>
      </c>
      <c r="C10299" s="129" t="s">
        <v>12346</v>
      </c>
      <c r="D10299" s="5">
        <v>130921</v>
      </c>
      <c r="E10299" s="5" t="s">
        <v>12538</v>
      </c>
    </row>
    <row r="10300" spans="2:5">
      <c r="B10300" s="4" t="s">
        <v>12345</v>
      </c>
      <c r="C10300" s="129" t="s">
        <v>12346</v>
      </c>
      <c r="D10300" s="5">
        <v>130922</v>
      </c>
      <c r="E10300" s="5" t="s">
        <v>12539</v>
      </c>
    </row>
    <row r="10301" spans="2:5">
      <c r="B10301" s="4" t="s">
        <v>12345</v>
      </c>
      <c r="C10301" s="129" t="s">
        <v>12346</v>
      </c>
      <c r="D10301" s="5">
        <v>130923</v>
      </c>
      <c r="E10301" s="5" t="s">
        <v>12540</v>
      </c>
    </row>
    <row r="10302" spans="2:5">
      <c r="B10302" s="4" t="s">
        <v>12345</v>
      </c>
      <c r="C10302" s="129" t="s">
        <v>12346</v>
      </c>
      <c r="D10302" s="5">
        <v>130924</v>
      </c>
      <c r="E10302" s="5" t="s">
        <v>12541</v>
      </c>
    </row>
    <row r="10303" spans="2:5">
      <c r="B10303" s="4" t="s">
        <v>12345</v>
      </c>
      <c r="C10303" s="129" t="s">
        <v>12346</v>
      </c>
      <c r="D10303" s="5">
        <v>130925</v>
      </c>
      <c r="E10303" s="5" t="s">
        <v>12542</v>
      </c>
    </row>
    <row r="10304" spans="2:5">
      <c r="B10304" s="4" t="s">
        <v>12345</v>
      </c>
      <c r="C10304" s="129" t="s">
        <v>12346</v>
      </c>
      <c r="D10304" s="5">
        <v>130926</v>
      </c>
      <c r="E10304" s="5" t="s">
        <v>12543</v>
      </c>
    </row>
    <row r="10305" spans="2:5">
      <c r="B10305" s="4" t="s">
        <v>12345</v>
      </c>
      <c r="C10305" s="129" t="s">
        <v>12346</v>
      </c>
      <c r="D10305" s="5">
        <v>130927</v>
      </c>
      <c r="E10305" s="5" t="s">
        <v>12544</v>
      </c>
    </row>
    <row r="10306" spans="2:5">
      <c r="B10306" s="4" t="s">
        <v>12345</v>
      </c>
      <c r="C10306" s="129" t="s">
        <v>12346</v>
      </c>
      <c r="D10306" s="5">
        <v>130928</v>
      </c>
      <c r="E10306" s="5" t="s">
        <v>12545</v>
      </c>
    </row>
    <row r="10307" spans="2:5">
      <c r="B10307" s="4" t="s">
        <v>12345</v>
      </c>
      <c r="C10307" s="129" t="s">
        <v>12346</v>
      </c>
      <c r="D10307" s="5">
        <v>130929</v>
      </c>
      <c r="E10307" s="5" t="s">
        <v>12546</v>
      </c>
    </row>
    <row r="10308" spans="2:5">
      <c r="B10308" s="4" t="s">
        <v>12345</v>
      </c>
      <c r="C10308" s="129" t="s">
        <v>12346</v>
      </c>
      <c r="D10308" s="5">
        <v>130930</v>
      </c>
      <c r="E10308" s="5" t="s">
        <v>12547</v>
      </c>
    </row>
    <row r="10309" spans="2:5">
      <c r="B10309" s="4" t="s">
        <v>12345</v>
      </c>
      <c r="C10309" s="129" t="s">
        <v>12346</v>
      </c>
      <c r="D10309" s="5">
        <v>130981</v>
      </c>
      <c r="E10309" s="5" t="s">
        <v>12548</v>
      </c>
    </row>
    <row r="10310" spans="2:5">
      <c r="B10310" s="4" t="s">
        <v>12345</v>
      </c>
      <c r="C10310" s="129" t="s">
        <v>12346</v>
      </c>
      <c r="D10310" s="5">
        <v>130982</v>
      </c>
      <c r="E10310" s="5" t="s">
        <v>12549</v>
      </c>
    </row>
    <row r="10311" spans="2:5">
      <c r="B10311" s="4" t="s">
        <v>12345</v>
      </c>
      <c r="C10311" s="129" t="s">
        <v>12346</v>
      </c>
      <c r="D10311" s="5">
        <v>130983</v>
      </c>
      <c r="E10311" s="5" t="s">
        <v>12550</v>
      </c>
    </row>
    <row r="10312" spans="2:5">
      <c r="B10312" s="4" t="s">
        <v>12345</v>
      </c>
      <c r="C10312" s="129" t="s">
        <v>12346</v>
      </c>
      <c r="D10312" s="5">
        <v>130984</v>
      </c>
      <c r="E10312" s="5" t="s">
        <v>12551</v>
      </c>
    </row>
    <row r="10313" spans="2:5">
      <c r="B10313" s="4" t="s">
        <v>12345</v>
      </c>
      <c r="C10313" s="129" t="s">
        <v>12346</v>
      </c>
      <c r="D10313" s="5">
        <v>131000</v>
      </c>
      <c r="E10313" s="5" t="s">
        <v>12552</v>
      </c>
    </row>
    <row r="10314" spans="2:5">
      <c r="B10314" s="4" t="s">
        <v>12345</v>
      </c>
      <c r="C10314" s="129" t="s">
        <v>12346</v>
      </c>
      <c r="D10314" s="5">
        <v>131001</v>
      </c>
      <c r="E10314" s="5" t="s">
        <v>12553</v>
      </c>
    </row>
    <row r="10315" spans="2:5">
      <c r="B10315" s="4" t="s">
        <v>12345</v>
      </c>
      <c r="C10315" s="129" t="s">
        <v>12346</v>
      </c>
      <c r="D10315" s="5">
        <v>131002</v>
      </c>
      <c r="E10315" s="5" t="s">
        <v>12554</v>
      </c>
    </row>
    <row r="10316" spans="2:5">
      <c r="B10316" s="4" t="s">
        <v>12345</v>
      </c>
      <c r="C10316" s="129" t="s">
        <v>12346</v>
      </c>
      <c r="D10316" s="5">
        <v>131003</v>
      </c>
      <c r="E10316" s="5" t="s">
        <v>12555</v>
      </c>
    </row>
    <row r="10317" spans="2:5">
      <c r="B10317" s="4" t="s">
        <v>12345</v>
      </c>
      <c r="C10317" s="129" t="s">
        <v>12346</v>
      </c>
      <c r="D10317" s="5">
        <v>131022</v>
      </c>
      <c r="E10317" s="5" t="s">
        <v>12556</v>
      </c>
    </row>
    <row r="10318" spans="2:5">
      <c r="B10318" s="4" t="s">
        <v>12345</v>
      </c>
      <c r="C10318" s="129" t="s">
        <v>12346</v>
      </c>
      <c r="D10318" s="5">
        <v>131023</v>
      </c>
      <c r="E10318" s="5" t="s">
        <v>12557</v>
      </c>
    </row>
    <row r="10319" spans="2:5">
      <c r="B10319" s="4" t="s">
        <v>12345</v>
      </c>
      <c r="C10319" s="129" t="s">
        <v>12346</v>
      </c>
      <c r="D10319" s="5">
        <v>131024</v>
      </c>
      <c r="E10319" s="5" t="s">
        <v>12558</v>
      </c>
    </row>
    <row r="10320" spans="2:5">
      <c r="B10320" s="4" t="s">
        <v>12345</v>
      </c>
      <c r="C10320" s="129" t="s">
        <v>12346</v>
      </c>
      <c r="D10320" s="5">
        <v>131025</v>
      </c>
      <c r="E10320" s="5" t="s">
        <v>12559</v>
      </c>
    </row>
    <row r="10321" spans="2:5">
      <c r="B10321" s="4" t="s">
        <v>12345</v>
      </c>
      <c r="C10321" s="129" t="s">
        <v>12346</v>
      </c>
      <c r="D10321" s="5">
        <v>131026</v>
      </c>
      <c r="E10321" s="5" t="s">
        <v>12560</v>
      </c>
    </row>
    <row r="10322" spans="2:5">
      <c r="B10322" s="4" t="s">
        <v>12345</v>
      </c>
      <c r="C10322" s="129" t="s">
        <v>12346</v>
      </c>
      <c r="D10322" s="5">
        <v>131028</v>
      </c>
      <c r="E10322" s="5" t="s">
        <v>12561</v>
      </c>
    </row>
    <row r="10323" spans="2:5">
      <c r="B10323" s="4" t="s">
        <v>12345</v>
      </c>
      <c r="C10323" s="129" t="s">
        <v>12346</v>
      </c>
      <c r="D10323" s="5">
        <v>131081</v>
      </c>
      <c r="E10323" s="5" t="s">
        <v>12562</v>
      </c>
    </row>
    <row r="10324" spans="2:5">
      <c r="B10324" s="4" t="s">
        <v>12345</v>
      </c>
      <c r="C10324" s="129" t="s">
        <v>12346</v>
      </c>
      <c r="D10324" s="5">
        <v>131082</v>
      </c>
      <c r="E10324" s="5" t="s">
        <v>12563</v>
      </c>
    </row>
    <row r="10325" spans="2:5">
      <c r="B10325" s="4" t="s">
        <v>12345</v>
      </c>
      <c r="C10325" s="129" t="s">
        <v>12346</v>
      </c>
      <c r="D10325" s="5">
        <v>131100</v>
      </c>
      <c r="E10325" s="5" t="s">
        <v>12564</v>
      </c>
    </row>
    <row r="10326" spans="2:5">
      <c r="B10326" s="4" t="s">
        <v>12345</v>
      </c>
      <c r="C10326" s="129" t="s">
        <v>12346</v>
      </c>
      <c r="D10326" s="5">
        <v>131101</v>
      </c>
      <c r="E10326" s="5" t="s">
        <v>12565</v>
      </c>
    </row>
    <row r="10327" spans="2:5">
      <c r="B10327" s="4" t="s">
        <v>12345</v>
      </c>
      <c r="C10327" s="129" t="s">
        <v>12346</v>
      </c>
      <c r="D10327" s="5">
        <v>131102</v>
      </c>
      <c r="E10327" s="5" t="s">
        <v>12566</v>
      </c>
    </row>
    <row r="10328" spans="2:5">
      <c r="B10328" s="4" t="s">
        <v>12345</v>
      </c>
      <c r="C10328" s="129" t="s">
        <v>12346</v>
      </c>
      <c r="D10328" s="5">
        <v>131121</v>
      </c>
      <c r="E10328" s="5" t="s">
        <v>12567</v>
      </c>
    </row>
    <row r="10329" spans="2:5">
      <c r="B10329" s="4" t="s">
        <v>12345</v>
      </c>
      <c r="C10329" s="129" t="s">
        <v>12346</v>
      </c>
      <c r="D10329" s="5">
        <v>131122</v>
      </c>
      <c r="E10329" s="5" t="s">
        <v>12568</v>
      </c>
    </row>
    <row r="10330" spans="2:5">
      <c r="B10330" s="4" t="s">
        <v>12345</v>
      </c>
      <c r="C10330" s="129" t="s">
        <v>12346</v>
      </c>
      <c r="D10330" s="5">
        <v>131123</v>
      </c>
      <c r="E10330" s="5" t="s">
        <v>12569</v>
      </c>
    </row>
    <row r="10331" spans="2:5">
      <c r="B10331" s="4" t="s">
        <v>12345</v>
      </c>
      <c r="C10331" s="129" t="s">
        <v>12346</v>
      </c>
      <c r="D10331" s="5">
        <v>131124</v>
      </c>
      <c r="E10331" s="5" t="s">
        <v>12570</v>
      </c>
    </row>
    <row r="10332" spans="2:5">
      <c r="B10332" s="4" t="s">
        <v>12345</v>
      </c>
      <c r="C10332" s="129" t="s">
        <v>12346</v>
      </c>
      <c r="D10332" s="5">
        <v>131125</v>
      </c>
      <c r="E10332" s="5" t="s">
        <v>12571</v>
      </c>
    </row>
    <row r="10333" spans="2:5">
      <c r="B10333" s="4" t="s">
        <v>12345</v>
      </c>
      <c r="C10333" s="129" t="s">
        <v>12346</v>
      </c>
      <c r="D10333" s="5">
        <v>131126</v>
      </c>
      <c r="E10333" s="5" t="s">
        <v>12572</v>
      </c>
    </row>
    <row r="10334" spans="2:5">
      <c r="B10334" s="4" t="s">
        <v>12345</v>
      </c>
      <c r="C10334" s="129" t="s">
        <v>12346</v>
      </c>
      <c r="D10334" s="5">
        <v>131127</v>
      </c>
      <c r="E10334" s="5" t="s">
        <v>12573</v>
      </c>
    </row>
    <row r="10335" spans="2:5">
      <c r="B10335" s="4" t="s">
        <v>12345</v>
      </c>
      <c r="C10335" s="129" t="s">
        <v>12346</v>
      </c>
      <c r="D10335" s="5">
        <v>131128</v>
      </c>
      <c r="E10335" s="5" t="s">
        <v>12574</v>
      </c>
    </row>
    <row r="10336" spans="2:5">
      <c r="B10336" s="4" t="s">
        <v>12345</v>
      </c>
      <c r="C10336" s="129" t="s">
        <v>12346</v>
      </c>
      <c r="D10336" s="5">
        <v>131181</v>
      </c>
      <c r="E10336" s="5" t="s">
        <v>12575</v>
      </c>
    </row>
    <row r="10337" spans="2:5">
      <c r="B10337" s="4" t="s">
        <v>12345</v>
      </c>
      <c r="C10337" s="129" t="s">
        <v>12346</v>
      </c>
      <c r="D10337" s="5">
        <v>131182</v>
      </c>
      <c r="E10337" s="5" t="s">
        <v>12576</v>
      </c>
    </row>
    <row r="10338" spans="2:5">
      <c r="B10338" s="4" t="s">
        <v>12345</v>
      </c>
      <c r="C10338" s="129" t="s">
        <v>12346</v>
      </c>
      <c r="D10338" s="5">
        <v>139000</v>
      </c>
      <c r="E10338" s="5" t="s">
        <v>12577</v>
      </c>
    </row>
    <row r="10339" spans="2:5">
      <c r="B10339" s="4" t="s">
        <v>12345</v>
      </c>
      <c r="C10339" s="129" t="s">
        <v>12346</v>
      </c>
      <c r="D10339" s="5">
        <v>139001</v>
      </c>
      <c r="E10339" s="5" t="s">
        <v>12578</v>
      </c>
    </row>
    <row r="10340" spans="2:5">
      <c r="B10340" s="4" t="s">
        <v>12345</v>
      </c>
      <c r="C10340" s="129" t="s">
        <v>12346</v>
      </c>
      <c r="D10340" s="5">
        <v>139002</v>
      </c>
      <c r="E10340" s="5" t="s">
        <v>12579</v>
      </c>
    </row>
    <row r="10341" spans="2:5">
      <c r="B10341" s="4" t="s">
        <v>12345</v>
      </c>
      <c r="C10341" s="129" t="s">
        <v>12346</v>
      </c>
      <c r="D10341" s="5">
        <v>140000</v>
      </c>
      <c r="E10341" s="5" t="s">
        <v>12580</v>
      </c>
    </row>
    <row r="10342" spans="2:5">
      <c r="B10342" s="4" t="s">
        <v>12345</v>
      </c>
      <c r="C10342" s="129" t="s">
        <v>12346</v>
      </c>
      <c r="D10342" s="5">
        <v>140100</v>
      </c>
      <c r="E10342" s="5" t="s">
        <v>12581</v>
      </c>
    </row>
    <row r="10343" spans="2:5">
      <c r="B10343" s="4" t="s">
        <v>12345</v>
      </c>
      <c r="C10343" s="129" t="s">
        <v>12346</v>
      </c>
      <c r="D10343" s="5">
        <v>140101</v>
      </c>
      <c r="E10343" s="5" t="s">
        <v>12582</v>
      </c>
    </row>
    <row r="10344" spans="2:5">
      <c r="B10344" s="4" t="s">
        <v>12345</v>
      </c>
      <c r="C10344" s="129" t="s">
        <v>12346</v>
      </c>
      <c r="D10344" s="5">
        <v>140105</v>
      </c>
      <c r="E10344" s="5" t="s">
        <v>12583</v>
      </c>
    </row>
    <row r="10345" spans="2:5">
      <c r="B10345" s="4" t="s">
        <v>12345</v>
      </c>
      <c r="C10345" s="129" t="s">
        <v>12346</v>
      </c>
      <c r="D10345" s="5">
        <v>140106</v>
      </c>
      <c r="E10345" s="5" t="s">
        <v>12584</v>
      </c>
    </row>
    <row r="10346" spans="2:5">
      <c r="B10346" s="4" t="s">
        <v>12345</v>
      </c>
      <c r="C10346" s="129" t="s">
        <v>12346</v>
      </c>
      <c r="D10346" s="5">
        <v>140107</v>
      </c>
      <c r="E10346" s="5" t="s">
        <v>12585</v>
      </c>
    </row>
    <row r="10347" spans="2:5">
      <c r="B10347" s="4" t="s">
        <v>12345</v>
      </c>
      <c r="C10347" s="129" t="s">
        <v>12346</v>
      </c>
      <c r="D10347" s="5">
        <v>140108</v>
      </c>
      <c r="E10347" s="5" t="s">
        <v>12586</v>
      </c>
    </row>
    <row r="10348" spans="2:5">
      <c r="B10348" s="4" t="s">
        <v>12345</v>
      </c>
      <c r="C10348" s="129" t="s">
        <v>12346</v>
      </c>
      <c r="D10348" s="5">
        <v>140109</v>
      </c>
      <c r="E10348" s="5" t="s">
        <v>12587</v>
      </c>
    </row>
    <row r="10349" spans="2:5">
      <c r="B10349" s="4" t="s">
        <v>12345</v>
      </c>
      <c r="C10349" s="129" t="s">
        <v>12346</v>
      </c>
      <c r="D10349" s="5">
        <v>140110</v>
      </c>
      <c r="E10349" s="5" t="s">
        <v>12588</v>
      </c>
    </row>
    <row r="10350" spans="2:5">
      <c r="B10350" s="4" t="s">
        <v>12345</v>
      </c>
      <c r="C10350" s="129" t="s">
        <v>12346</v>
      </c>
      <c r="D10350" s="5">
        <v>140121</v>
      </c>
      <c r="E10350" s="5" t="s">
        <v>12589</v>
      </c>
    </row>
    <row r="10351" spans="2:5">
      <c r="B10351" s="4" t="s">
        <v>12345</v>
      </c>
      <c r="C10351" s="129" t="s">
        <v>12346</v>
      </c>
      <c r="D10351" s="5">
        <v>140122</v>
      </c>
      <c r="E10351" s="5" t="s">
        <v>12590</v>
      </c>
    </row>
    <row r="10352" spans="2:5">
      <c r="B10352" s="4" t="s">
        <v>12345</v>
      </c>
      <c r="C10352" s="129" t="s">
        <v>12346</v>
      </c>
      <c r="D10352" s="5">
        <v>140123</v>
      </c>
      <c r="E10352" s="5" t="s">
        <v>12591</v>
      </c>
    </row>
    <row r="10353" spans="2:5">
      <c r="B10353" s="4" t="s">
        <v>12345</v>
      </c>
      <c r="C10353" s="129" t="s">
        <v>12346</v>
      </c>
      <c r="D10353" s="5">
        <v>140181</v>
      </c>
      <c r="E10353" s="5" t="s">
        <v>12592</v>
      </c>
    </row>
    <row r="10354" spans="2:5">
      <c r="B10354" s="4" t="s">
        <v>12345</v>
      </c>
      <c r="C10354" s="129" t="s">
        <v>12346</v>
      </c>
      <c r="D10354" s="5">
        <v>140200</v>
      </c>
      <c r="E10354" s="5" t="s">
        <v>12593</v>
      </c>
    </row>
    <row r="10355" spans="2:5">
      <c r="B10355" s="4" t="s">
        <v>12345</v>
      </c>
      <c r="C10355" s="129" t="s">
        <v>12346</v>
      </c>
      <c r="D10355" s="5">
        <v>140201</v>
      </c>
      <c r="E10355" s="5" t="s">
        <v>12594</v>
      </c>
    </row>
    <row r="10356" spans="2:5">
      <c r="B10356" s="4" t="s">
        <v>12345</v>
      </c>
      <c r="C10356" s="129" t="s">
        <v>12346</v>
      </c>
      <c r="D10356" s="5">
        <v>140202</v>
      </c>
      <c r="E10356" s="5" t="s">
        <v>12595</v>
      </c>
    </row>
    <row r="10357" spans="2:5">
      <c r="B10357" s="4" t="s">
        <v>12345</v>
      </c>
      <c r="C10357" s="129" t="s">
        <v>12346</v>
      </c>
      <c r="D10357" s="5">
        <v>140203</v>
      </c>
      <c r="E10357" s="5" t="s">
        <v>12596</v>
      </c>
    </row>
    <row r="10358" spans="2:5">
      <c r="B10358" s="4" t="s">
        <v>12345</v>
      </c>
      <c r="C10358" s="129" t="s">
        <v>12346</v>
      </c>
      <c r="D10358" s="5">
        <v>140211</v>
      </c>
      <c r="E10358" s="5" t="s">
        <v>12597</v>
      </c>
    </row>
    <row r="10359" spans="2:5">
      <c r="B10359" s="4" t="s">
        <v>12345</v>
      </c>
      <c r="C10359" s="129" t="s">
        <v>12346</v>
      </c>
      <c r="D10359" s="5">
        <v>140212</v>
      </c>
      <c r="E10359" s="5" t="s">
        <v>12598</v>
      </c>
    </row>
    <row r="10360" spans="2:5">
      <c r="B10360" s="4" t="s">
        <v>12345</v>
      </c>
      <c r="C10360" s="129" t="s">
        <v>12346</v>
      </c>
      <c r="D10360" s="5">
        <v>140221</v>
      </c>
      <c r="E10360" s="5" t="s">
        <v>12599</v>
      </c>
    </row>
    <row r="10361" spans="2:5">
      <c r="B10361" s="4" t="s">
        <v>12345</v>
      </c>
      <c r="C10361" s="129" t="s">
        <v>12346</v>
      </c>
      <c r="D10361" s="5">
        <v>140222</v>
      </c>
      <c r="E10361" s="5" t="s">
        <v>12600</v>
      </c>
    </row>
    <row r="10362" spans="2:5">
      <c r="B10362" s="4" t="s">
        <v>12345</v>
      </c>
      <c r="C10362" s="129" t="s">
        <v>12346</v>
      </c>
      <c r="D10362" s="5">
        <v>140223</v>
      </c>
      <c r="E10362" s="5" t="s">
        <v>12601</v>
      </c>
    </row>
    <row r="10363" spans="2:5">
      <c r="B10363" s="4" t="s">
        <v>12345</v>
      </c>
      <c r="C10363" s="129" t="s">
        <v>12346</v>
      </c>
      <c r="D10363" s="5">
        <v>140224</v>
      </c>
      <c r="E10363" s="5" t="s">
        <v>12602</v>
      </c>
    </row>
    <row r="10364" spans="2:5">
      <c r="B10364" s="4" t="s">
        <v>12345</v>
      </c>
      <c r="C10364" s="129" t="s">
        <v>12346</v>
      </c>
      <c r="D10364" s="5">
        <v>140225</v>
      </c>
      <c r="E10364" s="5" t="s">
        <v>12603</v>
      </c>
    </row>
    <row r="10365" spans="2:5">
      <c r="B10365" s="4" t="s">
        <v>12345</v>
      </c>
      <c r="C10365" s="129" t="s">
        <v>12346</v>
      </c>
      <c r="D10365" s="5">
        <v>140226</v>
      </c>
      <c r="E10365" s="5" t="s">
        <v>12604</v>
      </c>
    </row>
    <row r="10366" spans="2:5">
      <c r="B10366" s="4" t="s">
        <v>12345</v>
      </c>
      <c r="C10366" s="129" t="s">
        <v>12346</v>
      </c>
      <c r="D10366" s="5">
        <v>140227</v>
      </c>
      <c r="E10366" s="5" t="s">
        <v>12605</v>
      </c>
    </row>
    <row r="10367" spans="2:5">
      <c r="B10367" s="4" t="s">
        <v>12345</v>
      </c>
      <c r="C10367" s="129" t="s">
        <v>12346</v>
      </c>
      <c r="D10367" s="5">
        <v>140300</v>
      </c>
      <c r="E10367" s="5" t="s">
        <v>12606</v>
      </c>
    </row>
    <row r="10368" spans="2:5">
      <c r="B10368" s="4" t="s">
        <v>12345</v>
      </c>
      <c r="C10368" s="129" t="s">
        <v>12346</v>
      </c>
      <c r="D10368" s="5">
        <v>140301</v>
      </c>
      <c r="E10368" s="5" t="s">
        <v>12607</v>
      </c>
    </row>
    <row r="10369" spans="2:5">
      <c r="B10369" s="4" t="s">
        <v>12345</v>
      </c>
      <c r="C10369" s="129" t="s">
        <v>12346</v>
      </c>
      <c r="D10369" s="5">
        <v>140302</v>
      </c>
      <c r="E10369" s="5" t="s">
        <v>12608</v>
      </c>
    </row>
    <row r="10370" spans="2:5">
      <c r="B10370" s="4" t="s">
        <v>12345</v>
      </c>
      <c r="C10370" s="129" t="s">
        <v>12346</v>
      </c>
      <c r="D10370" s="5">
        <v>140303</v>
      </c>
      <c r="E10370" s="5" t="s">
        <v>12609</v>
      </c>
    </row>
    <row r="10371" spans="2:5">
      <c r="B10371" s="4" t="s">
        <v>12345</v>
      </c>
      <c r="C10371" s="129" t="s">
        <v>12346</v>
      </c>
      <c r="D10371" s="5">
        <v>140311</v>
      </c>
      <c r="E10371" s="5" t="s">
        <v>12610</v>
      </c>
    </row>
    <row r="10372" spans="2:5">
      <c r="B10372" s="4" t="s">
        <v>12345</v>
      </c>
      <c r="C10372" s="129" t="s">
        <v>12346</v>
      </c>
      <c r="D10372" s="5">
        <v>140321</v>
      </c>
      <c r="E10372" s="5" t="s">
        <v>12611</v>
      </c>
    </row>
    <row r="10373" spans="2:5">
      <c r="B10373" s="4" t="s">
        <v>12345</v>
      </c>
      <c r="C10373" s="129" t="s">
        <v>12346</v>
      </c>
      <c r="D10373" s="5">
        <v>140322</v>
      </c>
      <c r="E10373" s="5" t="s">
        <v>12612</v>
      </c>
    </row>
    <row r="10374" spans="2:5">
      <c r="B10374" s="4" t="s">
        <v>12345</v>
      </c>
      <c r="C10374" s="129" t="s">
        <v>12346</v>
      </c>
      <c r="D10374" s="5">
        <v>140400</v>
      </c>
      <c r="E10374" s="5" t="s">
        <v>12613</v>
      </c>
    </row>
    <row r="10375" spans="2:5">
      <c r="B10375" s="4" t="s">
        <v>12345</v>
      </c>
      <c r="C10375" s="129" t="s">
        <v>12346</v>
      </c>
      <c r="D10375" s="5">
        <v>140401</v>
      </c>
      <c r="E10375" s="5" t="s">
        <v>12614</v>
      </c>
    </row>
    <row r="10376" spans="2:5">
      <c r="B10376" s="4" t="s">
        <v>12345</v>
      </c>
      <c r="C10376" s="129" t="s">
        <v>12346</v>
      </c>
      <c r="D10376" s="5">
        <v>140402</v>
      </c>
      <c r="E10376" s="5" t="s">
        <v>12615</v>
      </c>
    </row>
    <row r="10377" spans="2:5">
      <c r="B10377" s="4" t="s">
        <v>12345</v>
      </c>
      <c r="C10377" s="129" t="s">
        <v>12346</v>
      </c>
      <c r="D10377" s="5">
        <v>140411</v>
      </c>
      <c r="E10377" s="5" t="s">
        <v>12616</v>
      </c>
    </row>
    <row r="10378" spans="2:5">
      <c r="B10378" s="4" t="s">
        <v>12345</v>
      </c>
      <c r="C10378" s="129" t="s">
        <v>12346</v>
      </c>
      <c r="D10378" s="5">
        <v>140421</v>
      </c>
      <c r="E10378" s="5" t="s">
        <v>12617</v>
      </c>
    </row>
    <row r="10379" spans="2:5">
      <c r="B10379" s="4" t="s">
        <v>12345</v>
      </c>
      <c r="C10379" s="129" t="s">
        <v>12346</v>
      </c>
      <c r="D10379" s="5">
        <v>140423</v>
      </c>
      <c r="E10379" s="5" t="s">
        <v>12618</v>
      </c>
    </row>
    <row r="10380" spans="2:5">
      <c r="B10380" s="4" t="s">
        <v>12345</v>
      </c>
      <c r="C10380" s="129" t="s">
        <v>12346</v>
      </c>
      <c r="D10380" s="5">
        <v>140424</v>
      </c>
      <c r="E10380" s="5" t="s">
        <v>12619</v>
      </c>
    </row>
    <row r="10381" spans="2:5">
      <c r="B10381" s="4" t="s">
        <v>12345</v>
      </c>
      <c r="C10381" s="129" t="s">
        <v>12346</v>
      </c>
      <c r="D10381" s="5">
        <v>140425</v>
      </c>
      <c r="E10381" s="5" t="s">
        <v>12620</v>
      </c>
    </row>
    <row r="10382" spans="2:5">
      <c r="B10382" s="4" t="s">
        <v>12345</v>
      </c>
      <c r="C10382" s="129" t="s">
        <v>12346</v>
      </c>
      <c r="D10382" s="5">
        <v>140426</v>
      </c>
      <c r="E10382" s="5" t="s">
        <v>12621</v>
      </c>
    </row>
    <row r="10383" spans="2:5">
      <c r="B10383" s="4" t="s">
        <v>12345</v>
      </c>
      <c r="C10383" s="129" t="s">
        <v>12346</v>
      </c>
      <c r="D10383" s="5">
        <v>140427</v>
      </c>
      <c r="E10383" s="5" t="s">
        <v>12622</v>
      </c>
    </row>
    <row r="10384" spans="2:5">
      <c r="B10384" s="4" t="s">
        <v>12345</v>
      </c>
      <c r="C10384" s="129" t="s">
        <v>12346</v>
      </c>
      <c r="D10384" s="5">
        <v>140428</v>
      </c>
      <c r="E10384" s="5" t="s">
        <v>12623</v>
      </c>
    </row>
    <row r="10385" spans="2:5">
      <c r="B10385" s="4" t="s">
        <v>12345</v>
      </c>
      <c r="C10385" s="129" t="s">
        <v>12346</v>
      </c>
      <c r="D10385" s="5">
        <v>140429</v>
      </c>
      <c r="E10385" s="5" t="s">
        <v>12624</v>
      </c>
    </row>
    <row r="10386" spans="2:5">
      <c r="B10386" s="4" t="s">
        <v>12345</v>
      </c>
      <c r="C10386" s="129" t="s">
        <v>12346</v>
      </c>
      <c r="D10386" s="5">
        <v>140430</v>
      </c>
      <c r="E10386" s="5" t="s">
        <v>12625</v>
      </c>
    </row>
    <row r="10387" spans="2:5">
      <c r="B10387" s="4" t="s">
        <v>12345</v>
      </c>
      <c r="C10387" s="129" t="s">
        <v>12346</v>
      </c>
      <c r="D10387" s="5">
        <v>140431</v>
      </c>
      <c r="E10387" s="5" t="s">
        <v>12626</v>
      </c>
    </row>
    <row r="10388" spans="2:5">
      <c r="B10388" s="4" t="s">
        <v>12345</v>
      </c>
      <c r="C10388" s="129" t="s">
        <v>12346</v>
      </c>
      <c r="D10388" s="5">
        <v>140481</v>
      </c>
      <c r="E10388" s="5" t="s">
        <v>12627</v>
      </c>
    </row>
    <row r="10389" spans="2:5">
      <c r="B10389" s="4" t="s">
        <v>12345</v>
      </c>
      <c r="C10389" s="129" t="s">
        <v>12346</v>
      </c>
      <c r="D10389" s="5">
        <v>140500</v>
      </c>
      <c r="E10389" s="5" t="s">
        <v>12628</v>
      </c>
    </row>
    <row r="10390" spans="2:5">
      <c r="B10390" s="4" t="s">
        <v>12345</v>
      </c>
      <c r="C10390" s="129" t="s">
        <v>12346</v>
      </c>
      <c r="D10390" s="5">
        <v>140501</v>
      </c>
      <c r="E10390" s="5" t="s">
        <v>12629</v>
      </c>
    </row>
    <row r="10391" spans="2:5">
      <c r="B10391" s="4" t="s">
        <v>12345</v>
      </c>
      <c r="C10391" s="129" t="s">
        <v>12346</v>
      </c>
      <c r="D10391" s="5">
        <v>140502</v>
      </c>
      <c r="E10391" s="5" t="s">
        <v>12630</v>
      </c>
    </row>
    <row r="10392" spans="2:5">
      <c r="B10392" s="4" t="s">
        <v>12345</v>
      </c>
      <c r="C10392" s="129" t="s">
        <v>12346</v>
      </c>
      <c r="D10392" s="5">
        <v>140521</v>
      </c>
      <c r="E10392" s="5" t="s">
        <v>12631</v>
      </c>
    </row>
    <row r="10393" spans="2:5">
      <c r="B10393" s="4" t="s">
        <v>12345</v>
      </c>
      <c r="C10393" s="129" t="s">
        <v>12346</v>
      </c>
      <c r="D10393" s="5">
        <v>140522</v>
      </c>
      <c r="E10393" s="5" t="s">
        <v>12632</v>
      </c>
    </row>
    <row r="10394" spans="2:5">
      <c r="B10394" s="4" t="s">
        <v>12345</v>
      </c>
      <c r="C10394" s="129" t="s">
        <v>12346</v>
      </c>
      <c r="D10394" s="5">
        <v>140524</v>
      </c>
      <c r="E10394" s="5" t="s">
        <v>12633</v>
      </c>
    </row>
    <row r="10395" spans="2:5">
      <c r="B10395" s="4" t="s">
        <v>12345</v>
      </c>
      <c r="C10395" s="129" t="s">
        <v>12346</v>
      </c>
      <c r="D10395" s="5">
        <v>140525</v>
      </c>
      <c r="E10395" s="5" t="s">
        <v>12634</v>
      </c>
    </row>
    <row r="10396" spans="2:5">
      <c r="B10396" s="4" t="s">
        <v>12345</v>
      </c>
      <c r="C10396" s="129" t="s">
        <v>12346</v>
      </c>
      <c r="D10396" s="5">
        <v>140581</v>
      </c>
      <c r="E10396" s="5" t="s">
        <v>12635</v>
      </c>
    </row>
    <row r="10397" spans="2:5">
      <c r="B10397" s="4" t="s">
        <v>12345</v>
      </c>
      <c r="C10397" s="129" t="s">
        <v>12346</v>
      </c>
      <c r="D10397" s="5">
        <v>140600</v>
      </c>
      <c r="E10397" s="5" t="s">
        <v>12636</v>
      </c>
    </row>
    <row r="10398" spans="2:5">
      <c r="B10398" s="4" t="s">
        <v>12345</v>
      </c>
      <c r="C10398" s="129" t="s">
        <v>12346</v>
      </c>
      <c r="D10398" s="5">
        <v>140601</v>
      </c>
      <c r="E10398" s="5" t="s">
        <v>12637</v>
      </c>
    </row>
    <row r="10399" spans="2:5">
      <c r="B10399" s="4" t="s">
        <v>12345</v>
      </c>
      <c r="C10399" s="129" t="s">
        <v>12346</v>
      </c>
      <c r="D10399" s="5">
        <v>140602</v>
      </c>
      <c r="E10399" s="5" t="s">
        <v>12638</v>
      </c>
    </row>
    <row r="10400" spans="2:5">
      <c r="B10400" s="4" t="s">
        <v>12345</v>
      </c>
      <c r="C10400" s="129" t="s">
        <v>12346</v>
      </c>
      <c r="D10400" s="5">
        <v>140603</v>
      </c>
      <c r="E10400" s="5" t="s">
        <v>12639</v>
      </c>
    </row>
    <row r="10401" spans="2:5">
      <c r="B10401" s="4" t="s">
        <v>12345</v>
      </c>
      <c r="C10401" s="129" t="s">
        <v>12346</v>
      </c>
      <c r="D10401" s="5">
        <v>140621</v>
      </c>
      <c r="E10401" s="5" t="s">
        <v>12640</v>
      </c>
    </row>
    <row r="10402" spans="2:5">
      <c r="B10402" s="4" t="s">
        <v>12345</v>
      </c>
      <c r="C10402" s="129" t="s">
        <v>12346</v>
      </c>
      <c r="D10402" s="5">
        <v>140622</v>
      </c>
      <c r="E10402" s="5" t="s">
        <v>12641</v>
      </c>
    </row>
    <row r="10403" spans="2:5">
      <c r="B10403" s="4" t="s">
        <v>12345</v>
      </c>
      <c r="C10403" s="129" t="s">
        <v>12346</v>
      </c>
      <c r="D10403" s="5">
        <v>140623</v>
      </c>
      <c r="E10403" s="5" t="s">
        <v>12642</v>
      </c>
    </row>
    <row r="10404" spans="2:5">
      <c r="B10404" s="4" t="s">
        <v>12345</v>
      </c>
      <c r="C10404" s="129" t="s">
        <v>12346</v>
      </c>
      <c r="D10404" s="5">
        <v>140624</v>
      </c>
      <c r="E10404" s="5" t="s">
        <v>12643</v>
      </c>
    </row>
    <row r="10405" spans="2:5">
      <c r="B10405" s="4" t="s">
        <v>12345</v>
      </c>
      <c r="C10405" s="129" t="s">
        <v>12346</v>
      </c>
      <c r="D10405" s="5">
        <v>140700</v>
      </c>
      <c r="E10405" s="5" t="s">
        <v>12644</v>
      </c>
    </row>
    <row r="10406" spans="2:5">
      <c r="B10406" s="4" t="s">
        <v>12345</v>
      </c>
      <c r="C10406" s="129" t="s">
        <v>12346</v>
      </c>
      <c r="D10406" s="5">
        <v>140701</v>
      </c>
      <c r="E10406" s="5" t="s">
        <v>12645</v>
      </c>
    </row>
    <row r="10407" spans="2:5">
      <c r="B10407" s="4" t="s">
        <v>12345</v>
      </c>
      <c r="C10407" s="129" t="s">
        <v>12346</v>
      </c>
      <c r="D10407" s="5">
        <v>140702</v>
      </c>
      <c r="E10407" s="5" t="s">
        <v>12646</v>
      </c>
    </row>
    <row r="10408" spans="2:5">
      <c r="B10408" s="4" t="s">
        <v>12345</v>
      </c>
      <c r="C10408" s="129" t="s">
        <v>12346</v>
      </c>
      <c r="D10408" s="5">
        <v>140721</v>
      </c>
      <c r="E10408" s="5" t="s">
        <v>12647</v>
      </c>
    </row>
    <row r="10409" spans="2:5">
      <c r="B10409" s="4" t="s">
        <v>12345</v>
      </c>
      <c r="C10409" s="129" t="s">
        <v>12346</v>
      </c>
      <c r="D10409" s="5">
        <v>140722</v>
      </c>
      <c r="E10409" s="5" t="s">
        <v>12648</v>
      </c>
    </row>
    <row r="10410" spans="2:5">
      <c r="B10410" s="4" t="s">
        <v>12345</v>
      </c>
      <c r="C10410" s="129" t="s">
        <v>12346</v>
      </c>
      <c r="D10410" s="5">
        <v>140723</v>
      </c>
      <c r="E10410" s="5" t="s">
        <v>12649</v>
      </c>
    </row>
    <row r="10411" spans="2:5">
      <c r="B10411" s="4" t="s">
        <v>12345</v>
      </c>
      <c r="C10411" s="129" t="s">
        <v>12346</v>
      </c>
      <c r="D10411" s="5">
        <v>140724</v>
      </c>
      <c r="E10411" s="5" t="s">
        <v>12650</v>
      </c>
    </row>
    <row r="10412" spans="2:5">
      <c r="B10412" s="4" t="s">
        <v>12345</v>
      </c>
      <c r="C10412" s="129" t="s">
        <v>12346</v>
      </c>
      <c r="D10412" s="5">
        <v>140725</v>
      </c>
      <c r="E10412" s="5" t="s">
        <v>12651</v>
      </c>
    </row>
    <row r="10413" spans="2:5">
      <c r="B10413" s="4" t="s">
        <v>12345</v>
      </c>
      <c r="C10413" s="129" t="s">
        <v>12346</v>
      </c>
      <c r="D10413" s="5">
        <v>140726</v>
      </c>
      <c r="E10413" s="5" t="s">
        <v>12652</v>
      </c>
    </row>
    <row r="10414" spans="2:5">
      <c r="B10414" s="4" t="s">
        <v>12345</v>
      </c>
      <c r="C10414" s="129" t="s">
        <v>12346</v>
      </c>
      <c r="D10414" s="5">
        <v>140727</v>
      </c>
      <c r="E10414" s="5" t="s">
        <v>12653</v>
      </c>
    </row>
    <row r="10415" spans="2:5">
      <c r="B10415" s="4" t="s">
        <v>12345</v>
      </c>
      <c r="C10415" s="129" t="s">
        <v>12346</v>
      </c>
      <c r="D10415" s="5">
        <v>140728</v>
      </c>
      <c r="E10415" s="5" t="s">
        <v>12654</v>
      </c>
    </row>
    <row r="10416" spans="2:5">
      <c r="B10416" s="4" t="s">
        <v>12345</v>
      </c>
      <c r="C10416" s="129" t="s">
        <v>12346</v>
      </c>
      <c r="D10416" s="5">
        <v>140729</v>
      </c>
      <c r="E10416" s="5" t="s">
        <v>12655</v>
      </c>
    </row>
    <row r="10417" spans="2:5">
      <c r="B10417" s="4" t="s">
        <v>12345</v>
      </c>
      <c r="C10417" s="129" t="s">
        <v>12346</v>
      </c>
      <c r="D10417" s="5">
        <v>140781</v>
      </c>
      <c r="E10417" s="5" t="s">
        <v>12656</v>
      </c>
    </row>
    <row r="10418" spans="2:5">
      <c r="B10418" s="4" t="s">
        <v>12345</v>
      </c>
      <c r="C10418" s="129" t="s">
        <v>12346</v>
      </c>
      <c r="D10418" s="5">
        <v>140800</v>
      </c>
      <c r="E10418" s="5" t="s">
        <v>12657</v>
      </c>
    </row>
    <row r="10419" spans="2:5">
      <c r="B10419" s="4" t="s">
        <v>12345</v>
      </c>
      <c r="C10419" s="129" t="s">
        <v>12346</v>
      </c>
      <c r="D10419" s="5">
        <v>140801</v>
      </c>
      <c r="E10419" s="5" t="s">
        <v>12658</v>
      </c>
    </row>
    <row r="10420" spans="2:5">
      <c r="B10420" s="4" t="s">
        <v>12345</v>
      </c>
      <c r="C10420" s="129" t="s">
        <v>12346</v>
      </c>
      <c r="D10420" s="5">
        <v>140802</v>
      </c>
      <c r="E10420" s="5" t="s">
        <v>12659</v>
      </c>
    </row>
    <row r="10421" spans="2:5">
      <c r="B10421" s="4" t="s">
        <v>12345</v>
      </c>
      <c r="C10421" s="129" t="s">
        <v>12346</v>
      </c>
      <c r="D10421" s="5">
        <v>140821</v>
      </c>
      <c r="E10421" s="5" t="s">
        <v>12660</v>
      </c>
    </row>
    <row r="10422" spans="2:5">
      <c r="B10422" s="4" t="s">
        <v>12345</v>
      </c>
      <c r="C10422" s="129" t="s">
        <v>12346</v>
      </c>
      <c r="D10422" s="5">
        <v>140822</v>
      </c>
      <c r="E10422" s="5" t="s">
        <v>12661</v>
      </c>
    </row>
    <row r="10423" spans="2:5">
      <c r="B10423" s="4" t="s">
        <v>12345</v>
      </c>
      <c r="C10423" s="129" t="s">
        <v>12346</v>
      </c>
      <c r="D10423" s="5">
        <v>140823</v>
      </c>
      <c r="E10423" s="5" t="s">
        <v>12662</v>
      </c>
    </row>
    <row r="10424" spans="2:5">
      <c r="B10424" s="4" t="s">
        <v>12345</v>
      </c>
      <c r="C10424" s="129" t="s">
        <v>12346</v>
      </c>
      <c r="D10424" s="5">
        <v>140824</v>
      </c>
      <c r="E10424" s="5" t="s">
        <v>12663</v>
      </c>
    </row>
    <row r="10425" spans="2:5">
      <c r="B10425" s="4" t="s">
        <v>12345</v>
      </c>
      <c r="C10425" s="129" t="s">
        <v>12346</v>
      </c>
      <c r="D10425" s="5">
        <v>140825</v>
      </c>
      <c r="E10425" s="5" t="s">
        <v>12664</v>
      </c>
    </row>
    <row r="10426" spans="2:5">
      <c r="B10426" s="4" t="s">
        <v>12345</v>
      </c>
      <c r="C10426" s="129" t="s">
        <v>12346</v>
      </c>
      <c r="D10426" s="5">
        <v>140826</v>
      </c>
      <c r="E10426" s="5" t="s">
        <v>12665</v>
      </c>
    </row>
    <row r="10427" spans="2:5">
      <c r="B10427" s="4" t="s">
        <v>12345</v>
      </c>
      <c r="C10427" s="129" t="s">
        <v>12346</v>
      </c>
      <c r="D10427" s="5">
        <v>140827</v>
      </c>
      <c r="E10427" s="5" t="s">
        <v>12666</v>
      </c>
    </row>
    <row r="10428" spans="2:5">
      <c r="B10428" s="4" t="s">
        <v>12345</v>
      </c>
      <c r="C10428" s="129" t="s">
        <v>12346</v>
      </c>
      <c r="D10428" s="5">
        <v>140828</v>
      </c>
      <c r="E10428" s="5" t="s">
        <v>12667</v>
      </c>
    </row>
    <row r="10429" spans="2:5">
      <c r="B10429" s="4" t="s">
        <v>12345</v>
      </c>
      <c r="C10429" s="129" t="s">
        <v>12346</v>
      </c>
      <c r="D10429" s="5">
        <v>140829</v>
      </c>
      <c r="E10429" s="5" t="s">
        <v>12668</v>
      </c>
    </row>
    <row r="10430" spans="2:5">
      <c r="B10430" s="4" t="s">
        <v>12345</v>
      </c>
      <c r="C10430" s="129" t="s">
        <v>12346</v>
      </c>
      <c r="D10430" s="5">
        <v>140830</v>
      </c>
      <c r="E10430" s="5" t="s">
        <v>12669</v>
      </c>
    </row>
    <row r="10431" spans="2:5">
      <c r="B10431" s="4" t="s">
        <v>12345</v>
      </c>
      <c r="C10431" s="129" t="s">
        <v>12346</v>
      </c>
      <c r="D10431" s="5">
        <v>140881</v>
      </c>
      <c r="E10431" s="5" t="s">
        <v>12670</v>
      </c>
    </row>
    <row r="10432" spans="2:5">
      <c r="B10432" s="4" t="s">
        <v>12345</v>
      </c>
      <c r="C10432" s="129" t="s">
        <v>12346</v>
      </c>
      <c r="D10432" s="5">
        <v>140882</v>
      </c>
      <c r="E10432" s="5" t="s">
        <v>12671</v>
      </c>
    </row>
    <row r="10433" spans="2:5">
      <c r="B10433" s="4" t="s">
        <v>12345</v>
      </c>
      <c r="C10433" s="129" t="s">
        <v>12346</v>
      </c>
      <c r="D10433" s="5">
        <v>140900</v>
      </c>
      <c r="E10433" s="5" t="s">
        <v>12672</v>
      </c>
    </row>
    <row r="10434" spans="2:5">
      <c r="B10434" s="4" t="s">
        <v>12345</v>
      </c>
      <c r="C10434" s="129" t="s">
        <v>12346</v>
      </c>
      <c r="D10434" s="5">
        <v>140901</v>
      </c>
      <c r="E10434" s="5" t="s">
        <v>12673</v>
      </c>
    </row>
    <row r="10435" spans="2:5">
      <c r="B10435" s="4" t="s">
        <v>12345</v>
      </c>
      <c r="C10435" s="129" t="s">
        <v>12346</v>
      </c>
      <c r="D10435" s="5">
        <v>140902</v>
      </c>
      <c r="E10435" s="5" t="s">
        <v>12674</v>
      </c>
    </row>
    <row r="10436" spans="2:5">
      <c r="B10436" s="4" t="s">
        <v>12345</v>
      </c>
      <c r="C10436" s="129" t="s">
        <v>12346</v>
      </c>
      <c r="D10436" s="5">
        <v>140921</v>
      </c>
      <c r="E10436" s="5" t="s">
        <v>12675</v>
      </c>
    </row>
    <row r="10437" spans="2:5">
      <c r="B10437" s="4" t="s">
        <v>12345</v>
      </c>
      <c r="C10437" s="129" t="s">
        <v>12346</v>
      </c>
      <c r="D10437" s="5">
        <v>140922</v>
      </c>
      <c r="E10437" s="5" t="s">
        <v>12676</v>
      </c>
    </row>
    <row r="10438" spans="2:5">
      <c r="B10438" s="4" t="s">
        <v>12345</v>
      </c>
      <c r="C10438" s="129" t="s">
        <v>12346</v>
      </c>
      <c r="D10438" s="5">
        <v>140923</v>
      </c>
      <c r="E10438" s="5" t="s">
        <v>12677</v>
      </c>
    </row>
    <row r="10439" spans="2:5">
      <c r="B10439" s="4" t="s">
        <v>12345</v>
      </c>
      <c r="C10439" s="129" t="s">
        <v>12346</v>
      </c>
      <c r="D10439" s="5">
        <v>140924</v>
      </c>
      <c r="E10439" s="5" t="s">
        <v>12678</v>
      </c>
    </row>
    <row r="10440" spans="2:5">
      <c r="B10440" s="4" t="s">
        <v>12345</v>
      </c>
      <c r="C10440" s="129" t="s">
        <v>12346</v>
      </c>
      <c r="D10440" s="5">
        <v>140925</v>
      </c>
      <c r="E10440" s="5" t="s">
        <v>12679</v>
      </c>
    </row>
    <row r="10441" spans="2:5">
      <c r="B10441" s="4" t="s">
        <v>12345</v>
      </c>
      <c r="C10441" s="129" t="s">
        <v>12346</v>
      </c>
      <c r="D10441" s="5">
        <v>140926</v>
      </c>
      <c r="E10441" s="5" t="s">
        <v>12680</v>
      </c>
    </row>
    <row r="10442" spans="2:5">
      <c r="B10442" s="4" t="s">
        <v>12345</v>
      </c>
      <c r="C10442" s="129" t="s">
        <v>12346</v>
      </c>
      <c r="D10442" s="5">
        <v>140927</v>
      </c>
      <c r="E10442" s="5" t="s">
        <v>12681</v>
      </c>
    </row>
    <row r="10443" spans="2:5">
      <c r="B10443" s="4" t="s">
        <v>12345</v>
      </c>
      <c r="C10443" s="129" t="s">
        <v>12346</v>
      </c>
      <c r="D10443" s="5">
        <v>140928</v>
      </c>
      <c r="E10443" s="5" t="s">
        <v>12682</v>
      </c>
    </row>
    <row r="10444" spans="2:5">
      <c r="B10444" s="4" t="s">
        <v>12345</v>
      </c>
      <c r="C10444" s="129" t="s">
        <v>12346</v>
      </c>
      <c r="D10444" s="5">
        <v>140929</v>
      </c>
      <c r="E10444" s="5" t="s">
        <v>12683</v>
      </c>
    </row>
    <row r="10445" spans="2:5">
      <c r="B10445" s="4" t="s">
        <v>12345</v>
      </c>
      <c r="C10445" s="129" t="s">
        <v>12346</v>
      </c>
      <c r="D10445" s="5">
        <v>140930</v>
      </c>
      <c r="E10445" s="5" t="s">
        <v>12684</v>
      </c>
    </row>
    <row r="10446" spans="2:5">
      <c r="B10446" s="4" t="s">
        <v>12345</v>
      </c>
      <c r="C10446" s="129" t="s">
        <v>12346</v>
      </c>
      <c r="D10446" s="5">
        <v>140931</v>
      </c>
      <c r="E10446" s="5" t="s">
        <v>12685</v>
      </c>
    </row>
    <row r="10447" spans="2:5">
      <c r="B10447" s="4" t="s">
        <v>12345</v>
      </c>
      <c r="C10447" s="129" t="s">
        <v>12346</v>
      </c>
      <c r="D10447" s="5">
        <v>140932</v>
      </c>
      <c r="E10447" s="5" t="s">
        <v>12686</v>
      </c>
    </row>
    <row r="10448" spans="2:5">
      <c r="B10448" s="4" t="s">
        <v>12345</v>
      </c>
      <c r="C10448" s="129" t="s">
        <v>12346</v>
      </c>
      <c r="D10448" s="5">
        <v>140981</v>
      </c>
      <c r="E10448" s="5" t="s">
        <v>12687</v>
      </c>
    </row>
    <row r="10449" spans="2:5">
      <c r="B10449" s="4" t="s">
        <v>12345</v>
      </c>
      <c r="C10449" s="129" t="s">
        <v>12346</v>
      </c>
      <c r="D10449" s="5">
        <v>141000</v>
      </c>
      <c r="E10449" s="5" t="s">
        <v>12688</v>
      </c>
    </row>
    <row r="10450" spans="2:5">
      <c r="B10450" s="4" t="s">
        <v>12345</v>
      </c>
      <c r="C10450" s="129" t="s">
        <v>12346</v>
      </c>
      <c r="D10450" s="5">
        <v>141001</v>
      </c>
      <c r="E10450" s="5" t="s">
        <v>12689</v>
      </c>
    </row>
    <row r="10451" spans="2:5">
      <c r="B10451" s="4" t="s">
        <v>12345</v>
      </c>
      <c r="C10451" s="129" t="s">
        <v>12346</v>
      </c>
      <c r="D10451" s="5">
        <v>141002</v>
      </c>
      <c r="E10451" s="5" t="s">
        <v>12690</v>
      </c>
    </row>
    <row r="10452" spans="2:5">
      <c r="B10452" s="4" t="s">
        <v>12345</v>
      </c>
      <c r="C10452" s="129" t="s">
        <v>12346</v>
      </c>
      <c r="D10452" s="5">
        <v>141021</v>
      </c>
      <c r="E10452" s="5" t="s">
        <v>12691</v>
      </c>
    </row>
    <row r="10453" spans="2:5">
      <c r="B10453" s="4" t="s">
        <v>12345</v>
      </c>
      <c r="C10453" s="129" t="s">
        <v>12346</v>
      </c>
      <c r="D10453" s="5">
        <v>141022</v>
      </c>
      <c r="E10453" s="5" t="s">
        <v>12692</v>
      </c>
    </row>
    <row r="10454" spans="2:5">
      <c r="B10454" s="4" t="s">
        <v>12345</v>
      </c>
      <c r="C10454" s="129" t="s">
        <v>12346</v>
      </c>
      <c r="D10454" s="5">
        <v>141023</v>
      </c>
      <c r="E10454" s="5" t="s">
        <v>12693</v>
      </c>
    </row>
    <row r="10455" spans="2:5">
      <c r="B10455" s="4" t="s">
        <v>12345</v>
      </c>
      <c r="C10455" s="129" t="s">
        <v>12346</v>
      </c>
      <c r="D10455" s="5">
        <v>141024</v>
      </c>
      <c r="E10455" s="5" t="s">
        <v>12694</v>
      </c>
    </row>
    <row r="10456" spans="2:5">
      <c r="B10456" s="4" t="s">
        <v>12345</v>
      </c>
      <c r="C10456" s="129" t="s">
        <v>12346</v>
      </c>
      <c r="D10456" s="5">
        <v>141025</v>
      </c>
      <c r="E10456" s="5" t="s">
        <v>12695</v>
      </c>
    </row>
    <row r="10457" spans="2:5">
      <c r="B10457" s="4" t="s">
        <v>12345</v>
      </c>
      <c r="C10457" s="129" t="s">
        <v>12346</v>
      </c>
      <c r="D10457" s="5">
        <v>141026</v>
      </c>
      <c r="E10457" s="5" t="s">
        <v>12696</v>
      </c>
    </row>
    <row r="10458" spans="2:5">
      <c r="B10458" s="4" t="s">
        <v>12345</v>
      </c>
      <c r="C10458" s="129" t="s">
        <v>12346</v>
      </c>
      <c r="D10458" s="5">
        <v>141027</v>
      </c>
      <c r="E10458" s="5" t="s">
        <v>12697</v>
      </c>
    </row>
    <row r="10459" spans="2:5">
      <c r="B10459" s="4" t="s">
        <v>12345</v>
      </c>
      <c r="C10459" s="129" t="s">
        <v>12346</v>
      </c>
      <c r="D10459" s="5">
        <v>141028</v>
      </c>
      <c r="E10459" s="5" t="s">
        <v>12698</v>
      </c>
    </row>
    <row r="10460" spans="2:5">
      <c r="B10460" s="4" t="s">
        <v>12345</v>
      </c>
      <c r="C10460" s="129" t="s">
        <v>12346</v>
      </c>
      <c r="D10460" s="5">
        <v>141029</v>
      </c>
      <c r="E10460" s="5" t="s">
        <v>12699</v>
      </c>
    </row>
    <row r="10461" spans="2:5">
      <c r="B10461" s="4" t="s">
        <v>12345</v>
      </c>
      <c r="C10461" s="129" t="s">
        <v>12346</v>
      </c>
      <c r="D10461" s="5">
        <v>141030</v>
      </c>
      <c r="E10461" s="5" t="s">
        <v>12700</v>
      </c>
    </row>
    <row r="10462" spans="2:5">
      <c r="B10462" s="4" t="s">
        <v>12345</v>
      </c>
      <c r="C10462" s="129" t="s">
        <v>12346</v>
      </c>
      <c r="D10462" s="5">
        <v>141031</v>
      </c>
      <c r="E10462" s="5" t="s">
        <v>12701</v>
      </c>
    </row>
    <row r="10463" spans="2:5">
      <c r="B10463" s="4" t="s">
        <v>12345</v>
      </c>
      <c r="C10463" s="129" t="s">
        <v>12346</v>
      </c>
      <c r="D10463" s="5">
        <v>141032</v>
      </c>
      <c r="E10463" s="5" t="s">
        <v>12702</v>
      </c>
    </row>
    <row r="10464" spans="2:5">
      <c r="B10464" s="4" t="s">
        <v>12345</v>
      </c>
      <c r="C10464" s="129" t="s">
        <v>12346</v>
      </c>
      <c r="D10464" s="5">
        <v>141033</v>
      </c>
      <c r="E10464" s="5" t="s">
        <v>12703</v>
      </c>
    </row>
    <row r="10465" spans="2:5">
      <c r="B10465" s="4" t="s">
        <v>12345</v>
      </c>
      <c r="C10465" s="129" t="s">
        <v>12346</v>
      </c>
      <c r="D10465" s="5">
        <v>141034</v>
      </c>
      <c r="E10465" s="5" t="s">
        <v>12704</v>
      </c>
    </row>
    <row r="10466" spans="2:5">
      <c r="B10466" s="4" t="s">
        <v>12345</v>
      </c>
      <c r="C10466" s="129" t="s">
        <v>12346</v>
      </c>
      <c r="D10466" s="5">
        <v>141081</v>
      </c>
      <c r="E10466" s="5" t="s">
        <v>12705</v>
      </c>
    </row>
    <row r="10467" spans="2:5">
      <c r="B10467" s="4" t="s">
        <v>12345</v>
      </c>
      <c r="C10467" s="129" t="s">
        <v>12346</v>
      </c>
      <c r="D10467" s="5">
        <v>141082</v>
      </c>
      <c r="E10467" s="5" t="s">
        <v>12706</v>
      </c>
    </row>
    <row r="10468" spans="2:5">
      <c r="B10468" s="4" t="s">
        <v>12345</v>
      </c>
      <c r="C10468" s="129" t="s">
        <v>12346</v>
      </c>
      <c r="D10468" s="5">
        <v>141100</v>
      </c>
      <c r="E10468" s="5" t="s">
        <v>12707</v>
      </c>
    </row>
    <row r="10469" spans="2:5">
      <c r="B10469" s="4" t="s">
        <v>12345</v>
      </c>
      <c r="C10469" s="129" t="s">
        <v>12346</v>
      </c>
      <c r="D10469" s="5">
        <v>141101</v>
      </c>
      <c r="E10469" s="5" t="s">
        <v>12708</v>
      </c>
    </row>
    <row r="10470" spans="2:5">
      <c r="B10470" s="4" t="s">
        <v>12345</v>
      </c>
      <c r="C10470" s="129" t="s">
        <v>12346</v>
      </c>
      <c r="D10470" s="5">
        <v>141102</v>
      </c>
      <c r="E10470" s="5" t="s">
        <v>12709</v>
      </c>
    </row>
    <row r="10471" spans="2:5">
      <c r="B10471" s="4" t="s">
        <v>12345</v>
      </c>
      <c r="C10471" s="129" t="s">
        <v>12346</v>
      </c>
      <c r="D10471" s="5">
        <v>141121</v>
      </c>
      <c r="E10471" s="5" t="s">
        <v>12710</v>
      </c>
    </row>
    <row r="10472" spans="2:5">
      <c r="B10472" s="4" t="s">
        <v>12345</v>
      </c>
      <c r="C10472" s="129" t="s">
        <v>12346</v>
      </c>
      <c r="D10472" s="5">
        <v>141122</v>
      </c>
      <c r="E10472" s="5" t="s">
        <v>12711</v>
      </c>
    </row>
    <row r="10473" spans="2:5">
      <c r="B10473" s="4" t="s">
        <v>12345</v>
      </c>
      <c r="C10473" s="129" t="s">
        <v>12346</v>
      </c>
      <c r="D10473" s="5">
        <v>141123</v>
      </c>
      <c r="E10473" s="5" t="s">
        <v>12712</v>
      </c>
    </row>
    <row r="10474" spans="2:5">
      <c r="B10474" s="4" t="s">
        <v>12345</v>
      </c>
      <c r="C10474" s="129" t="s">
        <v>12346</v>
      </c>
      <c r="D10474" s="5">
        <v>141124</v>
      </c>
      <c r="E10474" s="5" t="s">
        <v>12713</v>
      </c>
    </row>
    <row r="10475" spans="2:5">
      <c r="B10475" s="4" t="s">
        <v>12345</v>
      </c>
      <c r="C10475" s="129" t="s">
        <v>12346</v>
      </c>
      <c r="D10475" s="5">
        <v>141125</v>
      </c>
      <c r="E10475" s="5" t="s">
        <v>12714</v>
      </c>
    </row>
    <row r="10476" spans="2:5">
      <c r="B10476" s="4" t="s">
        <v>12345</v>
      </c>
      <c r="C10476" s="129" t="s">
        <v>12346</v>
      </c>
      <c r="D10476" s="5">
        <v>141126</v>
      </c>
      <c r="E10476" s="5" t="s">
        <v>12715</v>
      </c>
    </row>
    <row r="10477" spans="2:5">
      <c r="B10477" s="4" t="s">
        <v>12345</v>
      </c>
      <c r="C10477" s="129" t="s">
        <v>12346</v>
      </c>
      <c r="D10477" s="5">
        <v>141127</v>
      </c>
      <c r="E10477" s="5" t="s">
        <v>12716</v>
      </c>
    </row>
    <row r="10478" spans="2:5">
      <c r="B10478" s="4" t="s">
        <v>12345</v>
      </c>
      <c r="C10478" s="129" t="s">
        <v>12346</v>
      </c>
      <c r="D10478" s="5">
        <v>141128</v>
      </c>
      <c r="E10478" s="5" t="s">
        <v>12717</v>
      </c>
    </row>
    <row r="10479" spans="2:5">
      <c r="B10479" s="4" t="s">
        <v>12345</v>
      </c>
      <c r="C10479" s="129" t="s">
        <v>12346</v>
      </c>
      <c r="D10479" s="5">
        <v>141129</v>
      </c>
      <c r="E10479" s="5" t="s">
        <v>12718</v>
      </c>
    </row>
    <row r="10480" spans="2:5">
      <c r="B10480" s="4" t="s">
        <v>12345</v>
      </c>
      <c r="C10480" s="129" t="s">
        <v>12346</v>
      </c>
      <c r="D10480" s="5">
        <v>141130</v>
      </c>
      <c r="E10480" s="5" t="s">
        <v>12719</v>
      </c>
    </row>
    <row r="10481" spans="2:5">
      <c r="B10481" s="4" t="s">
        <v>12345</v>
      </c>
      <c r="C10481" s="129" t="s">
        <v>12346</v>
      </c>
      <c r="D10481" s="5">
        <v>141181</v>
      </c>
      <c r="E10481" s="5" t="s">
        <v>12720</v>
      </c>
    </row>
    <row r="10482" spans="2:5">
      <c r="B10482" s="4" t="s">
        <v>12345</v>
      </c>
      <c r="C10482" s="129" t="s">
        <v>12346</v>
      </c>
      <c r="D10482" s="5">
        <v>141182</v>
      </c>
      <c r="E10482" s="5" t="s">
        <v>12721</v>
      </c>
    </row>
    <row r="10483" spans="2:5">
      <c r="B10483" s="4" t="s">
        <v>12345</v>
      </c>
      <c r="C10483" s="129" t="s">
        <v>12346</v>
      </c>
      <c r="D10483" s="5">
        <v>150000</v>
      </c>
      <c r="E10483" s="5" t="s">
        <v>12722</v>
      </c>
    </row>
    <row r="10484" spans="2:5">
      <c r="B10484" s="4" t="s">
        <v>12345</v>
      </c>
      <c r="C10484" s="129" t="s">
        <v>12346</v>
      </c>
      <c r="D10484" s="5">
        <v>150100</v>
      </c>
      <c r="E10484" s="5" t="s">
        <v>12723</v>
      </c>
    </row>
    <row r="10485" spans="2:5">
      <c r="B10485" s="4" t="s">
        <v>12345</v>
      </c>
      <c r="C10485" s="129" t="s">
        <v>12346</v>
      </c>
      <c r="D10485" s="5">
        <v>150101</v>
      </c>
      <c r="E10485" s="5" t="s">
        <v>12724</v>
      </c>
    </row>
    <row r="10486" spans="2:5">
      <c r="B10486" s="4" t="s">
        <v>12345</v>
      </c>
      <c r="C10486" s="129" t="s">
        <v>12346</v>
      </c>
      <c r="D10486" s="5">
        <v>150102</v>
      </c>
      <c r="E10486" s="5" t="s">
        <v>12725</v>
      </c>
    </row>
    <row r="10487" spans="2:5">
      <c r="B10487" s="4" t="s">
        <v>12345</v>
      </c>
      <c r="C10487" s="129" t="s">
        <v>12346</v>
      </c>
      <c r="D10487" s="5">
        <v>150103</v>
      </c>
      <c r="E10487" s="5" t="s">
        <v>12726</v>
      </c>
    </row>
    <row r="10488" spans="2:5">
      <c r="B10488" s="4" t="s">
        <v>12345</v>
      </c>
      <c r="C10488" s="129" t="s">
        <v>12346</v>
      </c>
      <c r="D10488" s="5">
        <v>150104</v>
      </c>
      <c r="E10488" s="5" t="s">
        <v>12727</v>
      </c>
    </row>
    <row r="10489" spans="2:5">
      <c r="B10489" s="4" t="s">
        <v>12345</v>
      </c>
      <c r="C10489" s="129" t="s">
        <v>12346</v>
      </c>
      <c r="D10489" s="5">
        <v>150105</v>
      </c>
      <c r="E10489" s="5" t="s">
        <v>12728</v>
      </c>
    </row>
    <row r="10490" spans="2:5">
      <c r="B10490" s="4" t="s">
        <v>12345</v>
      </c>
      <c r="C10490" s="129" t="s">
        <v>12346</v>
      </c>
      <c r="D10490" s="5">
        <v>150121</v>
      </c>
      <c r="E10490" s="5" t="s">
        <v>12729</v>
      </c>
    </row>
    <row r="10491" spans="2:5">
      <c r="B10491" s="4" t="s">
        <v>12345</v>
      </c>
      <c r="C10491" s="129" t="s">
        <v>12346</v>
      </c>
      <c r="D10491" s="5">
        <v>150122</v>
      </c>
      <c r="E10491" s="5" t="s">
        <v>12730</v>
      </c>
    </row>
    <row r="10492" spans="2:5">
      <c r="B10492" s="4" t="s">
        <v>12345</v>
      </c>
      <c r="C10492" s="129" t="s">
        <v>12346</v>
      </c>
      <c r="D10492" s="5">
        <v>150123</v>
      </c>
      <c r="E10492" s="5" t="s">
        <v>12731</v>
      </c>
    </row>
    <row r="10493" spans="2:5">
      <c r="B10493" s="4" t="s">
        <v>12345</v>
      </c>
      <c r="C10493" s="129" t="s">
        <v>12346</v>
      </c>
      <c r="D10493" s="5">
        <v>150124</v>
      </c>
      <c r="E10493" s="5" t="s">
        <v>12732</v>
      </c>
    </row>
    <row r="10494" spans="2:5">
      <c r="B10494" s="4" t="s">
        <v>12345</v>
      </c>
      <c r="C10494" s="129" t="s">
        <v>12346</v>
      </c>
      <c r="D10494" s="5">
        <v>150125</v>
      </c>
      <c r="E10494" s="5" t="s">
        <v>12733</v>
      </c>
    </row>
    <row r="10495" spans="2:5">
      <c r="B10495" s="4" t="s">
        <v>12345</v>
      </c>
      <c r="C10495" s="129" t="s">
        <v>12346</v>
      </c>
      <c r="D10495" s="5">
        <v>150200</v>
      </c>
      <c r="E10495" s="5" t="s">
        <v>12734</v>
      </c>
    </row>
    <row r="10496" spans="2:5">
      <c r="B10496" s="4" t="s">
        <v>12345</v>
      </c>
      <c r="C10496" s="129" t="s">
        <v>12346</v>
      </c>
      <c r="D10496" s="5">
        <v>150201</v>
      </c>
      <c r="E10496" s="5" t="s">
        <v>12735</v>
      </c>
    </row>
    <row r="10497" spans="2:5">
      <c r="B10497" s="4" t="s">
        <v>12345</v>
      </c>
      <c r="C10497" s="129" t="s">
        <v>12346</v>
      </c>
      <c r="D10497" s="5">
        <v>150202</v>
      </c>
      <c r="E10497" s="5" t="s">
        <v>12736</v>
      </c>
    </row>
    <row r="10498" spans="2:5">
      <c r="B10498" s="4" t="s">
        <v>12345</v>
      </c>
      <c r="C10498" s="129" t="s">
        <v>12346</v>
      </c>
      <c r="D10498" s="5">
        <v>150203</v>
      </c>
      <c r="E10498" s="5" t="s">
        <v>12737</v>
      </c>
    </row>
    <row r="10499" spans="2:5">
      <c r="B10499" s="4" t="s">
        <v>12345</v>
      </c>
      <c r="C10499" s="129" t="s">
        <v>12346</v>
      </c>
      <c r="D10499" s="5">
        <v>150204</v>
      </c>
      <c r="E10499" s="5" t="s">
        <v>12738</v>
      </c>
    </row>
    <row r="10500" spans="2:5">
      <c r="B10500" s="4" t="s">
        <v>12345</v>
      </c>
      <c r="C10500" s="129" t="s">
        <v>12346</v>
      </c>
      <c r="D10500" s="5">
        <v>150205</v>
      </c>
      <c r="E10500" s="5" t="s">
        <v>12739</v>
      </c>
    </row>
    <row r="10501" spans="2:5">
      <c r="B10501" s="4" t="s">
        <v>12345</v>
      </c>
      <c r="C10501" s="129" t="s">
        <v>12346</v>
      </c>
      <c r="D10501" s="5">
        <v>150206</v>
      </c>
      <c r="E10501" s="5" t="s">
        <v>12740</v>
      </c>
    </row>
    <row r="10502" spans="2:5">
      <c r="B10502" s="4" t="s">
        <v>12345</v>
      </c>
      <c r="C10502" s="129" t="s">
        <v>12346</v>
      </c>
      <c r="D10502" s="5">
        <v>150207</v>
      </c>
      <c r="E10502" s="5" t="s">
        <v>12741</v>
      </c>
    </row>
    <row r="10503" spans="2:5">
      <c r="B10503" s="4" t="s">
        <v>12345</v>
      </c>
      <c r="C10503" s="129" t="s">
        <v>12346</v>
      </c>
      <c r="D10503" s="5">
        <v>150221</v>
      </c>
      <c r="E10503" s="5" t="s">
        <v>12742</v>
      </c>
    </row>
    <row r="10504" spans="2:5">
      <c r="B10504" s="4" t="s">
        <v>12345</v>
      </c>
      <c r="C10504" s="129" t="s">
        <v>12346</v>
      </c>
      <c r="D10504" s="5">
        <v>150222</v>
      </c>
      <c r="E10504" s="5" t="s">
        <v>12743</v>
      </c>
    </row>
    <row r="10505" spans="2:5">
      <c r="B10505" s="4" t="s">
        <v>12345</v>
      </c>
      <c r="C10505" s="129" t="s">
        <v>12346</v>
      </c>
      <c r="D10505" s="5">
        <v>150223</v>
      </c>
      <c r="E10505" s="5" t="s">
        <v>12744</v>
      </c>
    </row>
    <row r="10506" spans="2:5">
      <c r="B10506" s="4" t="s">
        <v>12345</v>
      </c>
      <c r="C10506" s="129" t="s">
        <v>12346</v>
      </c>
      <c r="D10506" s="5">
        <v>150300</v>
      </c>
      <c r="E10506" s="5" t="s">
        <v>12745</v>
      </c>
    </row>
    <row r="10507" spans="2:5">
      <c r="B10507" s="4" t="s">
        <v>12345</v>
      </c>
      <c r="C10507" s="129" t="s">
        <v>12346</v>
      </c>
      <c r="D10507" s="5">
        <v>150301</v>
      </c>
      <c r="E10507" s="5" t="s">
        <v>12746</v>
      </c>
    </row>
    <row r="10508" spans="2:5">
      <c r="B10508" s="4" t="s">
        <v>12345</v>
      </c>
      <c r="C10508" s="129" t="s">
        <v>12346</v>
      </c>
      <c r="D10508" s="5">
        <v>150302</v>
      </c>
      <c r="E10508" s="5" t="s">
        <v>12747</v>
      </c>
    </row>
    <row r="10509" spans="2:5">
      <c r="B10509" s="4" t="s">
        <v>12345</v>
      </c>
      <c r="C10509" s="129" t="s">
        <v>12346</v>
      </c>
      <c r="D10509" s="5">
        <v>150303</v>
      </c>
      <c r="E10509" s="5" t="s">
        <v>12748</v>
      </c>
    </row>
    <row r="10510" spans="2:5">
      <c r="B10510" s="4" t="s">
        <v>12345</v>
      </c>
      <c r="C10510" s="129" t="s">
        <v>12346</v>
      </c>
      <c r="D10510" s="5">
        <v>150304</v>
      </c>
      <c r="E10510" s="5" t="s">
        <v>12749</v>
      </c>
    </row>
    <row r="10511" spans="2:5">
      <c r="B10511" s="4" t="s">
        <v>12345</v>
      </c>
      <c r="C10511" s="129" t="s">
        <v>12346</v>
      </c>
      <c r="D10511" s="5">
        <v>150400</v>
      </c>
      <c r="E10511" s="5" t="s">
        <v>12750</v>
      </c>
    </row>
    <row r="10512" spans="2:5">
      <c r="B10512" s="4" t="s">
        <v>12345</v>
      </c>
      <c r="C10512" s="129" t="s">
        <v>12346</v>
      </c>
      <c r="D10512" s="5">
        <v>150401</v>
      </c>
      <c r="E10512" s="5" t="s">
        <v>12751</v>
      </c>
    </row>
    <row r="10513" spans="2:5">
      <c r="B10513" s="4" t="s">
        <v>12345</v>
      </c>
      <c r="C10513" s="129" t="s">
        <v>12346</v>
      </c>
      <c r="D10513" s="5">
        <v>150402</v>
      </c>
      <c r="E10513" s="5" t="s">
        <v>12752</v>
      </c>
    </row>
    <row r="10514" spans="2:5">
      <c r="B10514" s="4" t="s">
        <v>12345</v>
      </c>
      <c r="C10514" s="129" t="s">
        <v>12346</v>
      </c>
      <c r="D10514" s="5">
        <v>150403</v>
      </c>
      <c r="E10514" s="5" t="s">
        <v>12753</v>
      </c>
    </row>
    <row r="10515" spans="2:5">
      <c r="B10515" s="4" t="s">
        <v>12345</v>
      </c>
      <c r="C10515" s="129" t="s">
        <v>12346</v>
      </c>
      <c r="D10515" s="5">
        <v>150404</v>
      </c>
      <c r="E10515" s="5" t="s">
        <v>12754</v>
      </c>
    </row>
    <row r="10516" spans="2:5">
      <c r="B10516" s="4" t="s">
        <v>12345</v>
      </c>
      <c r="C10516" s="129" t="s">
        <v>12346</v>
      </c>
      <c r="D10516" s="5">
        <v>150421</v>
      </c>
      <c r="E10516" s="5" t="s">
        <v>12755</v>
      </c>
    </row>
    <row r="10517" spans="2:5">
      <c r="B10517" s="4" t="s">
        <v>12345</v>
      </c>
      <c r="C10517" s="129" t="s">
        <v>12346</v>
      </c>
      <c r="D10517" s="5">
        <v>150422</v>
      </c>
      <c r="E10517" s="5" t="s">
        <v>12756</v>
      </c>
    </row>
    <row r="10518" spans="2:5">
      <c r="B10518" s="4" t="s">
        <v>12345</v>
      </c>
      <c r="C10518" s="129" t="s">
        <v>12346</v>
      </c>
      <c r="D10518" s="5">
        <v>150423</v>
      </c>
      <c r="E10518" s="5" t="s">
        <v>12757</v>
      </c>
    </row>
    <row r="10519" spans="2:5">
      <c r="B10519" s="4" t="s">
        <v>12345</v>
      </c>
      <c r="C10519" s="129" t="s">
        <v>12346</v>
      </c>
      <c r="D10519" s="5">
        <v>150424</v>
      </c>
      <c r="E10519" s="5" t="s">
        <v>12758</v>
      </c>
    </row>
    <row r="10520" spans="2:5">
      <c r="B10520" s="4" t="s">
        <v>12345</v>
      </c>
      <c r="C10520" s="129" t="s">
        <v>12346</v>
      </c>
      <c r="D10520" s="5">
        <v>150425</v>
      </c>
      <c r="E10520" s="5" t="s">
        <v>12759</v>
      </c>
    </row>
    <row r="10521" spans="2:5">
      <c r="B10521" s="4" t="s">
        <v>12345</v>
      </c>
      <c r="C10521" s="129" t="s">
        <v>12346</v>
      </c>
      <c r="D10521" s="5">
        <v>150426</v>
      </c>
      <c r="E10521" s="5" t="s">
        <v>12760</v>
      </c>
    </row>
    <row r="10522" spans="2:5">
      <c r="B10522" s="4" t="s">
        <v>12345</v>
      </c>
      <c r="C10522" s="129" t="s">
        <v>12346</v>
      </c>
      <c r="D10522" s="5">
        <v>150428</v>
      </c>
      <c r="E10522" s="5" t="s">
        <v>12761</v>
      </c>
    </row>
    <row r="10523" spans="2:5">
      <c r="B10523" s="4" t="s">
        <v>12345</v>
      </c>
      <c r="C10523" s="129" t="s">
        <v>12346</v>
      </c>
      <c r="D10523" s="5">
        <v>150429</v>
      </c>
      <c r="E10523" s="5" t="s">
        <v>12762</v>
      </c>
    </row>
    <row r="10524" spans="2:5">
      <c r="B10524" s="4" t="s">
        <v>12345</v>
      </c>
      <c r="C10524" s="129" t="s">
        <v>12346</v>
      </c>
      <c r="D10524" s="5">
        <v>150430</v>
      </c>
      <c r="E10524" s="5" t="s">
        <v>12763</v>
      </c>
    </row>
    <row r="10525" spans="2:5">
      <c r="B10525" s="4" t="s">
        <v>12345</v>
      </c>
      <c r="C10525" s="129" t="s">
        <v>12346</v>
      </c>
      <c r="D10525" s="5">
        <v>150500</v>
      </c>
      <c r="E10525" s="5" t="s">
        <v>12764</v>
      </c>
    </row>
    <row r="10526" spans="2:5">
      <c r="B10526" s="4" t="s">
        <v>12345</v>
      </c>
      <c r="C10526" s="129" t="s">
        <v>12346</v>
      </c>
      <c r="D10526" s="5">
        <v>150501</v>
      </c>
      <c r="E10526" s="5" t="s">
        <v>12765</v>
      </c>
    </row>
    <row r="10527" spans="2:5">
      <c r="B10527" s="4" t="s">
        <v>12345</v>
      </c>
      <c r="C10527" s="129" t="s">
        <v>12346</v>
      </c>
      <c r="D10527" s="5">
        <v>150502</v>
      </c>
      <c r="E10527" s="5" t="s">
        <v>12766</v>
      </c>
    </row>
    <row r="10528" spans="2:5">
      <c r="B10528" s="4" t="s">
        <v>12345</v>
      </c>
      <c r="C10528" s="129" t="s">
        <v>12346</v>
      </c>
      <c r="D10528" s="5">
        <v>150521</v>
      </c>
      <c r="E10528" s="5" t="s">
        <v>12767</v>
      </c>
    </row>
    <row r="10529" spans="2:5">
      <c r="B10529" s="4" t="s">
        <v>12345</v>
      </c>
      <c r="C10529" s="129" t="s">
        <v>12346</v>
      </c>
      <c r="D10529" s="5">
        <v>150522</v>
      </c>
      <c r="E10529" s="5" t="s">
        <v>12768</v>
      </c>
    </row>
    <row r="10530" spans="2:5">
      <c r="B10530" s="4" t="s">
        <v>12345</v>
      </c>
      <c r="C10530" s="129" t="s">
        <v>12346</v>
      </c>
      <c r="D10530" s="5">
        <v>150523</v>
      </c>
      <c r="E10530" s="5" t="s">
        <v>12769</v>
      </c>
    </row>
    <row r="10531" spans="2:5">
      <c r="B10531" s="4" t="s">
        <v>12345</v>
      </c>
      <c r="C10531" s="129" t="s">
        <v>12346</v>
      </c>
      <c r="D10531" s="5">
        <v>150524</v>
      </c>
      <c r="E10531" s="5" t="s">
        <v>12770</v>
      </c>
    </row>
    <row r="10532" spans="2:5">
      <c r="B10532" s="4" t="s">
        <v>12345</v>
      </c>
      <c r="C10532" s="129" t="s">
        <v>12346</v>
      </c>
      <c r="D10532" s="5">
        <v>150525</v>
      </c>
      <c r="E10532" s="5" t="s">
        <v>12771</v>
      </c>
    </row>
    <row r="10533" spans="2:5">
      <c r="B10533" s="4" t="s">
        <v>12345</v>
      </c>
      <c r="C10533" s="129" t="s">
        <v>12346</v>
      </c>
      <c r="D10533" s="5">
        <v>150526</v>
      </c>
      <c r="E10533" s="5" t="s">
        <v>12772</v>
      </c>
    </row>
    <row r="10534" spans="2:5">
      <c r="B10534" s="4" t="s">
        <v>12345</v>
      </c>
      <c r="C10534" s="129" t="s">
        <v>12346</v>
      </c>
      <c r="D10534" s="5">
        <v>150581</v>
      </c>
      <c r="E10534" s="5" t="s">
        <v>12773</v>
      </c>
    </row>
    <row r="10535" spans="2:5">
      <c r="B10535" s="4" t="s">
        <v>12345</v>
      </c>
      <c r="C10535" s="129" t="s">
        <v>12346</v>
      </c>
      <c r="D10535" s="5">
        <v>150600</v>
      </c>
      <c r="E10535" s="5" t="s">
        <v>12774</v>
      </c>
    </row>
    <row r="10536" spans="2:5">
      <c r="B10536" s="4" t="s">
        <v>12345</v>
      </c>
      <c r="C10536" s="129" t="s">
        <v>12346</v>
      </c>
      <c r="D10536" s="5">
        <v>150601</v>
      </c>
      <c r="E10536" s="5" t="s">
        <v>12775</v>
      </c>
    </row>
    <row r="10537" spans="2:5">
      <c r="B10537" s="4" t="s">
        <v>12345</v>
      </c>
      <c r="C10537" s="129" t="s">
        <v>12346</v>
      </c>
      <c r="D10537" s="5">
        <v>150602</v>
      </c>
      <c r="E10537" s="5" t="s">
        <v>12776</v>
      </c>
    </row>
    <row r="10538" spans="2:5">
      <c r="B10538" s="4" t="s">
        <v>12345</v>
      </c>
      <c r="C10538" s="129" t="s">
        <v>12346</v>
      </c>
      <c r="D10538" s="5">
        <v>150621</v>
      </c>
      <c r="E10538" s="5" t="s">
        <v>12777</v>
      </c>
    </row>
    <row r="10539" spans="2:5">
      <c r="B10539" s="4" t="s">
        <v>12345</v>
      </c>
      <c r="C10539" s="129" t="s">
        <v>12346</v>
      </c>
      <c r="D10539" s="5">
        <v>150622</v>
      </c>
      <c r="E10539" s="5" t="s">
        <v>12778</v>
      </c>
    </row>
    <row r="10540" spans="2:5">
      <c r="B10540" s="4" t="s">
        <v>12345</v>
      </c>
      <c r="C10540" s="129" t="s">
        <v>12346</v>
      </c>
      <c r="D10540" s="5">
        <v>150623</v>
      </c>
      <c r="E10540" s="5" t="s">
        <v>12779</v>
      </c>
    </row>
    <row r="10541" spans="2:5">
      <c r="B10541" s="4" t="s">
        <v>12345</v>
      </c>
      <c r="C10541" s="129" t="s">
        <v>12346</v>
      </c>
      <c r="D10541" s="5">
        <v>150624</v>
      </c>
      <c r="E10541" s="5" t="s">
        <v>12780</v>
      </c>
    </row>
    <row r="10542" spans="2:5">
      <c r="B10542" s="4" t="s">
        <v>12345</v>
      </c>
      <c r="C10542" s="129" t="s">
        <v>12346</v>
      </c>
      <c r="D10542" s="5">
        <v>150625</v>
      </c>
      <c r="E10542" s="5" t="s">
        <v>12781</v>
      </c>
    </row>
    <row r="10543" spans="2:5">
      <c r="B10543" s="4" t="s">
        <v>12345</v>
      </c>
      <c r="C10543" s="129" t="s">
        <v>12346</v>
      </c>
      <c r="D10543" s="5">
        <v>150626</v>
      </c>
      <c r="E10543" s="5" t="s">
        <v>12782</v>
      </c>
    </row>
    <row r="10544" spans="2:5">
      <c r="B10544" s="4" t="s">
        <v>12345</v>
      </c>
      <c r="C10544" s="129" t="s">
        <v>12346</v>
      </c>
      <c r="D10544" s="5">
        <v>150627</v>
      </c>
      <c r="E10544" s="5" t="s">
        <v>12783</v>
      </c>
    </row>
    <row r="10545" spans="2:5">
      <c r="B10545" s="4" t="s">
        <v>12345</v>
      </c>
      <c r="C10545" s="129" t="s">
        <v>12346</v>
      </c>
      <c r="D10545" s="5">
        <v>150700</v>
      </c>
      <c r="E10545" s="5" t="s">
        <v>12784</v>
      </c>
    </row>
    <row r="10546" spans="2:5">
      <c r="B10546" s="4" t="s">
        <v>12345</v>
      </c>
      <c r="C10546" s="129" t="s">
        <v>12346</v>
      </c>
      <c r="D10546" s="5">
        <v>150701</v>
      </c>
      <c r="E10546" s="5" t="s">
        <v>12785</v>
      </c>
    </row>
    <row r="10547" spans="2:5">
      <c r="B10547" s="4" t="s">
        <v>12345</v>
      </c>
      <c r="C10547" s="129" t="s">
        <v>12346</v>
      </c>
      <c r="D10547" s="5">
        <v>150702</v>
      </c>
      <c r="E10547" s="5" t="s">
        <v>12786</v>
      </c>
    </row>
    <row r="10548" spans="2:5">
      <c r="B10548" s="4" t="s">
        <v>12345</v>
      </c>
      <c r="C10548" s="129" t="s">
        <v>12346</v>
      </c>
      <c r="D10548" s="5">
        <v>150703</v>
      </c>
      <c r="E10548" s="5" t="s">
        <v>12787</v>
      </c>
    </row>
    <row r="10549" spans="2:5">
      <c r="B10549" s="4" t="s">
        <v>12345</v>
      </c>
      <c r="C10549" s="129" t="s">
        <v>12346</v>
      </c>
      <c r="D10549" s="5">
        <v>150721</v>
      </c>
      <c r="E10549" s="5" t="s">
        <v>12788</v>
      </c>
    </row>
    <row r="10550" spans="2:5">
      <c r="B10550" s="4" t="s">
        <v>12345</v>
      </c>
      <c r="C10550" s="129" t="s">
        <v>12346</v>
      </c>
      <c r="D10550" s="5">
        <v>150722</v>
      </c>
      <c r="E10550" s="5" t="s">
        <v>12789</v>
      </c>
    </row>
    <row r="10551" spans="2:5">
      <c r="B10551" s="4" t="s">
        <v>12345</v>
      </c>
      <c r="C10551" s="129" t="s">
        <v>12346</v>
      </c>
      <c r="D10551" s="5">
        <v>150723</v>
      </c>
      <c r="E10551" s="5" t="s">
        <v>12790</v>
      </c>
    </row>
    <row r="10552" spans="2:5">
      <c r="B10552" s="4" t="s">
        <v>12345</v>
      </c>
      <c r="C10552" s="129" t="s">
        <v>12346</v>
      </c>
      <c r="D10552" s="5">
        <v>150724</v>
      </c>
      <c r="E10552" s="5" t="s">
        <v>12791</v>
      </c>
    </row>
    <row r="10553" spans="2:5">
      <c r="B10553" s="4" t="s">
        <v>12345</v>
      </c>
      <c r="C10553" s="129" t="s">
        <v>12346</v>
      </c>
      <c r="D10553" s="5">
        <v>150725</v>
      </c>
      <c r="E10553" s="5" t="s">
        <v>12792</v>
      </c>
    </row>
    <row r="10554" spans="2:5">
      <c r="B10554" s="4" t="s">
        <v>12345</v>
      </c>
      <c r="C10554" s="129" t="s">
        <v>12346</v>
      </c>
      <c r="D10554" s="5">
        <v>150726</v>
      </c>
      <c r="E10554" s="5" t="s">
        <v>12793</v>
      </c>
    </row>
    <row r="10555" spans="2:5">
      <c r="B10555" s="4" t="s">
        <v>12345</v>
      </c>
      <c r="C10555" s="129" t="s">
        <v>12346</v>
      </c>
      <c r="D10555" s="5">
        <v>150727</v>
      </c>
      <c r="E10555" s="5" t="s">
        <v>12794</v>
      </c>
    </row>
    <row r="10556" spans="2:5">
      <c r="B10556" s="4" t="s">
        <v>12345</v>
      </c>
      <c r="C10556" s="129" t="s">
        <v>12346</v>
      </c>
      <c r="D10556" s="5">
        <v>150781</v>
      </c>
      <c r="E10556" s="5" t="s">
        <v>12795</v>
      </c>
    </row>
    <row r="10557" spans="2:5">
      <c r="B10557" s="4" t="s">
        <v>12345</v>
      </c>
      <c r="C10557" s="129" t="s">
        <v>12346</v>
      </c>
      <c r="D10557" s="5">
        <v>150782</v>
      </c>
      <c r="E10557" s="5" t="s">
        <v>12796</v>
      </c>
    </row>
    <row r="10558" spans="2:5">
      <c r="B10558" s="4" t="s">
        <v>12345</v>
      </c>
      <c r="C10558" s="129" t="s">
        <v>12346</v>
      </c>
      <c r="D10558" s="5">
        <v>150783</v>
      </c>
      <c r="E10558" s="5" t="s">
        <v>12797</v>
      </c>
    </row>
    <row r="10559" spans="2:5">
      <c r="B10559" s="4" t="s">
        <v>12345</v>
      </c>
      <c r="C10559" s="129" t="s">
        <v>12346</v>
      </c>
      <c r="D10559" s="5">
        <v>150784</v>
      </c>
      <c r="E10559" s="5" t="s">
        <v>12798</v>
      </c>
    </row>
    <row r="10560" spans="2:5">
      <c r="B10560" s="4" t="s">
        <v>12345</v>
      </c>
      <c r="C10560" s="129" t="s">
        <v>12346</v>
      </c>
      <c r="D10560" s="5">
        <v>150785</v>
      </c>
      <c r="E10560" s="5" t="s">
        <v>12799</v>
      </c>
    </row>
    <row r="10561" spans="2:5">
      <c r="B10561" s="4" t="s">
        <v>12345</v>
      </c>
      <c r="C10561" s="129" t="s">
        <v>12346</v>
      </c>
      <c r="D10561" s="5">
        <v>150800</v>
      </c>
      <c r="E10561" s="5" t="s">
        <v>12800</v>
      </c>
    </row>
    <row r="10562" spans="2:5">
      <c r="B10562" s="4" t="s">
        <v>12345</v>
      </c>
      <c r="C10562" s="129" t="s">
        <v>12346</v>
      </c>
      <c r="D10562" s="5">
        <v>150801</v>
      </c>
      <c r="E10562" s="5" t="s">
        <v>12801</v>
      </c>
    </row>
    <row r="10563" spans="2:5">
      <c r="B10563" s="4" t="s">
        <v>12345</v>
      </c>
      <c r="C10563" s="129" t="s">
        <v>12346</v>
      </c>
      <c r="D10563" s="5">
        <v>150802</v>
      </c>
      <c r="E10563" s="5" t="s">
        <v>12802</v>
      </c>
    </row>
    <row r="10564" spans="2:5">
      <c r="B10564" s="4" t="s">
        <v>12345</v>
      </c>
      <c r="C10564" s="129" t="s">
        <v>12346</v>
      </c>
      <c r="D10564" s="5">
        <v>150821</v>
      </c>
      <c r="E10564" s="5" t="s">
        <v>12803</v>
      </c>
    </row>
    <row r="10565" spans="2:5">
      <c r="B10565" s="4" t="s">
        <v>12345</v>
      </c>
      <c r="C10565" s="129" t="s">
        <v>12346</v>
      </c>
      <c r="D10565" s="5">
        <v>150822</v>
      </c>
      <c r="E10565" s="5" t="s">
        <v>12804</v>
      </c>
    </row>
    <row r="10566" spans="2:5">
      <c r="B10566" s="4" t="s">
        <v>12345</v>
      </c>
      <c r="C10566" s="129" t="s">
        <v>12346</v>
      </c>
      <c r="D10566" s="5">
        <v>150823</v>
      </c>
      <c r="E10566" s="5" t="s">
        <v>12805</v>
      </c>
    </row>
    <row r="10567" spans="2:5">
      <c r="B10567" s="4" t="s">
        <v>12345</v>
      </c>
      <c r="C10567" s="129" t="s">
        <v>12346</v>
      </c>
      <c r="D10567" s="5">
        <v>150824</v>
      </c>
      <c r="E10567" s="5" t="s">
        <v>12806</v>
      </c>
    </row>
    <row r="10568" spans="2:5">
      <c r="B10568" s="4" t="s">
        <v>12345</v>
      </c>
      <c r="C10568" s="129" t="s">
        <v>12346</v>
      </c>
      <c r="D10568" s="5">
        <v>150825</v>
      </c>
      <c r="E10568" s="5" t="s">
        <v>12807</v>
      </c>
    </row>
    <row r="10569" spans="2:5">
      <c r="B10569" s="4" t="s">
        <v>12345</v>
      </c>
      <c r="C10569" s="129" t="s">
        <v>12346</v>
      </c>
      <c r="D10569" s="5">
        <v>150826</v>
      </c>
      <c r="E10569" s="5" t="s">
        <v>12808</v>
      </c>
    </row>
    <row r="10570" spans="2:5">
      <c r="B10570" s="4" t="s">
        <v>12345</v>
      </c>
      <c r="C10570" s="129" t="s">
        <v>12346</v>
      </c>
      <c r="D10570" s="5">
        <v>150900</v>
      </c>
      <c r="E10570" s="5" t="s">
        <v>12809</v>
      </c>
    </row>
    <row r="10571" spans="2:5">
      <c r="B10571" s="4" t="s">
        <v>12345</v>
      </c>
      <c r="C10571" s="129" t="s">
        <v>12346</v>
      </c>
      <c r="D10571" s="5">
        <v>150901</v>
      </c>
      <c r="E10571" s="5" t="s">
        <v>12810</v>
      </c>
    </row>
    <row r="10572" spans="2:5">
      <c r="B10572" s="4" t="s">
        <v>12345</v>
      </c>
      <c r="C10572" s="129" t="s">
        <v>12346</v>
      </c>
      <c r="D10572" s="5">
        <v>150902</v>
      </c>
      <c r="E10572" s="5" t="s">
        <v>12811</v>
      </c>
    </row>
    <row r="10573" spans="2:5">
      <c r="B10573" s="4" t="s">
        <v>12345</v>
      </c>
      <c r="C10573" s="129" t="s">
        <v>12346</v>
      </c>
      <c r="D10573" s="5">
        <v>150921</v>
      </c>
      <c r="E10573" s="5" t="s">
        <v>12812</v>
      </c>
    </row>
    <row r="10574" spans="2:5">
      <c r="B10574" s="4" t="s">
        <v>12345</v>
      </c>
      <c r="C10574" s="129" t="s">
        <v>12346</v>
      </c>
      <c r="D10574" s="5">
        <v>150922</v>
      </c>
      <c r="E10574" s="5" t="s">
        <v>12813</v>
      </c>
    </row>
    <row r="10575" spans="2:5">
      <c r="B10575" s="4" t="s">
        <v>12345</v>
      </c>
      <c r="C10575" s="129" t="s">
        <v>12346</v>
      </c>
      <c r="D10575" s="5">
        <v>150923</v>
      </c>
      <c r="E10575" s="5" t="s">
        <v>12814</v>
      </c>
    </row>
    <row r="10576" spans="2:5">
      <c r="B10576" s="4" t="s">
        <v>12345</v>
      </c>
      <c r="C10576" s="129" t="s">
        <v>12346</v>
      </c>
      <c r="D10576" s="5">
        <v>150924</v>
      </c>
      <c r="E10576" s="5" t="s">
        <v>12815</v>
      </c>
    </row>
    <row r="10577" spans="2:5">
      <c r="B10577" s="4" t="s">
        <v>12345</v>
      </c>
      <c r="C10577" s="129" t="s">
        <v>12346</v>
      </c>
      <c r="D10577" s="5">
        <v>150925</v>
      </c>
      <c r="E10577" s="5" t="s">
        <v>12816</v>
      </c>
    </row>
    <row r="10578" spans="2:5">
      <c r="B10578" s="4" t="s">
        <v>12345</v>
      </c>
      <c r="C10578" s="129" t="s">
        <v>12346</v>
      </c>
      <c r="D10578" s="5">
        <v>150926</v>
      </c>
      <c r="E10578" s="5" t="s">
        <v>12817</v>
      </c>
    </row>
    <row r="10579" spans="2:5">
      <c r="B10579" s="4" t="s">
        <v>12345</v>
      </c>
      <c r="C10579" s="129" t="s">
        <v>12346</v>
      </c>
      <c r="D10579" s="5">
        <v>150927</v>
      </c>
      <c r="E10579" s="5" t="s">
        <v>12818</v>
      </c>
    </row>
    <row r="10580" spans="2:5">
      <c r="B10580" s="4" t="s">
        <v>12345</v>
      </c>
      <c r="C10580" s="129" t="s">
        <v>12346</v>
      </c>
      <c r="D10580" s="5">
        <v>150928</v>
      </c>
      <c r="E10580" s="5" t="s">
        <v>12819</v>
      </c>
    </row>
    <row r="10581" spans="2:5">
      <c r="B10581" s="4" t="s">
        <v>12345</v>
      </c>
      <c r="C10581" s="129" t="s">
        <v>12346</v>
      </c>
      <c r="D10581" s="5">
        <v>150929</v>
      </c>
      <c r="E10581" s="5" t="s">
        <v>12820</v>
      </c>
    </row>
    <row r="10582" spans="2:5">
      <c r="B10582" s="4" t="s">
        <v>12345</v>
      </c>
      <c r="C10582" s="129" t="s">
        <v>12346</v>
      </c>
      <c r="D10582" s="5">
        <v>150981</v>
      </c>
      <c r="E10582" s="5" t="s">
        <v>12821</v>
      </c>
    </row>
    <row r="10583" spans="2:5">
      <c r="B10583" s="4" t="s">
        <v>12345</v>
      </c>
      <c r="C10583" s="129" t="s">
        <v>12346</v>
      </c>
      <c r="D10583" s="5">
        <v>152200</v>
      </c>
      <c r="E10583" s="5" t="s">
        <v>12822</v>
      </c>
    </row>
    <row r="10584" spans="2:5">
      <c r="B10584" s="4" t="s">
        <v>12345</v>
      </c>
      <c r="C10584" s="129" t="s">
        <v>12346</v>
      </c>
      <c r="D10584" s="5">
        <v>152201</v>
      </c>
      <c r="E10584" s="5" t="s">
        <v>12823</v>
      </c>
    </row>
    <row r="10585" spans="2:5">
      <c r="B10585" s="4" t="s">
        <v>12345</v>
      </c>
      <c r="C10585" s="129" t="s">
        <v>12346</v>
      </c>
      <c r="D10585" s="5">
        <v>152202</v>
      </c>
      <c r="E10585" s="5" t="s">
        <v>12824</v>
      </c>
    </row>
    <row r="10586" spans="2:5">
      <c r="B10586" s="4" t="s">
        <v>12345</v>
      </c>
      <c r="C10586" s="129" t="s">
        <v>12346</v>
      </c>
      <c r="D10586" s="5">
        <v>152221</v>
      </c>
      <c r="E10586" s="5" t="s">
        <v>12825</v>
      </c>
    </row>
    <row r="10587" spans="2:5">
      <c r="B10587" s="4" t="s">
        <v>12345</v>
      </c>
      <c r="C10587" s="129" t="s">
        <v>12346</v>
      </c>
      <c r="D10587" s="5">
        <v>152222</v>
      </c>
      <c r="E10587" s="5" t="s">
        <v>12826</v>
      </c>
    </row>
    <row r="10588" spans="2:5">
      <c r="B10588" s="4" t="s">
        <v>12345</v>
      </c>
      <c r="C10588" s="129" t="s">
        <v>12346</v>
      </c>
      <c r="D10588" s="5">
        <v>152223</v>
      </c>
      <c r="E10588" s="5" t="s">
        <v>12827</v>
      </c>
    </row>
    <row r="10589" spans="2:5">
      <c r="B10589" s="4" t="s">
        <v>12345</v>
      </c>
      <c r="C10589" s="129" t="s">
        <v>12346</v>
      </c>
      <c r="D10589" s="5">
        <v>152224</v>
      </c>
      <c r="E10589" s="5" t="s">
        <v>12828</v>
      </c>
    </row>
    <row r="10590" spans="2:5">
      <c r="B10590" s="4" t="s">
        <v>12345</v>
      </c>
      <c r="C10590" s="129" t="s">
        <v>12346</v>
      </c>
      <c r="D10590" s="5">
        <v>152500</v>
      </c>
      <c r="E10590" s="5" t="s">
        <v>12829</v>
      </c>
    </row>
    <row r="10591" spans="2:5">
      <c r="B10591" s="4" t="s">
        <v>12345</v>
      </c>
      <c r="C10591" s="129" t="s">
        <v>12346</v>
      </c>
      <c r="D10591" s="5">
        <v>152501</v>
      </c>
      <c r="E10591" s="5" t="s">
        <v>12830</v>
      </c>
    </row>
    <row r="10592" spans="2:5">
      <c r="B10592" s="4" t="s">
        <v>12345</v>
      </c>
      <c r="C10592" s="129" t="s">
        <v>12346</v>
      </c>
      <c r="D10592" s="5">
        <v>152502</v>
      </c>
      <c r="E10592" s="5" t="s">
        <v>12831</v>
      </c>
    </row>
    <row r="10593" spans="2:5">
      <c r="B10593" s="4" t="s">
        <v>12345</v>
      </c>
      <c r="C10593" s="129" t="s">
        <v>12346</v>
      </c>
      <c r="D10593" s="5">
        <v>152522</v>
      </c>
      <c r="E10593" s="5" t="s">
        <v>12832</v>
      </c>
    </row>
    <row r="10594" spans="2:5">
      <c r="B10594" s="4" t="s">
        <v>12345</v>
      </c>
      <c r="C10594" s="129" t="s">
        <v>12346</v>
      </c>
      <c r="D10594" s="5">
        <v>152523</v>
      </c>
      <c r="E10594" s="5" t="s">
        <v>12833</v>
      </c>
    </row>
    <row r="10595" spans="2:5">
      <c r="B10595" s="4" t="s">
        <v>12345</v>
      </c>
      <c r="C10595" s="129" t="s">
        <v>12346</v>
      </c>
      <c r="D10595" s="5">
        <v>152524</v>
      </c>
      <c r="E10595" s="5" t="s">
        <v>12834</v>
      </c>
    </row>
    <row r="10596" spans="2:5">
      <c r="B10596" s="4" t="s">
        <v>12345</v>
      </c>
      <c r="C10596" s="129" t="s">
        <v>12346</v>
      </c>
      <c r="D10596" s="5">
        <v>152525</v>
      </c>
      <c r="E10596" s="5" t="s">
        <v>12835</v>
      </c>
    </row>
    <row r="10597" spans="2:5">
      <c r="B10597" s="4" t="s">
        <v>12345</v>
      </c>
      <c r="C10597" s="129" t="s">
        <v>12346</v>
      </c>
      <c r="D10597" s="5">
        <v>152526</v>
      </c>
      <c r="E10597" s="5" t="s">
        <v>12836</v>
      </c>
    </row>
    <row r="10598" spans="2:5">
      <c r="B10598" s="4" t="s">
        <v>12345</v>
      </c>
      <c r="C10598" s="129" t="s">
        <v>12346</v>
      </c>
      <c r="D10598" s="5">
        <v>152527</v>
      </c>
      <c r="E10598" s="5" t="s">
        <v>12837</v>
      </c>
    </row>
    <row r="10599" spans="2:5">
      <c r="B10599" s="4" t="s">
        <v>12345</v>
      </c>
      <c r="C10599" s="129" t="s">
        <v>12346</v>
      </c>
      <c r="D10599" s="5">
        <v>152528</v>
      </c>
      <c r="E10599" s="5" t="s">
        <v>12838</v>
      </c>
    </row>
    <row r="10600" spans="2:5">
      <c r="B10600" s="4" t="s">
        <v>12345</v>
      </c>
      <c r="C10600" s="129" t="s">
        <v>12346</v>
      </c>
      <c r="D10600" s="5">
        <v>152529</v>
      </c>
      <c r="E10600" s="5" t="s">
        <v>12839</v>
      </c>
    </row>
    <row r="10601" spans="2:5">
      <c r="B10601" s="4" t="s">
        <v>12345</v>
      </c>
      <c r="C10601" s="129" t="s">
        <v>12346</v>
      </c>
      <c r="D10601" s="5">
        <v>152530</v>
      </c>
      <c r="E10601" s="5" t="s">
        <v>12840</v>
      </c>
    </row>
    <row r="10602" spans="2:5">
      <c r="B10602" s="4" t="s">
        <v>12345</v>
      </c>
      <c r="C10602" s="129" t="s">
        <v>12346</v>
      </c>
      <c r="D10602" s="5">
        <v>152531</v>
      </c>
      <c r="E10602" s="5" t="s">
        <v>12841</v>
      </c>
    </row>
    <row r="10603" spans="2:5">
      <c r="B10603" s="4" t="s">
        <v>12345</v>
      </c>
      <c r="C10603" s="129" t="s">
        <v>12346</v>
      </c>
      <c r="D10603" s="5">
        <v>152900</v>
      </c>
      <c r="E10603" s="5" t="s">
        <v>12842</v>
      </c>
    </row>
    <row r="10604" spans="2:5">
      <c r="B10604" s="4" t="s">
        <v>12345</v>
      </c>
      <c r="C10604" s="129" t="s">
        <v>12346</v>
      </c>
      <c r="D10604" s="5">
        <v>152921</v>
      </c>
      <c r="E10604" s="5" t="s">
        <v>12843</v>
      </c>
    </row>
    <row r="10605" spans="2:5">
      <c r="B10605" s="4" t="s">
        <v>12345</v>
      </c>
      <c r="C10605" s="129" t="s">
        <v>12346</v>
      </c>
      <c r="D10605" s="5">
        <v>152922</v>
      </c>
      <c r="E10605" s="5" t="s">
        <v>12844</v>
      </c>
    </row>
    <row r="10606" spans="2:5">
      <c r="B10606" s="4" t="s">
        <v>12345</v>
      </c>
      <c r="C10606" s="129" t="s">
        <v>12346</v>
      </c>
      <c r="D10606" s="5">
        <v>152923</v>
      </c>
      <c r="E10606" s="5" t="s">
        <v>12845</v>
      </c>
    </row>
    <row r="10607" spans="2:5">
      <c r="B10607" s="4" t="s">
        <v>12345</v>
      </c>
      <c r="C10607" s="129" t="s">
        <v>12346</v>
      </c>
      <c r="D10607" s="5">
        <v>210000</v>
      </c>
      <c r="E10607" s="5" t="s">
        <v>12846</v>
      </c>
    </row>
    <row r="10608" spans="2:5">
      <c r="B10608" s="4" t="s">
        <v>12345</v>
      </c>
      <c r="C10608" s="129" t="s">
        <v>12346</v>
      </c>
      <c r="D10608" s="5">
        <v>210100</v>
      </c>
      <c r="E10608" s="5" t="s">
        <v>12847</v>
      </c>
    </row>
    <row r="10609" spans="2:5">
      <c r="B10609" s="4" t="s">
        <v>12345</v>
      </c>
      <c r="C10609" s="129" t="s">
        <v>12346</v>
      </c>
      <c r="D10609" s="5">
        <v>210101</v>
      </c>
      <c r="E10609" s="5" t="s">
        <v>12848</v>
      </c>
    </row>
    <row r="10610" spans="2:5">
      <c r="B10610" s="4" t="s">
        <v>12345</v>
      </c>
      <c r="C10610" s="129" t="s">
        <v>12346</v>
      </c>
      <c r="D10610" s="5">
        <v>210102</v>
      </c>
      <c r="E10610" s="5" t="s">
        <v>12849</v>
      </c>
    </row>
    <row r="10611" spans="2:5">
      <c r="B10611" s="4" t="s">
        <v>12345</v>
      </c>
      <c r="C10611" s="129" t="s">
        <v>12346</v>
      </c>
      <c r="D10611" s="5">
        <v>210103</v>
      </c>
      <c r="E10611" s="5" t="s">
        <v>12850</v>
      </c>
    </row>
    <row r="10612" spans="2:5">
      <c r="B10612" s="4" t="s">
        <v>12345</v>
      </c>
      <c r="C10612" s="129" t="s">
        <v>12346</v>
      </c>
      <c r="D10612" s="5">
        <v>210104</v>
      </c>
      <c r="E10612" s="5" t="s">
        <v>12851</v>
      </c>
    </row>
    <row r="10613" spans="2:5">
      <c r="B10613" s="4" t="s">
        <v>12345</v>
      </c>
      <c r="C10613" s="129" t="s">
        <v>12346</v>
      </c>
      <c r="D10613" s="5">
        <v>210105</v>
      </c>
      <c r="E10613" s="5" t="s">
        <v>12852</v>
      </c>
    </row>
    <row r="10614" spans="2:5">
      <c r="B10614" s="4" t="s">
        <v>12345</v>
      </c>
      <c r="C10614" s="129" t="s">
        <v>12346</v>
      </c>
      <c r="D10614" s="5">
        <v>210106</v>
      </c>
      <c r="E10614" s="5" t="s">
        <v>12853</v>
      </c>
    </row>
    <row r="10615" spans="2:5">
      <c r="B10615" s="4" t="s">
        <v>12345</v>
      </c>
      <c r="C10615" s="129" t="s">
        <v>12346</v>
      </c>
      <c r="D10615" s="5">
        <v>210111</v>
      </c>
      <c r="E10615" s="5" t="s">
        <v>12854</v>
      </c>
    </row>
    <row r="10616" spans="2:5">
      <c r="B10616" s="4" t="s">
        <v>12345</v>
      </c>
      <c r="C10616" s="129" t="s">
        <v>12346</v>
      </c>
      <c r="D10616" s="5">
        <v>210112</v>
      </c>
      <c r="E10616" s="5" t="s">
        <v>12855</v>
      </c>
    </row>
    <row r="10617" spans="2:5">
      <c r="B10617" s="4" t="s">
        <v>12345</v>
      </c>
      <c r="C10617" s="129" t="s">
        <v>12346</v>
      </c>
      <c r="D10617" s="5">
        <v>210113</v>
      </c>
      <c r="E10617" s="5" t="s">
        <v>12856</v>
      </c>
    </row>
    <row r="10618" spans="2:5">
      <c r="B10618" s="4" t="s">
        <v>12345</v>
      </c>
      <c r="C10618" s="129" t="s">
        <v>12346</v>
      </c>
      <c r="D10618" s="5">
        <v>210114</v>
      </c>
      <c r="E10618" s="5" t="s">
        <v>12857</v>
      </c>
    </row>
    <row r="10619" spans="2:5">
      <c r="B10619" s="4" t="s">
        <v>12345</v>
      </c>
      <c r="C10619" s="129" t="s">
        <v>12346</v>
      </c>
      <c r="D10619" s="5">
        <v>210122</v>
      </c>
      <c r="E10619" s="5" t="s">
        <v>12858</v>
      </c>
    </row>
    <row r="10620" spans="2:5">
      <c r="B10620" s="4" t="s">
        <v>12345</v>
      </c>
      <c r="C10620" s="129" t="s">
        <v>12346</v>
      </c>
      <c r="D10620" s="5">
        <v>210123</v>
      </c>
      <c r="E10620" s="5" t="s">
        <v>12859</v>
      </c>
    </row>
    <row r="10621" spans="2:5">
      <c r="B10621" s="4" t="s">
        <v>12345</v>
      </c>
      <c r="C10621" s="129" t="s">
        <v>12346</v>
      </c>
      <c r="D10621" s="5">
        <v>210124</v>
      </c>
      <c r="E10621" s="5" t="s">
        <v>12860</v>
      </c>
    </row>
    <row r="10622" spans="2:5">
      <c r="B10622" s="4" t="s">
        <v>12345</v>
      </c>
      <c r="C10622" s="129" t="s">
        <v>12346</v>
      </c>
      <c r="D10622" s="5">
        <v>210181</v>
      </c>
      <c r="E10622" s="5" t="s">
        <v>12861</v>
      </c>
    </row>
    <row r="10623" spans="2:5">
      <c r="B10623" s="4" t="s">
        <v>12345</v>
      </c>
      <c r="C10623" s="129" t="s">
        <v>12346</v>
      </c>
      <c r="D10623" s="5">
        <v>210200</v>
      </c>
      <c r="E10623" s="5" t="s">
        <v>12862</v>
      </c>
    </row>
    <row r="10624" spans="2:5">
      <c r="B10624" s="4" t="s">
        <v>12345</v>
      </c>
      <c r="C10624" s="129" t="s">
        <v>12346</v>
      </c>
      <c r="D10624" s="5">
        <v>210201</v>
      </c>
      <c r="E10624" s="5" t="s">
        <v>12863</v>
      </c>
    </row>
    <row r="10625" spans="2:5">
      <c r="B10625" s="4" t="s">
        <v>12345</v>
      </c>
      <c r="C10625" s="129" t="s">
        <v>12346</v>
      </c>
      <c r="D10625" s="5">
        <v>210202</v>
      </c>
      <c r="E10625" s="5" t="s">
        <v>12864</v>
      </c>
    </row>
    <row r="10626" spans="2:5">
      <c r="B10626" s="4" t="s">
        <v>12345</v>
      </c>
      <c r="C10626" s="129" t="s">
        <v>12346</v>
      </c>
      <c r="D10626" s="5">
        <v>210203</v>
      </c>
      <c r="E10626" s="5" t="s">
        <v>12865</v>
      </c>
    </row>
    <row r="10627" spans="2:5">
      <c r="B10627" s="4" t="s">
        <v>12345</v>
      </c>
      <c r="C10627" s="129" t="s">
        <v>12346</v>
      </c>
      <c r="D10627" s="5">
        <v>210204</v>
      </c>
      <c r="E10627" s="5" t="s">
        <v>12866</v>
      </c>
    </row>
    <row r="10628" spans="2:5">
      <c r="B10628" s="4" t="s">
        <v>12345</v>
      </c>
      <c r="C10628" s="129" t="s">
        <v>12346</v>
      </c>
      <c r="D10628" s="5">
        <v>210211</v>
      </c>
      <c r="E10628" s="5" t="s">
        <v>12867</v>
      </c>
    </row>
    <row r="10629" spans="2:5">
      <c r="B10629" s="4" t="s">
        <v>12345</v>
      </c>
      <c r="C10629" s="129" t="s">
        <v>12346</v>
      </c>
      <c r="D10629" s="5">
        <v>210212</v>
      </c>
      <c r="E10629" s="5" t="s">
        <v>12868</v>
      </c>
    </row>
    <row r="10630" spans="2:5">
      <c r="B10630" s="4" t="s">
        <v>12345</v>
      </c>
      <c r="C10630" s="129" t="s">
        <v>12346</v>
      </c>
      <c r="D10630" s="5">
        <v>210213</v>
      </c>
      <c r="E10630" s="5" t="s">
        <v>12869</v>
      </c>
    </row>
    <row r="10631" spans="2:5">
      <c r="B10631" s="4" t="s">
        <v>12345</v>
      </c>
      <c r="C10631" s="129" t="s">
        <v>12346</v>
      </c>
      <c r="D10631" s="5">
        <v>210224</v>
      </c>
      <c r="E10631" s="5" t="s">
        <v>12870</v>
      </c>
    </row>
    <row r="10632" spans="2:5">
      <c r="B10632" s="4" t="s">
        <v>12345</v>
      </c>
      <c r="C10632" s="129" t="s">
        <v>12346</v>
      </c>
      <c r="D10632" s="5">
        <v>210281</v>
      </c>
      <c r="E10632" s="5" t="s">
        <v>12871</v>
      </c>
    </row>
    <row r="10633" spans="2:5">
      <c r="B10633" s="4" t="s">
        <v>12345</v>
      </c>
      <c r="C10633" s="129" t="s">
        <v>12346</v>
      </c>
      <c r="D10633" s="5">
        <v>210282</v>
      </c>
      <c r="E10633" s="5" t="s">
        <v>12872</v>
      </c>
    </row>
    <row r="10634" spans="2:5">
      <c r="B10634" s="4" t="s">
        <v>12345</v>
      </c>
      <c r="C10634" s="129" t="s">
        <v>12346</v>
      </c>
      <c r="D10634" s="5">
        <v>210283</v>
      </c>
      <c r="E10634" s="5" t="s">
        <v>12873</v>
      </c>
    </row>
    <row r="10635" spans="2:5">
      <c r="B10635" s="4" t="s">
        <v>12345</v>
      </c>
      <c r="C10635" s="129" t="s">
        <v>12346</v>
      </c>
      <c r="D10635" s="5">
        <v>210300</v>
      </c>
      <c r="E10635" s="5" t="s">
        <v>12874</v>
      </c>
    </row>
    <row r="10636" spans="2:5">
      <c r="B10636" s="4" t="s">
        <v>12345</v>
      </c>
      <c r="C10636" s="129" t="s">
        <v>12346</v>
      </c>
      <c r="D10636" s="5">
        <v>210301</v>
      </c>
      <c r="E10636" s="5" t="s">
        <v>12875</v>
      </c>
    </row>
    <row r="10637" spans="2:5">
      <c r="B10637" s="4" t="s">
        <v>12345</v>
      </c>
      <c r="C10637" s="129" t="s">
        <v>12346</v>
      </c>
      <c r="D10637" s="5">
        <v>210302</v>
      </c>
      <c r="E10637" s="5" t="s">
        <v>12876</v>
      </c>
    </row>
    <row r="10638" spans="2:5">
      <c r="B10638" s="4" t="s">
        <v>12345</v>
      </c>
      <c r="C10638" s="129" t="s">
        <v>12346</v>
      </c>
      <c r="D10638" s="5">
        <v>210303</v>
      </c>
      <c r="E10638" s="5" t="s">
        <v>12877</v>
      </c>
    </row>
    <row r="10639" spans="2:5">
      <c r="B10639" s="4" t="s">
        <v>12345</v>
      </c>
      <c r="C10639" s="129" t="s">
        <v>12346</v>
      </c>
      <c r="D10639" s="5">
        <v>210304</v>
      </c>
      <c r="E10639" s="5" t="s">
        <v>12878</v>
      </c>
    </row>
    <row r="10640" spans="2:5">
      <c r="B10640" s="4" t="s">
        <v>12345</v>
      </c>
      <c r="C10640" s="129" t="s">
        <v>12346</v>
      </c>
      <c r="D10640" s="5">
        <v>210311</v>
      </c>
      <c r="E10640" s="5" t="s">
        <v>12879</v>
      </c>
    </row>
    <row r="10641" spans="2:5">
      <c r="B10641" s="4" t="s">
        <v>12345</v>
      </c>
      <c r="C10641" s="129" t="s">
        <v>12346</v>
      </c>
      <c r="D10641" s="5">
        <v>210321</v>
      </c>
      <c r="E10641" s="5" t="s">
        <v>12880</v>
      </c>
    </row>
    <row r="10642" spans="2:5">
      <c r="B10642" s="4" t="s">
        <v>12345</v>
      </c>
      <c r="C10642" s="129" t="s">
        <v>12346</v>
      </c>
      <c r="D10642" s="5">
        <v>210323</v>
      </c>
      <c r="E10642" s="5" t="s">
        <v>12881</v>
      </c>
    </row>
    <row r="10643" spans="2:5">
      <c r="B10643" s="4" t="s">
        <v>12345</v>
      </c>
      <c r="C10643" s="129" t="s">
        <v>12346</v>
      </c>
      <c r="D10643" s="5">
        <v>210381</v>
      </c>
      <c r="E10643" s="5" t="s">
        <v>12882</v>
      </c>
    </row>
    <row r="10644" spans="2:5">
      <c r="B10644" s="4" t="s">
        <v>12345</v>
      </c>
      <c r="C10644" s="129" t="s">
        <v>12346</v>
      </c>
      <c r="D10644" s="5">
        <v>210400</v>
      </c>
      <c r="E10644" s="5" t="s">
        <v>12883</v>
      </c>
    </row>
    <row r="10645" spans="2:5">
      <c r="B10645" s="4" t="s">
        <v>12345</v>
      </c>
      <c r="C10645" s="129" t="s">
        <v>12346</v>
      </c>
      <c r="D10645" s="5">
        <v>210401</v>
      </c>
      <c r="E10645" s="5" t="s">
        <v>12884</v>
      </c>
    </row>
    <row r="10646" spans="2:5">
      <c r="B10646" s="4" t="s">
        <v>12345</v>
      </c>
      <c r="C10646" s="129" t="s">
        <v>12346</v>
      </c>
      <c r="D10646" s="5">
        <v>210402</v>
      </c>
      <c r="E10646" s="5" t="s">
        <v>12885</v>
      </c>
    </row>
    <row r="10647" spans="2:5">
      <c r="B10647" s="4" t="s">
        <v>12345</v>
      </c>
      <c r="C10647" s="129" t="s">
        <v>12346</v>
      </c>
      <c r="D10647" s="5">
        <v>210403</v>
      </c>
      <c r="E10647" s="5" t="s">
        <v>12886</v>
      </c>
    </row>
    <row r="10648" spans="2:5">
      <c r="B10648" s="4" t="s">
        <v>12345</v>
      </c>
      <c r="C10648" s="129" t="s">
        <v>12346</v>
      </c>
      <c r="D10648" s="5">
        <v>210404</v>
      </c>
      <c r="E10648" s="5" t="s">
        <v>12887</v>
      </c>
    </row>
    <row r="10649" spans="2:5">
      <c r="B10649" s="4" t="s">
        <v>12345</v>
      </c>
      <c r="C10649" s="129" t="s">
        <v>12346</v>
      </c>
      <c r="D10649" s="5">
        <v>210411</v>
      </c>
      <c r="E10649" s="5" t="s">
        <v>12888</v>
      </c>
    </row>
    <row r="10650" spans="2:5">
      <c r="B10650" s="4" t="s">
        <v>12345</v>
      </c>
      <c r="C10650" s="129" t="s">
        <v>12346</v>
      </c>
      <c r="D10650" s="5">
        <v>210421</v>
      </c>
      <c r="E10650" s="5" t="s">
        <v>12889</v>
      </c>
    </row>
    <row r="10651" spans="2:5">
      <c r="B10651" s="4" t="s">
        <v>12345</v>
      </c>
      <c r="C10651" s="129" t="s">
        <v>12346</v>
      </c>
      <c r="D10651" s="5">
        <v>210422</v>
      </c>
      <c r="E10651" s="5" t="s">
        <v>12890</v>
      </c>
    </row>
    <row r="10652" spans="2:5">
      <c r="B10652" s="4" t="s">
        <v>12345</v>
      </c>
      <c r="C10652" s="129" t="s">
        <v>12346</v>
      </c>
      <c r="D10652" s="5">
        <v>210423</v>
      </c>
      <c r="E10652" s="5" t="s">
        <v>12891</v>
      </c>
    </row>
    <row r="10653" spans="2:5">
      <c r="B10653" s="4" t="s">
        <v>12345</v>
      </c>
      <c r="C10653" s="129" t="s">
        <v>12346</v>
      </c>
      <c r="D10653" s="5">
        <v>210500</v>
      </c>
      <c r="E10653" s="5" t="s">
        <v>12892</v>
      </c>
    </row>
    <row r="10654" spans="2:5">
      <c r="B10654" s="4" t="s">
        <v>12345</v>
      </c>
      <c r="C10654" s="129" t="s">
        <v>12346</v>
      </c>
      <c r="D10654" s="5">
        <v>210501</v>
      </c>
      <c r="E10654" s="5" t="s">
        <v>12893</v>
      </c>
    </row>
    <row r="10655" spans="2:5">
      <c r="B10655" s="4" t="s">
        <v>12345</v>
      </c>
      <c r="C10655" s="129" t="s">
        <v>12346</v>
      </c>
      <c r="D10655" s="5">
        <v>210502</v>
      </c>
      <c r="E10655" s="5" t="s">
        <v>12894</v>
      </c>
    </row>
    <row r="10656" spans="2:5">
      <c r="B10656" s="4" t="s">
        <v>12345</v>
      </c>
      <c r="C10656" s="129" t="s">
        <v>12346</v>
      </c>
      <c r="D10656" s="5">
        <v>210503</v>
      </c>
      <c r="E10656" s="5" t="s">
        <v>12895</v>
      </c>
    </row>
    <row r="10657" spans="2:5">
      <c r="B10657" s="4" t="s">
        <v>12345</v>
      </c>
      <c r="C10657" s="129" t="s">
        <v>12346</v>
      </c>
      <c r="D10657" s="5">
        <v>210504</v>
      </c>
      <c r="E10657" s="5" t="s">
        <v>12896</v>
      </c>
    </row>
    <row r="10658" spans="2:5">
      <c r="B10658" s="4" t="s">
        <v>12345</v>
      </c>
      <c r="C10658" s="129" t="s">
        <v>12346</v>
      </c>
      <c r="D10658" s="5">
        <v>210505</v>
      </c>
      <c r="E10658" s="5" t="s">
        <v>12897</v>
      </c>
    </row>
    <row r="10659" spans="2:5">
      <c r="B10659" s="4" t="s">
        <v>12345</v>
      </c>
      <c r="C10659" s="129" t="s">
        <v>12346</v>
      </c>
      <c r="D10659" s="5">
        <v>210521</v>
      </c>
      <c r="E10659" s="5" t="s">
        <v>12898</v>
      </c>
    </row>
    <row r="10660" spans="2:5">
      <c r="B10660" s="4" t="s">
        <v>12345</v>
      </c>
      <c r="C10660" s="129" t="s">
        <v>12346</v>
      </c>
      <c r="D10660" s="5">
        <v>210522</v>
      </c>
      <c r="E10660" s="5" t="s">
        <v>12899</v>
      </c>
    </row>
    <row r="10661" spans="2:5">
      <c r="B10661" s="4" t="s">
        <v>12345</v>
      </c>
      <c r="C10661" s="129" t="s">
        <v>12346</v>
      </c>
      <c r="D10661" s="5">
        <v>210600</v>
      </c>
      <c r="E10661" s="5" t="s">
        <v>12900</v>
      </c>
    </row>
    <row r="10662" spans="2:5">
      <c r="B10662" s="4" t="s">
        <v>12345</v>
      </c>
      <c r="C10662" s="129" t="s">
        <v>12346</v>
      </c>
      <c r="D10662" s="5">
        <v>210601</v>
      </c>
      <c r="E10662" s="5" t="s">
        <v>12901</v>
      </c>
    </row>
    <row r="10663" spans="2:5">
      <c r="B10663" s="4" t="s">
        <v>12345</v>
      </c>
      <c r="C10663" s="129" t="s">
        <v>12346</v>
      </c>
      <c r="D10663" s="5">
        <v>210602</v>
      </c>
      <c r="E10663" s="5" t="s">
        <v>12902</v>
      </c>
    </row>
    <row r="10664" spans="2:5">
      <c r="B10664" s="4" t="s">
        <v>12345</v>
      </c>
      <c r="C10664" s="129" t="s">
        <v>12346</v>
      </c>
      <c r="D10664" s="5">
        <v>210603</v>
      </c>
      <c r="E10664" s="5" t="s">
        <v>12903</v>
      </c>
    </row>
    <row r="10665" spans="2:5">
      <c r="B10665" s="4" t="s">
        <v>12345</v>
      </c>
      <c r="C10665" s="129" t="s">
        <v>12346</v>
      </c>
      <c r="D10665" s="5">
        <v>210604</v>
      </c>
      <c r="E10665" s="5" t="s">
        <v>12904</v>
      </c>
    </row>
    <row r="10666" spans="2:5">
      <c r="B10666" s="4" t="s">
        <v>12345</v>
      </c>
      <c r="C10666" s="129" t="s">
        <v>12346</v>
      </c>
      <c r="D10666" s="5">
        <v>210624</v>
      </c>
      <c r="E10666" s="5" t="s">
        <v>12905</v>
      </c>
    </row>
    <row r="10667" spans="2:5">
      <c r="B10667" s="4" t="s">
        <v>12345</v>
      </c>
      <c r="C10667" s="129" t="s">
        <v>12346</v>
      </c>
      <c r="D10667" s="5">
        <v>210681</v>
      </c>
      <c r="E10667" s="5" t="s">
        <v>12906</v>
      </c>
    </row>
    <row r="10668" spans="2:5">
      <c r="B10668" s="4" t="s">
        <v>12345</v>
      </c>
      <c r="C10668" s="129" t="s">
        <v>12346</v>
      </c>
      <c r="D10668" s="5">
        <v>210682</v>
      </c>
      <c r="E10668" s="5" t="s">
        <v>12907</v>
      </c>
    </row>
    <row r="10669" spans="2:5">
      <c r="B10669" s="4" t="s">
        <v>12345</v>
      </c>
      <c r="C10669" s="129" t="s">
        <v>12346</v>
      </c>
      <c r="D10669" s="5">
        <v>210700</v>
      </c>
      <c r="E10669" s="5" t="s">
        <v>12908</v>
      </c>
    </row>
    <row r="10670" spans="2:5">
      <c r="B10670" s="4" t="s">
        <v>12345</v>
      </c>
      <c r="C10670" s="129" t="s">
        <v>12346</v>
      </c>
      <c r="D10670" s="5">
        <v>210701</v>
      </c>
      <c r="E10670" s="5" t="s">
        <v>12909</v>
      </c>
    </row>
    <row r="10671" spans="2:5">
      <c r="B10671" s="4" t="s">
        <v>12345</v>
      </c>
      <c r="C10671" s="129" t="s">
        <v>12346</v>
      </c>
      <c r="D10671" s="5">
        <v>210702</v>
      </c>
      <c r="E10671" s="5" t="s">
        <v>12910</v>
      </c>
    </row>
    <row r="10672" spans="2:5">
      <c r="B10672" s="4" t="s">
        <v>12345</v>
      </c>
      <c r="C10672" s="129" t="s">
        <v>12346</v>
      </c>
      <c r="D10672" s="5">
        <v>210703</v>
      </c>
      <c r="E10672" s="5" t="s">
        <v>12911</v>
      </c>
    </row>
    <row r="10673" spans="2:5">
      <c r="B10673" s="4" t="s">
        <v>12345</v>
      </c>
      <c r="C10673" s="129" t="s">
        <v>12346</v>
      </c>
      <c r="D10673" s="5">
        <v>210711</v>
      </c>
      <c r="E10673" s="5" t="s">
        <v>12912</v>
      </c>
    </row>
    <row r="10674" spans="2:5">
      <c r="B10674" s="4" t="s">
        <v>12345</v>
      </c>
      <c r="C10674" s="129" t="s">
        <v>12346</v>
      </c>
      <c r="D10674" s="5">
        <v>210726</v>
      </c>
      <c r="E10674" s="5" t="s">
        <v>12913</v>
      </c>
    </row>
    <row r="10675" spans="2:5">
      <c r="B10675" s="4" t="s">
        <v>12345</v>
      </c>
      <c r="C10675" s="129" t="s">
        <v>12346</v>
      </c>
      <c r="D10675" s="5">
        <v>210727</v>
      </c>
      <c r="E10675" s="5" t="s">
        <v>12914</v>
      </c>
    </row>
    <row r="10676" spans="2:5">
      <c r="B10676" s="4" t="s">
        <v>12345</v>
      </c>
      <c r="C10676" s="129" t="s">
        <v>12346</v>
      </c>
      <c r="D10676" s="5">
        <v>210781</v>
      </c>
      <c r="E10676" s="5" t="s">
        <v>12915</v>
      </c>
    </row>
    <row r="10677" spans="2:5">
      <c r="B10677" s="4" t="s">
        <v>12345</v>
      </c>
      <c r="C10677" s="129" t="s">
        <v>12346</v>
      </c>
      <c r="D10677" s="5">
        <v>210782</v>
      </c>
      <c r="E10677" s="5" t="s">
        <v>12916</v>
      </c>
    </row>
    <row r="10678" spans="2:5">
      <c r="B10678" s="4" t="s">
        <v>12345</v>
      </c>
      <c r="C10678" s="129" t="s">
        <v>12346</v>
      </c>
      <c r="D10678" s="5">
        <v>210800</v>
      </c>
      <c r="E10678" s="5" t="s">
        <v>12917</v>
      </c>
    </row>
    <row r="10679" spans="2:5">
      <c r="B10679" s="4" t="s">
        <v>12345</v>
      </c>
      <c r="C10679" s="129" t="s">
        <v>12346</v>
      </c>
      <c r="D10679" s="5">
        <v>210801</v>
      </c>
      <c r="E10679" s="5" t="s">
        <v>12918</v>
      </c>
    </row>
    <row r="10680" spans="2:5">
      <c r="B10680" s="4" t="s">
        <v>12345</v>
      </c>
      <c r="C10680" s="129" t="s">
        <v>12346</v>
      </c>
      <c r="D10680" s="5">
        <v>210802</v>
      </c>
      <c r="E10680" s="5" t="s">
        <v>12919</v>
      </c>
    </row>
    <row r="10681" spans="2:5">
      <c r="B10681" s="4" t="s">
        <v>12345</v>
      </c>
      <c r="C10681" s="129" t="s">
        <v>12346</v>
      </c>
      <c r="D10681" s="5">
        <v>210803</v>
      </c>
      <c r="E10681" s="5" t="s">
        <v>12920</v>
      </c>
    </row>
    <row r="10682" spans="2:5">
      <c r="B10682" s="4" t="s">
        <v>12345</v>
      </c>
      <c r="C10682" s="129" t="s">
        <v>12346</v>
      </c>
      <c r="D10682" s="5">
        <v>210804</v>
      </c>
      <c r="E10682" s="5" t="s">
        <v>12921</v>
      </c>
    </row>
    <row r="10683" spans="2:5">
      <c r="B10683" s="4" t="s">
        <v>12345</v>
      </c>
      <c r="C10683" s="129" t="s">
        <v>12346</v>
      </c>
      <c r="D10683" s="5">
        <v>210811</v>
      </c>
      <c r="E10683" s="5" t="s">
        <v>12922</v>
      </c>
    </row>
    <row r="10684" spans="2:5">
      <c r="B10684" s="4" t="s">
        <v>12345</v>
      </c>
      <c r="C10684" s="129" t="s">
        <v>12346</v>
      </c>
      <c r="D10684" s="5">
        <v>210881</v>
      </c>
      <c r="E10684" s="5" t="s">
        <v>12923</v>
      </c>
    </row>
    <row r="10685" spans="2:5">
      <c r="B10685" s="4" t="s">
        <v>12345</v>
      </c>
      <c r="C10685" s="129" t="s">
        <v>12346</v>
      </c>
      <c r="D10685" s="5">
        <v>210882</v>
      </c>
      <c r="E10685" s="5" t="s">
        <v>12924</v>
      </c>
    </row>
    <row r="10686" spans="2:5">
      <c r="B10686" s="4" t="s">
        <v>12345</v>
      </c>
      <c r="C10686" s="129" t="s">
        <v>12346</v>
      </c>
      <c r="D10686" s="5">
        <v>210900</v>
      </c>
      <c r="E10686" s="5" t="s">
        <v>12925</v>
      </c>
    </row>
    <row r="10687" spans="2:5">
      <c r="B10687" s="4" t="s">
        <v>12345</v>
      </c>
      <c r="C10687" s="129" t="s">
        <v>12346</v>
      </c>
      <c r="D10687" s="5">
        <v>210901</v>
      </c>
      <c r="E10687" s="5" t="s">
        <v>12926</v>
      </c>
    </row>
    <row r="10688" spans="2:5">
      <c r="B10688" s="4" t="s">
        <v>12345</v>
      </c>
      <c r="C10688" s="129" t="s">
        <v>12346</v>
      </c>
      <c r="D10688" s="5">
        <v>210902</v>
      </c>
      <c r="E10688" s="5" t="s">
        <v>12927</v>
      </c>
    </row>
    <row r="10689" spans="2:5">
      <c r="B10689" s="4" t="s">
        <v>12345</v>
      </c>
      <c r="C10689" s="129" t="s">
        <v>12346</v>
      </c>
      <c r="D10689" s="5">
        <v>210903</v>
      </c>
      <c r="E10689" s="5" t="s">
        <v>12928</v>
      </c>
    </row>
    <row r="10690" spans="2:5">
      <c r="B10690" s="4" t="s">
        <v>12345</v>
      </c>
      <c r="C10690" s="129" t="s">
        <v>12346</v>
      </c>
      <c r="D10690" s="5">
        <v>210904</v>
      </c>
      <c r="E10690" s="5" t="s">
        <v>12929</v>
      </c>
    </row>
    <row r="10691" spans="2:5">
      <c r="B10691" s="4" t="s">
        <v>12345</v>
      </c>
      <c r="C10691" s="129" t="s">
        <v>12346</v>
      </c>
      <c r="D10691" s="5">
        <v>210905</v>
      </c>
      <c r="E10691" s="5" t="s">
        <v>12930</v>
      </c>
    </row>
    <row r="10692" spans="2:5">
      <c r="B10692" s="4" t="s">
        <v>12345</v>
      </c>
      <c r="C10692" s="129" t="s">
        <v>12346</v>
      </c>
      <c r="D10692" s="5">
        <v>210911</v>
      </c>
      <c r="E10692" s="5" t="s">
        <v>12931</v>
      </c>
    </row>
    <row r="10693" spans="2:5">
      <c r="B10693" s="4" t="s">
        <v>12345</v>
      </c>
      <c r="C10693" s="129" t="s">
        <v>12346</v>
      </c>
      <c r="D10693" s="5">
        <v>210921</v>
      </c>
      <c r="E10693" s="5" t="s">
        <v>12932</v>
      </c>
    </row>
    <row r="10694" spans="2:5">
      <c r="B10694" s="4" t="s">
        <v>12345</v>
      </c>
      <c r="C10694" s="129" t="s">
        <v>12346</v>
      </c>
      <c r="D10694" s="5">
        <v>210922</v>
      </c>
      <c r="E10694" s="5" t="s">
        <v>12933</v>
      </c>
    </row>
    <row r="10695" spans="2:5">
      <c r="B10695" s="4" t="s">
        <v>12345</v>
      </c>
      <c r="C10695" s="129" t="s">
        <v>12346</v>
      </c>
      <c r="D10695" s="5">
        <v>211000</v>
      </c>
      <c r="E10695" s="5" t="s">
        <v>12934</v>
      </c>
    </row>
    <row r="10696" spans="2:5">
      <c r="B10696" s="4" t="s">
        <v>12345</v>
      </c>
      <c r="C10696" s="129" t="s">
        <v>12346</v>
      </c>
      <c r="D10696" s="5">
        <v>211001</v>
      </c>
      <c r="E10696" s="5" t="s">
        <v>12935</v>
      </c>
    </row>
    <row r="10697" spans="2:5">
      <c r="B10697" s="4" t="s">
        <v>12345</v>
      </c>
      <c r="C10697" s="129" t="s">
        <v>12346</v>
      </c>
      <c r="D10697" s="5">
        <v>211002</v>
      </c>
      <c r="E10697" s="5" t="s">
        <v>12936</v>
      </c>
    </row>
    <row r="10698" spans="2:5">
      <c r="B10698" s="4" t="s">
        <v>12345</v>
      </c>
      <c r="C10698" s="129" t="s">
        <v>12346</v>
      </c>
      <c r="D10698" s="5">
        <v>211003</v>
      </c>
      <c r="E10698" s="5" t="s">
        <v>12937</v>
      </c>
    </row>
    <row r="10699" spans="2:5">
      <c r="B10699" s="4" t="s">
        <v>12345</v>
      </c>
      <c r="C10699" s="129" t="s">
        <v>12346</v>
      </c>
      <c r="D10699" s="5">
        <v>211004</v>
      </c>
      <c r="E10699" s="5" t="s">
        <v>12938</v>
      </c>
    </row>
    <row r="10700" spans="2:5">
      <c r="B10700" s="4" t="s">
        <v>12345</v>
      </c>
      <c r="C10700" s="129" t="s">
        <v>12346</v>
      </c>
      <c r="D10700" s="5">
        <v>211005</v>
      </c>
      <c r="E10700" s="5" t="s">
        <v>12939</v>
      </c>
    </row>
    <row r="10701" spans="2:5">
      <c r="B10701" s="4" t="s">
        <v>12345</v>
      </c>
      <c r="C10701" s="129" t="s">
        <v>12346</v>
      </c>
      <c r="D10701" s="5">
        <v>211011</v>
      </c>
      <c r="E10701" s="5" t="s">
        <v>12940</v>
      </c>
    </row>
    <row r="10702" spans="2:5">
      <c r="B10702" s="4" t="s">
        <v>12345</v>
      </c>
      <c r="C10702" s="129" t="s">
        <v>12346</v>
      </c>
      <c r="D10702" s="5">
        <v>211021</v>
      </c>
      <c r="E10702" s="5" t="s">
        <v>12941</v>
      </c>
    </row>
    <row r="10703" spans="2:5">
      <c r="B10703" s="4" t="s">
        <v>12345</v>
      </c>
      <c r="C10703" s="129" t="s">
        <v>12346</v>
      </c>
      <c r="D10703" s="5">
        <v>211081</v>
      </c>
      <c r="E10703" s="5" t="s">
        <v>12942</v>
      </c>
    </row>
    <row r="10704" spans="2:5">
      <c r="B10704" s="4" t="s">
        <v>12345</v>
      </c>
      <c r="C10704" s="129" t="s">
        <v>12346</v>
      </c>
      <c r="D10704" s="5">
        <v>211100</v>
      </c>
      <c r="E10704" s="5" t="s">
        <v>12943</v>
      </c>
    </row>
    <row r="10705" spans="2:5">
      <c r="B10705" s="4" t="s">
        <v>12345</v>
      </c>
      <c r="C10705" s="129" t="s">
        <v>12346</v>
      </c>
      <c r="D10705" s="5">
        <v>211101</v>
      </c>
      <c r="E10705" s="5" t="s">
        <v>12944</v>
      </c>
    </row>
    <row r="10706" spans="2:5">
      <c r="B10706" s="4" t="s">
        <v>12345</v>
      </c>
      <c r="C10706" s="129" t="s">
        <v>12346</v>
      </c>
      <c r="D10706" s="5">
        <v>211102</v>
      </c>
      <c r="E10706" s="5" t="s">
        <v>12945</v>
      </c>
    </row>
    <row r="10707" spans="2:5">
      <c r="B10707" s="4" t="s">
        <v>12345</v>
      </c>
      <c r="C10707" s="129" t="s">
        <v>12346</v>
      </c>
      <c r="D10707" s="5">
        <v>211103</v>
      </c>
      <c r="E10707" s="5" t="s">
        <v>12946</v>
      </c>
    </row>
    <row r="10708" spans="2:5">
      <c r="B10708" s="4" t="s">
        <v>12345</v>
      </c>
      <c r="C10708" s="129" t="s">
        <v>12346</v>
      </c>
      <c r="D10708" s="5">
        <v>211121</v>
      </c>
      <c r="E10708" s="5" t="s">
        <v>12947</v>
      </c>
    </row>
    <row r="10709" spans="2:5">
      <c r="B10709" s="4" t="s">
        <v>12345</v>
      </c>
      <c r="C10709" s="129" t="s">
        <v>12346</v>
      </c>
      <c r="D10709" s="5">
        <v>211122</v>
      </c>
      <c r="E10709" s="5" t="s">
        <v>12948</v>
      </c>
    </row>
    <row r="10710" spans="2:5">
      <c r="B10710" s="4" t="s">
        <v>12345</v>
      </c>
      <c r="C10710" s="129" t="s">
        <v>12346</v>
      </c>
      <c r="D10710" s="5">
        <v>211200</v>
      </c>
      <c r="E10710" s="5" t="s">
        <v>12949</v>
      </c>
    </row>
    <row r="10711" spans="2:5">
      <c r="B10711" s="4" t="s">
        <v>12345</v>
      </c>
      <c r="C10711" s="129" t="s">
        <v>12346</v>
      </c>
      <c r="D10711" s="5">
        <v>211201</v>
      </c>
      <c r="E10711" s="5" t="s">
        <v>12950</v>
      </c>
    </row>
    <row r="10712" spans="2:5">
      <c r="B10712" s="4" t="s">
        <v>12345</v>
      </c>
      <c r="C10712" s="129" t="s">
        <v>12346</v>
      </c>
      <c r="D10712" s="5">
        <v>211202</v>
      </c>
      <c r="E10712" s="5" t="s">
        <v>12951</v>
      </c>
    </row>
    <row r="10713" spans="2:5">
      <c r="B10713" s="4" t="s">
        <v>12345</v>
      </c>
      <c r="C10713" s="129" t="s">
        <v>12346</v>
      </c>
      <c r="D10713" s="5">
        <v>211204</v>
      </c>
      <c r="E10713" s="5" t="s">
        <v>12952</v>
      </c>
    </row>
    <row r="10714" spans="2:5">
      <c r="B10714" s="4" t="s">
        <v>12345</v>
      </c>
      <c r="C10714" s="129" t="s">
        <v>12346</v>
      </c>
      <c r="D10714" s="5">
        <v>211221</v>
      </c>
      <c r="E10714" s="5" t="s">
        <v>12953</v>
      </c>
    </row>
    <row r="10715" spans="2:5">
      <c r="B10715" s="4" t="s">
        <v>12345</v>
      </c>
      <c r="C10715" s="129" t="s">
        <v>12346</v>
      </c>
      <c r="D10715" s="5">
        <v>211223</v>
      </c>
      <c r="E10715" s="5" t="s">
        <v>12954</v>
      </c>
    </row>
    <row r="10716" spans="2:5">
      <c r="B10716" s="4" t="s">
        <v>12345</v>
      </c>
      <c r="C10716" s="129" t="s">
        <v>12346</v>
      </c>
      <c r="D10716" s="5">
        <v>211224</v>
      </c>
      <c r="E10716" s="5" t="s">
        <v>12955</v>
      </c>
    </row>
    <row r="10717" spans="2:5">
      <c r="B10717" s="4" t="s">
        <v>12345</v>
      </c>
      <c r="C10717" s="129" t="s">
        <v>12346</v>
      </c>
      <c r="D10717" s="5">
        <v>211281</v>
      </c>
      <c r="E10717" s="5" t="s">
        <v>12956</v>
      </c>
    </row>
    <row r="10718" spans="2:5">
      <c r="B10718" s="4" t="s">
        <v>12345</v>
      </c>
      <c r="C10718" s="129" t="s">
        <v>12346</v>
      </c>
      <c r="D10718" s="5">
        <v>211282</v>
      </c>
      <c r="E10718" s="5" t="s">
        <v>12957</v>
      </c>
    </row>
    <row r="10719" spans="2:5">
      <c r="B10719" s="4" t="s">
        <v>12345</v>
      </c>
      <c r="C10719" s="129" t="s">
        <v>12346</v>
      </c>
      <c r="D10719" s="5">
        <v>211300</v>
      </c>
      <c r="E10719" s="5" t="s">
        <v>12958</v>
      </c>
    </row>
    <row r="10720" spans="2:5">
      <c r="B10720" s="4" t="s">
        <v>12345</v>
      </c>
      <c r="C10720" s="129" t="s">
        <v>12346</v>
      </c>
      <c r="D10720" s="5">
        <v>211301</v>
      </c>
      <c r="E10720" s="5" t="s">
        <v>12959</v>
      </c>
    </row>
    <row r="10721" spans="2:5">
      <c r="B10721" s="4" t="s">
        <v>12345</v>
      </c>
      <c r="C10721" s="129" t="s">
        <v>12346</v>
      </c>
      <c r="D10721" s="5">
        <v>211302</v>
      </c>
      <c r="E10721" s="5" t="s">
        <v>12960</v>
      </c>
    </row>
    <row r="10722" spans="2:5">
      <c r="B10722" s="4" t="s">
        <v>12345</v>
      </c>
      <c r="C10722" s="129" t="s">
        <v>12346</v>
      </c>
      <c r="D10722" s="5">
        <v>211303</v>
      </c>
      <c r="E10722" s="5" t="s">
        <v>12961</v>
      </c>
    </row>
    <row r="10723" spans="2:5">
      <c r="B10723" s="4" t="s">
        <v>12345</v>
      </c>
      <c r="C10723" s="129" t="s">
        <v>12346</v>
      </c>
      <c r="D10723" s="5">
        <v>211321</v>
      </c>
      <c r="E10723" s="5" t="s">
        <v>12962</v>
      </c>
    </row>
    <row r="10724" spans="2:5">
      <c r="B10724" s="4" t="s">
        <v>12345</v>
      </c>
      <c r="C10724" s="129" t="s">
        <v>12346</v>
      </c>
      <c r="D10724" s="5">
        <v>211322</v>
      </c>
      <c r="E10724" s="5" t="s">
        <v>12963</v>
      </c>
    </row>
    <row r="10725" spans="2:5">
      <c r="B10725" s="4" t="s">
        <v>12345</v>
      </c>
      <c r="C10725" s="129" t="s">
        <v>12346</v>
      </c>
      <c r="D10725" s="5">
        <v>211324</v>
      </c>
      <c r="E10725" s="5" t="s">
        <v>12964</v>
      </c>
    </row>
    <row r="10726" spans="2:5">
      <c r="B10726" s="4" t="s">
        <v>12345</v>
      </c>
      <c r="C10726" s="129" t="s">
        <v>12346</v>
      </c>
      <c r="D10726" s="5">
        <v>211381</v>
      </c>
      <c r="E10726" s="5" t="s">
        <v>12965</v>
      </c>
    </row>
    <row r="10727" spans="2:5">
      <c r="B10727" s="4" t="s">
        <v>12345</v>
      </c>
      <c r="C10727" s="129" t="s">
        <v>12346</v>
      </c>
      <c r="D10727" s="5">
        <v>211382</v>
      </c>
      <c r="E10727" s="5" t="s">
        <v>12966</v>
      </c>
    </row>
    <row r="10728" spans="2:5">
      <c r="B10728" s="4" t="s">
        <v>12345</v>
      </c>
      <c r="C10728" s="129" t="s">
        <v>12346</v>
      </c>
      <c r="D10728" s="5">
        <v>211400</v>
      </c>
      <c r="E10728" s="5" t="s">
        <v>12967</v>
      </c>
    </row>
    <row r="10729" spans="2:5">
      <c r="B10729" s="4" t="s">
        <v>12345</v>
      </c>
      <c r="C10729" s="129" t="s">
        <v>12346</v>
      </c>
      <c r="D10729" s="5">
        <v>211401</v>
      </c>
      <c r="E10729" s="5" t="s">
        <v>12968</v>
      </c>
    </row>
    <row r="10730" spans="2:5">
      <c r="B10730" s="4" t="s">
        <v>12345</v>
      </c>
      <c r="C10730" s="129" t="s">
        <v>12346</v>
      </c>
      <c r="D10730" s="5">
        <v>211402</v>
      </c>
      <c r="E10730" s="5" t="s">
        <v>12969</v>
      </c>
    </row>
    <row r="10731" spans="2:5">
      <c r="B10731" s="4" t="s">
        <v>12345</v>
      </c>
      <c r="C10731" s="129" t="s">
        <v>12346</v>
      </c>
      <c r="D10731" s="5">
        <v>211403</v>
      </c>
      <c r="E10731" s="5" t="s">
        <v>12970</v>
      </c>
    </row>
    <row r="10732" spans="2:5">
      <c r="B10732" s="4" t="s">
        <v>12345</v>
      </c>
      <c r="C10732" s="129" t="s">
        <v>12346</v>
      </c>
      <c r="D10732" s="5">
        <v>211404</v>
      </c>
      <c r="E10732" s="5" t="s">
        <v>12971</v>
      </c>
    </row>
    <row r="10733" spans="2:5">
      <c r="B10733" s="4" t="s">
        <v>12345</v>
      </c>
      <c r="C10733" s="129" t="s">
        <v>12346</v>
      </c>
      <c r="D10733" s="5">
        <v>211421</v>
      </c>
      <c r="E10733" s="5" t="s">
        <v>12972</v>
      </c>
    </row>
    <row r="10734" spans="2:5">
      <c r="B10734" s="4" t="s">
        <v>12345</v>
      </c>
      <c r="C10734" s="129" t="s">
        <v>12346</v>
      </c>
      <c r="D10734" s="5">
        <v>211422</v>
      </c>
      <c r="E10734" s="5" t="s">
        <v>12973</v>
      </c>
    </row>
    <row r="10735" spans="2:5">
      <c r="B10735" s="4" t="s">
        <v>12345</v>
      </c>
      <c r="C10735" s="129" t="s">
        <v>12346</v>
      </c>
      <c r="D10735" s="5">
        <v>211481</v>
      </c>
      <c r="E10735" s="5" t="s">
        <v>12974</v>
      </c>
    </row>
    <row r="10736" spans="2:5">
      <c r="B10736" s="4" t="s">
        <v>12345</v>
      </c>
      <c r="C10736" s="129" t="s">
        <v>12346</v>
      </c>
      <c r="D10736" s="5">
        <v>220000</v>
      </c>
      <c r="E10736" s="5" t="s">
        <v>12975</v>
      </c>
    </row>
    <row r="10737" spans="2:5">
      <c r="B10737" s="4" t="s">
        <v>12345</v>
      </c>
      <c r="C10737" s="129" t="s">
        <v>12346</v>
      </c>
      <c r="D10737" s="5">
        <v>220100</v>
      </c>
      <c r="E10737" s="5" t="s">
        <v>12976</v>
      </c>
    </row>
    <row r="10738" spans="2:5">
      <c r="B10738" s="4" t="s">
        <v>12345</v>
      </c>
      <c r="C10738" s="129" t="s">
        <v>12346</v>
      </c>
      <c r="D10738" s="5">
        <v>220101</v>
      </c>
      <c r="E10738" s="5" t="s">
        <v>12977</v>
      </c>
    </row>
    <row r="10739" spans="2:5">
      <c r="B10739" s="4" t="s">
        <v>12345</v>
      </c>
      <c r="C10739" s="129" t="s">
        <v>12346</v>
      </c>
      <c r="D10739" s="5">
        <v>220102</v>
      </c>
      <c r="E10739" s="5" t="s">
        <v>12978</v>
      </c>
    </row>
    <row r="10740" spans="2:5">
      <c r="B10740" s="4" t="s">
        <v>12345</v>
      </c>
      <c r="C10740" s="129" t="s">
        <v>12346</v>
      </c>
      <c r="D10740" s="5">
        <v>220103</v>
      </c>
      <c r="E10740" s="5" t="s">
        <v>12979</v>
      </c>
    </row>
    <row r="10741" spans="2:5">
      <c r="B10741" s="4" t="s">
        <v>12345</v>
      </c>
      <c r="C10741" s="129" t="s">
        <v>12346</v>
      </c>
      <c r="D10741" s="5">
        <v>220104</v>
      </c>
      <c r="E10741" s="5" t="s">
        <v>12980</v>
      </c>
    </row>
    <row r="10742" spans="2:5">
      <c r="B10742" s="4" t="s">
        <v>12345</v>
      </c>
      <c r="C10742" s="129" t="s">
        <v>12346</v>
      </c>
      <c r="D10742" s="5">
        <v>220105</v>
      </c>
      <c r="E10742" s="5" t="s">
        <v>12981</v>
      </c>
    </row>
    <row r="10743" spans="2:5">
      <c r="B10743" s="4" t="s">
        <v>12345</v>
      </c>
      <c r="C10743" s="129" t="s">
        <v>12346</v>
      </c>
      <c r="D10743" s="5">
        <v>220106</v>
      </c>
      <c r="E10743" s="5" t="s">
        <v>12982</v>
      </c>
    </row>
    <row r="10744" spans="2:5">
      <c r="B10744" s="4" t="s">
        <v>12345</v>
      </c>
      <c r="C10744" s="129" t="s">
        <v>12346</v>
      </c>
      <c r="D10744" s="5">
        <v>220112</v>
      </c>
      <c r="E10744" s="5" t="s">
        <v>12983</v>
      </c>
    </row>
    <row r="10745" spans="2:5">
      <c r="B10745" s="4" t="s">
        <v>12345</v>
      </c>
      <c r="C10745" s="129" t="s">
        <v>12346</v>
      </c>
      <c r="D10745" s="5">
        <v>220113</v>
      </c>
      <c r="E10745" s="5" t="s">
        <v>12984</v>
      </c>
    </row>
    <row r="10746" spans="2:5">
      <c r="B10746" s="4" t="s">
        <v>12345</v>
      </c>
      <c r="C10746" s="129" t="s">
        <v>12346</v>
      </c>
      <c r="D10746" s="5">
        <v>220122</v>
      </c>
      <c r="E10746" s="5" t="s">
        <v>12985</v>
      </c>
    </row>
    <row r="10747" spans="2:5">
      <c r="B10747" s="4" t="s">
        <v>12345</v>
      </c>
      <c r="C10747" s="129" t="s">
        <v>12346</v>
      </c>
      <c r="D10747" s="5">
        <v>220182</v>
      </c>
      <c r="E10747" s="5" t="s">
        <v>12986</v>
      </c>
    </row>
    <row r="10748" spans="2:5">
      <c r="B10748" s="4" t="s">
        <v>12345</v>
      </c>
      <c r="C10748" s="129" t="s">
        <v>12346</v>
      </c>
      <c r="D10748" s="5">
        <v>220183</v>
      </c>
      <c r="E10748" s="5" t="s">
        <v>12987</v>
      </c>
    </row>
    <row r="10749" spans="2:5">
      <c r="B10749" s="4" t="s">
        <v>12345</v>
      </c>
      <c r="C10749" s="129" t="s">
        <v>12346</v>
      </c>
      <c r="D10749" s="5">
        <v>220200</v>
      </c>
      <c r="E10749" s="5" t="s">
        <v>12988</v>
      </c>
    </row>
    <row r="10750" spans="2:5">
      <c r="B10750" s="4" t="s">
        <v>12345</v>
      </c>
      <c r="C10750" s="129" t="s">
        <v>12346</v>
      </c>
      <c r="D10750" s="5">
        <v>220201</v>
      </c>
      <c r="E10750" s="5" t="s">
        <v>12989</v>
      </c>
    </row>
    <row r="10751" spans="2:5">
      <c r="B10751" s="4" t="s">
        <v>12345</v>
      </c>
      <c r="C10751" s="129" t="s">
        <v>12346</v>
      </c>
      <c r="D10751" s="5">
        <v>220202</v>
      </c>
      <c r="E10751" s="5" t="s">
        <v>12990</v>
      </c>
    </row>
    <row r="10752" spans="2:5">
      <c r="B10752" s="4" t="s">
        <v>12345</v>
      </c>
      <c r="C10752" s="129" t="s">
        <v>12346</v>
      </c>
      <c r="D10752" s="5">
        <v>220203</v>
      </c>
      <c r="E10752" s="5" t="s">
        <v>12991</v>
      </c>
    </row>
    <row r="10753" spans="2:5">
      <c r="B10753" s="4" t="s">
        <v>12345</v>
      </c>
      <c r="C10753" s="129" t="s">
        <v>12346</v>
      </c>
      <c r="D10753" s="5">
        <v>220204</v>
      </c>
      <c r="E10753" s="5" t="s">
        <v>12992</v>
      </c>
    </row>
    <row r="10754" spans="2:5">
      <c r="B10754" s="4" t="s">
        <v>12345</v>
      </c>
      <c r="C10754" s="129" t="s">
        <v>12346</v>
      </c>
      <c r="D10754" s="5">
        <v>220211</v>
      </c>
      <c r="E10754" s="5" t="s">
        <v>12993</v>
      </c>
    </row>
    <row r="10755" spans="2:5">
      <c r="B10755" s="4" t="s">
        <v>12345</v>
      </c>
      <c r="C10755" s="129" t="s">
        <v>12346</v>
      </c>
      <c r="D10755" s="5">
        <v>220221</v>
      </c>
      <c r="E10755" s="5" t="s">
        <v>12994</v>
      </c>
    </row>
    <row r="10756" spans="2:5">
      <c r="B10756" s="4" t="s">
        <v>12345</v>
      </c>
      <c r="C10756" s="129" t="s">
        <v>12346</v>
      </c>
      <c r="D10756" s="5">
        <v>220281</v>
      </c>
      <c r="E10756" s="5" t="s">
        <v>12995</v>
      </c>
    </row>
    <row r="10757" spans="2:5">
      <c r="B10757" s="4" t="s">
        <v>12345</v>
      </c>
      <c r="C10757" s="129" t="s">
        <v>12346</v>
      </c>
      <c r="D10757" s="5">
        <v>220282</v>
      </c>
      <c r="E10757" s="5" t="s">
        <v>12996</v>
      </c>
    </row>
    <row r="10758" spans="2:5">
      <c r="B10758" s="4" t="s">
        <v>12345</v>
      </c>
      <c r="C10758" s="129" t="s">
        <v>12346</v>
      </c>
      <c r="D10758" s="5">
        <v>220283</v>
      </c>
      <c r="E10758" s="5" t="s">
        <v>12997</v>
      </c>
    </row>
    <row r="10759" spans="2:5">
      <c r="B10759" s="4" t="s">
        <v>12345</v>
      </c>
      <c r="C10759" s="129" t="s">
        <v>12346</v>
      </c>
      <c r="D10759" s="5">
        <v>220284</v>
      </c>
      <c r="E10759" s="5" t="s">
        <v>12998</v>
      </c>
    </row>
    <row r="10760" spans="2:5">
      <c r="B10760" s="4" t="s">
        <v>12345</v>
      </c>
      <c r="C10760" s="129" t="s">
        <v>12346</v>
      </c>
      <c r="D10760" s="5">
        <v>220300</v>
      </c>
      <c r="E10760" s="5" t="s">
        <v>12999</v>
      </c>
    </row>
    <row r="10761" spans="2:5">
      <c r="B10761" s="4" t="s">
        <v>12345</v>
      </c>
      <c r="C10761" s="129" t="s">
        <v>12346</v>
      </c>
      <c r="D10761" s="5">
        <v>220301</v>
      </c>
      <c r="E10761" s="5" t="s">
        <v>13000</v>
      </c>
    </row>
    <row r="10762" spans="2:5">
      <c r="B10762" s="4" t="s">
        <v>12345</v>
      </c>
      <c r="C10762" s="129" t="s">
        <v>12346</v>
      </c>
      <c r="D10762" s="5">
        <v>220302</v>
      </c>
      <c r="E10762" s="5" t="s">
        <v>13001</v>
      </c>
    </row>
    <row r="10763" spans="2:5">
      <c r="B10763" s="4" t="s">
        <v>12345</v>
      </c>
      <c r="C10763" s="129" t="s">
        <v>12346</v>
      </c>
      <c r="D10763" s="5">
        <v>220303</v>
      </c>
      <c r="E10763" s="5" t="s">
        <v>13002</v>
      </c>
    </row>
    <row r="10764" spans="2:5">
      <c r="B10764" s="4" t="s">
        <v>12345</v>
      </c>
      <c r="C10764" s="129" t="s">
        <v>12346</v>
      </c>
      <c r="D10764" s="5">
        <v>220322</v>
      </c>
      <c r="E10764" s="5" t="s">
        <v>13003</v>
      </c>
    </row>
    <row r="10765" spans="2:5">
      <c r="B10765" s="4" t="s">
        <v>12345</v>
      </c>
      <c r="C10765" s="129" t="s">
        <v>12346</v>
      </c>
      <c r="D10765" s="5">
        <v>220323</v>
      </c>
      <c r="E10765" s="5" t="s">
        <v>13004</v>
      </c>
    </row>
    <row r="10766" spans="2:5">
      <c r="B10766" s="4" t="s">
        <v>12345</v>
      </c>
      <c r="C10766" s="129" t="s">
        <v>12346</v>
      </c>
      <c r="D10766" s="5">
        <v>220381</v>
      </c>
      <c r="E10766" s="5" t="s">
        <v>13005</v>
      </c>
    </row>
    <row r="10767" spans="2:5">
      <c r="B10767" s="4" t="s">
        <v>12345</v>
      </c>
      <c r="C10767" s="129" t="s">
        <v>12346</v>
      </c>
      <c r="D10767" s="5">
        <v>220382</v>
      </c>
      <c r="E10767" s="5" t="s">
        <v>13006</v>
      </c>
    </row>
    <row r="10768" spans="2:5">
      <c r="B10768" s="4" t="s">
        <v>12345</v>
      </c>
      <c r="C10768" s="129" t="s">
        <v>12346</v>
      </c>
      <c r="D10768" s="5">
        <v>220400</v>
      </c>
      <c r="E10768" s="5" t="s">
        <v>13007</v>
      </c>
    </row>
    <row r="10769" spans="2:5">
      <c r="B10769" s="4" t="s">
        <v>12345</v>
      </c>
      <c r="C10769" s="129" t="s">
        <v>12346</v>
      </c>
      <c r="D10769" s="5">
        <v>220401</v>
      </c>
      <c r="E10769" s="5" t="s">
        <v>13008</v>
      </c>
    </row>
    <row r="10770" spans="2:5">
      <c r="B10770" s="4" t="s">
        <v>12345</v>
      </c>
      <c r="C10770" s="129" t="s">
        <v>12346</v>
      </c>
      <c r="D10770" s="5">
        <v>220402</v>
      </c>
      <c r="E10770" s="5" t="s">
        <v>13009</v>
      </c>
    </row>
    <row r="10771" spans="2:5">
      <c r="B10771" s="4" t="s">
        <v>12345</v>
      </c>
      <c r="C10771" s="129" t="s">
        <v>12346</v>
      </c>
      <c r="D10771" s="5">
        <v>220403</v>
      </c>
      <c r="E10771" s="5" t="s">
        <v>13010</v>
      </c>
    </row>
    <row r="10772" spans="2:5">
      <c r="B10772" s="4" t="s">
        <v>12345</v>
      </c>
      <c r="C10772" s="129" t="s">
        <v>12346</v>
      </c>
      <c r="D10772" s="5">
        <v>220421</v>
      </c>
      <c r="E10772" s="5" t="s">
        <v>13011</v>
      </c>
    </row>
    <row r="10773" spans="2:5">
      <c r="B10773" s="4" t="s">
        <v>12345</v>
      </c>
      <c r="C10773" s="129" t="s">
        <v>12346</v>
      </c>
      <c r="D10773" s="5">
        <v>220422</v>
      </c>
      <c r="E10773" s="5" t="s">
        <v>13012</v>
      </c>
    </row>
    <row r="10774" spans="2:5">
      <c r="B10774" s="4" t="s">
        <v>12345</v>
      </c>
      <c r="C10774" s="129" t="s">
        <v>12346</v>
      </c>
      <c r="D10774" s="5">
        <v>220500</v>
      </c>
      <c r="E10774" s="5" t="s">
        <v>13013</v>
      </c>
    </row>
    <row r="10775" spans="2:5">
      <c r="B10775" s="4" t="s">
        <v>12345</v>
      </c>
      <c r="C10775" s="129" t="s">
        <v>12346</v>
      </c>
      <c r="D10775" s="5">
        <v>220501</v>
      </c>
      <c r="E10775" s="5" t="s">
        <v>13014</v>
      </c>
    </row>
    <row r="10776" spans="2:5">
      <c r="B10776" s="4" t="s">
        <v>12345</v>
      </c>
      <c r="C10776" s="129" t="s">
        <v>12346</v>
      </c>
      <c r="D10776" s="5">
        <v>220502</v>
      </c>
      <c r="E10776" s="5" t="s">
        <v>13015</v>
      </c>
    </row>
    <row r="10777" spans="2:5">
      <c r="B10777" s="4" t="s">
        <v>12345</v>
      </c>
      <c r="C10777" s="129" t="s">
        <v>12346</v>
      </c>
      <c r="D10777" s="5">
        <v>220503</v>
      </c>
      <c r="E10777" s="5" t="s">
        <v>13016</v>
      </c>
    </row>
    <row r="10778" spans="2:5">
      <c r="B10778" s="4" t="s">
        <v>12345</v>
      </c>
      <c r="C10778" s="129" t="s">
        <v>12346</v>
      </c>
      <c r="D10778" s="5">
        <v>220521</v>
      </c>
      <c r="E10778" s="5" t="s">
        <v>13017</v>
      </c>
    </row>
    <row r="10779" spans="2:5">
      <c r="B10779" s="4" t="s">
        <v>12345</v>
      </c>
      <c r="C10779" s="129" t="s">
        <v>12346</v>
      </c>
      <c r="D10779" s="5">
        <v>220523</v>
      </c>
      <c r="E10779" s="5" t="s">
        <v>13018</v>
      </c>
    </row>
    <row r="10780" spans="2:5">
      <c r="B10780" s="4" t="s">
        <v>12345</v>
      </c>
      <c r="C10780" s="129" t="s">
        <v>12346</v>
      </c>
      <c r="D10780" s="5">
        <v>220524</v>
      </c>
      <c r="E10780" s="5" t="s">
        <v>13019</v>
      </c>
    </row>
    <row r="10781" spans="2:5">
      <c r="B10781" s="4" t="s">
        <v>12345</v>
      </c>
      <c r="C10781" s="129" t="s">
        <v>12346</v>
      </c>
      <c r="D10781" s="5">
        <v>220581</v>
      </c>
      <c r="E10781" s="5" t="s">
        <v>13020</v>
      </c>
    </row>
    <row r="10782" spans="2:5">
      <c r="B10782" s="4" t="s">
        <v>12345</v>
      </c>
      <c r="C10782" s="129" t="s">
        <v>12346</v>
      </c>
      <c r="D10782" s="5">
        <v>220582</v>
      </c>
      <c r="E10782" s="5" t="s">
        <v>13021</v>
      </c>
    </row>
    <row r="10783" spans="2:5">
      <c r="B10783" s="4" t="s">
        <v>12345</v>
      </c>
      <c r="C10783" s="129" t="s">
        <v>12346</v>
      </c>
      <c r="D10783" s="5">
        <v>220600</v>
      </c>
      <c r="E10783" s="5" t="s">
        <v>13022</v>
      </c>
    </row>
    <row r="10784" spans="2:5">
      <c r="B10784" s="4" t="s">
        <v>12345</v>
      </c>
      <c r="C10784" s="129" t="s">
        <v>12346</v>
      </c>
      <c r="D10784" s="5">
        <v>220601</v>
      </c>
      <c r="E10784" s="5" t="s">
        <v>13023</v>
      </c>
    </row>
    <row r="10785" spans="2:5">
      <c r="B10785" s="4" t="s">
        <v>12345</v>
      </c>
      <c r="C10785" s="129" t="s">
        <v>12346</v>
      </c>
      <c r="D10785" s="5">
        <v>220602</v>
      </c>
      <c r="E10785" s="5" t="s">
        <v>13024</v>
      </c>
    </row>
    <row r="10786" spans="2:5">
      <c r="B10786" s="4" t="s">
        <v>12345</v>
      </c>
      <c r="C10786" s="129" t="s">
        <v>12346</v>
      </c>
      <c r="D10786" s="5">
        <v>220605</v>
      </c>
      <c r="E10786" s="5" t="s">
        <v>13025</v>
      </c>
    </row>
    <row r="10787" spans="2:5">
      <c r="B10787" s="4" t="s">
        <v>12345</v>
      </c>
      <c r="C10787" s="129" t="s">
        <v>12346</v>
      </c>
      <c r="D10787" s="5">
        <v>220621</v>
      </c>
      <c r="E10787" s="5" t="s">
        <v>13026</v>
      </c>
    </row>
    <row r="10788" spans="2:5">
      <c r="B10788" s="4" t="s">
        <v>12345</v>
      </c>
      <c r="C10788" s="129" t="s">
        <v>12346</v>
      </c>
      <c r="D10788" s="5">
        <v>220622</v>
      </c>
      <c r="E10788" s="5" t="s">
        <v>13027</v>
      </c>
    </row>
    <row r="10789" spans="2:5">
      <c r="B10789" s="4" t="s">
        <v>12345</v>
      </c>
      <c r="C10789" s="129" t="s">
        <v>12346</v>
      </c>
      <c r="D10789" s="5">
        <v>220623</v>
      </c>
      <c r="E10789" s="5" t="s">
        <v>13028</v>
      </c>
    </row>
    <row r="10790" spans="2:5">
      <c r="B10790" s="4" t="s">
        <v>12345</v>
      </c>
      <c r="C10790" s="129" t="s">
        <v>12346</v>
      </c>
      <c r="D10790" s="5">
        <v>220681</v>
      </c>
      <c r="E10790" s="5" t="s">
        <v>13029</v>
      </c>
    </row>
    <row r="10791" spans="2:5">
      <c r="B10791" s="4" t="s">
        <v>12345</v>
      </c>
      <c r="C10791" s="129" t="s">
        <v>12346</v>
      </c>
      <c r="D10791" s="5">
        <v>220700</v>
      </c>
      <c r="E10791" s="5" t="s">
        <v>13030</v>
      </c>
    </row>
    <row r="10792" spans="2:5">
      <c r="B10792" s="4" t="s">
        <v>12345</v>
      </c>
      <c r="C10792" s="129" t="s">
        <v>12346</v>
      </c>
      <c r="D10792" s="5">
        <v>220701</v>
      </c>
      <c r="E10792" s="5" t="s">
        <v>13031</v>
      </c>
    </row>
    <row r="10793" spans="2:5">
      <c r="B10793" s="4" t="s">
        <v>12345</v>
      </c>
      <c r="C10793" s="129" t="s">
        <v>12346</v>
      </c>
      <c r="D10793" s="5">
        <v>220702</v>
      </c>
      <c r="E10793" s="5" t="s">
        <v>13032</v>
      </c>
    </row>
    <row r="10794" spans="2:5">
      <c r="B10794" s="4" t="s">
        <v>12345</v>
      </c>
      <c r="C10794" s="129" t="s">
        <v>12346</v>
      </c>
      <c r="D10794" s="5">
        <v>220721</v>
      </c>
      <c r="E10794" s="5" t="s">
        <v>13033</v>
      </c>
    </row>
    <row r="10795" spans="2:5">
      <c r="B10795" s="4" t="s">
        <v>12345</v>
      </c>
      <c r="C10795" s="129" t="s">
        <v>12346</v>
      </c>
      <c r="D10795" s="5">
        <v>220722</v>
      </c>
      <c r="E10795" s="5" t="s">
        <v>13034</v>
      </c>
    </row>
    <row r="10796" spans="2:5">
      <c r="B10796" s="4" t="s">
        <v>12345</v>
      </c>
      <c r="C10796" s="129" t="s">
        <v>12346</v>
      </c>
      <c r="D10796" s="5">
        <v>220723</v>
      </c>
      <c r="E10796" s="5" t="s">
        <v>13035</v>
      </c>
    </row>
    <row r="10797" spans="2:5">
      <c r="B10797" s="4" t="s">
        <v>12345</v>
      </c>
      <c r="C10797" s="129" t="s">
        <v>12346</v>
      </c>
      <c r="D10797" s="5">
        <v>220724</v>
      </c>
      <c r="E10797" s="5" t="s">
        <v>13036</v>
      </c>
    </row>
    <row r="10798" spans="2:5">
      <c r="B10798" s="4" t="s">
        <v>12345</v>
      </c>
      <c r="C10798" s="129" t="s">
        <v>12346</v>
      </c>
      <c r="D10798" s="5">
        <v>220800</v>
      </c>
      <c r="E10798" s="5" t="s">
        <v>13037</v>
      </c>
    </row>
    <row r="10799" spans="2:5">
      <c r="B10799" s="4" t="s">
        <v>12345</v>
      </c>
      <c r="C10799" s="129" t="s">
        <v>12346</v>
      </c>
      <c r="D10799" s="5">
        <v>220801</v>
      </c>
      <c r="E10799" s="5" t="s">
        <v>13038</v>
      </c>
    </row>
    <row r="10800" spans="2:5">
      <c r="B10800" s="4" t="s">
        <v>12345</v>
      </c>
      <c r="C10800" s="129" t="s">
        <v>12346</v>
      </c>
      <c r="D10800" s="5">
        <v>220802</v>
      </c>
      <c r="E10800" s="5" t="s">
        <v>13039</v>
      </c>
    </row>
    <row r="10801" spans="2:5">
      <c r="B10801" s="4" t="s">
        <v>12345</v>
      </c>
      <c r="C10801" s="129" t="s">
        <v>12346</v>
      </c>
      <c r="D10801" s="5">
        <v>220821</v>
      </c>
      <c r="E10801" s="5" t="s">
        <v>13040</v>
      </c>
    </row>
    <row r="10802" spans="2:5">
      <c r="B10802" s="4" t="s">
        <v>12345</v>
      </c>
      <c r="C10802" s="129" t="s">
        <v>12346</v>
      </c>
      <c r="D10802" s="5">
        <v>220822</v>
      </c>
      <c r="E10802" s="5" t="s">
        <v>13041</v>
      </c>
    </row>
    <row r="10803" spans="2:5">
      <c r="B10803" s="4" t="s">
        <v>12345</v>
      </c>
      <c r="C10803" s="129" t="s">
        <v>12346</v>
      </c>
      <c r="D10803" s="5">
        <v>220881</v>
      </c>
      <c r="E10803" s="5" t="s">
        <v>13042</v>
      </c>
    </row>
    <row r="10804" spans="2:5">
      <c r="B10804" s="4" t="s">
        <v>12345</v>
      </c>
      <c r="C10804" s="129" t="s">
        <v>12346</v>
      </c>
      <c r="D10804" s="5">
        <v>220882</v>
      </c>
      <c r="E10804" s="5" t="s">
        <v>13043</v>
      </c>
    </row>
    <row r="10805" spans="2:5">
      <c r="B10805" s="4" t="s">
        <v>12345</v>
      </c>
      <c r="C10805" s="129" t="s">
        <v>12346</v>
      </c>
      <c r="D10805" s="5">
        <v>222400</v>
      </c>
      <c r="E10805" s="5" t="s">
        <v>13044</v>
      </c>
    </row>
    <row r="10806" spans="2:5">
      <c r="B10806" s="4" t="s">
        <v>12345</v>
      </c>
      <c r="C10806" s="129" t="s">
        <v>12346</v>
      </c>
      <c r="D10806" s="5">
        <v>222401</v>
      </c>
      <c r="E10806" s="5" t="s">
        <v>13045</v>
      </c>
    </row>
    <row r="10807" spans="2:5">
      <c r="B10807" s="4" t="s">
        <v>12345</v>
      </c>
      <c r="C10807" s="129" t="s">
        <v>12346</v>
      </c>
      <c r="D10807" s="5">
        <v>222402</v>
      </c>
      <c r="E10807" s="5" t="s">
        <v>13046</v>
      </c>
    </row>
    <row r="10808" spans="2:5">
      <c r="B10808" s="4" t="s">
        <v>12345</v>
      </c>
      <c r="C10808" s="129" t="s">
        <v>12346</v>
      </c>
      <c r="D10808" s="5">
        <v>222403</v>
      </c>
      <c r="E10808" s="5" t="s">
        <v>13047</v>
      </c>
    </row>
    <row r="10809" spans="2:5">
      <c r="B10809" s="4" t="s">
        <v>12345</v>
      </c>
      <c r="C10809" s="129" t="s">
        <v>12346</v>
      </c>
      <c r="D10809" s="5">
        <v>222404</v>
      </c>
      <c r="E10809" s="5" t="s">
        <v>13048</v>
      </c>
    </row>
    <row r="10810" spans="2:5">
      <c r="B10810" s="4" t="s">
        <v>12345</v>
      </c>
      <c r="C10810" s="129" t="s">
        <v>12346</v>
      </c>
      <c r="D10810" s="5">
        <v>222405</v>
      </c>
      <c r="E10810" s="5" t="s">
        <v>13049</v>
      </c>
    </row>
    <row r="10811" spans="2:5">
      <c r="B10811" s="4" t="s">
        <v>12345</v>
      </c>
      <c r="C10811" s="129" t="s">
        <v>12346</v>
      </c>
      <c r="D10811" s="5">
        <v>222406</v>
      </c>
      <c r="E10811" s="5" t="s">
        <v>13050</v>
      </c>
    </row>
    <row r="10812" spans="2:5">
      <c r="B10812" s="4" t="s">
        <v>12345</v>
      </c>
      <c r="C10812" s="129" t="s">
        <v>12346</v>
      </c>
      <c r="D10812" s="5">
        <v>222424</v>
      </c>
      <c r="E10812" s="5" t="s">
        <v>13051</v>
      </c>
    </row>
    <row r="10813" spans="2:5">
      <c r="B10813" s="4" t="s">
        <v>12345</v>
      </c>
      <c r="C10813" s="129" t="s">
        <v>12346</v>
      </c>
      <c r="D10813" s="5">
        <v>222426</v>
      </c>
      <c r="E10813" s="5" t="s">
        <v>13052</v>
      </c>
    </row>
    <row r="10814" spans="2:5">
      <c r="B10814" s="4" t="s">
        <v>12345</v>
      </c>
      <c r="C10814" s="129" t="s">
        <v>12346</v>
      </c>
      <c r="D10814" s="5">
        <v>230000</v>
      </c>
      <c r="E10814" s="5" t="s">
        <v>13053</v>
      </c>
    </row>
    <row r="10815" spans="2:5">
      <c r="B10815" s="4" t="s">
        <v>12345</v>
      </c>
      <c r="C10815" s="129" t="s">
        <v>12346</v>
      </c>
      <c r="D10815" s="5">
        <v>230100</v>
      </c>
      <c r="E10815" s="5" t="s">
        <v>13054</v>
      </c>
    </row>
    <row r="10816" spans="2:5">
      <c r="B10816" s="4" t="s">
        <v>12345</v>
      </c>
      <c r="C10816" s="129" t="s">
        <v>12346</v>
      </c>
      <c r="D10816" s="5">
        <v>230101</v>
      </c>
      <c r="E10816" s="5" t="s">
        <v>13055</v>
      </c>
    </row>
    <row r="10817" spans="2:5">
      <c r="B10817" s="4" t="s">
        <v>12345</v>
      </c>
      <c r="C10817" s="129" t="s">
        <v>12346</v>
      </c>
      <c r="D10817" s="5">
        <v>230102</v>
      </c>
      <c r="E10817" s="5" t="s">
        <v>13056</v>
      </c>
    </row>
    <row r="10818" spans="2:5">
      <c r="B10818" s="4" t="s">
        <v>12345</v>
      </c>
      <c r="C10818" s="129" t="s">
        <v>12346</v>
      </c>
      <c r="D10818" s="5">
        <v>230103</v>
      </c>
      <c r="E10818" s="5" t="s">
        <v>13057</v>
      </c>
    </row>
    <row r="10819" spans="2:5">
      <c r="B10819" s="4" t="s">
        <v>12345</v>
      </c>
      <c r="C10819" s="129" t="s">
        <v>12346</v>
      </c>
      <c r="D10819" s="5">
        <v>230104</v>
      </c>
      <c r="E10819" s="5" t="s">
        <v>13058</v>
      </c>
    </row>
    <row r="10820" spans="2:5">
      <c r="B10820" s="4" t="s">
        <v>12345</v>
      </c>
      <c r="C10820" s="129" t="s">
        <v>12346</v>
      </c>
      <c r="D10820" s="5">
        <v>230108</v>
      </c>
      <c r="E10820" s="5" t="s">
        <v>13059</v>
      </c>
    </row>
    <row r="10821" spans="2:5">
      <c r="B10821" s="4" t="s">
        <v>12345</v>
      </c>
      <c r="C10821" s="129" t="s">
        <v>12346</v>
      </c>
      <c r="D10821" s="5">
        <v>230109</v>
      </c>
      <c r="E10821" s="5" t="s">
        <v>13060</v>
      </c>
    </row>
    <row r="10822" spans="2:5">
      <c r="B10822" s="4" t="s">
        <v>12345</v>
      </c>
      <c r="C10822" s="129" t="s">
        <v>12346</v>
      </c>
      <c r="D10822" s="5">
        <v>230110</v>
      </c>
      <c r="E10822" s="5" t="s">
        <v>13061</v>
      </c>
    </row>
    <row r="10823" spans="2:5">
      <c r="B10823" s="4" t="s">
        <v>12345</v>
      </c>
      <c r="C10823" s="129" t="s">
        <v>12346</v>
      </c>
      <c r="D10823" s="5">
        <v>230111</v>
      </c>
      <c r="E10823" s="5" t="s">
        <v>13062</v>
      </c>
    </row>
    <row r="10824" spans="2:5">
      <c r="B10824" s="4" t="s">
        <v>12345</v>
      </c>
      <c r="C10824" s="129" t="s">
        <v>12346</v>
      </c>
      <c r="D10824" s="5">
        <v>230112</v>
      </c>
      <c r="E10824" s="5" t="s">
        <v>13063</v>
      </c>
    </row>
    <row r="10825" spans="2:5">
      <c r="B10825" s="4" t="s">
        <v>12345</v>
      </c>
      <c r="C10825" s="129" t="s">
        <v>12346</v>
      </c>
      <c r="D10825" s="5">
        <v>230123</v>
      </c>
      <c r="E10825" s="5" t="s">
        <v>13064</v>
      </c>
    </row>
    <row r="10826" spans="2:5">
      <c r="B10826" s="4" t="s">
        <v>12345</v>
      </c>
      <c r="C10826" s="129" t="s">
        <v>12346</v>
      </c>
      <c r="D10826" s="5">
        <v>230124</v>
      </c>
      <c r="E10826" s="5" t="s">
        <v>13065</v>
      </c>
    </row>
    <row r="10827" spans="2:5">
      <c r="B10827" s="4" t="s">
        <v>12345</v>
      </c>
      <c r="C10827" s="129" t="s">
        <v>12346</v>
      </c>
      <c r="D10827" s="5">
        <v>230125</v>
      </c>
      <c r="E10827" s="5" t="s">
        <v>13066</v>
      </c>
    </row>
    <row r="10828" spans="2:5">
      <c r="B10828" s="4" t="s">
        <v>12345</v>
      </c>
      <c r="C10828" s="129" t="s">
        <v>12346</v>
      </c>
      <c r="D10828" s="5">
        <v>230126</v>
      </c>
      <c r="E10828" s="5" t="s">
        <v>13067</v>
      </c>
    </row>
    <row r="10829" spans="2:5">
      <c r="B10829" s="4" t="s">
        <v>12345</v>
      </c>
      <c r="C10829" s="129" t="s">
        <v>12346</v>
      </c>
      <c r="D10829" s="5">
        <v>230127</v>
      </c>
      <c r="E10829" s="5" t="s">
        <v>13068</v>
      </c>
    </row>
    <row r="10830" spans="2:5">
      <c r="B10830" s="4" t="s">
        <v>12345</v>
      </c>
      <c r="C10830" s="129" t="s">
        <v>12346</v>
      </c>
      <c r="D10830" s="5">
        <v>230128</v>
      </c>
      <c r="E10830" s="5" t="s">
        <v>13069</v>
      </c>
    </row>
    <row r="10831" spans="2:5">
      <c r="B10831" s="4" t="s">
        <v>12345</v>
      </c>
      <c r="C10831" s="129" t="s">
        <v>12346</v>
      </c>
      <c r="D10831" s="5">
        <v>230129</v>
      </c>
      <c r="E10831" s="5" t="s">
        <v>13070</v>
      </c>
    </row>
    <row r="10832" spans="2:5">
      <c r="B10832" s="4" t="s">
        <v>12345</v>
      </c>
      <c r="C10832" s="129" t="s">
        <v>12346</v>
      </c>
      <c r="D10832" s="5">
        <v>230182</v>
      </c>
      <c r="E10832" s="5" t="s">
        <v>13071</v>
      </c>
    </row>
    <row r="10833" spans="2:5">
      <c r="B10833" s="4" t="s">
        <v>12345</v>
      </c>
      <c r="C10833" s="129" t="s">
        <v>12346</v>
      </c>
      <c r="D10833" s="5">
        <v>230183</v>
      </c>
      <c r="E10833" s="5" t="s">
        <v>13072</v>
      </c>
    </row>
    <row r="10834" spans="2:5">
      <c r="B10834" s="4" t="s">
        <v>12345</v>
      </c>
      <c r="C10834" s="129" t="s">
        <v>12346</v>
      </c>
      <c r="D10834" s="5">
        <v>230184</v>
      </c>
      <c r="E10834" s="5" t="s">
        <v>13073</v>
      </c>
    </row>
    <row r="10835" spans="2:5">
      <c r="B10835" s="4" t="s">
        <v>12345</v>
      </c>
      <c r="C10835" s="129" t="s">
        <v>12346</v>
      </c>
      <c r="D10835" s="5">
        <v>230200</v>
      </c>
      <c r="E10835" s="5" t="s">
        <v>13074</v>
      </c>
    </row>
    <row r="10836" spans="2:5">
      <c r="B10836" s="4" t="s">
        <v>12345</v>
      </c>
      <c r="C10836" s="129" t="s">
        <v>12346</v>
      </c>
      <c r="D10836" s="5">
        <v>230201</v>
      </c>
      <c r="E10836" s="5" t="s">
        <v>13075</v>
      </c>
    </row>
    <row r="10837" spans="2:5">
      <c r="B10837" s="4" t="s">
        <v>12345</v>
      </c>
      <c r="C10837" s="129" t="s">
        <v>12346</v>
      </c>
      <c r="D10837" s="5">
        <v>230202</v>
      </c>
      <c r="E10837" s="5" t="s">
        <v>13076</v>
      </c>
    </row>
    <row r="10838" spans="2:5">
      <c r="B10838" s="4" t="s">
        <v>12345</v>
      </c>
      <c r="C10838" s="129" t="s">
        <v>12346</v>
      </c>
      <c r="D10838" s="5">
        <v>230203</v>
      </c>
      <c r="E10838" s="5" t="s">
        <v>13077</v>
      </c>
    </row>
    <row r="10839" spans="2:5">
      <c r="B10839" s="4" t="s">
        <v>12345</v>
      </c>
      <c r="C10839" s="129" t="s">
        <v>12346</v>
      </c>
      <c r="D10839" s="5">
        <v>230204</v>
      </c>
      <c r="E10839" s="5" t="s">
        <v>13078</v>
      </c>
    </row>
    <row r="10840" spans="2:5">
      <c r="B10840" s="4" t="s">
        <v>12345</v>
      </c>
      <c r="C10840" s="129" t="s">
        <v>12346</v>
      </c>
      <c r="D10840" s="5">
        <v>230205</v>
      </c>
      <c r="E10840" s="5" t="s">
        <v>13079</v>
      </c>
    </row>
    <row r="10841" spans="2:5">
      <c r="B10841" s="4" t="s">
        <v>12345</v>
      </c>
      <c r="C10841" s="129" t="s">
        <v>12346</v>
      </c>
      <c r="D10841" s="5">
        <v>230206</v>
      </c>
      <c r="E10841" s="5" t="s">
        <v>13080</v>
      </c>
    </row>
    <row r="10842" spans="2:5">
      <c r="B10842" s="4" t="s">
        <v>12345</v>
      </c>
      <c r="C10842" s="129" t="s">
        <v>12346</v>
      </c>
      <c r="D10842" s="5">
        <v>230207</v>
      </c>
      <c r="E10842" s="5" t="s">
        <v>13081</v>
      </c>
    </row>
    <row r="10843" spans="2:5">
      <c r="B10843" s="4" t="s">
        <v>12345</v>
      </c>
      <c r="C10843" s="129" t="s">
        <v>12346</v>
      </c>
      <c r="D10843" s="5">
        <v>230208</v>
      </c>
      <c r="E10843" s="5" t="s">
        <v>13082</v>
      </c>
    </row>
    <row r="10844" spans="2:5">
      <c r="B10844" s="4" t="s">
        <v>12345</v>
      </c>
      <c r="C10844" s="129" t="s">
        <v>12346</v>
      </c>
      <c r="D10844" s="5">
        <v>230221</v>
      </c>
      <c r="E10844" s="5" t="s">
        <v>13083</v>
      </c>
    </row>
    <row r="10845" spans="2:5">
      <c r="B10845" s="4" t="s">
        <v>12345</v>
      </c>
      <c r="C10845" s="129" t="s">
        <v>12346</v>
      </c>
      <c r="D10845" s="5">
        <v>230223</v>
      </c>
      <c r="E10845" s="5" t="s">
        <v>13084</v>
      </c>
    </row>
    <row r="10846" spans="2:5">
      <c r="B10846" s="4" t="s">
        <v>12345</v>
      </c>
      <c r="C10846" s="129" t="s">
        <v>12346</v>
      </c>
      <c r="D10846" s="5">
        <v>230224</v>
      </c>
      <c r="E10846" s="5" t="s">
        <v>13085</v>
      </c>
    </row>
    <row r="10847" spans="2:5">
      <c r="B10847" s="4" t="s">
        <v>12345</v>
      </c>
      <c r="C10847" s="129" t="s">
        <v>12346</v>
      </c>
      <c r="D10847" s="5">
        <v>230225</v>
      </c>
      <c r="E10847" s="5" t="s">
        <v>13086</v>
      </c>
    </row>
    <row r="10848" spans="2:5">
      <c r="B10848" s="4" t="s">
        <v>12345</v>
      </c>
      <c r="C10848" s="129" t="s">
        <v>12346</v>
      </c>
      <c r="D10848" s="5">
        <v>230227</v>
      </c>
      <c r="E10848" s="5" t="s">
        <v>13087</v>
      </c>
    </row>
    <row r="10849" spans="2:5">
      <c r="B10849" s="4" t="s">
        <v>12345</v>
      </c>
      <c r="C10849" s="129" t="s">
        <v>12346</v>
      </c>
      <c r="D10849" s="5">
        <v>230229</v>
      </c>
      <c r="E10849" s="5" t="s">
        <v>13088</v>
      </c>
    </row>
    <row r="10850" spans="2:5">
      <c r="B10850" s="4" t="s">
        <v>12345</v>
      </c>
      <c r="C10850" s="129" t="s">
        <v>12346</v>
      </c>
      <c r="D10850" s="5">
        <v>230230</v>
      </c>
      <c r="E10850" s="5" t="s">
        <v>13089</v>
      </c>
    </row>
    <row r="10851" spans="2:5">
      <c r="B10851" s="4" t="s">
        <v>12345</v>
      </c>
      <c r="C10851" s="129" t="s">
        <v>12346</v>
      </c>
      <c r="D10851" s="5">
        <v>230231</v>
      </c>
      <c r="E10851" s="5" t="s">
        <v>13090</v>
      </c>
    </row>
    <row r="10852" spans="2:5">
      <c r="B10852" s="4" t="s">
        <v>12345</v>
      </c>
      <c r="C10852" s="129" t="s">
        <v>12346</v>
      </c>
      <c r="D10852" s="5">
        <v>230281</v>
      </c>
      <c r="E10852" s="5" t="s">
        <v>13091</v>
      </c>
    </row>
    <row r="10853" spans="2:5">
      <c r="B10853" s="4" t="s">
        <v>12345</v>
      </c>
      <c r="C10853" s="129" t="s">
        <v>12346</v>
      </c>
      <c r="D10853" s="5">
        <v>230300</v>
      </c>
      <c r="E10853" s="5" t="s">
        <v>13092</v>
      </c>
    </row>
    <row r="10854" spans="2:5">
      <c r="B10854" s="4" t="s">
        <v>12345</v>
      </c>
      <c r="C10854" s="129" t="s">
        <v>12346</v>
      </c>
      <c r="D10854" s="5">
        <v>230301</v>
      </c>
      <c r="E10854" s="5" t="s">
        <v>13093</v>
      </c>
    </row>
    <row r="10855" spans="2:5">
      <c r="B10855" s="4" t="s">
        <v>12345</v>
      </c>
      <c r="C10855" s="129" t="s">
        <v>12346</v>
      </c>
      <c r="D10855" s="5">
        <v>230302</v>
      </c>
      <c r="E10855" s="5" t="s">
        <v>13094</v>
      </c>
    </row>
    <row r="10856" spans="2:5">
      <c r="B10856" s="4" t="s">
        <v>12345</v>
      </c>
      <c r="C10856" s="129" t="s">
        <v>12346</v>
      </c>
      <c r="D10856" s="5">
        <v>230303</v>
      </c>
      <c r="E10856" s="5" t="s">
        <v>13095</v>
      </c>
    </row>
    <row r="10857" spans="2:5">
      <c r="B10857" s="4" t="s">
        <v>12345</v>
      </c>
      <c r="C10857" s="129" t="s">
        <v>12346</v>
      </c>
      <c r="D10857" s="5">
        <v>230304</v>
      </c>
      <c r="E10857" s="5" t="s">
        <v>13096</v>
      </c>
    </row>
    <row r="10858" spans="2:5">
      <c r="B10858" s="4" t="s">
        <v>12345</v>
      </c>
      <c r="C10858" s="129" t="s">
        <v>12346</v>
      </c>
      <c r="D10858" s="5">
        <v>230305</v>
      </c>
      <c r="E10858" s="5" t="s">
        <v>13097</v>
      </c>
    </row>
    <row r="10859" spans="2:5">
      <c r="B10859" s="4" t="s">
        <v>12345</v>
      </c>
      <c r="C10859" s="129" t="s">
        <v>12346</v>
      </c>
      <c r="D10859" s="5">
        <v>230306</v>
      </c>
      <c r="E10859" s="5" t="s">
        <v>13098</v>
      </c>
    </row>
    <row r="10860" spans="2:5">
      <c r="B10860" s="4" t="s">
        <v>12345</v>
      </c>
      <c r="C10860" s="129" t="s">
        <v>12346</v>
      </c>
      <c r="D10860" s="5">
        <v>230307</v>
      </c>
      <c r="E10860" s="5" t="s">
        <v>13099</v>
      </c>
    </row>
    <row r="10861" spans="2:5">
      <c r="B10861" s="4" t="s">
        <v>12345</v>
      </c>
      <c r="C10861" s="129" t="s">
        <v>12346</v>
      </c>
      <c r="D10861" s="5">
        <v>230321</v>
      </c>
      <c r="E10861" s="5" t="s">
        <v>13100</v>
      </c>
    </row>
    <row r="10862" spans="2:5">
      <c r="B10862" s="4" t="s">
        <v>12345</v>
      </c>
      <c r="C10862" s="129" t="s">
        <v>12346</v>
      </c>
      <c r="D10862" s="5">
        <v>230381</v>
      </c>
      <c r="E10862" s="5" t="s">
        <v>13101</v>
      </c>
    </row>
    <row r="10863" spans="2:5">
      <c r="B10863" s="4" t="s">
        <v>12345</v>
      </c>
      <c r="C10863" s="129" t="s">
        <v>12346</v>
      </c>
      <c r="D10863" s="5">
        <v>230382</v>
      </c>
      <c r="E10863" s="5" t="s">
        <v>13102</v>
      </c>
    </row>
    <row r="10864" spans="2:5">
      <c r="B10864" s="4" t="s">
        <v>12345</v>
      </c>
      <c r="C10864" s="129" t="s">
        <v>12346</v>
      </c>
      <c r="D10864" s="5">
        <v>230400</v>
      </c>
      <c r="E10864" s="5" t="s">
        <v>13103</v>
      </c>
    </row>
    <row r="10865" spans="2:5">
      <c r="B10865" s="4" t="s">
        <v>12345</v>
      </c>
      <c r="C10865" s="129" t="s">
        <v>12346</v>
      </c>
      <c r="D10865" s="5">
        <v>230401</v>
      </c>
      <c r="E10865" s="5" t="s">
        <v>13104</v>
      </c>
    </row>
    <row r="10866" spans="2:5">
      <c r="B10866" s="4" t="s">
        <v>12345</v>
      </c>
      <c r="C10866" s="129" t="s">
        <v>12346</v>
      </c>
      <c r="D10866" s="5">
        <v>230402</v>
      </c>
      <c r="E10866" s="5" t="s">
        <v>13105</v>
      </c>
    </row>
    <row r="10867" spans="2:5">
      <c r="B10867" s="4" t="s">
        <v>12345</v>
      </c>
      <c r="C10867" s="129" t="s">
        <v>12346</v>
      </c>
      <c r="D10867" s="5">
        <v>230403</v>
      </c>
      <c r="E10867" s="5" t="s">
        <v>13106</v>
      </c>
    </row>
    <row r="10868" spans="2:5">
      <c r="B10868" s="4" t="s">
        <v>12345</v>
      </c>
      <c r="C10868" s="129" t="s">
        <v>12346</v>
      </c>
      <c r="D10868" s="5">
        <v>230404</v>
      </c>
      <c r="E10868" s="5" t="s">
        <v>13107</v>
      </c>
    </row>
    <row r="10869" spans="2:5">
      <c r="B10869" s="4" t="s">
        <v>12345</v>
      </c>
      <c r="C10869" s="129" t="s">
        <v>12346</v>
      </c>
      <c r="D10869" s="5">
        <v>230405</v>
      </c>
      <c r="E10869" s="5" t="s">
        <v>13108</v>
      </c>
    </row>
    <row r="10870" spans="2:5">
      <c r="B10870" s="4" t="s">
        <v>12345</v>
      </c>
      <c r="C10870" s="129" t="s">
        <v>12346</v>
      </c>
      <c r="D10870" s="5">
        <v>230406</v>
      </c>
      <c r="E10870" s="5" t="s">
        <v>13109</v>
      </c>
    </row>
    <row r="10871" spans="2:5">
      <c r="B10871" s="4" t="s">
        <v>12345</v>
      </c>
      <c r="C10871" s="129" t="s">
        <v>12346</v>
      </c>
      <c r="D10871" s="5">
        <v>230407</v>
      </c>
      <c r="E10871" s="5" t="s">
        <v>13110</v>
      </c>
    </row>
    <row r="10872" spans="2:5">
      <c r="B10872" s="4" t="s">
        <v>12345</v>
      </c>
      <c r="C10872" s="129" t="s">
        <v>12346</v>
      </c>
      <c r="D10872" s="5">
        <v>230421</v>
      </c>
      <c r="E10872" s="5" t="s">
        <v>13111</v>
      </c>
    </row>
    <row r="10873" spans="2:5">
      <c r="B10873" s="4" t="s">
        <v>12345</v>
      </c>
      <c r="C10873" s="129" t="s">
        <v>12346</v>
      </c>
      <c r="D10873" s="5">
        <v>230422</v>
      </c>
      <c r="E10873" s="5" t="s">
        <v>13112</v>
      </c>
    </row>
    <row r="10874" spans="2:5">
      <c r="B10874" s="4" t="s">
        <v>12345</v>
      </c>
      <c r="C10874" s="129" t="s">
        <v>12346</v>
      </c>
      <c r="D10874" s="5">
        <v>230500</v>
      </c>
      <c r="E10874" s="5" t="s">
        <v>13113</v>
      </c>
    </row>
    <row r="10875" spans="2:5">
      <c r="B10875" s="4" t="s">
        <v>12345</v>
      </c>
      <c r="C10875" s="129" t="s">
        <v>12346</v>
      </c>
      <c r="D10875" s="5">
        <v>230501</v>
      </c>
      <c r="E10875" s="5" t="s">
        <v>13114</v>
      </c>
    </row>
    <row r="10876" spans="2:5">
      <c r="B10876" s="4" t="s">
        <v>12345</v>
      </c>
      <c r="C10876" s="129" t="s">
        <v>12346</v>
      </c>
      <c r="D10876" s="5">
        <v>230502</v>
      </c>
      <c r="E10876" s="5" t="s">
        <v>13115</v>
      </c>
    </row>
    <row r="10877" spans="2:5">
      <c r="B10877" s="4" t="s">
        <v>12345</v>
      </c>
      <c r="C10877" s="129" t="s">
        <v>12346</v>
      </c>
      <c r="D10877" s="5">
        <v>230503</v>
      </c>
      <c r="E10877" s="5" t="s">
        <v>13116</v>
      </c>
    </row>
    <row r="10878" spans="2:5">
      <c r="B10878" s="4" t="s">
        <v>12345</v>
      </c>
      <c r="C10878" s="129" t="s">
        <v>12346</v>
      </c>
      <c r="D10878" s="5">
        <v>230505</v>
      </c>
      <c r="E10878" s="5" t="s">
        <v>13117</v>
      </c>
    </row>
    <row r="10879" spans="2:5">
      <c r="B10879" s="4" t="s">
        <v>12345</v>
      </c>
      <c r="C10879" s="129" t="s">
        <v>12346</v>
      </c>
      <c r="D10879" s="5">
        <v>230506</v>
      </c>
      <c r="E10879" s="5" t="s">
        <v>13118</v>
      </c>
    </row>
    <row r="10880" spans="2:5">
      <c r="B10880" s="4" t="s">
        <v>12345</v>
      </c>
      <c r="C10880" s="129" t="s">
        <v>12346</v>
      </c>
      <c r="D10880" s="5">
        <v>230521</v>
      </c>
      <c r="E10880" s="5" t="s">
        <v>13119</v>
      </c>
    </row>
    <row r="10881" spans="2:5">
      <c r="B10881" s="4" t="s">
        <v>12345</v>
      </c>
      <c r="C10881" s="129" t="s">
        <v>12346</v>
      </c>
      <c r="D10881" s="5">
        <v>230522</v>
      </c>
      <c r="E10881" s="5" t="s">
        <v>13120</v>
      </c>
    </row>
    <row r="10882" spans="2:5">
      <c r="B10882" s="4" t="s">
        <v>12345</v>
      </c>
      <c r="C10882" s="129" t="s">
        <v>12346</v>
      </c>
      <c r="D10882" s="5">
        <v>230523</v>
      </c>
      <c r="E10882" s="5" t="s">
        <v>13121</v>
      </c>
    </row>
    <row r="10883" spans="2:5">
      <c r="B10883" s="4" t="s">
        <v>12345</v>
      </c>
      <c r="C10883" s="129" t="s">
        <v>12346</v>
      </c>
      <c r="D10883" s="5">
        <v>230524</v>
      </c>
      <c r="E10883" s="5" t="s">
        <v>13122</v>
      </c>
    </row>
    <row r="10884" spans="2:5">
      <c r="B10884" s="4" t="s">
        <v>12345</v>
      </c>
      <c r="C10884" s="129" t="s">
        <v>12346</v>
      </c>
      <c r="D10884" s="5">
        <v>230600</v>
      </c>
      <c r="E10884" s="5" t="s">
        <v>13123</v>
      </c>
    </row>
    <row r="10885" spans="2:5">
      <c r="B10885" s="4" t="s">
        <v>12345</v>
      </c>
      <c r="C10885" s="129" t="s">
        <v>12346</v>
      </c>
      <c r="D10885" s="5">
        <v>230601</v>
      </c>
      <c r="E10885" s="5" t="s">
        <v>13124</v>
      </c>
    </row>
    <row r="10886" spans="2:5">
      <c r="B10886" s="4" t="s">
        <v>12345</v>
      </c>
      <c r="C10886" s="129" t="s">
        <v>12346</v>
      </c>
      <c r="D10886" s="5">
        <v>230602</v>
      </c>
      <c r="E10886" s="5" t="s">
        <v>13125</v>
      </c>
    </row>
    <row r="10887" spans="2:5">
      <c r="B10887" s="4" t="s">
        <v>12345</v>
      </c>
      <c r="C10887" s="129" t="s">
        <v>12346</v>
      </c>
      <c r="D10887" s="5">
        <v>230603</v>
      </c>
      <c r="E10887" s="5" t="s">
        <v>13126</v>
      </c>
    </row>
    <row r="10888" spans="2:5">
      <c r="B10888" s="4" t="s">
        <v>12345</v>
      </c>
      <c r="C10888" s="129" t="s">
        <v>12346</v>
      </c>
      <c r="D10888" s="5">
        <v>230604</v>
      </c>
      <c r="E10888" s="5" t="s">
        <v>13127</v>
      </c>
    </row>
    <row r="10889" spans="2:5">
      <c r="B10889" s="4" t="s">
        <v>12345</v>
      </c>
      <c r="C10889" s="129" t="s">
        <v>12346</v>
      </c>
      <c r="D10889" s="5">
        <v>230605</v>
      </c>
      <c r="E10889" s="5" t="s">
        <v>13128</v>
      </c>
    </row>
    <row r="10890" spans="2:5">
      <c r="B10890" s="4" t="s">
        <v>12345</v>
      </c>
      <c r="C10890" s="129" t="s">
        <v>12346</v>
      </c>
      <c r="D10890" s="5">
        <v>230606</v>
      </c>
      <c r="E10890" s="5" t="s">
        <v>13129</v>
      </c>
    </row>
    <row r="10891" spans="2:5">
      <c r="B10891" s="4" t="s">
        <v>12345</v>
      </c>
      <c r="C10891" s="129" t="s">
        <v>12346</v>
      </c>
      <c r="D10891" s="5">
        <v>230621</v>
      </c>
      <c r="E10891" s="5" t="s">
        <v>13130</v>
      </c>
    </row>
    <row r="10892" spans="2:5">
      <c r="B10892" s="4" t="s">
        <v>12345</v>
      </c>
      <c r="C10892" s="129" t="s">
        <v>12346</v>
      </c>
      <c r="D10892" s="5">
        <v>230622</v>
      </c>
      <c r="E10892" s="5" t="s">
        <v>13131</v>
      </c>
    </row>
    <row r="10893" spans="2:5">
      <c r="B10893" s="4" t="s">
        <v>12345</v>
      </c>
      <c r="C10893" s="129" t="s">
        <v>12346</v>
      </c>
      <c r="D10893" s="5">
        <v>230623</v>
      </c>
      <c r="E10893" s="5" t="s">
        <v>13132</v>
      </c>
    </row>
    <row r="10894" spans="2:5">
      <c r="B10894" s="4" t="s">
        <v>12345</v>
      </c>
      <c r="C10894" s="129" t="s">
        <v>12346</v>
      </c>
      <c r="D10894" s="5">
        <v>230624</v>
      </c>
      <c r="E10894" s="5" t="s">
        <v>13133</v>
      </c>
    </row>
    <row r="10895" spans="2:5">
      <c r="B10895" s="4" t="s">
        <v>12345</v>
      </c>
      <c r="C10895" s="129" t="s">
        <v>12346</v>
      </c>
      <c r="D10895" s="5">
        <v>230700</v>
      </c>
      <c r="E10895" s="5" t="s">
        <v>13134</v>
      </c>
    </row>
    <row r="10896" spans="2:5">
      <c r="B10896" s="4" t="s">
        <v>12345</v>
      </c>
      <c r="C10896" s="129" t="s">
        <v>12346</v>
      </c>
      <c r="D10896" s="5">
        <v>230701</v>
      </c>
      <c r="E10896" s="5" t="s">
        <v>13135</v>
      </c>
    </row>
    <row r="10897" spans="2:5">
      <c r="B10897" s="4" t="s">
        <v>12345</v>
      </c>
      <c r="C10897" s="129" t="s">
        <v>12346</v>
      </c>
      <c r="D10897" s="5">
        <v>230702</v>
      </c>
      <c r="E10897" s="5" t="s">
        <v>13136</v>
      </c>
    </row>
    <row r="10898" spans="2:5">
      <c r="B10898" s="4" t="s">
        <v>12345</v>
      </c>
      <c r="C10898" s="129" t="s">
        <v>12346</v>
      </c>
      <c r="D10898" s="5">
        <v>230703</v>
      </c>
      <c r="E10898" s="5" t="s">
        <v>13137</v>
      </c>
    </row>
    <row r="10899" spans="2:5">
      <c r="B10899" s="4" t="s">
        <v>12345</v>
      </c>
      <c r="C10899" s="129" t="s">
        <v>12346</v>
      </c>
      <c r="D10899" s="5">
        <v>230704</v>
      </c>
      <c r="E10899" s="5" t="s">
        <v>13138</v>
      </c>
    </row>
    <row r="10900" spans="2:5">
      <c r="B10900" s="4" t="s">
        <v>12345</v>
      </c>
      <c r="C10900" s="129" t="s">
        <v>12346</v>
      </c>
      <c r="D10900" s="5">
        <v>230705</v>
      </c>
      <c r="E10900" s="5" t="s">
        <v>13139</v>
      </c>
    </row>
    <row r="10901" spans="2:5">
      <c r="B10901" s="4" t="s">
        <v>12345</v>
      </c>
      <c r="C10901" s="129" t="s">
        <v>12346</v>
      </c>
      <c r="D10901" s="5">
        <v>230706</v>
      </c>
      <c r="E10901" s="5" t="s">
        <v>13140</v>
      </c>
    </row>
    <row r="10902" spans="2:5">
      <c r="B10902" s="4" t="s">
        <v>12345</v>
      </c>
      <c r="C10902" s="129" t="s">
        <v>12346</v>
      </c>
      <c r="D10902" s="5">
        <v>230707</v>
      </c>
      <c r="E10902" s="5" t="s">
        <v>13141</v>
      </c>
    </row>
    <row r="10903" spans="2:5">
      <c r="B10903" s="4" t="s">
        <v>12345</v>
      </c>
      <c r="C10903" s="129" t="s">
        <v>12346</v>
      </c>
      <c r="D10903" s="5">
        <v>230708</v>
      </c>
      <c r="E10903" s="5" t="s">
        <v>13142</v>
      </c>
    </row>
    <row r="10904" spans="2:5">
      <c r="B10904" s="4" t="s">
        <v>12345</v>
      </c>
      <c r="C10904" s="129" t="s">
        <v>12346</v>
      </c>
      <c r="D10904" s="5">
        <v>230709</v>
      </c>
      <c r="E10904" s="5" t="s">
        <v>13143</v>
      </c>
    </row>
    <row r="10905" spans="2:5">
      <c r="B10905" s="4" t="s">
        <v>12345</v>
      </c>
      <c r="C10905" s="129" t="s">
        <v>12346</v>
      </c>
      <c r="D10905" s="5">
        <v>230710</v>
      </c>
      <c r="E10905" s="5" t="s">
        <v>13144</v>
      </c>
    </row>
    <row r="10906" spans="2:5">
      <c r="B10906" s="4" t="s">
        <v>12345</v>
      </c>
      <c r="C10906" s="129" t="s">
        <v>12346</v>
      </c>
      <c r="D10906" s="5">
        <v>230711</v>
      </c>
      <c r="E10906" s="5" t="s">
        <v>13145</v>
      </c>
    </row>
    <row r="10907" spans="2:5">
      <c r="B10907" s="4" t="s">
        <v>12345</v>
      </c>
      <c r="C10907" s="129" t="s">
        <v>12346</v>
      </c>
      <c r="D10907" s="5">
        <v>230712</v>
      </c>
      <c r="E10907" s="5" t="s">
        <v>13146</v>
      </c>
    </row>
    <row r="10908" spans="2:5">
      <c r="B10908" s="4" t="s">
        <v>12345</v>
      </c>
      <c r="C10908" s="129" t="s">
        <v>12346</v>
      </c>
      <c r="D10908" s="5">
        <v>230713</v>
      </c>
      <c r="E10908" s="5" t="s">
        <v>13147</v>
      </c>
    </row>
    <row r="10909" spans="2:5">
      <c r="B10909" s="4" t="s">
        <v>12345</v>
      </c>
      <c r="C10909" s="129" t="s">
        <v>12346</v>
      </c>
      <c r="D10909" s="5">
        <v>230714</v>
      </c>
      <c r="E10909" s="5" t="s">
        <v>13148</v>
      </c>
    </row>
    <row r="10910" spans="2:5">
      <c r="B10910" s="4" t="s">
        <v>12345</v>
      </c>
      <c r="C10910" s="129" t="s">
        <v>12346</v>
      </c>
      <c r="D10910" s="5">
        <v>230715</v>
      </c>
      <c r="E10910" s="5" t="s">
        <v>13149</v>
      </c>
    </row>
    <row r="10911" spans="2:5">
      <c r="B10911" s="4" t="s">
        <v>12345</v>
      </c>
      <c r="C10911" s="129" t="s">
        <v>12346</v>
      </c>
      <c r="D10911" s="5">
        <v>230716</v>
      </c>
      <c r="E10911" s="5" t="s">
        <v>13150</v>
      </c>
    </row>
    <row r="10912" spans="2:5">
      <c r="B10912" s="4" t="s">
        <v>12345</v>
      </c>
      <c r="C10912" s="129" t="s">
        <v>12346</v>
      </c>
      <c r="D10912" s="5">
        <v>230722</v>
      </c>
      <c r="E10912" s="5" t="s">
        <v>13151</v>
      </c>
    </row>
    <row r="10913" spans="2:5">
      <c r="B10913" s="4" t="s">
        <v>12345</v>
      </c>
      <c r="C10913" s="129" t="s">
        <v>12346</v>
      </c>
      <c r="D10913" s="5">
        <v>230781</v>
      </c>
      <c r="E10913" s="5" t="s">
        <v>13152</v>
      </c>
    </row>
    <row r="10914" spans="2:5">
      <c r="B10914" s="4" t="s">
        <v>12345</v>
      </c>
      <c r="C10914" s="129" t="s">
        <v>12346</v>
      </c>
      <c r="D10914" s="5">
        <v>230800</v>
      </c>
      <c r="E10914" s="5" t="s">
        <v>13153</v>
      </c>
    </row>
    <row r="10915" spans="2:5">
      <c r="B10915" s="4" t="s">
        <v>12345</v>
      </c>
      <c r="C10915" s="129" t="s">
        <v>12346</v>
      </c>
      <c r="D10915" s="5">
        <v>230801</v>
      </c>
      <c r="E10915" s="5" t="s">
        <v>13154</v>
      </c>
    </row>
    <row r="10916" spans="2:5">
      <c r="B10916" s="4" t="s">
        <v>12345</v>
      </c>
      <c r="C10916" s="129" t="s">
        <v>12346</v>
      </c>
      <c r="D10916" s="5">
        <v>230803</v>
      </c>
      <c r="E10916" s="5" t="s">
        <v>13155</v>
      </c>
    </row>
    <row r="10917" spans="2:5">
      <c r="B10917" s="4" t="s">
        <v>12345</v>
      </c>
      <c r="C10917" s="129" t="s">
        <v>12346</v>
      </c>
      <c r="D10917" s="5">
        <v>230804</v>
      </c>
      <c r="E10917" s="5" t="s">
        <v>13156</v>
      </c>
    </row>
    <row r="10918" spans="2:5">
      <c r="B10918" s="4" t="s">
        <v>12345</v>
      </c>
      <c r="C10918" s="129" t="s">
        <v>12346</v>
      </c>
      <c r="D10918" s="5">
        <v>230805</v>
      </c>
      <c r="E10918" s="5" t="s">
        <v>13157</v>
      </c>
    </row>
    <row r="10919" spans="2:5">
      <c r="B10919" s="4" t="s">
        <v>12345</v>
      </c>
      <c r="C10919" s="129" t="s">
        <v>12346</v>
      </c>
      <c r="D10919" s="5">
        <v>230811</v>
      </c>
      <c r="E10919" s="5" t="s">
        <v>13158</v>
      </c>
    </row>
    <row r="10920" spans="2:5">
      <c r="B10920" s="4" t="s">
        <v>12345</v>
      </c>
      <c r="C10920" s="129" t="s">
        <v>12346</v>
      </c>
      <c r="D10920" s="5">
        <v>230822</v>
      </c>
      <c r="E10920" s="5" t="s">
        <v>13159</v>
      </c>
    </row>
    <row r="10921" spans="2:5">
      <c r="B10921" s="4" t="s">
        <v>12345</v>
      </c>
      <c r="C10921" s="129" t="s">
        <v>12346</v>
      </c>
      <c r="D10921" s="5">
        <v>230826</v>
      </c>
      <c r="E10921" s="5" t="s">
        <v>13160</v>
      </c>
    </row>
    <row r="10922" spans="2:5">
      <c r="B10922" s="4" t="s">
        <v>12345</v>
      </c>
      <c r="C10922" s="129" t="s">
        <v>12346</v>
      </c>
      <c r="D10922" s="5">
        <v>230828</v>
      </c>
      <c r="E10922" s="5" t="s">
        <v>13161</v>
      </c>
    </row>
    <row r="10923" spans="2:5">
      <c r="B10923" s="4" t="s">
        <v>12345</v>
      </c>
      <c r="C10923" s="129" t="s">
        <v>12346</v>
      </c>
      <c r="D10923" s="5">
        <v>230833</v>
      </c>
      <c r="E10923" s="5" t="s">
        <v>13162</v>
      </c>
    </row>
    <row r="10924" spans="2:5">
      <c r="B10924" s="4" t="s">
        <v>12345</v>
      </c>
      <c r="C10924" s="129" t="s">
        <v>12346</v>
      </c>
      <c r="D10924" s="5">
        <v>230881</v>
      </c>
      <c r="E10924" s="5" t="s">
        <v>13163</v>
      </c>
    </row>
    <row r="10925" spans="2:5">
      <c r="B10925" s="4" t="s">
        <v>12345</v>
      </c>
      <c r="C10925" s="129" t="s">
        <v>12346</v>
      </c>
      <c r="D10925" s="5">
        <v>230882</v>
      </c>
      <c r="E10925" s="5" t="s">
        <v>13164</v>
      </c>
    </row>
    <row r="10926" spans="2:5">
      <c r="B10926" s="4" t="s">
        <v>12345</v>
      </c>
      <c r="C10926" s="129" t="s">
        <v>12346</v>
      </c>
      <c r="D10926" s="5">
        <v>230900</v>
      </c>
      <c r="E10926" s="5" t="s">
        <v>13165</v>
      </c>
    </row>
    <row r="10927" spans="2:5">
      <c r="B10927" s="4" t="s">
        <v>12345</v>
      </c>
      <c r="C10927" s="129" t="s">
        <v>12346</v>
      </c>
      <c r="D10927" s="5">
        <v>230901</v>
      </c>
      <c r="E10927" s="5" t="s">
        <v>13166</v>
      </c>
    </row>
    <row r="10928" spans="2:5">
      <c r="B10928" s="4" t="s">
        <v>12345</v>
      </c>
      <c r="C10928" s="129" t="s">
        <v>12346</v>
      </c>
      <c r="D10928" s="5">
        <v>230902</v>
      </c>
      <c r="E10928" s="5" t="s">
        <v>13167</v>
      </c>
    </row>
    <row r="10929" spans="2:5">
      <c r="B10929" s="4" t="s">
        <v>12345</v>
      </c>
      <c r="C10929" s="129" t="s">
        <v>12346</v>
      </c>
      <c r="D10929" s="5">
        <v>230903</v>
      </c>
      <c r="E10929" s="5" t="s">
        <v>13168</v>
      </c>
    </row>
    <row r="10930" spans="2:5">
      <c r="B10930" s="4" t="s">
        <v>12345</v>
      </c>
      <c r="C10930" s="129" t="s">
        <v>12346</v>
      </c>
      <c r="D10930" s="5">
        <v>230904</v>
      </c>
      <c r="E10930" s="5" t="s">
        <v>13169</v>
      </c>
    </row>
    <row r="10931" spans="2:5">
      <c r="B10931" s="4" t="s">
        <v>12345</v>
      </c>
      <c r="C10931" s="129" t="s">
        <v>12346</v>
      </c>
      <c r="D10931" s="5">
        <v>230921</v>
      </c>
      <c r="E10931" s="5" t="s">
        <v>13170</v>
      </c>
    </row>
    <row r="10932" spans="2:5">
      <c r="B10932" s="4" t="s">
        <v>12345</v>
      </c>
      <c r="C10932" s="129" t="s">
        <v>12346</v>
      </c>
      <c r="D10932" s="5">
        <v>231000</v>
      </c>
      <c r="E10932" s="5" t="s">
        <v>13171</v>
      </c>
    </row>
    <row r="10933" spans="2:5">
      <c r="B10933" s="4" t="s">
        <v>12345</v>
      </c>
      <c r="C10933" s="129" t="s">
        <v>12346</v>
      </c>
      <c r="D10933" s="5">
        <v>231001</v>
      </c>
      <c r="E10933" s="5" t="s">
        <v>13172</v>
      </c>
    </row>
    <row r="10934" spans="2:5">
      <c r="B10934" s="4" t="s">
        <v>12345</v>
      </c>
      <c r="C10934" s="129" t="s">
        <v>12346</v>
      </c>
      <c r="D10934" s="5">
        <v>231002</v>
      </c>
      <c r="E10934" s="5" t="s">
        <v>13173</v>
      </c>
    </row>
    <row r="10935" spans="2:5">
      <c r="B10935" s="4" t="s">
        <v>12345</v>
      </c>
      <c r="C10935" s="129" t="s">
        <v>12346</v>
      </c>
      <c r="D10935" s="5">
        <v>231003</v>
      </c>
      <c r="E10935" s="5" t="s">
        <v>13174</v>
      </c>
    </row>
    <row r="10936" spans="2:5">
      <c r="B10936" s="4" t="s">
        <v>12345</v>
      </c>
      <c r="C10936" s="129" t="s">
        <v>12346</v>
      </c>
      <c r="D10936" s="5">
        <v>231004</v>
      </c>
      <c r="E10936" s="5" t="s">
        <v>13175</v>
      </c>
    </row>
    <row r="10937" spans="2:5">
      <c r="B10937" s="4" t="s">
        <v>12345</v>
      </c>
      <c r="C10937" s="129" t="s">
        <v>12346</v>
      </c>
      <c r="D10937" s="5">
        <v>231005</v>
      </c>
      <c r="E10937" s="5" t="s">
        <v>13176</v>
      </c>
    </row>
    <row r="10938" spans="2:5">
      <c r="B10938" s="4" t="s">
        <v>12345</v>
      </c>
      <c r="C10938" s="129" t="s">
        <v>12346</v>
      </c>
      <c r="D10938" s="5">
        <v>231024</v>
      </c>
      <c r="E10938" s="5" t="s">
        <v>13177</v>
      </c>
    </row>
    <row r="10939" spans="2:5">
      <c r="B10939" s="4" t="s">
        <v>12345</v>
      </c>
      <c r="C10939" s="129" t="s">
        <v>12346</v>
      </c>
      <c r="D10939" s="5">
        <v>231025</v>
      </c>
      <c r="E10939" s="5" t="s">
        <v>13178</v>
      </c>
    </row>
    <row r="10940" spans="2:5">
      <c r="B10940" s="4" t="s">
        <v>12345</v>
      </c>
      <c r="C10940" s="129" t="s">
        <v>12346</v>
      </c>
      <c r="D10940" s="5">
        <v>231081</v>
      </c>
      <c r="E10940" s="5" t="s">
        <v>13179</v>
      </c>
    </row>
    <row r="10941" spans="2:5">
      <c r="B10941" s="4" t="s">
        <v>12345</v>
      </c>
      <c r="C10941" s="129" t="s">
        <v>12346</v>
      </c>
      <c r="D10941" s="5">
        <v>231083</v>
      </c>
      <c r="E10941" s="5" t="s">
        <v>13180</v>
      </c>
    </row>
    <row r="10942" spans="2:5">
      <c r="B10942" s="4" t="s">
        <v>12345</v>
      </c>
      <c r="C10942" s="129" t="s">
        <v>12346</v>
      </c>
      <c r="D10942" s="5">
        <v>231084</v>
      </c>
      <c r="E10942" s="5" t="s">
        <v>13181</v>
      </c>
    </row>
    <row r="10943" spans="2:5">
      <c r="B10943" s="4" t="s">
        <v>12345</v>
      </c>
      <c r="C10943" s="129" t="s">
        <v>12346</v>
      </c>
      <c r="D10943" s="5">
        <v>231085</v>
      </c>
      <c r="E10943" s="5" t="s">
        <v>13182</v>
      </c>
    </row>
    <row r="10944" spans="2:5">
      <c r="B10944" s="4" t="s">
        <v>12345</v>
      </c>
      <c r="C10944" s="129" t="s">
        <v>12346</v>
      </c>
      <c r="D10944" s="5">
        <v>231100</v>
      </c>
      <c r="E10944" s="5" t="s">
        <v>13183</v>
      </c>
    </row>
    <row r="10945" spans="2:5">
      <c r="B10945" s="4" t="s">
        <v>12345</v>
      </c>
      <c r="C10945" s="129" t="s">
        <v>12346</v>
      </c>
      <c r="D10945" s="5">
        <v>231101</v>
      </c>
      <c r="E10945" s="5" t="s">
        <v>13184</v>
      </c>
    </row>
    <row r="10946" spans="2:5">
      <c r="B10946" s="4" t="s">
        <v>12345</v>
      </c>
      <c r="C10946" s="129" t="s">
        <v>12346</v>
      </c>
      <c r="D10946" s="5">
        <v>231102</v>
      </c>
      <c r="E10946" s="5" t="s">
        <v>13185</v>
      </c>
    </row>
    <row r="10947" spans="2:5">
      <c r="B10947" s="4" t="s">
        <v>12345</v>
      </c>
      <c r="C10947" s="129" t="s">
        <v>12346</v>
      </c>
      <c r="D10947" s="5">
        <v>231121</v>
      </c>
      <c r="E10947" s="5" t="s">
        <v>13186</v>
      </c>
    </row>
    <row r="10948" spans="2:5">
      <c r="B10948" s="4" t="s">
        <v>12345</v>
      </c>
      <c r="C10948" s="129" t="s">
        <v>12346</v>
      </c>
      <c r="D10948" s="5">
        <v>231123</v>
      </c>
      <c r="E10948" s="5" t="s">
        <v>13187</v>
      </c>
    </row>
    <row r="10949" spans="2:5">
      <c r="B10949" s="4" t="s">
        <v>12345</v>
      </c>
      <c r="C10949" s="129" t="s">
        <v>12346</v>
      </c>
      <c r="D10949" s="5">
        <v>231124</v>
      </c>
      <c r="E10949" s="5" t="s">
        <v>13188</v>
      </c>
    </row>
    <row r="10950" spans="2:5">
      <c r="B10950" s="4" t="s">
        <v>12345</v>
      </c>
      <c r="C10950" s="129" t="s">
        <v>12346</v>
      </c>
      <c r="D10950" s="5">
        <v>231181</v>
      </c>
      <c r="E10950" s="5" t="s">
        <v>13189</v>
      </c>
    </row>
    <row r="10951" spans="2:5">
      <c r="B10951" s="4" t="s">
        <v>12345</v>
      </c>
      <c r="C10951" s="129" t="s">
        <v>12346</v>
      </c>
      <c r="D10951" s="5">
        <v>231182</v>
      </c>
      <c r="E10951" s="5" t="s">
        <v>13190</v>
      </c>
    </row>
    <row r="10952" spans="2:5">
      <c r="B10952" s="4" t="s">
        <v>12345</v>
      </c>
      <c r="C10952" s="129" t="s">
        <v>12346</v>
      </c>
      <c r="D10952" s="5">
        <v>231200</v>
      </c>
      <c r="E10952" s="5" t="s">
        <v>13191</v>
      </c>
    </row>
    <row r="10953" spans="2:5">
      <c r="B10953" s="4" t="s">
        <v>12345</v>
      </c>
      <c r="C10953" s="129" t="s">
        <v>12346</v>
      </c>
      <c r="D10953" s="5">
        <v>231201</v>
      </c>
      <c r="E10953" s="5" t="s">
        <v>13192</v>
      </c>
    </row>
    <row r="10954" spans="2:5">
      <c r="B10954" s="4" t="s">
        <v>12345</v>
      </c>
      <c r="C10954" s="129" t="s">
        <v>12346</v>
      </c>
      <c r="D10954" s="5">
        <v>231202</v>
      </c>
      <c r="E10954" s="5" t="s">
        <v>13193</v>
      </c>
    </row>
    <row r="10955" spans="2:5">
      <c r="B10955" s="4" t="s">
        <v>12345</v>
      </c>
      <c r="C10955" s="129" t="s">
        <v>12346</v>
      </c>
      <c r="D10955" s="5">
        <v>231221</v>
      </c>
      <c r="E10955" s="5" t="s">
        <v>13194</v>
      </c>
    </row>
    <row r="10956" spans="2:5">
      <c r="B10956" s="4" t="s">
        <v>12345</v>
      </c>
      <c r="C10956" s="129" t="s">
        <v>12346</v>
      </c>
      <c r="D10956" s="5">
        <v>231222</v>
      </c>
      <c r="E10956" s="5" t="s">
        <v>13195</v>
      </c>
    </row>
    <row r="10957" spans="2:5">
      <c r="B10957" s="4" t="s">
        <v>12345</v>
      </c>
      <c r="C10957" s="129" t="s">
        <v>12346</v>
      </c>
      <c r="D10957" s="5">
        <v>231223</v>
      </c>
      <c r="E10957" s="5" t="s">
        <v>13196</v>
      </c>
    </row>
    <row r="10958" spans="2:5">
      <c r="B10958" s="4" t="s">
        <v>12345</v>
      </c>
      <c r="C10958" s="129" t="s">
        <v>12346</v>
      </c>
      <c r="D10958" s="5">
        <v>231224</v>
      </c>
      <c r="E10958" s="5" t="s">
        <v>13197</v>
      </c>
    </row>
    <row r="10959" spans="2:5">
      <c r="B10959" s="4" t="s">
        <v>12345</v>
      </c>
      <c r="C10959" s="129" t="s">
        <v>12346</v>
      </c>
      <c r="D10959" s="5">
        <v>231225</v>
      </c>
      <c r="E10959" s="5" t="s">
        <v>13198</v>
      </c>
    </row>
    <row r="10960" spans="2:5">
      <c r="B10960" s="4" t="s">
        <v>12345</v>
      </c>
      <c r="C10960" s="129" t="s">
        <v>12346</v>
      </c>
      <c r="D10960" s="5">
        <v>231226</v>
      </c>
      <c r="E10960" s="5" t="s">
        <v>13199</v>
      </c>
    </row>
    <row r="10961" spans="2:5">
      <c r="B10961" s="4" t="s">
        <v>12345</v>
      </c>
      <c r="C10961" s="129" t="s">
        <v>12346</v>
      </c>
      <c r="D10961" s="5">
        <v>231281</v>
      </c>
      <c r="E10961" s="5" t="s">
        <v>13200</v>
      </c>
    </row>
    <row r="10962" spans="2:5">
      <c r="B10962" s="4" t="s">
        <v>12345</v>
      </c>
      <c r="C10962" s="129" t="s">
        <v>12346</v>
      </c>
      <c r="D10962" s="5">
        <v>231282</v>
      </c>
      <c r="E10962" s="5" t="s">
        <v>13201</v>
      </c>
    </row>
    <row r="10963" spans="2:5">
      <c r="B10963" s="4" t="s">
        <v>12345</v>
      </c>
      <c r="C10963" s="129" t="s">
        <v>12346</v>
      </c>
      <c r="D10963" s="5">
        <v>231283</v>
      </c>
      <c r="E10963" s="5" t="s">
        <v>13202</v>
      </c>
    </row>
    <row r="10964" spans="2:5">
      <c r="B10964" s="4" t="s">
        <v>12345</v>
      </c>
      <c r="C10964" s="129" t="s">
        <v>12346</v>
      </c>
      <c r="D10964" s="5">
        <v>232700</v>
      </c>
      <c r="E10964" s="5" t="s">
        <v>13203</v>
      </c>
    </row>
    <row r="10965" spans="2:5">
      <c r="B10965" s="4" t="s">
        <v>12345</v>
      </c>
      <c r="C10965" s="129" t="s">
        <v>12346</v>
      </c>
      <c r="D10965" s="5">
        <v>232721</v>
      </c>
      <c r="E10965" s="5" t="s">
        <v>13204</v>
      </c>
    </row>
    <row r="10966" spans="2:5">
      <c r="B10966" s="4" t="s">
        <v>12345</v>
      </c>
      <c r="C10966" s="129" t="s">
        <v>12346</v>
      </c>
      <c r="D10966" s="5">
        <v>232722</v>
      </c>
      <c r="E10966" s="5" t="s">
        <v>13205</v>
      </c>
    </row>
    <row r="10967" spans="2:5">
      <c r="B10967" s="4" t="s">
        <v>12345</v>
      </c>
      <c r="C10967" s="129" t="s">
        <v>12346</v>
      </c>
      <c r="D10967" s="5">
        <v>232723</v>
      </c>
      <c r="E10967" s="5" t="s">
        <v>13206</v>
      </c>
    </row>
    <row r="10968" spans="2:5">
      <c r="B10968" s="4" t="s">
        <v>12345</v>
      </c>
      <c r="C10968" s="129" t="s">
        <v>12346</v>
      </c>
      <c r="D10968" s="5">
        <v>310000</v>
      </c>
      <c r="E10968" s="5" t="s">
        <v>13207</v>
      </c>
    </row>
    <row r="10969" spans="2:5">
      <c r="B10969" s="4" t="s">
        <v>12345</v>
      </c>
      <c r="C10969" s="129" t="s">
        <v>12346</v>
      </c>
      <c r="D10969" s="5">
        <v>310100</v>
      </c>
      <c r="E10969" s="5" t="s">
        <v>13208</v>
      </c>
    </row>
    <row r="10970" spans="2:5">
      <c r="B10970" s="4" t="s">
        <v>12345</v>
      </c>
      <c r="C10970" s="129" t="s">
        <v>12346</v>
      </c>
      <c r="D10970" s="5">
        <v>310101</v>
      </c>
      <c r="E10970" s="5" t="s">
        <v>13209</v>
      </c>
    </row>
    <row r="10971" spans="2:5">
      <c r="B10971" s="4" t="s">
        <v>12345</v>
      </c>
      <c r="C10971" s="129" t="s">
        <v>12346</v>
      </c>
      <c r="D10971" s="5">
        <v>310104</v>
      </c>
      <c r="E10971" s="5" t="s">
        <v>13210</v>
      </c>
    </row>
    <row r="10972" spans="2:5">
      <c r="B10972" s="4" t="s">
        <v>12345</v>
      </c>
      <c r="C10972" s="129" t="s">
        <v>12346</v>
      </c>
      <c r="D10972" s="5">
        <v>310105</v>
      </c>
      <c r="E10972" s="5" t="s">
        <v>13211</v>
      </c>
    </row>
    <row r="10973" spans="2:5">
      <c r="B10973" s="4" t="s">
        <v>12345</v>
      </c>
      <c r="C10973" s="129" t="s">
        <v>12346</v>
      </c>
      <c r="D10973" s="5">
        <v>310106</v>
      </c>
      <c r="E10973" s="5" t="s">
        <v>13212</v>
      </c>
    </row>
    <row r="10974" spans="2:5">
      <c r="B10974" s="4" t="s">
        <v>12345</v>
      </c>
      <c r="C10974" s="129" t="s">
        <v>12346</v>
      </c>
      <c r="D10974" s="5">
        <v>310107</v>
      </c>
      <c r="E10974" s="5" t="s">
        <v>13213</v>
      </c>
    </row>
    <row r="10975" spans="2:5">
      <c r="B10975" s="4" t="s">
        <v>12345</v>
      </c>
      <c r="C10975" s="129" t="s">
        <v>12346</v>
      </c>
      <c r="D10975" s="5">
        <v>310108</v>
      </c>
      <c r="E10975" s="5" t="s">
        <v>13214</v>
      </c>
    </row>
    <row r="10976" spans="2:5">
      <c r="B10976" s="4" t="s">
        <v>12345</v>
      </c>
      <c r="C10976" s="129" t="s">
        <v>12346</v>
      </c>
      <c r="D10976" s="5">
        <v>310109</v>
      </c>
      <c r="E10976" s="5" t="s">
        <v>13215</v>
      </c>
    </row>
    <row r="10977" spans="2:5">
      <c r="B10977" s="4" t="s">
        <v>12345</v>
      </c>
      <c r="C10977" s="129" t="s">
        <v>12346</v>
      </c>
      <c r="D10977" s="5">
        <v>310110</v>
      </c>
      <c r="E10977" s="5" t="s">
        <v>13216</v>
      </c>
    </row>
    <row r="10978" spans="2:5">
      <c r="B10978" s="4" t="s">
        <v>12345</v>
      </c>
      <c r="C10978" s="129" t="s">
        <v>12346</v>
      </c>
      <c r="D10978" s="5">
        <v>310112</v>
      </c>
      <c r="E10978" s="5" t="s">
        <v>13217</v>
      </c>
    </row>
    <row r="10979" spans="2:5">
      <c r="B10979" s="4" t="s">
        <v>12345</v>
      </c>
      <c r="C10979" s="129" t="s">
        <v>12346</v>
      </c>
      <c r="D10979" s="5">
        <v>310113</v>
      </c>
      <c r="E10979" s="5" t="s">
        <v>13218</v>
      </c>
    </row>
    <row r="10980" spans="2:5">
      <c r="B10980" s="4" t="s">
        <v>12345</v>
      </c>
      <c r="C10980" s="129" t="s">
        <v>12346</v>
      </c>
      <c r="D10980" s="5">
        <v>310114</v>
      </c>
      <c r="E10980" s="5" t="s">
        <v>13219</v>
      </c>
    </row>
    <row r="10981" spans="2:5">
      <c r="B10981" s="4" t="s">
        <v>12345</v>
      </c>
      <c r="C10981" s="129" t="s">
        <v>12346</v>
      </c>
      <c r="D10981" s="5">
        <v>310115</v>
      </c>
      <c r="E10981" s="5" t="s">
        <v>13220</v>
      </c>
    </row>
    <row r="10982" spans="2:5">
      <c r="B10982" s="4" t="s">
        <v>12345</v>
      </c>
      <c r="C10982" s="129" t="s">
        <v>12346</v>
      </c>
      <c r="D10982" s="5">
        <v>310116</v>
      </c>
      <c r="E10982" s="5" t="s">
        <v>13221</v>
      </c>
    </row>
    <row r="10983" spans="2:5">
      <c r="B10983" s="4" t="s">
        <v>12345</v>
      </c>
      <c r="C10983" s="129" t="s">
        <v>12346</v>
      </c>
      <c r="D10983" s="5">
        <v>310117</v>
      </c>
      <c r="E10983" s="5" t="s">
        <v>13222</v>
      </c>
    </row>
    <row r="10984" spans="2:5">
      <c r="B10984" s="4" t="s">
        <v>12345</v>
      </c>
      <c r="C10984" s="129" t="s">
        <v>12346</v>
      </c>
      <c r="D10984" s="5">
        <v>310118</v>
      </c>
      <c r="E10984" s="5" t="s">
        <v>13223</v>
      </c>
    </row>
    <row r="10985" spans="2:5">
      <c r="B10985" s="4" t="s">
        <v>12345</v>
      </c>
      <c r="C10985" s="129" t="s">
        <v>12346</v>
      </c>
      <c r="D10985" s="5">
        <v>310120</v>
      </c>
      <c r="E10985" s="5" t="s">
        <v>13224</v>
      </c>
    </row>
    <row r="10986" spans="2:5">
      <c r="B10986" s="4" t="s">
        <v>12345</v>
      </c>
      <c r="C10986" s="129" t="s">
        <v>12346</v>
      </c>
      <c r="D10986" s="5">
        <v>310200</v>
      </c>
      <c r="E10986" s="5" t="s">
        <v>13225</v>
      </c>
    </row>
    <row r="10987" spans="2:5">
      <c r="B10987" s="4" t="s">
        <v>12345</v>
      </c>
      <c r="C10987" s="129" t="s">
        <v>12346</v>
      </c>
      <c r="D10987" s="5">
        <v>310230</v>
      </c>
      <c r="E10987" s="5" t="s">
        <v>13226</v>
      </c>
    </row>
    <row r="10988" spans="2:5">
      <c r="B10988" s="4" t="s">
        <v>12345</v>
      </c>
      <c r="C10988" s="129" t="s">
        <v>12346</v>
      </c>
      <c r="D10988" s="5">
        <v>320000</v>
      </c>
      <c r="E10988" s="5" t="s">
        <v>13227</v>
      </c>
    </row>
    <row r="10989" spans="2:5">
      <c r="B10989" s="4" t="s">
        <v>12345</v>
      </c>
      <c r="C10989" s="129" t="s">
        <v>12346</v>
      </c>
      <c r="D10989" s="5">
        <v>320100</v>
      </c>
      <c r="E10989" s="5" t="s">
        <v>13228</v>
      </c>
    </row>
    <row r="10990" spans="2:5">
      <c r="B10990" s="4" t="s">
        <v>12345</v>
      </c>
      <c r="C10990" s="129" t="s">
        <v>12346</v>
      </c>
      <c r="D10990" s="5">
        <v>320101</v>
      </c>
      <c r="E10990" s="5" t="s">
        <v>13229</v>
      </c>
    </row>
    <row r="10991" spans="2:5">
      <c r="B10991" s="4" t="s">
        <v>12345</v>
      </c>
      <c r="C10991" s="129" t="s">
        <v>12346</v>
      </c>
      <c r="D10991" s="5">
        <v>320102</v>
      </c>
      <c r="E10991" s="5" t="s">
        <v>13230</v>
      </c>
    </row>
    <row r="10992" spans="2:5">
      <c r="B10992" s="4" t="s">
        <v>12345</v>
      </c>
      <c r="C10992" s="129" t="s">
        <v>12346</v>
      </c>
      <c r="D10992" s="5">
        <v>320104</v>
      </c>
      <c r="E10992" s="5" t="s">
        <v>13231</v>
      </c>
    </row>
    <row r="10993" spans="2:5">
      <c r="B10993" s="4" t="s">
        <v>12345</v>
      </c>
      <c r="C10993" s="129" t="s">
        <v>12346</v>
      </c>
      <c r="D10993" s="5">
        <v>320105</v>
      </c>
      <c r="E10993" s="5" t="s">
        <v>13232</v>
      </c>
    </row>
    <row r="10994" spans="2:5">
      <c r="B10994" s="4" t="s">
        <v>12345</v>
      </c>
      <c r="C10994" s="129" t="s">
        <v>12346</v>
      </c>
      <c r="D10994" s="5">
        <v>320106</v>
      </c>
      <c r="E10994" s="5" t="s">
        <v>13233</v>
      </c>
    </row>
    <row r="10995" spans="2:5">
      <c r="B10995" s="4" t="s">
        <v>12345</v>
      </c>
      <c r="C10995" s="129" t="s">
        <v>12346</v>
      </c>
      <c r="D10995" s="5">
        <v>320111</v>
      </c>
      <c r="E10995" s="5" t="s">
        <v>13234</v>
      </c>
    </row>
    <row r="10996" spans="2:5">
      <c r="B10996" s="4" t="s">
        <v>12345</v>
      </c>
      <c r="C10996" s="129" t="s">
        <v>12346</v>
      </c>
      <c r="D10996" s="5">
        <v>320113</v>
      </c>
      <c r="E10996" s="5" t="s">
        <v>13235</v>
      </c>
    </row>
    <row r="10997" spans="2:5">
      <c r="B10997" s="4" t="s">
        <v>12345</v>
      </c>
      <c r="C10997" s="129" t="s">
        <v>12346</v>
      </c>
      <c r="D10997" s="5">
        <v>320114</v>
      </c>
      <c r="E10997" s="5" t="s">
        <v>13236</v>
      </c>
    </row>
    <row r="10998" spans="2:5">
      <c r="B10998" s="4" t="s">
        <v>12345</v>
      </c>
      <c r="C10998" s="129" t="s">
        <v>12346</v>
      </c>
      <c r="D10998" s="5">
        <v>320115</v>
      </c>
      <c r="E10998" s="5" t="s">
        <v>13237</v>
      </c>
    </row>
    <row r="10999" spans="2:5">
      <c r="B10999" s="4" t="s">
        <v>12345</v>
      </c>
      <c r="C10999" s="129" t="s">
        <v>12346</v>
      </c>
      <c r="D10999" s="5">
        <v>320116</v>
      </c>
      <c r="E10999" s="5" t="s">
        <v>13238</v>
      </c>
    </row>
    <row r="11000" spans="2:5">
      <c r="B11000" s="4" t="s">
        <v>12345</v>
      </c>
      <c r="C11000" s="129" t="s">
        <v>12346</v>
      </c>
      <c r="D11000" s="5">
        <v>320124</v>
      </c>
      <c r="E11000" s="5" t="s">
        <v>13239</v>
      </c>
    </row>
    <row r="11001" spans="2:5">
      <c r="B11001" s="4" t="s">
        <v>12345</v>
      </c>
      <c r="C11001" s="129" t="s">
        <v>12346</v>
      </c>
      <c r="D11001" s="5">
        <v>320125</v>
      </c>
      <c r="E11001" s="5" t="s">
        <v>13240</v>
      </c>
    </row>
    <row r="11002" spans="2:5">
      <c r="B11002" s="4" t="s">
        <v>12345</v>
      </c>
      <c r="C11002" s="129" t="s">
        <v>12346</v>
      </c>
      <c r="D11002" s="5">
        <v>320200</v>
      </c>
      <c r="E11002" s="5" t="s">
        <v>13241</v>
      </c>
    </row>
    <row r="11003" spans="2:5">
      <c r="B11003" s="4" t="s">
        <v>12345</v>
      </c>
      <c r="C11003" s="129" t="s">
        <v>12346</v>
      </c>
      <c r="D11003" s="5">
        <v>320201</v>
      </c>
      <c r="E11003" s="5" t="s">
        <v>13242</v>
      </c>
    </row>
    <row r="11004" spans="2:5">
      <c r="B11004" s="4" t="s">
        <v>12345</v>
      </c>
      <c r="C11004" s="129" t="s">
        <v>12346</v>
      </c>
      <c r="D11004" s="5">
        <v>320202</v>
      </c>
      <c r="E11004" s="5" t="s">
        <v>13243</v>
      </c>
    </row>
    <row r="11005" spans="2:5">
      <c r="B11005" s="4" t="s">
        <v>12345</v>
      </c>
      <c r="C11005" s="129" t="s">
        <v>12346</v>
      </c>
      <c r="D11005" s="5">
        <v>320203</v>
      </c>
      <c r="E11005" s="5" t="s">
        <v>13244</v>
      </c>
    </row>
    <row r="11006" spans="2:5">
      <c r="B11006" s="4" t="s">
        <v>12345</v>
      </c>
      <c r="C11006" s="129" t="s">
        <v>12346</v>
      </c>
      <c r="D11006" s="5">
        <v>320204</v>
      </c>
      <c r="E11006" s="5" t="s">
        <v>13245</v>
      </c>
    </row>
    <row r="11007" spans="2:5">
      <c r="B11007" s="4" t="s">
        <v>12345</v>
      </c>
      <c r="C11007" s="129" t="s">
        <v>12346</v>
      </c>
      <c r="D11007" s="5">
        <v>320205</v>
      </c>
      <c r="E11007" s="5" t="s">
        <v>13246</v>
      </c>
    </row>
    <row r="11008" spans="2:5">
      <c r="B11008" s="4" t="s">
        <v>12345</v>
      </c>
      <c r="C11008" s="129" t="s">
        <v>12346</v>
      </c>
      <c r="D11008" s="5">
        <v>320206</v>
      </c>
      <c r="E11008" s="5" t="s">
        <v>13247</v>
      </c>
    </row>
    <row r="11009" spans="2:5">
      <c r="B11009" s="4" t="s">
        <v>12345</v>
      </c>
      <c r="C11009" s="129" t="s">
        <v>12346</v>
      </c>
      <c r="D11009" s="5">
        <v>320211</v>
      </c>
      <c r="E11009" s="5" t="s">
        <v>13248</v>
      </c>
    </row>
    <row r="11010" spans="2:5">
      <c r="B11010" s="4" t="s">
        <v>12345</v>
      </c>
      <c r="C11010" s="129" t="s">
        <v>12346</v>
      </c>
      <c r="D11010" s="5">
        <v>320281</v>
      </c>
      <c r="E11010" s="5" t="s">
        <v>13249</v>
      </c>
    </row>
    <row r="11011" spans="2:5">
      <c r="B11011" s="4" t="s">
        <v>12345</v>
      </c>
      <c r="C11011" s="129" t="s">
        <v>12346</v>
      </c>
      <c r="D11011" s="5">
        <v>320282</v>
      </c>
      <c r="E11011" s="5" t="s">
        <v>13250</v>
      </c>
    </row>
    <row r="11012" spans="2:5">
      <c r="B11012" s="4" t="s">
        <v>12345</v>
      </c>
      <c r="C11012" s="129" t="s">
        <v>12346</v>
      </c>
      <c r="D11012" s="5">
        <v>320300</v>
      </c>
      <c r="E11012" s="5" t="s">
        <v>13251</v>
      </c>
    </row>
    <row r="11013" spans="2:5">
      <c r="B11013" s="4" t="s">
        <v>12345</v>
      </c>
      <c r="C11013" s="129" t="s">
        <v>12346</v>
      </c>
      <c r="D11013" s="5">
        <v>320301</v>
      </c>
      <c r="E11013" s="5" t="s">
        <v>13252</v>
      </c>
    </row>
    <row r="11014" spans="2:5">
      <c r="B11014" s="4" t="s">
        <v>12345</v>
      </c>
      <c r="C11014" s="129" t="s">
        <v>12346</v>
      </c>
      <c r="D11014" s="5">
        <v>320302</v>
      </c>
      <c r="E11014" s="5" t="s">
        <v>13253</v>
      </c>
    </row>
    <row r="11015" spans="2:5">
      <c r="B11015" s="4" t="s">
        <v>12345</v>
      </c>
      <c r="C11015" s="129" t="s">
        <v>12346</v>
      </c>
      <c r="D11015" s="5">
        <v>320303</v>
      </c>
      <c r="E11015" s="5" t="s">
        <v>13254</v>
      </c>
    </row>
    <row r="11016" spans="2:5">
      <c r="B11016" s="4" t="s">
        <v>12345</v>
      </c>
      <c r="C11016" s="129" t="s">
        <v>12346</v>
      </c>
      <c r="D11016" s="5">
        <v>320305</v>
      </c>
      <c r="E11016" s="5" t="s">
        <v>13255</v>
      </c>
    </row>
    <row r="11017" spans="2:5">
      <c r="B11017" s="4" t="s">
        <v>12345</v>
      </c>
      <c r="C11017" s="129" t="s">
        <v>12346</v>
      </c>
      <c r="D11017" s="5">
        <v>320311</v>
      </c>
      <c r="E11017" s="5" t="s">
        <v>13256</v>
      </c>
    </row>
    <row r="11018" spans="2:5">
      <c r="B11018" s="4" t="s">
        <v>12345</v>
      </c>
      <c r="C11018" s="129" t="s">
        <v>12346</v>
      </c>
      <c r="D11018" s="5">
        <v>320312</v>
      </c>
      <c r="E11018" s="5" t="s">
        <v>13257</v>
      </c>
    </row>
    <row r="11019" spans="2:5">
      <c r="B11019" s="4" t="s">
        <v>12345</v>
      </c>
      <c r="C11019" s="129" t="s">
        <v>12346</v>
      </c>
      <c r="D11019" s="5">
        <v>320321</v>
      </c>
      <c r="E11019" s="5" t="s">
        <v>13258</v>
      </c>
    </row>
    <row r="11020" spans="2:5">
      <c r="B11020" s="4" t="s">
        <v>12345</v>
      </c>
      <c r="C11020" s="129" t="s">
        <v>12346</v>
      </c>
      <c r="D11020" s="5">
        <v>320322</v>
      </c>
      <c r="E11020" s="5" t="s">
        <v>13259</v>
      </c>
    </row>
    <row r="11021" spans="2:5">
      <c r="B11021" s="4" t="s">
        <v>12345</v>
      </c>
      <c r="C11021" s="129" t="s">
        <v>12346</v>
      </c>
      <c r="D11021" s="5">
        <v>320324</v>
      </c>
      <c r="E11021" s="5" t="s">
        <v>13260</v>
      </c>
    </row>
    <row r="11022" spans="2:5">
      <c r="B11022" s="4" t="s">
        <v>12345</v>
      </c>
      <c r="C11022" s="129" t="s">
        <v>12346</v>
      </c>
      <c r="D11022" s="5">
        <v>320381</v>
      </c>
      <c r="E11022" s="5" t="s">
        <v>13261</v>
      </c>
    </row>
    <row r="11023" spans="2:5">
      <c r="B11023" s="4" t="s">
        <v>12345</v>
      </c>
      <c r="C11023" s="129" t="s">
        <v>12346</v>
      </c>
      <c r="D11023" s="5">
        <v>320382</v>
      </c>
      <c r="E11023" s="5" t="s">
        <v>13262</v>
      </c>
    </row>
    <row r="11024" spans="2:5">
      <c r="B11024" s="4" t="s">
        <v>12345</v>
      </c>
      <c r="C11024" s="129" t="s">
        <v>12346</v>
      </c>
      <c r="D11024" s="5">
        <v>320400</v>
      </c>
      <c r="E11024" s="5" t="s">
        <v>13263</v>
      </c>
    </row>
    <row r="11025" spans="2:5">
      <c r="B11025" s="4" t="s">
        <v>12345</v>
      </c>
      <c r="C11025" s="129" t="s">
        <v>12346</v>
      </c>
      <c r="D11025" s="5">
        <v>320401</v>
      </c>
      <c r="E11025" s="5" t="s">
        <v>13264</v>
      </c>
    </row>
    <row r="11026" spans="2:5">
      <c r="B11026" s="4" t="s">
        <v>12345</v>
      </c>
      <c r="C11026" s="129" t="s">
        <v>12346</v>
      </c>
      <c r="D11026" s="5">
        <v>320402</v>
      </c>
      <c r="E11026" s="5" t="s">
        <v>13265</v>
      </c>
    </row>
    <row r="11027" spans="2:5">
      <c r="B11027" s="4" t="s">
        <v>12345</v>
      </c>
      <c r="C11027" s="129" t="s">
        <v>12346</v>
      </c>
      <c r="D11027" s="5">
        <v>320404</v>
      </c>
      <c r="E11027" s="5" t="s">
        <v>13266</v>
      </c>
    </row>
    <row r="11028" spans="2:5">
      <c r="B11028" s="4" t="s">
        <v>12345</v>
      </c>
      <c r="C11028" s="129" t="s">
        <v>12346</v>
      </c>
      <c r="D11028" s="5">
        <v>320405</v>
      </c>
      <c r="E11028" s="5" t="s">
        <v>13267</v>
      </c>
    </row>
    <row r="11029" spans="2:5">
      <c r="B11029" s="4" t="s">
        <v>12345</v>
      </c>
      <c r="C11029" s="129" t="s">
        <v>12346</v>
      </c>
      <c r="D11029" s="5">
        <v>320411</v>
      </c>
      <c r="E11029" s="5" t="s">
        <v>13268</v>
      </c>
    </row>
    <row r="11030" spans="2:5">
      <c r="B11030" s="4" t="s">
        <v>12345</v>
      </c>
      <c r="C11030" s="129" t="s">
        <v>12346</v>
      </c>
      <c r="D11030" s="5">
        <v>320412</v>
      </c>
      <c r="E11030" s="5" t="s">
        <v>13269</v>
      </c>
    </row>
    <row r="11031" spans="2:5">
      <c r="B11031" s="4" t="s">
        <v>12345</v>
      </c>
      <c r="C11031" s="129" t="s">
        <v>12346</v>
      </c>
      <c r="D11031" s="5">
        <v>320481</v>
      </c>
      <c r="E11031" s="5" t="s">
        <v>13270</v>
      </c>
    </row>
    <row r="11032" spans="2:5">
      <c r="B11032" s="4" t="s">
        <v>12345</v>
      </c>
      <c r="C11032" s="129" t="s">
        <v>12346</v>
      </c>
      <c r="D11032" s="5">
        <v>320482</v>
      </c>
      <c r="E11032" s="5" t="s">
        <v>13271</v>
      </c>
    </row>
    <row r="11033" spans="2:5">
      <c r="B11033" s="4" t="s">
        <v>12345</v>
      </c>
      <c r="C11033" s="129" t="s">
        <v>12346</v>
      </c>
      <c r="D11033" s="5">
        <v>320500</v>
      </c>
      <c r="E11033" s="5" t="s">
        <v>13272</v>
      </c>
    </row>
    <row r="11034" spans="2:5">
      <c r="B11034" s="4" t="s">
        <v>12345</v>
      </c>
      <c r="C11034" s="129" t="s">
        <v>12346</v>
      </c>
      <c r="D11034" s="5">
        <v>320501</v>
      </c>
      <c r="E11034" s="5" t="s">
        <v>13273</v>
      </c>
    </row>
    <row r="11035" spans="2:5">
      <c r="B11035" s="4" t="s">
        <v>12345</v>
      </c>
      <c r="C11035" s="129" t="s">
        <v>12346</v>
      </c>
      <c r="D11035" s="5">
        <v>320505</v>
      </c>
      <c r="E11035" s="5" t="s">
        <v>13274</v>
      </c>
    </row>
    <row r="11036" spans="2:5">
      <c r="B11036" s="4" t="s">
        <v>12345</v>
      </c>
      <c r="C11036" s="129" t="s">
        <v>12346</v>
      </c>
      <c r="D11036" s="5">
        <v>320506</v>
      </c>
      <c r="E11036" s="5" t="s">
        <v>13275</v>
      </c>
    </row>
    <row r="11037" spans="2:5">
      <c r="B11037" s="4" t="s">
        <v>12345</v>
      </c>
      <c r="C11037" s="129" t="s">
        <v>12346</v>
      </c>
      <c r="D11037" s="5">
        <v>320507</v>
      </c>
      <c r="E11037" s="5" t="s">
        <v>13276</v>
      </c>
    </row>
    <row r="11038" spans="2:5">
      <c r="B11038" s="4" t="s">
        <v>12345</v>
      </c>
      <c r="C11038" s="129" t="s">
        <v>12346</v>
      </c>
      <c r="D11038" s="5">
        <v>320508</v>
      </c>
      <c r="E11038" s="5" t="s">
        <v>13277</v>
      </c>
    </row>
    <row r="11039" spans="2:5">
      <c r="B11039" s="4" t="s">
        <v>12345</v>
      </c>
      <c r="C11039" s="129" t="s">
        <v>12346</v>
      </c>
      <c r="D11039" s="5">
        <v>320509</v>
      </c>
      <c r="E11039" s="5" t="s">
        <v>13278</v>
      </c>
    </row>
    <row r="11040" spans="2:5">
      <c r="B11040" s="4" t="s">
        <v>12345</v>
      </c>
      <c r="C11040" s="129" t="s">
        <v>12346</v>
      </c>
      <c r="D11040" s="5">
        <v>320581</v>
      </c>
      <c r="E11040" s="5" t="s">
        <v>13279</v>
      </c>
    </row>
    <row r="11041" spans="2:5">
      <c r="B11041" s="4" t="s">
        <v>12345</v>
      </c>
      <c r="C11041" s="129" t="s">
        <v>12346</v>
      </c>
      <c r="D11041" s="5">
        <v>320582</v>
      </c>
      <c r="E11041" s="5" t="s">
        <v>13280</v>
      </c>
    </row>
    <row r="11042" spans="2:5">
      <c r="B11042" s="4" t="s">
        <v>12345</v>
      </c>
      <c r="C11042" s="129" t="s">
        <v>12346</v>
      </c>
      <c r="D11042" s="5">
        <v>320583</v>
      </c>
      <c r="E11042" s="5" t="s">
        <v>13281</v>
      </c>
    </row>
    <row r="11043" spans="2:5">
      <c r="B11043" s="4" t="s">
        <v>12345</v>
      </c>
      <c r="C11043" s="129" t="s">
        <v>12346</v>
      </c>
      <c r="D11043" s="5">
        <v>320585</v>
      </c>
      <c r="E11043" s="5" t="s">
        <v>13282</v>
      </c>
    </row>
    <row r="11044" spans="2:5">
      <c r="B11044" s="4" t="s">
        <v>12345</v>
      </c>
      <c r="C11044" s="129" t="s">
        <v>12346</v>
      </c>
      <c r="D11044" s="5">
        <v>320600</v>
      </c>
      <c r="E11044" s="5" t="s">
        <v>13283</v>
      </c>
    </row>
    <row r="11045" spans="2:5">
      <c r="B11045" s="4" t="s">
        <v>12345</v>
      </c>
      <c r="C11045" s="129" t="s">
        <v>12346</v>
      </c>
      <c r="D11045" s="5">
        <v>320601</v>
      </c>
      <c r="E11045" s="5" t="s">
        <v>13284</v>
      </c>
    </row>
    <row r="11046" spans="2:5">
      <c r="B11046" s="4" t="s">
        <v>12345</v>
      </c>
      <c r="C11046" s="129" t="s">
        <v>12346</v>
      </c>
      <c r="D11046" s="5">
        <v>320602</v>
      </c>
      <c r="E11046" s="5" t="s">
        <v>13285</v>
      </c>
    </row>
    <row r="11047" spans="2:5">
      <c r="B11047" s="4" t="s">
        <v>12345</v>
      </c>
      <c r="C11047" s="129" t="s">
        <v>12346</v>
      </c>
      <c r="D11047" s="5">
        <v>320611</v>
      </c>
      <c r="E11047" s="5" t="s">
        <v>13286</v>
      </c>
    </row>
    <row r="11048" spans="2:5">
      <c r="B11048" s="4" t="s">
        <v>12345</v>
      </c>
      <c r="C11048" s="129" t="s">
        <v>12346</v>
      </c>
      <c r="D11048" s="5">
        <v>320612</v>
      </c>
      <c r="E11048" s="5" t="s">
        <v>13287</v>
      </c>
    </row>
    <row r="11049" spans="2:5">
      <c r="B11049" s="4" t="s">
        <v>12345</v>
      </c>
      <c r="C11049" s="129" t="s">
        <v>12346</v>
      </c>
      <c r="D11049" s="5">
        <v>320621</v>
      </c>
      <c r="E11049" s="5" t="s">
        <v>13288</v>
      </c>
    </row>
    <row r="11050" spans="2:5">
      <c r="B11050" s="4" t="s">
        <v>12345</v>
      </c>
      <c r="C11050" s="129" t="s">
        <v>12346</v>
      </c>
      <c r="D11050" s="5">
        <v>320623</v>
      </c>
      <c r="E11050" s="5" t="s">
        <v>13289</v>
      </c>
    </row>
    <row r="11051" spans="2:5">
      <c r="B11051" s="4" t="s">
        <v>12345</v>
      </c>
      <c r="C11051" s="129" t="s">
        <v>12346</v>
      </c>
      <c r="D11051" s="5">
        <v>320681</v>
      </c>
      <c r="E11051" s="5" t="s">
        <v>13290</v>
      </c>
    </row>
    <row r="11052" spans="2:5">
      <c r="B11052" s="4" t="s">
        <v>12345</v>
      </c>
      <c r="C11052" s="129" t="s">
        <v>12346</v>
      </c>
      <c r="D11052" s="5">
        <v>320682</v>
      </c>
      <c r="E11052" s="5" t="s">
        <v>13291</v>
      </c>
    </row>
    <row r="11053" spans="2:5">
      <c r="B11053" s="4" t="s">
        <v>12345</v>
      </c>
      <c r="C11053" s="129" t="s">
        <v>12346</v>
      </c>
      <c r="D11053" s="5">
        <v>320684</v>
      </c>
      <c r="E11053" s="5" t="s">
        <v>13292</v>
      </c>
    </row>
    <row r="11054" spans="2:5">
      <c r="B11054" s="4" t="s">
        <v>12345</v>
      </c>
      <c r="C11054" s="129" t="s">
        <v>12346</v>
      </c>
      <c r="D11054" s="5">
        <v>320700</v>
      </c>
      <c r="E11054" s="5" t="s">
        <v>13293</v>
      </c>
    </row>
    <row r="11055" spans="2:5">
      <c r="B11055" s="4" t="s">
        <v>12345</v>
      </c>
      <c r="C11055" s="129" t="s">
        <v>12346</v>
      </c>
      <c r="D11055" s="5">
        <v>320701</v>
      </c>
      <c r="E11055" s="5" t="s">
        <v>13294</v>
      </c>
    </row>
    <row r="11056" spans="2:5">
      <c r="B11056" s="4" t="s">
        <v>12345</v>
      </c>
      <c r="C11056" s="129" t="s">
        <v>12346</v>
      </c>
      <c r="D11056" s="5">
        <v>320703</v>
      </c>
      <c r="E11056" s="5" t="s">
        <v>13295</v>
      </c>
    </row>
    <row r="11057" spans="2:5">
      <c r="B11057" s="4" t="s">
        <v>12345</v>
      </c>
      <c r="C11057" s="129" t="s">
        <v>12346</v>
      </c>
      <c r="D11057" s="5">
        <v>320706</v>
      </c>
      <c r="E11057" s="5" t="s">
        <v>13296</v>
      </c>
    </row>
    <row r="11058" spans="2:5">
      <c r="B11058" s="4" t="s">
        <v>12345</v>
      </c>
      <c r="C11058" s="129" t="s">
        <v>12346</v>
      </c>
      <c r="D11058" s="5">
        <v>320721</v>
      </c>
      <c r="E11058" s="5" t="s">
        <v>13297</v>
      </c>
    </row>
    <row r="11059" spans="2:5">
      <c r="B11059" s="4" t="s">
        <v>12345</v>
      </c>
      <c r="C11059" s="129" t="s">
        <v>12346</v>
      </c>
      <c r="D11059" s="5">
        <v>320722</v>
      </c>
      <c r="E11059" s="5" t="s">
        <v>13298</v>
      </c>
    </row>
    <row r="11060" spans="2:5">
      <c r="B11060" s="4" t="s">
        <v>12345</v>
      </c>
      <c r="C11060" s="129" t="s">
        <v>12346</v>
      </c>
      <c r="D11060" s="5">
        <v>320723</v>
      </c>
      <c r="E11060" s="5" t="s">
        <v>13299</v>
      </c>
    </row>
    <row r="11061" spans="2:5">
      <c r="B11061" s="4" t="s">
        <v>12345</v>
      </c>
      <c r="C11061" s="129" t="s">
        <v>12346</v>
      </c>
      <c r="D11061" s="5">
        <v>320724</v>
      </c>
      <c r="E11061" s="5" t="s">
        <v>13300</v>
      </c>
    </row>
    <row r="11062" spans="2:5">
      <c r="B11062" s="4" t="s">
        <v>12345</v>
      </c>
      <c r="C11062" s="129" t="s">
        <v>12346</v>
      </c>
      <c r="D11062" s="5">
        <v>320800</v>
      </c>
      <c r="E11062" s="5" t="s">
        <v>13301</v>
      </c>
    </row>
    <row r="11063" spans="2:5">
      <c r="B11063" s="4" t="s">
        <v>12345</v>
      </c>
      <c r="C11063" s="129" t="s">
        <v>12346</v>
      </c>
      <c r="D11063" s="5">
        <v>320801</v>
      </c>
      <c r="E11063" s="5" t="s">
        <v>13302</v>
      </c>
    </row>
    <row r="11064" spans="2:5">
      <c r="B11064" s="4" t="s">
        <v>12345</v>
      </c>
      <c r="C11064" s="129" t="s">
        <v>12346</v>
      </c>
      <c r="D11064" s="5">
        <v>320802</v>
      </c>
      <c r="E11064" s="5" t="s">
        <v>13303</v>
      </c>
    </row>
    <row r="11065" spans="2:5">
      <c r="B11065" s="4" t="s">
        <v>12345</v>
      </c>
      <c r="C11065" s="129" t="s">
        <v>12346</v>
      </c>
      <c r="D11065" s="5">
        <v>320803</v>
      </c>
      <c r="E11065" s="5" t="s">
        <v>13304</v>
      </c>
    </row>
    <row r="11066" spans="2:5">
      <c r="B11066" s="4" t="s">
        <v>12345</v>
      </c>
      <c r="C11066" s="129" t="s">
        <v>12346</v>
      </c>
      <c r="D11066" s="5">
        <v>320804</v>
      </c>
      <c r="E11066" s="5" t="s">
        <v>13305</v>
      </c>
    </row>
    <row r="11067" spans="2:5">
      <c r="B11067" s="4" t="s">
        <v>12345</v>
      </c>
      <c r="C11067" s="129" t="s">
        <v>12346</v>
      </c>
      <c r="D11067" s="5">
        <v>320811</v>
      </c>
      <c r="E11067" s="5" t="s">
        <v>13306</v>
      </c>
    </row>
    <row r="11068" spans="2:5">
      <c r="B11068" s="4" t="s">
        <v>12345</v>
      </c>
      <c r="C11068" s="129" t="s">
        <v>12346</v>
      </c>
      <c r="D11068" s="5">
        <v>320826</v>
      </c>
      <c r="E11068" s="5" t="s">
        <v>13307</v>
      </c>
    </row>
    <row r="11069" spans="2:5">
      <c r="B11069" s="4" t="s">
        <v>12345</v>
      </c>
      <c r="C11069" s="129" t="s">
        <v>12346</v>
      </c>
      <c r="D11069" s="5">
        <v>320829</v>
      </c>
      <c r="E11069" s="5" t="s">
        <v>13308</v>
      </c>
    </row>
    <row r="11070" spans="2:5">
      <c r="B11070" s="4" t="s">
        <v>12345</v>
      </c>
      <c r="C11070" s="129" t="s">
        <v>12346</v>
      </c>
      <c r="D11070" s="5">
        <v>320830</v>
      </c>
      <c r="E11070" s="5" t="s">
        <v>13309</v>
      </c>
    </row>
    <row r="11071" spans="2:5">
      <c r="B11071" s="4" t="s">
        <v>12345</v>
      </c>
      <c r="C11071" s="129" t="s">
        <v>12346</v>
      </c>
      <c r="D11071" s="5">
        <v>320831</v>
      </c>
      <c r="E11071" s="5" t="s">
        <v>13310</v>
      </c>
    </row>
    <row r="11072" spans="2:5">
      <c r="B11072" s="4" t="s">
        <v>12345</v>
      </c>
      <c r="C11072" s="129" t="s">
        <v>12346</v>
      </c>
      <c r="D11072" s="5">
        <v>320900</v>
      </c>
      <c r="E11072" s="5" t="s">
        <v>13311</v>
      </c>
    </row>
    <row r="11073" spans="2:5">
      <c r="B11073" s="4" t="s">
        <v>12345</v>
      </c>
      <c r="C11073" s="129" t="s">
        <v>12346</v>
      </c>
      <c r="D11073" s="5">
        <v>320901</v>
      </c>
      <c r="E11073" s="5" t="s">
        <v>13312</v>
      </c>
    </row>
    <row r="11074" spans="2:5">
      <c r="B11074" s="4" t="s">
        <v>12345</v>
      </c>
      <c r="C11074" s="129" t="s">
        <v>12346</v>
      </c>
      <c r="D11074" s="5">
        <v>320902</v>
      </c>
      <c r="E11074" s="5" t="s">
        <v>13313</v>
      </c>
    </row>
    <row r="11075" spans="2:5">
      <c r="B11075" s="4" t="s">
        <v>12345</v>
      </c>
      <c r="C11075" s="129" t="s">
        <v>12346</v>
      </c>
      <c r="D11075" s="5">
        <v>320903</v>
      </c>
      <c r="E11075" s="5" t="s">
        <v>13314</v>
      </c>
    </row>
    <row r="11076" spans="2:5">
      <c r="B11076" s="4" t="s">
        <v>12345</v>
      </c>
      <c r="C11076" s="129" t="s">
        <v>12346</v>
      </c>
      <c r="D11076" s="5">
        <v>320921</v>
      </c>
      <c r="E11076" s="5" t="s">
        <v>13315</v>
      </c>
    </row>
    <row r="11077" spans="2:5">
      <c r="B11077" s="4" t="s">
        <v>12345</v>
      </c>
      <c r="C11077" s="129" t="s">
        <v>12346</v>
      </c>
      <c r="D11077" s="5">
        <v>320922</v>
      </c>
      <c r="E11077" s="5" t="s">
        <v>13316</v>
      </c>
    </row>
    <row r="11078" spans="2:5">
      <c r="B11078" s="4" t="s">
        <v>12345</v>
      </c>
      <c r="C11078" s="129" t="s">
        <v>12346</v>
      </c>
      <c r="D11078" s="5">
        <v>320923</v>
      </c>
      <c r="E11078" s="5" t="s">
        <v>13317</v>
      </c>
    </row>
    <row r="11079" spans="2:5">
      <c r="B11079" s="4" t="s">
        <v>12345</v>
      </c>
      <c r="C11079" s="129" t="s">
        <v>12346</v>
      </c>
      <c r="D11079" s="5">
        <v>320924</v>
      </c>
      <c r="E11079" s="5" t="s">
        <v>13318</v>
      </c>
    </row>
    <row r="11080" spans="2:5">
      <c r="B11080" s="4" t="s">
        <v>12345</v>
      </c>
      <c r="C11080" s="129" t="s">
        <v>12346</v>
      </c>
      <c r="D11080" s="5">
        <v>320925</v>
      </c>
      <c r="E11080" s="5" t="s">
        <v>13319</v>
      </c>
    </row>
    <row r="11081" spans="2:5">
      <c r="B11081" s="4" t="s">
        <v>12345</v>
      </c>
      <c r="C11081" s="129" t="s">
        <v>12346</v>
      </c>
      <c r="D11081" s="5">
        <v>320981</v>
      </c>
      <c r="E11081" s="5" t="s">
        <v>13320</v>
      </c>
    </row>
    <row r="11082" spans="2:5">
      <c r="B11082" s="4" t="s">
        <v>12345</v>
      </c>
      <c r="C11082" s="129" t="s">
        <v>12346</v>
      </c>
      <c r="D11082" s="5">
        <v>320982</v>
      </c>
      <c r="E11082" s="5" t="s">
        <v>13321</v>
      </c>
    </row>
    <row r="11083" spans="2:5">
      <c r="B11083" s="4" t="s">
        <v>12345</v>
      </c>
      <c r="C11083" s="129" t="s">
        <v>12346</v>
      </c>
      <c r="D11083" s="5">
        <v>321000</v>
      </c>
      <c r="E11083" s="5" t="s">
        <v>13322</v>
      </c>
    </row>
    <row r="11084" spans="2:5">
      <c r="B11084" s="4" t="s">
        <v>12345</v>
      </c>
      <c r="C11084" s="129" t="s">
        <v>12346</v>
      </c>
      <c r="D11084" s="5">
        <v>321001</v>
      </c>
      <c r="E11084" s="5" t="s">
        <v>13323</v>
      </c>
    </row>
    <row r="11085" spans="2:5">
      <c r="B11085" s="4" t="s">
        <v>12345</v>
      </c>
      <c r="C11085" s="129" t="s">
        <v>12346</v>
      </c>
      <c r="D11085" s="5">
        <v>321002</v>
      </c>
      <c r="E11085" s="5" t="s">
        <v>13324</v>
      </c>
    </row>
    <row r="11086" spans="2:5">
      <c r="B11086" s="4" t="s">
        <v>12345</v>
      </c>
      <c r="C11086" s="129" t="s">
        <v>12346</v>
      </c>
      <c r="D11086" s="5">
        <v>321003</v>
      </c>
      <c r="E11086" s="5" t="s">
        <v>13325</v>
      </c>
    </row>
    <row r="11087" spans="2:5">
      <c r="B11087" s="4" t="s">
        <v>12345</v>
      </c>
      <c r="C11087" s="129" t="s">
        <v>12346</v>
      </c>
      <c r="D11087" s="5">
        <v>321012</v>
      </c>
      <c r="E11087" s="5" t="s">
        <v>13326</v>
      </c>
    </row>
    <row r="11088" spans="2:5">
      <c r="B11088" s="4" t="s">
        <v>12345</v>
      </c>
      <c r="C11088" s="129" t="s">
        <v>12346</v>
      </c>
      <c r="D11088" s="5">
        <v>321023</v>
      </c>
      <c r="E11088" s="5" t="s">
        <v>13327</v>
      </c>
    </row>
    <row r="11089" spans="2:5">
      <c r="B11089" s="4" t="s">
        <v>12345</v>
      </c>
      <c r="C11089" s="129" t="s">
        <v>12346</v>
      </c>
      <c r="D11089" s="5">
        <v>321081</v>
      </c>
      <c r="E11089" s="5" t="s">
        <v>13328</v>
      </c>
    </row>
    <row r="11090" spans="2:5">
      <c r="B11090" s="4" t="s">
        <v>12345</v>
      </c>
      <c r="C11090" s="129" t="s">
        <v>12346</v>
      </c>
      <c r="D11090" s="5">
        <v>321084</v>
      </c>
      <c r="E11090" s="5" t="s">
        <v>13329</v>
      </c>
    </row>
    <row r="11091" spans="2:5">
      <c r="B11091" s="4" t="s">
        <v>12345</v>
      </c>
      <c r="C11091" s="129" t="s">
        <v>12346</v>
      </c>
      <c r="D11091" s="5">
        <v>321100</v>
      </c>
      <c r="E11091" s="5" t="s">
        <v>13330</v>
      </c>
    </row>
    <row r="11092" spans="2:5">
      <c r="B11092" s="4" t="s">
        <v>12345</v>
      </c>
      <c r="C11092" s="129" t="s">
        <v>12346</v>
      </c>
      <c r="D11092" s="5">
        <v>321101</v>
      </c>
      <c r="E11092" s="5" t="s">
        <v>13331</v>
      </c>
    </row>
    <row r="11093" spans="2:5">
      <c r="B11093" s="4" t="s">
        <v>12345</v>
      </c>
      <c r="C11093" s="129" t="s">
        <v>12346</v>
      </c>
      <c r="D11093" s="5">
        <v>321102</v>
      </c>
      <c r="E11093" s="5" t="s">
        <v>13332</v>
      </c>
    </row>
    <row r="11094" spans="2:5">
      <c r="B11094" s="4" t="s">
        <v>12345</v>
      </c>
      <c r="C11094" s="129" t="s">
        <v>12346</v>
      </c>
      <c r="D11094" s="5">
        <v>321111</v>
      </c>
      <c r="E11094" s="5" t="s">
        <v>13333</v>
      </c>
    </row>
    <row r="11095" spans="2:5">
      <c r="B11095" s="4" t="s">
        <v>12345</v>
      </c>
      <c r="C11095" s="129" t="s">
        <v>12346</v>
      </c>
      <c r="D11095" s="5">
        <v>321112</v>
      </c>
      <c r="E11095" s="5" t="s">
        <v>13334</v>
      </c>
    </row>
    <row r="11096" spans="2:5">
      <c r="B11096" s="4" t="s">
        <v>12345</v>
      </c>
      <c r="C11096" s="129" t="s">
        <v>12346</v>
      </c>
      <c r="D11096" s="5">
        <v>321181</v>
      </c>
      <c r="E11096" s="5" t="s">
        <v>13335</v>
      </c>
    </row>
    <row r="11097" spans="2:5">
      <c r="B11097" s="4" t="s">
        <v>12345</v>
      </c>
      <c r="C11097" s="129" t="s">
        <v>12346</v>
      </c>
      <c r="D11097" s="5">
        <v>321182</v>
      </c>
      <c r="E11097" s="5" t="s">
        <v>13336</v>
      </c>
    </row>
    <row r="11098" spans="2:5">
      <c r="B11098" s="4" t="s">
        <v>12345</v>
      </c>
      <c r="C11098" s="129" t="s">
        <v>12346</v>
      </c>
      <c r="D11098" s="5">
        <v>321183</v>
      </c>
      <c r="E11098" s="5" t="s">
        <v>13337</v>
      </c>
    </row>
    <row r="11099" spans="2:5">
      <c r="B11099" s="4" t="s">
        <v>12345</v>
      </c>
      <c r="C11099" s="129" t="s">
        <v>12346</v>
      </c>
      <c r="D11099" s="5">
        <v>321200</v>
      </c>
      <c r="E11099" s="5" t="s">
        <v>13338</v>
      </c>
    </row>
    <row r="11100" spans="2:5">
      <c r="B11100" s="4" t="s">
        <v>12345</v>
      </c>
      <c r="C11100" s="129" t="s">
        <v>12346</v>
      </c>
      <c r="D11100" s="5">
        <v>321201</v>
      </c>
      <c r="E11100" s="5" t="s">
        <v>13339</v>
      </c>
    </row>
    <row r="11101" spans="2:5">
      <c r="B11101" s="4" t="s">
        <v>12345</v>
      </c>
      <c r="C11101" s="129" t="s">
        <v>12346</v>
      </c>
      <c r="D11101" s="5">
        <v>321202</v>
      </c>
      <c r="E11101" s="5" t="s">
        <v>13340</v>
      </c>
    </row>
    <row r="11102" spans="2:5">
      <c r="B11102" s="4" t="s">
        <v>12345</v>
      </c>
      <c r="C11102" s="129" t="s">
        <v>12346</v>
      </c>
      <c r="D11102" s="5">
        <v>321203</v>
      </c>
      <c r="E11102" s="5" t="s">
        <v>13341</v>
      </c>
    </row>
    <row r="11103" spans="2:5">
      <c r="B11103" s="4" t="s">
        <v>12345</v>
      </c>
      <c r="C11103" s="129" t="s">
        <v>12346</v>
      </c>
      <c r="D11103" s="5">
        <v>321204</v>
      </c>
      <c r="E11103" s="5" t="s">
        <v>13342</v>
      </c>
    </row>
    <row r="11104" spans="2:5">
      <c r="B11104" s="4" t="s">
        <v>12345</v>
      </c>
      <c r="C11104" s="129" t="s">
        <v>12346</v>
      </c>
      <c r="D11104" s="5">
        <v>321281</v>
      </c>
      <c r="E11104" s="5" t="s">
        <v>13343</v>
      </c>
    </row>
    <row r="11105" spans="2:5">
      <c r="B11105" s="4" t="s">
        <v>12345</v>
      </c>
      <c r="C11105" s="129" t="s">
        <v>12346</v>
      </c>
      <c r="D11105" s="5">
        <v>321282</v>
      </c>
      <c r="E11105" s="5" t="s">
        <v>13344</v>
      </c>
    </row>
    <row r="11106" spans="2:5">
      <c r="B11106" s="4" t="s">
        <v>12345</v>
      </c>
      <c r="C11106" s="129" t="s">
        <v>12346</v>
      </c>
      <c r="D11106" s="5">
        <v>321283</v>
      </c>
      <c r="E11106" s="5" t="s">
        <v>13345</v>
      </c>
    </row>
    <row r="11107" spans="2:5">
      <c r="B11107" s="4" t="s">
        <v>12345</v>
      </c>
      <c r="C11107" s="129" t="s">
        <v>12346</v>
      </c>
      <c r="D11107" s="5">
        <v>321300</v>
      </c>
      <c r="E11107" s="5" t="s">
        <v>13346</v>
      </c>
    </row>
    <row r="11108" spans="2:5">
      <c r="B11108" s="4" t="s">
        <v>12345</v>
      </c>
      <c r="C11108" s="129" t="s">
        <v>12346</v>
      </c>
      <c r="D11108" s="5">
        <v>321301</v>
      </c>
      <c r="E11108" s="5" t="s">
        <v>13347</v>
      </c>
    </row>
    <row r="11109" spans="2:5">
      <c r="B11109" s="4" t="s">
        <v>12345</v>
      </c>
      <c r="C11109" s="129" t="s">
        <v>12346</v>
      </c>
      <c r="D11109" s="5">
        <v>321302</v>
      </c>
      <c r="E11109" s="5" t="s">
        <v>13348</v>
      </c>
    </row>
    <row r="11110" spans="2:5">
      <c r="B11110" s="4" t="s">
        <v>12345</v>
      </c>
      <c r="C11110" s="129" t="s">
        <v>12346</v>
      </c>
      <c r="D11110" s="5">
        <v>321311</v>
      </c>
      <c r="E11110" s="5" t="s">
        <v>13349</v>
      </c>
    </row>
    <row r="11111" spans="2:5">
      <c r="B11111" s="4" t="s">
        <v>12345</v>
      </c>
      <c r="C11111" s="129" t="s">
        <v>12346</v>
      </c>
      <c r="D11111" s="5">
        <v>321322</v>
      </c>
      <c r="E11111" s="5" t="s">
        <v>13350</v>
      </c>
    </row>
    <row r="11112" spans="2:5">
      <c r="B11112" s="4" t="s">
        <v>12345</v>
      </c>
      <c r="C11112" s="129" t="s">
        <v>12346</v>
      </c>
      <c r="D11112" s="5">
        <v>321323</v>
      </c>
      <c r="E11112" s="5" t="s">
        <v>13351</v>
      </c>
    </row>
    <row r="11113" spans="2:5">
      <c r="B11113" s="4" t="s">
        <v>12345</v>
      </c>
      <c r="C11113" s="129" t="s">
        <v>12346</v>
      </c>
      <c r="D11113" s="5">
        <v>321324</v>
      </c>
      <c r="E11113" s="5" t="s">
        <v>13352</v>
      </c>
    </row>
    <row r="11114" spans="2:5">
      <c r="B11114" s="4" t="s">
        <v>12345</v>
      </c>
      <c r="C11114" s="129" t="s">
        <v>12346</v>
      </c>
      <c r="D11114" s="5">
        <v>330000</v>
      </c>
      <c r="E11114" s="5" t="s">
        <v>13353</v>
      </c>
    </row>
    <row r="11115" spans="2:5">
      <c r="B11115" s="4" t="s">
        <v>12345</v>
      </c>
      <c r="C11115" s="129" t="s">
        <v>12346</v>
      </c>
      <c r="D11115" s="5">
        <v>330100</v>
      </c>
      <c r="E11115" s="5" t="s">
        <v>13354</v>
      </c>
    </row>
    <row r="11116" spans="2:5">
      <c r="B11116" s="4" t="s">
        <v>12345</v>
      </c>
      <c r="C11116" s="129" t="s">
        <v>12346</v>
      </c>
      <c r="D11116" s="5">
        <v>330101</v>
      </c>
      <c r="E11116" s="5" t="s">
        <v>13355</v>
      </c>
    </row>
    <row r="11117" spans="2:5">
      <c r="B11117" s="4" t="s">
        <v>12345</v>
      </c>
      <c r="C11117" s="129" t="s">
        <v>12346</v>
      </c>
      <c r="D11117" s="5">
        <v>330102</v>
      </c>
      <c r="E11117" s="5" t="s">
        <v>13356</v>
      </c>
    </row>
    <row r="11118" spans="2:5">
      <c r="B11118" s="4" t="s">
        <v>12345</v>
      </c>
      <c r="C11118" s="129" t="s">
        <v>12346</v>
      </c>
      <c r="D11118" s="5">
        <v>330103</v>
      </c>
      <c r="E11118" s="5" t="s">
        <v>13357</v>
      </c>
    </row>
    <row r="11119" spans="2:5">
      <c r="B11119" s="4" t="s">
        <v>12345</v>
      </c>
      <c r="C11119" s="129" t="s">
        <v>12346</v>
      </c>
      <c r="D11119" s="5">
        <v>330104</v>
      </c>
      <c r="E11119" s="5" t="s">
        <v>13358</v>
      </c>
    </row>
    <row r="11120" spans="2:5">
      <c r="B11120" s="4" t="s">
        <v>12345</v>
      </c>
      <c r="C11120" s="129" t="s">
        <v>12346</v>
      </c>
      <c r="D11120" s="5">
        <v>330105</v>
      </c>
      <c r="E11120" s="5" t="s">
        <v>13359</v>
      </c>
    </row>
    <row r="11121" spans="2:5">
      <c r="B11121" s="4" t="s">
        <v>12345</v>
      </c>
      <c r="C11121" s="129" t="s">
        <v>12346</v>
      </c>
      <c r="D11121" s="5">
        <v>330106</v>
      </c>
      <c r="E11121" s="5" t="s">
        <v>13360</v>
      </c>
    </row>
    <row r="11122" spans="2:5">
      <c r="B11122" s="4" t="s">
        <v>12345</v>
      </c>
      <c r="C11122" s="129" t="s">
        <v>12346</v>
      </c>
      <c r="D11122" s="5">
        <v>330108</v>
      </c>
      <c r="E11122" s="5" t="s">
        <v>13361</v>
      </c>
    </row>
    <row r="11123" spans="2:5">
      <c r="B11123" s="4" t="s">
        <v>12345</v>
      </c>
      <c r="C11123" s="129" t="s">
        <v>12346</v>
      </c>
      <c r="D11123" s="5">
        <v>330109</v>
      </c>
      <c r="E11123" s="5" t="s">
        <v>13362</v>
      </c>
    </row>
    <row r="11124" spans="2:5">
      <c r="B11124" s="4" t="s">
        <v>12345</v>
      </c>
      <c r="C11124" s="129" t="s">
        <v>12346</v>
      </c>
      <c r="D11124" s="5">
        <v>330110</v>
      </c>
      <c r="E11124" s="5" t="s">
        <v>13363</v>
      </c>
    </row>
    <row r="11125" spans="2:5">
      <c r="B11125" s="4" t="s">
        <v>12345</v>
      </c>
      <c r="C11125" s="129" t="s">
        <v>12346</v>
      </c>
      <c r="D11125" s="5">
        <v>330122</v>
      </c>
      <c r="E11125" s="5" t="s">
        <v>13364</v>
      </c>
    </row>
    <row r="11126" spans="2:5">
      <c r="B11126" s="4" t="s">
        <v>12345</v>
      </c>
      <c r="C11126" s="129" t="s">
        <v>12346</v>
      </c>
      <c r="D11126" s="5">
        <v>330127</v>
      </c>
      <c r="E11126" s="5" t="s">
        <v>13365</v>
      </c>
    </row>
    <row r="11127" spans="2:5">
      <c r="B11127" s="4" t="s">
        <v>12345</v>
      </c>
      <c r="C11127" s="129" t="s">
        <v>12346</v>
      </c>
      <c r="D11127" s="5">
        <v>330182</v>
      </c>
      <c r="E11127" s="5" t="s">
        <v>13366</v>
      </c>
    </row>
    <row r="11128" spans="2:5">
      <c r="B11128" s="4" t="s">
        <v>12345</v>
      </c>
      <c r="C11128" s="129" t="s">
        <v>12346</v>
      </c>
      <c r="D11128" s="5">
        <v>330183</v>
      </c>
      <c r="E11128" s="5" t="s">
        <v>13367</v>
      </c>
    </row>
    <row r="11129" spans="2:5">
      <c r="B11129" s="4" t="s">
        <v>12345</v>
      </c>
      <c r="C11129" s="129" t="s">
        <v>12346</v>
      </c>
      <c r="D11129" s="5">
        <v>330185</v>
      </c>
      <c r="E11129" s="5" t="s">
        <v>13368</v>
      </c>
    </row>
    <row r="11130" spans="2:5">
      <c r="B11130" s="4" t="s">
        <v>12345</v>
      </c>
      <c r="C11130" s="129" t="s">
        <v>12346</v>
      </c>
      <c r="D11130" s="5">
        <v>330200</v>
      </c>
      <c r="E11130" s="5" t="s">
        <v>13369</v>
      </c>
    </row>
    <row r="11131" spans="2:5">
      <c r="B11131" s="4" t="s">
        <v>12345</v>
      </c>
      <c r="C11131" s="129" t="s">
        <v>12346</v>
      </c>
      <c r="D11131" s="5">
        <v>330201</v>
      </c>
      <c r="E11131" s="5" t="s">
        <v>13370</v>
      </c>
    </row>
    <row r="11132" spans="2:5">
      <c r="B11132" s="4" t="s">
        <v>12345</v>
      </c>
      <c r="C11132" s="129" t="s">
        <v>12346</v>
      </c>
      <c r="D11132" s="5">
        <v>330203</v>
      </c>
      <c r="E11132" s="5" t="s">
        <v>13371</v>
      </c>
    </row>
    <row r="11133" spans="2:5">
      <c r="B11133" s="4" t="s">
        <v>12345</v>
      </c>
      <c r="C11133" s="129" t="s">
        <v>12346</v>
      </c>
      <c r="D11133" s="5">
        <v>330204</v>
      </c>
      <c r="E11133" s="5" t="s">
        <v>13372</v>
      </c>
    </row>
    <row r="11134" spans="2:5">
      <c r="B11134" s="4" t="s">
        <v>12345</v>
      </c>
      <c r="C11134" s="129" t="s">
        <v>12346</v>
      </c>
      <c r="D11134" s="5">
        <v>330205</v>
      </c>
      <c r="E11134" s="5" t="s">
        <v>13373</v>
      </c>
    </row>
    <row r="11135" spans="2:5">
      <c r="B11135" s="4" t="s">
        <v>12345</v>
      </c>
      <c r="C11135" s="129" t="s">
        <v>12346</v>
      </c>
      <c r="D11135" s="5">
        <v>330206</v>
      </c>
      <c r="E11135" s="5" t="s">
        <v>13374</v>
      </c>
    </row>
    <row r="11136" spans="2:5">
      <c r="B11136" s="4" t="s">
        <v>12345</v>
      </c>
      <c r="C11136" s="129" t="s">
        <v>12346</v>
      </c>
      <c r="D11136" s="5">
        <v>330211</v>
      </c>
      <c r="E11136" s="5" t="s">
        <v>13375</v>
      </c>
    </row>
    <row r="11137" spans="2:5">
      <c r="B11137" s="4" t="s">
        <v>12345</v>
      </c>
      <c r="C11137" s="129" t="s">
        <v>12346</v>
      </c>
      <c r="D11137" s="5">
        <v>330212</v>
      </c>
      <c r="E11137" s="5" t="s">
        <v>13376</v>
      </c>
    </row>
    <row r="11138" spans="2:5">
      <c r="B11138" s="4" t="s">
        <v>12345</v>
      </c>
      <c r="C11138" s="129" t="s">
        <v>12346</v>
      </c>
      <c r="D11138" s="5">
        <v>330225</v>
      </c>
      <c r="E11138" s="5" t="s">
        <v>13377</v>
      </c>
    </row>
    <row r="11139" spans="2:5">
      <c r="B11139" s="4" t="s">
        <v>12345</v>
      </c>
      <c r="C11139" s="129" t="s">
        <v>12346</v>
      </c>
      <c r="D11139" s="5">
        <v>330226</v>
      </c>
      <c r="E11139" s="5" t="s">
        <v>13378</v>
      </c>
    </row>
    <row r="11140" spans="2:5">
      <c r="B11140" s="4" t="s">
        <v>12345</v>
      </c>
      <c r="C11140" s="129" t="s">
        <v>12346</v>
      </c>
      <c r="D11140" s="5">
        <v>330281</v>
      </c>
      <c r="E11140" s="5" t="s">
        <v>13379</v>
      </c>
    </row>
    <row r="11141" spans="2:5">
      <c r="B11141" s="4" t="s">
        <v>12345</v>
      </c>
      <c r="C11141" s="129" t="s">
        <v>12346</v>
      </c>
      <c r="D11141" s="5">
        <v>330282</v>
      </c>
      <c r="E11141" s="5" t="s">
        <v>13380</v>
      </c>
    </row>
    <row r="11142" spans="2:5">
      <c r="B11142" s="4" t="s">
        <v>12345</v>
      </c>
      <c r="C11142" s="129" t="s">
        <v>12346</v>
      </c>
      <c r="D11142" s="5">
        <v>330283</v>
      </c>
      <c r="E11142" s="5" t="s">
        <v>13381</v>
      </c>
    </row>
    <row r="11143" spans="2:5">
      <c r="B11143" s="4" t="s">
        <v>12345</v>
      </c>
      <c r="C11143" s="129" t="s">
        <v>12346</v>
      </c>
      <c r="D11143" s="5">
        <v>330300</v>
      </c>
      <c r="E11143" s="5" t="s">
        <v>13382</v>
      </c>
    </row>
    <row r="11144" spans="2:5">
      <c r="B11144" s="4" t="s">
        <v>12345</v>
      </c>
      <c r="C11144" s="129" t="s">
        <v>12346</v>
      </c>
      <c r="D11144" s="5">
        <v>330301</v>
      </c>
      <c r="E11144" s="5" t="s">
        <v>13383</v>
      </c>
    </row>
    <row r="11145" spans="2:5">
      <c r="B11145" s="4" t="s">
        <v>12345</v>
      </c>
      <c r="C11145" s="129" t="s">
        <v>12346</v>
      </c>
      <c r="D11145" s="5">
        <v>330302</v>
      </c>
      <c r="E11145" s="5" t="s">
        <v>13384</v>
      </c>
    </row>
    <row r="11146" spans="2:5">
      <c r="B11146" s="4" t="s">
        <v>12345</v>
      </c>
      <c r="C11146" s="129" t="s">
        <v>12346</v>
      </c>
      <c r="D11146" s="5">
        <v>330303</v>
      </c>
      <c r="E11146" s="5" t="s">
        <v>13385</v>
      </c>
    </row>
    <row r="11147" spans="2:5">
      <c r="B11147" s="4" t="s">
        <v>12345</v>
      </c>
      <c r="C11147" s="129" t="s">
        <v>12346</v>
      </c>
      <c r="D11147" s="5">
        <v>330304</v>
      </c>
      <c r="E11147" s="5" t="s">
        <v>13386</v>
      </c>
    </row>
    <row r="11148" spans="2:5">
      <c r="B11148" s="4" t="s">
        <v>12345</v>
      </c>
      <c r="C11148" s="129" t="s">
        <v>12346</v>
      </c>
      <c r="D11148" s="5">
        <v>330322</v>
      </c>
      <c r="E11148" s="5" t="s">
        <v>13387</v>
      </c>
    </row>
    <row r="11149" spans="2:5">
      <c r="B11149" s="4" t="s">
        <v>12345</v>
      </c>
      <c r="C11149" s="129" t="s">
        <v>12346</v>
      </c>
      <c r="D11149" s="5">
        <v>330324</v>
      </c>
      <c r="E11149" s="5" t="s">
        <v>13388</v>
      </c>
    </row>
    <row r="11150" spans="2:5">
      <c r="B11150" s="4" t="s">
        <v>12345</v>
      </c>
      <c r="C11150" s="129" t="s">
        <v>12346</v>
      </c>
      <c r="D11150" s="5">
        <v>330326</v>
      </c>
      <c r="E11150" s="5" t="s">
        <v>13389</v>
      </c>
    </row>
    <row r="11151" spans="2:5">
      <c r="B11151" s="4" t="s">
        <v>12345</v>
      </c>
      <c r="C11151" s="129" t="s">
        <v>12346</v>
      </c>
      <c r="D11151" s="5">
        <v>330327</v>
      </c>
      <c r="E11151" s="5" t="s">
        <v>13390</v>
      </c>
    </row>
    <row r="11152" spans="2:5">
      <c r="B11152" s="4" t="s">
        <v>12345</v>
      </c>
      <c r="C11152" s="129" t="s">
        <v>12346</v>
      </c>
      <c r="D11152" s="5">
        <v>330328</v>
      </c>
      <c r="E11152" s="5" t="s">
        <v>13391</v>
      </c>
    </row>
    <row r="11153" spans="2:5">
      <c r="B11153" s="4" t="s">
        <v>12345</v>
      </c>
      <c r="C11153" s="129" t="s">
        <v>12346</v>
      </c>
      <c r="D11153" s="5">
        <v>330329</v>
      </c>
      <c r="E11153" s="5" t="s">
        <v>13392</v>
      </c>
    </row>
    <row r="11154" spans="2:5">
      <c r="B11154" s="4" t="s">
        <v>12345</v>
      </c>
      <c r="C11154" s="129" t="s">
        <v>12346</v>
      </c>
      <c r="D11154" s="5">
        <v>330381</v>
      </c>
      <c r="E11154" s="5" t="s">
        <v>13393</v>
      </c>
    </row>
    <row r="11155" spans="2:5">
      <c r="B11155" s="4" t="s">
        <v>12345</v>
      </c>
      <c r="C11155" s="129" t="s">
        <v>12346</v>
      </c>
      <c r="D11155" s="5">
        <v>330382</v>
      </c>
      <c r="E11155" s="5" t="s">
        <v>13394</v>
      </c>
    </row>
    <row r="11156" spans="2:5">
      <c r="B11156" s="4" t="s">
        <v>12345</v>
      </c>
      <c r="C11156" s="129" t="s">
        <v>12346</v>
      </c>
      <c r="D11156" s="5">
        <v>330400</v>
      </c>
      <c r="E11156" s="5" t="s">
        <v>13395</v>
      </c>
    </row>
    <row r="11157" spans="2:5">
      <c r="B11157" s="4" t="s">
        <v>12345</v>
      </c>
      <c r="C11157" s="129" t="s">
        <v>12346</v>
      </c>
      <c r="D11157" s="5">
        <v>330401</v>
      </c>
      <c r="E11157" s="5" t="s">
        <v>13396</v>
      </c>
    </row>
    <row r="11158" spans="2:5">
      <c r="B11158" s="4" t="s">
        <v>12345</v>
      </c>
      <c r="C11158" s="129" t="s">
        <v>12346</v>
      </c>
      <c r="D11158" s="5">
        <v>330402</v>
      </c>
      <c r="E11158" s="5" t="s">
        <v>13397</v>
      </c>
    </row>
    <row r="11159" spans="2:5">
      <c r="B11159" s="4" t="s">
        <v>12345</v>
      </c>
      <c r="C11159" s="129" t="s">
        <v>12346</v>
      </c>
      <c r="D11159" s="5">
        <v>330411</v>
      </c>
      <c r="E11159" s="5" t="s">
        <v>13398</v>
      </c>
    </row>
    <row r="11160" spans="2:5">
      <c r="B11160" s="4" t="s">
        <v>12345</v>
      </c>
      <c r="C11160" s="129" t="s">
        <v>12346</v>
      </c>
      <c r="D11160" s="5">
        <v>330421</v>
      </c>
      <c r="E11160" s="5" t="s">
        <v>13399</v>
      </c>
    </row>
    <row r="11161" spans="2:5">
      <c r="B11161" s="4" t="s">
        <v>12345</v>
      </c>
      <c r="C11161" s="129" t="s">
        <v>12346</v>
      </c>
      <c r="D11161" s="5">
        <v>330424</v>
      </c>
      <c r="E11161" s="5" t="s">
        <v>13400</v>
      </c>
    </row>
    <row r="11162" spans="2:5">
      <c r="B11162" s="4" t="s">
        <v>12345</v>
      </c>
      <c r="C11162" s="129" t="s">
        <v>12346</v>
      </c>
      <c r="D11162" s="5">
        <v>330481</v>
      </c>
      <c r="E11162" s="5" t="s">
        <v>13401</v>
      </c>
    </row>
    <row r="11163" spans="2:5">
      <c r="B11163" s="4" t="s">
        <v>12345</v>
      </c>
      <c r="C11163" s="129" t="s">
        <v>12346</v>
      </c>
      <c r="D11163" s="5">
        <v>330482</v>
      </c>
      <c r="E11163" s="5" t="s">
        <v>13402</v>
      </c>
    </row>
    <row r="11164" spans="2:5">
      <c r="B11164" s="4" t="s">
        <v>12345</v>
      </c>
      <c r="C11164" s="129" t="s">
        <v>12346</v>
      </c>
      <c r="D11164" s="5">
        <v>330483</v>
      </c>
      <c r="E11164" s="5" t="s">
        <v>13403</v>
      </c>
    </row>
    <row r="11165" spans="2:5">
      <c r="B11165" s="4" t="s">
        <v>12345</v>
      </c>
      <c r="C11165" s="129" t="s">
        <v>12346</v>
      </c>
      <c r="D11165" s="5">
        <v>330500</v>
      </c>
      <c r="E11165" s="5" t="s">
        <v>13404</v>
      </c>
    </row>
    <row r="11166" spans="2:5">
      <c r="B11166" s="4" t="s">
        <v>12345</v>
      </c>
      <c r="C11166" s="129" t="s">
        <v>12346</v>
      </c>
      <c r="D11166" s="5">
        <v>330501</v>
      </c>
      <c r="E11166" s="5" t="s">
        <v>13405</v>
      </c>
    </row>
    <row r="11167" spans="2:5">
      <c r="B11167" s="4" t="s">
        <v>12345</v>
      </c>
      <c r="C11167" s="129" t="s">
        <v>12346</v>
      </c>
      <c r="D11167" s="5">
        <v>330502</v>
      </c>
      <c r="E11167" s="5" t="s">
        <v>13406</v>
      </c>
    </row>
    <row r="11168" spans="2:5">
      <c r="B11168" s="4" t="s">
        <v>12345</v>
      </c>
      <c r="C11168" s="129" t="s">
        <v>12346</v>
      </c>
      <c r="D11168" s="5">
        <v>330503</v>
      </c>
      <c r="E11168" s="5" t="s">
        <v>13407</v>
      </c>
    </row>
    <row r="11169" spans="2:5">
      <c r="B11169" s="4" t="s">
        <v>12345</v>
      </c>
      <c r="C11169" s="129" t="s">
        <v>12346</v>
      </c>
      <c r="D11169" s="5">
        <v>330521</v>
      </c>
      <c r="E11169" s="5" t="s">
        <v>13408</v>
      </c>
    </row>
    <row r="11170" spans="2:5">
      <c r="B11170" s="4" t="s">
        <v>12345</v>
      </c>
      <c r="C11170" s="129" t="s">
        <v>12346</v>
      </c>
      <c r="D11170" s="5">
        <v>330522</v>
      </c>
      <c r="E11170" s="5" t="s">
        <v>13409</v>
      </c>
    </row>
    <row r="11171" spans="2:5">
      <c r="B11171" s="4" t="s">
        <v>12345</v>
      </c>
      <c r="C11171" s="129" t="s">
        <v>12346</v>
      </c>
      <c r="D11171" s="5">
        <v>330523</v>
      </c>
      <c r="E11171" s="5" t="s">
        <v>13410</v>
      </c>
    </row>
    <row r="11172" spans="2:5">
      <c r="B11172" s="4" t="s">
        <v>12345</v>
      </c>
      <c r="C11172" s="129" t="s">
        <v>12346</v>
      </c>
      <c r="D11172" s="5">
        <v>330600</v>
      </c>
      <c r="E11172" s="5" t="s">
        <v>13411</v>
      </c>
    </row>
    <row r="11173" spans="2:5">
      <c r="B11173" s="4" t="s">
        <v>12345</v>
      </c>
      <c r="C11173" s="129" t="s">
        <v>12346</v>
      </c>
      <c r="D11173" s="5">
        <v>330601</v>
      </c>
      <c r="E11173" s="5" t="s">
        <v>13412</v>
      </c>
    </row>
    <row r="11174" spans="2:5">
      <c r="B11174" s="4" t="s">
        <v>12345</v>
      </c>
      <c r="C11174" s="129" t="s">
        <v>12346</v>
      </c>
      <c r="D11174" s="5">
        <v>330602</v>
      </c>
      <c r="E11174" s="5" t="s">
        <v>13413</v>
      </c>
    </row>
    <row r="11175" spans="2:5">
      <c r="B11175" s="4" t="s">
        <v>12345</v>
      </c>
      <c r="C11175" s="129" t="s">
        <v>12346</v>
      </c>
      <c r="D11175" s="5">
        <v>330603</v>
      </c>
      <c r="E11175" s="5" t="s">
        <v>13414</v>
      </c>
    </row>
    <row r="11176" spans="2:5">
      <c r="B11176" s="4" t="s">
        <v>12345</v>
      </c>
      <c r="C11176" s="129" t="s">
        <v>12346</v>
      </c>
      <c r="D11176" s="5">
        <v>330604</v>
      </c>
      <c r="E11176" s="5" t="s">
        <v>13415</v>
      </c>
    </row>
    <row r="11177" spans="2:5">
      <c r="B11177" s="4" t="s">
        <v>12345</v>
      </c>
      <c r="C11177" s="129" t="s">
        <v>12346</v>
      </c>
      <c r="D11177" s="5">
        <v>330624</v>
      </c>
      <c r="E11177" s="5" t="s">
        <v>13416</v>
      </c>
    </row>
    <row r="11178" spans="2:5">
      <c r="B11178" s="4" t="s">
        <v>12345</v>
      </c>
      <c r="C11178" s="129" t="s">
        <v>12346</v>
      </c>
      <c r="D11178" s="5">
        <v>330681</v>
      </c>
      <c r="E11178" s="5" t="s">
        <v>13417</v>
      </c>
    </row>
    <row r="11179" spans="2:5">
      <c r="B11179" s="4" t="s">
        <v>12345</v>
      </c>
      <c r="C11179" s="129" t="s">
        <v>12346</v>
      </c>
      <c r="D11179" s="5">
        <v>330683</v>
      </c>
      <c r="E11179" s="5" t="s">
        <v>13418</v>
      </c>
    </row>
    <row r="11180" spans="2:5">
      <c r="B11180" s="4" t="s">
        <v>12345</v>
      </c>
      <c r="C11180" s="129" t="s">
        <v>12346</v>
      </c>
      <c r="D11180" s="5">
        <v>330700</v>
      </c>
      <c r="E11180" s="5" t="s">
        <v>13419</v>
      </c>
    </row>
    <row r="11181" spans="2:5">
      <c r="B11181" s="4" t="s">
        <v>12345</v>
      </c>
      <c r="C11181" s="129" t="s">
        <v>12346</v>
      </c>
      <c r="D11181" s="5">
        <v>330701</v>
      </c>
      <c r="E11181" s="5" t="s">
        <v>13420</v>
      </c>
    </row>
    <row r="11182" spans="2:5">
      <c r="B11182" s="4" t="s">
        <v>12345</v>
      </c>
      <c r="C11182" s="129" t="s">
        <v>12346</v>
      </c>
      <c r="D11182" s="5">
        <v>330702</v>
      </c>
      <c r="E11182" s="5" t="s">
        <v>13421</v>
      </c>
    </row>
    <row r="11183" spans="2:5">
      <c r="B11183" s="4" t="s">
        <v>12345</v>
      </c>
      <c r="C11183" s="129" t="s">
        <v>12346</v>
      </c>
      <c r="D11183" s="5">
        <v>330703</v>
      </c>
      <c r="E11183" s="5" t="s">
        <v>13422</v>
      </c>
    </row>
    <row r="11184" spans="2:5">
      <c r="B11184" s="4" t="s">
        <v>12345</v>
      </c>
      <c r="C11184" s="129" t="s">
        <v>12346</v>
      </c>
      <c r="D11184" s="5">
        <v>330723</v>
      </c>
      <c r="E11184" s="5" t="s">
        <v>13423</v>
      </c>
    </row>
    <row r="11185" spans="2:5">
      <c r="B11185" s="4" t="s">
        <v>12345</v>
      </c>
      <c r="C11185" s="129" t="s">
        <v>12346</v>
      </c>
      <c r="D11185" s="5">
        <v>330726</v>
      </c>
      <c r="E11185" s="5" t="s">
        <v>13424</v>
      </c>
    </row>
    <row r="11186" spans="2:5">
      <c r="B11186" s="4" t="s">
        <v>12345</v>
      </c>
      <c r="C11186" s="129" t="s">
        <v>12346</v>
      </c>
      <c r="D11186" s="5">
        <v>330727</v>
      </c>
      <c r="E11186" s="5" t="s">
        <v>13425</v>
      </c>
    </row>
    <row r="11187" spans="2:5">
      <c r="B11187" s="4" t="s">
        <v>12345</v>
      </c>
      <c r="C11187" s="129" t="s">
        <v>12346</v>
      </c>
      <c r="D11187" s="5">
        <v>330781</v>
      </c>
      <c r="E11187" s="5" t="s">
        <v>13426</v>
      </c>
    </row>
    <row r="11188" spans="2:5">
      <c r="B11188" s="4" t="s">
        <v>12345</v>
      </c>
      <c r="C11188" s="129" t="s">
        <v>12346</v>
      </c>
      <c r="D11188" s="5">
        <v>330782</v>
      </c>
      <c r="E11188" s="5" t="s">
        <v>13427</v>
      </c>
    </row>
    <row r="11189" spans="2:5">
      <c r="B11189" s="4" t="s">
        <v>12345</v>
      </c>
      <c r="C11189" s="129" t="s">
        <v>12346</v>
      </c>
      <c r="D11189" s="5">
        <v>330783</v>
      </c>
      <c r="E11189" s="5" t="s">
        <v>13428</v>
      </c>
    </row>
    <row r="11190" spans="2:5">
      <c r="B11190" s="4" t="s">
        <v>12345</v>
      </c>
      <c r="C11190" s="129" t="s">
        <v>12346</v>
      </c>
      <c r="D11190" s="5">
        <v>330784</v>
      </c>
      <c r="E11190" s="5" t="s">
        <v>13429</v>
      </c>
    </row>
    <row r="11191" spans="2:5">
      <c r="B11191" s="4" t="s">
        <v>12345</v>
      </c>
      <c r="C11191" s="129" t="s">
        <v>12346</v>
      </c>
      <c r="D11191" s="5">
        <v>330800</v>
      </c>
      <c r="E11191" s="5" t="s">
        <v>13430</v>
      </c>
    </row>
    <row r="11192" spans="2:5">
      <c r="B11192" s="4" t="s">
        <v>12345</v>
      </c>
      <c r="C11192" s="129" t="s">
        <v>12346</v>
      </c>
      <c r="D11192" s="5">
        <v>330801</v>
      </c>
      <c r="E11192" s="5" t="s">
        <v>13431</v>
      </c>
    </row>
    <row r="11193" spans="2:5">
      <c r="B11193" s="4" t="s">
        <v>12345</v>
      </c>
      <c r="C11193" s="129" t="s">
        <v>12346</v>
      </c>
      <c r="D11193" s="5">
        <v>330802</v>
      </c>
      <c r="E11193" s="5" t="s">
        <v>13432</v>
      </c>
    </row>
    <row r="11194" spans="2:5">
      <c r="B11194" s="4" t="s">
        <v>12345</v>
      </c>
      <c r="C11194" s="129" t="s">
        <v>12346</v>
      </c>
      <c r="D11194" s="5">
        <v>330803</v>
      </c>
      <c r="E11194" s="5" t="s">
        <v>13433</v>
      </c>
    </row>
    <row r="11195" spans="2:5">
      <c r="B11195" s="4" t="s">
        <v>12345</v>
      </c>
      <c r="C11195" s="129" t="s">
        <v>12346</v>
      </c>
      <c r="D11195" s="5">
        <v>330822</v>
      </c>
      <c r="E11195" s="5" t="s">
        <v>13434</v>
      </c>
    </row>
    <row r="11196" spans="2:5">
      <c r="B11196" s="4" t="s">
        <v>12345</v>
      </c>
      <c r="C11196" s="129" t="s">
        <v>12346</v>
      </c>
      <c r="D11196" s="5">
        <v>330824</v>
      </c>
      <c r="E11196" s="5" t="s">
        <v>13435</v>
      </c>
    </row>
    <row r="11197" spans="2:5">
      <c r="B11197" s="4" t="s">
        <v>12345</v>
      </c>
      <c r="C11197" s="129" t="s">
        <v>12346</v>
      </c>
      <c r="D11197" s="5">
        <v>330825</v>
      </c>
      <c r="E11197" s="5" t="s">
        <v>13436</v>
      </c>
    </row>
    <row r="11198" spans="2:5">
      <c r="B11198" s="4" t="s">
        <v>12345</v>
      </c>
      <c r="C11198" s="129" t="s">
        <v>12346</v>
      </c>
      <c r="D11198" s="5">
        <v>330881</v>
      </c>
      <c r="E11198" s="5" t="s">
        <v>13437</v>
      </c>
    </row>
    <row r="11199" spans="2:5">
      <c r="B11199" s="4" t="s">
        <v>12345</v>
      </c>
      <c r="C11199" s="129" t="s">
        <v>12346</v>
      </c>
      <c r="D11199" s="5">
        <v>330900</v>
      </c>
      <c r="E11199" s="5" t="s">
        <v>13438</v>
      </c>
    </row>
    <row r="11200" spans="2:5">
      <c r="B11200" s="4" t="s">
        <v>12345</v>
      </c>
      <c r="C11200" s="129" t="s">
        <v>12346</v>
      </c>
      <c r="D11200" s="5">
        <v>330901</v>
      </c>
      <c r="E11200" s="5" t="s">
        <v>13439</v>
      </c>
    </row>
    <row r="11201" spans="2:5">
      <c r="B11201" s="4" t="s">
        <v>12345</v>
      </c>
      <c r="C11201" s="129" t="s">
        <v>12346</v>
      </c>
      <c r="D11201" s="5">
        <v>330902</v>
      </c>
      <c r="E11201" s="5" t="s">
        <v>13440</v>
      </c>
    </row>
    <row r="11202" spans="2:5">
      <c r="B11202" s="4" t="s">
        <v>12345</v>
      </c>
      <c r="C11202" s="129" t="s">
        <v>12346</v>
      </c>
      <c r="D11202" s="5">
        <v>330903</v>
      </c>
      <c r="E11202" s="5" t="s">
        <v>13441</v>
      </c>
    </row>
    <row r="11203" spans="2:5">
      <c r="B11203" s="4" t="s">
        <v>12345</v>
      </c>
      <c r="C11203" s="129" t="s">
        <v>12346</v>
      </c>
      <c r="D11203" s="5">
        <v>330921</v>
      </c>
      <c r="E11203" s="5" t="s">
        <v>13442</v>
      </c>
    </row>
    <row r="11204" spans="2:5">
      <c r="B11204" s="4" t="s">
        <v>12345</v>
      </c>
      <c r="C11204" s="129" t="s">
        <v>12346</v>
      </c>
      <c r="D11204" s="5">
        <v>330922</v>
      </c>
      <c r="E11204" s="5" t="s">
        <v>13443</v>
      </c>
    </row>
    <row r="11205" spans="2:5">
      <c r="B11205" s="4" t="s">
        <v>12345</v>
      </c>
      <c r="C11205" s="129" t="s">
        <v>12346</v>
      </c>
      <c r="D11205" s="5">
        <v>331000</v>
      </c>
      <c r="E11205" s="5" t="s">
        <v>13444</v>
      </c>
    </row>
    <row r="11206" spans="2:5">
      <c r="B11206" s="4" t="s">
        <v>12345</v>
      </c>
      <c r="C11206" s="129" t="s">
        <v>12346</v>
      </c>
      <c r="D11206" s="5">
        <v>331001</v>
      </c>
      <c r="E11206" s="5" t="s">
        <v>13445</v>
      </c>
    </row>
    <row r="11207" spans="2:5">
      <c r="B11207" s="4" t="s">
        <v>12345</v>
      </c>
      <c r="C11207" s="129" t="s">
        <v>12346</v>
      </c>
      <c r="D11207" s="5">
        <v>331002</v>
      </c>
      <c r="E11207" s="5" t="s">
        <v>13446</v>
      </c>
    </row>
    <row r="11208" spans="2:5">
      <c r="B11208" s="4" t="s">
        <v>12345</v>
      </c>
      <c r="C11208" s="129" t="s">
        <v>12346</v>
      </c>
      <c r="D11208" s="5">
        <v>331003</v>
      </c>
      <c r="E11208" s="5" t="s">
        <v>13447</v>
      </c>
    </row>
    <row r="11209" spans="2:5">
      <c r="B11209" s="4" t="s">
        <v>12345</v>
      </c>
      <c r="C11209" s="129" t="s">
        <v>12346</v>
      </c>
      <c r="D11209" s="5">
        <v>331004</v>
      </c>
      <c r="E11209" s="5" t="s">
        <v>13448</v>
      </c>
    </row>
    <row r="11210" spans="2:5">
      <c r="B11210" s="4" t="s">
        <v>12345</v>
      </c>
      <c r="C11210" s="129" t="s">
        <v>12346</v>
      </c>
      <c r="D11210" s="5">
        <v>331021</v>
      </c>
      <c r="E11210" s="5" t="s">
        <v>13449</v>
      </c>
    </row>
    <row r="11211" spans="2:5">
      <c r="B11211" s="4" t="s">
        <v>12345</v>
      </c>
      <c r="C11211" s="129" t="s">
        <v>12346</v>
      </c>
      <c r="D11211" s="5">
        <v>331022</v>
      </c>
      <c r="E11211" s="5" t="s">
        <v>13450</v>
      </c>
    </row>
    <row r="11212" spans="2:5">
      <c r="B11212" s="4" t="s">
        <v>12345</v>
      </c>
      <c r="C11212" s="129" t="s">
        <v>12346</v>
      </c>
      <c r="D11212" s="5">
        <v>331023</v>
      </c>
      <c r="E11212" s="5" t="s">
        <v>13451</v>
      </c>
    </row>
    <row r="11213" spans="2:5">
      <c r="B11213" s="4" t="s">
        <v>12345</v>
      </c>
      <c r="C11213" s="129" t="s">
        <v>12346</v>
      </c>
      <c r="D11213" s="5">
        <v>331024</v>
      </c>
      <c r="E11213" s="5" t="s">
        <v>13452</v>
      </c>
    </row>
    <row r="11214" spans="2:5">
      <c r="B11214" s="4" t="s">
        <v>12345</v>
      </c>
      <c r="C11214" s="129" t="s">
        <v>12346</v>
      </c>
      <c r="D11214" s="5">
        <v>331081</v>
      </c>
      <c r="E11214" s="5" t="s">
        <v>13453</v>
      </c>
    </row>
    <row r="11215" spans="2:5">
      <c r="B11215" s="4" t="s">
        <v>12345</v>
      </c>
      <c r="C11215" s="129" t="s">
        <v>12346</v>
      </c>
      <c r="D11215" s="5">
        <v>331082</v>
      </c>
      <c r="E11215" s="5" t="s">
        <v>13454</v>
      </c>
    </row>
    <row r="11216" spans="2:5">
      <c r="B11216" s="4" t="s">
        <v>12345</v>
      </c>
      <c r="C11216" s="129" t="s">
        <v>12346</v>
      </c>
      <c r="D11216" s="5">
        <v>331100</v>
      </c>
      <c r="E11216" s="5" t="s">
        <v>13455</v>
      </c>
    </row>
    <row r="11217" spans="2:5">
      <c r="B11217" s="4" t="s">
        <v>12345</v>
      </c>
      <c r="C11217" s="129" t="s">
        <v>12346</v>
      </c>
      <c r="D11217" s="5">
        <v>331101</v>
      </c>
      <c r="E11217" s="5" t="s">
        <v>13456</v>
      </c>
    </row>
    <row r="11218" spans="2:5">
      <c r="B11218" s="4" t="s">
        <v>12345</v>
      </c>
      <c r="C11218" s="129" t="s">
        <v>12346</v>
      </c>
      <c r="D11218" s="5">
        <v>331102</v>
      </c>
      <c r="E11218" s="5" t="s">
        <v>13457</v>
      </c>
    </row>
    <row r="11219" spans="2:5">
      <c r="B11219" s="4" t="s">
        <v>12345</v>
      </c>
      <c r="C11219" s="129" t="s">
        <v>12346</v>
      </c>
      <c r="D11219" s="5">
        <v>331121</v>
      </c>
      <c r="E11219" s="5" t="s">
        <v>13458</v>
      </c>
    </row>
    <row r="11220" spans="2:5">
      <c r="B11220" s="4" t="s">
        <v>12345</v>
      </c>
      <c r="C11220" s="129" t="s">
        <v>12346</v>
      </c>
      <c r="D11220" s="5">
        <v>331122</v>
      </c>
      <c r="E11220" s="5" t="s">
        <v>13459</v>
      </c>
    </row>
    <row r="11221" spans="2:5">
      <c r="B11221" s="4" t="s">
        <v>12345</v>
      </c>
      <c r="C11221" s="129" t="s">
        <v>12346</v>
      </c>
      <c r="D11221" s="5">
        <v>331123</v>
      </c>
      <c r="E11221" s="5" t="s">
        <v>13460</v>
      </c>
    </row>
    <row r="11222" spans="2:5">
      <c r="B11222" s="4" t="s">
        <v>12345</v>
      </c>
      <c r="C11222" s="129" t="s">
        <v>12346</v>
      </c>
      <c r="D11222" s="5">
        <v>331124</v>
      </c>
      <c r="E11222" s="5" t="s">
        <v>13461</v>
      </c>
    </row>
    <row r="11223" spans="2:5">
      <c r="B11223" s="4" t="s">
        <v>12345</v>
      </c>
      <c r="C11223" s="129" t="s">
        <v>12346</v>
      </c>
      <c r="D11223" s="5">
        <v>331125</v>
      </c>
      <c r="E11223" s="5" t="s">
        <v>13462</v>
      </c>
    </row>
    <row r="11224" spans="2:5">
      <c r="B11224" s="4" t="s">
        <v>12345</v>
      </c>
      <c r="C11224" s="129" t="s">
        <v>12346</v>
      </c>
      <c r="D11224" s="5">
        <v>331126</v>
      </c>
      <c r="E11224" s="5" t="s">
        <v>13463</v>
      </c>
    </row>
    <row r="11225" spans="2:5">
      <c r="B11225" s="4" t="s">
        <v>12345</v>
      </c>
      <c r="C11225" s="129" t="s">
        <v>12346</v>
      </c>
      <c r="D11225" s="5">
        <v>331127</v>
      </c>
      <c r="E11225" s="5" t="s">
        <v>13464</v>
      </c>
    </row>
    <row r="11226" spans="2:5">
      <c r="B11226" s="4" t="s">
        <v>12345</v>
      </c>
      <c r="C11226" s="129" t="s">
        <v>12346</v>
      </c>
      <c r="D11226" s="5">
        <v>331181</v>
      </c>
      <c r="E11226" s="5" t="s">
        <v>13465</v>
      </c>
    </row>
    <row r="11227" spans="2:5">
      <c r="B11227" s="4" t="s">
        <v>12345</v>
      </c>
      <c r="C11227" s="129" t="s">
        <v>12346</v>
      </c>
      <c r="D11227" s="5">
        <v>340000</v>
      </c>
      <c r="E11227" s="5" t="s">
        <v>13466</v>
      </c>
    </row>
    <row r="11228" spans="2:5">
      <c r="B11228" s="4" t="s">
        <v>12345</v>
      </c>
      <c r="C11228" s="129" t="s">
        <v>12346</v>
      </c>
      <c r="D11228" s="5">
        <v>340100</v>
      </c>
      <c r="E11228" s="5" t="s">
        <v>13467</v>
      </c>
    </row>
    <row r="11229" spans="2:5">
      <c r="B11229" s="4" t="s">
        <v>12345</v>
      </c>
      <c r="C11229" s="129" t="s">
        <v>12346</v>
      </c>
      <c r="D11229" s="5">
        <v>340101</v>
      </c>
      <c r="E11229" s="5" t="s">
        <v>13468</v>
      </c>
    </row>
    <row r="11230" spans="2:5">
      <c r="B11230" s="4" t="s">
        <v>12345</v>
      </c>
      <c r="C11230" s="129" t="s">
        <v>12346</v>
      </c>
      <c r="D11230" s="5">
        <v>340102</v>
      </c>
      <c r="E11230" s="5" t="s">
        <v>13469</v>
      </c>
    </row>
    <row r="11231" spans="2:5">
      <c r="B11231" s="4" t="s">
        <v>12345</v>
      </c>
      <c r="C11231" s="129" t="s">
        <v>12346</v>
      </c>
      <c r="D11231" s="5">
        <v>340103</v>
      </c>
      <c r="E11231" s="5" t="s">
        <v>13470</v>
      </c>
    </row>
    <row r="11232" spans="2:5">
      <c r="B11232" s="4" t="s">
        <v>12345</v>
      </c>
      <c r="C11232" s="129" t="s">
        <v>12346</v>
      </c>
      <c r="D11232" s="5">
        <v>340104</v>
      </c>
      <c r="E11232" s="5" t="s">
        <v>13471</v>
      </c>
    </row>
    <row r="11233" spans="2:5">
      <c r="B11233" s="4" t="s">
        <v>12345</v>
      </c>
      <c r="C11233" s="129" t="s">
        <v>12346</v>
      </c>
      <c r="D11233" s="5">
        <v>340111</v>
      </c>
      <c r="E11233" s="5" t="s">
        <v>13472</v>
      </c>
    </row>
    <row r="11234" spans="2:5">
      <c r="B11234" s="4" t="s">
        <v>12345</v>
      </c>
      <c r="C11234" s="129" t="s">
        <v>12346</v>
      </c>
      <c r="D11234" s="5">
        <v>340121</v>
      </c>
      <c r="E11234" s="5" t="s">
        <v>13473</v>
      </c>
    </row>
    <row r="11235" spans="2:5">
      <c r="B11235" s="4" t="s">
        <v>12345</v>
      </c>
      <c r="C11235" s="129" t="s">
        <v>12346</v>
      </c>
      <c r="D11235" s="5">
        <v>340122</v>
      </c>
      <c r="E11235" s="5" t="s">
        <v>13474</v>
      </c>
    </row>
    <row r="11236" spans="2:5">
      <c r="B11236" s="4" t="s">
        <v>12345</v>
      </c>
      <c r="C11236" s="129" t="s">
        <v>12346</v>
      </c>
      <c r="D11236" s="5">
        <v>340123</v>
      </c>
      <c r="E11236" s="5" t="s">
        <v>13475</v>
      </c>
    </row>
    <row r="11237" spans="2:5">
      <c r="B11237" s="4" t="s">
        <v>12345</v>
      </c>
      <c r="C11237" s="129" t="s">
        <v>12346</v>
      </c>
      <c r="D11237" s="5">
        <v>340124</v>
      </c>
      <c r="E11237" s="5" t="s">
        <v>13476</v>
      </c>
    </row>
    <row r="11238" spans="2:5">
      <c r="B11238" s="4" t="s">
        <v>12345</v>
      </c>
      <c r="C11238" s="129" t="s">
        <v>12346</v>
      </c>
      <c r="D11238" s="5">
        <v>340181</v>
      </c>
      <c r="E11238" s="5" t="s">
        <v>13477</v>
      </c>
    </row>
    <row r="11239" spans="2:5">
      <c r="B11239" s="4" t="s">
        <v>12345</v>
      </c>
      <c r="C11239" s="129" t="s">
        <v>12346</v>
      </c>
      <c r="D11239" s="5">
        <v>340200</v>
      </c>
      <c r="E11239" s="5" t="s">
        <v>13478</v>
      </c>
    </row>
    <row r="11240" spans="2:5">
      <c r="B11240" s="4" t="s">
        <v>12345</v>
      </c>
      <c r="C11240" s="129" t="s">
        <v>12346</v>
      </c>
      <c r="D11240" s="5">
        <v>340201</v>
      </c>
      <c r="E11240" s="5" t="s">
        <v>13479</v>
      </c>
    </row>
    <row r="11241" spans="2:5">
      <c r="B11241" s="4" t="s">
        <v>12345</v>
      </c>
      <c r="C11241" s="129" t="s">
        <v>12346</v>
      </c>
      <c r="D11241" s="5">
        <v>340202</v>
      </c>
      <c r="E11241" s="5" t="s">
        <v>13480</v>
      </c>
    </row>
    <row r="11242" spans="2:5">
      <c r="B11242" s="4" t="s">
        <v>12345</v>
      </c>
      <c r="C11242" s="129" t="s">
        <v>12346</v>
      </c>
      <c r="D11242" s="5">
        <v>340203</v>
      </c>
      <c r="E11242" s="5" t="s">
        <v>13481</v>
      </c>
    </row>
    <row r="11243" spans="2:5">
      <c r="B11243" s="4" t="s">
        <v>12345</v>
      </c>
      <c r="C11243" s="129" t="s">
        <v>12346</v>
      </c>
      <c r="D11243" s="5">
        <v>340207</v>
      </c>
      <c r="E11243" s="5" t="s">
        <v>13482</v>
      </c>
    </row>
    <row r="11244" spans="2:5">
      <c r="B11244" s="4" t="s">
        <v>12345</v>
      </c>
      <c r="C11244" s="129" t="s">
        <v>12346</v>
      </c>
      <c r="D11244" s="5">
        <v>340208</v>
      </c>
      <c r="E11244" s="5" t="s">
        <v>13483</v>
      </c>
    </row>
    <row r="11245" spans="2:5">
      <c r="B11245" s="4" t="s">
        <v>12345</v>
      </c>
      <c r="C11245" s="129" t="s">
        <v>12346</v>
      </c>
      <c r="D11245" s="5">
        <v>340221</v>
      </c>
      <c r="E11245" s="5" t="s">
        <v>13484</v>
      </c>
    </row>
    <row r="11246" spans="2:5">
      <c r="B11246" s="4" t="s">
        <v>12345</v>
      </c>
      <c r="C11246" s="129" t="s">
        <v>12346</v>
      </c>
      <c r="D11246" s="5">
        <v>340222</v>
      </c>
      <c r="E11246" s="5" t="s">
        <v>13485</v>
      </c>
    </row>
    <row r="11247" spans="2:5">
      <c r="B11247" s="4" t="s">
        <v>12345</v>
      </c>
      <c r="C11247" s="129" t="s">
        <v>12346</v>
      </c>
      <c r="D11247" s="5">
        <v>340223</v>
      </c>
      <c r="E11247" s="5" t="s">
        <v>13486</v>
      </c>
    </row>
    <row r="11248" spans="2:5">
      <c r="B11248" s="4" t="s">
        <v>12345</v>
      </c>
      <c r="C11248" s="129" t="s">
        <v>12346</v>
      </c>
      <c r="D11248" s="5">
        <v>340225</v>
      </c>
      <c r="E11248" s="5" t="s">
        <v>13487</v>
      </c>
    </row>
    <row r="11249" spans="2:5">
      <c r="B11249" s="4" t="s">
        <v>12345</v>
      </c>
      <c r="C11249" s="129" t="s">
        <v>12346</v>
      </c>
      <c r="D11249" s="5">
        <v>340300</v>
      </c>
      <c r="E11249" s="5" t="s">
        <v>13488</v>
      </c>
    </row>
    <row r="11250" spans="2:5">
      <c r="B11250" s="4" t="s">
        <v>12345</v>
      </c>
      <c r="C11250" s="129" t="s">
        <v>12346</v>
      </c>
      <c r="D11250" s="5">
        <v>340301</v>
      </c>
      <c r="E11250" s="5" t="s">
        <v>13489</v>
      </c>
    </row>
    <row r="11251" spans="2:5">
      <c r="B11251" s="4" t="s">
        <v>12345</v>
      </c>
      <c r="C11251" s="129" t="s">
        <v>12346</v>
      </c>
      <c r="D11251" s="5">
        <v>340302</v>
      </c>
      <c r="E11251" s="5" t="s">
        <v>13490</v>
      </c>
    </row>
    <row r="11252" spans="2:5">
      <c r="B11252" s="4" t="s">
        <v>12345</v>
      </c>
      <c r="C11252" s="129" t="s">
        <v>12346</v>
      </c>
      <c r="D11252" s="5">
        <v>340303</v>
      </c>
      <c r="E11252" s="5" t="s">
        <v>13491</v>
      </c>
    </row>
    <row r="11253" spans="2:5">
      <c r="B11253" s="4" t="s">
        <v>12345</v>
      </c>
      <c r="C11253" s="129" t="s">
        <v>12346</v>
      </c>
      <c r="D11253" s="5">
        <v>340304</v>
      </c>
      <c r="E11253" s="5" t="s">
        <v>13492</v>
      </c>
    </row>
    <row r="11254" spans="2:5">
      <c r="B11254" s="4" t="s">
        <v>12345</v>
      </c>
      <c r="C11254" s="129" t="s">
        <v>12346</v>
      </c>
      <c r="D11254" s="5">
        <v>340311</v>
      </c>
      <c r="E11254" s="5" t="s">
        <v>13493</v>
      </c>
    </row>
    <row r="11255" spans="2:5">
      <c r="B11255" s="4" t="s">
        <v>12345</v>
      </c>
      <c r="C11255" s="129" t="s">
        <v>12346</v>
      </c>
      <c r="D11255" s="5">
        <v>340321</v>
      </c>
      <c r="E11255" s="5" t="s">
        <v>13494</v>
      </c>
    </row>
    <row r="11256" spans="2:5">
      <c r="B11256" s="4" t="s">
        <v>12345</v>
      </c>
      <c r="C11256" s="129" t="s">
        <v>12346</v>
      </c>
      <c r="D11256" s="5">
        <v>340322</v>
      </c>
      <c r="E11256" s="5" t="s">
        <v>13495</v>
      </c>
    </row>
    <row r="11257" spans="2:5">
      <c r="B11257" s="4" t="s">
        <v>12345</v>
      </c>
      <c r="C11257" s="129" t="s">
        <v>12346</v>
      </c>
      <c r="D11257" s="5">
        <v>340323</v>
      </c>
      <c r="E11257" s="5" t="s">
        <v>13496</v>
      </c>
    </row>
    <row r="11258" spans="2:5">
      <c r="B11258" s="4" t="s">
        <v>12345</v>
      </c>
      <c r="C11258" s="129" t="s">
        <v>12346</v>
      </c>
      <c r="D11258" s="5">
        <v>340400</v>
      </c>
      <c r="E11258" s="5" t="s">
        <v>13497</v>
      </c>
    </row>
    <row r="11259" spans="2:5">
      <c r="B11259" s="4" t="s">
        <v>12345</v>
      </c>
      <c r="C11259" s="129" t="s">
        <v>12346</v>
      </c>
      <c r="D11259" s="5">
        <v>340401</v>
      </c>
      <c r="E11259" s="5" t="s">
        <v>13498</v>
      </c>
    </row>
    <row r="11260" spans="2:5">
      <c r="B11260" s="4" t="s">
        <v>12345</v>
      </c>
      <c r="C11260" s="129" t="s">
        <v>12346</v>
      </c>
      <c r="D11260" s="5">
        <v>340402</v>
      </c>
      <c r="E11260" s="5" t="s">
        <v>13499</v>
      </c>
    </row>
    <row r="11261" spans="2:5">
      <c r="B11261" s="4" t="s">
        <v>12345</v>
      </c>
      <c r="C11261" s="129" t="s">
        <v>12346</v>
      </c>
      <c r="D11261" s="5">
        <v>340403</v>
      </c>
      <c r="E11261" s="5" t="s">
        <v>13500</v>
      </c>
    </row>
    <row r="11262" spans="2:5">
      <c r="B11262" s="4" t="s">
        <v>12345</v>
      </c>
      <c r="C11262" s="129" t="s">
        <v>12346</v>
      </c>
      <c r="D11262" s="5">
        <v>340404</v>
      </c>
      <c r="E11262" s="5" t="s">
        <v>13501</v>
      </c>
    </row>
    <row r="11263" spans="2:5">
      <c r="B11263" s="4" t="s">
        <v>12345</v>
      </c>
      <c r="C11263" s="129" t="s">
        <v>12346</v>
      </c>
      <c r="D11263" s="5">
        <v>340405</v>
      </c>
      <c r="E11263" s="5" t="s">
        <v>13502</v>
      </c>
    </row>
    <row r="11264" spans="2:5">
      <c r="B11264" s="4" t="s">
        <v>12345</v>
      </c>
      <c r="C11264" s="129" t="s">
        <v>12346</v>
      </c>
      <c r="D11264" s="5">
        <v>340406</v>
      </c>
      <c r="E11264" s="5" t="s">
        <v>13503</v>
      </c>
    </row>
    <row r="11265" spans="2:5">
      <c r="B11265" s="4" t="s">
        <v>12345</v>
      </c>
      <c r="C11265" s="129" t="s">
        <v>12346</v>
      </c>
      <c r="D11265" s="5">
        <v>340421</v>
      </c>
      <c r="E11265" s="5" t="s">
        <v>13504</v>
      </c>
    </row>
    <row r="11266" spans="2:5">
      <c r="B11266" s="4" t="s">
        <v>12345</v>
      </c>
      <c r="C11266" s="129" t="s">
        <v>12346</v>
      </c>
      <c r="D11266" s="5">
        <v>340500</v>
      </c>
      <c r="E11266" s="5" t="s">
        <v>13505</v>
      </c>
    </row>
    <row r="11267" spans="2:5">
      <c r="B11267" s="4" t="s">
        <v>12345</v>
      </c>
      <c r="C11267" s="129" t="s">
        <v>12346</v>
      </c>
      <c r="D11267" s="5">
        <v>340501</v>
      </c>
      <c r="E11267" s="5" t="s">
        <v>13506</v>
      </c>
    </row>
    <row r="11268" spans="2:5">
      <c r="B11268" s="4" t="s">
        <v>12345</v>
      </c>
      <c r="C11268" s="129" t="s">
        <v>12346</v>
      </c>
      <c r="D11268" s="5">
        <v>340503</v>
      </c>
      <c r="E11268" s="5" t="s">
        <v>13507</v>
      </c>
    </row>
    <row r="11269" spans="2:5">
      <c r="B11269" s="4" t="s">
        <v>12345</v>
      </c>
      <c r="C11269" s="129" t="s">
        <v>12346</v>
      </c>
      <c r="D11269" s="5">
        <v>340504</v>
      </c>
      <c r="E11269" s="5" t="s">
        <v>13508</v>
      </c>
    </row>
    <row r="11270" spans="2:5">
      <c r="B11270" s="4" t="s">
        <v>12345</v>
      </c>
      <c r="C11270" s="129" t="s">
        <v>12346</v>
      </c>
      <c r="D11270" s="5">
        <v>340506</v>
      </c>
      <c r="E11270" s="5" t="s">
        <v>13509</v>
      </c>
    </row>
    <row r="11271" spans="2:5">
      <c r="B11271" s="4" t="s">
        <v>12345</v>
      </c>
      <c r="C11271" s="129" t="s">
        <v>12346</v>
      </c>
      <c r="D11271" s="5">
        <v>340521</v>
      </c>
      <c r="E11271" s="5" t="s">
        <v>13510</v>
      </c>
    </row>
    <row r="11272" spans="2:5">
      <c r="B11272" s="4" t="s">
        <v>12345</v>
      </c>
      <c r="C11272" s="129" t="s">
        <v>12346</v>
      </c>
      <c r="D11272" s="5">
        <v>340522</v>
      </c>
      <c r="E11272" s="5" t="s">
        <v>13511</v>
      </c>
    </row>
    <row r="11273" spans="2:5">
      <c r="B11273" s="4" t="s">
        <v>12345</v>
      </c>
      <c r="C11273" s="129" t="s">
        <v>12346</v>
      </c>
      <c r="D11273" s="5">
        <v>340523</v>
      </c>
      <c r="E11273" s="5" t="s">
        <v>13512</v>
      </c>
    </row>
    <row r="11274" spans="2:5">
      <c r="B11274" s="4" t="s">
        <v>12345</v>
      </c>
      <c r="C11274" s="129" t="s">
        <v>12346</v>
      </c>
      <c r="D11274" s="5">
        <v>340600</v>
      </c>
      <c r="E11274" s="5" t="s">
        <v>13513</v>
      </c>
    </row>
    <row r="11275" spans="2:5">
      <c r="B11275" s="4" t="s">
        <v>12345</v>
      </c>
      <c r="C11275" s="129" t="s">
        <v>12346</v>
      </c>
      <c r="D11275" s="5">
        <v>340601</v>
      </c>
      <c r="E11275" s="5" t="s">
        <v>13514</v>
      </c>
    </row>
    <row r="11276" spans="2:5">
      <c r="B11276" s="4" t="s">
        <v>12345</v>
      </c>
      <c r="C11276" s="129" t="s">
        <v>12346</v>
      </c>
      <c r="D11276" s="5">
        <v>340602</v>
      </c>
      <c r="E11276" s="5" t="s">
        <v>13515</v>
      </c>
    </row>
    <row r="11277" spans="2:5">
      <c r="B11277" s="4" t="s">
        <v>12345</v>
      </c>
      <c r="C11277" s="129" t="s">
        <v>12346</v>
      </c>
      <c r="D11277" s="5">
        <v>340603</v>
      </c>
      <c r="E11277" s="5" t="s">
        <v>13516</v>
      </c>
    </row>
    <row r="11278" spans="2:5">
      <c r="B11278" s="4" t="s">
        <v>12345</v>
      </c>
      <c r="C11278" s="129" t="s">
        <v>12346</v>
      </c>
      <c r="D11278" s="5">
        <v>340604</v>
      </c>
      <c r="E11278" s="5" t="s">
        <v>13517</v>
      </c>
    </row>
    <row r="11279" spans="2:5">
      <c r="B11279" s="4" t="s">
        <v>12345</v>
      </c>
      <c r="C11279" s="129" t="s">
        <v>12346</v>
      </c>
      <c r="D11279" s="5">
        <v>340621</v>
      </c>
      <c r="E11279" s="5" t="s">
        <v>13518</v>
      </c>
    </row>
    <row r="11280" spans="2:5">
      <c r="B11280" s="4" t="s">
        <v>12345</v>
      </c>
      <c r="C11280" s="129" t="s">
        <v>12346</v>
      </c>
      <c r="D11280" s="5">
        <v>340700</v>
      </c>
      <c r="E11280" s="5" t="s">
        <v>13519</v>
      </c>
    </row>
    <row r="11281" spans="2:5">
      <c r="B11281" s="4" t="s">
        <v>12345</v>
      </c>
      <c r="C11281" s="129" t="s">
        <v>12346</v>
      </c>
      <c r="D11281" s="5">
        <v>340701</v>
      </c>
      <c r="E11281" s="5" t="s">
        <v>13520</v>
      </c>
    </row>
    <row r="11282" spans="2:5">
      <c r="B11282" s="4" t="s">
        <v>12345</v>
      </c>
      <c r="C11282" s="129" t="s">
        <v>12346</v>
      </c>
      <c r="D11282" s="5">
        <v>340702</v>
      </c>
      <c r="E11282" s="5" t="s">
        <v>13521</v>
      </c>
    </row>
    <row r="11283" spans="2:5">
      <c r="B11283" s="4" t="s">
        <v>12345</v>
      </c>
      <c r="C11283" s="129" t="s">
        <v>12346</v>
      </c>
      <c r="D11283" s="5">
        <v>340703</v>
      </c>
      <c r="E11283" s="5" t="s">
        <v>13522</v>
      </c>
    </row>
    <row r="11284" spans="2:5">
      <c r="B11284" s="4" t="s">
        <v>12345</v>
      </c>
      <c r="C11284" s="129" t="s">
        <v>12346</v>
      </c>
      <c r="D11284" s="5">
        <v>340711</v>
      </c>
      <c r="E11284" s="5" t="s">
        <v>13523</v>
      </c>
    </row>
    <row r="11285" spans="2:5">
      <c r="B11285" s="4" t="s">
        <v>12345</v>
      </c>
      <c r="C11285" s="129" t="s">
        <v>12346</v>
      </c>
      <c r="D11285" s="5">
        <v>340721</v>
      </c>
      <c r="E11285" s="5" t="s">
        <v>13524</v>
      </c>
    </row>
    <row r="11286" spans="2:5">
      <c r="B11286" s="4" t="s">
        <v>12345</v>
      </c>
      <c r="C11286" s="129" t="s">
        <v>12346</v>
      </c>
      <c r="D11286" s="5">
        <v>340800</v>
      </c>
      <c r="E11286" s="5" t="s">
        <v>13525</v>
      </c>
    </row>
    <row r="11287" spans="2:5">
      <c r="B11287" s="4" t="s">
        <v>12345</v>
      </c>
      <c r="C11287" s="129" t="s">
        <v>12346</v>
      </c>
      <c r="D11287" s="5">
        <v>340801</v>
      </c>
      <c r="E11287" s="5" t="s">
        <v>13526</v>
      </c>
    </row>
    <row r="11288" spans="2:5">
      <c r="B11288" s="4" t="s">
        <v>12345</v>
      </c>
      <c r="C11288" s="129" t="s">
        <v>12346</v>
      </c>
      <c r="D11288" s="5">
        <v>340802</v>
      </c>
      <c r="E11288" s="5" t="s">
        <v>13527</v>
      </c>
    </row>
    <row r="11289" spans="2:5">
      <c r="B11289" s="4" t="s">
        <v>12345</v>
      </c>
      <c r="C11289" s="129" t="s">
        <v>12346</v>
      </c>
      <c r="D11289" s="5">
        <v>340803</v>
      </c>
      <c r="E11289" s="5" t="s">
        <v>13528</v>
      </c>
    </row>
    <row r="11290" spans="2:5">
      <c r="B11290" s="4" t="s">
        <v>12345</v>
      </c>
      <c r="C11290" s="129" t="s">
        <v>12346</v>
      </c>
      <c r="D11290" s="5">
        <v>340811</v>
      </c>
      <c r="E11290" s="5" t="s">
        <v>13529</v>
      </c>
    </row>
    <row r="11291" spans="2:5">
      <c r="B11291" s="4" t="s">
        <v>12345</v>
      </c>
      <c r="C11291" s="129" t="s">
        <v>12346</v>
      </c>
      <c r="D11291" s="5">
        <v>340822</v>
      </c>
      <c r="E11291" s="5" t="s">
        <v>13530</v>
      </c>
    </row>
    <row r="11292" spans="2:5">
      <c r="B11292" s="4" t="s">
        <v>12345</v>
      </c>
      <c r="C11292" s="129" t="s">
        <v>12346</v>
      </c>
      <c r="D11292" s="5">
        <v>340823</v>
      </c>
      <c r="E11292" s="5" t="s">
        <v>13531</v>
      </c>
    </row>
    <row r="11293" spans="2:5">
      <c r="B11293" s="4" t="s">
        <v>12345</v>
      </c>
      <c r="C11293" s="129" t="s">
        <v>12346</v>
      </c>
      <c r="D11293" s="5">
        <v>340824</v>
      </c>
      <c r="E11293" s="5" t="s">
        <v>13532</v>
      </c>
    </row>
    <row r="11294" spans="2:5">
      <c r="B11294" s="4" t="s">
        <v>12345</v>
      </c>
      <c r="C11294" s="129" t="s">
        <v>12346</v>
      </c>
      <c r="D11294" s="5">
        <v>340825</v>
      </c>
      <c r="E11294" s="5" t="s">
        <v>13533</v>
      </c>
    </row>
    <row r="11295" spans="2:5">
      <c r="B11295" s="4" t="s">
        <v>12345</v>
      </c>
      <c r="C11295" s="129" t="s">
        <v>12346</v>
      </c>
      <c r="D11295" s="5">
        <v>340826</v>
      </c>
      <c r="E11295" s="5" t="s">
        <v>13534</v>
      </c>
    </row>
    <row r="11296" spans="2:5">
      <c r="B11296" s="4" t="s">
        <v>12345</v>
      </c>
      <c r="C11296" s="129" t="s">
        <v>12346</v>
      </c>
      <c r="D11296" s="5">
        <v>340827</v>
      </c>
      <c r="E11296" s="5" t="s">
        <v>13535</v>
      </c>
    </row>
    <row r="11297" spans="2:5">
      <c r="B11297" s="4" t="s">
        <v>12345</v>
      </c>
      <c r="C11297" s="129" t="s">
        <v>12346</v>
      </c>
      <c r="D11297" s="5">
        <v>340828</v>
      </c>
      <c r="E11297" s="5" t="s">
        <v>13536</v>
      </c>
    </row>
    <row r="11298" spans="2:5">
      <c r="B11298" s="4" t="s">
        <v>12345</v>
      </c>
      <c r="C11298" s="129" t="s">
        <v>12346</v>
      </c>
      <c r="D11298" s="5">
        <v>340881</v>
      </c>
      <c r="E11298" s="5" t="s">
        <v>13537</v>
      </c>
    </row>
    <row r="11299" spans="2:5">
      <c r="B11299" s="4" t="s">
        <v>12345</v>
      </c>
      <c r="C11299" s="129" t="s">
        <v>12346</v>
      </c>
      <c r="D11299" s="5">
        <v>341000</v>
      </c>
      <c r="E11299" s="5" t="s">
        <v>13538</v>
      </c>
    </row>
    <row r="11300" spans="2:5">
      <c r="B11300" s="4" t="s">
        <v>12345</v>
      </c>
      <c r="C11300" s="129" t="s">
        <v>12346</v>
      </c>
      <c r="D11300" s="5">
        <v>341001</v>
      </c>
      <c r="E11300" s="5" t="s">
        <v>13539</v>
      </c>
    </row>
    <row r="11301" spans="2:5">
      <c r="B11301" s="4" t="s">
        <v>12345</v>
      </c>
      <c r="C11301" s="129" t="s">
        <v>12346</v>
      </c>
      <c r="D11301" s="5">
        <v>341002</v>
      </c>
      <c r="E11301" s="5" t="s">
        <v>13540</v>
      </c>
    </row>
    <row r="11302" spans="2:5">
      <c r="B11302" s="4" t="s">
        <v>12345</v>
      </c>
      <c r="C11302" s="129" t="s">
        <v>12346</v>
      </c>
      <c r="D11302" s="5">
        <v>341003</v>
      </c>
      <c r="E11302" s="5" t="s">
        <v>13541</v>
      </c>
    </row>
    <row r="11303" spans="2:5">
      <c r="B11303" s="4" t="s">
        <v>12345</v>
      </c>
      <c r="C11303" s="129" t="s">
        <v>12346</v>
      </c>
      <c r="D11303" s="5">
        <v>341004</v>
      </c>
      <c r="E11303" s="5" t="s">
        <v>13542</v>
      </c>
    </row>
    <row r="11304" spans="2:5">
      <c r="B11304" s="4" t="s">
        <v>12345</v>
      </c>
      <c r="C11304" s="129" t="s">
        <v>12346</v>
      </c>
      <c r="D11304" s="5">
        <v>341021</v>
      </c>
      <c r="E11304" s="5" t="s">
        <v>13543</v>
      </c>
    </row>
    <row r="11305" spans="2:5">
      <c r="B11305" s="4" t="s">
        <v>12345</v>
      </c>
      <c r="C11305" s="129" t="s">
        <v>12346</v>
      </c>
      <c r="D11305" s="5">
        <v>341022</v>
      </c>
      <c r="E11305" s="5" t="s">
        <v>13544</v>
      </c>
    </row>
    <row r="11306" spans="2:5">
      <c r="B11306" s="4" t="s">
        <v>12345</v>
      </c>
      <c r="C11306" s="129" t="s">
        <v>12346</v>
      </c>
      <c r="D11306" s="5">
        <v>341023</v>
      </c>
      <c r="E11306" s="5" t="s">
        <v>13545</v>
      </c>
    </row>
    <row r="11307" spans="2:5">
      <c r="B11307" s="4" t="s">
        <v>12345</v>
      </c>
      <c r="C11307" s="129" t="s">
        <v>12346</v>
      </c>
      <c r="D11307" s="5">
        <v>341024</v>
      </c>
      <c r="E11307" s="5" t="s">
        <v>13546</v>
      </c>
    </row>
    <row r="11308" spans="2:5">
      <c r="B11308" s="4" t="s">
        <v>12345</v>
      </c>
      <c r="C11308" s="129" t="s">
        <v>12346</v>
      </c>
      <c r="D11308" s="5">
        <v>341100</v>
      </c>
      <c r="E11308" s="5" t="s">
        <v>13547</v>
      </c>
    </row>
    <row r="11309" spans="2:5">
      <c r="B11309" s="4" t="s">
        <v>12345</v>
      </c>
      <c r="C11309" s="129" t="s">
        <v>12346</v>
      </c>
      <c r="D11309" s="5">
        <v>341101</v>
      </c>
      <c r="E11309" s="5" t="s">
        <v>13548</v>
      </c>
    </row>
    <row r="11310" spans="2:5">
      <c r="B11310" s="4" t="s">
        <v>12345</v>
      </c>
      <c r="C11310" s="129" t="s">
        <v>12346</v>
      </c>
      <c r="D11310" s="5">
        <v>341102</v>
      </c>
      <c r="E11310" s="5" t="s">
        <v>13549</v>
      </c>
    </row>
    <row r="11311" spans="2:5">
      <c r="B11311" s="4" t="s">
        <v>12345</v>
      </c>
      <c r="C11311" s="129" t="s">
        <v>12346</v>
      </c>
      <c r="D11311" s="5">
        <v>341103</v>
      </c>
      <c r="E11311" s="5" t="s">
        <v>13550</v>
      </c>
    </row>
    <row r="11312" spans="2:5">
      <c r="B11312" s="4" t="s">
        <v>12345</v>
      </c>
      <c r="C11312" s="129" t="s">
        <v>12346</v>
      </c>
      <c r="D11312" s="5">
        <v>341122</v>
      </c>
      <c r="E11312" s="5" t="s">
        <v>13551</v>
      </c>
    </row>
    <row r="11313" spans="2:5">
      <c r="B11313" s="4" t="s">
        <v>12345</v>
      </c>
      <c r="C11313" s="129" t="s">
        <v>12346</v>
      </c>
      <c r="D11313" s="5">
        <v>341124</v>
      </c>
      <c r="E11313" s="5" t="s">
        <v>13552</v>
      </c>
    </row>
    <row r="11314" spans="2:5">
      <c r="B11314" s="4" t="s">
        <v>12345</v>
      </c>
      <c r="C11314" s="129" t="s">
        <v>12346</v>
      </c>
      <c r="D11314" s="5">
        <v>341125</v>
      </c>
      <c r="E11314" s="5" t="s">
        <v>13553</v>
      </c>
    </row>
    <row r="11315" spans="2:5">
      <c r="B11315" s="4" t="s">
        <v>12345</v>
      </c>
      <c r="C11315" s="129" t="s">
        <v>12346</v>
      </c>
      <c r="D11315" s="5">
        <v>341126</v>
      </c>
      <c r="E11315" s="5" t="s">
        <v>13554</v>
      </c>
    </row>
    <row r="11316" spans="2:5">
      <c r="B11316" s="4" t="s">
        <v>12345</v>
      </c>
      <c r="C11316" s="129" t="s">
        <v>12346</v>
      </c>
      <c r="D11316" s="5">
        <v>341181</v>
      </c>
      <c r="E11316" s="5" t="s">
        <v>13555</v>
      </c>
    </row>
    <row r="11317" spans="2:5">
      <c r="B11317" s="4" t="s">
        <v>12345</v>
      </c>
      <c r="C11317" s="129" t="s">
        <v>12346</v>
      </c>
      <c r="D11317" s="5">
        <v>341182</v>
      </c>
      <c r="E11317" s="5" t="s">
        <v>13556</v>
      </c>
    </row>
    <row r="11318" spans="2:5">
      <c r="B11318" s="4" t="s">
        <v>12345</v>
      </c>
      <c r="C11318" s="129" t="s">
        <v>12346</v>
      </c>
      <c r="D11318" s="5">
        <v>341200</v>
      </c>
      <c r="E11318" s="5" t="s">
        <v>13557</v>
      </c>
    </row>
    <row r="11319" spans="2:5">
      <c r="B11319" s="4" t="s">
        <v>12345</v>
      </c>
      <c r="C11319" s="129" t="s">
        <v>12346</v>
      </c>
      <c r="D11319" s="5">
        <v>341201</v>
      </c>
      <c r="E11319" s="5" t="s">
        <v>13558</v>
      </c>
    </row>
    <row r="11320" spans="2:5">
      <c r="B11320" s="4" t="s">
        <v>12345</v>
      </c>
      <c r="C11320" s="129" t="s">
        <v>12346</v>
      </c>
      <c r="D11320" s="5">
        <v>341202</v>
      </c>
      <c r="E11320" s="5" t="s">
        <v>13559</v>
      </c>
    </row>
    <row r="11321" spans="2:5">
      <c r="B11321" s="4" t="s">
        <v>12345</v>
      </c>
      <c r="C11321" s="129" t="s">
        <v>12346</v>
      </c>
      <c r="D11321" s="5">
        <v>341203</v>
      </c>
      <c r="E11321" s="5" t="s">
        <v>13560</v>
      </c>
    </row>
    <row r="11322" spans="2:5">
      <c r="B11322" s="4" t="s">
        <v>12345</v>
      </c>
      <c r="C11322" s="129" t="s">
        <v>12346</v>
      </c>
      <c r="D11322" s="5">
        <v>341204</v>
      </c>
      <c r="E11322" s="5" t="s">
        <v>13561</v>
      </c>
    </row>
    <row r="11323" spans="2:5">
      <c r="B11323" s="4" t="s">
        <v>12345</v>
      </c>
      <c r="C11323" s="129" t="s">
        <v>12346</v>
      </c>
      <c r="D11323" s="5">
        <v>341221</v>
      </c>
      <c r="E11323" s="5" t="s">
        <v>13562</v>
      </c>
    </row>
    <row r="11324" spans="2:5">
      <c r="B11324" s="4" t="s">
        <v>12345</v>
      </c>
      <c r="C11324" s="129" t="s">
        <v>12346</v>
      </c>
      <c r="D11324" s="5">
        <v>341222</v>
      </c>
      <c r="E11324" s="5" t="s">
        <v>13563</v>
      </c>
    </row>
    <row r="11325" spans="2:5">
      <c r="B11325" s="4" t="s">
        <v>12345</v>
      </c>
      <c r="C11325" s="129" t="s">
        <v>12346</v>
      </c>
      <c r="D11325" s="5">
        <v>341225</v>
      </c>
      <c r="E11325" s="5" t="s">
        <v>13564</v>
      </c>
    </row>
    <row r="11326" spans="2:5">
      <c r="B11326" s="4" t="s">
        <v>12345</v>
      </c>
      <c r="C11326" s="129" t="s">
        <v>12346</v>
      </c>
      <c r="D11326" s="5">
        <v>341226</v>
      </c>
      <c r="E11326" s="5" t="s">
        <v>13565</v>
      </c>
    </row>
    <row r="11327" spans="2:5">
      <c r="B11327" s="4" t="s">
        <v>12345</v>
      </c>
      <c r="C11327" s="129" t="s">
        <v>12346</v>
      </c>
      <c r="D11327" s="5">
        <v>341282</v>
      </c>
      <c r="E11327" s="5" t="s">
        <v>13566</v>
      </c>
    </row>
    <row r="11328" spans="2:5">
      <c r="B11328" s="4" t="s">
        <v>12345</v>
      </c>
      <c r="C11328" s="129" t="s">
        <v>12346</v>
      </c>
      <c r="D11328" s="5">
        <v>341300</v>
      </c>
      <c r="E11328" s="5" t="s">
        <v>13567</v>
      </c>
    </row>
    <row r="11329" spans="2:5">
      <c r="B11329" s="4" t="s">
        <v>12345</v>
      </c>
      <c r="C11329" s="129" t="s">
        <v>12346</v>
      </c>
      <c r="D11329" s="5">
        <v>341301</v>
      </c>
      <c r="E11329" s="5" t="s">
        <v>13568</v>
      </c>
    </row>
    <row r="11330" spans="2:5">
      <c r="B11330" s="4" t="s">
        <v>12345</v>
      </c>
      <c r="C11330" s="129" t="s">
        <v>12346</v>
      </c>
      <c r="D11330" s="5">
        <v>341302</v>
      </c>
      <c r="E11330" s="5" t="s">
        <v>13569</v>
      </c>
    </row>
    <row r="11331" spans="2:5">
      <c r="B11331" s="4" t="s">
        <v>12345</v>
      </c>
      <c r="C11331" s="129" t="s">
        <v>12346</v>
      </c>
      <c r="D11331" s="5">
        <v>341321</v>
      </c>
      <c r="E11331" s="5" t="s">
        <v>13570</v>
      </c>
    </row>
    <row r="11332" spans="2:5">
      <c r="B11332" s="4" t="s">
        <v>12345</v>
      </c>
      <c r="C11332" s="129" t="s">
        <v>12346</v>
      </c>
      <c r="D11332" s="5">
        <v>341322</v>
      </c>
      <c r="E11332" s="5" t="s">
        <v>13571</v>
      </c>
    </row>
    <row r="11333" spans="2:5">
      <c r="B11333" s="4" t="s">
        <v>12345</v>
      </c>
      <c r="C11333" s="129" t="s">
        <v>12346</v>
      </c>
      <c r="D11333" s="5">
        <v>341323</v>
      </c>
      <c r="E11333" s="5" t="s">
        <v>13572</v>
      </c>
    </row>
    <row r="11334" spans="2:5">
      <c r="B11334" s="4" t="s">
        <v>12345</v>
      </c>
      <c r="C11334" s="129" t="s">
        <v>12346</v>
      </c>
      <c r="D11334" s="5">
        <v>341324</v>
      </c>
      <c r="E11334" s="5" t="s">
        <v>13573</v>
      </c>
    </row>
    <row r="11335" spans="2:5">
      <c r="B11335" s="4" t="s">
        <v>12345</v>
      </c>
      <c r="C11335" s="129" t="s">
        <v>12346</v>
      </c>
      <c r="D11335" s="5">
        <v>341500</v>
      </c>
      <c r="E11335" s="5" t="s">
        <v>13574</v>
      </c>
    </row>
    <row r="11336" spans="2:5">
      <c r="B11336" s="4" t="s">
        <v>12345</v>
      </c>
      <c r="C11336" s="129" t="s">
        <v>12346</v>
      </c>
      <c r="D11336" s="5">
        <v>341501</v>
      </c>
      <c r="E11336" s="5" t="s">
        <v>13575</v>
      </c>
    </row>
    <row r="11337" spans="2:5">
      <c r="B11337" s="4" t="s">
        <v>12345</v>
      </c>
      <c r="C11337" s="129" t="s">
        <v>12346</v>
      </c>
      <c r="D11337" s="5">
        <v>341502</v>
      </c>
      <c r="E11337" s="5" t="s">
        <v>13576</v>
      </c>
    </row>
    <row r="11338" spans="2:5">
      <c r="B11338" s="4" t="s">
        <v>12345</v>
      </c>
      <c r="C11338" s="129" t="s">
        <v>12346</v>
      </c>
      <c r="D11338" s="5">
        <v>341503</v>
      </c>
      <c r="E11338" s="5" t="s">
        <v>13577</v>
      </c>
    </row>
    <row r="11339" spans="2:5">
      <c r="B11339" s="4" t="s">
        <v>12345</v>
      </c>
      <c r="C11339" s="129" t="s">
        <v>12346</v>
      </c>
      <c r="D11339" s="5">
        <v>341521</v>
      </c>
      <c r="E11339" s="5" t="s">
        <v>13578</v>
      </c>
    </row>
    <row r="11340" spans="2:5">
      <c r="B11340" s="4" t="s">
        <v>12345</v>
      </c>
      <c r="C11340" s="129" t="s">
        <v>12346</v>
      </c>
      <c r="D11340" s="5">
        <v>341522</v>
      </c>
      <c r="E11340" s="5" t="s">
        <v>13579</v>
      </c>
    </row>
    <row r="11341" spans="2:5">
      <c r="B11341" s="4" t="s">
        <v>12345</v>
      </c>
      <c r="C11341" s="129" t="s">
        <v>12346</v>
      </c>
      <c r="D11341" s="5">
        <v>341523</v>
      </c>
      <c r="E11341" s="5" t="s">
        <v>13580</v>
      </c>
    </row>
    <row r="11342" spans="2:5">
      <c r="B11342" s="4" t="s">
        <v>12345</v>
      </c>
      <c r="C11342" s="129" t="s">
        <v>12346</v>
      </c>
      <c r="D11342" s="5">
        <v>341524</v>
      </c>
      <c r="E11342" s="5" t="s">
        <v>13581</v>
      </c>
    </row>
    <row r="11343" spans="2:5">
      <c r="B11343" s="4" t="s">
        <v>12345</v>
      </c>
      <c r="C11343" s="129" t="s">
        <v>12346</v>
      </c>
      <c r="D11343" s="5">
        <v>341525</v>
      </c>
      <c r="E11343" s="5" t="s">
        <v>13582</v>
      </c>
    </row>
    <row r="11344" spans="2:5">
      <c r="B11344" s="4" t="s">
        <v>12345</v>
      </c>
      <c r="C11344" s="129" t="s">
        <v>12346</v>
      </c>
      <c r="D11344" s="5">
        <v>341600</v>
      </c>
      <c r="E11344" s="5" t="s">
        <v>13583</v>
      </c>
    </row>
    <row r="11345" spans="2:5">
      <c r="B11345" s="4" t="s">
        <v>12345</v>
      </c>
      <c r="C11345" s="129" t="s">
        <v>12346</v>
      </c>
      <c r="D11345" s="5">
        <v>341601</v>
      </c>
      <c r="E11345" s="5" t="s">
        <v>13584</v>
      </c>
    </row>
    <row r="11346" spans="2:5">
      <c r="B11346" s="4" t="s">
        <v>12345</v>
      </c>
      <c r="C11346" s="129" t="s">
        <v>12346</v>
      </c>
      <c r="D11346" s="5">
        <v>341602</v>
      </c>
      <c r="E11346" s="5" t="s">
        <v>13585</v>
      </c>
    </row>
    <row r="11347" spans="2:5">
      <c r="B11347" s="4" t="s">
        <v>12345</v>
      </c>
      <c r="C11347" s="129" t="s">
        <v>12346</v>
      </c>
      <c r="D11347" s="5">
        <v>341621</v>
      </c>
      <c r="E11347" s="5" t="s">
        <v>13586</v>
      </c>
    </row>
    <row r="11348" spans="2:5">
      <c r="B11348" s="4" t="s">
        <v>12345</v>
      </c>
      <c r="C11348" s="129" t="s">
        <v>12346</v>
      </c>
      <c r="D11348" s="5">
        <v>341622</v>
      </c>
      <c r="E11348" s="5" t="s">
        <v>13587</v>
      </c>
    </row>
    <row r="11349" spans="2:5">
      <c r="B11349" s="4" t="s">
        <v>12345</v>
      </c>
      <c r="C11349" s="129" t="s">
        <v>12346</v>
      </c>
      <c r="D11349" s="5">
        <v>341623</v>
      </c>
      <c r="E11349" s="5" t="s">
        <v>13588</v>
      </c>
    </row>
    <row r="11350" spans="2:5">
      <c r="B11350" s="4" t="s">
        <v>12345</v>
      </c>
      <c r="C11350" s="129" t="s">
        <v>12346</v>
      </c>
      <c r="D11350" s="5">
        <v>341700</v>
      </c>
      <c r="E11350" s="5" t="s">
        <v>13589</v>
      </c>
    </row>
    <row r="11351" spans="2:5">
      <c r="B11351" s="4" t="s">
        <v>12345</v>
      </c>
      <c r="C11351" s="129" t="s">
        <v>12346</v>
      </c>
      <c r="D11351" s="5">
        <v>341701</v>
      </c>
      <c r="E11351" s="5" t="s">
        <v>13590</v>
      </c>
    </row>
    <row r="11352" spans="2:5">
      <c r="B11352" s="4" t="s">
        <v>12345</v>
      </c>
      <c r="C11352" s="129" t="s">
        <v>12346</v>
      </c>
      <c r="D11352" s="5">
        <v>341702</v>
      </c>
      <c r="E11352" s="5" t="s">
        <v>13591</v>
      </c>
    </row>
    <row r="11353" spans="2:5">
      <c r="B11353" s="4" t="s">
        <v>12345</v>
      </c>
      <c r="C11353" s="129" t="s">
        <v>12346</v>
      </c>
      <c r="D11353" s="5">
        <v>341721</v>
      </c>
      <c r="E11353" s="5" t="s">
        <v>13592</v>
      </c>
    </row>
    <row r="11354" spans="2:5">
      <c r="B11354" s="4" t="s">
        <v>12345</v>
      </c>
      <c r="C11354" s="129" t="s">
        <v>12346</v>
      </c>
      <c r="D11354" s="5">
        <v>341722</v>
      </c>
      <c r="E11354" s="5" t="s">
        <v>13593</v>
      </c>
    </row>
    <row r="11355" spans="2:5">
      <c r="B11355" s="4" t="s">
        <v>12345</v>
      </c>
      <c r="C11355" s="129" t="s">
        <v>12346</v>
      </c>
      <c r="D11355" s="5">
        <v>341723</v>
      </c>
      <c r="E11355" s="5" t="s">
        <v>13594</v>
      </c>
    </row>
    <row r="11356" spans="2:5">
      <c r="B11356" s="4" t="s">
        <v>12345</v>
      </c>
      <c r="C11356" s="129" t="s">
        <v>12346</v>
      </c>
      <c r="D11356" s="5">
        <v>341800</v>
      </c>
      <c r="E11356" s="5" t="s">
        <v>13595</v>
      </c>
    </row>
    <row r="11357" spans="2:5">
      <c r="B11357" s="4" t="s">
        <v>12345</v>
      </c>
      <c r="C11357" s="129" t="s">
        <v>12346</v>
      </c>
      <c r="D11357" s="5">
        <v>341801</v>
      </c>
      <c r="E11357" s="5" t="s">
        <v>13596</v>
      </c>
    </row>
    <row r="11358" spans="2:5">
      <c r="B11358" s="4" t="s">
        <v>12345</v>
      </c>
      <c r="C11358" s="129" t="s">
        <v>12346</v>
      </c>
      <c r="D11358" s="5">
        <v>341802</v>
      </c>
      <c r="E11358" s="5" t="s">
        <v>13597</v>
      </c>
    </row>
    <row r="11359" spans="2:5">
      <c r="B11359" s="4" t="s">
        <v>12345</v>
      </c>
      <c r="C11359" s="129" t="s">
        <v>12346</v>
      </c>
      <c r="D11359" s="5">
        <v>341821</v>
      </c>
      <c r="E11359" s="5" t="s">
        <v>13598</v>
      </c>
    </row>
    <row r="11360" spans="2:5">
      <c r="B11360" s="4" t="s">
        <v>12345</v>
      </c>
      <c r="C11360" s="129" t="s">
        <v>12346</v>
      </c>
      <c r="D11360" s="5">
        <v>341822</v>
      </c>
      <c r="E11360" s="5" t="s">
        <v>13599</v>
      </c>
    </row>
    <row r="11361" spans="2:5">
      <c r="B11361" s="4" t="s">
        <v>12345</v>
      </c>
      <c r="C11361" s="129" t="s">
        <v>12346</v>
      </c>
      <c r="D11361" s="5">
        <v>341823</v>
      </c>
      <c r="E11361" s="5" t="s">
        <v>13600</v>
      </c>
    </row>
    <row r="11362" spans="2:5">
      <c r="B11362" s="4" t="s">
        <v>12345</v>
      </c>
      <c r="C11362" s="129" t="s">
        <v>12346</v>
      </c>
      <c r="D11362" s="5">
        <v>341824</v>
      </c>
      <c r="E11362" s="5" t="s">
        <v>13601</v>
      </c>
    </row>
    <row r="11363" spans="2:5">
      <c r="B11363" s="4" t="s">
        <v>12345</v>
      </c>
      <c r="C11363" s="129" t="s">
        <v>12346</v>
      </c>
      <c r="D11363" s="5">
        <v>341825</v>
      </c>
      <c r="E11363" s="5" t="s">
        <v>13602</v>
      </c>
    </row>
    <row r="11364" spans="2:5">
      <c r="B11364" s="4" t="s">
        <v>12345</v>
      </c>
      <c r="C11364" s="129" t="s">
        <v>12346</v>
      </c>
      <c r="D11364" s="5">
        <v>341881</v>
      </c>
      <c r="E11364" s="5" t="s">
        <v>13603</v>
      </c>
    </row>
    <row r="11365" spans="2:5">
      <c r="B11365" s="4" t="s">
        <v>12345</v>
      </c>
      <c r="C11365" s="129" t="s">
        <v>12346</v>
      </c>
      <c r="D11365" s="5">
        <v>350000</v>
      </c>
      <c r="E11365" s="5" t="s">
        <v>13604</v>
      </c>
    </row>
    <row r="11366" spans="2:5">
      <c r="B11366" s="4" t="s">
        <v>12345</v>
      </c>
      <c r="C11366" s="129" t="s">
        <v>12346</v>
      </c>
      <c r="D11366" s="5">
        <v>350100</v>
      </c>
      <c r="E11366" s="5" t="s">
        <v>13605</v>
      </c>
    </row>
    <row r="11367" spans="2:5">
      <c r="B11367" s="4" t="s">
        <v>12345</v>
      </c>
      <c r="C11367" s="129" t="s">
        <v>12346</v>
      </c>
      <c r="D11367" s="5">
        <v>350101</v>
      </c>
      <c r="E11367" s="5" t="s">
        <v>13606</v>
      </c>
    </row>
    <row r="11368" spans="2:5">
      <c r="B11368" s="4" t="s">
        <v>12345</v>
      </c>
      <c r="C11368" s="129" t="s">
        <v>12346</v>
      </c>
      <c r="D11368" s="5">
        <v>350102</v>
      </c>
      <c r="E11368" s="5" t="s">
        <v>13607</v>
      </c>
    </row>
    <row r="11369" spans="2:5">
      <c r="B11369" s="4" t="s">
        <v>12345</v>
      </c>
      <c r="C11369" s="129" t="s">
        <v>12346</v>
      </c>
      <c r="D11369" s="5">
        <v>350103</v>
      </c>
      <c r="E11369" s="5" t="s">
        <v>13608</v>
      </c>
    </row>
    <row r="11370" spans="2:5">
      <c r="B11370" s="4" t="s">
        <v>12345</v>
      </c>
      <c r="C11370" s="129" t="s">
        <v>12346</v>
      </c>
      <c r="D11370" s="5">
        <v>350104</v>
      </c>
      <c r="E11370" s="5" t="s">
        <v>13609</v>
      </c>
    </row>
    <row r="11371" spans="2:5">
      <c r="B11371" s="4" t="s">
        <v>12345</v>
      </c>
      <c r="C11371" s="129" t="s">
        <v>12346</v>
      </c>
      <c r="D11371" s="5">
        <v>350105</v>
      </c>
      <c r="E11371" s="5" t="s">
        <v>13610</v>
      </c>
    </row>
    <row r="11372" spans="2:5">
      <c r="B11372" s="4" t="s">
        <v>12345</v>
      </c>
      <c r="C11372" s="129" t="s">
        <v>12346</v>
      </c>
      <c r="D11372" s="5">
        <v>350111</v>
      </c>
      <c r="E11372" s="5" t="s">
        <v>13611</v>
      </c>
    </row>
    <row r="11373" spans="2:5">
      <c r="B11373" s="4" t="s">
        <v>12345</v>
      </c>
      <c r="C11373" s="129" t="s">
        <v>12346</v>
      </c>
      <c r="D11373" s="5">
        <v>350121</v>
      </c>
      <c r="E11373" s="5" t="s">
        <v>13612</v>
      </c>
    </row>
    <row r="11374" spans="2:5">
      <c r="B11374" s="4" t="s">
        <v>12345</v>
      </c>
      <c r="C11374" s="129" t="s">
        <v>12346</v>
      </c>
      <c r="D11374" s="5">
        <v>350122</v>
      </c>
      <c r="E11374" s="5" t="s">
        <v>13613</v>
      </c>
    </row>
    <row r="11375" spans="2:5">
      <c r="B11375" s="4" t="s">
        <v>12345</v>
      </c>
      <c r="C11375" s="129" t="s">
        <v>12346</v>
      </c>
      <c r="D11375" s="5">
        <v>350123</v>
      </c>
      <c r="E11375" s="5" t="s">
        <v>13614</v>
      </c>
    </row>
    <row r="11376" spans="2:5">
      <c r="B11376" s="4" t="s">
        <v>12345</v>
      </c>
      <c r="C11376" s="129" t="s">
        <v>12346</v>
      </c>
      <c r="D11376" s="5">
        <v>350124</v>
      </c>
      <c r="E11376" s="5" t="s">
        <v>13615</v>
      </c>
    </row>
    <row r="11377" spans="2:5">
      <c r="B11377" s="4" t="s">
        <v>12345</v>
      </c>
      <c r="C11377" s="129" t="s">
        <v>12346</v>
      </c>
      <c r="D11377" s="5">
        <v>350125</v>
      </c>
      <c r="E11377" s="5" t="s">
        <v>13616</v>
      </c>
    </row>
    <row r="11378" spans="2:5">
      <c r="B11378" s="4" t="s">
        <v>12345</v>
      </c>
      <c r="C11378" s="129" t="s">
        <v>12346</v>
      </c>
      <c r="D11378" s="5">
        <v>350128</v>
      </c>
      <c r="E11378" s="5" t="s">
        <v>13617</v>
      </c>
    </row>
    <row r="11379" spans="2:5">
      <c r="B11379" s="4" t="s">
        <v>12345</v>
      </c>
      <c r="C11379" s="129" t="s">
        <v>12346</v>
      </c>
      <c r="D11379" s="5">
        <v>350181</v>
      </c>
      <c r="E11379" s="5" t="s">
        <v>13618</v>
      </c>
    </row>
    <row r="11380" spans="2:5">
      <c r="B11380" s="4" t="s">
        <v>12345</v>
      </c>
      <c r="C11380" s="129" t="s">
        <v>12346</v>
      </c>
      <c r="D11380" s="5">
        <v>350182</v>
      </c>
      <c r="E11380" s="5" t="s">
        <v>13619</v>
      </c>
    </row>
    <row r="11381" spans="2:5">
      <c r="B11381" s="4" t="s">
        <v>12345</v>
      </c>
      <c r="C11381" s="129" t="s">
        <v>12346</v>
      </c>
      <c r="D11381" s="5">
        <v>350200</v>
      </c>
      <c r="E11381" s="5" t="s">
        <v>13620</v>
      </c>
    </row>
    <row r="11382" spans="2:5">
      <c r="B11382" s="4" t="s">
        <v>12345</v>
      </c>
      <c r="C11382" s="129" t="s">
        <v>12346</v>
      </c>
      <c r="D11382" s="5">
        <v>350201</v>
      </c>
      <c r="E11382" s="5" t="s">
        <v>13621</v>
      </c>
    </row>
    <row r="11383" spans="2:5">
      <c r="B11383" s="4" t="s">
        <v>12345</v>
      </c>
      <c r="C11383" s="129" t="s">
        <v>12346</v>
      </c>
      <c r="D11383" s="5">
        <v>350203</v>
      </c>
      <c r="E11383" s="5" t="s">
        <v>13622</v>
      </c>
    </row>
    <row r="11384" spans="2:5">
      <c r="B11384" s="4" t="s">
        <v>12345</v>
      </c>
      <c r="C11384" s="129" t="s">
        <v>12346</v>
      </c>
      <c r="D11384" s="5">
        <v>350205</v>
      </c>
      <c r="E11384" s="5" t="s">
        <v>13623</v>
      </c>
    </row>
    <row r="11385" spans="2:5">
      <c r="B11385" s="4" t="s">
        <v>12345</v>
      </c>
      <c r="C11385" s="129" t="s">
        <v>12346</v>
      </c>
      <c r="D11385" s="5">
        <v>350206</v>
      </c>
      <c r="E11385" s="5" t="s">
        <v>13624</v>
      </c>
    </row>
    <row r="11386" spans="2:5">
      <c r="B11386" s="4" t="s">
        <v>12345</v>
      </c>
      <c r="C11386" s="129" t="s">
        <v>12346</v>
      </c>
      <c r="D11386" s="5">
        <v>350211</v>
      </c>
      <c r="E11386" s="5" t="s">
        <v>13625</v>
      </c>
    </row>
    <row r="11387" spans="2:5">
      <c r="B11387" s="4" t="s">
        <v>12345</v>
      </c>
      <c r="C11387" s="129" t="s">
        <v>12346</v>
      </c>
      <c r="D11387" s="5">
        <v>350212</v>
      </c>
      <c r="E11387" s="5" t="s">
        <v>13626</v>
      </c>
    </row>
    <row r="11388" spans="2:5">
      <c r="B11388" s="4" t="s">
        <v>12345</v>
      </c>
      <c r="C11388" s="129" t="s">
        <v>12346</v>
      </c>
      <c r="D11388" s="5">
        <v>350213</v>
      </c>
      <c r="E11388" s="5" t="s">
        <v>13627</v>
      </c>
    </row>
    <row r="11389" spans="2:5">
      <c r="B11389" s="4" t="s">
        <v>12345</v>
      </c>
      <c r="C11389" s="129" t="s">
        <v>12346</v>
      </c>
      <c r="D11389" s="5">
        <v>350300</v>
      </c>
      <c r="E11389" s="5" t="s">
        <v>13628</v>
      </c>
    </row>
    <row r="11390" spans="2:5">
      <c r="B11390" s="4" t="s">
        <v>12345</v>
      </c>
      <c r="C11390" s="129" t="s">
        <v>12346</v>
      </c>
      <c r="D11390" s="5">
        <v>350301</v>
      </c>
      <c r="E11390" s="5" t="s">
        <v>13629</v>
      </c>
    </row>
    <row r="11391" spans="2:5">
      <c r="B11391" s="4" t="s">
        <v>12345</v>
      </c>
      <c r="C11391" s="129" t="s">
        <v>12346</v>
      </c>
      <c r="D11391" s="5">
        <v>350302</v>
      </c>
      <c r="E11391" s="5" t="s">
        <v>13630</v>
      </c>
    </row>
    <row r="11392" spans="2:5">
      <c r="B11392" s="4" t="s">
        <v>12345</v>
      </c>
      <c r="C11392" s="129" t="s">
        <v>12346</v>
      </c>
      <c r="D11392" s="5">
        <v>350303</v>
      </c>
      <c r="E11392" s="5" t="s">
        <v>13631</v>
      </c>
    </row>
    <row r="11393" spans="2:5">
      <c r="B11393" s="4" t="s">
        <v>12345</v>
      </c>
      <c r="C11393" s="129" t="s">
        <v>12346</v>
      </c>
      <c r="D11393" s="5">
        <v>350304</v>
      </c>
      <c r="E11393" s="5" t="s">
        <v>13632</v>
      </c>
    </row>
    <row r="11394" spans="2:5">
      <c r="B11394" s="4" t="s">
        <v>12345</v>
      </c>
      <c r="C11394" s="129" t="s">
        <v>12346</v>
      </c>
      <c r="D11394" s="5">
        <v>350305</v>
      </c>
      <c r="E11394" s="5" t="s">
        <v>13633</v>
      </c>
    </row>
    <row r="11395" spans="2:5">
      <c r="B11395" s="4" t="s">
        <v>12345</v>
      </c>
      <c r="C11395" s="129" t="s">
        <v>12346</v>
      </c>
      <c r="D11395" s="5">
        <v>350322</v>
      </c>
      <c r="E11395" s="5" t="s">
        <v>13634</v>
      </c>
    </row>
    <row r="11396" spans="2:5">
      <c r="B11396" s="4" t="s">
        <v>12345</v>
      </c>
      <c r="C11396" s="129" t="s">
        <v>12346</v>
      </c>
      <c r="D11396" s="5">
        <v>350400</v>
      </c>
      <c r="E11396" s="5" t="s">
        <v>13635</v>
      </c>
    </row>
    <row r="11397" spans="2:5">
      <c r="B11397" s="4" t="s">
        <v>12345</v>
      </c>
      <c r="C11397" s="129" t="s">
        <v>12346</v>
      </c>
      <c r="D11397" s="5">
        <v>350401</v>
      </c>
      <c r="E11397" s="5" t="s">
        <v>13636</v>
      </c>
    </row>
    <row r="11398" spans="2:5">
      <c r="B11398" s="4" t="s">
        <v>12345</v>
      </c>
      <c r="C11398" s="129" t="s">
        <v>12346</v>
      </c>
      <c r="D11398" s="5">
        <v>350402</v>
      </c>
      <c r="E11398" s="5" t="s">
        <v>13637</v>
      </c>
    </row>
    <row r="11399" spans="2:5">
      <c r="B11399" s="4" t="s">
        <v>12345</v>
      </c>
      <c r="C11399" s="129" t="s">
        <v>12346</v>
      </c>
      <c r="D11399" s="5">
        <v>350403</v>
      </c>
      <c r="E11399" s="5" t="s">
        <v>13638</v>
      </c>
    </row>
    <row r="11400" spans="2:5">
      <c r="B11400" s="4" t="s">
        <v>12345</v>
      </c>
      <c r="C11400" s="129" t="s">
        <v>12346</v>
      </c>
      <c r="D11400" s="5">
        <v>350421</v>
      </c>
      <c r="E11400" s="5" t="s">
        <v>13639</v>
      </c>
    </row>
    <row r="11401" spans="2:5">
      <c r="B11401" s="4" t="s">
        <v>12345</v>
      </c>
      <c r="C11401" s="129" t="s">
        <v>12346</v>
      </c>
      <c r="D11401" s="5">
        <v>350423</v>
      </c>
      <c r="E11401" s="5" t="s">
        <v>13640</v>
      </c>
    </row>
    <row r="11402" spans="2:5">
      <c r="B11402" s="4" t="s">
        <v>12345</v>
      </c>
      <c r="C11402" s="129" t="s">
        <v>12346</v>
      </c>
      <c r="D11402" s="5">
        <v>350424</v>
      </c>
      <c r="E11402" s="5" t="s">
        <v>13641</v>
      </c>
    </row>
    <row r="11403" spans="2:5">
      <c r="B11403" s="4" t="s">
        <v>12345</v>
      </c>
      <c r="C11403" s="129" t="s">
        <v>12346</v>
      </c>
      <c r="D11403" s="5">
        <v>350425</v>
      </c>
      <c r="E11403" s="5" t="s">
        <v>13642</v>
      </c>
    </row>
    <row r="11404" spans="2:5">
      <c r="B11404" s="4" t="s">
        <v>12345</v>
      </c>
      <c r="C11404" s="129" t="s">
        <v>12346</v>
      </c>
      <c r="D11404" s="5">
        <v>350426</v>
      </c>
      <c r="E11404" s="5" t="s">
        <v>13643</v>
      </c>
    </row>
    <row r="11405" spans="2:5">
      <c r="B11405" s="4" t="s">
        <v>12345</v>
      </c>
      <c r="C11405" s="129" t="s">
        <v>12346</v>
      </c>
      <c r="D11405" s="5">
        <v>350427</v>
      </c>
      <c r="E11405" s="5" t="s">
        <v>13644</v>
      </c>
    </row>
    <row r="11406" spans="2:5">
      <c r="B11406" s="4" t="s">
        <v>12345</v>
      </c>
      <c r="C11406" s="129" t="s">
        <v>12346</v>
      </c>
      <c r="D11406" s="5">
        <v>350428</v>
      </c>
      <c r="E11406" s="5" t="s">
        <v>13645</v>
      </c>
    </row>
    <row r="11407" spans="2:5">
      <c r="B11407" s="4" t="s">
        <v>12345</v>
      </c>
      <c r="C11407" s="129" t="s">
        <v>12346</v>
      </c>
      <c r="D11407" s="5">
        <v>350429</v>
      </c>
      <c r="E11407" s="5" t="s">
        <v>13646</v>
      </c>
    </row>
    <row r="11408" spans="2:5">
      <c r="B11408" s="4" t="s">
        <v>12345</v>
      </c>
      <c r="C11408" s="129" t="s">
        <v>12346</v>
      </c>
      <c r="D11408" s="5">
        <v>350430</v>
      </c>
      <c r="E11408" s="5" t="s">
        <v>13647</v>
      </c>
    </row>
    <row r="11409" spans="2:5">
      <c r="B11409" s="4" t="s">
        <v>12345</v>
      </c>
      <c r="C11409" s="129" t="s">
        <v>12346</v>
      </c>
      <c r="D11409" s="5">
        <v>350481</v>
      </c>
      <c r="E11409" s="5" t="s">
        <v>13648</v>
      </c>
    </row>
    <row r="11410" spans="2:5">
      <c r="B11410" s="4" t="s">
        <v>12345</v>
      </c>
      <c r="C11410" s="129" t="s">
        <v>12346</v>
      </c>
      <c r="D11410" s="5">
        <v>350500</v>
      </c>
      <c r="E11410" s="5" t="s">
        <v>13649</v>
      </c>
    </row>
    <row r="11411" spans="2:5">
      <c r="B11411" s="4" t="s">
        <v>12345</v>
      </c>
      <c r="C11411" s="129" t="s">
        <v>12346</v>
      </c>
      <c r="D11411" s="5">
        <v>350501</v>
      </c>
      <c r="E11411" s="5" t="s">
        <v>13650</v>
      </c>
    </row>
    <row r="11412" spans="2:5">
      <c r="B11412" s="4" t="s">
        <v>12345</v>
      </c>
      <c r="C11412" s="129" t="s">
        <v>12346</v>
      </c>
      <c r="D11412" s="5">
        <v>350502</v>
      </c>
      <c r="E11412" s="5" t="s">
        <v>13651</v>
      </c>
    </row>
    <row r="11413" spans="2:5">
      <c r="B11413" s="4" t="s">
        <v>12345</v>
      </c>
      <c r="C11413" s="129" t="s">
        <v>12346</v>
      </c>
      <c r="D11413" s="5">
        <v>350503</v>
      </c>
      <c r="E11413" s="5" t="s">
        <v>13652</v>
      </c>
    </row>
    <row r="11414" spans="2:5">
      <c r="B11414" s="4" t="s">
        <v>12345</v>
      </c>
      <c r="C11414" s="129" t="s">
        <v>12346</v>
      </c>
      <c r="D11414" s="5">
        <v>350504</v>
      </c>
      <c r="E11414" s="5" t="s">
        <v>13653</v>
      </c>
    </row>
    <row r="11415" spans="2:5">
      <c r="B11415" s="4" t="s">
        <v>12345</v>
      </c>
      <c r="C11415" s="129" t="s">
        <v>12346</v>
      </c>
      <c r="D11415" s="5">
        <v>350505</v>
      </c>
      <c r="E11415" s="5" t="s">
        <v>13654</v>
      </c>
    </row>
    <row r="11416" spans="2:5">
      <c r="B11416" s="4" t="s">
        <v>12345</v>
      </c>
      <c r="C11416" s="129" t="s">
        <v>12346</v>
      </c>
      <c r="D11416" s="5">
        <v>350521</v>
      </c>
      <c r="E11416" s="5" t="s">
        <v>13655</v>
      </c>
    </row>
    <row r="11417" spans="2:5">
      <c r="B11417" s="4" t="s">
        <v>12345</v>
      </c>
      <c r="C11417" s="129" t="s">
        <v>12346</v>
      </c>
      <c r="D11417" s="5">
        <v>350524</v>
      </c>
      <c r="E11417" s="5" t="s">
        <v>13656</v>
      </c>
    </row>
    <row r="11418" spans="2:5">
      <c r="B11418" s="4" t="s">
        <v>12345</v>
      </c>
      <c r="C11418" s="129" t="s">
        <v>12346</v>
      </c>
      <c r="D11418" s="5">
        <v>350525</v>
      </c>
      <c r="E11418" s="5" t="s">
        <v>13657</v>
      </c>
    </row>
    <row r="11419" spans="2:5">
      <c r="B11419" s="4" t="s">
        <v>12345</v>
      </c>
      <c r="C11419" s="129" t="s">
        <v>12346</v>
      </c>
      <c r="D11419" s="5">
        <v>350526</v>
      </c>
      <c r="E11419" s="5" t="s">
        <v>13658</v>
      </c>
    </row>
    <row r="11420" spans="2:5">
      <c r="B11420" s="4" t="s">
        <v>12345</v>
      </c>
      <c r="C11420" s="129" t="s">
        <v>12346</v>
      </c>
      <c r="D11420" s="5">
        <v>350527</v>
      </c>
      <c r="E11420" s="5" t="s">
        <v>13659</v>
      </c>
    </row>
    <row r="11421" spans="2:5">
      <c r="B11421" s="4" t="s">
        <v>12345</v>
      </c>
      <c r="C11421" s="129" t="s">
        <v>12346</v>
      </c>
      <c r="D11421" s="5">
        <v>350581</v>
      </c>
      <c r="E11421" s="5" t="s">
        <v>13660</v>
      </c>
    </row>
    <row r="11422" spans="2:5">
      <c r="B11422" s="4" t="s">
        <v>12345</v>
      </c>
      <c r="C11422" s="129" t="s">
        <v>12346</v>
      </c>
      <c r="D11422" s="5">
        <v>350582</v>
      </c>
      <c r="E11422" s="5" t="s">
        <v>13661</v>
      </c>
    </row>
    <row r="11423" spans="2:5">
      <c r="B11423" s="4" t="s">
        <v>12345</v>
      </c>
      <c r="C11423" s="129" t="s">
        <v>12346</v>
      </c>
      <c r="D11423" s="5">
        <v>350583</v>
      </c>
      <c r="E11423" s="5" t="s">
        <v>13662</v>
      </c>
    </row>
    <row r="11424" spans="2:5">
      <c r="B11424" s="4" t="s">
        <v>12345</v>
      </c>
      <c r="C11424" s="129" t="s">
        <v>12346</v>
      </c>
      <c r="D11424" s="5">
        <v>350600</v>
      </c>
      <c r="E11424" s="5" t="s">
        <v>13663</v>
      </c>
    </row>
    <row r="11425" spans="2:5">
      <c r="B11425" s="4" t="s">
        <v>12345</v>
      </c>
      <c r="C11425" s="129" t="s">
        <v>12346</v>
      </c>
      <c r="D11425" s="5">
        <v>350601</v>
      </c>
      <c r="E11425" s="5" t="s">
        <v>13664</v>
      </c>
    </row>
    <row r="11426" spans="2:5">
      <c r="B11426" s="4" t="s">
        <v>12345</v>
      </c>
      <c r="C11426" s="129" t="s">
        <v>12346</v>
      </c>
      <c r="D11426" s="5">
        <v>350602</v>
      </c>
      <c r="E11426" s="5" t="s">
        <v>13665</v>
      </c>
    </row>
    <row r="11427" spans="2:5">
      <c r="B11427" s="4" t="s">
        <v>12345</v>
      </c>
      <c r="C11427" s="129" t="s">
        <v>12346</v>
      </c>
      <c r="D11427" s="5">
        <v>350603</v>
      </c>
      <c r="E11427" s="5" t="s">
        <v>13666</v>
      </c>
    </row>
    <row r="11428" spans="2:5">
      <c r="B11428" s="4" t="s">
        <v>12345</v>
      </c>
      <c r="C11428" s="129" t="s">
        <v>12346</v>
      </c>
      <c r="D11428" s="5">
        <v>350622</v>
      </c>
      <c r="E11428" s="5" t="s">
        <v>13667</v>
      </c>
    </row>
    <row r="11429" spans="2:5">
      <c r="B11429" s="4" t="s">
        <v>12345</v>
      </c>
      <c r="C11429" s="129" t="s">
        <v>12346</v>
      </c>
      <c r="D11429" s="5">
        <v>350623</v>
      </c>
      <c r="E11429" s="5" t="s">
        <v>13668</v>
      </c>
    </row>
    <row r="11430" spans="2:5">
      <c r="B11430" s="4" t="s">
        <v>12345</v>
      </c>
      <c r="C11430" s="129" t="s">
        <v>12346</v>
      </c>
      <c r="D11430" s="5">
        <v>350624</v>
      </c>
      <c r="E11430" s="5" t="s">
        <v>13669</v>
      </c>
    </row>
    <row r="11431" spans="2:5">
      <c r="B11431" s="4" t="s">
        <v>12345</v>
      </c>
      <c r="C11431" s="129" t="s">
        <v>12346</v>
      </c>
      <c r="D11431" s="5">
        <v>350625</v>
      </c>
      <c r="E11431" s="5" t="s">
        <v>13670</v>
      </c>
    </row>
    <row r="11432" spans="2:5">
      <c r="B11432" s="4" t="s">
        <v>12345</v>
      </c>
      <c r="C11432" s="129" t="s">
        <v>12346</v>
      </c>
      <c r="D11432" s="5">
        <v>350626</v>
      </c>
      <c r="E11432" s="5" t="s">
        <v>13671</v>
      </c>
    </row>
    <row r="11433" spans="2:5">
      <c r="B11433" s="4" t="s">
        <v>12345</v>
      </c>
      <c r="C11433" s="129" t="s">
        <v>12346</v>
      </c>
      <c r="D11433" s="5">
        <v>350627</v>
      </c>
      <c r="E11433" s="5" t="s">
        <v>13672</v>
      </c>
    </row>
    <row r="11434" spans="2:5">
      <c r="B11434" s="4" t="s">
        <v>12345</v>
      </c>
      <c r="C11434" s="129" t="s">
        <v>12346</v>
      </c>
      <c r="D11434" s="5">
        <v>350628</v>
      </c>
      <c r="E11434" s="5" t="s">
        <v>13673</v>
      </c>
    </row>
    <row r="11435" spans="2:5">
      <c r="B11435" s="4" t="s">
        <v>12345</v>
      </c>
      <c r="C11435" s="129" t="s">
        <v>12346</v>
      </c>
      <c r="D11435" s="5">
        <v>350629</v>
      </c>
      <c r="E11435" s="5" t="s">
        <v>13674</v>
      </c>
    </row>
    <row r="11436" spans="2:5">
      <c r="B11436" s="4" t="s">
        <v>12345</v>
      </c>
      <c r="C11436" s="129" t="s">
        <v>12346</v>
      </c>
      <c r="D11436" s="5">
        <v>350681</v>
      </c>
      <c r="E11436" s="5" t="s">
        <v>13675</v>
      </c>
    </row>
    <row r="11437" spans="2:5">
      <c r="B11437" s="4" t="s">
        <v>12345</v>
      </c>
      <c r="C11437" s="129" t="s">
        <v>12346</v>
      </c>
      <c r="D11437" s="5">
        <v>350700</v>
      </c>
      <c r="E11437" s="5" t="s">
        <v>13676</v>
      </c>
    </row>
    <row r="11438" spans="2:5">
      <c r="B11438" s="4" t="s">
        <v>12345</v>
      </c>
      <c r="C11438" s="129" t="s">
        <v>12346</v>
      </c>
      <c r="D11438" s="5">
        <v>350701</v>
      </c>
      <c r="E11438" s="5" t="s">
        <v>13677</v>
      </c>
    </row>
    <row r="11439" spans="2:5">
      <c r="B11439" s="4" t="s">
        <v>12345</v>
      </c>
      <c r="C11439" s="129" t="s">
        <v>12346</v>
      </c>
      <c r="D11439" s="5">
        <v>350702</v>
      </c>
      <c r="E11439" s="5" t="s">
        <v>13678</v>
      </c>
    </row>
    <row r="11440" spans="2:5">
      <c r="B11440" s="4" t="s">
        <v>12345</v>
      </c>
      <c r="C11440" s="129" t="s">
        <v>12346</v>
      </c>
      <c r="D11440" s="5">
        <v>350721</v>
      </c>
      <c r="E11440" s="5" t="s">
        <v>13679</v>
      </c>
    </row>
    <row r="11441" spans="2:5">
      <c r="B11441" s="4" t="s">
        <v>12345</v>
      </c>
      <c r="C11441" s="129" t="s">
        <v>12346</v>
      </c>
      <c r="D11441" s="5">
        <v>350722</v>
      </c>
      <c r="E11441" s="5" t="s">
        <v>13680</v>
      </c>
    </row>
    <row r="11442" spans="2:5">
      <c r="B11442" s="4" t="s">
        <v>12345</v>
      </c>
      <c r="C11442" s="129" t="s">
        <v>12346</v>
      </c>
      <c r="D11442" s="5">
        <v>350723</v>
      </c>
      <c r="E11442" s="5" t="s">
        <v>13681</v>
      </c>
    </row>
    <row r="11443" spans="2:5">
      <c r="B11443" s="4" t="s">
        <v>12345</v>
      </c>
      <c r="C11443" s="129" t="s">
        <v>12346</v>
      </c>
      <c r="D11443" s="5">
        <v>350724</v>
      </c>
      <c r="E11443" s="5" t="s">
        <v>13682</v>
      </c>
    </row>
    <row r="11444" spans="2:5">
      <c r="B11444" s="4" t="s">
        <v>12345</v>
      </c>
      <c r="C11444" s="129" t="s">
        <v>12346</v>
      </c>
      <c r="D11444" s="5">
        <v>350725</v>
      </c>
      <c r="E11444" s="5" t="s">
        <v>13683</v>
      </c>
    </row>
    <row r="11445" spans="2:5">
      <c r="B11445" s="4" t="s">
        <v>12345</v>
      </c>
      <c r="C11445" s="129" t="s">
        <v>12346</v>
      </c>
      <c r="D11445" s="5">
        <v>350781</v>
      </c>
      <c r="E11445" s="5" t="s">
        <v>13684</v>
      </c>
    </row>
    <row r="11446" spans="2:5">
      <c r="B11446" s="4" t="s">
        <v>12345</v>
      </c>
      <c r="C11446" s="129" t="s">
        <v>12346</v>
      </c>
      <c r="D11446" s="5">
        <v>350782</v>
      </c>
      <c r="E11446" s="5" t="s">
        <v>13685</v>
      </c>
    </row>
    <row r="11447" spans="2:5">
      <c r="B11447" s="4" t="s">
        <v>12345</v>
      </c>
      <c r="C11447" s="129" t="s">
        <v>12346</v>
      </c>
      <c r="D11447" s="5">
        <v>350783</v>
      </c>
      <c r="E11447" s="5" t="s">
        <v>13686</v>
      </c>
    </row>
    <row r="11448" spans="2:5">
      <c r="B11448" s="4" t="s">
        <v>12345</v>
      </c>
      <c r="C11448" s="129" t="s">
        <v>12346</v>
      </c>
      <c r="D11448" s="5">
        <v>350784</v>
      </c>
      <c r="E11448" s="5" t="s">
        <v>13687</v>
      </c>
    </row>
    <row r="11449" spans="2:5">
      <c r="B11449" s="4" t="s">
        <v>12345</v>
      </c>
      <c r="C11449" s="129" t="s">
        <v>12346</v>
      </c>
      <c r="D11449" s="5">
        <v>350800</v>
      </c>
      <c r="E11449" s="5" t="s">
        <v>13688</v>
      </c>
    </row>
    <row r="11450" spans="2:5">
      <c r="B11450" s="4" t="s">
        <v>12345</v>
      </c>
      <c r="C11450" s="129" t="s">
        <v>12346</v>
      </c>
      <c r="D11450" s="5">
        <v>350801</v>
      </c>
      <c r="E11450" s="5" t="s">
        <v>13689</v>
      </c>
    </row>
    <row r="11451" spans="2:5">
      <c r="B11451" s="4" t="s">
        <v>12345</v>
      </c>
      <c r="C11451" s="129" t="s">
        <v>12346</v>
      </c>
      <c r="D11451" s="5">
        <v>350802</v>
      </c>
      <c r="E11451" s="5" t="s">
        <v>13690</v>
      </c>
    </row>
    <row r="11452" spans="2:5">
      <c r="B11452" s="4" t="s">
        <v>12345</v>
      </c>
      <c r="C11452" s="129" t="s">
        <v>12346</v>
      </c>
      <c r="D11452" s="5">
        <v>350821</v>
      </c>
      <c r="E11452" s="5" t="s">
        <v>13691</v>
      </c>
    </row>
    <row r="11453" spans="2:5">
      <c r="B11453" s="4" t="s">
        <v>12345</v>
      </c>
      <c r="C11453" s="129" t="s">
        <v>12346</v>
      </c>
      <c r="D11453" s="5">
        <v>350822</v>
      </c>
      <c r="E11453" s="5" t="s">
        <v>13692</v>
      </c>
    </row>
    <row r="11454" spans="2:5">
      <c r="B11454" s="4" t="s">
        <v>12345</v>
      </c>
      <c r="C11454" s="129" t="s">
        <v>12346</v>
      </c>
      <c r="D11454" s="5">
        <v>350823</v>
      </c>
      <c r="E11454" s="5" t="s">
        <v>13693</v>
      </c>
    </row>
    <row r="11455" spans="2:5">
      <c r="B11455" s="4" t="s">
        <v>12345</v>
      </c>
      <c r="C11455" s="129" t="s">
        <v>12346</v>
      </c>
      <c r="D11455" s="5">
        <v>350824</v>
      </c>
      <c r="E11455" s="5" t="s">
        <v>13694</v>
      </c>
    </row>
    <row r="11456" spans="2:5">
      <c r="B11456" s="4" t="s">
        <v>12345</v>
      </c>
      <c r="C11456" s="129" t="s">
        <v>12346</v>
      </c>
      <c r="D11456" s="5">
        <v>350825</v>
      </c>
      <c r="E11456" s="5" t="s">
        <v>13695</v>
      </c>
    </row>
    <row r="11457" spans="2:5">
      <c r="B11457" s="4" t="s">
        <v>12345</v>
      </c>
      <c r="C11457" s="129" t="s">
        <v>12346</v>
      </c>
      <c r="D11457" s="5">
        <v>350881</v>
      </c>
      <c r="E11457" s="5" t="s">
        <v>13696</v>
      </c>
    </row>
    <row r="11458" spans="2:5">
      <c r="B11458" s="4" t="s">
        <v>12345</v>
      </c>
      <c r="C11458" s="129" t="s">
        <v>12346</v>
      </c>
      <c r="D11458" s="5">
        <v>350900</v>
      </c>
      <c r="E11458" s="5" t="s">
        <v>13697</v>
      </c>
    </row>
    <row r="11459" spans="2:5">
      <c r="B11459" s="4" t="s">
        <v>12345</v>
      </c>
      <c r="C11459" s="129" t="s">
        <v>12346</v>
      </c>
      <c r="D11459" s="5">
        <v>350901</v>
      </c>
      <c r="E11459" s="5" t="s">
        <v>13698</v>
      </c>
    </row>
    <row r="11460" spans="2:5">
      <c r="B11460" s="4" t="s">
        <v>12345</v>
      </c>
      <c r="C11460" s="129" t="s">
        <v>12346</v>
      </c>
      <c r="D11460" s="5">
        <v>350902</v>
      </c>
      <c r="E11460" s="5" t="s">
        <v>13699</v>
      </c>
    </row>
    <row r="11461" spans="2:5">
      <c r="B11461" s="4" t="s">
        <v>12345</v>
      </c>
      <c r="C11461" s="129" t="s">
        <v>12346</v>
      </c>
      <c r="D11461" s="5">
        <v>350921</v>
      </c>
      <c r="E11461" s="5" t="s">
        <v>13700</v>
      </c>
    </row>
    <row r="11462" spans="2:5">
      <c r="B11462" s="4" t="s">
        <v>12345</v>
      </c>
      <c r="C11462" s="129" t="s">
        <v>12346</v>
      </c>
      <c r="D11462" s="5">
        <v>350922</v>
      </c>
      <c r="E11462" s="5" t="s">
        <v>13701</v>
      </c>
    </row>
    <row r="11463" spans="2:5">
      <c r="B11463" s="4" t="s">
        <v>12345</v>
      </c>
      <c r="C11463" s="129" t="s">
        <v>12346</v>
      </c>
      <c r="D11463" s="5">
        <v>350923</v>
      </c>
      <c r="E11463" s="5" t="s">
        <v>13702</v>
      </c>
    </row>
    <row r="11464" spans="2:5">
      <c r="B11464" s="4" t="s">
        <v>12345</v>
      </c>
      <c r="C11464" s="129" t="s">
        <v>12346</v>
      </c>
      <c r="D11464" s="5">
        <v>350924</v>
      </c>
      <c r="E11464" s="5" t="s">
        <v>13703</v>
      </c>
    </row>
    <row r="11465" spans="2:5">
      <c r="B11465" s="4" t="s">
        <v>12345</v>
      </c>
      <c r="C11465" s="129" t="s">
        <v>12346</v>
      </c>
      <c r="D11465" s="5">
        <v>350925</v>
      </c>
      <c r="E11465" s="5" t="s">
        <v>13704</v>
      </c>
    </row>
    <row r="11466" spans="2:5">
      <c r="B11466" s="4" t="s">
        <v>12345</v>
      </c>
      <c r="C11466" s="129" t="s">
        <v>12346</v>
      </c>
      <c r="D11466" s="5">
        <v>350926</v>
      </c>
      <c r="E11466" s="5" t="s">
        <v>13705</v>
      </c>
    </row>
    <row r="11467" spans="2:5">
      <c r="B11467" s="4" t="s">
        <v>12345</v>
      </c>
      <c r="C11467" s="129" t="s">
        <v>12346</v>
      </c>
      <c r="D11467" s="5">
        <v>350981</v>
      </c>
      <c r="E11467" s="5" t="s">
        <v>13706</v>
      </c>
    </row>
    <row r="11468" spans="2:5">
      <c r="B11468" s="4" t="s">
        <v>12345</v>
      </c>
      <c r="C11468" s="129" t="s">
        <v>12346</v>
      </c>
      <c r="D11468" s="5">
        <v>350982</v>
      </c>
      <c r="E11468" s="5" t="s">
        <v>13707</v>
      </c>
    </row>
    <row r="11469" spans="2:5">
      <c r="B11469" s="4" t="s">
        <v>12345</v>
      </c>
      <c r="C11469" s="129" t="s">
        <v>12346</v>
      </c>
      <c r="D11469" s="5">
        <v>360000</v>
      </c>
      <c r="E11469" s="5" t="s">
        <v>13708</v>
      </c>
    </row>
    <row r="11470" spans="2:5">
      <c r="B11470" s="4" t="s">
        <v>12345</v>
      </c>
      <c r="C11470" s="129" t="s">
        <v>12346</v>
      </c>
      <c r="D11470" s="5">
        <v>360100</v>
      </c>
      <c r="E11470" s="5" t="s">
        <v>13709</v>
      </c>
    </row>
    <row r="11471" spans="2:5">
      <c r="B11471" s="4" t="s">
        <v>12345</v>
      </c>
      <c r="C11471" s="129" t="s">
        <v>12346</v>
      </c>
      <c r="D11471" s="5">
        <v>360101</v>
      </c>
      <c r="E11471" s="5" t="s">
        <v>13710</v>
      </c>
    </row>
    <row r="11472" spans="2:5">
      <c r="B11472" s="4" t="s">
        <v>12345</v>
      </c>
      <c r="C11472" s="129" t="s">
        <v>12346</v>
      </c>
      <c r="D11472" s="5">
        <v>360102</v>
      </c>
      <c r="E11472" s="5" t="s">
        <v>13711</v>
      </c>
    </row>
    <row r="11473" spans="2:5">
      <c r="B11473" s="4" t="s">
        <v>12345</v>
      </c>
      <c r="C11473" s="129" t="s">
        <v>12346</v>
      </c>
      <c r="D11473" s="5">
        <v>360103</v>
      </c>
      <c r="E11473" s="5" t="s">
        <v>13712</v>
      </c>
    </row>
    <row r="11474" spans="2:5">
      <c r="B11474" s="4" t="s">
        <v>12345</v>
      </c>
      <c r="C11474" s="129" t="s">
        <v>12346</v>
      </c>
      <c r="D11474" s="5">
        <v>360104</v>
      </c>
      <c r="E11474" s="5" t="s">
        <v>13713</v>
      </c>
    </row>
    <row r="11475" spans="2:5">
      <c r="B11475" s="4" t="s">
        <v>12345</v>
      </c>
      <c r="C11475" s="129" t="s">
        <v>12346</v>
      </c>
      <c r="D11475" s="5">
        <v>360105</v>
      </c>
      <c r="E11475" s="5" t="s">
        <v>13714</v>
      </c>
    </row>
    <row r="11476" spans="2:5">
      <c r="B11476" s="4" t="s">
        <v>12345</v>
      </c>
      <c r="C11476" s="129" t="s">
        <v>12346</v>
      </c>
      <c r="D11476" s="5">
        <v>360111</v>
      </c>
      <c r="E11476" s="5" t="s">
        <v>13715</v>
      </c>
    </row>
    <row r="11477" spans="2:5">
      <c r="B11477" s="4" t="s">
        <v>12345</v>
      </c>
      <c r="C11477" s="129" t="s">
        <v>12346</v>
      </c>
      <c r="D11477" s="5">
        <v>360121</v>
      </c>
      <c r="E11477" s="5" t="s">
        <v>13716</v>
      </c>
    </row>
    <row r="11478" spans="2:5">
      <c r="B11478" s="4" t="s">
        <v>12345</v>
      </c>
      <c r="C11478" s="129" t="s">
        <v>12346</v>
      </c>
      <c r="D11478" s="5">
        <v>360122</v>
      </c>
      <c r="E11478" s="5" t="s">
        <v>13717</v>
      </c>
    </row>
    <row r="11479" spans="2:5">
      <c r="B11479" s="4" t="s">
        <v>12345</v>
      </c>
      <c r="C11479" s="129" t="s">
        <v>12346</v>
      </c>
      <c r="D11479" s="5">
        <v>360123</v>
      </c>
      <c r="E11479" s="5" t="s">
        <v>13718</v>
      </c>
    </row>
    <row r="11480" spans="2:5">
      <c r="B11480" s="4" t="s">
        <v>12345</v>
      </c>
      <c r="C11480" s="129" t="s">
        <v>12346</v>
      </c>
      <c r="D11480" s="5">
        <v>360124</v>
      </c>
      <c r="E11480" s="5" t="s">
        <v>13719</v>
      </c>
    </row>
    <row r="11481" spans="2:5">
      <c r="B11481" s="4" t="s">
        <v>12345</v>
      </c>
      <c r="C11481" s="129" t="s">
        <v>12346</v>
      </c>
      <c r="D11481" s="5">
        <v>360200</v>
      </c>
      <c r="E11481" s="5" t="s">
        <v>13720</v>
      </c>
    </row>
    <row r="11482" spans="2:5">
      <c r="B11482" s="4" t="s">
        <v>12345</v>
      </c>
      <c r="C11482" s="129" t="s">
        <v>12346</v>
      </c>
      <c r="D11482" s="5">
        <v>360201</v>
      </c>
      <c r="E11482" s="5" t="s">
        <v>13721</v>
      </c>
    </row>
    <row r="11483" spans="2:5">
      <c r="B11483" s="4" t="s">
        <v>12345</v>
      </c>
      <c r="C11483" s="129" t="s">
        <v>12346</v>
      </c>
      <c r="D11483" s="5">
        <v>360202</v>
      </c>
      <c r="E11483" s="5" t="s">
        <v>13722</v>
      </c>
    </row>
    <row r="11484" spans="2:5">
      <c r="B11484" s="4" t="s">
        <v>12345</v>
      </c>
      <c r="C11484" s="129" t="s">
        <v>12346</v>
      </c>
      <c r="D11484" s="5">
        <v>360203</v>
      </c>
      <c r="E11484" s="5" t="s">
        <v>13723</v>
      </c>
    </row>
    <row r="11485" spans="2:5">
      <c r="B11485" s="4" t="s">
        <v>12345</v>
      </c>
      <c r="C11485" s="129" t="s">
        <v>12346</v>
      </c>
      <c r="D11485" s="5">
        <v>360222</v>
      </c>
      <c r="E11485" s="5" t="s">
        <v>13724</v>
      </c>
    </row>
    <row r="11486" spans="2:5">
      <c r="B11486" s="4" t="s">
        <v>12345</v>
      </c>
      <c r="C11486" s="129" t="s">
        <v>12346</v>
      </c>
      <c r="D11486" s="5">
        <v>360281</v>
      </c>
      <c r="E11486" s="5" t="s">
        <v>13725</v>
      </c>
    </row>
    <row r="11487" spans="2:5">
      <c r="B11487" s="4" t="s">
        <v>12345</v>
      </c>
      <c r="C11487" s="129" t="s">
        <v>12346</v>
      </c>
      <c r="D11487" s="5">
        <v>360300</v>
      </c>
      <c r="E11487" s="5" t="s">
        <v>13726</v>
      </c>
    </row>
    <row r="11488" spans="2:5">
      <c r="B11488" s="4" t="s">
        <v>12345</v>
      </c>
      <c r="C11488" s="129" t="s">
        <v>12346</v>
      </c>
      <c r="D11488" s="5">
        <v>360301</v>
      </c>
      <c r="E11488" s="5" t="s">
        <v>13727</v>
      </c>
    </row>
    <row r="11489" spans="2:5">
      <c r="B11489" s="4" t="s">
        <v>12345</v>
      </c>
      <c r="C11489" s="129" t="s">
        <v>12346</v>
      </c>
      <c r="D11489" s="5">
        <v>360302</v>
      </c>
      <c r="E11489" s="5" t="s">
        <v>13728</v>
      </c>
    </row>
    <row r="11490" spans="2:5">
      <c r="B11490" s="4" t="s">
        <v>12345</v>
      </c>
      <c r="C11490" s="129" t="s">
        <v>12346</v>
      </c>
      <c r="D11490" s="5">
        <v>360313</v>
      </c>
      <c r="E11490" s="5" t="s">
        <v>13729</v>
      </c>
    </row>
    <row r="11491" spans="2:5">
      <c r="B11491" s="4" t="s">
        <v>12345</v>
      </c>
      <c r="C11491" s="129" t="s">
        <v>12346</v>
      </c>
      <c r="D11491" s="5">
        <v>360321</v>
      </c>
      <c r="E11491" s="5" t="s">
        <v>13730</v>
      </c>
    </row>
    <row r="11492" spans="2:5">
      <c r="B11492" s="4" t="s">
        <v>12345</v>
      </c>
      <c r="C11492" s="129" t="s">
        <v>12346</v>
      </c>
      <c r="D11492" s="5">
        <v>360322</v>
      </c>
      <c r="E11492" s="5" t="s">
        <v>13731</v>
      </c>
    </row>
    <row r="11493" spans="2:5">
      <c r="B11493" s="4" t="s">
        <v>12345</v>
      </c>
      <c r="C11493" s="129" t="s">
        <v>12346</v>
      </c>
      <c r="D11493" s="5">
        <v>360323</v>
      </c>
      <c r="E11493" s="5" t="s">
        <v>13732</v>
      </c>
    </row>
    <row r="11494" spans="2:5">
      <c r="B11494" s="4" t="s">
        <v>12345</v>
      </c>
      <c r="C11494" s="129" t="s">
        <v>12346</v>
      </c>
      <c r="D11494" s="5">
        <v>360400</v>
      </c>
      <c r="E11494" s="5" t="s">
        <v>13733</v>
      </c>
    </row>
    <row r="11495" spans="2:5">
      <c r="B11495" s="4" t="s">
        <v>12345</v>
      </c>
      <c r="C11495" s="129" t="s">
        <v>12346</v>
      </c>
      <c r="D11495" s="5">
        <v>360401</v>
      </c>
      <c r="E11495" s="5" t="s">
        <v>13734</v>
      </c>
    </row>
    <row r="11496" spans="2:5">
      <c r="B11496" s="4" t="s">
        <v>12345</v>
      </c>
      <c r="C11496" s="129" t="s">
        <v>12346</v>
      </c>
      <c r="D11496" s="5">
        <v>360402</v>
      </c>
      <c r="E11496" s="5" t="s">
        <v>13735</v>
      </c>
    </row>
    <row r="11497" spans="2:5">
      <c r="B11497" s="4" t="s">
        <v>12345</v>
      </c>
      <c r="C11497" s="129" t="s">
        <v>12346</v>
      </c>
      <c r="D11497" s="5">
        <v>360403</v>
      </c>
      <c r="E11497" s="5" t="s">
        <v>13736</v>
      </c>
    </row>
    <row r="11498" spans="2:5">
      <c r="B11498" s="4" t="s">
        <v>12345</v>
      </c>
      <c r="C11498" s="129" t="s">
        <v>12346</v>
      </c>
      <c r="D11498" s="5">
        <v>360421</v>
      </c>
      <c r="E11498" s="5" t="s">
        <v>13737</v>
      </c>
    </row>
    <row r="11499" spans="2:5">
      <c r="B11499" s="4" t="s">
        <v>12345</v>
      </c>
      <c r="C11499" s="129" t="s">
        <v>12346</v>
      </c>
      <c r="D11499" s="5">
        <v>360423</v>
      </c>
      <c r="E11499" s="5" t="s">
        <v>13738</v>
      </c>
    </row>
    <row r="11500" spans="2:5">
      <c r="B11500" s="4" t="s">
        <v>12345</v>
      </c>
      <c r="C11500" s="129" t="s">
        <v>12346</v>
      </c>
      <c r="D11500" s="5">
        <v>360424</v>
      </c>
      <c r="E11500" s="5" t="s">
        <v>13739</v>
      </c>
    </row>
    <row r="11501" spans="2:5">
      <c r="B11501" s="4" t="s">
        <v>12345</v>
      </c>
      <c r="C11501" s="129" t="s">
        <v>12346</v>
      </c>
      <c r="D11501" s="5">
        <v>360425</v>
      </c>
      <c r="E11501" s="5" t="s">
        <v>13740</v>
      </c>
    </row>
    <row r="11502" spans="2:5">
      <c r="B11502" s="4" t="s">
        <v>12345</v>
      </c>
      <c r="C11502" s="129" t="s">
        <v>12346</v>
      </c>
      <c r="D11502" s="5">
        <v>360426</v>
      </c>
      <c r="E11502" s="5" t="s">
        <v>13741</v>
      </c>
    </row>
    <row r="11503" spans="2:5">
      <c r="B11503" s="4" t="s">
        <v>12345</v>
      </c>
      <c r="C11503" s="129" t="s">
        <v>12346</v>
      </c>
      <c r="D11503" s="5">
        <v>360427</v>
      </c>
      <c r="E11503" s="5" t="s">
        <v>13742</v>
      </c>
    </row>
    <row r="11504" spans="2:5">
      <c r="B11504" s="4" t="s">
        <v>12345</v>
      </c>
      <c r="C11504" s="129" t="s">
        <v>12346</v>
      </c>
      <c r="D11504" s="5">
        <v>360428</v>
      </c>
      <c r="E11504" s="5" t="s">
        <v>13743</v>
      </c>
    </row>
    <row r="11505" spans="2:5">
      <c r="B11505" s="4" t="s">
        <v>12345</v>
      </c>
      <c r="C11505" s="129" t="s">
        <v>12346</v>
      </c>
      <c r="D11505" s="5">
        <v>360429</v>
      </c>
      <c r="E11505" s="5" t="s">
        <v>13744</v>
      </c>
    </row>
    <row r="11506" spans="2:5">
      <c r="B11506" s="4" t="s">
        <v>12345</v>
      </c>
      <c r="C11506" s="129" t="s">
        <v>12346</v>
      </c>
      <c r="D11506" s="5">
        <v>360430</v>
      </c>
      <c r="E11506" s="5" t="s">
        <v>13745</v>
      </c>
    </row>
    <row r="11507" spans="2:5">
      <c r="B11507" s="4" t="s">
        <v>12345</v>
      </c>
      <c r="C11507" s="129" t="s">
        <v>12346</v>
      </c>
      <c r="D11507" s="5">
        <v>360481</v>
      </c>
      <c r="E11507" s="5" t="s">
        <v>13746</v>
      </c>
    </row>
    <row r="11508" spans="2:5">
      <c r="B11508" s="4" t="s">
        <v>12345</v>
      </c>
      <c r="C11508" s="129" t="s">
        <v>12346</v>
      </c>
      <c r="D11508" s="5">
        <v>360482</v>
      </c>
      <c r="E11508" s="5" t="s">
        <v>13747</v>
      </c>
    </row>
    <row r="11509" spans="2:5">
      <c r="B11509" s="4" t="s">
        <v>12345</v>
      </c>
      <c r="C11509" s="129" t="s">
        <v>12346</v>
      </c>
      <c r="D11509" s="5">
        <v>360500</v>
      </c>
      <c r="E11509" s="5" t="s">
        <v>13748</v>
      </c>
    </row>
    <row r="11510" spans="2:5">
      <c r="B11510" s="4" t="s">
        <v>12345</v>
      </c>
      <c r="C11510" s="129" t="s">
        <v>12346</v>
      </c>
      <c r="D11510" s="5">
        <v>360501</v>
      </c>
      <c r="E11510" s="5" t="s">
        <v>13749</v>
      </c>
    </row>
    <row r="11511" spans="2:5">
      <c r="B11511" s="4" t="s">
        <v>12345</v>
      </c>
      <c r="C11511" s="129" t="s">
        <v>12346</v>
      </c>
      <c r="D11511" s="5">
        <v>360502</v>
      </c>
      <c r="E11511" s="5" t="s">
        <v>13750</v>
      </c>
    </row>
    <row r="11512" spans="2:5">
      <c r="B11512" s="4" t="s">
        <v>12345</v>
      </c>
      <c r="C11512" s="129" t="s">
        <v>12346</v>
      </c>
      <c r="D11512" s="5">
        <v>360521</v>
      </c>
      <c r="E11512" s="5" t="s">
        <v>13751</v>
      </c>
    </row>
    <row r="11513" spans="2:5">
      <c r="B11513" s="4" t="s">
        <v>12345</v>
      </c>
      <c r="C11513" s="129" t="s">
        <v>12346</v>
      </c>
      <c r="D11513" s="5">
        <v>360600</v>
      </c>
      <c r="E11513" s="5" t="s">
        <v>13752</v>
      </c>
    </row>
    <row r="11514" spans="2:5">
      <c r="B11514" s="4" t="s">
        <v>12345</v>
      </c>
      <c r="C11514" s="129" t="s">
        <v>12346</v>
      </c>
      <c r="D11514" s="5">
        <v>360601</v>
      </c>
      <c r="E11514" s="5" t="s">
        <v>13753</v>
      </c>
    </row>
    <row r="11515" spans="2:5">
      <c r="B11515" s="4" t="s">
        <v>12345</v>
      </c>
      <c r="C11515" s="129" t="s">
        <v>12346</v>
      </c>
      <c r="D11515" s="5">
        <v>360602</v>
      </c>
      <c r="E11515" s="5" t="s">
        <v>13754</v>
      </c>
    </row>
    <row r="11516" spans="2:5">
      <c r="B11516" s="4" t="s">
        <v>12345</v>
      </c>
      <c r="C11516" s="129" t="s">
        <v>12346</v>
      </c>
      <c r="D11516" s="5">
        <v>360622</v>
      </c>
      <c r="E11516" s="5" t="s">
        <v>13755</v>
      </c>
    </row>
    <row r="11517" spans="2:5">
      <c r="B11517" s="4" t="s">
        <v>12345</v>
      </c>
      <c r="C11517" s="129" t="s">
        <v>12346</v>
      </c>
      <c r="D11517" s="5">
        <v>360681</v>
      </c>
      <c r="E11517" s="5" t="s">
        <v>13756</v>
      </c>
    </row>
    <row r="11518" spans="2:5">
      <c r="B11518" s="4" t="s">
        <v>12345</v>
      </c>
      <c r="C11518" s="129" t="s">
        <v>12346</v>
      </c>
      <c r="D11518" s="5">
        <v>360700</v>
      </c>
      <c r="E11518" s="5" t="s">
        <v>13757</v>
      </c>
    </row>
    <row r="11519" spans="2:5">
      <c r="B11519" s="4" t="s">
        <v>12345</v>
      </c>
      <c r="C11519" s="129" t="s">
        <v>12346</v>
      </c>
      <c r="D11519" s="5">
        <v>360701</v>
      </c>
      <c r="E11519" s="5" t="s">
        <v>13758</v>
      </c>
    </row>
    <row r="11520" spans="2:5">
      <c r="B11520" s="4" t="s">
        <v>12345</v>
      </c>
      <c r="C11520" s="129" t="s">
        <v>12346</v>
      </c>
      <c r="D11520" s="5">
        <v>360702</v>
      </c>
      <c r="E11520" s="5" t="s">
        <v>13759</v>
      </c>
    </row>
    <row r="11521" spans="2:5">
      <c r="B11521" s="4" t="s">
        <v>12345</v>
      </c>
      <c r="C11521" s="129" t="s">
        <v>12346</v>
      </c>
      <c r="D11521" s="5">
        <v>360721</v>
      </c>
      <c r="E11521" s="5" t="s">
        <v>13760</v>
      </c>
    </row>
    <row r="11522" spans="2:5">
      <c r="B11522" s="4" t="s">
        <v>12345</v>
      </c>
      <c r="C11522" s="129" t="s">
        <v>12346</v>
      </c>
      <c r="D11522" s="5">
        <v>360722</v>
      </c>
      <c r="E11522" s="5" t="s">
        <v>13761</v>
      </c>
    </row>
    <row r="11523" spans="2:5">
      <c r="B11523" s="4" t="s">
        <v>12345</v>
      </c>
      <c r="C11523" s="129" t="s">
        <v>12346</v>
      </c>
      <c r="D11523" s="5">
        <v>360723</v>
      </c>
      <c r="E11523" s="5" t="s">
        <v>13762</v>
      </c>
    </row>
    <row r="11524" spans="2:5">
      <c r="B11524" s="4" t="s">
        <v>12345</v>
      </c>
      <c r="C11524" s="129" t="s">
        <v>12346</v>
      </c>
      <c r="D11524" s="5">
        <v>360724</v>
      </c>
      <c r="E11524" s="5" t="s">
        <v>13763</v>
      </c>
    </row>
    <row r="11525" spans="2:5">
      <c r="B11525" s="4" t="s">
        <v>12345</v>
      </c>
      <c r="C11525" s="129" t="s">
        <v>12346</v>
      </c>
      <c r="D11525" s="5">
        <v>360725</v>
      </c>
      <c r="E11525" s="5" t="s">
        <v>13764</v>
      </c>
    </row>
    <row r="11526" spans="2:5">
      <c r="B11526" s="4" t="s">
        <v>12345</v>
      </c>
      <c r="C11526" s="129" t="s">
        <v>12346</v>
      </c>
      <c r="D11526" s="5">
        <v>360726</v>
      </c>
      <c r="E11526" s="5" t="s">
        <v>13765</v>
      </c>
    </row>
    <row r="11527" spans="2:5">
      <c r="B11527" s="4" t="s">
        <v>12345</v>
      </c>
      <c r="C11527" s="129" t="s">
        <v>12346</v>
      </c>
      <c r="D11527" s="5">
        <v>360727</v>
      </c>
      <c r="E11527" s="5" t="s">
        <v>13766</v>
      </c>
    </row>
    <row r="11528" spans="2:5">
      <c r="B11528" s="4" t="s">
        <v>12345</v>
      </c>
      <c r="C11528" s="129" t="s">
        <v>12346</v>
      </c>
      <c r="D11528" s="5">
        <v>360728</v>
      </c>
      <c r="E11528" s="5" t="s">
        <v>13767</v>
      </c>
    </row>
    <row r="11529" spans="2:5">
      <c r="B11529" s="4" t="s">
        <v>12345</v>
      </c>
      <c r="C11529" s="129" t="s">
        <v>12346</v>
      </c>
      <c r="D11529" s="5">
        <v>360729</v>
      </c>
      <c r="E11529" s="5" t="s">
        <v>13768</v>
      </c>
    </row>
    <row r="11530" spans="2:5">
      <c r="B11530" s="4" t="s">
        <v>12345</v>
      </c>
      <c r="C11530" s="129" t="s">
        <v>12346</v>
      </c>
      <c r="D11530" s="5">
        <v>360730</v>
      </c>
      <c r="E11530" s="5" t="s">
        <v>13769</v>
      </c>
    </row>
    <row r="11531" spans="2:5">
      <c r="B11531" s="4" t="s">
        <v>12345</v>
      </c>
      <c r="C11531" s="129" t="s">
        <v>12346</v>
      </c>
      <c r="D11531" s="5">
        <v>360731</v>
      </c>
      <c r="E11531" s="5" t="s">
        <v>13770</v>
      </c>
    </row>
    <row r="11532" spans="2:5">
      <c r="B11532" s="4" t="s">
        <v>12345</v>
      </c>
      <c r="C11532" s="129" t="s">
        <v>12346</v>
      </c>
      <c r="D11532" s="5">
        <v>360732</v>
      </c>
      <c r="E11532" s="5" t="s">
        <v>13771</v>
      </c>
    </row>
    <row r="11533" spans="2:5">
      <c r="B11533" s="4" t="s">
        <v>12345</v>
      </c>
      <c r="C11533" s="129" t="s">
        <v>12346</v>
      </c>
      <c r="D11533" s="5">
        <v>360733</v>
      </c>
      <c r="E11533" s="5" t="s">
        <v>13772</v>
      </c>
    </row>
    <row r="11534" spans="2:5">
      <c r="B11534" s="4" t="s">
        <v>12345</v>
      </c>
      <c r="C11534" s="129" t="s">
        <v>12346</v>
      </c>
      <c r="D11534" s="5">
        <v>360734</v>
      </c>
      <c r="E11534" s="5" t="s">
        <v>13773</v>
      </c>
    </row>
    <row r="11535" spans="2:5">
      <c r="B11535" s="4" t="s">
        <v>12345</v>
      </c>
      <c r="C11535" s="129" t="s">
        <v>12346</v>
      </c>
      <c r="D11535" s="5">
        <v>360735</v>
      </c>
      <c r="E11535" s="5" t="s">
        <v>13774</v>
      </c>
    </row>
    <row r="11536" spans="2:5">
      <c r="B11536" s="4" t="s">
        <v>12345</v>
      </c>
      <c r="C11536" s="129" t="s">
        <v>12346</v>
      </c>
      <c r="D11536" s="5">
        <v>360781</v>
      </c>
      <c r="E11536" s="5" t="s">
        <v>13775</v>
      </c>
    </row>
    <row r="11537" spans="2:5">
      <c r="B11537" s="4" t="s">
        <v>12345</v>
      </c>
      <c r="C11537" s="129" t="s">
        <v>12346</v>
      </c>
      <c r="D11537" s="5">
        <v>360800</v>
      </c>
      <c r="E11537" s="5" t="s">
        <v>13776</v>
      </c>
    </row>
    <row r="11538" spans="2:5">
      <c r="B11538" s="4" t="s">
        <v>12345</v>
      </c>
      <c r="C11538" s="129" t="s">
        <v>12346</v>
      </c>
      <c r="D11538" s="5">
        <v>360801</v>
      </c>
      <c r="E11538" s="5" t="s">
        <v>13777</v>
      </c>
    </row>
    <row r="11539" spans="2:5">
      <c r="B11539" s="4" t="s">
        <v>12345</v>
      </c>
      <c r="C11539" s="129" t="s">
        <v>12346</v>
      </c>
      <c r="D11539" s="5">
        <v>360802</v>
      </c>
      <c r="E11539" s="5" t="s">
        <v>13778</v>
      </c>
    </row>
    <row r="11540" spans="2:5">
      <c r="B11540" s="4" t="s">
        <v>12345</v>
      </c>
      <c r="C11540" s="129" t="s">
        <v>12346</v>
      </c>
      <c r="D11540" s="5">
        <v>360803</v>
      </c>
      <c r="E11540" s="5" t="s">
        <v>13779</v>
      </c>
    </row>
    <row r="11541" spans="2:5">
      <c r="B11541" s="4" t="s">
        <v>12345</v>
      </c>
      <c r="C11541" s="129" t="s">
        <v>12346</v>
      </c>
      <c r="D11541" s="5">
        <v>360821</v>
      </c>
      <c r="E11541" s="5" t="s">
        <v>13780</v>
      </c>
    </row>
    <row r="11542" spans="2:5">
      <c r="B11542" s="4" t="s">
        <v>12345</v>
      </c>
      <c r="C11542" s="129" t="s">
        <v>12346</v>
      </c>
      <c r="D11542" s="5">
        <v>360822</v>
      </c>
      <c r="E11542" s="5" t="s">
        <v>13781</v>
      </c>
    </row>
    <row r="11543" spans="2:5">
      <c r="B11543" s="4" t="s">
        <v>12345</v>
      </c>
      <c r="C11543" s="129" t="s">
        <v>12346</v>
      </c>
      <c r="D11543" s="5">
        <v>360823</v>
      </c>
      <c r="E11543" s="5" t="s">
        <v>13782</v>
      </c>
    </row>
    <row r="11544" spans="2:5">
      <c r="B11544" s="4" t="s">
        <v>12345</v>
      </c>
      <c r="C11544" s="129" t="s">
        <v>12346</v>
      </c>
      <c r="D11544" s="5">
        <v>360824</v>
      </c>
      <c r="E11544" s="5" t="s">
        <v>13783</v>
      </c>
    </row>
    <row r="11545" spans="2:5">
      <c r="B11545" s="4" t="s">
        <v>12345</v>
      </c>
      <c r="C11545" s="129" t="s">
        <v>12346</v>
      </c>
      <c r="D11545" s="5">
        <v>360825</v>
      </c>
      <c r="E11545" s="5" t="s">
        <v>13784</v>
      </c>
    </row>
    <row r="11546" spans="2:5">
      <c r="B11546" s="4" t="s">
        <v>12345</v>
      </c>
      <c r="C11546" s="129" t="s">
        <v>12346</v>
      </c>
      <c r="D11546" s="5">
        <v>360826</v>
      </c>
      <c r="E11546" s="5" t="s">
        <v>13785</v>
      </c>
    </row>
    <row r="11547" spans="2:5">
      <c r="B11547" s="4" t="s">
        <v>12345</v>
      </c>
      <c r="C11547" s="129" t="s">
        <v>12346</v>
      </c>
      <c r="D11547" s="5">
        <v>360827</v>
      </c>
      <c r="E11547" s="5" t="s">
        <v>13786</v>
      </c>
    </row>
    <row r="11548" spans="2:5">
      <c r="B11548" s="4" t="s">
        <v>12345</v>
      </c>
      <c r="C11548" s="129" t="s">
        <v>12346</v>
      </c>
      <c r="D11548" s="5">
        <v>360828</v>
      </c>
      <c r="E11548" s="5" t="s">
        <v>13787</v>
      </c>
    </row>
    <row r="11549" spans="2:5">
      <c r="B11549" s="4" t="s">
        <v>12345</v>
      </c>
      <c r="C11549" s="129" t="s">
        <v>12346</v>
      </c>
      <c r="D11549" s="5">
        <v>360829</v>
      </c>
      <c r="E11549" s="5" t="s">
        <v>13788</v>
      </c>
    </row>
    <row r="11550" spans="2:5">
      <c r="B11550" s="4" t="s">
        <v>12345</v>
      </c>
      <c r="C11550" s="129" t="s">
        <v>12346</v>
      </c>
      <c r="D11550" s="5">
        <v>360830</v>
      </c>
      <c r="E11550" s="5" t="s">
        <v>13789</v>
      </c>
    </row>
    <row r="11551" spans="2:5">
      <c r="B11551" s="4" t="s">
        <v>12345</v>
      </c>
      <c r="C11551" s="129" t="s">
        <v>12346</v>
      </c>
      <c r="D11551" s="5">
        <v>360881</v>
      </c>
      <c r="E11551" s="5" t="s">
        <v>13790</v>
      </c>
    </row>
    <row r="11552" spans="2:5">
      <c r="B11552" s="4" t="s">
        <v>12345</v>
      </c>
      <c r="C11552" s="129" t="s">
        <v>12346</v>
      </c>
      <c r="D11552" s="5">
        <v>360900</v>
      </c>
      <c r="E11552" s="5" t="s">
        <v>13791</v>
      </c>
    </row>
    <row r="11553" spans="2:5">
      <c r="B11553" s="4" t="s">
        <v>12345</v>
      </c>
      <c r="C11553" s="129" t="s">
        <v>12346</v>
      </c>
      <c r="D11553" s="5">
        <v>360901</v>
      </c>
      <c r="E11553" s="5" t="s">
        <v>13792</v>
      </c>
    </row>
    <row r="11554" spans="2:5">
      <c r="B11554" s="4" t="s">
        <v>12345</v>
      </c>
      <c r="C11554" s="129" t="s">
        <v>12346</v>
      </c>
      <c r="D11554" s="5">
        <v>360902</v>
      </c>
      <c r="E11554" s="5" t="s">
        <v>13793</v>
      </c>
    </row>
    <row r="11555" spans="2:5">
      <c r="B11555" s="4" t="s">
        <v>12345</v>
      </c>
      <c r="C11555" s="129" t="s">
        <v>12346</v>
      </c>
      <c r="D11555" s="5">
        <v>360921</v>
      </c>
      <c r="E11555" s="5" t="s">
        <v>13794</v>
      </c>
    </row>
    <row r="11556" spans="2:5">
      <c r="B11556" s="4" t="s">
        <v>12345</v>
      </c>
      <c r="C11556" s="129" t="s">
        <v>12346</v>
      </c>
      <c r="D11556" s="5">
        <v>360922</v>
      </c>
      <c r="E11556" s="5" t="s">
        <v>13795</v>
      </c>
    </row>
    <row r="11557" spans="2:5">
      <c r="B11557" s="4" t="s">
        <v>12345</v>
      </c>
      <c r="C11557" s="129" t="s">
        <v>12346</v>
      </c>
      <c r="D11557" s="5">
        <v>360923</v>
      </c>
      <c r="E11557" s="5" t="s">
        <v>13796</v>
      </c>
    </row>
    <row r="11558" spans="2:5">
      <c r="B11558" s="4" t="s">
        <v>12345</v>
      </c>
      <c r="C11558" s="129" t="s">
        <v>12346</v>
      </c>
      <c r="D11558" s="5">
        <v>360924</v>
      </c>
      <c r="E11558" s="5" t="s">
        <v>13797</v>
      </c>
    </row>
    <row r="11559" spans="2:5">
      <c r="B11559" s="4" t="s">
        <v>12345</v>
      </c>
      <c r="C11559" s="129" t="s">
        <v>12346</v>
      </c>
      <c r="D11559" s="5">
        <v>360925</v>
      </c>
      <c r="E11559" s="5" t="s">
        <v>13798</v>
      </c>
    </row>
    <row r="11560" spans="2:5">
      <c r="B11560" s="4" t="s">
        <v>12345</v>
      </c>
      <c r="C11560" s="129" t="s">
        <v>12346</v>
      </c>
      <c r="D11560" s="5">
        <v>360926</v>
      </c>
      <c r="E11560" s="5" t="s">
        <v>13799</v>
      </c>
    </row>
    <row r="11561" spans="2:5">
      <c r="B11561" s="4" t="s">
        <v>12345</v>
      </c>
      <c r="C11561" s="129" t="s">
        <v>12346</v>
      </c>
      <c r="D11561" s="5">
        <v>360981</v>
      </c>
      <c r="E11561" s="5" t="s">
        <v>13800</v>
      </c>
    </row>
    <row r="11562" spans="2:5">
      <c r="B11562" s="4" t="s">
        <v>12345</v>
      </c>
      <c r="C11562" s="129" t="s">
        <v>12346</v>
      </c>
      <c r="D11562" s="5">
        <v>360982</v>
      </c>
      <c r="E11562" s="5" t="s">
        <v>13801</v>
      </c>
    </row>
    <row r="11563" spans="2:5">
      <c r="B11563" s="4" t="s">
        <v>12345</v>
      </c>
      <c r="C11563" s="129" t="s">
        <v>12346</v>
      </c>
      <c r="D11563" s="5">
        <v>360983</v>
      </c>
      <c r="E11563" s="5" t="s">
        <v>13802</v>
      </c>
    </row>
    <row r="11564" spans="2:5">
      <c r="B11564" s="4" t="s">
        <v>12345</v>
      </c>
      <c r="C11564" s="129" t="s">
        <v>12346</v>
      </c>
      <c r="D11564" s="5">
        <v>361000</v>
      </c>
      <c r="E11564" s="5" t="s">
        <v>13803</v>
      </c>
    </row>
    <row r="11565" spans="2:5">
      <c r="B11565" s="4" t="s">
        <v>12345</v>
      </c>
      <c r="C11565" s="129" t="s">
        <v>12346</v>
      </c>
      <c r="D11565" s="5">
        <v>361001</v>
      </c>
      <c r="E11565" s="5" t="s">
        <v>13804</v>
      </c>
    </row>
    <row r="11566" spans="2:5">
      <c r="B11566" s="4" t="s">
        <v>12345</v>
      </c>
      <c r="C11566" s="129" t="s">
        <v>12346</v>
      </c>
      <c r="D11566" s="5">
        <v>361002</v>
      </c>
      <c r="E11566" s="5" t="s">
        <v>13805</v>
      </c>
    </row>
    <row r="11567" spans="2:5">
      <c r="B11567" s="4" t="s">
        <v>12345</v>
      </c>
      <c r="C11567" s="129" t="s">
        <v>12346</v>
      </c>
      <c r="D11567" s="5">
        <v>361021</v>
      </c>
      <c r="E11567" s="5" t="s">
        <v>13806</v>
      </c>
    </row>
    <row r="11568" spans="2:5">
      <c r="B11568" s="4" t="s">
        <v>12345</v>
      </c>
      <c r="C11568" s="129" t="s">
        <v>12346</v>
      </c>
      <c r="D11568" s="5">
        <v>361022</v>
      </c>
      <c r="E11568" s="5" t="s">
        <v>13807</v>
      </c>
    </row>
    <row r="11569" spans="2:5">
      <c r="B11569" s="4" t="s">
        <v>12345</v>
      </c>
      <c r="C11569" s="129" t="s">
        <v>12346</v>
      </c>
      <c r="D11569" s="5">
        <v>361023</v>
      </c>
      <c r="E11569" s="5" t="s">
        <v>13808</v>
      </c>
    </row>
    <row r="11570" spans="2:5">
      <c r="B11570" s="4" t="s">
        <v>12345</v>
      </c>
      <c r="C11570" s="129" t="s">
        <v>12346</v>
      </c>
      <c r="D11570" s="5">
        <v>361024</v>
      </c>
      <c r="E11570" s="5" t="s">
        <v>13809</v>
      </c>
    </row>
    <row r="11571" spans="2:5">
      <c r="B11571" s="4" t="s">
        <v>12345</v>
      </c>
      <c r="C11571" s="129" t="s">
        <v>12346</v>
      </c>
      <c r="D11571" s="5">
        <v>361025</v>
      </c>
      <c r="E11571" s="5" t="s">
        <v>13810</v>
      </c>
    </row>
    <row r="11572" spans="2:5">
      <c r="B11572" s="4" t="s">
        <v>12345</v>
      </c>
      <c r="C11572" s="129" t="s">
        <v>12346</v>
      </c>
      <c r="D11572" s="5">
        <v>361026</v>
      </c>
      <c r="E11572" s="5" t="s">
        <v>13811</v>
      </c>
    </row>
    <row r="11573" spans="2:5">
      <c r="B11573" s="4" t="s">
        <v>12345</v>
      </c>
      <c r="C11573" s="129" t="s">
        <v>12346</v>
      </c>
      <c r="D11573" s="5">
        <v>361027</v>
      </c>
      <c r="E11573" s="5" t="s">
        <v>13812</v>
      </c>
    </row>
    <row r="11574" spans="2:5">
      <c r="B11574" s="4" t="s">
        <v>12345</v>
      </c>
      <c r="C11574" s="129" t="s">
        <v>12346</v>
      </c>
      <c r="D11574" s="5">
        <v>361028</v>
      </c>
      <c r="E11574" s="5" t="s">
        <v>13813</v>
      </c>
    </row>
    <row r="11575" spans="2:5">
      <c r="B11575" s="4" t="s">
        <v>12345</v>
      </c>
      <c r="C11575" s="129" t="s">
        <v>12346</v>
      </c>
      <c r="D11575" s="5">
        <v>361029</v>
      </c>
      <c r="E11575" s="5" t="s">
        <v>13814</v>
      </c>
    </row>
    <row r="11576" spans="2:5">
      <c r="B11576" s="4" t="s">
        <v>12345</v>
      </c>
      <c r="C11576" s="129" t="s">
        <v>12346</v>
      </c>
      <c r="D11576" s="5">
        <v>361030</v>
      </c>
      <c r="E11576" s="5" t="s">
        <v>13815</v>
      </c>
    </row>
    <row r="11577" spans="2:5">
      <c r="B11577" s="4" t="s">
        <v>12345</v>
      </c>
      <c r="C11577" s="129" t="s">
        <v>12346</v>
      </c>
      <c r="D11577" s="5">
        <v>361100</v>
      </c>
      <c r="E11577" s="5" t="s">
        <v>13816</v>
      </c>
    </row>
    <row r="11578" spans="2:5">
      <c r="B11578" s="4" t="s">
        <v>12345</v>
      </c>
      <c r="C11578" s="129" t="s">
        <v>12346</v>
      </c>
      <c r="D11578" s="5">
        <v>361101</v>
      </c>
      <c r="E11578" s="5" t="s">
        <v>13817</v>
      </c>
    </row>
    <row r="11579" spans="2:5">
      <c r="B11579" s="4" t="s">
        <v>12345</v>
      </c>
      <c r="C11579" s="129" t="s">
        <v>12346</v>
      </c>
      <c r="D11579" s="5">
        <v>361102</v>
      </c>
      <c r="E11579" s="5" t="s">
        <v>13818</v>
      </c>
    </row>
    <row r="11580" spans="2:5">
      <c r="B11580" s="4" t="s">
        <v>12345</v>
      </c>
      <c r="C11580" s="129" t="s">
        <v>12346</v>
      </c>
      <c r="D11580" s="5">
        <v>361121</v>
      </c>
      <c r="E11580" s="5" t="s">
        <v>13819</v>
      </c>
    </row>
    <row r="11581" spans="2:5">
      <c r="B11581" s="4" t="s">
        <v>12345</v>
      </c>
      <c r="C11581" s="129" t="s">
        <v>12346</v>
      </c>
      <c r="D11581" s="5">
        <v>361122</v>
      </c>
      <c r="E11581" s="5" t="s">
        <v>13820</v>
      </c>
    </row>
    <row r="11582" spans="2:5">
      <c r="B11582" s="4" t="s">
        <v>12345</v>
      </c>
      <c r="C11582" s="129" t="s">
        <v>12346</v>
      </c>
      <c r="D11582" s="5">
        <v>361123</v>
      </c>
      <c r="E11582" s="5" t="s">
        <v>13821</v>
      </c>
    </row>
    <row r="11583" spans="2:5">
      <c r="B11583" s="4" t="s">
        <v>12345</v>
      </c>
      <c r="C11583" s="129" t="s">
        <v>12346</v>
      </c>
      <c r="D11583" s="5">
        <v>361124</v>
      </c>
      <c r="E11583" s="5" t="s">
        <v>13822</v>
      </c>
    </row>
    <row r="11584" spans="2:5">
      <c r="B11584" s="4" t="s">
        <v>12345</v>
      </c>
      <c r="C11584" s="129" t="s">
        <v>12346</v>
      </c>
      <c r="D11584" s="5">
        <v>361125</v>
      </c>
      <c r="E11584" s="5" t="s">
        <v>13823</v>
      </c>
    </row>
    <row r="11585" spans="2:5">
      <c r="B11585" s="4" t="s">
        <v>12345</v>
      </c>
      <c r="C11585" s="129" t="s">
        <v>12346</v>
      </c>
      <c r="D11585" s="5">
        <v>361126</v>
      </c>
      <c r="E11585" s="5" t="s">
        <v>13824</v>
      </c>
    </row>
    <row r="11586" spans="2:5">
      <c r="B11586" s="4" t="s">
        <v>12345</v>
      </c>
      <c r="C11586" s="129" t="s">
        <v>12346</v>
      </c>
      <c r="D11586" s="5">
        <v>361127</v>
      </c>
      <c r="E11586" s="5" t="s">
        <v>13825</v>
      </c>
    </row>
    <row r="11587" spans="2:5">
      <c r="B11587" s="4" t="s">
        <v>12345</v>
      </c>
      <c r="C11587" s="129" t="s">
        <v>12346</v>
      </c>
      <c r="D11587" s="5">
        <v>361128</v>
      </c>
      <c r="E11587" s="5" t="s">
        <v>13826</v>
      </c>
    </row>
    <row r="11588" spans="2:5">
      <c r="B11588" s="4" t="s">
        <v>12345</v>
      </c>
      <c r="C11588" s="129" t="s">
        <v>12346</v>
      </c>
      <c r="D11588" s="5">
        <v>361129</v>
      </c>
      <c r="E11588" s="5" t="s">
        <v>13827</v>
      </c>
    </row>
    <row r="11589" spans="2:5">
      <c r="B11589" s="4" t="s">
        <v>12345</v>
      </c>
      <c r="C11589" s="129" t="s">
        <v>12346</v>
      </c>
      <c r="D11589" s="5">
        <v>361130</v>
      </c>
      <c r="E11589" s="5" t="s">
        <v>13828</v>
      </c>
    </row>
    <row r="11590" spans="2:5">
      <c r="B11590" s="4" t="s">
        <v>12345</v>
      </c>
      <c r="C11590" s="129" t="s">
        <v>12346</v>
      </c>
      <c r="D11590" s="5">
        <v>361181</v>
      </c>
      <c r="E11590" s="5" t="s">
        <v>13829</v>
      </c>
    </row>
    <row r="11591" spans="2:5">
      <c r="B11591" s="4" t="s">
        <v>12345</v>
      </c>
      <c r="C11591" s="129" t="s">
        <v>12346</v>
      </c>
      <c r="D11591" s="5">
        <v>370000</v>
      </c>
      <c r="E11591" s="5" t="s">
        <v>13830</v>
      </c>
    </row>
    <row r="11592" spans="2:5">
      <c r="B11592" s="4" t="s">
        <v>12345</v>
      </c>
      <c r="C11592" s="129" t="s">
        <v>12346</v>
      </c>
      <c r="D11592" s="5">
        <v>370100</v>
      </c>
      <c r="E11592" s="5" t="s">
        <v>13831</v>
      </c>
    </row>
    <row r="11593" spans="2:5">
      <c r="B11593" s="4" t="s">
        <v>12345</v>
      </c>
      <c r="C11593" s="129" t="s">
        <v>12346</v>
      </c>
      <c r="D11593" s="5">
        <v>370101</v>
      </c>
      <c r="E11593" s="5" t="s">
        <v>13832</v>
      </c>
    </row>
    <row r="11594" spans="2:5">
      <c r="B11594" s="4" t="s">
        <v>12345</v>
      </c>
      <c r="C11594" s="129" t="s">
        <v>12346</v>
      </c>
      <c r="D11594" s="5">
        <v>370102</v>
      </c>
      <c r="E11594" s="5" t="s">
        <v>13833</v>
      </c>
    </row>
    <row r="11595" spans="2:5">
      <c r="B11595" s="4" t="s">
        <v>12345</v>
      </c>
      <c r="C11595" s="129" t="s">
        <v>12346</v>
      </c>
      <c r="D11595" s="5">
        <v>370103</v>
      </c>
      <c r="E11595" s="5" t="s">
        <v>13834</v>
      </c>
    </row>
    <row r="11596" spans="2:5">
      <c r="B11596" s="4" t="s">
        <v>12345</v>
      </c>
      <c r="C11596" s="129" t="s">
        <v>12346</v>
      </c>
      <c r="D11596" s="5">
        <v>370104</v>
      </c>
      <c r="E11596" s="5" t="s">
        <v>13835</v>
      </c>
    </row>
    <row r="11597" spans="2:5">
      <c r="B11597" s="4" t="s">
        <v>12345</v>
      </c>
      <c r="C11597" s="129" t="s">
        <v>12346</v>
      </c>
      <c r="D11597" s="5">
        <v>370105</v>
      </c>
      <c r="E11597" s="5" t="s">
        <v>13836</v>
      </c>
    </row>
    <row r="11598" spans="2:5">
      <c r="B11598" s="4" t="s">
        <v>12345</v>
      </c>
      <c r="C11598" s="129" t="s">
        <v>12346</v>
      </c>
      <c r="D11598" s="5">
        <v>370112</v>
      </c>
      <c r="E11598" s="5" t="s">
        <v>13837</v>
      </c>
    </row>
    <row r="11599" spans="2:5">
      <c r="B11599" s="4" t="s">
        <v>12345</v>
      </c>
      <c r="C11599" s="129" t="s">
        <v>12346</v>
      </c>
      <c r="D11599" s="5">
        <v>370113</v>
      </c>
      <c r="E11599" s="5" t="s">
        <v>13838</v>
      </c>
    </row>
    <row r="11600" spans="2:5">
      <c r="B11600" s="4" t="s">
        <v>12345</v>
      </c>
      <c r="C11600" s="129" t="s">
        <v>12346</v>
      </c>
      <c r="D11600" s="5">
        <v>370124</v>
      </c>
      <c r="E11600" s="5" t="s">
        <v>13839</v>
      </c>
    </row>
    <row r="11601" spans="2:5">
      <c r="B11601" s="4" t="s">
        <v>12345</v>
      </c>
      <c r="C11601" s="129" t="s">
        <v>12346</v>
      </c>
      <c r="D11601" s="5">
        <v>370125</v>
      </c>
      <c r="E11601" s="5" t="s">
        <v>13840</v>
      </c>
    </row>
    <row r="11602" spans="2:5">
      <c r="B11602" s="4" t="s">
        <v>12345</v>
      </c>
      <c r="C11602" s="129" t="s">
        <v>12346</v>
      </c>
      <c r="D11602" s="5">
        <v>370126</v>
      </c>
      <c r="E11602" s="5" t="s">
        <v>13841</v>
      </c>
    </row>
    <row r="11603" spans="2:5">
      <c r="B11603" s="4" t="s">
        <v>12345</v>
      </c>
      <c r="C11603" s="129" t="s">
        <v>12346</v>
      </c>
      <c r="D11603" s="5">
        <v>370181</v>
      </c>
      <c r="E11603" s="5" t="s">
        <v>13842</v>
      </c>
    </row>
    <row r="11604" spans="2:5">
      <c r="B11604" s="4" t="s">
        <v>12345</v>
      </c>
      <c r="C11604" s="129" t="s">
        <v>12346</v>
      </c>
      <c r="D11604" s="5">
        <v>370200</v>
      </c>
      <c r="E11604" s="5" t="s">
        <v>13843</v>
      </c>
    </row>
    <row r="11605" spans="2:5">
      <c r="B11605" s="4" t="s">
        <v>12345</v>
      </c>
      <c r="C11605" s="129" t="s">
        <v>12346</v>
      </c>
      <c r="D11605" s="5">
        <v>370201</v>
      </c>
      <c r="E11605" s="5" t="s">
        <v>13844</v>
      </c>
    </row>
    <row r="11606" spans="2:5">
      <c r="B11606" s="4" t="s">
        <v>12345</v>
      </c>
      <c r="C11606" s="129" t="s">
        <v>12346</v>
      </c>
      <c r="D11606" s="5">
        <v>370202</v>
      </c>
      <c r="E11606" s="5" t="s">
        <v>13845</v>
      </c>
    </row>
    <row r="11607" spans="2:5">
      <c r="B11607" s="4" t="s">
        <v>12345</v>
      </c>
      <c r="C11607" s="129" t="s">
        <v>12346</v>
      </c>
      <c r="D11607" s="5">
        <v>370203</v>
      </c>
      <c r="E11607" s="5" t="s">
        <v>13846</v>
      </c>
    </row>
    <row r="11608" spans="2:5">
      <c r="B11608" s="4" t="s">
        <v>12345</v>
      </c>
      <c r="C11608" s="129" t="s">
        <v>12346</v>
      </c>
      <c r="D11608" s="5">
        <v>370211</v>
      </c>
      <c r="E11608" s="5" t="s">
        <v>13847</v>
      </c>
    </row>
    <row r="11609" spans="2:5">
      <c r="B11609" s="4" t="s">
        <v>12345</v>
      </c>
      <c r="C11609" s="129" t="s">
        <v>12346</v>
      </c>
      <c r="D11609" s="5">
        <v>370212</v>
      </c>
      <c r="E11609" s="5" t="s">
        <v>13848</v>
      </c>
    </row>
    <row r="11610" spans="2:5">
      <c r="B11610" s="4" t="s">
        <v>12345</v>
      </c>
      <c r="C11610" s="129" t="s">
        <v>12346</v>
      </c>
      <c r="D11610" s="5">
        <v>370213</v>
      </c>
      <c r="E11610" s="5" t="s">
        <v>13849</v>
      </c>
    </row>
    <row r="11611" spans="2:5">
      <c r="B11611" s="4" t="s">
        <v>12345</v>
      </c>
      <c r="C11611" s="129" t="s">
        <v>12346</v>
      </c>
      <c r="D11611" s="5">
        <v>370214</v>
      </c>
      <c r="E11611" s="5" t="s">
        <v>13850</v>
      </c>
    </row>
    <row r="11612" spans="2:5">
      <c r="B11612" s="4" t="s">
        <v>12345</v>
      </c>
      <c r="C11612" s="129" t="s">
        <v>12346</v>
      </c>
      <c r="D11612" s="5">
        <v>370281</v>
      </c>
      <c r="E11612" s="5" t="s">
        <v>13851</v>
      </c>
    </row>
    <row r="11613" spans="2:5">
      <c r="B11613" s="4" t="s">
        <v>12345</v>
      </c>
      <c r="C11613" s="129" t="s">
        <v>12346</v>
      </c>
      <c r="D11613" s="5">
        <v>370282</v>
      </c>
      <c r="E11613" s="5" t="s">
        <v>13852</v>
      </c>
    </row>
    <row r="11614" spans="2:5">
      <c r="B11614" s="4" t="s">
        <v>12345</v>
      </c>
      <c r="C11614" s="129" t="s">
        <v>12346</v>
      </c>
      <c r="D11614" s="5">
        <v>370283</v>
      </c>
      <c r="E11614" s="5" t="s">
        <v>13853</v>
      </c>
    </row>
    <row r="11615" spans="2:5">
      <c r="B11615" s="4" t="s">
        <v>12345</v>
      </c>
      <c r="C11615" s="129" t="s">
        <v>12346</v>
      </c>
      <c r="D11615" s="5">
        <v>370285</v>
      </c>
      <c r="E11615" s="5" t="s">
        <v>13854</v>
      </c>
    </row>
    <row r="11616" spans="2:5">
      <c r="B11616" s="4" t="s">
        <v>12345</v>
      </c>
      <c r="C11616" s="129" t="s">
        <v>12346</v>
      </c>
      <c r="D11616" s="5">
        <v>370300</v>
      </c>
      <c r="E11616" s="5" t="s">
        <v>13855</v>
      </c>
    </row>
    <row r="11617" spans="2:5">
      <c r="B11617" s="4" t="s">
        <v>12345</v>
      </c>
      <c r="C11617" s="129" t="s">
        <v>12346</v>
      </c>
      <c r="D11617" s="5">
        <v>370301</v>
      </c>
      <c r="E11617" s="5" t="s">
        <v>13856</v>
      </c>
    </row>
    <row r="11618" spans="2:5">
      <c r="B11618" s="4" t="s">
        <v>12345</v>
      </c>
      <c r="C11618" s="129" t="s">
        <v>12346</v>
      </c>
      <c r="D11618" s="5">
        <v>370302</v>
      </c>
      <c r="E11618" s="5" t="s">
        <v>13857</v>
      </c>
    </row>
    <row r="11619" spans="2:5">
      <c r="B11619" s="4" t="s">
        <v>12345</v>
      </c>
      <c r="C11619" s="129" t="s">
        <v>12346</v>
      </c>
      <c r="D11619" s="5">
        <v>370303</v>
      </c>
      <c r="E11619" s="5" t="s">
        <v>13858</v>
      </c>
    </row>
    <row r="11620" spans="2:5">
      <c r="B11620" s="4" t="s">
        <v>12345</v>
      </c>
      <c r="C11620" s="129" t="s">
        <v>12346</v>
      </c>
      <c r="D11620" s="5">
        <v>370304</v>
      </c>
      <c r="E11620" s="5" t="s">
        <v>13859</v>
      </c>
    </row>
    <row r="11621" spans="2:5">
      <c r="B11621" s="4" t="s">
        <v>12345</v>
      </c>
      <c r="C11621" s="129" t="s">
        <v>12346</v>
      </c>
      <c r="D11621" s="5">
        <v>370305</v>
      </c>
      <c r="E11621" s="5" t="s">
        <v>13860</v>
      </c>
    </row>
    <row r="11622" spans="2:5">
      <c r="B11622" s="4" t="s">
        <v>12345</v>
      </c>
      <c r="C11622" s="129" t="s">
        <v>12346</v>
      </c>
      <c r="D11622" s="5">
        <v>370306</v>
      </c>
      <c r="E11622" s="5" t="s">
        <v>13861</v>
      </c>
    </row>
    <row r="11623" spans="2:5">
      <c r="B11623" s="4" t="s">
        <v>12345</v>
      </c>
      <c r="C11623" s="129" t="s">
        <v>12346</v>
      </c>
      <c r="D11623" s="5">
        <v>370321</v>
      </c>
      <c r="E11623" s="5" t="s">
        <v>13862</v>
      </c>
    </row>
    <row r="11624" spans="2:5">
      <c r="B11624" s="4" t="s">
        <v>12345</v>
      </c>
      <c r="C11624" s="129" t="s">
        <v>12346</v>
      </c>
      <c r="D11624" s="5">
        <v>370322</v>
      </c>
      <c r="E11624" s="5" t="s">
        <v>13863</v>
      </c>
    </row>
    <row r="11625" spans="2:5">
      <c r="B11625" s="4" t="s">
        <v>12345</v>
      </c>
      <c r="C11625" s="129" t="s">
        <v>12346</v>
      </c>
      <c r="D11625" s="5">
        <v>370323</v>
      </c>
      <c r="E11625" s="5" t="s">
        <v>13864</v>
      </c>
    </row>
    <row r="11626" spans="2:5">
      <c r="B11626" s="4" t="s">
        <v>12345</v>
      </c>
      <c r="C11626" s="129" t="s">
        <v>12346</v>
      </c>
      <c r="D11626" s="5">
        <v>370400</v>
      </c>
      <c r="E11626" s="5" t="s">
        <v>13865</v>
      </c>
    </row>
    <row r="11627" spans="2:5">
      <c r="B11627" s="4" t="s">
        <v>12345</v>
      </c>
      <c r="C11627" s="129" t="s">
        <v>12346</v>
      </c>
      <c r="D11627" s="5">
        <v>370401</v>
      </c>
      <c r="E11627" s="5" t="s">
        <v>13866</v>
      </c>
    </row>
    <row r="11628" spans="2:5">
      <c r="B11628" s="4" t="s">
        <v>12345</v>
      </c>
      <c r="C11628" s="129" t="s">
        <v>12346</v>
      </c>
      <c r="D11628" s="5">
        <v>370402</v>
      </c>
      <c r="E11628" s="5" t="s">
        <v>13867</v>
      </c>
    </row>
    <row r="11629" spans="2:5">
      <c r="B11629" s="4" t="s">
        <v>12345</v>
      </c>
      <c r="C11629" s="129" t="s">
        <v>12346</v>
      </c>
      <c r="D11629" s="5">
        <v>370403</v>
      </c>
      <c r="E11629" s="5" t="s">
        <v>13868</v>
      </c>
    </row>
    <row r="11630" spans="2:5">
      <c r="B11630" s="4" t="s">
        <v>12345</v>
      </c>
      <c r="C11630" s="129" t="s">
        <v>12346</v>
      </c>
      <c r="D11630" s="5">
        <v>370404</v>
      </c>
      <c r="E11630" s="5" t="s">
        <v>13869</v>
      </c>
    </row>
    <row r="11631" spans="2:5">
      <c r="B11631" s="4" t="s">
        <v>12345</v>
      </c>
      <c r="C11631" s="129" t="s">
        <v>12346</v>
      </c>
      <c r="D11631" s="5">
        <v>370405</v>
      </c>
      <c r="E11631" s="5" t="s">
        <v>13870</v>
      </c>
    </row>
    <row r="11632" spans="2:5">
      <c r="B11632" s="4" t="s">
        <v>12345</v>
      </c>
      <c r="C11632" s="129" t="s">
        <v>12346</v>
      </c>
      <c r="D11632" s="5">
        <v>370406</v>
      </c>
      <c r="E11632" s="5" t="s">
        <v>13871</v>
      </c>
    </row>
    <row r="11633" spans="2:5">
      <c r="B11633" s="4" t="s">
        <v>12345</v>
      </c>
      <c r="C11633" s="129" t="s">
        <v>12346</v>
      </c>
      <c r="D11633" s="5">
        <v>370481</v>
      </c>
      <c r="E11633" s="5" t="s">
        <v>13872</v>
      </c>
    </row>
    <row r="11634" spans="2:5">
      <c r="B11634" s="4" t="s">
        <v>12345</v>
      </c>
      <c r="C11634" s="129" t="s">
        <v>12346</v>
      </c>
      <c r="D11634" s="5">
        <v>370500</v>
      </c>
      <c r="E11634" s="5" t="s">
        <v>13873</v>
      </c>
    </row>
    <row r="11635" spans="2:5">
      <c r="B11635" s="4" t="s">
        <v>12345</v>
      </c>
      <c r="C11635" s="129" t="s">
        <v>12346</v>
      </c>
      <c r="D11635" s="5">
        <v>370501</v>
      </c>
      <c r="E11635" s="5" t="s">
        <v>13874</v>
      </c>
    </row>
    <row r="11636" spans="2:5">
      <c r="B11636" s="4" t="s">
        <v>12345</v>
      </c>
      <c r="C11636" s="129" t="s">
        <v>12346</v>
      </c>
      <c r="D11636" s="5">
        <v>370502</v>
      </c>
      <c r="E11636" s="5" t="s">
        <v>13875</v>
      </c>
    </row>
    <row r="11637" spans="2:5">
      <c r="B11637" s="4" t="s">
        <v>12345</v>
      </c>
      <c r="C11637" s="129" t="s">
        <v>12346</v>
      </c>
      <c r="D11637" s="5">
        <v>370503</v>
      </c>
      <c r="E11637" s="5" t="s">
        <v>13876</v>
      </c>
    </row>
    <row r="11638" spans="2:5">
      <c r="B11638" s="4" t="s">
        <v>12345</v>
      </c>
      <c r="C11638" s="129" t="s">
        <v>12346</v>
      </c>
      <c r="D11638" s="5">
        <v>370521</v>
      </c>
      <c r="E11638" s="5" t="s">
        <v>13877</v>
      </c>
    </row>
    <row r="11639" spans="2:5">
      <c r="B11639" s="4" t="s">
        <v>12345</v>
      </c>
      <c r="C11639" s="129" t="s">
        <v>12346</v>
      </c>
      <c r="D11639" s="5">
        <v>370522</v>
      </c>
      <c r="E11639" s="5" t="s">
        <v>13878</v>
      </c>
    </row>
    <row r="11640" spans="2:5">
      <c r="B11640" s="4" t="s">
        <v>12345</v>
      </c>
      <c r="C11640" s="129" t="s">
        <v>12346</v>
      </c>
      <c r="D11640" s="5">
        <v>370523</v>
      </c>
      <c r="E11640" s="5" t="s">
        <v>13879</v>
      </c>
    </row>
    <row r="11641" spans="2:5">
      <c r="B11641" s="4" t="s">
        <v>12345</v>
      </c>
      <c r="C11641" s="129" t="s">
        <v>12346</v>
      </c>
      <c r="D11641" s="5">
        <v>370600</v>
      </c>
      <c r="E11641" s="5" t="s">
        <v>13880</v>
      </c>
    </row>
    <row r="11642" spans="2:5">
      <c r="B11642" s="4" t="s">
        <v>12345</v>
      </c>
      <c r="C11642" s="129" t="s">
        <v>12346</v>
      </c>
      <c r="D11642" s="5">
        <v>370601</v>
      </c>
      <c r="E11642" s="5" t="s">
        <v>13881</v>
      </c>
    </row>
    <row r="11643" spans="2:5">
      <c r="B11643" s="4" t="s">
        <v>12345</v>
      </c>
      <c r="C11643" s="129" t="s">
        <v>12346</v>
      </c>
      <c r="D11643" s="5">
        <v>370602</v>
      </c>
      <c r="E11643" s="5" t="s">
        <v>13882</v>
      </c>
    </row>
    <row r="11644" spans="2:5">
      <c r="B11644" s="4" t="s">
        <v>12345</v>
      </c>
      <c r="C11644" s="129" t="s">
        <v>12346</v>
      </c>
      <c r="D11644" s="5">
        <v>370611</v>
      </c>
      <c r="E11644" s="5" t="s">
        <v>13883</v>
      </c>
    </row>
    <row r="11645" spans="2:5">
      <c r="B11645" s="4" t="s">
        <v>12345</v>
      </c>
      <c r="C11645" s="129" t="s">
        <v>12346</v>
      </c>
      <c r="D11645" s="5">
        <v>370612</v>
      </c>
      <c r="E11645" s="5" t="s">
        <v>13884</v>
      </c>
    </row>
    <row r="11646" spans="2:5">
      <c r="B11646" s="4" t="s">
        <v>12345</v>
      </c>
      <c r="C11646" s="129" t="s">
        <v>12346</v>
      </c>
      <c r="D11646" s="5">
        <v>370613</v>
      </c>
      <c r="E11646" s="5" t="s">
        <v>13885</v>
      </c>
    </row>
    <row r="11647" spans="2:5">
      <c r="B11647" s="4" t="s">
        <v>12345</v>
      </c>
      <c r="C11647" s="129" t="s">
        <v>12346</v>
      </c>
      <c r="D11647" s="5">
        <v>370634</v>
      </c>
      <c r="E11647" s="5" t="s">
        <v>13886</v>
      </c>
    </row>
    <row r="11648" spans="2:5">
      <c r="B11648" s="4" t="s">
        <v>12345</v>
      </c>
      <c r="C11648" s="129" t="s">
        <v>12346</v>
      </c>
      <c r="D11648" s="5">
        <v>370681</v>
      </c>
      <c r="E11648" s="5" t="s">
        <v>13887</v>
      </c>
    </row>
    <row r="11649" spans="2:5">
      <c r="B11649" s="4" t="s">
        <v>12345</v>
      </c>
      <c r="C11649" s="129" t="s">
        <v>12346</v>
      </c>
      <c r="D11649" s="5">
        <v>370682</v>
      </c>
      <c r="E11649" s="5" t="s">
        <v>13888</v>
      </c>
    </row>
    <row r="11650" spans="2:5">
      <c r="B11650" s="4" t="s">
        <v>12345</v>
      </c>
      <c r="C11650" s="129" t="s">
        <v>12346</v>
      </c>
      <c r="D11650" s="5">
        <v>370683</v>
      </c>
      <c r="E11650" s="5" t="s">
        <v>13889</v>
      </c>
    </row>
    <row r="11651" spans="2:5">
      <c r="B11651" s="4" t="s">
        <v>12345</v>
      </c>
      <c r="C11651" s="129" t="s">
        <v>12346</v>
      </c>
      <c r="D11651" s="5">
        <v>370684</v>
      </c>
      <c r="E11651" s="5" t="s">
        <v>13890</v>
      </c>
    </row>
    <row r="11652" spans="2:5">
      <c r="B11652" s="4" t="s">
        <v>12345</v>
      </c>
      <c r="C11652" s="129" t="s">
        <v>12346</v>
      </c>
      <c r="D11652" s="5">
        <v>370685</v>
      </c>
      <c r="E11652" s="5" t="s">
        <v>13891</v>
      </c>
    </row>
    <row r="11653" spans="2:5">
      <c r="B11653" s="4" t="s">
        <v>12345</v>
      </c>
      <c r="C11653" s="129" t="s">
        <v>12346</v>
      </c>
      <c r="D11653" s="5">
        <v>370686</v>
      </c>
      <c r="E11653" s="5" t="s">
        <v>13892</v>
      </c>
    </row>
    <row r="11654" spans="2:5">
      <c r="B11654" s="4" t="s">
        <v>12345</v>
      </c>
      <c r="C11654" s="129" t="s">
        <v>12346</v>
      </c>
      <c r="D11654" s="5">
        <v>370687</v>
      </c>
      <c r="E11654" s="5" t="s">
        <v>13893</v>
      </c>
    </row>
    <row r="11655" spans="2:5">
      <c r="B11655" s="4" t="s">
        <v>12345</v>
      </c>
      <c r="C11655" s="129" t="s">
        <v>12346</v>
      </c>
      <c r="D11655" s="5">
        <v>370700</v>
      </c>
      <c r="E11655" s="5" t="s">
        <v>13894</v>
      </c>
    </row>
    <row r="11656" spans="2:5">
      <c r="B11656" s="4" t="s">
        <v>12345</v>
      </c>
      <c r="C11656" s="129" t="s">
        <v>12346</v>
      </c>
      <c r="D11656" s="5">
        <v>370701</v>
      </c>
      <c r="E11656" s="5" t="s">
        <v>13895</v>
      </c>
    </row>
    <row r="11657" spans="2:5">
      <c r="B11657" s="4" t="s">
        <v>12345</v>
      </c>
      <c r="C11657" s="129" t="s">
        <v>12346</v>
      </c>
      <c r="D11657" s="5">
        <v>370702</v>
      </c>
      <c r="E11657" s="5" t="s">
        <v>13896</v>
      </c>
    </row>
    <row r="11658" spans="2:5">
      <c r="B11658" s="4" t="s">
        <v>12345</v>
      </c>
      <c r="C11658" s="129" t="s">
        <v>12346</v>
      </c>
      <c r="D11658" s="5">
        <v>370703</v>
      </c>
      <c r="E11658" s="5" t="s">
        <v>13897</v>
      </c>
    </row>
    <row r="11659" spans="2:5">
      <c r="B11659" s="4" t="s">
        <v>12345</v>
      </c>
      <c r="C11659" s="129" t="s">
        <v>12346</v>
      </c>
      <c r="D11659" s="5">
        <v>370704</v>
      </c>
      <c r="E11659" s="5" t="s">
        <v>13898</v>
      </c>
    </row>
    <row r="11660" spans="2:5">
      <c r="B11660" s="4" t="s">
        <v>12345</v>
      </c>
      <c r="C11660" s="129" t="s">
        <v>12346</v>
      </c>
      <c r="D11660" s="5">
        <v>370705</v>
      </c>
      <c r="E11660" s="5" t="s">
        <v>13899</v>
      </c>
    </row>
    <row r="11661" spans="2:5">
      <c r="B11661" s="4" t="s">
        <v>12345</v>
      </c>
      <c r="C11661" s="129" t="s">
        <v>12346</v>
      </c>
      <c r="D11661" s="5">
        <v>370724</v>
      </c>
      <c r="E11661" s="5" t="s">
        <v>13900</v>
      </c>
    </row>
    <row r="11662" spans="2:5">
      <c r="B11662" s="4" t="s">
        <v>12345</v>
      </c>
      <c r="C11662" s="129" t="s">
        <v>12346</v>
      </c>
      <c r="D11662" s="5">
        <v>370725</v>
      </c>
      <c r="E11662" s="5" t="s">
        <v>13901</v>
      </c>
    </row>
    <row r="11663" spans="2:5">
      <c r="B11663" s="4" t="s">
        <v>12345</v>
      </c>
      <c r="C11663" s="129" t="s">
        <v>12346</v>
      </c>
      <c r="D11663" s="5">
        <v>370781</v>
      </c>
      <c r="E11663" s="5" t="s">
        <v>13902</v>
      </c>
    </row>
    <row r="11664" spans="2:5">
      <c r="B11664" s="4" t="s">
        <v>12345</v>
      </c>
      <c r="C11664" s="129" t="s">
        <v>12346</v>
      </c>
      <c r="D11664" s="5">
        <v>370782</v>
      </c>
      <c r="E11664" s="5" t="s">
        <v>13903</v>
      </c>
    </row>
    <row r="11665" spans="2:5">
      <c r="B11665" s="4" t="s">
        <v>12345</v>
      </c>
      <c r="C11665" s="129" t="s">
        <v>12346</v>
      </c>
      <c r="D11665" s="5">
        <v>370783</v>
      </c>
      <c r="E11665" s="5" t="s">
        <v>13904</v>
      </c>
    </row>
    <row r="11666" spans="2:5">
      <c r="B11666" s="4" t="s">
        <v>12345</v>
      </c>
      <c r="C11666" s="129" t="s">
        <v>12346</v>
      </c>
      <c r="D11666" s="5">
        <v>370784</v>
      </c>
      <c r="E11666" s="5" t="s">
        <v>13905</v>
      </c>
    </row>
    <row r="11667" spans="2:5">
      <c r="B11667" s="4" t="s">
        <v>12345</v>
      </c>
      <c r="C11667" s="129" t="s">
        <v>12346</v>
      </c>
      <c r="D11667" s="5">
        <v>370785</v>
      </c>
      <c r="E11667" s="5" t="s">
        <v>13906</v>
      </c>
    </row>
    <row r="11668" spans="2:5">
      <c r="B11668" s="4" t="s">
        <v>12345</v>
      </c>
      <c r="C11668" s="129" t="s">
        <v>12346</v>
      </c>
      <c r="D11668" s="5">
        <v>370786</v>
      </c>
      <c r="E11668" s="5" t="s">
        <v>13907</v>
      </c>
    </row>
    <row r="11669" spans="2:5">
      <c r="B11669" s="4" t="s">
        <v>12345</v>
      </c>
      <c r="C11669" s="129" t="s">
        <v>12346</v>
      </c>
      <c r="D11669" s="5">
        <v>370800</v>
      </c>
      <c r="E11669" s="5" t="s">
        <v>13908</v>
      </c>
    </row>
    <row r="11670" spans="2:5">
      <c r="B11670" s="4" t="s">
        <v>12345</v>
      </c>
      <c r="C11670" s="129" t="s">
        <v>12346</v>
      </c>
      <c r="D11670" s="5">
        <v>370801</v>
      </c>
      <c r="E11670" s="5" t="s">
        <v>13909</v>
      </c>
    </row>
    <row r="11671" spans="2:5">
      <c r="B11671" s="4" t="s">
        <v>12345</v>
      </c>
      <c r="C11671" s="129" t="s">
        <v>12346</v>
      </c>
      <c r="D11671" s="5">
        <v>370811</v>
      </c>
      <c r="E11671" s="5" t="s">
        <v>13910</v>
      </c>
    </row>
    <row r="11672" spans="2:5">
      <c r="B11672" s="4" t="s">
        <v>12345</v>
      </c>
      <c r="C11672" s="129" t="s">
        <v>12346</v>
      </c>
      <c r="D11672" s="5">
        <v>370812</v>
      </c>
      <c r="E11672" s="5" t="s">
        <v>13911</v>
      </c>
    </row>
    <row r="11673" spans="2:5">
      <c r="B11673" s="4" t="s">
        <v>12345</v>
      </c>
      <c r="C11673" s="129" t="s">
        <v>12346</v>
      </c>
      <c r="D11673" s="5">
        <v>370826</v>
      </c>
      <c r="E11673" s="5" t="s">
        <v>13912</v>
      </c>
    </row>
    <row r="11674" spans="2:5">
      <c r="B11674" s="4" t="s">
        <v>12345</v>
      </c>
      <c r="C11674" s="129" t="s">
        <v>12346</v>
      </c>
      <c r="D11674" s="5">
        <v>370827</v>
      </c>
      <c r="E11674" s="5" t="s">
        <v>13913</v>
      </c>
    </row>
    <row r="11675" spans="2:5">
      <c r="B11675" s="4" t="s">
        <v>12345</v>
      </c>
      <c r="C11675" s="129" t="s">
        <v>12346</v>
      </c>
      <c r="D11675" s="5">
        <v>370828</v>
      </c>
      <c r="E11675" s="5" t="s">
        <v>13914</v>
      </c>
    </row>
    <row r="11676" spans="2:5">
      <c r="B11676" s="4" t="s">
        <v>12345</v>
      </c>
      <c r="C11676" s="129" t="s">
        <v>12346</v>
      </c>
      <c r="D11676" s="5">
        <v>370829</v>
      </c>
      <c r="E11676" s="5" t="s">
        <v>13915</v>
      </c>
    </row>
    <row r="11677" spans="2:5">
      <c r="B11677" s="4" t="s">
        <v>12345</v>
      </c>
      <c r="C11677" s="129" t="s">
        <v>12346</v>
      </c>
      <c r="D11677" s="5">
        <v>370830</v>
      </c>
      <c r="E11677" s="5" t="s">
        <v>13916</v>
      </c>
    </row>
    <row r="11678" spans="2:5">
      <c r="B11678" s="4" t="s">
        <v>12345</v>
      </c>
      <c r="C11678" s="129" t="s">
        <v>12346</v>
      </c>
      <c r="D11678" s="5">
        <v>370831</v>
      </c>
      <c r="E11678" s="5" t="s">
        <v>13917</v>
      </c>
    </row>
    <row r="11679" spans="2:5">
      <c r="B11679" s="4" t="s">
        <v>12345</v>
      </c>
      <c r="C11679" s="129" t="s">
        <v>12346</v>
      </c>
      <c r="D11679" s="5">
        <v>370832</v>
      </c>
      <c r="E11679" s="5" t="s">
        <v>13918</v>
      </c>
    </row>
    <row r="11680" spans="2:5">
      <c r="B11680" s="4" t="s">
        <v>12345</v>
      </c>
      <c r="C11680" s="129" t="s">
        <v>12346</v>
      </c>
      <c r="D11680" s="5">
        <v>370881</v>
      </c>
      <c r="E11680" s="5" t="s">
        <v>13919</v>
      </c>
    </row>
    <row r="11681" spans="2:5">
      <c r="B11681" s="4" t="s">
        <v>12345</v>
      </c>
      <c r="C11681" s="129" t="s">
        <v>12346</v>
      </c>
      <c r="D11681" s="5">
        <v>370883</v>
      </c>
      <c r="E11681" s="5" t="s">
        <v>13920</v>
      </c>
    </row>
    <row r="11682" spans="2:5">
      <c r="B11682" s="4" t="s">
        <v>12345</v>
      </c>
      <c r="C11682" s="129" t="s">
        <v>12346</v>
      </c>
      <c r="D11682" s="5">
        <v>370900</v>
      </c>
      <c r="E11682" s="5" t="s">
        <v>13921</v>
      </c>
    </row>
    <row r="11683" spans="2:5">
      <c r="B11683" s="4" t="s">
        <v>12345</v>
      </c>
      <c r="C11683" s="129" t="s">
        <v>12346</v>
      </c>
      <c r="D11683" s="5">
        <v>370901</v>
      </c>
      <c r="E11683" s="5" t="s">
        <v>13922</v>
      </c>
    </row>
    <row r="11684" spans="2:5">
      <c r="B11684" s="4" t="s">
        <v>12345</v>
      </c>
      <c r="C11684" s="129" t="s">
        <v>12346</v>
      </c>
      <c r="D11684" s="5">
        <v>370902</v>
      </c>
      <c r="E11684" s="5" t="s">
        <v>13923</v>
      </c>
    </row>
    <row r="11685" spans="2:5">
      <c r="B11685" s="4" t="s">
        <v>12345</v>
      </c>
      <c r="C11685" s="129" t="s">
        <v>12346</v>
      </c>
      <c r="D11685" s="5">
        <v>370903</v>
      </c>
      <c r="E11685" s="5" t="s">
        <v>13924</v>
      </c>
    </row>
    <row r="11686" spans="2:5">
      <c r="B11686" s="4" t="s">
        <v>12345</v>
      </c>
      <c r="C11686" s="129" t="s">
        <v>12346</v>
      </c>
      <c r="D11686" s="5">
        <v>370921</v>
      </c>
      <c r="E11686" s="5" t="s">
        <v>13925</v>
      </c>
    </row>
    <row r="11687" spans="2:5">
      <c r="B11687" s="4" t="s">
        <v>12345</v>
      </c>
      <c r="C11687" s="129" t="s">
        <v>12346</v>
      </c>
      <c r="D11687" s="5">
        <v>370923</v>
      </c>
      <c r="E11687" s="5" t="s">
        <v>13926</v>
      </c>
    </row>
    <row r="11688" spans="2:5">
      <c r="B11688" s="4" t="s">
        <v>12345</v>
      </c>
      <c r="C11688" s="129" t="s">
        <v>12346</v>
      </c>
      <c r="D11688" s="5">
        <v>370982</v>
      </c>
      <c r="E11688" s="5" t="s">
        <v>13927</v>
      </c>
    </row>
    <row r="11689" spans="2:5">
      <c r="B11689" s="4" t="s">
        <v>12345</v>
      </c>
      <c r="C11689" s="129" t="s">
        <v>12346</v>
      </c>
      <c r="D11689" s="5">
        <v>370983</v>
      </c>
      <c r="E11689" s="5" t="s">
        <v>13928</v>
      </c>
    </row>
    <row r="11690" spans="2:5">
      <c r="B11690" s="4" t="s">
        <v>12345</v>
      </c>
      <c r="C11690" s="129" t="s">
        <v>12346</v>
      </c>
      <c r="D11690" s="5">
        <v>371000</v>
      </c>
      <c r="E11690" s="5" t="s">
        <v>13929</v>
      </c>
    </row>
    <row r="11691" spans="2:5">
      <c r="B11691" s="4" t="s">
        <v>12345</v>
      </c>
      <c r="C11691" s="129" t="s">
        <v>12346</v>
      </c>
      <c r="D11691" s="5">
        <v>371001</v>
      </c>
      <c r="E11691" s="5" t="s">
        <v>13930</v>
      </c>
    </row>
    <row r="11692" spans="2:5">
      <c r="B11692" s="4" t="s">
        <v>12345</v>
      </c>
      <c r="C11692" s="129" t="s">
        <v>12346</v>
      </c>
      <c r="D11692" s="5">
        <v>371002</v>
      </c>
      <c r="E11692" s="5" t="s">
        <v>13931</v>
      </c>
    </row>
    <row r="11693" spans="2:5">
      <c r="B11693" s="4" t="s">
        <v>12345</v>
      </c>
      <c r="C11693" s="129" t="s">
        <v>12346</v>
      </c>
      <c r="D11693" s="5">
        <v>371003</v>
      </c>
      <c r="E11693" s="5" t="s">
        <v>13932</v>
      </c>
    </row>
    <row r="11694" spans="2:5">
      <c r="B11694" s="4" t="s">
        <v>12345</v>
      </c>
      <c r="C11694" s="129" t="s">
        <v>12346</v>
      </c>
      <c r="D11694" s="5">
        <v>371082</v>
      </c>
      <c r="E11694" s="5" t="s">
        <v>13933</v>
      </c>
    </row>
    <row r="11695" spans="2:5">
      <c r="B11695" s="4" t="s">
        <v>12345</v>
      </c>
      <c r="C11695" s="129" t="s">
        <v>12346</v>
      </c>
      <c r="D11695" s="5">
        <v>371083</v>
      </c>
      <c r="E11695" s="5" t="s">
        <v>13934</v>
      </c>
    </row>
    <row r="11696" spans="2:5">
      <c r="B11696" s="4" t="s">
        <v>12345</v>
      </c>
      <c r="C11696" s="129" t="s">
        <v>12346</v>
      </c>
      <c r="D11696" s="5">
        <v>371100</v>
      </c>
      <c r="E11696" s="5" t="s">
        <v>13935</v>
      </c>
    </row>
    <row r="11697" spans="2:5">
      <c r="B11697" s="4" t="s">
        <v>12345</v>
      </c>
      <c r="C11697" s="129" t="s">
        <v>12346</v>
      </c>
      <c r="D11697" s="5">
        <v>371101</v>
      </c>
      <c r="E11697" s="5" t="s">
        <v>13936</v>
      </c>
    </row>
    <row r="11698" spans="2:5">
      <c r="B11698" s="4" t="s">
        <v>12345</v>
      </c>
      <c r="C11698" s="129" t="s">
        <v>12346</v>
      </c>
      <c r="D11698" s="5">
        <v>371102</v>
      </c>
      <c r="E11698" s="5" t="s">
        <v>13937</v>
      </c>
    </row>
    <row r="11699" spans="2:5">
      <c r="B11699" s="4" t="s">
        <v>12345</v>
      </c>
      <c r="C11699" s="129" t="s">
        <v>12346</v>
      </c>
      <c r="D11699" s="5">
        <v>371103</v>
      </c>
      <c r="E11699" s="5" t="s">
        <v>13938</v>
      </c>
    </row>
    <row r="11700" spans="2:5">
      <c r="B11700" s="4" t="s">
        <v>12345</v>
      </c>
      <c r="C11700" s="129" t="s">
        <v>12346</v>
      </c>
      <c r="D11700" s="5">
        <v>371121</v>
      </c>
      <c r="E11700" s="5" t="s">
        <v>13939</v>
      </c>
    </row>
    <row r="11701" spans="2:5">
      <c r="B11701" s="4" t="s">
        <v>12345</v>
      </c>
      <c r="C11701" s="129" t="s">
        <v>12346</v>
      </c>
      <c r="D11701" s="5">
        <v>371122</v>
      </c>
      <c r="E11701" s="5" t="s">
        <v>13940</v>
      </c>
    </row>
    <row r="11702" spans="2:5">
      <c r="B11702" s="4" t="s">
        <v>12345</v>
      </c>
      <c r="C11702" s="129" t="s">
        <v>12346</v>
      </c>
      <c r="D11702" s="5">
        <v>371200</v>
      </c>
      <c r="E11702" s="5" t="s">
        <v>13941</v>
      </c>
    </row>
    <row r="11703" spans="2:5">
      <c r="B11703" s="4" t="s">
        <v>12345</v>
      </c>
      <c r="C11703" s="129" t="s">
        <v>12346</v>
      </c>
      <c r="D11703" s="5">
        <v>371201</v>
      </c>
      <c r="E11703" s="5" t="s">
        <v>13942</v>
      </c>
    </row>
    <row r="11704" spans="2:5">
      <c r="B11704" s="4" t="s">
        <v>12345</v>
      </c>
      <c r="C11704" s="129" t="s">
        <v>12346</v>
      </c>
      <c r="D11704" s="5">
        <v>371202</v>
      </c>
      <c r="E11704" s="5" t="s">
        <v>13943</v>
      </c>
    </row>
    <row r="11705" spans="2:5">
      <c r="B11705" s="4" t="s">
        <v>12345</v>
      </c>
      <c r="C11705" s="129" t="s">
        <v>12346</v>
      </c>
      <c r="D11705" s="5">
        <v>371203</v>
      </c>
      <c r="E11705" s="5" t="s">
        <v>13944</v>
      </c>
    </row>
    <row r="11706" spans="2:5">
      <c r="B11706" s="4" t="s">
        <v>12345</v>
      </c>
      <c r="C11706" s="129" t="s">
        <v>12346</v>
      </c>
      <c r="D11706" s="5">
        <v>371300</v>
      </c>
      <c r="E11706" s="5" t="s">
        <v>13945</v>
      </c>
    </row>
    <row r="11707" spans="2:5">
      <c r="B11707" s="4" t="s">
        <v>12345</v>
      </c>
      <c r="C11707" s="129" t="s">
        <v>12346</v>
      </c>
      <c r="D11707" s="5">
        <v>371301</v>
      </c>
      <c r="E11707" s="5" t="s">
        <v>13946</v>
      </c>
    </row>
    <row r="11708" spans="2:5">
      <c r="B11708" s="4" t="s">
        <v>12345</v>
      </c>
      <c r="C11708" s="129" t="s">
        <v>12346</v>
      </c>
      <c r="D11708" s="5">
        <v>371302</v>
      </c>
      <c r="E11708" s="5" t="s">
        <v>13947</v>
      </c>
    </row>
    <row r="11709" spans="2:5">
      <c r="B11709" s="4" t="s">
        <v>12345</v>
      </c>
      <c r="C11709" s="129" t="s">
        <v>12346</v>
      </c>
      <c r="D11709" s="5">
        <v>371311</v>
      </c>
      <c r="E11709" s="5" t="s">
        <v>13948</v>
      </c>
    </row>
    <row r="11710" spans="2:5">
      <c r="B11710" s="4" t="s">
        <v>12345</v>
      </c>
      <c r="C11710" s="129" t="s">
        <v>12346</v>
      </c>
      <c r="D11710" s="5">
        <v>371312</v>
      </c>
      <c r="E11710" s="5" t="s">
        <v>13949</v>
      </c>
    </row>
    <row r="11711" spans="2:5">
      <c r="B11711" s="4" t="s">
        <v>12345</v>
      </c>
      <c r="C11711" s="129" t="s">
        <v>12346</v>
      </c>
      <c r="D11711" s="5">
        <v>371321</v>
      </c>
      <c r="E11711" s="5" t="s">
        <v>13950</v>
      </c>
    </row>
    <row r="11712" spans="2:5">
      <c r="B11712" s="4" t="s">
        <v>12345</v>
      </c>
      <c r="C11712" s="129" t="s">
        <v>12346</v>
      </c>
      <c r="D11712" s="5">
        <v>371322</v>
      </c>
      <c r="E11712" s="5" t="s">
        <v>13951</v>
      </c>
    </row>
    <row r="11713" spans="2:5">
      <c r="B11713" s="4" t="s">
        <v>12345</v>
      </c>
      <c r="C11713" s="129" t="s">
        <v>12346</v>
      </c>
      <c r="D11713" s="5">
        <v>371323</v>
      </c>
      <c r="E11713" s="5" t="s">
        <v>13952</v>
      </c>
    </row>
    <row r="11714" spans="2:5">
      <c r="B11714" s="4" t="s">
        <v>12345</v>
      </c>
      <c r="C11714" s="129" t="s">
        <v>12346</v>
      </c>
      <c r="D11714" s="5">
        <v>371324</v>
      </c>
      <c r="E11714" s="5" t="s">
        <v>13953</v>
      </c>
    </row>
    <row r="11715" spans="2:5">
      <c r="B11715" s="4" t="s">
        <v>12345</v>
      </c>
      <c r="C11715" s="129" t="s">
        <v>12346</v>
      </c>
      <c r="D11715" s="5">
        <v>371325</v>
      </c>
      <c r="E11715" s="5" t="s">
        <v>13954</v>
      </c>
    </row>
    <row r="11716" spans="2:5">
      <c r="B11716" s="4" t="s">
        <v>12345</v>
      </c>
      <c r="C11716" s="129" t="s">
        <v>12346</v>
      </c>
      <c r="D11716" s="5">
        <v>371326</v>
      </c>
      <c r="E11716" s="5" t="s">
        <v>13955</v>
      </c>
    </row>
    <row r="11717" spans="2:5">
      <c r="B11717" s="4" t="s">
        <v>12345</v>
      </c>
      <c r="C11717" s="129" t="s">
        <v>12346</v>
      </c>
      <c r="D11717" s="5">
        <v>371327</v>
      </c>
      <c r="E11717" s="5" t="s">
        <v>13956</v>
      </c>
    </row>
    <row r="11718" spans="2:5">
      <c r="B11718" s="4" t="s">
        <v>12345</v>
      </c>
      <c r="C11718" s="129" t="s">
        <v>12346</v>
      </c>
      <c r="D11718" s="5">
        <v>371328</v>
      </c>
      <c r="E11718" s="5" t="s">
        <v>13957</v>
      </c>
    </row>
    <row r="11719" spans="2:5">
      <c r="B11719" s="4" t="s">
        <v>12345</v>
      </c>
      <c r="C11719" s="129" t="s">
        <v>12346</v>
      </c>
      <c r="D11719" s="5">
        <v>371329</v>
      </c>
      <c r="E11719" s="5" t="s">
        <v>13958</v>
      </c>
    </row>
    <row r="11720" spans="2:5">
      <c r="B11720" s="4" t="s">
        <v>12345</v>
      </c>
      <c r="C11720" s="129" t="s">
        <v>12346</v>
      </c>
      <c r="D11720" s="5">
        <v>371400</v>
      </c>
      <c r="E11720" s="5" t="s">
        <v>13959</v>
      </c>
    </row>
    <row r="11721" spans="2:5">
      <c r="B11721" s="4" t="s">
        <v>12345</v>
      </c>
      <c r="C11721" s="129" t="s">
        <v>12346</v>
      </c>
      <c r="D11721" s="5">
        <v>371401</v>
      </c>
      <c r="E11721" s="5" t="s">
        <v>13960</v>
      </c>
    </row>
    <row r="11722" spans="2:5">
      <c r="B11722" s="4" t="s">
        <v>12345</v>
      </c>
      <c r="C11722" s="129" t="s">
        <v>12346</v>
      </c>
      <c r="D11722" s="5">
        <v>371402</v>
      </c>
      <c r="E11722" s="5" t="s">
        <v>13961</v>
      </c>
    </row>
    <row r="11723" spans="2:5">
      <c r="B11723" s="4" t="s">
        <v>12345</v>
      </c>
      <c r="C11723" s="129" t="s">
        <v>12346</v>
      </c>
      <c r="D11723" s="5">
        <v>371403</v>
      </c>
      <c r="E11723" s="5" t="s">
        <v>13962</v>
      </c>
    </row>
    <row r="11724" spans="2:5">
      <c r="B11724" s="4" t="s">
        <v>12345</v>
      </c>
      <c r="C11724" s="129" t="s">
        <v>12346</v>
      </c>
      <c r="D11724" s="5">
        <v>371422</v>
      </c>
      <c r="E11724" s="5" t="s">
        <v>13963</v>
      </c>
    </row>
    <row r="11725" spans="2:5">
      <c r="B11725" s="4" t="s">
        <v>12345</v>
      </c>
      <c r="C11725" s="129" t="s">
        <v>12346</v>
      </c>
      <c r="D11725" s="5">
        <v>371423</v>
      </c>
      <c r="E11725" s="5" t="s">
        <v>13964</v>
      </c>
    </row>
    <row r="11726" spans="2:5">
      <c r="B11726" s="4" t="s">
        <v>12345</v>
      </c>
      <c r="C11726" s="129" t="s">
        <v>12346</v>
      </c>
      <c r="D11726" s="5">
        <v>371424</v>
      </c>
      <c r="E11726" s="5" t="s">
        <v>13965</v>
      </c>
    </row>
    <row r="11727" spans="2:5">
      <c r="B11727" s="4" t="s">
        <v>12345</v>
      </c>
      <c r="C11727" s="129" t="s">
        <v>12346</v>
      </c>
      <c r="D11727" s="5">
        <v>371425</v>
      </c>
      <c r="E11727" s="5" t="s">
        <v>13966</v>
      </c>
    </row>
    <row r="11728" spans="2:5">
      <c r="B11728" s="4" t="s">
        <v>12345</v>
      </c>
      <c r="C11728" s="129" t="s">
        <v>12346</v>
      </c>
      <c r="D11728" s="5">
        <v>371426</v>
      </c>
      <c r="E11728" s="5" t="s">
        <v>13967</v>
      </c>
    </row>
    <row r="11729" spans="2:5">
      <c r="B11729" s="4" t="s">
        <v>12345</v>
      </c>
      <c r="C11729" s="129" t="s">
        <v>12346</v>
      </c>
      <c r="D11729" s="5">
        <v>371427</v>
      </c>
      <c r="E11729" s="5" t="s">
        <v>13968</v>
      </c>
    </row>
    <row r="11730" spans="2:5">
      <c r="B11730" s="4" t="s">
        <v>12345</v>
      </c>
      <c r="C11730" s="129" t="s">
        <v>12346</v>
      </c>
      <c r="D11730" s="5">
        <v>371428</v>
      </c>
      <c r="E11730" s="5" t="s">
        <v>13969</v>
      </c>
    </row>
    <row r="11731" spans="2:5">
      <c r="B11731" s="4" t="s">
        <v>12345</v>
      </c>
      <c r="C11731" s="129" t="s">
        <v>12346</v>
      </c>
      <c r="D11731" s="5">
        <v>371481</v>
      </c>
      <c r="E11731" s="5" t="s">
        <v>13970</v>
      </c>
    </row>
    <row r="11732" spans="2:5">
      <c r="B11732" s="4" t="s">
        <v>12345</v>
      </c>
      <c r="C11732" s="129" t="s">
        <v>12346</v>
      </c>
      <c r="D11732" s="5">
        <v>371482</v>
      </c>
      <c r="E11732" s="5" t="s">
        <v>13971</v>
      </c>
    </row>
    <row r="11733" spans="2:5">
      <c r="B11733" s="4" t="s">
        <v>12345</v>
      </c>
      <c r="C11733" s="129" t="s">
        <v>12346</v>
      </c>
      <c r="D11733" s="5">
        <v>371500</v>
      </c>
      <c r="E11733" s="5" t="s">
        <v>13972</v>
      </c>
    </row>
    <row r="11734" spans="2:5">
      <c r="B11734" s="4" t="s">
        <v>12345</v>
      </c>
      <c r="C11734" s="129" t="s">
        <v>12346</v>
      </c>
      <c r="D11734" s="5">
        <v>371501</v>
      </c>
      <c r="E11734" s="5" t="s">
        <v>13973</v>
      </c>
    </row>
    <row r="11735" spans="2:5">
      <c r="B11735" s="4" t="s">
        <v>12345</v>
      </c>
      <c r="C11735" s="129" t="s">
        <v>12346</v>
      </c>
      <c r="D11735" s="5">
        <v>371502</v>
      </c>
      <c r="E11735" s="5" t="s">
        <v>13974</v>
      </c>
    </row>
    <row r="11736" spans="2:5">
      <c r="B11736" s="4" t="s">
        <v>12345</v>
      </c>
      <c r="C11736" s="129" t="s">
        <v>12346</v>
      </c>
      <c r="D11736" s="5">
        <v>371521</v>
      </c>
      <c r="E11736" s="5" t="s">
        <v>13975</v>
      </c>
    </row>
    <row r="11737" spans="2:5">
      <c r="B11737" s="4" t="s">
        <v>12345</v>
      </c>
      <c r="C11737" s="129" t="s">
        <v>12346</v>
      </c>
      <c r="D11737" s="5">
        <v>371522</v>
      </c>
      <c r="E11737" s="5" t="s">
        <v>13976</v>
      </c>
    </row>
    <row r="11738" spans="2:5">
      <c r="B11738" s="4" t="s">
        <v>12345</v>
      </c>
      <c r="C11738" s="129" t="s">
        <v>12346</v>
      </c>
      <c r="D11738" s="5">
        <v>371523</v>
      </c>
      <c r="E11738" s="5" t="s">
        <v>13977</v>
      </c>
    </row>
    <row r="11739" spans="2:5">
      <c r="B11739" s="4" t="s">
        <v>12345</v>
      </c>
      <c r="C11739" s="129" t="s">
        <v>12346</v>
      </c>
      <c r="D11739" s="5">
        <v>371524</v>
      </c>
      <c r="E11739" s="5" t="s">
        <v>13978</v>
      </c>
    </row>
    <row r="11740" spans="2:5">
      <c r="B11740" s="4" t="s">
        <v>12345</v>
      </c>
      <c r="C11740" s="129" t="s">
        <v>12346</v>
      </c>
      <c r="D11740" s="5">
        <v>371525</v>
      </c>
      <c r="E11740" s="5" t="s">
        <v>13979</v>
      </c>
    </row>
    <row r="11741" spans="2:5">
      <c r="B11741" s="4" t="s">
        <v>12345</v>
      </c>
      <c r="C11741" s="129" t="s">
        <v>12346</v>
      </c>
      <c r="D11741" s="5">
        <v>371526</v>
      </c>
      <c r="E11741" s="5" t="s">
        <v>13980</v>
      </c>
    </row>
    <row r="11742" spans="2:5">
      <c r="B11742" s="4" t="s">
        <v>12345</v>
      </c>
      <c r="C11742" s="129" t="s">
        <v>12346</v>
      </c>
      <c r="D11742" s="5">
        <v>371581</v>
      </c>
      <c r="E11742" s="5" t="s">
        <v>13981</v>
      </c>
    </row>
    <row r="11743" spans="2:5">
      <c r="B11743" s="4" t="s">
        <v>12345</v>
      </c>
      <c r="C11743" s="129" t="s">
        <v>12346</v>
      </c>
      <c r="D11743" s="5">
        <v>371600</v>
      </c>
      <c r="E11743" s="5" t="s">
        <v>13982</v>
      </c>
    </row>
    <row r="11744" spans="2:5">
      <c r="B11744" s="4" t="s">
        <v>12345</v>
      </c>
      <c r="C11744" s="129" t="s">
        <v>12346</v>
      </c>
      <c r="D11744" s="5">
        <v>371601</v>
      </c>
      <c r="E11744" s="5" t="s">
        <v>13983</v>
      </c>
    </row>
    <row r="11745" spans="2:5">
      <c r="B11745" s="4" t="s">
        <v>12345</v>
      </c>
      <c r="C11745" s="129" t="s">
        <v>12346</v>
      </c>
      <c r="D11745" s="5">
        <v>371602</v>
      </c>
      <c r="E11745" s="5" t="s">
        <v>13984</v>
      </c>
    </row>
    <row r="11746" spans="2:5">
      <c r="B11746" s="4" t="s">
        <v>12345</v>
      </c>
      <c r="C11746" s="129" t="s">
        <v>12346</v>
      </c>
      <c r="D11746" s="5">
        <v>371603</v>
      </c>
      <c r="E11746" s="5" t="s">
        <v>13985</v>
      </c>
    </row>
    <row r="11747" spans="2:5">
      <c r="B11747" s="4" t="s">
        <v>12345</v>
      </c>
      <c r="C11747" s="129" t="s">
        <v>12346</v>
      </c>
      <c r="D11747" s="5">
        <v>371621</v>
      </c>
      <c r="E11747" s="5" t="s">
        <v>13986</v>
      </c>
    </row>
    <row r="11748" spans="2:5">
      <c r="B11748" s="4" t="s">
        <v>12345</v>
      </c>
      <c r="C11748" s="129" t="s">
        <v>12346</v>
      </c>
      <c r="D11748" s="5">
        <v>371622</v>
      </c>
      <c r="E11748" s="5" t="s">
        <v>13987</v>
      </c>
    </row>
    <row r="11749" spans="2:5">
      <c r="B11749" s="4" t="s">
        <v>12345</v>
      </c>
      <c r="C11749" s="129" t="s">
        <v>12346</v>
      </c>
      <c r="D11749" s="5">
        <v>371623</v>
      </c>
      <c r="E11749" s="5" t="s">
        <v>13988</v>
      </c>
    </row>
    <row r="11750" spans="2:5">
      <c r="B11750" s="4" t="s">
        <v>12345</v>
      </c>
      <c r="C11750" s="129" t="s">
        <v>12346</v>
      </c>
      <c r="D11750" s="5">
        <v>371625</v>
      </c>
      <c r="E11750" s="5" t="s">
        <v>13989</v>
      </c>
    </row>
    <row r="11751" spans="2:5">
      <c r="B11751" s="4" t="s">
        <v>12345</v>
      </c>
      <c r="C11751" s="129" t="s">
        <v>12346</v>
      </c>
      <c r="D11751" s="5">
        <v>371626</v>
      </c>
      <c r="E11751" s="5" t="s">
        <v>13990</v>
      </c>
    </row>
    <row r="11752" spans="2:5">
      <c r="B11752" s="4" t="s">
        <v>12345</v>
      </c>
      <c r="C11752" s="129" t="s">
        <v>12346</v>
      </c>
      <c r="D11752" s="5">
        <v>371700</v>
      </c>
      <c r="E11752" s="5" t="s">
        <v>13991</v>
      </c>
    </row>
    <row r="11753" spans="2:5">
      <c r="B11753" s="4" t="s">
        <v>12345</v>
      </c>
      <c r="C11753" s="129" t="s">
        <v>12346</v>
      </c>
      <c r="D11753" s="5">
        <v>371701</v>
      </c>
      <c r="E11753" s="5" t="s">
        <v>13992</v>
      </c>
    </row>
    <row r="11754" spans="2:5">
      <c r="B11754" s="4" t="s">
        <v>12345</v>
      </c>
      <c r="C11754" s="129" t="s">
        <v>12346</v>
      </c>
      <c r="D11754" s="5">
        <v>371702</v>
      </c>
      <c r="E11754" s="5" t="s">
        <v>13993</v>
      </c>
    </row>
    <row r="11755" spans="2:5">
      <c r="B11755" s="4" t="s">
        <v>12345</v>
      </c>
      <c r="C11755" s="129" t="s">
        <v>12346</v>
      </c>
      <c r="D11755" s="5">
        <v>371721</v>
      </c>
      <c r="E11755" s="5" t="s">
        <v>13994</v>
      </c>
    </row>
    <row r="11756" spans="2:5">
      <c r="B11756" s="4" t="s">
        <v>12345</v>
      </c>
      <c r="C11756" s="129" t="s">
        <v>12346</v>
      </c>
      <c r="D11756" s="5">
        <v>371722</v>
      </c>
      <c r="E11756" s="5" t="s">
        <v>13995</v>
      </c>
    </row>
    <row r="11757" spans="2:5">
      <c r="B11757" s="4" t="s">
        <v>12345</v>
      </c>
      <c r="C11757" s="129" t="s">
        <v>12346</v>
      </c>
      <c r="D11757" s="5">
        <v>371723</v>
      </c>
      <c r="E11757" s="5" t="s">
        <v>13996</v>
      </c>
    </row>
    <row r="11758" spans="2:5">
      <c r="B11758" s="4" t="s">
        <v>12345</v>
      </c>
      <c r="C11758" s="129" t="s">
        <v>12346</v>
      </c>
      <c r="D11758" s="5">
        <v>371724</v>
      </c>
      <c r="E11758" s="5" t="s">
        <v>13997</v>
      </c>
    </row>
    <row r="11759" spans="2:5">
      <c r="B11759" s="4" t="s">
        <v>12345</v>
      </c>
      <c r="C11759" s="129" t="s">
        <v>12346</v>
      </c>
      <c r="D11759" s="5">
        <v>371725</v>
      </c>
      <c r="E11759" s="5" t="s">
        <v>13998</v>
      </c>
    </row>
    <row r="11760" spans="2:5">
      <c r="B11760" s="4" t="s">
        <v>12345</v>
      </c>
      <c r="C11760" s="129" t="s">
        <v>12346</v>
      </c>
      <c r="D11760" s="5">
        <v>371726</v>
      </c>
      <c r="E11760" s="5" t="s">
        <v>13999</v>
      </c>
    </row>
    <row r="11761" spans="2:5">
      <c r="B11761" s="4" t="s">
        <v>12345</v>
      </c>
      <c r="C11761" s="129" t="s">
        <v>12346</v>
      </c>
      <c r="D11761" s="5">
        <v>371727</v>
      </c>
      <c r="E11761" s="5" t="s">
        <v>14000</v>
      </c>
    </row>
    <row r="11762" spans="2:5">
      <c r="B11762" s="4" t="s">
        <v>12345</v>
      </c>
      <c r="C11762" s="129" t="s">
        <v>12346</v>
      </c>
      <c r="D11762" s="5">
        <v>371728</v>
      </c>
      <c r="E11762" s="5" t="s">
        <v>14001</v>
      </c>
    </row>
    <row r="11763" spans="2:5">
      <c r="B11763" s="4" t="s">
        <v>12345</v>
      </c>
      <c r="C11763" s="129" t="s">
        <v>12346</v>
      </c>
      <c r="D11763" s="5">
        <v>410000</v>
      </c>
      <c r="E11763" s="5" t="s">
        <v>14002</v>
      </c>
    </row>
    <row r="11764" spans="2:5">
      <c r="B11764" s="4" t="s">
        <v>12345</v>
      </c>
      <c r="C11764" s="129" t="s">
        <v>12346</v>
      </c>
      <c r="D11764" s="5">
        <v>410100</v>
      </c>
      <c r="E11764" s="5" t="s">
        <v>14003</v>
      </c>
    </row>
    <row r="11765" spans="2:5">
      <c r="B11765" s="4" t="s">
        <v>12345</v>
      </c>
      <c r="C11765" s="129" t="s">
        <v>12346</v>
      </c>
      <c r="D11765" s="5">
        <v>410101</v>
      </c>
      <c r="E11765" s="5" t="s">
        <v>14004</v>
      </c>
    </row>
    <row r="11766" spans="2:5">
      <c r="B11766" s="4" t="s">
        <v>12345</v>
      </c>
      <c r="C11766" s="129" t="s">
        <v>12346</v>
      </c>
      <c r="D11766" s="5">
        <v>410102</v>
      </c>
      <c r="E11766" s="5" t="s">
        <v>14005</v>
      </c>
    </row>
    <row r="11767" spans="2:5">
      <c r="B11767" s="4" t="s">
        <v>12345</v>
      </c>
      <c r="C11767" s="129" t="s">
        <v>12346</v>
      </c>
      <c r="D11767" s="5">
        <v>410103</v>
      </c>
      <c r="E11767" s="5" t="s">
        <v>14006</v>
      </c>
    </row>
    <row r="11768" spans="2:5">
      <c r="B11768" s="4" t="s">
        <v>12345</v>
      </c>
      <c r="C11768" s="129" t="s">
        <v>12346</v>
      </c>
      <c r="D11768" s="5">
        <v>410104</v>
      </c>
      <c r="E11768" s="5" t="s">
        <v>14007</v>
      </c>
    </row>
    <row r="11769" spans="2:5">
      <c r="B11769" s="4" t="s">
        <v>12345</v>
      </c>
      <c r="C11769" s="129" t="s">
        <v>12346</v>
      </c>
      <c r="D11769" s="5">
        <v>410105</v>
      </c>
      <c r="E11769" s="5" t="s">
        <v>14008</v>
      </c>
    </row>
    <row r="11770" spans="2:5">
      <c r="B11770" s="4" t="s">
        <v>12345</v>
      </c>
      <c r="C11770" s="129" t="s">
        <v>12346</v>
      </c>
      <c r="D11770" s="5">
        <v>410106</v>
      </c>
      <c r="E11770" s="5" t="s">
        <v>14009</v>
      </c>
    </row>
    <row r="11771" spans="2:5">
      <c r="B11771" s="4" t="s">
        <v>12345</v>
      </c>
      <c r="C11771" s="129" t="s">
        <v>12346</v>
      </c>
      <c r="D11771" s="5">
        <v>410108</v>
      </c>
      <c r="E11771" s="5" t="s">
        <v>14010</v>
      </c>
    </row>
    <row r="11772" spans="2:5">
      <c r="B11772" s="4" t="s">
        <v>12345</v>
      </c>
      <c r="C11772" s="129" t="s">
        <v>12346</v>
      </c>
      <c r="D11772" s="5">
        <v>410122</v>
      </c>
      <c r="E11772" s="5" t="s">
        <v>14011</v>
      </c>
    </row>
    <row r="11773" spans="2:5">
      <c r="B11773" s="4" t="s">
        <v>12345</v>
      </c>
      <c r="C11773" s="129" t="s">
        <v>12346</v>
      </c>
      <c r="D11773" s="5">
        <v>410181</v>
      </c>
      <c r="E11773" s="5" t="s">
        <v>14012</v>
      </c>
    </row>
    <row r="11774" spans="2:5">
      <c r="B11774" s="4" t="s">
        <v>12345</v>
      </c>
      <c r="C11774" s="129" t="s">
        <v>12346</v>
      </c>
      <c r="D11774" s="5">
        <v>410182</v>
      </c>
      <c r="E11774" s="5" t="s">
        <v>14013</v>
      </c>
    </row>
    <row r="11775" spans="2:5">
      <c r="B11775" s="4" t="s">
        <v>12345</v>
      </c>
      <c r="C11775" s="129" t="s">
        <v>12346</v>
      </c>
      <c r="D11775" s="5">
        <v>410183</v>
      </c>
      <c r="E11775" s="5" t="s">
        <v>14014</v>
      </c>
    </row>
    <row r="11776" spans="2:5">
      <c r="B11776" s="4" t="s">
        <v>12345</v>
      </c>
      <c r="C11776" s="129" t="s">
        <v>12346</v>
      </c>
      <c r="D11776" s="5">
        <v>410184</v>
      </c>
      <c r="E11776" s="5" t="s">
        <v>14015</v>
      </c>
    </row>
    <row r="11777" spans="2:5">
      <c r="B11777" s="4" t="s">
        <v>12345</v>
      </c>
      <c r="C11777" s="129" t="s">
        <v>12346</v>
      </c>
      <c r="D11777" s="5">
        <v>410185</v>
      </c>
      <c r="E11777" s="5" t="s">
        <v>14016</v>
      </c>
    </row>
    <row r="11778" spans="2:5">
      <c r="B11778" s="4" t="s">
        <v>12345</v>
      </c>
      <c r="C11778" s="129" t="s">
        <v>12346</v>
      </c>
      <c r="D11778" s="5">
        <v>410200</v>
      </c>
      <c r="E11778" s="5" t="s">
        <v>14017</v>
      </c>
    </row>
    <row r="11779" spans="2:5">
      <c r="B11779" s="4" t="s">
        <v>12345</v>
      </c>
      <c r="C11779" s="129" t="s">
        <v>12346</v>
      </c>
      <c r="D11779" s="5">
        <v>410201</v>
      </c>
      <c r="E11779" s="5" t="s">
        <v>14018</v>
      </c>
    </row>
    <row r="11780" spans="2:5">
      <c r="B11780" s="4" t="s">
        <v>12345</v>
      </c>
      <c r="C11780" s="129" t="s">
        <v>12346</v>
      </c>
      <c r="D11780" s="5">
        <v>410202</v>
      </c>
      <c r="E11780" s="5" t="s">
        <v>14019</v>
      </c>
    </row>
    <row r="11781" spans="2:5">
      <c r="B11781" s="4" t="s">
        <v>12345</v>
      </c>
      <c r="C11781" s="129" t="s">
        <v>12346</v>
      </c>
      <c r="D11781" s="5">
        <v>410203</v>
      </c>
      <c r="E11781" s="5" t="s">
        <v>14020</v>
      </c>
    </row>
    <row r="11782" spans="2:5">
      <c r="B11782" s="4" t="s">
        <v>12345</v>
      </c>
      <c r="C11782" s="129" t="s">
        <v>12346</v>
      </c>
      <c r="D11782" s="5">
        <v>410204</v>
      </c>
      <c r="E11782" s="5" t="s">
        <v>14021</v>
      </c>
    </row>
    <row r="11783" spans="2:5">
      <c r="B11783" s="4" t="s">
        <v>12345</v>
      </c>
      <c r="C11783" s="129" t="s">
        <v>12346</v>
      </c>
      <c r="D11783" s="5">
        <v>410205</v>
      </c>
      <c r="E11783" s="5" t="s">
        <v>14022</v>
      </c>
    </row>
    <row r="11784" spans="2:5">
      <c r="B11784" s="4" t="s">
        <v>12345</v>
      </c>
      <c r="C11784" s="129" t="s">
        <v>12346</v>
      </c>
      <c r="D11784" s="5">
        <v>410211</v>
      </c>
      <c r="E11784" s="5" t="s">
        <v>14023</v>
      </c>
    </row>
    <row r="11785" spans="2:5">
      <c r="B11785" s="4" t="s">
        <v>12345</v>
      </c>
      <c r="C11785" s="129" t="s">
        <v>12346</v>
      </c>
      <c r="D11785" s="5">
        <v>410221</v>
      </c>
      <c r="E11785" s="5" t="s">
        <v>14024</v>
      </c>
    </row>
    <row r="11786" spans="2:5">
      <c r="B11786" s="4" t="s">
        <v>12345</v>
      </c>
      <c r="C11786" s="129" t="s">
        <v>12346</v>
      </c>
      <c r="D11786" s="5">
        <v>410222</v>
      </c>
      <c r="E11786" s="5" t="s">
        <v>14025</v>
      </c>
    </row>
    <row r="11787" spans="2:5">
      <c r="B11787" s="4" t="s">
        <v>12345</v>
      </c>
      <c r="C11787" s="129" t="s">
        <v>12346</v>
      </c>
      <c r="D11787" s="5">
        <v>410223</v>
      </c>
      <c r="E11787" s="5" t="s">
        <v>14026</v>
      </c>
    </row>
    <row r="11788" spans="2:5">
      <c r="B11788" s="4" t="s">
        <v>12345</v>
      </c>
      <c r="C11788" s="129" t="s">
        <v>12346</v>
      </c>
      <c r="D11788" s="5">
        <v>410224</v>
      </c>
      <c r="E11788" s="5" t="s">
        <v>14027</v>
      </c>
    </row>
    <row r="11789" spans="2:5">
      <c r="B11789" s="4" t="s">
        <v>12345</v>
      </c>
      <c r="C11789" s="129" t="s">
        <v>12346</v>
      </c>
      <c r="D11789" s="5">
        <v>410225</v>
      </c>
      <c r="E11789" s="5" t="s">
        <v>14028</v>
      </c>
    </row>
    <row r="11790" spans="2:5">
      <c r="B11790" s="4" t="s">
        <v>12345</v>
      </c>
      <c r="C11790" s="129" t="s">
        <v>12346</v>
      </c>
      <c r="D11790" s="5">
        <v>410300</v>
      </c>
      <c r="E11790" s="5" t="s">
        <v>14029</v>
      </c>
    </row>
    <row r="11791" spans="2:5">
      <c r="B11791" s="4" t="s">
        <v>12345</v>
      </c>
      <c r="C11791" s="129" t="s">
        <v>12346</v>
      </c>
      <c r="D11791" s="5">
        <v>410301</v>
      </c>
      <c r="E11791" s="5" t="s">
        <v>14030</v>
      </c>
    </row>
    <row r="11792" spans="2:5">
      <c r="B11792" s="4" t="s">
        <v>12345</v>
      </c>
      <c r="C11792" s="129" t="s">
        <v>12346</v>
      </c>
      <c r="D11792" s="5">
        <v>410302</v>
      </c>
      <c r="E11792" s="5" t="s">
        <v>14031</v>
      </c>
    </row>
    <row r="11793" spans="2:5">
      <c r="B11793" s="4" t="s">
        <v>12345</v>
      </c>
      <c r="C11793" s="129" t="s">
        <v>12346</v>
      </c>
      <c r="D11793" s="5">
        <v>410303</v>
      </c>
      <c r="E11793" s="5" t="s">
        <v>14032</v>
      </c>
    </row>
    <row r="11794" spans="2:5">
      <c r="B11794" s="4" t="s">
        <v>12345</v>
      </c>
      <c r="C11794" s="129" t="s">
        <v>12346</v>
      </c>
      <c r="D11794" s="5">
        <v>410304</v>
      </c>
      <c r="E11794" s="5" t="s">
        <v>14033</v>
      </c>
    </row>
    <row r="11795" spans="2:5">
      <c r="B11795" s="4" t="s">
        <v>12345</v>
      </c>
      <c r="C11795" s="129" t="s">
        <v>12346</v>
      </c>
      <c r="D11795" s="5">
        <v>410305</v>
      </c>
      <c r="E11795" s="5" t="s">
        <v>14034</v>
      </c>
    </row>
    <row r="11796" spans="2:5">
      <c r="B11796" s="4" t="s">
        <v>12345</v>
      </c>
      <c r="C11796" s="129" t="s">
        <v>12346</v>
      </c>
      <c r="D11796" s="5">
        <v>410306</v>
      </c>
      <c r="E11796" s="5" t="s">
        <v>14035</v>
      </c>
    </row>
    <row r="11797" spans="2:5">
      <c r="B11797" s="4" t="s">
        <v>12345</v>
      </c>
      <c r="C11797" s="129" t="s">
        <v>12346</v>
      </c>
      <c r="D11797" s="5">
        <v>410311</v>
      </c>
      <c r="E11797" s="5" t="s">
        <v>14036</v>
      </c>
    </row>
    <row r="11798" spans="2:5">
      <c r="B11798" s="4" t="s">
        <v>12345</v>
      </c>
      <c r="C11798" s="129" t="s">
        <v>12346</v>
      </c>
      <c r="D11798" s="5">
        <v>410322</v>
      </c>
      <c r="E11798" s="5" t="s">
        <v>14037</v>
      </c>
    </row>
    <row r="11799" spans="2:5">
      <c r="B11799" s="4" t="s">
        <v>12345</v>
      </c>
      <c r="C11799" s="129" t="s">
        <v>12346</v>
      </c>
      <c r="D11799" s="5">
        <v>410323</v>
      </c>
      <c r="E11799" s="5" t="s">
        <v>14038</v>
      </c>
    </row>
    <row r="11800" spans="2:5">
      <c r="B11800" s="4" t="s">
        <v>12345</v>
      </c>
      <c r="C11800" s="129" t="s">
        <v>12346</v>
      </c>
      <c r="D11800" s="5">
        <v>410324</v>
      </c>
      <c r="E11800" s="5" t="s">
        <v>14039</v>
      </c>
    </row>
    <row r="11801" spans="2:5">
      <c r="B11801" s="4" t="s">
        <v>12345</v>
      </c>
      <c r="C11801" s="129" t="s">
        <v>12346</v>
      </c>
      <c r="D11801" s="5">
        <v>410325</v>
      </c>
      <c r="E11801" s="5" t="s">
        <v>14040</v>
      </c>
    </row>
    <row r="11802" spans="2:5">
      <c r="B11802" s="4" t="s">
        <v>12345</v>
      </c>
      <c r="C11802" s="129" t="s">
        <v>12346</v>
      </c>
      <c r="D11802" s="5">
        <v>410326</v>
      </c>
      <c r="E11802" s="5" t="s">
        <v>14041</v>
      </c>
    </row>
    <row r="11803" spans="2:5">
      <c r="B11803" s="4" t="s">
        <v>12345</v>
      </c>
      <c r="C11803" s="129" t="s">
        <v>12346</v>
      </c>
      <c r="D11803" s="5">
        <v>410327</v>
      </c>
      <c r="E11803" s="5" t="s">
        <v>14042</v>
      </c>
    </row>
    <row r="11804" spans="2:5">
      <c r="B11804" s="4" t="s">
        <v>12345</v>
      </c>
      <c r="C11804" s="129" t="s">
        <v>12346</v>
      </c>
      <c r="D11804" s="5">
        <v>410328</v>
      </c>
      <c r="E11804" s="5" t="s">
        <v>14043</v>
      </c>
    </row>
    <row r="11805" spans="2:5">
      <c r="B11805" s="4" t="s">
        <v>12345</v>
      </c>
      <c r="C11805" s="129" t="s">
        <v>12346</v>
      </c>
      <c r="D11805" s="5">
        <v>410329</v>
      </c>
      <c r="E11805" s="5" t="s">
        <v>14044</v>
      </c>
    </row>
    <row r="11806" spans="2:5">
      <c r="B11806" s="4" t="s">
        <v>12345</v>
      </c>
      <c r="C11806" s="129" t="s">
        <v>12346</v>
      </c>
      <c r="D11806" s="5">
        <v>410381</v>
      </c>
      <c r="E11806" s="5" t="s">
        <v>14045</v>
      </c>
    </row>
    <row r="11807" spans="2:5">
      <c r="B11807" s="4" t="s">
        <v>12345</v>
      </c>
      <c r="C11807" s="129" t="s">
        <v>12346</v>
      </c>
      <c r="D11807" s="5">
        <v>410400</v>
      </c>
      <c r="E11807" s="5" t="s">
        <v>14046</v>
      </c>
    </row>
    <row r="11808" spans="2:5">
      <c r="B11808" s="4" t="s">
        <v>12345</v>
      </c>
      <c r="C11808" s="129" t="s">
        <v>12346</v>
      </c>
      <c r="D11808" s="5">
        <v>410401</v>
      </c>
      <c r="E11808" s="5" t="s">
        <v>14047</v>
      </c>
    </row>
    <row r="11809" spans="2:5">
      <c r="B11809" s="4" t="s">
        <v>12345</v>
      </c>
      <c r="C11809" s="129" t="s">
        <v>12346</v>
      </c>
      <c r="D11809" s="5">
        <v>410402</v>
      </c>
      <c r="E11809" s="5" t="s">
        <v>14048</v>
      </c>
    </row>
    <row r="11810" spans="2:5">
      <c r="B11810" s="4" t="s">
        <v>12345</v>
      </c>
      <c r="C11810" s="129" t="s">
        <v>12346</v>
      </c>
      <c r="D11810" s="5">
        <v>410403</v>
      </c>
      <c r="E11810" s="5" t="s">
        <v>14049</v>
      </c>
    </row>
    <row r="11811" spans="2:5">
      <c r="B11811" s="4" t="s">
        <v>12345</v>
      </c>
      <c r="C11811" s="129" t="s">
        <v>12346</v>
      </c>
      <c r="D11811" s="5">
        <v>410404</v>
      </c>
      <c r="E11811" s="5" t="s">
        <v>14050</v>
      </c>
    </row>
    <row r="11812" spans="2:5">
      <c r="B11812" s="4" t="s">
        <v>12345</v>
      </c>
      <c r="C11812" s="129" t="s">
        <v>12346</v>
      </c>
      <c r="D11812" s="5">
        <v>410411</v>
      </c>
      <c r="E11812" s="5" t="s">
        <v>14051</v>
      </c>
    </row>
    <row r="11813" spans="2:5">
      <c r="B11813" s="4" t="s">
        <v>12345</v>
      </c>
      <c r="C11813" s="129" t="s">
        <v>12346</v>
      </c>
      <c r="D11813" s="5">
        <v>410421</v>
      </c>
      <c r="E11813" s="5" t="s">
        <v>14052</v>
      </c>
    </row>
    <row r="11814" spans="2:5">
      <c r="B11814" s="4" t="s">
        <v>12345</v>
      </c>
      <c r="C11814" s="129" t="s">
        <v>12346</v>
      </c>
      <c r="D11814" s="5">
        <v>410422</v>
      </c>
      <c r="E11814" s="5" t="s">
        <v>14053</v>
      </c>
    </row>
    <row r="11815" spans="2:5">
      <c r="B11815" s="4" t="s">
        <v>12345</v>
      </c>
      <c r="C11815" s="129" t="s">
        <v>12346</v>
      </c>
      <c r="D11815" s="5">
        <v>410423</v>
      </c>
      <c r="E11815" s="5" t="s">
        <v>14054</v>
      </c>
    </row>
    <row r="11816" spans="2:5">
      <c r="B11816" s="4" t="s">
        <v>12345</v>
      </c>
      <c r="C11816" s="129" t="s">
        <v>12346</v>
      </c>
      <c r="D11816" s="5">
        <v>410425</v>
      </c>
      <c r="E11816" s="5" t="s">
        <v>14055</v>
      </c>
    </row>
    <row r="11817" spans="2:5">
      <c r="B11817" s="4" t="s">
        <v>12345</v>
      </c>
      <c r="C11817" s="129" t="s">
        <v>12346</v>
      </c>
      <c r="D11817" s="5">
        <v>410481</v>
      </c>
      <c r="E11817" s="5" t="s">
        <v>14056</v>
      </c>
    </row>
    <row r="11818" spans="2:5">
      <c r="B11818" s="4" t="s">
        <v>12345</v>
      </c>
      <c r="C11818" s="129" t="s">
        <v>12346</v>
      </c>
      <c r="D11818" s="5">
        <v>410482</v>
      </c>
      <c r="E11818" s="5" t="s">
        <v>14057</v>
      </c>
    </row>
    <row r="11819" spans="2:5">
      <c r="B11819" s="4" t="s">
        <v>12345</v>
      </c>
      <c r="C11819" s="129" t="s">
        <v>12346</v>
      </c>
      <c r="D11819" s="5">
        <v>410500</v>
      </c>
      <c r="E11819" s="5" t="s">
        <v>14058</v>
      </c>
    </row>
    <row r="11820" spans="2:5">
      <c r="B11820" s="4" t="s">
        <v>12345</v>
      </c>
      <c r="C11820" s="129" t="s">
        <v>12346</v>
      </c>
      <c r="D11820" s="5">
        <v>410501</v>
      </c>
      <c r="E11820" s="5" t="s">
        <v>14059</v>
      </c>
    </row>
    <row r="11821" spans="2:5">
      <c r="B11821" s="4" t="s">
        <v>12345</v>
      </c>
      <c r="C11821" s="129" t="s">
        <v>12346</v>
      </c>
      <c r="D11821" s="5">
        <v>410502</v>
      </c>
      <c r="E11821" s="5" t="s">
        <v>14060</v>
      </c>
    </row>
    <row r="11822" spans="2:5">
      <c r="B11822" s="4" t="s">
        <v>12345</v>
      </c>
      <c r="C11822" s="129" t="s">
        <v>12346</v>
      </c>
      <c r="D11822" s="5">
        <v>410503</v>
      </c>
      <c r="E11822" s="5" t="s">
        <v>14061</v>
      </c>
    </row>
    <row r="11823" spans="2:5">
      <c r="B11823" s="4" t="s">
        <v>12345</v>
      </c>
      <c r="C11823" s="129" t="s">
        <v>12346</v>
      </c>
      <c r="D11823" s="5">
        <v>410505</v>
      </c>
      <c r="E11823" s="5" t="s">
        <v>14062</v>
      </c>
    </row>
    <row r="11824" spans="2:5">
      <c r="B11824" s="4" t="s">
        <v>12345</v>
      </c>
      <c r="C11824" s="129" t="s">
        <v>12346</v>
      </c>
      <c r="D11824" s="5">
        <v>410506</v>
      </c>
      <c r="E11824" s="5" t="s">
        <v>14063</v>
      </c>
    </row>
    <row r="11825" spans="2:5">
      <c r="B11825" s="4" t="s">
        <v>12345</v>
      </c>
      <c r="C11825" s="129" t="s">
        <v>12346</v>
      </c>
      <c r="D11825" s="5">
        <v>410522</v>
      </c>
      <c r="E11825" s="5" t="s">
        <v>14064</v>
      </c>
    </row>
    <row r="11826" spans="2:5">
      <c r="B11826" s="4" t="s">
        <v>12345</v>
      </c>
      <c r="C11826" s="129" t="s">
        <v>12346</v>
      </c>
      <c r="D11826" s="5">
        <v>410523</v>
      </c>
      <c r="E11826" s="5" t="s">
        <v>14065</v>
      </c>
    </row>
    <row r="11827" spans="2:5">
      <c r="B11827" s="4" t="s">
        <v>12345</v>
      </c>
      <c r="C11827" s="129" t="s">
        <v>12346</v>
      </c>
      <c r="D11827" s="5">
        <v>410526</v>
      </c>
      <c r="E11827" s="5" t="s">
        <v>14066</v>
      </c>
    </row>
    <row r="11828" spans="2:5">
      <c r="B11828" s="4" t="s">
        <v>12345</v>
      </c>
      <c r="C11828" s="129" t="s">
        <v>12346</v>
      </c>
      <c r="D11828" s="5">
        <v>410527</v>
      </c>
      <c r="E11828" s="5" t="s">
        <v>14067</v>
      </c>
    </row>
    <row r="11829" spans="2:5">
      <c r="B11829" s="4" t="s">
        <v>12345</v>
      </c>
      <c r="C11829" s="129" t="s">
        <v>12346</v>
      </c>
      <c r="D11829" s="5">
        <v>410581</v>
      </c>
      <c r="E11829" s="5" t="s">
        <v>14068</v>
      </c>
    </row>
    <row r="11830" spans="2:5">
      <c r="B11830" s="4" t="s">
        <v>12345</v>
      </c>
      <c r="C11830" s="129" t="s">
        <v>12346</v>
      </c>
      <c r="D11830" s="5">
        <v>410600</v>
      </c>
      <c r="E11830" s="5" t="s">
        <v>14069</v>
      </c>
    </row>
    <row r="11831" spans="2:5">
      <c r="B11831" s="4" t="s">
        <v>12345</v>
      </c>
      <c r="C11831" s="129" t="s">
        <v>12346</v>
      </c>
      <c r="D11831" s="5">
        <v>410601</v>
      </c>
      <c r="E11831" s="5" t="s">
        <v>14070</v>
      </c>
    </row>
    <row r="11832" spans="2:5">
      <c r="B11832" s="4" t="s">
        <v>12345</v>
      </c>
      <c r="C11832" s="129" t="s">
        <v>12346</v>
      </c>
      <c r="D11832" s="5">
        <v>410602</v>
      </c>
      <c r="E11832" s="5" t="s">
        <v>14071</v>
      </c>
    </row>
    <row r="11833" spans="2:5">
      <c r="B11833" s="4" t="s">
        <v>12345</v>
      </c>
      <c r="C11833" s="129" t="s">
        <v>12346</v>
      </c>
      <c r="D11833" s="5">
        <v>410603</v>
      </c>
      <c r="E11833" s="5" t="s">
        <v>14072</v>
      </c>
    </row>
    <row r="11834" spans="2:5">
      <c r="B11834" s="4" t="s">
        <v>12345</v>
      </c>
      <c r="C11834" s="129" t="s">
        <v>12346</v>
      </c>
      <c r="D11834" s="5">
        <v>410611</v>
      </c>
      <c r="E11834" s="5" t="s">
        <v>14073</v>
      </c>
    </row>
    <row r="11835" spans="2:5">
      <c r="B11835" s="4" t="s">
        <v>12345</v>
      </c>
      <c r="C11835" s="129" t="s">
        <v>12346</v>
      </c>
      <c r="D11835" s="5">
        <v>410621</v>
      </c>
      <c r="E11835" s="5" t="s">
        <v>14074</v>
      </c>
    </row>
    <row r="11836" spans="2:5">
      <c r="B11836" s="4" t="s">
        <v>12345</v>
      </c>
      <c r="C11836" s="129" t="s">
        <v>12346</v>
      </c>
      <c r="D11836" s="5">
        <v>410622</v>
      </c>
      <c r="E11836" s="5" t="s">
        <v>14075</v>
      </c>
    </row>
    <row r="11837" spans="2:5">
      <c r="B11837" s="4" t="s">
        <v>12345</v>
      </c>
      <c r="C11837" s="129" t="s">
        <v>12346</v>
      </c>
      <c r="D11837" s="5">
        <v>410700</v>
      </c>
      <c r="E11837" s="5" t="s">
        <v>14076</v>
      </c>
    </row>
    <row r="11838" spans="2:5">
      <c r="B11838" s="4" t="s">
        <v>12345</v>
      </c>
      <c r="C11838" s="129" t="s">
        <v>12346</v>
      </c>
      <c r="D11838" s="5">
        <v>410701</v>
      </c>
      <c r="E11838" s="5" t="s">
        <v>14077</v>
      </c>
    </row>
    <row r="11839" spans="2:5">
      <c r="B11839" s="4" t="s">
        <v>12345</v>
      </c>
      <c r="C11839" s="129" t="s">
        <v>12346</v>
      </c>
      <c r="D11839" s="5">
        <v>410702</v>
      </c>
      <c r="E11839" s="5" t="s">
        <v>14078</v>
      </c>
    </row>
    <row r="11840" spans="2:5">
      <c r="B11840" s="4" t="s">
        <v>12345</v>
      </c>
      <c r="C11840" s="129" t="s">
        <v>12346</v>
      </c>
      <c r="D11840" s="5">
        <v>410703</v>
      </c>
      <c r="E11840" s="5" t="s">
        <v>14079</v>
      </c>
    </row>
    <row r="11841" spans="2:5">
      <c r="B11841" s="4" t="s">
        <v>12345</v>
      </c>
      <c r="C11841" s="129" t="s">
        <v>12346</v>
      </c>
      <c r="D11841" s="5">
        <v>410704</v>
      </c>
      <c r="E11841" s="5" t="s">
        <v>14080</v>
      </c>
    </row>
    <row r="11842" spans="2:5">
      <c r="B11842" s="4" t="s">
        <v>12345</v>
      </c>
      <c r="C11842" s="129" t="s">
        <v>12346</v>
      </c>
      <c r="D11842" s="5">
        <v>410711</v>
      </c>
      <c r="E11842" s="5" t="s">
        <v>14081</v>
      </c>
    </row>
    <row r="11843" spans="2:5">
      <c r="B11843" s="4" t="s">
        <v>12345</v>
      </c>
      <c r="C11843" s="129" t="s">
        <v>12346</v>
      </c>
      <c r="D11843" s="5">
        <v>410721</v>
      </c>
      <c r="E11843" s="5" t="s">
        <v>14082</v>
      </c>
    </row>
    <row r="11844" spans="2:5">
      <c r="B11844" s="4" t="s">
        <v>12345</v>
      </c>
      <c r="C11844" s="129" t="s">
        <v>12346</v>
      </c>
      <c r="D11844" s="5">
        <v>410724</v>
      </c>
      <c r="E11844" s="5" t="s">
        <v>14083</v>
      </c>
    </row>
    <row r="11845" spans="2:5">
      <c r="B11845" s="4" t="s">
        <v>12345</v>
      </c>
      <c r="C11845" s="129" t="s">
        <v>12346</v>
      </c>
      <c r="D11845" s="5">
        <v>410725</v>
      </c>
      <c r="E11845" s="5" t="s">
        <v>14084</v>
      </c>
    </row>
    <row r="11846" spans="2:5">
      <c r="B11846" s="4" t="s">
        <v>12345</v>
      </c>
      <c r="C11846" s="129" t="s">
        <v>12346</v>
      </c>
      <c r="D11846" s="5">
        <v>410726</v>
      </c>
      <c r="E11846" s="5" t="s">
        <v>14085</v>
      </c>
    </row>
    <row r="11847" spans="2:5">
      <c r="B11847" s="4" t="s">
        <v>12345</v>
      </c>
      <c r="C11847" s="129" t="s">
        <v>12346</v>
      </c>
      <c r="D11847" s="5">
        <v>410727</v>
      </c>
      <c r="E11847" s="5" t="s">
        <v>14086</v>
      </c>
    </row>
    <row r="11848" spans="2:5">
      <c r="B11848" s="4" t="s">
        <v>12345</v>
      </c>
      <c r="C11848" s="129" t="s">
        <v>12346</v>
      </c>
      <c r="D11848" s="5">
        <v>410728</v>
      </c>
      <c r="E11848" s="5" t="s">
        <v>14087</v>
      </c>
    </row>
    <row r="11849" spans="2:5">
      <c r="B11849" s="4" t="s">
        <v>12345</v>
      </c>
      <c r="C11849" s="129" t="s">
        <v>12346</v>
      </c>
      <c r="D11849" s="5">
        <v>410781</v>
      </c>
      <c r="E11849" s="5" t="s">
        <v>14088</v>
      </c>
    </row>
    <row r="11850" spans="2:5">
      <c r="B11850" s="4" t="s">
        <v>12345</v>
      </c>
      <c r="C11850" s="129" t="s">
        <v>12346</v>
      </c>
      <c r="D11850" s="5">
        <v>410782</v>
      </c>
      <c r="E11850" s="5" t="s">
        <v>14089</v>
      </c>
    </row>
    <row r="11851" spans="2:5">
      <c r="B11851" s="4" t="s">
        <v>12345</v>
      </c>
      <c r="C11851" s="129" t="s">
        <v>12346</v>
      </c>
      <c r="D11851" s="5">
        <v>410800</v>
      </c>
      <c r="E11851" s="5" t="s">
        <v>14090</v>
      </c>
    </row>
    <row r="11852" spans="2:5">
      <c r="B11852" s="4" t="s">
        <v>12345</v>
      </c>
      <c r="C11852" s="129" t="s">
        <v>12346</v>
      </c>
      <c r="D11852" s="5">
        <v>410801</v>
      </c>
      <c r="E11852" s="5" t="s">
        <v>14091</v>
      </c>
    </row>
    <row r="11853" spans="2:5">
      <c r="B11853" s="4" t="s">
        <v>12345</v>
      </c>
      <c r="C11853" s="129" t="s">
        <v>12346</v>
      </c>
      <c r="D11853" s="5">
        <v>410802</v>
      </c>
      <c r="E11853" s="5" t="s">
        <v>14092</v>
      </c>
    </row>
    <row r="11854" spans="2:5">
      <c r="B11854" s="4" t="s">
        <v>12345</v>
      </c>
      <c r="C11854" s="129" t="s">
        <v>12346</v>
      </c>
      <c r="D11854" s="5">
        <v>410803</v>
      </c>
      <c r="E11854" s="5" t="s">
        <v>14093</v>
      </c>
    </row>
    <row r="11855" spans="2:5">
      <c r="B11855" s="4" t="s">
        <v>12345</v>
      </c>
      <c r="C11855" s="129" t="s">
        <v>12346</v>
      </c>
      <c r="D11855" s="5">
        <v>410804</v>
      </c>
      <c r="E11855" s="5" t="s">
        <v>14094</v>
      </c>
    </row>
    <row r="11856" spans="2:5">
      <c r="B11856" s="4" t="s">
        <v>12345</v>
      </c>
      <c r="C11856" s="129" t="s">
        <v>12346</v>
      </c>
      <c r="D11856" s="5">
        <v>410811</v>
      </c>
      <c r="E11856" s="5" t="s">
        <v>14095</v>
      </c>
    </row>
    <row r="11857" spans="2:5">
      <c r="B11857" s="4" t="s">
        <v>12345</v>
      </c>
      <c r="C11857" s="129" t="s">
        <v>12346</v>
      </c>
      <c r="D11857" s="5">
        <v>410821</v>
      </c>
      <c r="E11857" s="5" t="s">
        <v>14096</v>
      </c>
    </row>
    <row r="11858" spans="2:5">
      <c r="B11858" s="4" t="s">
        <v>12345</v>
      </c>
      <c r="C11858" s="129" t="s">
        <v>12346</v>
      </c>
      <c r="D11858" s="5">
        <v>410822</v>
      </c>
      <c r="E11858" s="5" t="s">
        <v>14097</v>
      </c>
    </row>
    <row r="11859" spans="2:5">
      <c r="B11859" s="4" t="s">
        <v>12345</v>
      </c>
      <c r="C11859" s="129" t="s">
        <v>12346</v>
      </c>
      <c r="D11859" s="5">
        <v>410823</v>
      </c>
      <c r="E11859" s="5" t="s">
        <v>14098</v>
      </c>
    </row>
    <row r="11860" spans="2:5">
      <c r="B11860" s="4" t="s">
        <v>12345</v>
      </c>
      <c r="C11860" s="129" t="s">
        <v>12346</v>
      </c>
      <c r="D11860" s="5">
        <v>410825</v>
      </c>
      <c r="E11860" s="5" t="s">
        <v>14099</v>
      </c>
    </row>
    <row r="11861" spans="2:5">
      <c r="B11861" s="4" t="s">
        <v>12345</v>
      </c>
      <c r="C11861" s="129" t="s">
        <v>12346</v>
      </c>
      <c r="D11861" s="5">
        <v>410882</v>
      </c>
      <c r="E11861" s="5" t="s">
        <v>14100</v>
      </c>
    </row>
    <row r="11862" spans="2:5">
      <c r="B11862" s="4" t="s">
        <v>12345</v>
      </c>
      <c r="C11862" s="129" t="s">
        <v>12346</v>
      </c>
      <c r="D11862" s="5">
        <v>410883</v>
      </c>
      <c r="E11862" s="5" t="s">
        <v>14101</v>
      </c>
    </row>
    <row r="11863" spans="2:5">
      <c r="B11863" s="4" t="s">
        <v>12345</v>
      </c>
      <c r="C11863" s="129" t="s">
        <v>12346</v>
      </c>
      <c r="D11863" s="5">
        <v>410900</v>
      </c>
      <c r="E11863" s="5" t="s">
        <v>14102</v>
      </c>
    </row>
    <row r="11864" spans="2:5">
      <c r="B11864" s="4" t="s">
        <v>12345</v>
      </c>
      <c r="C11864" s="129" t="s">
        <v>12346</v>
      </c>
      <c r="D11864" s="5">
        <v>410901</v>
      </c>
      <c r="E11864" s="5" t="s">
        <v>14103</v>
      </c>
    </row>
    <row r="11865" spans="2:5">
      <c r="B11865" s="4" t="s">
        <v>12345</v>
      </c>
      <c r="C11865" s="129" t="s">
        <v>12346</v>
      </c>
      <c r="D11865" s="5">
        <v>410902</v>
      </c>
      <c r="E11865" s="5" t="s">
        <v>14104</v>
      </c>
    </row>
    <row r="11866" spans="2:5">
      <c r="B11866" s="4" t="s">
        <v>12345</v>
      </c>
      <c r="C11866" s="129" t="s">
        <v>12346</v>
      </c>
      <c r="D11866" s="5">
        <v>410922</v>
      </c>
      <c r="E11866" s="5" t="s">
        <v>14105</v>
      </c>
    </row>
    <row r="11867" spans="2:5">
      <c r="B11867" s="4" t="s">
        <v>12345</v>
      </c>
      <c r="C11867" s="129" t="s">
        <v>12346</v>
      </c>
      <c r="D11867" s="5">
        <v>410923</v>
      </c>
      <c r="E11867" s="5" t="s">
        <v>14106</v>
      </c>
    </row>
    <row r="11868" spans="2:5">
      <c r="B11868" s="4" t="s">
        <v>12345</v>
      </c>
      <c r="C11868" s="129" t="s">
        <v>12346</v>
      </c>
      <c r="D11868" s="5">
        <v>410926</v>
      </c>
      <c r="E11868" s="5" t="s">
        <v>14107</v>
      </c>
    </row>
    <row r="11869" spans="2:5">
      <c r="B11869" s="4" t="s">
        <v>12345</v>
      </c>
      <c r="C11869" s="129" t="s">
        <v>12346</v>
      </c>
      <c r="D11869" s="5">
        <v>410927</v>
      </c>
      <c r="E11869" s="5" t="s">
        <v>14108</v>
      </c>
    </row>
    <row r="11870" spans="2:5">
      <c r="B11870" s="4" t="s">
        <v>12345</v>
      </c>
      <c r="C11870" s="129" t="s">
        <v>12346</v>
      </c>
      <c r="D11870" s="5">
        <v>410928</v>
      </c>
      <c r="E11870" s="5" t="s">
        <v>14109</v>
      </c>
    </row>
    <row r="11871" spans="2:5">
      <c r="B11871" s="4" t="s">
        <v>12345</v>
      </c>
      <c r="C11871" s="129" t="s">
        <v>12346</v>
      </c>
      <c r="D11871" s="5">
        <v>411000</v>
      </c>
      <c r="E11871" s="5" t="s">
        <v>14110</v>
      </c>
    </row>
    <row r="11872" spans="2:5">
      <c r="B11872" s="4" t="s">
        <v>12345</v>
      </c>
      <c r="C11872" s="129" t="s">
        <v>12346</v>
      </c>
      <c r="D11872" s="5">
        <v>411001</v>
      </c>
      <c r="E11872" s="5" t="s">
        <v>14111</v>
      </c>
    </row>
    <row r="11873" spans="2:5">
      <c r="B11873" s="4" t="s">
        <v>12345</v>
      </c>
      <c r="C11873" s="129" t="s">
        <v>12346</v>
      </c>
      <c r="D11873" s="5">
        <v>411002</v>
      </c>
      <c r="E11873" s="5" t="s">
        <v>14112</v>
      </c>
    </row>
    <row r="11874" spans="2:5">
      <c r="B11874" s="4" t="s">
        <v>12345</v>
      </c>
      <c r="C11874" s="129" t="s">
        <v>12346</v>
      </c>
      <c r="D11874" s="5">
        <v>411023</v>
      </c>
      <c r="E11874" s="5" t="s">
        <v>14113</v>
      </c>
    </row>
    <row r="11875" spans="2:5">
      <c r="B11875" s="4" t="s">
        <v>12345</v>
      </c>
      <c r="C11875" s="129" t="s">
        <v>12346</v>
      </c>
      <c r="D11875" s="5">
        <v>411024</v>
      </c>
      <c r="E11875" s="5" t="s">
        <v>14114</v>
      </c>
    </row>
    <row r="11876" spans="2:5">
      <c r="B11876" s="4" t="s">
        <v>12345</v>
      </c>
      <c r="C11876" s="129" t="s">
        <v>12346</v>
      </c>
      <c r="D11876" s="5">
        <v>411025</v>
      </c>
      <c r="E11876" s="5" t="s">
        <v>14115</v>
      </c>
    </row>
    <row r="11877" spans="2:5">
      <c r="B11877" s="4" t="s">
        <v>12345</v>
      </c>
      <c r="C11877" s="129" t="s">
        <v>12346</v>
      </c>
      <c r="D11877" s="5">
        <v>411081</v>
      </c>
      <c r="E11877" s="5" t="s">
        <v>14116</v>
      </c>
    </row>
    <row r="11878" spans="2:5">
      <c r="B11878" s="4" t="s">
        <v>12345</v>
      </c>
      <c r="C11878" s="129" t="s">
        <v>12346</v>
      </c>
      <c r="D11878" s="5">
        <v>411082</v>
      </c>
      <c r="E11878" s="5" t="s">
        <v>14117</v>
      </c>
    </row>
    <row r="11879" spans="2:5">
      <c r="B11879" s="4" t="s">
        <v>12345</v>
      </c>
      <c r="C11879" s="129" t="s">
        <v>12346</v>
      </c>
      <c r="D11879" s="5">
        <v>411100</v>
      </c>
      <c r="E11879" s="5" t="s">
        <v>14118</v>
      </c>
    </row>
    <row r="11880" spans="2:5">
      <c r="B11880" s="4" t="s">
        <v>12345</v>
      </c>
      <c r="C11880" s="129" t="s">
        <v>12346</v>
      </c>
      <c r="D11880" s="5">
        <v>411101</v>
      </c>
      <c r="E11880" s="5" t="s">
        <v>14119</v>
      </c>
    </row>
    <row r="11881" spans="2:5">
      <c r="B11881" s="4" t="s">
        <v>12345</v>
      </c>
      <c r="C11881" s="129" t="s">
        <v>12346</v>
      </c>
      <c r="D11881" s="5">
        <v>411102</v>
      </c>
      <c r="E11881" s="5" t="s">
        <v>14120</v>
      </c>
    </row>
    <row r="11882" spans="2:5">
      <c r="B11882" s="4" t="s">
        <v>12345</v>
      </c>
      <c r="C11882" s="129" t="s">
        <v>12346</v>
      </c>
      <c r="D11882" s="5">
        <v>411103</v>
      </c>
      <c r="E11882" s="5" t="s">
        <v>14121</v>
      </c>
    </row>
    <row r="11883" spans="2:5">
      <c r="B11883" s="4" t="s">
        <v>12345</v>
      </c>
      <c r="C11883" s="129" t="s">
        <v>12346</v>
      </c>
      <c r="D11883" s="5">
        <v>411104</v>
      </c>
      <c r="E11883" s="5" t="s">
        <v>14122</v>
      </c>
    </row>
    <row r="11884" spans="2:5">
      <c r="B11884" s="4" t="s">
        <v>12345</v>
      </c>
      <c r="C11884" s="129" t="s">
        <v>12346</v>
      </c>
      <c r="D11884" s="5">
        <v>411121</v>
      </c>
      <c r="E11884" s="5" t="s">
        <v>14123</v>
      </c>
    </row>
    <row r="11885" spans="2:5">
      <c r="B11885" s="4" t="s">
        <v>12345</v>
      </c>
      <c r="C11885" s="129" t="s">
        <v>12346</v>
      </c>
      <c r="D11885" s="5">
        <v>411122</v>
      </c>
      <c r="E11885" s="5" t="s">
        <v>14124</v>
      </c>
    </row>
    <row r="11886" spans="2:5">
      <c r="B11886" s="4" t="s">
        <v>12345</v>
      </c>
      <c r="C11886" s="129" t="s">
        <v>12346</v>
      </c>
      <c r="D11886" s="5">
        <v>411200</v>
      </c>
      <c r="E11886" s="5" t="s">
        <v>14125</v>
      </c>
    </row>
    <row r="11887" spans="2:5">
      <c r="B11887" s="4" t="s">
        <v>12345</v>
      </c>
      <c r="C11887" s="129" t="s">
        <v>12346</v>
      </c>
      <c r="D11887" s="5">
        <v>411201</v>
      </c>
      <c r="E11887" s="5" t="s">
        <v>14126</v>
      </c>
    </row>
    <row r="11888" spans="2:5">
      <c r="B11888" s="4" t="s">
        <v>12345</v>
      </c>
      <c r="C11888" s="129" t="s">
        <v>12346</v>
      </c>
      <c r="D11888" s="5">
        <v>411202</v>
      </c>
      <c r="E11888" s="5" t="s">
        <v>14127</v>
      </c>
    </row>
    <row r="11889" spans="2:5">
      <c r="B11889" s="4" t="s">
        <v>12345</v>
      </c>
      <c r="C11889" s="129" t="s">
        <v>12346</v>
      </c>
      <c r="D11889" s="5">
        <v>411221</v>
      </c>
      <c r="E11889" s="5" t="s">
        <v>14128</v>
      </c>
    </row>
    <row r="11890" spans="2:5">
      <c r="B11890" s="4" t="s">
        <v>12345</v>
      </c>
      <c r="C11890" s="129" t="s">
        <v>12346</v>
      </c>
      <c r="D11890" s="5">
        <v>411222</v>
      </c>
      <c r="E11890" s="5" t="s">
        <v>14129</v>
      </c>
    </row>
    <row r="11891" spans="2:5">
      <c r="B11891" s="4" t="s">
        <v>12345</v>
      </c>
      <c r="C11891" s="129" t="s">
        <v>12346</v>
      </c>
      <c r="D11891" s="5">
        <v>411224</v>
      </c>
      <c r="E11891" s="5" t="s">
        <v>14130</v>
      </c>
    </row>
    <row r="11892" spans="2:5">
      <c r="B11892" s="4" t="s">
        <v>12345</v>
      </c>
      <c r="C11892" s="129" t="s">
        <v>12346</v>
      </c>
      <c r="D11892" s="5">
        <v>411281</v>
      </c>
      <c r="E11892" s="5" t="s">
        <v>14131</v>
      </c>
    </row>
    <row r="11893" spans="2:5">
      <c r="B11893" s="4" t="s">
        <v>12345</v>
      </c>
      <c r="C11893" s="129" t="s">
        <v>12346</v>
      </c>
      <c r="D11893" s="5">
        <v>411282</v>
      </c>
      <c r="E11893" s="5" t="s">
        <v>14132</v>
      </c>
    </row>
    <row r="11894" spans="2:5">
      <c r="B11894" s="4" t="s">
        <v>12345</v>
      </c>
      <c r="C11894" s="129" t="s">
        <v>12346</v>
      </c>
      <c r="D11894" s="5">
        <v>411300</v>
      </c>
      <c r="E11894" s="5" t="s">
        <v>14133</v>
      </c>
    </row>
    <row r="11895" spans="2:5">
      <c r="B11895" s="4" t="s">
        <v>12345</v>
      </c>
      <c r="C11895" s="129" t="s">
        <v>12346</v>
      </c>
      <c r="D11895" s="5">
        <v>411301</v>
      </c>
      <c r="E11895" s="5" t="s">
        <v>14134</v>
      </c>
    </row>
    <row r="11896" spans="2:5">
      <c r="B11896" s="4" t="s">
        <v>12345</v>
      </c>
      <c r="C11896" s="129" t="s">
        <v>12346</v>
      </c>
      <c r="D11896" s="5">
        <v>411302</v>
      </c>
      <c r="E11896" s="5" t="s">
        <v>14135</v>
      </c>
    </row>
    <row r="11897" spans="2:5">
      <c r="B11897" s="4" t="s">
        <v>12345</v>
      </c>
      <c r="C11897" s="129" t="s">
        <v>12346</v>
      </c>
      <c r="D11897" s="5">
        <v>411303</v>
      </c>
      <c r="E11897" s="5" t="s">
        <v>14136</v>
      </c>
    </row>
    <row r="11898" spans="2:5">
      <c r="B11898" s="4" t="s">
        <v>12345</v>
      </c>
      <c r="C11898" s="129" t="s">
        <v>12346</v>
      </c>
      <c r="D11898" s="5">
        <v>411321</v>
      </c>
      <c r="E11898" s="5" t="s">
        <v>14137</v>
      </c>
    </row>
    <row r="11899" spans="2:5">
      <c r="B11899" s="4" t="s">
        <v>12345</v>
      </c>
      <c r="C11899" s="129" t="s">
        <v>12346</v>
      </c>
      <c r="D11899" s="5">
        <v>411322</v>
      </c>
      <c r="E11899" s="5" t="s">
        <v>14138</v>
      </c>
    </row>
    <row r="11900" spans="2:5">
      <c r="B11900" s="4" t="s">
        <v>12345</v>
      </c>
      <c r="C11900" s="129" t="s">
        <v>12346</v>
      </c>
      <c r="D11900" s="5">
        <v>411323</v>
      </c>
      <c r="E11900" s="5" t="s">
        <v>14139</v>
      </c>
    </row>
    <row r="11901" spans="2:5">
      <c r="B11901" s="4" t="s">
        <v>12345</v>
      </c>
      <c r="C11901" s="129" t="s">
        <v>12346</v>
      </c>
      <c r="D11901" s="5">
        <v>411324</v>
      </c>
      <c r="E11901" s="5" t="s">
        <v>14140</v>
      </c>
    </row>
    <row r="11902" spans="2:5">
      <c r="B11902" s="4" t="s">
        <v>12345</v>
      </c>
      <c r="C11902" s="129" t="s">
        <v>12346</v>
      </c>
      <c r="D11902" s="5">
        <v>411325</v>
      </c>
      <c r="E11902" s="5" t="s">
        <v>14141</v>
      </c>
    </row>
    <row r="11903" spans="2:5">
      <c r="B11903" s="4" t="s">
        <v>12345</v>
      </c>
      <c r="C11903" s="129" t="s">
        <v>12346</v>
      </c>
      <c r="D11903" s="5">
        <v>411326</v>
      </c>
      <c r="E11903" s="5" t="s">
        <v>14142</v>
      </c>
    </row>
    <row r="11904" spans="2:5">
      <c r="B11904" s="4" t="s">
        <v>12345</v>
      </c>
      <c r="C11904" s="129" t="s">
        <v>12346</v>
      </c>
      <c r="D11904" s="5">
        <v>411327</v>
      </c>
      <c r="E11904" s="5" t="s">
        <v>14143</v>
      </c>
    </row>
    <row r="11905" spans="2:5">
      <c r="B11905" s="4" t="s">
        <v>12345</v>
      </c>
      <c r="C11905" s="129" t="s">
        <v>12346</v>
      </c>
      <c r="D11905" s="5">
        <v>411328</v>
      </c>
      <c r="E11905" s="5" t="s">
        <v>14144</v>
      </c>
    </row>
    <row r="11906" spans="2:5">
      <c r="B11906" s="4" t="s">
        <v>12345</v>
      </c>
      <c r="C11906" s="129" t="s">
        <v>12346</v>
      </c>
      <c r="D11906" s="5">
        <v>411329</v>
      </c>
      <c r="E11906" s="5" t="s">
        <v>14145</v>
      </c>
    </row>
    <row r="11907" spans="2:5">
      <c r="B11907" s="4" t="s">
        <v>12345</v>
      </c>
      <c r="C11907" s="129" t="s">
        <v>12346</v>
      </c>
      <c r="D11907" s="5">
        <v>411330</v>
      </c>
      <c r="E11907" s="5" t="s">
        <v>14146</v>
      </c>
    </row>
    <row r="11908" spans="2:5">
      <c r="B11908" s="4" t="s">
        <v>12345</v>
      </c>
      <c r="C11908" s="129" t="s">
        <v>12346</v>
      </c>
      <c r="D11908" s="5">
        <v>411381</v>
      </c>
      <c r="E11908" s="5" t="s">
        <v>14147</v>
      </c>
    </row>
    <row r="11909" spans="2:5">
      <c r="B11909" s="4" t="s">
        <v>12345</v>
      </c>
      <c r="C11909" s="129" t="s">
        <v>12346</v>
      </c>
      <c r="D11909" s="5">
        <v>411400</v>
      </c>
      <c r="E11909" s="5" t="s">
        <v>14148</v>
      </c>
    </row>
    <row r="11910" spans="2:5">
      <c r="B11910" s="4" t="s">
        <v>12345</v>
      </c>
      <c r="C11910" s="129" t="s">
        <v>12346</v>
      </c>
      <c r="D11910" s="5">
        <v>411401</v>
      </c>
      <c r="E11910" s="5" t="s">
        <v>14149</v>
      </c>
    </row>
    <row r="11911" spans="2:5">
      <c r="B11911" s="4" t="s">
        <v>12345</v>
      </c>
      <c r="C11911" s="129" t="s">
        <v>12346</v>
      </c>
      <c r="D11911" s="5">
        <v>411402</v>
      </c>
      <c r="E11911" s="5" t="s">
        <v>14150</v>
      </c>
    </row>
    <row r="11912" spans="2:5">
      <c r="B11912" s="4" t="s">
        <v>12345</v>
      </c>
      <c r="C11912" s="129" t="s">
        <v>12346</v>
      </c>
      <c r="D11912" s="5">
        <v>411403</v>
      </c>
      <c r="E11912" s="5" t="s">
        <v>14151</v>
      </c>
    </row>
    <row r="11913" spans="2:5">
      <c r="B11913" s="4" t="s">
        <v>12345</v>
      </c>
      <c r="C11913" s="129" t="s">
        <v>12346</v>
      </c>
      <c r="D11913" s="5">
        <v>411421</v>
      </c>
      <c r="E11913" s="5" t="s">
        <v>14152</v>
      </c>
    </row>
    <row r="11914" spans="2:5">
      <c r="B11914" s="4" t="s">
        <v>12345</v>
      </c>
      <c r="C11914" s="129" t="s">
        <v>12346</v>
      </c>
      <c r="D11914" s="5">
        <v>411422</v>
      </c>
      <c r="E11914" s="5" t="s">
        <v>14153</v>
      </c>
    </row>
    <row r="11915" spans="2:5">
      <c r="B11915" s="4" t="s">
        <v>12345</v>
      </c>
      <c r="C11915" s="129" t="s">
        <v>12346</v>
      </c>
      <c r="D11915" s="5">
        <v>411423</v>
      </c>
      <c r="E11915" s="5" t="s">
        <v>14154</v>
      </c>
    </row>
    <row r="11916" spans="2:5">
      <c r="B11916" s="4" t="s">
        <v>12345</v>
      </c>
      <c r="C11916" s="129" t="s">
        <v>12346</v>
      </c>
      <c r="D11916" s="5">
        <v>411424</v>
      </c>
      <c r="E11916" s="5" t="s">
        <v>14155</v>
      </c>
    </row>
    <row r="11917" spans="2:5">
      <c r="B11917" s="4" t="s">
        <v>12345</v>
      </c>
      <c r="C11917" s="129" t="s">
        <v>12346</v>
      </c>
      <c r="D11917" s="5">
        <v>411425</v>
      </c>
      <c r="E11917" s="5" t="s">
        <v>14156</v>
      </c>
    </row>
    <row r="11918" spans="2:5">
      <c r="B11918" s="4" t="s">
        <v>12345</v>
      </c>
      <c r="C11918" s="129" t="s">
        <v>12346</v>
      </c>
      <c r="D11918" s="5">
        <v>411426</v>
      </c>
      <c r="E11918" s="5" t="s">
        <v>14157</v>
      </c>
    </row>
    <row r="11919" spans="2:5">
      <c r="B11919" s="4" t="s">
        <v>12345</v>
      </c>
      <c r="C11919" s="129" t="s">
        <v>12346</v>
      </c>
      <c r="D11919" s="5">
        <v>411481</v>
      </c>
      <c r="E11919" s="5" t="s">
        <v>14158</v>
      </c>
    </row>
    <row r="11920" spans="2:5">
      <c r="B11920" s="4" t="s">
        <v>12345</v>
      </c>
      <c r="C11920" s="129" t="s">
        <v>12346</v>
      </c>
      <c r="D11920" s="5">
        <v>411500</v>
      </c>
      <c r="E11920" s="5" t="s">
        <v>14159</v>
      </c>
    </row>
    <row r="11921" spans="2:5">
      <c r="B11921" s="4" t="s">
        <v>12345</v>
      </c>
      <c r="C11921" s="129" t="s">
        <v>12346</v>
      </c>
      <c r="D11921" s="5">
        <v>411501</v>
      </c>
      <c r="E11921" s="5" t="s">
        <v>14160</v>
      </c>
    </row>
    <row r="11922" spans="2:5">
      <c r="B11922" s="4" t="s">
        <v>12345</v>
      </c>
      <c r="C11922" s="129" t="s">
        <v>12346</v>
      </c>
      <c r="D11922" s="5">
        <v>411502</v>
      </c>
      <c r="E11922" s="5" t="s">
        <v>14161</v>
      </c>
    </row>
    <row r="11923" spans="2:5">
      <c r="B11923" s="4" t="s">
        <v>12345</v>
      </c>
      <c r="C11923" s="129" t="s">
        <v>12346</v>
      </c>
      <c r="D11923" s="5">
        <v>411503</v>
      </c>
      <c r="E11923" s="5" t="s">
        <v>14162</v>
      </c>
    </row>
    <row r="11924" spans="2:5">
      <c r="B11924" s="4" t="s">
        <v>12345</v>
      </c>
      <c r="C11924" s="129" t="s">
        <v>12346</v>
      </c>
      <c r="D11924" s="5">
        <v>411521</v>
      </c>
      <c r="E11924" s="5" t="s">
        <v>14163</v>
      </c>
    </row>
    <row r="11925" spans="2:5">
      <c r="B11925" s="4" t="s">
        <v>12345</v>
      </c>
      <c r="C11925" s="129" t="s">
        <v>12346</v>
      </c>
      <c r="D11925" s="5">
        <v>411522</v>
      </c>
      <c r="E11925" s="5" t="s">
        <v>14164</v>
      </c>
    </row>
    <row r="11926" spans="2:5">
      <c r="B11926" s="4" t="s">
        <v>12345</v>
      </c>
      <c r="C11926" s="129" t="s">
        <v>12346</v>
      </c>
      <c r="D11926" s="5">
        <v>411523</v>
      </c>
      <c r="E11926" s="5" t="s">
        <v>14165</v>
      </c>
    </row>
    <row r="11927" spans="2:5">
      <c r="B11927" s="4" t="s">
        <v>12345</v>
      </c>
      <c r="C11927" s="129" t="s">
        <v>12346</v>
      </c>
      <c r="D11927" s="5">
        <v>411524</v>
      </c>
      <c r="E11927" s="5" t="s">
        <v>14166</v>
      </c>
    </row>
    <row r="11928" spans="2:5">
      <c r="B11928" s="4" t="s">
        <v>12345</v>
      </c>
      <c r="C11928" s="129" t="s">
        <v>12346</v>
      </c>
      <c r="D11928" s="5">
        <v>411525</v>
      </c>
      <c r="E11928" s="5" t="s">
        <v>14167</v>
      </c>
    </row>
    <row r="11929" spans="2:5">
      <c r="B11929" s="4" t="s">
        <v>12345</v>
      </c>
      <c r="C11929" s="129" t="s">
        <v>12346</v>
      </c>
      <c r="D11929" s="5">
        <v>411526</v>
      </c>
      <c r="E11929" s="5" t="s">
        <v>14168</v>
      </c>
    </row>
    <row r="11930" spans="2:5">
      <c r="B11930" s="4" t="s">
        <v>12345</v>
      </c>
      <c r="C11930" s="129" t="s">
        <v>12346</v>
      </c>
      <c r="D11930" s="5">
        <v>411527</v>
      </c>
      <c r="E11930" s="5" t="s">
        <v>14169</v>
      </c>
    </row>
    <row r="11931" spans="2:5">
      <c r="B11931" s="4" t="s">
        <v>12345</v>
      </c>
      <c r="C11931" s="129" t="s">
        <v>12346</v>
      </c>
      <c r="D11931" s="5">
        <v>411528</v>
      </c>
      <c r="E11931" s="5" t="s">
        <v>14170</v>
      </c>
    </row>
    <row r="11932" spans="2:5">
      <c r="B11932" s="4" t="s">
        <v>12345</v>
      </c>
      <c r="C11932" s="129" t="s">
        <v>12346</v>
      </c>
      <c r="D11932" s="5">
        <v>411600</v>
      </c>
      <c r="E11932" s="5" t="s">
        <v>14171</v>
      </c>
    </row>
    <row r="11933" spans="2:5">
      <c r="B11933" s="4" t="s">
        <v>12345</v>
      </c>
      <c r="C11933" s="129" t="s">
        <v>12346</v>
      </c>
      <c r="D11933" s="5">
        <v>411601</v>
      </c>
      <c r="E11933" s="5" t="s">
        <v>14172</v>
      </c>
    </row>
    <row r="11934" spans="2:5">
      <c r="B11934" s="4" t="s">
        <v>12345</v>
      </c>
      <c r="C11934" s="129" t="s">
        <v>12346</v>
      </c>
      <c r="D11934" s="5">
        <v>411602</v>
      </c>
      <c r="E11934" s="5" t="s">
        <v>14173</v>
      </c>
    </row>
    <row r="11935" spans="2:5">
      <c r="B11935" s="4" t="s">
        <v>12345</v>
      </c>
      <c r="C11935" s="129" t="s">
        <v>12346</v>
      </c>
      <c r="D11935" s="5">
        <v>411621</v>
      </c>
      <c r="E11935" s="5" t="s">
        <v>14174</v>
      </c>
    </row>
    <row r="11936" spans="2:5">
      <c r="B11936" s="4" t="s">
        <v>12345</v>
      </c>
      <c r="C11936" s="129" t="s">
        <v>12346</v>
      </c>
      <c r="D11936" s="5">
        <v>411622</v>
      </c>
      <c r="E11936" s="5" t="s">
        <v>14175</v>
      </c>
    </row>
    <row r="11937" spans="2:5">
      <c r="B11937" s="4" t="s">
        <v>12345</v>
      </c>
      <c r="C11937" s="129" t="s">
        <v>12346</v>
      </c>
      <c r="D11937" s="5">
        <v>411623</v>
      </c>
      <c r="E11937" s="5" t="s">
        <v>14176</v>
      </c>
    </row>
    <row r="11938" spans="2:5">
      <c r="B11938" s="4" t="s">
        <v>12345</v>
      </c>
      <c r="C11938" s="129" t="s">
        <v>12346</v>
      </c>
      <c r="D11938" s="5">
        <v>411624</v>
      </c>
      <c r="E11938" s="5" t="s">
        <v>14177</v>
      </c>
    </row>
    <row r="11939" spans="2:5">
      <c r="B11939" s="4" t="s">
        <v>12345</v>
      </c>
      <c r="C11939" s="129" t="s">
        <v>12346</v>
      </c>
      <c r="D11939" s="5">
        <v>411625</v>
      </c>
      <c r="E11939" s="5" t="s">
        <v>14178</v>
      </c>
    </row>
    <row r="11940" spans="2:5">
      <c r="B11940" s="4" t="s">
        <v>12345</v>
      </c>
      <c r="C11940" s="129" t="s">
        <v>12346</v>
      </c>
      <c r="D11940" s="5">
        <v>411626</v>
      </c>
      <c r="E11940" s="5" t="s">
        <v>14179</v>
      </c>
    </row>
    <row r="11941" spans="2:5">
      <c r="B11941" s="4" t="s">
        <v>12345</v>
      </c>
      <c r="C11941" s="129" t="s">
        <v>12346</v>
      </c>
      <c r="D11941" s="5">
        <v>411627</v>
      </c>
      <c r="E11941" s="5" t="s">
        <v>14180</v>
      </c>
    </row>
    <row r="11942" spans="2:5">
      <c r="B11942" s="4" t="s">
        <v>12345</v>
      </c>
      <c r="C11942" s="129" t="s">
        <v>12346</v>
      </c>
      <c r="D11942" s="5">
        <v>411628</v>
      </c>
      <c r="E11942" s="5" t="s">
        <v>14181</v>
      </c>
    </row>
    <row r="11943" spans="2:5">
      <c r="B11943" s="4" t="s">
        <v>12345</v>
      </c>
      <c r="C11943" s="129" t="s">
        <v>12346</v>
      </c>
      <c r="D11943" s="5">
        <v>411681</v>
      </c>
      <c r="E11943" s="5" t="s">
        <v>14182</v>
      </c>
    </row>
    <row r="11944" spans="2:5">
      <c r="B11944" s="4" t="s">
        <v>12345</v>
      </c>
      <c r="C11944" s="129" t="s">
        <v>12346</v>
      </c>
      <c r="D11944" s="5">
        <v>411700</v>
      </c>
      <c r="E11944" s="5" t="s">
        <v>14183</v>
      </c>
    </row>
    <row r="11945" spans="2:5">
      <c r="B11945" s="4" t="s">
        <v>12345</v>
      </c>
      <c r="C11945" s="129" t="s">
        <v>12346</v>
      </c>
      <c r="D11945" s="5">
        <v>411701</v>
      </c>
      <c r="E11945" s="5" t="s">
        <v>14184</v>
      </c>
    </row>
    <row r="11946" spans="2:5">
      <c r="B11946" s="4" t="s">
        <v>12345</v>
      </c>
      <c r="C11946" s="129" t="s">
        <v>12346</v>
      </c>
      <c r="D11946" s="5">
        <v>411702</v>
      </c>
      <c r="E11946" s="5" t="s">
        <v>14185</v>
      </c>
    </row>
    <row r="11947" spans="2:5">
      <c r="B11947" s="4" t="s">
        <v>12345</v>
      </c>
      <c r="C11947" s="129" t="s">
        <v>12346</v>
      </c>
      <c r="D11947" s="5">
        <v>411721</v>
      </c>
      <c r="E11947" s="5" t="s">
        <v>14186</v>
      </c>
    </row>
    <row r="11948" spans="2:5">
      <c r="B11948" s="4" t="s">
        <v>12345</v>
      </c>
      <c r="C11948" s="129" t="s">
        <v>12346</v>
      </c>
      <c r="D11948" s="5">
        <v>411722</v>
      </c>
      <c r="E11948" s="5" t="s">
        <v>14187</v>
      </c>
    </row>
    <row r="11949" spans="2:5">
      <c r="B11949" s="4" t="s">
        <v>12345</v>
      </c>
      <c r="C11949" s="129" t="s">
        <v>12346</v>
      </c>
      <c r="D11949" s="5">
        <v>411723</v>
      </c>
      <c r="E11949" s="5" t="s">
        <v>14188</v>
      </c>
    </row>
    <row r="11950" spans="2:5">
      <c r="B11950" s="4" t="s">
        <v>12345</v>
      </c>
      <c r="C11950" s="129" t="s">
        <v>12346</v>
      </c>
      <c r="D11950" s="5">
        <v>411724</v>
      </c>
      <c r="E11950" s="5" t="s">
        <v>14189</v>
      </c>
    </row>
    <row r="11951" spans="2:5">
      <c r="B11951" s="4" t="s">
        <v>12345</v>
      </c>
      <c r="C11951" s="129" t="s">
        <v>12346</v>
      </c>
      <c r="D11951" s="5">
        <v>411725</v>
      </c>
      <c r="E11951" s="5" t="s">
        <v>14190</v>
      </c>
    </row>
    <row r="11952" spans="2:5">
      <c r="B11952" s="4" t="s">
        <v>12345</v>
      </c>
      <c r="C11952" s="129" t="s">
        <v>12346</v>
      </c>
      <c r="D11952" s="5">
        <v>411726</v>
      </c>
      <c r="E11952" s="5" t="s">
        <v>14191</v>
      </c>
    </row>
    <row r="11953" spans="2:5">
      <c r="B11953" s="4" t="s">
        <v>12345</v>
      </c>
      <c r="C11953" s="129" t="s">
        <v>12346</v>
      </c>
      <c r="D11953" s="5">
        <v>411727</v>
      </c>
      <c r="E11953" s="5" t="s">
        <v>14192</v>
      </c>
    </row>
    <row r="11954" spans="2:5">
      <c r="B11954" s="4" t="s">
        <v>12345</v>
      </c>
      <c r="C11954" s="129" t="s">
        <v>12346</v>
      </c>
      <c r="D11954" s="5">
        <v>411728</v>
      </c>
      <c r="E11954" s="5" t="s">
        <v>14193</v>
      </c>
    </row>
    <row r="11955" spans="2:5">
      <c r="B11955" s="4" t="s">
        <v>12345</v>
      </c>
      <c r="C11955" s="129" t="s">
        <v>12346</v>
      </c>
      <c r="D11955" s="5">
        <v>411729</v>
      </c>
      <c r="E11955" s="5" t="s">
        <v>14194</v>
      </c>
    </row>
    <row r="11956" spans="2:5">
      <c r="B11956" s="4" t="s">
        <v>12345</v>
      </c>
      <c r="C11956" s="129" t="s">
        <v>12346</v>
      </c>
      <c r="D11956" s="5">
        <v>419000</v>
      </c>
      <c r="E11956" s="5" t="s">
        <v>14195</v>
      </c>
    </row>
    <row r="11957" spans="2:5">
      <c r="B11957" s="4" t="s">
        <v>12345</v>
      </c>
      <c r="C11957" s="129" t="s">
        <v>12346</v>
      </c>
      <c r="D11957" s="5">
        <v>419001</v>
      </c>
      <c r="E11957" s="5" t="s">
        <v>14196</v>
      </c>
    </row>
    <row r="11958" spans="2:5">
      <c r="B11958" s="4" t="s">
        <v>12345</v>
      </c>
      <c r="C11958" s="129" t="s">
        <v>12346</v>
      </c>
      <c r="D11958" s="5">
        <v>420000</v>
      </c>
      <c r="E11958" s="5" t="s">
        <v>14197</v>
      </c>
    </row>
    <row r="11959" spans="2:5">
      <c r="B11959" s="4" t="s">
        <v>12345</v>
      </c>
      <c r="C11959" s="129" t="s">
        <v>12346</v>
      </c>
      <c r="D11959" s="5">
        <v>420100</v>
      </c>
      <c r="E11959" s="5" t="s">
        <v>14198</v>
      </c>
    </row>
    <row r="11960" spans="2:5">
      <c r="B11960" s="4" t="s">
        <v>12345</v>
      </c>
      <c r="C11960" s="129" t="s">
        <v>12346</v>
      </c>
      <c r="D11960" s="5">
        <v>420101</v>
      </c>
      <c r="E11960" s="5" t="s">
        <v>14199</v>
      </c>
    </row>
    <row r="11961" spans="2:5">
      <c r="B11961" s="4" t="s">
        <v>12345</v>
      </c>
      <c r="C11961" s="129" t="s">
        <v>12346</v>
      </c>
      <c r="D11961" s="5">
        <v>420102</v>
      </c>
      <c r="E11961" s="5" t="s">
        <v>14200</v>
      </c>
    </row>
    <row r="11962" spans="2:5">
      <c r="B11962" s="4" t="s">
        <v>12345</v>
      </c>
      <c r="C11962" s="129" t="s">
        <v>12346</v>
      </c>
      <c r="D11962" s="5">
        <v>420103</v>
      </c>
      <c r="E11962" s="5" t="s">
        <v>14201</v>
      </c>
    </row>
    <row r="11963" spans="2:5">
      <c r="B11963" s="4" t="s">
        <v>12345</v>
      </c>
      <c r="C11963" s="129" t="s">
        <v>12346</v>
      </c>
      <c r="D11963" s="5">
        <v>420104</v>
      </c>
      <c r="E11963" s="5" t="s">
        <v>14202</v>
      </c>
    </row>
    <row r="11964" spans="2:5">
      <c r="B11964" s="4" t="s">
        <v>12345</v>
      </c>
      <c r="C11964" s="129" t="s">
        <v>12346</v>
      </c>
      <c r="D11964" s="5">
        <v>420105</v>
      </c>
      <c r="E11964" s="5" t="s">
        <v>14203</v>
      </c>
    </row>
    <row r="11965" spans="2:5">
      <c r="B11965" s="4" t="s">
        <v>12345</v>
      </c>
      <c r="C11965" s="129" t="s">
        <v>12346</v>
      </c>
      <c r="D11965" s="5">
        <v>420106</v>
      </c>
      <c r="E11965" s="5" t="s">
        <v>14204</v>
      </c>
    </row>
    <row r="11966" spans="2:5">
      <c r="B11966" s="4" t="s">
        <v>12345</v>
      </c>
      <c r="C11966" s="129" t="s">
        <v>12346</v>
      </c>
      <c r="D11966" s="5">
        <v>420107</v>
      </c>
      <c r="E11966" s="5" t="s">
        <v>14205</v>
      </c>
    </row>
    <row r="11967" spans="2:5">
      <c r="B11967" s="4" t="s">
        <v>12345</v>
      </c>
      <c r="C11967" s="129" t="s">
        <v>12346</v>
      </c>
      <c r="D11967" s="5">
        <v>420111</v>
      </c>
      <c r="E11967" s="5" t="s">
        <v>14206</v>
      </c>
    </row>
    <row r="11968" spans="2:5">
      <c r="B11968" s="4" t="s">
        <v>12345</v>
      </c>
      <c r="C11968" s="129" t="s">
        <v>12346</v>
      </c>
      <c r="D11968" s="5">
        <v>420112</v>
      </c>
      <c r="E11968" s="5" t="s">
        <v>14207</v>
      </c>
    </row>
    <row r="11969" spans="2:5">
      <c r="B11969" s="4" t="s">
        <v>12345</v>
      </c>
      <c r="C11969" s="129" t="s">
        <v>12346</v>
      </c>
      <c r="D11969" s="5">
        <v>420113</v>
      </c>
      <c r="E11969" s="5" t="s">
        <v>14208</v>
      </c>
    </row>
    <row r="11970" spans="2:5">
      <c r="B11970" s="4" t="s">
        <v>12345</v>
      </c>
      <c r="C11970" s="129" t="s">
        <v>12346</v>
      </c>
      <c r="D11970" s="5">
        <v>420114</v>
      </c>
      <c r="E11970" s="5" t="s">
        <v>14209</v>
      </c>
    </row>
    <row r="11971" spans="2:5">
      <c r="B11971" s="4" t="s">
        <v>12345</v>
      </c>
      <c r="C11971" s="129" t="s">
        <v>12346</v>
      </c>
      <c r="D11971" s="5">
        <v>420115</v>
      </c>
      <c r="E11971" s="5" t="s">
        <v>14210</v>
      </c>
    </row>
    <row r="11972" spans="2:5">
      <c r="B11972" s="4" t="s">
        <v>12345</v>
      </c>
      <c r="C11972" s="129" t="s">
        <v>12346</v>
      </c>
      <c r="D11972" s="5">
        <v>420116</v>
      </c>
      <c r="E11972" s="5" t="s">
        <v>14211</v>
      </c>
    </row>
    <row r="11973" spans="2:5">
      <c r="B11973" s="4" t="s">
        <v>12345</v>
      </c>
      <c r="C11973" s="129" t="s">
        <v>12346</v>
      </c>
      <c r="D11973" s="5">
        <v>420117</v>
      </c>
      <c r="E11973" s="5" t="s">
        <v>14212</v>
      </c>
    </row>
    <row r="11974" spans="2:5">
      <c r="B11974" s="4" t="s">
        <v>12345</v>
      </c>
      <c r="C11974" s="129" t="s">
        <v>12346</v>
      </c>
      <c r="D11974" s="5">
        <v>420200</v>
      </c>
      <c r="E11974" s="5" t="s">
        <v>14213</v>
      </c>
    </row>
    <row r="11975" spans="2:5">
      <c r="B11975" s="4" t="s">
        <v>12345</v>
      </c>
      <c r="C11975" s="129" t="s">
        <v>12346</v>
      </c>
      <c r="D11975" s="5">
        <v>420201</v>
      </c>
      <c r="E11975" s="5" t="s">
        <v>14214</v>
      </c>
    </row>
    <row r="11976" spans="2:5">
      <c r="B11976" s="4" t="s">
        <v>12345</v>
      </c>
      <c r="C11976" s="129" t="s">
        <v>12346</v>
      </c>
      <c r="D11976" s="5">
        <v>420202</v>
      </c>
      <c r="E11976" s="5" t="s">
        <v>14215</v>
      </c>
    </row>
    <row r="11977" spans="2:5">
      <c r="B11977" s="4" t="s">
        <v>12345</v>
      </c>
      <c r="C11977" s="129" t="s">
        <v>12346</v>
      </c>
      <c r="D11977" s="5">
        <v>420203</v>
      </c>
      <c r="E11977" s="5" t="s">
        <v>14216</v>
      </c>
    </row>
    <row r="11978" spans="2:5">
      <c r="B11978" s="4" t="s">
        <v>12345</v>
      </c>
      <c r="C11978" s="129" t="s">
        <v>12346</v>
      </c>
      <c r="D11978" s="5">
        <v>420204</v>
      </c>
      <c r="E11978" s="5" t="s">
        <v>14217</v>
      </c>
    </row>
    <row r="11979" spans="2:5">
      <c r="B11979" s="4" t="s">
        <v>12345</v>
      </c>
      <c r="C11979" s="129" t="s">
        <v>12346</v>
      </c>
      <c r="D11979" s="5">
        <v>420205</v>
      </c>
      <c r="E11979" s="5" t="s">
        <v>14218</v>
      </c>
    </row>
    <row r="11980" spans="2:5">
      <c r="B11980" s="4" t="s">
        <v>12345</v>
      </c>
      <c r="C11980" s="129" t="s">
        <v>12346</v>
      </c>
      <c r="D11980" s="5">
        <v>420222</v>
      </c>
      <c r="E11980" s="5" t="s">
        <v>14219</v>
      </c>
    </row>
    <row r="11981" spans="2:5">
      <c r="B11981" s="4" t="s">
        <v>12345</v>
      </c>
      <c r="C11981" s="129" t="s">
        <v>12346</v>
      </c>
      <c r="D11981" s="5">
        <v>420281</v>
      </c>
      <c r="E11981" s="5" t="s">
        <v>14220</v>
      </c>
    </row>
    <row r="11982" spans="2:5">
      <c r="B11982" s="4" t="s">
        <v>12345</v>
      </c>
      <c r="C11982" s="129" t="s">
        <v>12346</v>
      </c>
      <c r="D11982" s="5">
        <v>420300</v>
      </c>
      <c r="E11982" s="5" t="s">
        <v>14221</v>
      </c>
    </row>
    <row r="11983" spans="2:5">
      <c r="B11983" s="4" t="s">
        <v>12345</v>
      </c>
      <c r="C11983" s="129" t="s">
        <v>12346</v>
      </c>
      <c r="D11983" s="5">
        <v>420301</v>
      </c>
      <c r="E11983" s="5" t="s">
        <v>14222</v>
      </c>
    </row>
    <row r="11984" spans="2:5">
      <c r="B11984" s="4" t="s">
        <v>12345</v>
      </c>
      <c r="C11984" s="129" t="s">
        <v>12346</v>
      </c>
      <c r="D11984" s="5">
        <v>420302</v>
      </c>
      <c r="E11984" s="5" t="s">
        <v>14223</v>
      </c>
    </row>
    <row r="11985" spans="2:5">
      <c r="B11985" s="4" t="s">
        <v>12345</v>
      </c>
      <c r="C11985" s="129" t="s">
        <v>12346</v>
      </c>
      <c r="D11985" s="5">
        <v>420303</v>
      </c>
      <c r="E11985" s="5" t="s">
        <v>14224</v>
      </c>
    </row>
    <row r="11986" spans="2:5">
      <c r="B11986" s="4" t="s">
        <v>12345</v>
      </c>
      <c r="C11986" s="129" t="s">
        <v>12346</v>
      </c>
      <c r="D11986" s="5">
        <v>420304</v>
      </c>
      <c r="E11986" s="5" t="s">
        <v>14225</v>
      </c>
    </row>
    <row r="11987" spans="2:5">
      <c r="B11987" s="4" t="s">
        <v>12345</v>
      </c>
      <c r="C11987" s="129" t="s">
        <v>12346</v>
      </c>
      <c r="D11987" s="5">
        <v>420322</v>
      </c>
      <c r="E11987" s="5" t="s">
        <v>14226</v>
      </c>
    </row>
    <row r="11988" spans="2:5">
      <c r="B11988" s="4" t="s">
        <v>12345</v>
      </c>
      <c r="C11988" s="129" t="s">
        <v>12346</v>
      </c>
      <c r="D11988" s="5">
        <v>420323</v>
      </c>
      <c r="E11988" s="5" t="s">
        <v>14227</v>
      </c>
    </row>
    <row r="11989" spans="2:5">
      <c r="B11989" s="4" t="s">
        <v>12345</v>
      </c>
      <c r="C11989" s="129" t="s">
        <v>12346</v>
      </c>
      <c r="D11989" s="5">
        <v>420324</v>
      </c>
      <c r="E11989" s="5" t="s">
        <v>14228</v>
      </c>
    </row>
    <row r="11990" spans="2:5">
      <c r="B11990" s="4" t="s">
        <v>12345</v>
      </c>
      <c r="C11990" s="129" t="s">
        <v>12346</v>
      </c>
      <c r="D11990" s="5">
        <v>420325</v>
      </c>
      <c r="E11990" s="5" t="s">
        <v>14229</v>
      </c>
    </row>
    <row r="11991" spans="2:5">
      <c r="B11991" s="4" t="s">
        <v>12345</v>
      </c>
      <c r="C11991" s="129" t="s">
        <v>12346</v>
      </c>
      <c r="D11991" s="5">
        <v>420381</v>
      </c>
      <c r="E11991" s="5" t="s">
        <v>14230</v>
      </c>
    </row>
    <row r="11992" spans="2:5">
      <c r="B11992" s="4" t="s">
        <v>12345</v>
      </c>
      <c r="C11992" s="129" t="s">
        <v>12346</v>
      </c>
      <c r="D11992" s="5">
        <v>420500</v>
      </c>
      <c r="E11992" s="5" t="s">
        <v>14231</v>
      </c>
    </row>
    <row r="11993" spans="2:5">
      <c r="B11993" s="4" t="s">
        <v>12345</v>
      </c>
      <c r="C11993" s="129" t="s">
        <v>12346</v>
      </c>
      <c r="D11993" s="5">
        <v>420501</v>
      </c>
      <c r="E11993" s="5" t="s">
        <v>14232</v>
      </c>
    </row>
    <row r="11994" spans="2:5">
      <c r="B11994" s="4" t="s">
        <v>12345</v>
      </c>
      <c r="C11994" s="129" t="s">
        <v>12346</v>
      </c>
      <c r="D11994" s="5">
        <v>420502</v>
      </c>
      <c r="E11994" s="5" t="s">
        <v>14233</v>
      </c>
    </row>
    <row r="11995" spans="2:5">
      <c r="B11995" s="4" t="s">
        <v>12345</v>
      </c>
      <c r="C11995" s="129" t="s">
        <v>12346</v>
      </c>
      <c r="D11995" s="5">
        <v>420503</v>
      </c>
      <c r="E11995" s="5" t="s">
        <v>14234</v>
      </c>
    </row>
    <row r="11996" spans="2:5">
      <c r="B11996" s="4" t="s">
        <v>12345</v>
      </c>
      <c r="C11996" s="129" t="s">
        <v>12346</v>
      </c>
      <c r="D11996" s="5">
        <v>420504</v>
      </c>
      <c r="E11996" s="5" t="s">
        <v>14235</v>
      </c>
    </row>
    <row r="11997" spans="2:5">
      <c r="B11997" s="4" t="s">
        <v>12345</v>
      </c>
      <c r="C11997" s="129" t="s">
        <v>12346</v>
      </c>
      <c r="D11997" s="5">
        <v>420505</v>
      </c>
      <c r="E11997" s="5" t="s">
        <v>14236</v>
      </c>
    </row>
    <row r="11998" spans="2:5">
      <c r="B11998" s="4" t="s">
        <v>12345</v>
      </c>
      <c r="C11998" s="129" t="s">
        <v>12346</v>
      </c>
      <c r="D11998" s="5">
        <v>420506</v>
      </c>
      <c r="E11998" s="5" t="s">
        <v>14237</v>
      </c>
    </row>
    <row r="11999" spans="2:5">
      <c r="B11999" s="4" t="s">
        <v>12345</v>
      </c>
      <c r="C11999" s="129" t="s">
        <v>12346</v>
      </c>
      <c r="D11999" s="5">
        <v>420525</v>
      </c>
      <c r="E11999" s="5" t="s">
        <v>14238</v>
      </c>
    </row>
    <row r="12000" spans="2:5">
      <c r="B12000" s="4" t="s">
        <v>12345</v>
      </c>
      <c r="C12000" s="129" t="s">
        <v>12346</v>
      </c>
      <c r="D12000" s="5">
        <v>420526</v>
      </c>
      <c r="E12000" s="5" t="s">
        <v>14239</v>
      </c>
    </row>
    <row r="12001" spans="2:5">
      <c r="B12001" s="4" t="s">
        <v>12345</v>
      </c>
      <c r="C12001" s="129" t="s">
        <v>12346</v>
      </c>
      <c r="D12001" s="5">
        <v>420527</v>
      </c>
      <c r="E12001" s="5" t="s">
        <v>14240</v>
      </c>
    </row>
    <row r="12002" spans="2:5">
      <c r="B12002" s="4" t="s">
        <v>12345</v>
      </c>
      <c r="C12002" s="129" t="s">
        <v>12346</v>
      </c>
      <c r="D12002" s="5">
        <v>420528</v>
      </c>
      <c r="E12002" s="5" t="s">
        <v>14241</v>
      </c>
    </row>
    <row r="12003" spans="2:5">
      <c r="B12003" s="4" t="s">
        <v>12345</v>
      </c>
      <c r="C12003" s="129" t="s">
        <v>12346</v>
      </c>
      <c r="D12003" s="5">
        <v>420529</v>
      </c>
      <c r="E12003" s="5" t="s">
        <v>14242</v>
      </c>
    </row>
    <row r="12004" spans="2:5">
      <c r="B12004" s="4" t="s">
        <v>12345</v>
      </c>
      <c r="C12004" s="129" t="s">
        <v>12346</v>
      </c>
      <c r="D12004" s="5">
        <v>420581</v>
      </c>
      <c r="E12004" s="5" t="s">
        <v>14243</v>
      </c>
    </row>
    <row r="12005" spans="2:5">
      <c r="B12005" s="4" t="s">
        <v>12345</v>
      </c>
      <c r="C12005" s="129" t="s">
        <v>12346</v>
      </c>
      <c r="D12005" s="5">
        <v>420582</v>
      </c>
      <c r="E12005" s="5" t="s">
        <v>14244</v>
      </c>
    </row>
    <row r="12006" spans="2:5">
      <c r="B12006" s="4" t="s">
        <v>12345</v>
      </c>
      <c r="C12006" s="129" t="s">
        <v>12346</v>
      </c>
      <c r="D12006" s="5">
        <v>420583</v>
      </c>
      <c r="E12006" s="5" t="s">
        <v>14245</v>
      </c>
    </row>
    <row r="12007" spans="2:5">
      <c r="B12007" s="4" t="s">
        <v>12345</v>
      </c>
      <c r="C12007" s="129" t="s">
        <v>12346</v>
      </c>
      <c r="D12007" s="5">
        <v>420600</v>
      </c>
      <c r="E12007" s="5" t="s">
        <v>14246</v>
      </c>
    </row>
    <row r="12008" spans="2:5">
      <c r="B12008" s="4" t="s">
        <v>12345</v>
      </c>
      <c r="C12008" s="129" t="s">
        <v>12346</v>
      </c>
      <c r="D12008" s="5">
        <v>420601</v>
      </c>
      <c r="E12008" s="5" t="s">
        <v>14247</v>
      </c>
    </row>
    <row r="12009" spans="2:5">
      <c r="B12009" s="4" t="s">
        <v>12345</v>
      </c>
      <c r="C12009" s="129" t="s">
        <v>12346</v>
      </c>
      <c r="D12009" s="5">
        <v>420602</v>
      </c>
      <c r="E12009" s="5" t="s">
        <v>14248</v>
      </c>
    </row>
    <row r="12010" spans="2:5">
      <c r="B12010" s="4" t="s">
        <v>12345</v>
      </c>
      <c r="C12010" s="129" t="s">
        <v>12346</v>
      </c>
      <c r="D12010" s="5">
        <v>420606</v>
      </c>
      <c r="E12010" s="5" t="s">
        <v>14249</v>
      </c>
    </row>
    <row r="12011" spans="2:5">
      <c r="B12011" s="4" t="s">
        <v>12345</v>
      </c>
      <c r="C12011" s="129" t="s">
        <v>12346</v>
      </c>
      <c r="D12011" s="5">
        <v>420607</v>
      </c>
      <c r="E12011" s="5" t="s">
        <v>14250</v>
      </c>
    </row>
    <row r="12012" spans="2:5">
      <c r="B12012" s="4" t="s">
        <v>12345</v>
      </c>
      <c r="C12012" s="129" t="s">
        <v>12346</v>
      </c>
      <c r="D12012" s="5">
        <v>420624</v>
      </c>
      <c r="E12012" s="5" t="s">
        <v>14251</v>
      </c>
    </row>
    <row r="12013" spans="2:5">
      <c r="B12013" s="4" t="s">
        <v>12345</v>
      </c>
      <c r="C12013" s="129" t="s">
        <v>12346</v>
      </c>
      <c r="D12013" s="5">
        <v>420625</v>
      </c>
      <c r="E12013" s="5" t="s">
        <v>14252</v>
      </c>
    </row>
    <row r="12014" spans="2:5">
      <c r="B12014" s="4" t="s">
        <v>12345</v>
      </c>
      <c r="C12014" s="129" t="s">
        <v>12346</v>
      </c>
      <c r="D12014" s="5">
        <v>420626</v>
      </c>
      <c r="E12014" s="5" t="s">
        <v>14253</v>
      </c>
    </row>
    <row r="12015" spans="2:5">
      <c r="B12015" s="4" t="s">
        <v>12345</v>
      </c>
      <c r="C12015" s="129" t="s">
        <v>12346</v>
      </c>
      <c r="D12015" s="5">
        <v>420682</v>
      </c>
      <c r="E12015" s="5" t="s">
        <v>14254</v>
      </c>
    </row>
    <row r="12016" spans="2:5">
      <c r="B12016" s="4" t="s">
        <v>12345</v>
      </c>
      <c r="C12016" s="129" t="s">
        <v>12346</v>
      </c>
      <c r="D12016" s="5">
        <v>420683</v>
      </c>
      <c r="E12016" s="5" t="s">
        <v>14255</v>
      </c>
    </row>
    <row r="12017" spans="2:5">
      <c r="B12017" s="4" t="s">
        <v>12345</v>
      </c>
      <c r="C12017" s="129" t="s">
        <v>12346</v>
      </c>
      <c r="D12017" s="5">
        <v>420684</v>
      </c>
      <c r="E12017" s="5" t="s">
        <v>14256</v>
      </c>
    </row>
    <row r="12018" spans="2:5">
      <c r="B12018" s="4" t="s">
        <v>12345</v>
      </c>
      <c r="C12018" s="129" t="s">
        <v>12346</v>
      </c>
      <c r="D12018" s="5">
        <v>420700</v>
      </c>
      <c r="E12018" s="5" t="s">
        <v>14257</v>
      </c>
    </row>
    <row r="12019" spans="2:5">
      <c r="B12019" s="4" t="s">
        <v>12345</v>
      </c>
      <c r="C12019" s="129" t="s">
        <v>12346</v>
      </c>
      <c r="D12019" s="5">
        <v>420701</v>
      </c>
      <c r="E12019" s="5" t="s">
        <v>14258</v>
      </c>
    </row>
    <row r="12020" spans="2:5">
      <c r="B12020" s="4" t="s">
        <v>12345</v>
      </c>
      <c r="C12020" s="129" t="s">
        <v>12346</v>
      </c>
      <c r="D12020" s="5">
        <v>420702</v>
      </c>
      <c r="E12020" s="5" t="s">
        <v>14259</v>
      </c>
    </row>
    <row r="12021" spans="2:5">
      <c r="B12021" s="4" t="s">
        <v>12345</v>
      </c>
      <c r="C12021" s="129" t="s">
        <v>12346</v>
      </c>
      <c r="D12021" s="5">
        <v>420703</v>
      </c>
      <c r="E12021" s="5" t="s">
        <v>14260</v>
      </c>
    </row>
    <row r="12022" spans="2:5">
      <c r="B12022" s="4" t="s">
        <v>12345</v>
      </c>
      <c r="C12022" s="129" t="s">
        <v>12346</v>
      </c>
      <c r="D12022" s="5">
        <v>420704</v>
      </c>
      <c r="E12022" s="5" t="s">
        <v>14261</v>
      </c>
    </row>
    <row r="12023" spans="2:5">
      <c r="B12023" s="4" t="s">
        <v>12345</v>
      </c>
      <c r="C12023" s="129" t="s">
        <v>12346</v>
      </c>
      <c r="D12023" s="5">
        <v>420800</v>
      </c>
      <c r="E12023" s="5" t="s">
        <v>14262</v>
      </c>
    </row>
    <row r="12024" spans="2:5">
      <c r="B12024" s="4" t="s">
        <v>12345</v>
      </c>
      <c r="C12024" s="129" t="s">
        <v>12346</v>
      </c>
      <c r="D12024" s="5">
        <v>420801</v>
      </c>
      <c r="E12024" s="5" t="s">
        <v>14263</v>
      </c>
    </row>
    <row r="12025" spans="2:5">
      <c r="B12025" s="4" t="s">
        <v>12345</v>
      </c>
      <c r="C12025" s="129" t="s">
        <v>12346</v>
      </c>
      <c r="D12025" s="5">
        <v>420802</v>
      </c>
      <c r="E12025" s="5" t="s">
        <v>14264</v>
      </c>
    </row>
    <row r="12026" spans="2:5">
      <c r="B12026" s="4" t="s">
        <v>12345</v>
      </c>
      <c r="C12026" s="129" t="s">
        <v>12346</v>
      </c>
      <c r="D12026" s="5">
        <v>420804</v>
      </c>
      <c r="E12026" s="5" t="s">
        <v>14265</v>
      </c>
    </row>
    <row r="12027" spans="2:5">
      <c r="B12027" s="4" t="s">
        <v>12345</v>
      </c>
      <c r="C12027" s="129" t="s">
        <v>12346</v>
      </c>
      <c r="D12027" s="5">
        <v>420821</v>
      </c>
      <c r="E12027" s="5" t="s">
        <v>14266</v>
      </c>
    </row>
    <row r="12028" spans="2:5">
      <c r="B12028" s="4" t="s">
        <v>12345</v>
      </c>
      <c r="C12028" s="129" t="s">
        <v>12346</v>
      </c>
      <c r="D12028" s="5">
        <v>420822</v>
      </c>
      <c r="E12028" s="5" t="s">
        <v>14267</v>
      </c>
    </row>
    <row r="12029" spans="2:5">
      <c r="B12029" s="4" t="s">
        <v>12345</v>
      </c>
      <c r="C12029" s="129" t="s">
        <v>12346</v>
      </c>
      <c r="D12029" s="5">
        <v>420881</v>
      </c>
      <c r="E12029" s="5" t="s">
        <v>14268</v>
      </c>
    </row>
    <row r="12030" spans="2:5">
      <c r="B12030" s="4" t="s">
        <v>12345</v>
      </c>
      <c r="C12030" s="129" t="s">
        <v>12346</v>
      </c>
      <c r="D12030" s="5">
        <v>420900</v>
      </c>
      <c r="E12030" s="5" t="s">
        <v>14269</v>
      </c>
    </row>
    <row r="12031" spans="2:5">
      <c r="B12031" s="4" t="s">
        <v>12345</v>
      </c>
      <c r="C12031" s="129" t="s">
        <v>12346</v>
      </c>
      <c r="D12031" s="5">
        <v>420901</v>
      </c>
      <c r="E12031" s="5" t="s">
        <v>14270</v>
      </c>
    </row>
    <row r="12032" spans="2:5">
      <c r="B12032" s="4" t="s">
        <v>12345</v>
      </c>
      <c r="C12032" s="129" t="s">
        <v>12346</v>
      </c>
      <c r="D12032" s="5">
        <v>420902</v>
      </c>
      <c r="E12032" s="5" t="s">
        <v>14271</v>
      </c>
    </row>
    <row r="12033" spans="2:5">
      <c r="B12033" s="4" t="s">
        <v>12345</v>
      </c>
      <c r="C12033" s="129" t="s">
        <v>12346</v>
      </c>
      <c r="D12033" s="5">
        <v>420921</v>
      </c>
      <c r="E12033" s="5" t="s">
        <v>14272</v>
      </c>
    </row>
    <row r="12034" spans="2:5">
      <c r="B12034" s="4" t="s">
        <v>12345</v>
      </c>
      <c r="C12034" s="129" t="s">
        <v>12346</v>
      </c>
      <c r="D12034" s="5">
        <v>420922</v>
      </c>
      <c r="E12034" s="5" t="s">
        <v>14273</v>
      </c>
    </row>
    <row r="12035" spans="2:5">
      <c r="B12035" s="4" t="s">
        <v>12345</v>
      </c>
      <c r="C12035" s="129" t="s">
        <v>12346</v>
      </c>
      <c r="D12035" s="5">
        <v>420923</v>
      </c>
      <c r="E12035" s="5" t="s">
        <v>14274</v>
      </c>
    </row>
    <row r="12036" spans="2:5">
      <c r="B12036" s="4" t="s">
        <v>12345</v>
      </c>
      <c r="C12036" s="129" t="s">
        <v>12346</v>
      </c>
      <c r="D12036" s="5">
        <v>420981</v>
      </c>
      <c r="E12036" s="5" t="s">
        <v>14275</v>
      </c>
    </row>
    <row r="12037" spans="2:5">
      <c r="B12037" s="4" t="s">
        <v>12345</v>
      </c>
      <c r="C12037" s="129" t="s">
        <v>12346</v>
      </c>
      <c r="D12037" s="5">
        <v>420982</v>
      </c>
      <c r="E12037" s="5" t="s">
        <v>14276</v>
      </c>
    </row>
    <row r="12038" spans="2:5">
      <c r="B12038" s="4" t="s">
        <v>12345</v>
      </c>
      <c r="C12038" s="129" t="s">
        <v>12346</v>
      </c>
      <c r="D12038" s="5">
        <v>420984</v>
      </c>
      <c r="E12038" s="5" t="s">
        <v>14277</v>
      </c>
    </row>
    <row r="12039" spans="2:5">
      <c r="B12039" s="4" t="s">
        <v>12345</v>
      </c>
      <c r="C12039" s="129" t="s">
        <v>12346</v>
      </c>
      <c r="D12039" s="5">
        <v>421000</v>
      </c>
      <c r="E12039" s="5" t="s">
        <v>14278</v>
      </c>
    </row>
    <row r="12040" spans="2:5">
      <c r="B12040" s="4" t="s">
        <v>12345</v>
      </c>
      <c r="C12040" s="129" t="s">
        <v>12346</v>
      </c>
      <c r="D12040" s="5">
        <v>421001</v>
      </c>
      <c r="E12040" s="5" t="s">
        <v>14279</v>
      </c>
    </row>
    <row r="12041" spans="2:5">
      <c r="B12041" s="4" t="s">
        <v>12345</v>
      </c>
      <c r="C12041" s="129" t="s">
        <v>12346</v>
      </c>
      <c r="D12041" s="5">
        <v>421002</v>
      </c>
      <c r="E12041" s="5" t="s">
        <v>14280</v>
      </c>
    </row>
    <row r="12042" spans="2:5">
      <c r="B12042" s="4" t="s">
        <v>12345</v>
      </c>
      <c r="C12042" s="129" t="s">
        <v>12346</v>
      </c>
      <c r="D12042" s="5">
        <v>421003</v>
      </c>
      <c r="E12042" s="5" t="s">
        <v>14281</v>
      </c>
    </row>
    <row r="12043" spans="2:5">
      <c r="B12043" s="4" t="s">
        <v>12345</v>
      </c>
      <c r="C12043" s="129" t="s">
        <v>12346</v>
      </c>
      <c r="D12043" s="5">
        <v>421022</v>
      </c>
      <c r="E12043" s="5" t="s">
        <v>14282</v>
      </c>
    </row>
    <row r="12044" spans="2:5">
      <c r="B12044" s="4" t="s">
        <v>12345</v>
      </c>
      <c r="C12044" s="129" t="s">
        <v>12346</v>
      </c>
      <c r="D12044" s="5">
        <v>421023</v>
      </c>
      <c r="E12044" s="5" t="s">
        <v>14283</v>
      </c>
    </row>
    <row r="12045" spans="2:5">
      <c r="B12045" s="4" t="s">
        <v>12345</v>
      </c>
      <c r="C12045" s="129" t="s">
        <v>12346</v>
      </c>
      <c r="D12045" s="5">
        <v>421024</v>
      </c>
      <c r="E12045" s="5" t="s">
        <v>14284</v>
      </c>
    </row>
    <row r="12046" spans="2:5">
      <c r="B12046" s="4" t="s">
        <v>12345</v>
      </c>
      <c r="C12046" s="129" t="s">
        <v>12346</v>
      </c>
      <c r="D12046" s="5">
        <v>421081</v>
      </c>
      <c r="E12046" s="5" t="s">
        <v>14285</v>
      </c>
    </row>
    <row r="12047" spans="2:5">
      <c r="B12047" s="4" t="s">
        <v>12345</v>
      </c>
      <c r="C12047" s="129" t="s">
        <v>12346</v>
      </c>
      <c r="D12047" s="5">
        <v>421083</v>
      </c>
      <c r="E12047" s="5" t="s">
        <v>14286</v>
      </c>
    </row>
    <row r="12048" spans="2:5">
      <c r="B12048" s="4" t="s">
        <v>12345</v>
      </c>
      <c r="C12048" s="129" t="s">
        <v>12346</v>
      </c>
      <c r="D12048" s="5">
        <v>421087</v>
      </c>
      <c r="E12048" s="5" t="s">
        <v>14287</v>
      </c>
    </row>
    <row r="12049" spans="2:5">
      <c r="B12049" s="4" t="s">
        <v>12345</v>
      </c>
      <c r="C12049" s="129" t="s">
        <v>12346</v>
      </c>
      <c r="D12049" s="5">
        <v>421100</v>
      </c>
      <c r="E12049" s="5" t="s">
        <v>14288</v>
      </c>
    </row>
    <row r="12050" spans="2:5">
      <c r="B12050" s="4" t="s">
        <v>12345</v>
      </c>
      <c r="C12050" s="129" t="s">
        <v>12346</v>
      </c>
      <c r="D12050" s="5">
        <v>421101</v>
      </c>
      <c r="E12050" s="5" t="s">
        <v>14289</v>
      </c>
    </row>
    <row r="12051" spans="2:5">
      <c r="B12051" s="4" t="s">
        <v>12345</v>
      </c>
      <c r="C12051" s="129" t="s">
        <v>12346</v>
      </c>
      <c r="D12051" s="5">
        <v>421102</v>
      </c>
      <c r="E12051" s="5" t="s">
        <v>14290</v>
      </c>
    </row>
    <row r="12052" spans="2:5">
      <c r="B12052" s="4" t="s">
        <v>12345</v>
      </c>
      <c r="C12052" s="129" t="s">
        <v>12346</v>
      </c>
      <c r="D12052" s="5">
        <v>421121</v>
      </c>
      <c r="E12052" s="5" t="s">
        <v>14291</v>
      </c>
    </row>
    <row r="12053" spans="2:5">
      <c r="B12053" s="4" t="s">
        <v>12345</v>
      </c>
      <c r="C12053" s="129" t="s">
        <v>12346</v>
      </c>
      <c r="D12053" s="5">
        <v>421122</v>
      </c>
      <c r="E12053" s="5" t="s">
        <v>14292</v>
      </c>
    </row>
    <row r="12054" spans="2:5">
      <c r="B12054" s="4" t="s">
        <v>12345</v>
      </c>
      <c r="C12054" s="129" t="s">
        <v>12346</v>
      </c>
      <c r="D12054" s="5">
        <v>421123</v>
      </c>
      <c r="E12054" s="5" t="s">
        <v>14293</v>
      </c>
    </row>
    <row r="12055" spans="2:5">
      <c r="B12055" s="4" t="s">
        <v>12345</v>
      </c>
      <c r="C12055" s="129" t="s">
        <v>12346</v>
      </c>
      <c r="D12055" s="5">
        <v>421124</v>
      </c>
      <c r="E12055" s="5" t="s">
        <v>14294</v>
      </c>
    </row>
    <row r="12056" spans="2:5">
      <c r="B12056" s="4" t="s">
        <v>12345</v>
      </c>
      <c r="C12056" s="129" t="s">
        <v>12346</v>
      </c>
      <c r="D12056" s="5">
        <v>421125</v>
      </c>
      <c r="E12056" s="5" t="s">
        <v>14295</v>
      </c>
    </row>
    <row r="12057" spans="2:5">
      <c r="B12057" s="4" t="s">
        <v>12345</v>
      </c>
      <c r="C12057" s="129" t="s">
        <v>12346</v>
      </c>
      <c r="D12057" s="5">
        <v>421126</v>
      </c>
      <c r="E12057" s="5" t="s">
        <v>14296</v>
      </c>
    </row>
    <row r="12058" spans="2:5">
      <c r="B12058" s="4" t="s">
        <v>12345</v>
      </c>
      <c r="C12058" s="129" t="s">
        <v>12346</v>
      </c>
      <c r="D12058" s="5">
        <v>421127</v>
      </c>
      <c r="E12058" s="5" t="s">
        <v>14297</v>
      </c>
    </row>
    <row r="12059" spans="2:5">
      <c r="B12059" s="4" t="s">
        <v>12345</v>
      </c>
      <c r="C12059" s="129" t="s">
        <v>12346</v>
      </c>
      <c r="D12059" s="5">
        <v>421181</v>
      </c>
      <c r="E12059" s="5" t="s">
        <v>14298</v>
      </c>
    </row>
    <row r="12060" spans="2:5">
      <c r="B12060" s="4" t="s">
        <v>12345</v>
      </c>
      <c r="C12060" s="129" t="s">
        <v>12346</v>
      </c>
      <c r="D12060" s="5">
        <v>421182</v>
      </c>
      <c r="E12060" s="5" t="s">
        <v>14299</v>
      </c>
    </row>
    <row r="12061" spans="2:5">
      <c r="B12061" s="4" t="s">
        <v>12345</v>
      </c>
      <c r="C12061" s="129" t="s">
        <v>12346</v>
      </c>
      <c r="D12061" s="5">
        <v>421200</v>
      </c>
      <c r="E12061" s="5" t="s">
        <v>14300</v>
      </c>
    </row>
    <row r="12062" spans="2:5">
      <c r="B12062" s="4" t="s">
        <v>12345</v>
      </c>
      <c r="C12062" s="129" t="s">
        <v>12346</v>
      </c>
      <c r="D12062" s="5">
        <v>421201</v>
      </c>
      <c r="E12062" s="5" t="s">
        <v>14301</v>
      </c>
    </row>
    <row r="12063" spans="2:5">
      <c r="B12063" s="4" t="s">
        <v>12345</v>
      </c>
      <c r="C12063" s="129" t="s">
        <v>12346</v>
      </c>
      <c r="D12063" s="5">
        <v>421202</v>
      </c>
      <c r="E12063" s="5" t="s">
        <v>14302</v>
      </c>
    </row>
    <row r="12064" spans="2:5">
      <c r="B12064" s="4" t="s">
        <v>12345</v>
      </c>
      <c r="C12064" s="129" t="s">
        <v>12346</v>
      </c>
      <c r="D12064" s="5">
        <v>421221</v>
      </c>
      <c r="E12064" s="5" t="s">
        <v>14303</v>
      </c>
    </row>
    <row r="12065" spans="2:5">
      <c r="B12065" s="4" t="s">
        <v>12345</v>
      </c>
      <c r="C12065" s="129" t="s">
        <v>12346</v>
      </c>
      <c r="D12065" s="5">
        <v>421222</v>
      </c>
      <c r="E12065" s="5" t="s">
        <v>14304</v>
      </c>
    </row>
    <row r="12066" spans="2:5">
      <c r="B12066" s="4" t="s">
        <v>12345</v>
      </c>
      <c r="C12066" s="129" t="s">
        <v>12346</v>
      </c>
      <c r="D12066" s="5">
        <v>421223</v>
      </c>
      <c r="E12066" s="5" t="s">
        <v>14305</v>
      </c>
    </row>
    <row r="12067" spans="2:5">
      <c r="B12067" s="4" t="s">
        <v>12345</v>
      </c>
      <c r="C12067" s="129" t="s">
        <v>12346</v>
      </c>
      <c r="D12067" s="5">
        <v>421224</v>
      </c>
      <c r="E12067" s="5" t="s">
        <v>14306</v>
      </c>
    </row>
    <row r="12068" spans="2:5">
      <c r="B12068" s="4" t="s">
        <v>12345</v>
      </c>
      <c r="C12068" s="129" t="s">
        <v>12346</v>
      </c>
      <c r="D12068" s="5">
        <v>421281</v>
      </c>
      <c r="E12068" s="5" t="s">
        <v>14307</v>
      </c>
    </row>
    <row r="12069" spans="2:5">
      <c r="B12069" s="4" t="s">
        <v>12345</v>
      </c>
      <c r="C12069" s="129" t="s">
        <v>12346</v>
      </c>
      <c r="D12069" s="5">
        <v>421300</v>
      </c>
      <c r="E12069" s="5" t="s">
        <v>14308</v>
      </c>
    </row>
    <row r="12070" spans="2:5">
      <c r="B12070" s="4" t="s">
        <v>12345</v>
      </c>
      <c r="C12070" s="129" t="s">
        <v>12346</v>
      </c>
      <c r="D12070" s="5">
        <v>421301</v>
      </c>
      <c r="E12070" s="5" t="s">
        <v>14309</v>
      </c>
    </row>
    <row r="12071" spans="2:5">
      <c r="B12071" s="4" t="s">
        <v>12345</v>
      </c>
      <c r="C12071" s="129" t="s">
        <v>12346</v>
      </c>
      <c r="D12071" s="5">
        <v>421303</v>
      </c>
      <c r="E12071" s="5" t="s">
        <v>14310</v>
      </c>
    </row>
    <row r="12072" spans="2:5">
      <c r="B12072" s="4" t="s">
        <v>12345</v>
      </c>
      <c r="C12072" s="129" t="s">
        <v>12346</v>
      </c>
      <c r="D12072" s="5">
        <v>421321</v>
      </c>
      <c r="E12072" s="5" t="s">
        <v>14311</v>
      </c>
    </row>
    <row r="12073" spans="2:5">
      <c r="B12073" s="4" t="s">
        <v>12345</v>
      </c>
      <c r="C12073" s="129" t="s">
        <v>12346</v>
      </c>
      <c r="D12073" s="5">
        <v>421381</v>
      </c>
      <c r="E12073" s="5" t="s">
        <v>14312</v>
      </c>
    </row>
    <row r="12074" spans="2:5">
      <c r="B12074" s="4" t="s">
        <v>12345</v>
      </c>
      <c r="C12074" s="129" t="s">
        <v>12346</v>
      </c>
      <c r="D12074" s="5">
        <v>422800</v>
      </c>
      <c r="E12074" s="5" t="s">
        <v>14313</v>
      </c>
    </row>
    <row r="12075" spans="2:5">
      <c r="B12075" s="4" t="s">
        <v>12345</v>
      </c>
      <c r="C12075" s="129" t="s">
        <v>12346</v>
      </c>
      <c r="D12075" s="5">
        <v>422801</v>
      </c>
      <c r="E12075" s="5" t="s">
        <v>14314</v>
      </c>
    </row>
    <row r="12076" spans="2:5">
      <c r="B12076" s="4" t="s">
        <v>12345</v>
      </c>
      <c r="C12076" s="129" t="s">
        <v>12346</v>
      </c>
      <c r="D12076" s="5">
        <v>422802</v>
      </c>
      <c r="E12076" s="5" t="s">
        <v>14315</v>
      </c>
    </row>
    <row r="12077" spans="2:5">
      <c r="B12077" s="4" t="s">
        <v>12345</v>
      </c>
      <c r="C12077" s="129" t="s">
        <v>12346</v>
      </c>
      <c r="D12077" s="5">
        <v>422822</v>
      </c>
      <c r="E12077" s="5" t="s">
        <v>14316</v>
      </c>
    </row>
    <row r="12078" spans="2:5">
      <c r="B12078" s="4" t="s">
        <v>12345</v>
      </c>
      <c r="C12078" s="129" t="s">
        <v>12346</v>
      </c>
      <c r="D12078" s="5">
        <v>422823</v>
      </c>
      <c r="E12078" s="5" t="s">
        <v>14317</v>
      </c>
    </row>
    <row r="12079" spans="2:5">
      <c r="B12079" s="4" t="s">
        <v>12345</v>
      </c>
      <c r="C12079" s="129" t="s">
        <v>12346</v>
      </c>
      <c r="D12079" s="5">
        <v>422825</v>
      </c>
      <c r="E12079" s="5" t="s">
        <v>14318</v>
      </c>
    </row>
    <row r="12080" spans="2:5">
      <c r="B12080" s="4" t="s">
        <v>12345</v>
      </c>
      <c r="C12080" s="129" t="s">
        <v>12346</v>
      </c>
      <c r="D12080" s="5">
        <v>422826</v>
      </c>
      <c r="E12080" s="5" t="s">
        <v>14319</v>
      </c>
    </row>
    <row r="12081" spans="2:5">
      <c r="B12081" s="4" t="s">
        <v>12345</v>
      </c>
      <c r="C12081" s="129" t="s">
        <v>12346</v>
      </c>
      <c r="D12081" s="5">
        <v>422827</v>
      </c>
      <c r="E12081" s="5" t="s">
        <v>14320</v>
      </c>
    </row>
    <row r="12082" spans="2:5">
      <c r="B12082" s="4" t="s">
        <v>12345</v>
      </c>
      <c r="C12082" s="129" t="s">
        <v>12346</v>
      </c>
      <c r="D12082" s="5">
        <v>422828</v>
      </c>
      <c r="E12082" s="5" t="s">
        <v>14321</v>
      </c>
    </row>
    <row r="12083" spans="2:5">
      <c r="B12083" s="4" t="s">
        <v>12345</v>
      </c>
      <c r="C12083" s="129" t="s">
        <v>12346</v>
      </c>
      <c r="D12083" s="5">
        <v>429000</v>
      </c>
      <c r="E12083" s="5" t="s">
        <v>14322</v>
      </c>
    </row>
    <row r="12084" spans="2:5">
      <c r="B12084" s="4" t="s">
        <v>12345</v>
      </c>
      <c r="C12084" s="129" t="s">
        <v>12346</v>
      </c>
      <c r="D12084" s="5">
        <v>429004</v>
      </c>
      <c r="E12084" s="5" t="s">
        <v>14323</v>
      </c>
    </row>
    <row r="12085" spans="2:5">
      <c r="B12085" s="4" t="s">
        <v>12345</v>
      </c>
      <c r="C12085" s="129" t="s">
        <v>12346</v>
      </c>
      <c r="D12085" s="5">
        <v>429005</v>
      </c>
      <c r="E12085" s="5" t="s">
        <v>14324</v>
      </c>
    </row>
    <row r="12086" spans="2:5">
      <c r="B12086" s="4" t="s">
        <v>12345</v>
      </c>
      <c r="C12086" s="129" t="s">
        <v>12346</v>
      </c>
      <c r="D12086" s="5">
        <v>429006</v>
      </c>
      <c r="E12086" s="5" t="s">
        <v>14325</v>
      </c>
    </row>
    <row r="12087" spans="2:5">
      <c r="B12087" s="4" t="s">
        <v>12345</v>
      </c>
      <c r="C12087" s="129" t="s">
        <v>12346</v>
      </c>
      <c r="D12087" s="5">
        <v>429021</v>
      </c>
      <c r="E12087" s="5" t="s">
        <v>14326</v>
      </c>
    </row>
    <row r="12088" spans="2:5">
      <c r="B12088" s="4" t="s">
        <v>12345</v>
      </c>
      <c r="C12088" s="129" t="s">
        <v>12346</v>
      </c>
      <c r="D12088" s="5">
        <v>430000</v>
      </c>
      <c r="E12088" s="5" t="s">
        <v>14327</v>
      </c>
    </row>
    <row r="12089" spans="2:5">
      <c r="B12089" s="4" t="s">
        <v>12345</v>
      </c>
      <c r="C12089" s="129" t="s">
        <v>12346</v>
      </c>
      <c r="D12089" s="5">
        <v>430100</v>
      </c>
      <c r="E12089" s="5" t="s">
        <v>14328</v>
      </c>
    </row>
    <row r="12090" spans="2:5">
      <c r="B12090" s="4" t="s">
        <v>12345</v>
      </c>
      <c r="C12090" s="129" t="s">
        <v>12346</v>
      </c>
      <c r="D12090" s="5">
        <v>430101</v>
      </c>
      <c r="E12090" s="5" t="s">
        <v>14329</v>
      </c>
    </row>
    <row r="12091" spans="2:5">
      <c r="B12091" s="4" t="s">
        <v>12345</v>
      </c>
      <c r="C12091" s="129" t="s">
        <v>12346</v>
      </c>
      <c r="D12091" s="5">
        <v>430102</v>
      </c>
      <c r="E12091" s="5" t="s">
        <v>14330</v>
      </c>
    </row>
    <row r="12092" spans="2:5">
      <c r="B12092" s="4" t="s">
        <v>12345</v>
      </c>
      <c r="C12092" s="129" t="s">
        <v>12346</v>
      </c>
      <c r="D12092" s="5">
        <v>430103</v>
      </c>
      <c r="E12092" s="5" t="s">
        <v>14331</v>
      </c>
    </row>
    <row r="12093" spans="2:5">
      <c r="B12093" s="4" t="s">
        <v>12345</v>
      </c>
      <c r="C12093" s="129" t="s">
        <v>12346</v>
      </c>
      <c r="D12093" s="5">
        <v>430104</v>
      </c>
      <c r="E12093" s="5" t="s">
        <v>14332</v>
      </c>
    </row>
    <row r="12094" spans="2:5">
      <c r="B12094" s="4" t="s">
        <v>12345</v>
      </c>
      <c r="C12094" s="129" t="s">
        <v>12346</v>
      </c>
      <c r="D12094" s="5">
        <v>430105</v>
      </c>
      <c r="E12094" s="5" t="s">
        <v>14333</v>
      </c>
    </row>
    <row r="12095" spans="2:5">
      <c r="B12095" s="4" t="s">
        <v>12345</v>
      </c>
      <c r="C12095" s="129" t="s">
        <v>12346</v>
      </c>
      <c r="D12095" s="5">
        <v>430111</v>
      </c>
      <c r="E12095" s="5" t="s">
        <v>14334</v>
      </c>
    </row>
    <row r="12096" spans="2:5">
      <c r="B12096" s="4" t="s">
        <v>12345</v>
      </c>
      <c r="C12096" s="129" t="s">
        <v>12346</v>
      </c>
      <c r="D12096" s="5">
        <v>430112</v>
      </c>
      <c r="E12096" s="5" t="s">
        <v>14335</v>
      </c>
    </row>
    <row r="12097" spans="2:5">
      <c r="B12097" s="4" t="s">
        <v>12345</v>
      </c>
      <c r="C12097" s="129" t="s">
        <v>12346</v>
      </c>
      <c r="D12097" s="5">
        <v>430121</v>
      </c>
      <c r="E12097" s="5" t="s">
        <v>14336</v>
      </c>
    </row>
    <row r="12098" spans="2:5">
      <c r="B12098" s="4" t="s">
        <v>12345</v>
      </c>
      <c r="C12098" s="129" t="s">
        <v>12346</v>
      </c>
      <c r="D12098" s="5">
        <v>430124</v>
      </c>
      <c r="E12098" s="5" t="s">
        <v>14337</v>
      </c>
    </row>
    <row r="12099" spans="2:5">
      <c r="B12099" s="4" t="s">
        <v>12345</v>
      </c>
      <c r="C12099" s="129" t="s">
        <v>12346</v>
      </c>
      <c r="D12099" s="5">
        <v>430181</v>
      </c>
      <c r="E12099" s="5" t="s">
        <v>14338</v>
      </c>
    </row>
    <row r="12100" spans="2:5">
      <c r="B12100" s="4" t="s">
        <v>12345</v>
      </c>
      <c r="C12100" s="129" t="s">
        <v>12346</v>
      </c>
      <c r="D12100" s="5">
        <v>430200</v>
      </c>
      <c r="E12100" s="5" t="s">
        <v>14339</v>
      </c>
    </row>
    <row r="12101" spans="2:5">
      <c r="B12101" s="4" t="s">
        <v>12345</v>
      </c>
      <c r="C12101" s="129" t="s">
        <v>12346</v>
      </c>
      <c r="D12101" s="5">
        <v>430201</v>
      </c>
      <c r="E12101" s="5" t="s">
        <v>14340</v>
      </c>
    </row>
    <row r="12102" spans="2:5">
      <c r="B12102" s="4" t="s">
        <v>12345</v>
      </c>
      <c r="C12102" s="129" t="s">
        <v>12346</v>
      </c>
      <c r="D12102" s="5">
        <v>430202</v>
      </c>
      <c r="E12102" s="5" t="s">
        <v>14341</v>
      </c>
    </row>
    <row r="12103" spans="2:5">
      <c r="B12103" s="4" t="s">
        <v>12345</v>
      </c>
      <c r="C12103" s="129" t="s">
        <v>12346</v>
      </c>
      <c r="D12103" s="5">
        <v>430203</v>
      </c>
      <c r="E12103" s="5" t="s">
        <v>14342</v>
      </c>
    </row>
    <row r="12104" spans="2:5">
      <c r="B12104" s="4" t="s">
        <v>12345</v>
      </c>
      <c r="C12104" s="129" t="s">
        <v>12346</v>
      </c>
      <c r="D12104" s="5">
        <v>430204</v>
      </c>
      <c r="E12104" s="5" t="s">
        <v>14343</v>
      </c>
    </row>
    <row r="12105" spans="2:5">
      <c r="B12105" s="4" t="s">
        <v>12345</v>
      </c>
      <c r="C12105" s="129" t="s">
        <v>12346</v>
      </c>
      <c r="D12105" s="5">
        <v>430211</v>
      </c>
      <c r="E12105" s="5" t="s">
        <v>14344</v>
      </c>
    </row>
    <row r="12106" spans="2:5">
      <c r="B12106" s="4" t="s">
        <v>12345</v>
      </c>
      <c r="C12106" s="129" t="s">
        <v>12346</v>
      </c>
      <c r="D12106" s="5">
        <v>430221</v>
      </c>
      <c r="E12106" s="5" t="s">
        <v>14345</v>
      </c>
    </row>
    <row r="12107" spans="2:5">
      <c r="B12107" s="4" t="s">
        <v>12345</v>
      </c>
      <c r="C12107" s="129" t="s">
        <v>12346</v>
      </c>
      <c r="D12107" s="5">
        <v>430223</v>
      </c>
      <c r="E12107" s="5" t="s">
        <v>14346</v>
      </c>
    </row>
    <row r="12108" spans="2:5">
      <c r="B12108" s="4" t="s">
        <v>12345</v>
      </c>
      <c r="C12108" s="129" t="s">
        <v>12346</v>
      </c>
      <c r="D12108" s="5">
        <v>430224</v>
      </c>
      <c r="E12108" s="5" t="s">
        <v>14347</v>
      </c>
    </row>
    <row r="12109" spans="2:5">
      <c r="B12109" s="4" t="s">
        <v>12345</v>
      </c>
      <c r="C12109" s="129" t="s">
        <v>12346</v>
      </c>
      <c r="D12109" s="5">
        <v>430225</v>
      </c>
      <c r="E12109" s="5" t="s">
        <v>14348</v>
      </c>
    </row>
    <row r="12110" spans="2:5">
      <c r="B12110" s="4" t="s">
        <v>12345</v>
      </c>
      <c r="C12110" s="129" t="s">
        <v>12346</v>
      </c>
      <c r="D12110" s="5">
        <v>430281</v>
      </c>
      <c r="E12110" s="5" t="s">
        <v>14349</v>
      </c>
    </row>
    <row r="12111" spans="2:5">
      <c r="B12111" s="4" t="s">
        <v>12345</v>
      </c>
      <c r="C12111" s="129" t="s">
        <v>12346</v>
      </c>
      <c r="D12111" s="5">
        <v>430300</v>
      </c>
      <c r="E12111" s="5" t="s">
        <v>14350</v>
      </c>
    </row>
    <row r="12112" spans="2:5">
      <c r="B12112" s="4" t="s">
        <v>12345</v>
      </c>
      <c r="C12112" s="129" t="s">
        <v>12346</v>
      </c>
      <c r="D12112" s="5">
        <v>430301</v>
      </c>
      <c r="E12112" s="5" t="s">
        <v>14351</v>
      </c>
    </row>
    <row r="12113" spans="2:5">
      <c r="B12113" s="4" t="s">
        <v>12345</v>
      </c>
      <c r="C12113" s="129" t="s">
        <v>12346</v>
      </c>
      <c r="D12113" s="5">
        <v>430302</v>
      </c>
      <c r="E12113" s="5" t="s">
        <v>14352</v>
      </c>
    </row>
    <row r="12114" spans="2:5">
      <c r="B12114" s="4" t="s">
        <v>12345</v>
      </c>
      <c r="C12114" s="129" t="s">
        <v>12346</v>
      </c>
      <c r="D12114" s="5">
        <v>430304</v>
      </c>
      <c r="E12114" s="5" t="s">
        <v>14353</v>
      </c>
    </row>
    <row r="12115" spans="2:5">
      <c r="B12115" s="4" t="s">
        <v>12345</v>
      </c>
      <c r="C12115" s="129" t="s">
        <v>12346</v>
      </c>
      <c r="D12115" s="5">
        <v>430321</v>
      </c>
      <c r="E12115" s="5" t="s">
        <v>14354</v>
      </c>
    </row>
    <row r="12116" spans="2:5">
      <c r="B12116" s="4" t="s">
        <v>12345</v>
      </c>
      <c r="C12116" s="129" t="s">
        <v>12346</v>
      </c>
      <c r="D12116" s="5">
        <v>430381</v>
      </c>
      <c r="E12116" s="5" t="s">
        <v>14355</v>
      </c>
    </row>
    <row r="12117" spans="2:5">
      <c r="B12117" s="4" t="s">
        <v>12345</v>
      </c>
      <c r="C12117" s="129" t="s">
        <v>12346</v>
      </c>
      <c r="D12117" s="5">
        <v>430382</v>
      </c>
      <c r="E12117" s="5" t="s">
        <v>14356</v>
      </c>
    </row>
    <row r="12118" spans="2:5">
      <c r="B12118" s="4" t="s">
        <v>12345</v>
      </c>
      <c r="C12118" s="129" t="s">
        <v>12346</v>
      </c>
      <c r="D12118" s="5">
        <v>430400</v>
      </c>
      <c r="E12118" s="5" t="s">
        <v>14357</v>
      </c>
    </row>
    <row r="12119" spans="2:5">
      <c r="B12119" s="4" t="s">
        <v>12345</v>
      </c>
      <c r="C12119" s="129" t="s">
        <v>12346</v>
      </c>
      <c r="D12119" s="5">
        <v>430401</v>
      </c>
      <c r="E12119" s="5" t="s">
        <v>14358</v>
      </c>
    </row>
    <row r="12120" spans="2:5">
      <c r="B12120" s="4" t="s">
        <v>12345</v>
      </c>
      <c r="C12120" s="129" t="s">
        <v>12346</v>
      </c>
      <c r="D12120" s="5">
        <v>430405</v>
      </c>
      <c r="E12120" s="5" t="s">
        <v>14359</v>
      </c>
    </row>
    <row r="12121" spans="2:5">
      <c r="B12121" s="4" t="s">
        <v>12345</v>
      </c>
      <c r="C12121" s="129" t="s">
        <v>12346</v>
      </c>
      <c r="D12121" s="5">
        <v>430406</v>
      </c>
      <c r="E12121" s="5" t="s">
        <v>14360</v>
      </c>
    </row>
    <row r="12122" spans="2:5">
      <c r="B12122" s="4" t="s">
        <v>12345</v>
      </c>
      <c r="C12122" s="129" t="s">
        <v>12346</v>
      </c>
      <c r="D12122" s="5">
        <v>430407</v>
      </c>
      <c r="E12122" s="5" t="s">
        <v>14361</v>
      </c>
    </row>
    <row r="12123" spans="2:5">
      <c r="B12123" s="4" t="s">
        <v>12345</v>
      </c>
      <c r="C12123" s="129" t="s">
        <v>12346</v>
      </c>
      <c r="D12123" s="5">
        <v>430408</v>
      </c>
      <c r="E12123" s="5" t="s">
        <v>14362</v>
      </c>
    </row>
    <row r="12124" spans="2:5">
      <c r="B12124" s="4" t="s">
        <v>12345</v>
      </c>
      <c r="C12124" s="129" t="s">
        <v>12346</v>
      </c>
      <c r="D12124" s="5">
        <v>430412</v>
      </c>
      <c r="E12124" s="5" t="s">
        <v>14363</v>
      </c>
    </row>
    <row r="12125" spans="2:5">
      <c r="B12125" s="4" t="s">
        <v>12345</v>
      </c>
      <c r="C12125" s="129" t="s">
        <v>12346</v>
      </c>
      <c r="D12125" s="5">
        <v>430421</v>
      </c>
      <c r="E12125" s="5" t="s">
        <v>14364</v>
      </c>
    </row>
    <row r="12126" spans="2:5">
      <c r="B12126" s="4" t="s">
        <v>12345</v>
      </c>
      <c r="C12126" s="129" t="s">
        <v>12346</v>
      </c>
      <c r="D12126" s="5">
        <v>430422</v>
      </c>
      <c r="E12126" s="5" t="s">
        <v>14365</v>
      </c>
    </row>
    <row r="12127" spans="2:5">
      <c r="B12127" s="4" t="s">
        <v>12345</v>
      </c>
      <c r="C12127" s="129" t="s">
        <v>12346</v>
      </c>
      <c r="D12127" s="5">
        <v>430423</v>
      </c>
      <c r="E12127" s="5" t="s">
        <v>14366</v>
      </c>
    </row>
    <row r="12128" spans="2:5">
      <c r="B12128" s="4" t="s">
        <v>12345</v>
      </c>
      <c r="C12128" s="129" t="s">
        <v>12346</v>
      </c>
      <c r="D12128" s="5">
        <v>430424</v>
      </c>
      <c r="E12128" s="5" t="s">
        <v>14367</v>
      </c>
    </row>
    <row r="12129" spans="2:5">
      <c r="B12129" s="4" t="s">
        <v>12345</v>
      </c>
      <c r="C12129" s="129" t="s">
        <v>12346</v>
      </c>
      <c r="D12129" s="5">
        <v>430426</v>
      </c>
      <c r="E12129" s="5" t="s">
        <v>14368</v>
      </c>
    </row>
    <row r="12130" spans="2:5">
      <c r="B12130" s="4" t="s">
        <v>12345</v>
      </c>
      <c r="C12130" s="129" t="s">
        <v>12346</v>
      </c>
      <c r="D12130" s="5">
        <v>430481</v>
      </c>
      <c r="E12130" s="5" t="s">
        <v>14369</v>
      </c>
    </row>
    <row r="12131" spans="2:5">
      <c r="B12131" s="4" t="s">
        <v>12345</v>
      </c>
      <c r="C12131" s="129" t="s">
        <v>12346</v>
      </c>
      <c r="D12131" s="5">
        <v>430482</v>
      </c>
      <c r="E12131" s="5" t="s">
        <v>14370</v>
      </c>
    </row>
    <row r="12132" spans="2:5">
      <c r="B12132" s="4" t="s">
        <v>12345</v>
      </c>
      <c r="C12132" s="129" t="s">
        <v>12346</v>
      </c>
      <c r="D12132" s="5">
        <v>430500</v>
      </c>
      <c r="E12132" s="5" t="s">
        <v>14371</v>
      </c>
    </row>
    <row r="12133" spans="2:5">
      <c r="B12133" s="4" t="s">
        <v>12345</v>
      </c>
      <c r="C12133" s="129" t="s">
        <v>12346</v>
      </c>
      <c r="D12133" s="5">
        <v>430501</v>
      </c>
      <c r="E12133" s="5" t="s">
        <v>14372</v>
      </c>
    </row>
    <row r="12134" spans="2:5">
      <c r="B12134" s="4" t="s">
        <v>12345</v>
      </c>
      <c r="C12134" s="129" t="s">
        <v>12346</v>
      </c>
      <c r="D12134" s="5">
        <v>430502</v>
      </c>
      <c r="E12134" s="5" t="s">
        <v>14373</v>
      </c>
    </row>
    <row r="12135" spans="2:5">
      <c r="B12135" s="4" t="s">
        <v>12345</v>
      </c>
      <c r="C12135" s="129" t="s">
        <v>12346</v>
      </c>
      <c r="D12135" s="5">
        <v>430503</v>
      </c>
      <c r="E12135" s="5" t="s">
        <v>14374</v>
      </c>
    </row>
    <row r="12136" spans="2:5">
      <c r="B12136" s="4" t="s">
        <v>12345</v>
      </c>
      <c r="C12136" s="129" t="s">
        <v>12346</v>
      </c>
      <c r="D12136" s="5">
        <v>430511</v>
      </c>
      <c r="E12136" s="5" t="s">
        <v>14375</v>
      </c>
    </row>
    <row r="12137" spans="2:5">
      <c r="B12137" s="4" t="s">
        <v>12345</v>
      </c>
      <c r="C12137" s="129" t="s">
        <v>12346</v>
      </c>
      <c r="D12137" s="5">
        <v>430521</v>
      </c>
      <c r="E12137" s="5" t="s">
        <v>14376</v>
      </c>
    </row>
    <row r="12138" spans="2:5">
      <c r="B12138" s="4" t="s">
        <v>12345</v>
      </c>
      <c r="C12138" s="129" t="s">
        <v>12346</v>
      </c>
      <c r="D12138" s="5">
        <v>430522</v>
      </c>
      <c r="E12138" s="5" t="s">
        <v>14377</v>
      </c>
    </row>
    <row r="12139" spans="2:5">
      <c r="B12139" s="4" t="s">
        <v>12345</v>
      </c>
      <c r="C12139" s="129" t="s">
        <v>12346</v>
      </c>
      <c r="D12139" s="5">
        <v>430523</v>
      </c>
      <c r="E12139" s="5" t="s">
        <v>14378</v>
      </c>
    </row>
    <row r="12140" spans="2:5">
      <c r="B12140" s="4" t="s">
        <v>12345</v>
      </c>
      <c r="C12140" s="129" t="s">
        <v>12346</v>
      </c>
      <c r="D12140" s="5">
        <v>430524</v>
      </c>
      <c r="E12140" s="5" t="s">
        <v>14379</v>
      </c>
    </row>
    <row r="12141" spans="2:5">
      <c r="B12141" s="4" t="s">
        <v>12345</v>
      </c>
      <c r="C12141" s="129" t="s">
        <v>12346</v>
      </c>
      <c r="D12141" s="5">
        <v>430525</v>
      </c>
      <c r="E12141" s="5" t="s">
        <v>14380</v>
      </c>
    </row>
    <row r="12142" spans="2:5">
      <c r="B12142" s="4" t="s">
        <v>12345</v>
      </c>
      <c r="C12142" s="129" t="s">
        <v>12346</v>
      </c>
      <c r="D12142" s="5">
        <v>430527</v>
      </c>
      <c r="E12142" s="5" t="s">
        <v>14381</v>
      </c>
    </row>
    <row r="12143" spans="2:5">
      <c r="B12143" s="4" t="s">
        <v>12345</v>
      </c>
      <c r="C12143" s="129" t="s">
        <v>12346</v>
      </c>
      <c r="D12143" s="5">
        <v>430528</v>
      </c>
      <c r="E12143" s="5" t="s">
        <v>14382</v>
      </c>
    </row>
    <row r="12144" spans="2:5">
      <c r="B12144" s="4" t="s">
        <v>12345</v>
      </c>
      <c r="C12144" s="129" t="s">
        <v>12346</v>
      </c>
      <c r="D12144" s="5">
        <v>430529</v>
      </c>
      <c r="E12144" s="5" t="s">
        <v>14383</v>
      </c>
    </row>
    <row r="12145" spans="2:5">
      <c r="B12145" s="4" t="s">
        <v>12345</v>
      </c>
      <c r="C12145" s="129" t="s">
        <v>12346</v>
      </c>
      <c r="D12145" s="5">
        <v>430581</v>
      </c>
      <c r="E12145" s="5" t="s">
        <v>14384</v>
      </c>
    </row>
    <row r="12146" spans="2:5">
      <c r="B12146" s="4" t="s">
        <v>12345</v>
      </c>
      <c r="C12146" s="129" t="s">
        <v>12346</v>
      </c>
      <c r="D12146" s="5">
        <v>430600</v>
      </c>
      <c r="E12146" s="5" t="s">
        <v>14385</v>
      </c>
    </row>
    <row r="12147" spans="2:5">
      <c r="B12147" s="4" t="s">
        <v>12345</v>
      </c>
      <c r="C12147" s="129" t="s">
        <v>12346</v>
      </c>
      <c r="D12147" s="5">
        <v>430601</v>
      </c>
      <c r="E12147" s="5" t="s">
        <v>14386</v>
      </c>
    </row>
    <row r="12148" spans="2:5">
      <c r="B12148" s="4" t="s">
        <v>12345</v>
      </c>
      <c r="C12148" s="129" t="s">
        <v>12346</v>
      </c>
      <c r="D12148" s="5">
        <v>430602</v>
      </c>
      <c r="E12148" s="5" t="s">
        <v>14387</v>
      </c>
    </row>
    <row r="12149" spans="2:5">
      <c r="B12149" s="4" t="s">
        <v>12345</v>
      </c>
      <c r="C12149" s="129" t="s">
        <v>12346</v>
      </c>
      <c r="D12149" s="5">
        <v>430603</v>
      </c>
      <c r="E12149" s="5" t="s">
        <v>14388</v>
      </c>
    </row>
    <row r="12150" spans="2:5">
      <c r="B12150" s="4" t="s">
        <v>12345</v>
      </c>
      <c r="C12150" s="129" t="s">
        <v>12346</v>
      </c>
      <c r="D12150" s="5">
        <v>430611</v>
      </c>
      <c r="E12150" s="5" t="s">
        <v>14389</v>
      </c>
    </row>
    <row r="12151" spans="2:5">
      <c r="B12151" s="4" t="s">
        <v>12345</v>
      </c>
      <c r="C12151" s="129" t="s">
        <v>12346</v>
      </c>
      <c r="D12151" s="5">
        <v>430621</v>
      </c>
      <c r="E12151" s="5" t="s">
        <v>14390</v>
      </c>
    </row>
    <row r="12152" spans="2:5">
      <c r="B12152" s="4" t="s">
        <v>12345</v>
      </c>
      <c r="C12152" s="129" t="s">
        <v>12346</v>
      </c>
      <c r="D12152" s="5">
        <v>430623</v>
      </c>
      <c r="E12152" s="5" t="s">
        <v>14391</v>
      </c>
    </row>
    <row r="12153" spans="2:5">
      <c r="B12153" s="4" t="s">
        <v>12345</v>
      </c>
      <c r="C12153" s="129" t="s">
        <v>12346</v>
      </c>
      <c r="D12153" s="5">
        <v>430624</v>
      </c>
      <c r="E12153" s="5" t="s">
        <v>14392</v>
      </c>
    </row>
    <row r="12154" spans="2:5">
      <c r="B12154" s="4" t="s">
        <v>12345</v>
      </c>
      <c r="C12154" s="129" t="s">
        <v>12346</v>
      </c>
      <c r="D12154" s="5">
        <v>430626</v>
      </c>
      <c r="E12154" s="5" t="s">
        <v>14393</v>
      </c>
    </row>
    <row r="12155" spans="2:5">
      <c r="B12155" s="4" t="s">
        <v>12345</v>
      </c>
      <c r="C12155" s="129" t="s">
        <v>12346</v>
      </c>
      <c r="D12155" s="5">
        <v>430681</v>
      </c>
      <c r="E12155" s="5" t="s">
        <v>14394</v>
      </c>
    </row>
    <row r="12156" spans="2:5">
      <c r="B12156" s="4" t="s">
        <v>12345</v>
      </c>
      <c r="C12156" s="129" t="s">
        <v>12346</v>
      </c>
      <c r="D12156" s="5">
        <v>430682</v>
      </c>
      <c r="E12156" s="5" t="s">
        <v>14395</v>
      </c>
    </row>
    <row r="12157" spans="2:5">
      <c r="B12157" s="4" t="s">
        <v>12345</v>
      </c>
      <c r="C12157" s="129" t="s">
        <v>12346</v>
      </c>
      <c r="D12157" s="5">
        <v>430700</v>
      </c>
      <c r="E12157" s="5" t="s">
        <v>14396</v>
      </c>
    </row>
    <row r="12158" spans="2:5">
      <c r="B12158" s="4" t="s">
        <v>12345</v>
      </c>
      <c r="C12158" s="129" t="s">
        <v>12346</v>
      </c>
      <c r="D12158" s="5">
        <v>430701</v>
      </c>
      <c r="E12158" s="5" t="s">
        <v>14397</v>
      </c>
    </row>
    <row r="12159" spans="2:5">
      <c r="B12159" s="4" t="s">
        <v>12345</v>
      </c>
      <c r="C12159" s="129" t="s">
        <v>12346</v>
      </c>
      <c r="D12159" s="5">
        <v>430702</v>
      </c>
      <c r="E12159" s="5" t="s">
        <v>14398</v>
      </c>
    </row>
    <row r="12160" spans="2:5">
      <c r="B12160" s="4" t="s">
        <v>12345</v>
      </c>
      <c r="C12160" s="129" t="s">
        <v>12346</v>
      </c>
      <c r="D12160" s="5">
        <v>430703</v>
      </c>
      <c r="E12160" s="5" t="s">
        <v>14399</v>
      </c>
    </row>
    <row r="12161" spans="2:5">
      <c r="B12161" s="4" t="s">
        <v>12345</v>
      </c>
      <c r="C12161" s="129" t="s">
        <v>12346</v>
      </c>
      <c r="D12161" s="5">
        <v>430721</v>
      </c>
      <c r="E12161" s="5" t="s">
        <v>14400</v>
      </c>
    </row>
    <row r="12162" spans="2:5">
      <c r="B12162" s="4" t="s">
        <v>12345</v>
      </c>
      <c r="C12162" s="129" t="s">
        <v>12346</v>
      </c>
      <c r="D12162" s="5">
        <v>430722</v>
      </c>
      <c r="E12162" s="5" t="s">
        <v>14401</v>
      </c>
    </row>
    <row r="12163" spans="2:5">
      <c r="B12163" s="4" t="s">
        <v>12345</v>
      </c>
      <c r="C12163" s="129" t="s">
        <v>12346</v>
      </c>
      <c r="D12163" s="5">
        <v>430723</v>
      </c>
      <c r="E12163" s="5" t="s">
        <v>14402</v>
      </c>
    </row>
    <row r="12164" spans="2:5">
      <c r="B12164" s="4" t="s">
        <v>12345</v>
      </c>
      <c r="C12164" s="129" t="s">
        <v>12346</v>
      </c>
      <c r="D12164" s="5">
        <v>430724</v>
      </c>
      <c r="E12164" s="5" t="s">
        <v>14403</v>
      </c>
    </row>
    <row r="12165" spans="2:5">
      <c r="B12165" s="4" t="s">
        <v>12345</v>
      </c>
      <c r="C12165" s="129" t="s">
        <v>12346</v>
      </c>
      <c r="D12165" s="5">
        <v>430725</v>
      </c>
      <c r="E12165" s="5" t="s">
        <v>14404</v>
      </c>
    </row>
    <row r="12166" spans="2:5">
      <c r="B12166" s="4" t="s">
        <v>12345</v>
      </c>
      <c r="C12166" s="129" t="s">
        <v>12346</v>
      </c>
      <c r="D12166" s="5">
        <v>430726</v>
      </c>
      <c r="E12166" s="5" t="s">
        <v>14405</v>
      </c>
    </row>
    <row r="12167" spans="2:5">
      <c r="B12167" s="4" t="s">
        <v>12345</v>
      </c>
      <c r="C12167" s="129" t="s">
        <v>12346</v>
      </c>
      <c r="D12167" s="5">
        <v>430781</v>
      </c>
      <c r="E12167" s="5" t="s">
        <v>14406</v>
      </c>
    </row>
    <row r="12168" spans="2:5">
      <c r="B12168" s="4" t="s">
        <v>12345</v>
      </c>
      <c r="C12168" s="129" t="s">
        <v>12346</v>
      </c>
      <c r="D12168" s="5">
        <v>430800</v>
      </c>
      <c r="E12168" s="5" t="s">
        <v>14407</v>
      </c>
    </row>
    <row r="12169" spans="2:5">
      <c r="B12169" s="4" t="s">
        <v>12345</v>
      </c>
      <c r="C12169" s="129" t="s">
        <v>12346</v>
      </c>
      <c r="D12169" s="5">
        <v>430801</v>
      </c>
      <c r="E12169" s="5" t="s">
        <v>14408</v>
      </c>
    </row>
    <row r="12170" spans="2:5">
      <c r="B12170" s="4" t="s">
        <v>12345</v>
      </c>
      <c r="C12170" s="129" t="s">
        <v>12346</v>
      </c>
      <c r="D12170" s="5">
        <v>430802</v>
      </c>
      <c r="E12170" s="5" t="s">
        <v>14409</v>
      </c>
    </row>
    <row r="12171" spans="2:5">
      <c r="B12171" s="4" t="s">
        <v>12345</v>
      </c>
      <c r="C12171" s="129" t="s">
        <v>12346</v>
      </c>
      <c r="D12171" s="5">
        <v>430811</v>
      </c>
      <c r="E12171" s="5" t="s">
        <v>14410</v>
      </c>
    </row>
    <row r="12172" spans="2:5">
      <c r="B12172" s="4" t="s">
        <v>12345</v>
      </c>
      <c r="C12172" s="129" t="s">
        <v>12346</v>
      </c>
      <c r="D12172" s="5">
        <v>430821</v>
      </c>
      <c r="E12172" s="5" t="s">
        <v>14411</v>
      </c>
    </row>
    <row r="12173" spans="2:5">
      <c r="B12173" s="4" t="s">
        <v>12345</v>
      </c>
      <c r="C12173" s="129" t="s">
        <v>12346</v>
      </c>
      <c r="D12173" s="5">
        <v>430822</v>
      </c>
      <c r="E12173" s="5" t="s">
        <v>14412</v>
      </c>
    </row>
    <row r="12174" spans="2:5">
      <c r="B12174" s="4" t="s">
        <v>12345</v>
      </c>
      <c r="C12174" s="129" t="s">
        <v>12346</v>
      </c>
      <c r="D12174" s="5">
        <v>430900</v>
      </c>
      <c r="E12174" s="5" t="s">
        <v>14413</v>
      </c>
    </row>
    <row r="12175" spans="2:5">
      <c r="B12175" s="4" t="s">
        <v>12345</v>
      </c>
      <c r="C12175" s="129" t="s">
        <v>12346</v>
      </c>
      <c r="D12175" s="5">
        <v>430901</v>
      </c>
      <c r="E12175" s="5" t="s">
        <v>14414</v>
      </c>
    </row>
    <row r="12176" spans="2:5">
      <c r="B12176" s="4" t="s">
        <v>12345</v>
      </c>
      <c r="C12176" s="129" t="s">
        <v>12346</v>
      </c>
      <c r="D12176" s="5">
        <v>430902</v>
      </c>
      <c r="E12176" s="5" t="s">
        <v>14415</v>
      </c>
    </row>
    <row r="12177" spans="2:5">
      <c r="B12177" s="4" t="s">
        <v>12345</v>
      </c>
      <c r="C12177" s="129" t="s">
        <v>12346</v>
      </c>
      <c r="D12177" s="5">
        <v>430903</v>
      </c>
      <c r="E12177" s="5" t="s">
        <v>14416</v>
      </c>
    </row>
    <row r="12178" spans="2:5">
      <c r="B12178" s="4" t="s">
        <v>12345</v>
      </c>
      <c r="C12178" s="129" t="s">
        <v>12346</v>
      </c>
      <c r="D12178" s="5">
        <v>430921</v>
      </c>
      <c r="E12178" s="5" t="s">
        <v>14417</v>
      </c>
    </row>
    <row r="12179" spans="2:5">
      <c r="B12179" s="4" t="s">
        <v>12345</v>
      </c>
      <c r="C12179" s="129" t="s">
        <v>12346</v>
      </c>
      <c r="D12179" s="5">
        <v>430922</v>
      </c>
      <c r="E12179" s="5" t="s">
        <v>14418</v>
      </c>
    </row>
    <row r="12180" spans="2:5">
      <c r="B12180" s="4" t="s">
        <v>12345</v>
      </c>
      <c r="C12180" s="129" t="s">
        <v>12346</v>
      </c>
      <c r="D12180" s="5">
        <v>430923</v>
      </c>
      <c r="E12180" s="5" t="s">
        <v>14419</v>
      </c>
    </row>
    <row r="12181" spans="2:5">
      <c r="B12181" s="4" t="s">
        <v>12345</v>
      </c>
      <c r="C12181" s="129" t="s">
        <v>12346</v>
      </c>
      <c r="D12181" s="5">
        <v>430981</v>
      </c>
      <c r="E12181" s="5" t="s">
        <v>14420</v>
      </c>
    </row>
    <row r="12182" spans="2:5">
      <c r="B12182" s="4" t="s">
        <v>12345</v>
      </c>
      <c r="C12182" s="129" t="s">
        <v>12346</v>
      </c>
      <c r="D12182" s="5">
        <v>431000</v>
      </c>
      <c r="E12182" s="5" t="s">
        <v>14421</v>
      </c>
    </row>
    <row r="12183" spans="2:5">
      <c r="B12183" s="4" t="s">
        <v>12345</v>
      </c>
      <c r="C12183" s="129" t="s">
        <v>12346</v>
      </c>
      <c r="D12183" s="5">
        <v>431001</v>
      </c>
      <c r="E12183" s="5" t="s">
        <v>14422</v>
      </c>
    </row>
    <row r="12184" spans="2:5">
      <c r="B12184" s="4" t="s">
        <v>12345</v>
      </c>
      <c r="C12184" s="129" t="s">
        <v>12346</v>
      </c>
      <c r="D12184" s="5">
        <v>431002</v>
      </c>
      <c r="E12184" s="5" t="s">
        <v>14423</v>
      </c>
    </row>
    <row r="12185" spans="2:5">
      <c r="B12185" s="4" t="s">
        <v>12345</v>
      </c>
      <c r="C12185" s="129" t="s">
        <v>12346</v>
      </c>
      <c r="D12185" s="5">
        <v>431003</v>
      </c>
      <c r="E12185" s="5" t="s">
        <v>14424</v>
      </c>
    </row>
    <row r="12186" spans="2:5">
      <c r="B12186" s="4" t="s">
        <v>12345</v>
      </c>
      <c r="C12186" s="129" t="s">
        <v>12346</v>
      </c>
      <c r="D12186" s="5">
        <v>431021</v>
      </c>
      <c r="E12186" s="5" t="s">
        <v>14425</v>
      </c>
    </row>
    <row r="12187" spans="2:5">
      <c r="B12187" s="4" t="s">
        <v>12345</v>
      </c>
      <c r="C12187" s="129" t="s">
        <v>12346</v>
      </c>
      <c r="D12187" s="5">
        <v>431022</v>
      </c>
      <c r="E12187" s="5" t="s">
        <v>14426</v>
      </c>
    </row>
    <row r="12188" spans="2:5">
      <c r="B12188" s="4" t="s">
        <v>12345</v>
      </c>
      <c r="C12188" s="129" t="s">
        <v>12346</v>
      </c>
      <c r="D12188" s="5">
        <v>431023</v>
      </c>
      <c r="E12188" s="5" t="s">
        <v>14427</v>
      </c>
    </row>
    <row r="12189" spans="2:5">
      <c r="B12189" s="4" t="s">
        <v>12345</v>
      </c>
      <c r="C12189" s="129" t="s">
        <v>12346</v>
      </c>
      <c r="D12189" s="5">
        <v>431024</v>
      </c>
      <c r="E12189" s="5" t="s">
        <v>14428</v>
      </c>
    </row>
    <row r="12190" spans="2:5">
      <c r="B12190" s="4" t="s">
        <v>12345</v>
      </c>
      <c r="C12190" s="129" t="s">
        <v>12346</v>
      </c>
      <c r="D12190" s="5">
        <v>431025</v>
      </c>
      <c r="E12190" s="5" t="s">
        <v>14429</v>
      </c>
    </row>
    <row r="12191" spans="2:5">
      <c r="B12191" s="4" t="s">
        <v>12345</v>
      </c>
      <c r="C12191" s="129" t="s">
        <v>12346</v>
      </c>
      <c r="D12191" s="5">
        <v>431026</v>
      </c>
      <c r="E12191" s="5" t="s">
        <v>14430</v>
      </c>
    </row>
    <row r="12192" spans="2:5">
      <c r="B12192" s="4" t="s">
        <v>12345</v>
      </c>
      <c r="C12192" s="129" t="s">
        <v>12346</v>
      </c>
      <c r="D12192" s="5">
        <v>431027</v>
      </c>
      <c r="E12192" s="5" t="s">
        <v>14431</v>
      </c>
    </row>
    <row r="12193" spans="2:5">
      <c r="B12193" s="4" t="s">
        <v>12345</v>
      </c>
      <c r="C12193" s="129" t="s">
        <v>12346</v>
      </c>
      <c r="D12193" s="5">
        <v>431028</v>
      </c>
      <c r="E12193" s="5" t="s">
        <v>14432</v>
      </c>
    </row>
    <row r="12194" spans="2:5">
      <c r="B12194" s="4" t="s">
        <v>12345</v>
      </c>
      <c r="C12194" s="129" t="s">
        <v>12346</v>
      </c>
      <c r="D12194" s="5">
        <v>431081</v>
      </c>
      <c r="E12194" s="5" t="s">
        <v>14433</v>
      </c>
    </row>
    <row r="12195" spans="2:5">
      <c r="B12195" s="4" t="s">
        <v>12345</v>
      </c>
      <c r="C12195" s="129" t="s">
        <v>12346</v>
      </c>
      <c r="D12195" s="5">
        <v>431100</v>
      </c>
      <c r="E12195" s="5" t="s">
        <v>14434</v>
      </c>
    </row>
    <row r="12196" spans="2:5">
      <c r="B12196" s="4" t="s">
        <v>12345</v>
      </c>
      <c r="C12196" s="129" t="s">
        <v>12346</v>
      </c>
      <c r="D12196" s="5">
        <v>431101</v>
      </c>
      <c r="E12196" s="5" t="s">
        <v>14435</v>
      </c>
    </row>
    <row r="12197" spans="2:5">
      <c r="B12197" s="4" t="s">
        <v>12345</v>
      </c>
      <c r="C12197" s="129" t="s">
        <v>12346</v>
      </c>
      <c r="D12197" s="5">
        <v>431102</v>
      </c>
      <c r="E12197" s="5" t="s">
        <v>14436</v>
      </c>
    </row>
    <row r="12198" spans="2:5">
      <c r="B12198" s="4" t="s">
        <v>12345</v>
      </c>
      <c r="C12198" s="129" t="s">
        <v>12346</v>
      </c>
      <c r="D12198" s="5">
        <v>431103</v>
      </c>
      <c r="E12198" s="5" t="s">
        <v>14437</v>
      </c>
    </row>
    <row r="12199" spans="2:5">
      <c r="B12199" s="4" t="s">
        <v>12345</v>
      </c>
      <c r="C12199" s="129" t="s">
        <v>12346</v>
      </c>
      <c r="D12199" s="5">
        <v>431121</v>
      </c>
      <c r="E12199" s="5" t="s">
        <v>14438</v>
      </c>
    </row>
    <row r="12200" spans="2:5">
      <c r="B12200" s="4" t="s">
        <v>12345</v>
      </c>
      <c r="C12200" s="129" t="s">
        <v>12346</v>
      </c>
      <c r="D12200" s="5">
        <v>431122</v>
      </c>
      <c r="E12200" s="5" t="s">
        <v>14439</v>
      </c>
    </row>
    <row r="12201" spans="2:5">
      <c r="B12201" s="4" t="s">
        <v>12345</v>
      </c>
      <c r="C12201" s="129" t="s">
        <v>12346</v>
      </c>
      <c r="D12201" s="5">
        <v>431123</v>
      </c>
      <c r="E12201" s="5" t="s">
        <v>14440</v>
      </c>
    </row>
    <row r="12202" spans="2:5">
      <c r="B12202" s="4" t="s">
        <v>12345</v>
      </c>
      <c r="C12202" s="129" t="s">
        <v>12346</v>
      </c>
      <c r="D12202" s="5">
        <v>431124</v>
      </c>
      <c r="E12202" s="5" t="s">
        <v>14441</v>
      </c>
    </row>
    <row r="12203" spans="2:5">
      <c r="B12203" s="4" t="s">
        <v>12345</v>
      </c>
      <c r="C12203" s="129" t="s">
        <v>12346</v>
      </c>
      <c r="D12203" s="5">
        <v>431125</v>
      </c>
      <c r="E12203" s="5" t="s">
        <v>14442</v>
      </c>
    </row>
    <row r="12204" spans="2:5">
      <c r="B12204" s="4" t="s">
        <v>12345</v>
      </c>
      <c r="C12204" s="129" t="s">
        <v>12346</v>
      </c>
      <c r="D12204" s="5">
        <v>431126</v>
      </c>
      <c r="E12204" s="5" t="s">
        <v>14443</v>
      </c>
    </row>
    <row r="12205" spans="2:5">
      <c r="B12205" s="4" t="s">
        <v>12345</v>
      </c>
      <c r="C12205" s="129" t="s">
        <v>12346</v>
      </c>
      <c r="D12205" s="5">
        <v>431127</v>
      </c>
      <c r="E12205" s="5" t="s">
        <v>14444</v>
      </c>
    </row>
    <row r="12206" spans="2:5">
      <c r="B12206" s="4" t="s">
        <v>12345</v>
      </c>
      <c r="C12206" s="129" t="s">
        <v>12346</v>
      </c>
      <c r="D12206" s="5">
        <v>431128</v>
      </c>
      <c r="E12206" s="5" t="s">
        <v>14445</v>
      </c>
    </row>
    <row r="12207" spans="2:5">
      <c r="B12207" s="4" t="s">
        <v>12345</v>
      </c>
      <c r="C12207" s="129" t="s">
        <v>12346</v>
      </c>
      <c r="D12207" s="5">
        <v>431129</v>
      </c>
      <c r="E12207" s="5" t="s">
        <v>14446</v>
      </c>
    </row>
    <row r="12208" spans="2:5">
      <c r="B12208" s="4" t="s">
        <v>12345</v>
      </c>
      <c r="C12208" s="129" t="s">
        <v>12346</v>
      </c>
      <c r="D12208" s="5">
        <v>431200</v>
      </c>
      <c r="E12208" s="5" t="s">
        <v>14447</v>
      </c>
    </row>
    <row r="12209" spans="2:5">
      <c r="B12209" s="4" t="s">
        <v>12345</v>
      </c>
      <c r="C12209" s="129" t="s">
        <v>12346</v>
      </c>
      <c r="D12209" s="5">
        <v>431201</v>
      </c>
      <c r="E12209" s="5" t="s">
        <v>14448</v>
      </c>
    </row>
    <row r="12210" spans="2:5">
      <c r="B12210" s="4" t="s">
        <v>12345</v>
      </c>
      <c r="C12210" s="129" t="s">
        <v>12346</v>
      </c>
      <c r="D12210" s="5">
        <v>431202</v>
      </c>
      <c r="E12210" s="5" t="s">
        <v>14449</v>
      </c>
    </row>
    <row r="12211" spans="2:5">
      <c r="B12211" s="4" t="s">
        <v>12345</v>
      </c>
      <c r="C12211" s="129" t="s">
        <v>12346</v>
      </c>
      <c r="D12211" s="5">
        <v>431221</v>
      </c>
      <c r="E12211" s="5" t="s">
        <v>14450</v>
      </c>
    </row>
    <row r="12212" spans="2:5">
      <c r="B12212" s="4" t="s">
        <v>12345</v>
      </c>
      <c r="C12212" s="129" t="s">
        <v>12346</v>
      </c>
      <c r="D12212" s="5">
        <v>431222</v>
      </c>
      <c r="E12212" s="5" t="s">
        <v>14451</v>
      </c>
    </row>
    <row r="12213" spans="2:5">
      <c r="B12213" s="4" t="s">
        <v>12345</v>
      </c>
      <c r="C12213" s="129" t="s">
        <v>12346</v>
      </c>
      <c r="D12213" s="5">
        <v>431223</v>
      </c>
      <c r="E12213" s="5" t="s">
        <v>14452</v>
      </c>
    </row>
    <row r="12214" spans="2:5">
      <c r="B12214" s="4" t="s">
        <v>12345</v>
      </c>
      <c r="C12214" s="129" t="s">
        <v>12346</v>
      </c>
      <c r="D12214" s="5">
        <v>431224</v>
      </c>
      <c r="E12214" s="5" t="s">
        <v>14453</v>
      </c>
    </row>
    <row r="12215" spans="2:5">
      <c r="B12215" s="4" t="s">
        <v>12345</v>
      </c>
      <c r="C12215" s="129" t="s">
        <v>12346</v>
      </c>
      <c r="D12215" s="5">
        <v>431225</v>
      </c>
      <c r="E12215" s="5" t="s">
        <v>14454</v>
      </c>
    </row>
    <row r="12216" spans="2:5">
      <c r="B12216" s="4" t="s">
        <v>12345</v>
      </c>
      <c r="C12216" s="129" t="s">
        <v>12346</v>
      </c>
      <c r="D12216" s="5">
        <v>431226</v>
      </c>
      <c r="E12216" s="5" t="s">
        <v>14455</v>
      </c>
    </row>
    <row r="12217" spans="2:5">
      <c r="B12217" s="4" t="s">
        <v>12345</v>
      </c>
      <c r="C12217" s="129" t="s">
        <v>12346</v>
      </c>
      <c r="D12217" s="5">
        <v>431227</v>
      </c>
      <c r="E12217" s="5" t="s">
        <v>14456</v>
      </c>
    </row>
    <row r="12218" spans="2:5">
      <c r="B12218" s="4" t="s">
        <v>12345</v>
      </c>
      <c r="C12218" s="129" t="s">
        <v>12346</v>
      </c>
      <c r="D12218" s="5">
        <v>431228</v>
      </c>
      <c r="E12218" s="5" t="s">
        <v>14457</v>
      </c>
    </row>
    <row r="12219" spans="2:5">
      <c r="B12219" s="4" t="s">
        <v>12345</v>
      </c>
      <c r="C12219" s="129" t="s">
        <v>12346</v>
      </c>
      <c r="D12219" s="5">
        <v>431229</v>
      </c>
      <c r="E12219" s="5" t="s">
        <v>14458</v>
      </c>
    </row>
    <row r="12220" spans="2:5">
      <c r="B12220" s="4" t="s">
        <v>12345</v>
      </c>
      <c r="C12220" s="129" t="s">
        <v>12346</v>
      </c>
      <c r="D12220" s="5">
        <v>431230</v>
      </c>
      <c r="E12220" s="5" t="s">
        <v>14459</v>
      </c>
    </row>
    <row r="12221" spans="2:5">
      <c r="B12221" s="4" t="s">
        <v>12345</v>
      </c>
      <c r="C12221" s="129" t="s">
        <v>12346</v>
      </c>
      <c r="D12221" s="5">
        <v>431281</v>
      </c>
      <c r="E12221" s="5" t="s">
        <v>14460</v>
      </c>
    </row>
    <row r="12222" spans="2:5">
      <c r="B12222" s="4" t="s">
        <v>12345</v>
      </c>
      <c r="C12222" s="129" t="s">
        <v>12346</v>
      </c>
      <c r="D12222" s="5">
        <v>431300</v>
      </c>
      <c r="E12222" s="5" t="s">
        <v>14461</v>
      </c>
    </row>
    <row r="12223" spans="2:5">
      <c r="B12223" s="4" t="s">
        <v>12345</v>
      </c>
      <c r="C12223" s="129" t="s">
        <v>12346</v>
      </c>
      <c r="D12223" s="5">
        <v>431301</v>
      </c>
      <c r="E12223" s="5" t="s">
        <v>14462</v>
      </c>
    </row>
    <row r="12224" spans="2:5">
      <c r="B12224" s="4" t="s">
        <v>12345</v>
      </c>
      <c r="C12224" s="129" t="s">
        <v>12346</v>
      </c>
      <c r="D12224" s="5">
        <v>431302</v>
      </c>
      <c r="E12224" s="5" t="s">
        <v>14463</v>
      </c>
    </row>
    <row r="12225" spans="2:5">
      <c r="B12225" s="4" t="s">
        <v>12345</v>
      </c>
      <c r="C12225" s="129" t="s">
        <v>12346</v>
      </c>
      <c r="D12225" s="5">
        <v>431321</v>
      </c>
      <c r="E12225" s="5" t="s">
        <v>14464</v>
      </c>
    </row>
    <row r="12226" spans="2:5">
      <c r="B12226" s="4" t="s">
        <v>12345</v>
      </c>
      <c r="C12226" s="129" t="s">
        <v>12346</v>
      </c>
      <c r="D12226" s="5">
        <v>431322</v>
      </c>
      <c r="E12226" s="5" t="s">
        <v>14465</v>
      </c>
    </row>
    <row r="12227" spans="2:5">
      <c r="B12227" s="4" t="s">
        <v>12345</v>
      </c>
      <c r="C12227" s="129" t="s">
        <v>12346</v>
      </c>
      <c r="D12227" s="5">
        <v>431381</v>
      </c>
      <c r="E12227" s="5" t="s">
        <v>14466</v>
      </c>
    </row>
    <row r="12228" spans="2:5">
      <c r="B12228" s="4" t="s">
        <v>12345</v>
      </c>
      <c r="C12228" s="129" t="s">
        <v>12346</v>
      </c>
      <c r="D12228" s="5">
        <v>431382</v>
      </c>
      <c r="E12228" s="5" t="s">
        <v>14467</v>
      </c>
    </row>
    <row r="12229" spans="2:5">
      <c r="B12229" s="4" t="s">
        <v>12345</v>
      </c>
      <c r="C12229" s="129" t="s">
        <v>12346</v>
      </c>
      <c r="D12229" s="5">
        <v>433100</v>
      </c>
      <c r="E12229" s="5" t="s">
        <v>14468</v>
      </c>
    </row>
    <row r="12230" spans="2:5">
      <c r="B12230" s="4" t="s">
        <v>12345</v>
      </c>
      <c r="C12230" s="129" t="s">
        <v>12346</v>
      </c>
      <c r="D12230" s="5">
        <v>433101</v>
      </c>
      <c r="E12230" s="5" t="s">
        <v>14469</v>
      </c>
    </row>
    <row r="12231" spans="2:5">
      <c r="B12231" s="4" t="s">
        <v>12345</v>
      </c>
      <c r="C12231" s="129" t="s">
        <v>12346</v>
      </c>
      <c r="D12231" s="5">
        <v>433122</v>
      </c>
      <c r="E12231" s="5" t="s">
        <v>14470</v>
      </c>
    </row>
    <row r="12232" spans="2:5">
      <c r="B12232" s="4" t="s">
        <v>12345</v>
      </c>
      <c r="C12232" s="129" t="s">
        <v>12346</v>
      </c>
      <c r="D12232" s="5">
        <v>433123</v>
      </c>
      <c r="E12232" s="5" t="s">
        <v>14471</v>
      </c>
    </row>
    <row r="12233" spans="2:5">
      <c r="B12233" s="4" t="s">
        <v>12345</v>
      </c>
      <c r="C12233" s="129" t="s">
        <v>12346</v>
      </c>
      <c r="D12233" s="5">
        <v>433124</v>
      </c>
      <c r="E12233" s="5" t="s">
        <v>14472</v>
      </c>
    </row>
    <row r="12234" spans="2:5">
      <c r="B12234" s="4" t="s">
        <v>12345</v>
      </c>
      <c r="C12234" s="129" t="s">
        <v>12346</v>
      </c>
      <c r="D12234" s="5">
        <v>433125</v>
      </c>
      <c r="E12234" s="5" t="s">
        <v>14473</v>
      </c>
    </row>
    <row r="12235" spans="2:5">
      <c r="B12235" s="4" t="s">
        <v>12345</v>
      </c>
      <c r="C12235" s="129" t="s">
        <v>12346</v>
      </c>
      <c r="D12235" s="5">
        <v>433126</v>
      </c>
      <c r="E12235" s="5" t="s">
        <v>14474</v>
      </c>
    </row>
    <row r="12236" spans="2:5">
      <c r="B12236" s="4" t="s">
        <v>12345</v>
      </c>
      <c r="C12236" s="129" t="s">
        <v>12346</v>
      </c>
      <c r="D12236" s="5">
        <v>433127</v>
      </c>
      <c r="E12236" s="5" t="s">
        <v>14475</v>
      </c>
    </row>
    <row r="12237" spans="2:5">
      <c r="B12237" s="4" t="s">
        <v>12345</v>
      </c>
      <c r="C12237" s="129" t="s">
        <v>12346</v>
      </c>
      <c r="D12237" s="5">
        <v>433130</v>
      </c>
      <c r="E12237" s="5" t="s">
        <v>14476</v>
      </c>
    </row>
    <row r="12238" spans="2:5">
      <c r="B12238" s="4" t="s">
        <v>12345</v>
      </c>
      <c r="C12238" s="129" t="s">
        <v>12346</v>
      </c>
      <c r="D12238" s="5">
        <v>440000</v>
      </c>
      <c r="E12238" s="5" t="s">
        <v>14477</v>
      </c>
    </row>
    <row r="12239" spans="2:5">
      <c r="B12239" s="4" t="s">
        <v>12345</v>
      </c>
      <c r="C12239" s="129" t="s">
        <v>12346</v>
      </c>
      <c r="D12239" s="5">
        <v>440100</v>
      </c>
      <c r="E12239" s="5" t="s">
        <v>14478</v>
      </c>
    </row>
    <row r="12240" spans="2:5">
      <c r="B12240" s="4" t="s">
        <v>12345</v>
      </c>
      <c r="C12240" s="129" t="s">
        <v>12346</v>
      </c>
      <c r="D12240" s="5">
        <v>440101</v>
      </c>
      <c r="E12240" s="5" t="s">
        <v>14479</v>
      </c>
    </row>
    <row r="12241" spans="2:5">
      <c r="B12241" s="4" t="s">
        <v>12345</v>
      </c>
      <c r="C12241" s="129" t="s">
        <v>12346</v>
      </c>
      <c r="D12241" s="5">
        <v>440103</v>
      </c>
      <c r="E12241" s="5" t="s">
        <v>14480</v>
      </c>
    </row>
    <row r="12242" spans="2:5">
      <c r="B12242" s="4" t="s">
        <v>12345</v>
      </c>
      <c r="C12242" s="129" t="s">
        <v>12346</v>
      </c>
      <c r="D12242" s="5">
        <v>440104</v>
      </c>
      <c r="E12242" s="5" t="s">
        <v>14481</v>
      </c>
    </row>
    <row r="12243" spans="2:5">
      <c r="B12243" s="4" t="s">
        <v>12345</v>
      </c>
      <c r="C12243" s="129" t="s">
        <v>12346</v>
      </c>
      <c r="D12243" s="5">
        <v>440105</v>
      </c>
      <c r="E12243" s="5" t="s">
        <v>14482</v>
      </c>
    </row>
    <row r="12244" spans="2:5">
      <c r="B12244" s="4" t="s">
        <v>12345</v>
      </c>
      <c r="C12244" s="129" t="s">
        <v>12346</v>
      </c>
      <c r="D12244" s="5">
        <v>440106</v>
      </c>
      <c r="E12244" s="5" t="s">
        <v>14483</v>
      </c>
    </row>
    <row r="12245" spans="2:5">
      <c r="B12245" s="4" t="s">
        <v>12345</v>
      </c>
      <c r="C12245" s="129" t="s">
        <v>12346</v>
      </c>
      <c r="D12245" s="5">
        <v>440111</v>
      </c>
      <c r="E12245" s="5" t="s">
        <v>14484</v>
      </c>
    </row>
    <row r="12246" spans="2:5">
      <c r="B12246" s="4" t="s">
        <v>12345</v>
      </c>
      <c r="C12246" s="129" t="s">
        <v>12346</v>
      </c>
      <c r="D12246" s="5">
        <v>440112</v>
      </c>
      <c r="E12246" s="5" t="s">
        <v>14485</v>
      </c>
    </row>
    <row r="12247" spans="2:5">
      <c r="B12247" s="4" t="s">
        <v>12345</v>
      </c>
      <c r="C12247" s="129" t="s">
        <v>12346</v>
      </c>
      <c r="D12247" s="5">
        <v>440113</v>
      </c>
      <c r="E12247" s="5" t="s">
        <v>14486</v>
      </c>
    </row>
    <row r="12248" spans="2:5">
      <c r="B12248" s="4" t="s">
        <v>12345</v>
      </c>
      <c r="C12248" s="129" t="s">
        <v>12346</v>
      </c>
      <c r="D12248" s="5">
        <v>440114</v>
      </c>
      <c r="E12248" s="5" t="s">
        <v>14487</v>
      </c>
    </row>
    <row r="12249" spans="2:5">
      <c r="B12249" s="4" t="s">
        <v>12345</v>
      </c>
      <c r="C12249" s="129" t="s">
        <v>12346</v>
      </c>
      <c r="D12249" s="5">
        <v>440115</v>
      </c>
      <c r="E12249" s="5" t="s">
        <v>14488</v>
      </c>
    </row>
    <row r="12250" spans="2:5">
      <c r="B12250" s="4" t="s">
        <v>12345</v>
      </c>
      <c r="C12250" s="129" t="s">
        <v>12346</v>
      </c>
      <c r="D12250" s="5">
        <v>440116</v>
      </c>
      <c r="E12250" s="5" t="s">
        <v>14489</v>
      </c>
    </row>
    <row r="12251" spans="2:5">
      <c r="B12251" s="4" t="s">
        <v>12345</v>
      </c>
      <c r="C12251" s="129" t="s">
        <v>12346</v>
      </c>
      <c r="D12251" s="5">
        <v>440117</v>
      </c>
      <c r="E12251" s="5" t="s">
        <v>14490</v>
      </c>
    </row>
    <row r="12252" spans="2:5">
      <c r="B12252" s="4" t="s">
        <v>12345</v>
      </c>
      <c r="C12252" s="129" t="s">
        <v>12346</v>
      </c>
      <c r="D12252" s="5">
        <v>440118</v>
      </c>
      <c r="E12252" s="5" t="s">
        <v>14491</v>
      </c>
    </row>
    <row r="12253" spans="2:5">
      <c r="B12253" s="4" t="s">
        <v>12345</v>
      </c>
      <c r="C12253" s="129" t="s">
        <v>12346</v>
      </c>
      <c r="D12253" s="5">
        <v>440200</v>
      </c>
      <c r="E12253" s="5" t="s">
        <v>14492</v>
      </c>
    </row>
    <row r="12254" spans="2:5">
      <c r="B12254" s="4" t="s">
        <v>12345</v>
      </c>
      <c r="C12254" s="129" t="s">
        <v>12346</v>
      </c>
      <c r="D12254" s="5">
        <v>440201</v>
      </c>
      <c r="E12254" s="5" t="s">
        <v>14493</v>
      </c>
    </row>
    <row r="12255" spans="2:5">
      <c r="B12255" s="4" t="s">
        <v>12345</v>
      </c>
      <c r="C12255" s="129" t="s">
        <v>12346</v>
      </c>
      <c r="D12255" s="5">
        <v>440203</v>
      </c>
      <c r="E12255" s="5" t="s">
        <v>14494</v>
      </c>
    </row>
    <row r="12256" spans="2:5">
      <c r="B12256" s="4" t="s">
        <v>12345</v>
      </c>
      <c r="C12256" s="129" t="s">
        <v>12346</v>
      </c>
      <c r="D12256" s="5">
        <v>440204</v>
      </c>
      <c r="E12256" s="5" t="s">
        <v>14495</v>
      </c>
    </row>
    <row r="12257" spans="2:5">
      <c r="B12257" s="4" t="s">
        <v>12345</v>
      </c>
      <c r="C12257" s="129" t="s">
        <v>12346</v>
      </c>
      <c r="D12257" s="5">
        <v>440205</v>
      </c>
      <c r="E12257" s="5" t="s">
        <v>14496</v>
      </c>
    </row>
    <row r="12258" spans="2:5">
      <c r="B12258" s="4" t="s">
        <v>12345</v>
      </c>
      <c r="C12258" s="129" t="s">
        <v>12346</v>
      </c>
      <c r="D12258" s="5">
        <v>440222</v>
      </c>
      <c r="E12258" s="5" t="s">
        <v>14497</v>
      </c>
    </row>
    <row r="12259" spans="2:5">
      <c r="B12259" s="4" t="s">
        <v>12345</v>
      </c>
      <c r="C12259" s="129" t="s">
        <v>12346</v>
      </c>
      <c r="D12259" s="5">
        <v>440224</v>
      </c>
      <c r="E12259" s="5" t="s">
        <v>14498</v>
      </c>
    </row>
    <row r="12260" spans="2:5">
      <c r="B12260" s="4" t="s">
        <v>12345</v>
      </c>
      <c r="C12260" s="129" t="s">
        <v>12346</v>
      </c>
      <c r="D12260" s="5">
        <v>440229</v>
      </c>
      <c r="E12260" s="5" t="s">
        <v>14499</v>
      </c>
    </row>
    <row r="12261" spans="2:5">
      <c r="B12261" s="4" t="s">
        <v>12345</v>
      </c>
      <c r="C12261" s="129" t="s">
        <v>12346</v>
      </c>
      <c r="D12261" s="5">
        <v>440232</v>
      </c>
      <c r="E12261" s="5" t="s">
        <v>14500</v>
      </c>
    </row>
    <row r="12262" spans="2:5">
      <c r="B12262" s="4" t="s">
        <v>12345</v>
      </c>
      <c r="C12262" s="129" t="s">
        <v>12346</v>
      </c>
      <c r="D12262" s="5">
        <v>440233</v>
      </c>
      <c r="E12262" s="5" t="s">
        <v>14501</v>
      </c>
    </row>
    <row r="12263" spans="2:5">
      <c r="B12263" s="4" t="s">
        <v>12345</v>
      </c>
      <c r="C12263" s="129" t="s">
        <v>12346</v>
      </c>
      <c r="D12263" s="5">
        <v>440281</v>
      </c>
      <c r="E12263" s="5" t="s">
        <v>14502</v>
      </c>
    </row>
    <row r="12264" spans="2:5">
      <c r="B12264" s="4" t="s">
        <v>12345</v>
      </c>
      <c r="C12264" s="129" t="s">
        <v>12346</v>
      </c>
      <c r="D12264" s="5">
        <v>440282</v>
      </c>
      <c r="E12264" s="5" t="s">
        <v>14503</v>
      </c>
    </row>
    <row r="12265" spans="2:5">
      <c r="B12265" s="4" t="s">
        <v>12345</v>
      </c>
      <c r="C12265" s="129" t="s">
        <v>12346</v>
      </c>
      <c r="D12265" s="5">
        <v>440300</v>
      </c>
      <c r="E12265" s="5" t="s">
        <v>14504</v>
      </c>
    </row>
    <row r="12266" spans="2:5">
      <c r="B12266" s="4" t="s">
        <v>12345</v>
      </c>
      <c r="C12266" s="129" t="s">
        <v>12346</v>
      </c>
      <c r="D12266" s="5">
        <v>440301</v>
      </c>
      <c r="E12266" s="5" t="s">
        <v>14505</v>
      </c>
    </row>
    <row r="12267" spans="2:5">
      <c r="B12267" s="4" t="s">
        <v>12345</v>
      </c>
      <c r="C12267" s="129" t="s">
        <v>12346</v>
      </c>
      <c r="D12267" s="5">
        <v>440303</v>
      </c>
      <c r="E12267" s="5" t="s">
        <v>14506</v>
      </c>
    </row>
    <row r="12268" spans="2:5">
      <c r="B12268" s="4" t="s">
        <v>12345</v>
      </c>
      <c r="C12268" s="129" t="s">
        <v>12346</v>
      </c>
      <c r="D12268" s="5">
        <v>440304</v>
      </c>
      <c r="E12268" s="5" t="s">
        <v>14507</v>
      </c>
    </row>
    <row r="12269" spans="2:5">
      <c r="B12269" s="4" t="s">
        <v>12345</v>
      </c>
      <c r="C12269" s="129" t="s">
        <v>12346</v>
      </c>
      <c r="D12269" s="5">
        <v>440305</v>
      </c>
      <c r="E12269" s="5" t="s">
        <v>14508</v>
      </c>
    </row>
    <row r="12270" spans="2:5">
      <c r="B12270" s="4" t="s">
        <v>12345</v>
      </c>
      <c r="C12270" s="129" t="s">
        <v>12346</v>
      </c>
      <c r="D12270" s="5">
        <v>440306</v>
      </c>
      <c r="E12270" s="5" t="s">
        <v>14509</v>
      </c>
    </row>
    <row r="12271" spans="2:5">
      <c r="B12271" s="4" t="s">
        <v>12345</v>
      </c>
      <c r="C12271" s="129" t="s">
        <v>12346</v>
      </c>
      <c r="D12271" s="5">
        <v>440307</v>
      </c>
      <c r="E12271" s="5" t="s">
        <v>14510</v>
      </c>
    </row>
    <row r="12272" spans="2:5">
      <c r="B12272" s="4" t="s">
        <v>12345</v>
      </c>
      <c r="C12272" s="129" t="s">
        <v>12346</v>
      </c>
      <c r="D12272" s="5">
        <v>440308</v>
      </c>
      <c r="E12272" s="5" t="s">
        <v>14511</v>
      </c>
    </row>
    <row r="12273" spans="2:5">
      <c r="B12273" s="4" t="s">
        <v>12345</v>
      </c>
      <c r="C12273" s="129" t="s">
        <v>12346</v>
      </c>
      <c r="D12273" s="5">
        <v>440400</v>
      </c>
      <c r="E12273" s="5" t="s">
        <v>14512</v>
      </c>
    </row>
    <row r="12274" spans="2:5">
      <c r="B12274" s="4" t="s">
        <v>12345</v>
      </c>
      <c r="C12274" s="129" t="s">
        <v>12346</v>
      </c>
      <c r="D12274" s="5">
        <v>440401</v>
      </c>
      <c r="E12274" s="5" t="s">
        <v>14513</v>
      </c>
    </row>
    <row r="12275" spans="2:5">
      <c r="B12275" s="4" t="s">
        <v>12345</v>
      </c>
      <c r="C12275" s="129" t="s">
        <v>12346</v>
      </c>
      <c r="D12275" s="5">
        <v>440402</v>
      </c>
      <c r="E12275" s="5" t="s">
        <v>14514</v>
      </c>
    </row>
    <row r="12276" spans="2:5">
      <c r="B12276" s="4" t="s">
        <v>12345</v>
      </c>
      <c r="C12276" s="129" t="s">
        <v>12346</v>
      </c>
      <c r="D12276" s="5">
        <v>440403</v>
      </c>
      <c r="E12276" s="5" t="s">
        <v>14515</v>
      </c>
    </row>
    <row r="12277" spans="2:5">
      <c r="B12277" s="4" t="s">
        <v>12345</v>
      </c>
      <c r="C12277" s="129" t="s">
        <v>12346</v>
      </c>
      <c r="D12277" s="5">
        <v>440404</v>
      </c>
      <c r="E12277" s="5" t="s">
        <v>14516</v>
      </c>
    </row>
    <row r="12278" spans="2:5">
      <c r="B12278" s="4" t="s">
        <v>12345</v>
      </c>
      <c r="C12278" s="129" t="s">
        <v>12346</v>
      </c>
      <c r="D12278" s="5">
        <v>440500</v>
      </c>
      <c r="E12278" s="5" t="s">
        <v>14517</v>
      </c>
    </row>
    <row r="12279" spans="2:5">
      <c r="B12279" s="4" t="s">
        <v>12345</v>
      </c>
      <c r="C12279" s="129" t="s">
        <v>12346</v>
      </c>
      <c r="D12279" s="5">
        <v>440501</v>
      </c>
      <c r="E12279" s="5" t="s">
        <v>14518</v>
      </c>
    </row>
    <row r="12280" spans="2:5">
      <c r="B12280" s="4" t="s">
        <v>12345</v>
      </c>
      <c r="C12280" s="129" t="s">
        <v>12346</v>
      </c>
      <c r="D12280" s="5">
        <v>440507</v>
      </c>
      <c r="E12280" s="5" t="s">
        <v>14519</v>
      </c>
    </row>
    <row r="12281" spans="2:5">
      <c r="B12281" s="4" t="s">
        <v>12345</v>
      </c>
      <c r="C12281" s="129" t="s">
        <v>12346</v>
      </c>
      <c r="D12281" s="5">
        <v>440511</v>
      </c>
      <c r="E12281" s="5" t="s">
        <v>14520</v>
      </c>
    </row>
    <row r="12282" spans="2:5">
      <c r="B12282" s="4" t="s">
        <v>12345</v>
      </c>
      <c r="C12282" s="129" t="s">
        <v>12346</v>
      </c>
      <c r="D12282" s="5">
        <v>440512</v>
      </c>
      <c r="E12282" s="5" t="s">
        <v>14521</v>
      </c>
    </row>
    <row r="12283" spans="2:5">
      <c r="B12283" s="4" t="s">
        <v>12345</v>
      </c>
      <c r="C12283" s="129" t="s">
        <v>12346</v>
      </c>
      <c r="D12283" s="5">
        <v>440513</v>
      </c>
      <c r="E12283" s="5" t="s">
        <v>14522</v>
      </c>
    </row>
    <row r="12284" spans="2:5">
      <c r="B12284" s="4" t="s">
        <v>12345</v>
      </c>
      <c r="C12284" s="129" t="s">
        <v>12346</v>
      </c>
      <c r="D12284" s="5">
        <v>440514</v>
      </c>
      <c r="E12284" s="5" t="s">
        <v>14523</v>
      </c>
    </row>
    <row r="12285" spans="2:5">
      <c r="B12285" s="4" t="s">
        <v>12345</v>
      </c>
      <c r="C12285" s="129" t="s">
        <v>12346</v>
      </c>
      <c r="D12285" s="5">
        <v>440515</v>
      </c>
      <c r="E12285" s="5" t="s">
        <v>14524</v>
      </c>
    </row>
    <row r="12286" spans="2:5">
      <c r="B12286" s="4" t="s">
        <v>12345</v>
      </c>
      <c r="C12286" s="129" t="s">
        <v>12346</v>
      </c>
      <c r="D12286" s="5">
        <v>440523</v>
      </c>
      <c r="E12286" s="5" t="s">
        <v>14525</v>
      </c>
    </row>
    <row r="12287" spans="2:5">
      <c r="B12287" s="4" t="s">
        <v>12345</v>
      </c>
      <c r="C12287" s="129" t="s">
        <v>12346</v>
      </c>
      <c r="D12287" s="5">
        <v>440600</v>
      </c>
      <c r="E12287" s="5" t="s">
        <v>14526</v>
      </c>
    </row>
    <row r="12288" spans="2:5">
      <c r="B12288" s="4" t="s">
        <v>12345</v>
      </c>
      <c r="C12288" s="129" t="s">
        <v>12346</v>
      </c>
      <c r="D12288" s="5">
        <v>440601</v>
      </c>
      <c r="E12288" s="5" t="s">
        <v>14527</v>
      </c>
    </row>
    <row r="12289" spans="2:5">
      <c r="B12289" s="4" t="s">
        <v>12345</v>
      </c>
      <c r="C12289" s="129" t="s">
        <v>12346</v>
      </c>
      <c r="D12289" s="5">
        <v>440604</v>
      </c>
      <c r="E12289" s="5" t="s">
        <v>14528</v>
      </c>
    </row>
    <row r="12290" spans="2:5">
      <c r="B12290" s="4" t="s">
        <v>12345</v>
      </c>
      <c r="C12290" s="129" t="s">
        <v>12346</v>
      </c>
      <c r="D12290" s="5">
        <v>440605</v>
      </c>
      <c r="E12290" s="5" t="s">
        <v>14529</v>
      </c>
    </row>
    <row r="12291" spans="2:5">
      <c r="B12291" s="4" t="s">
        <v>12345</v>
      </c>
      <c r="C12291" s="129" t="s">
        <v>12346</v>
      </c>
      <c r="D12291" s="5">
        <v>440606</v>
      </c>
      <c r="E12291" s="5" t="s">
        <v>14530</v>
      </c>
    </row>
    <row r="12292" spans="2:5">
      <c r="B12292" s="4" t="s">
        <v>12345</v>
      </c>
      <c r="C12292" s="129" t="s">
        <v>12346</v>
      </c>
      <c r="D12292" s="5">
        <v>440607</v>
      </c>
      <c r="E12292" s="5" t="s">
        <v>14531</v>
      </c>
    </row>
    <row r="12293" spans="2:5">
      <c r="B12293" s="4" t="s">
        <v>12345</v>
      </c>
      <c r="C12293" s="129" t="s">
        <v>12346</v>
      </c>
      <c r="D12293" s="5">
        <v>440608</v>
      </c>
      <c r="E12293" s="5" t="s">
        <v>14532</v>
      </c>
    </row>
    <row r="12294" spans="2:5">
      <c r="B12294" s="4" t="s">
        <v>12345</v>
      </c>
      <c r="C12294" s="129" t="s">
        <v>12346</v>
      </c>
      <c r="D12294" s="5">
        <v>440700</v>
      </c>
      <c r="E12294" s="5" t="s">
        <v>14533</v>
      </c>
    </row>
    <row r="12295" spans="2:5">
      <c r="B12295" s="4" t="s">
        <v>12345</v>
      </c>
      <c r="C12295" s="129" t="s">
        <v>12346</v>
      </c>
      <c r="D12295" s="5">
        <v>440701</v>
      </c>
      <c r="E12295" s="5" t="s">
        <v>14534</v>
      </c>
    </row>
    <row r="12296" spans="2:5">
      <c r="B12296" s="4" t="s">
        <v>12345</v>
      </c>
      <c r="C12296" s="129" t="s">
        <v>12346</v>
      </c>
      <c r="D12296" s="5">
        <v>440703</v>
      </c>
      <c r="E12296" s="5" t="s">
        <v>14535</v>
      </c>
    </row>
    <row r="12297" spans="2:5">
      <c r="B12297" s="4" t="s">
        <v>12345</v>
      </c>
      <c r="C12297" s="129" t="s">
        <v>12346</v>
      </c>
      <c r="D12297" s="5">
        <v>440704</v>
      </c>
      <c r="E12297" s="5" t="s">
        <v>14536</v>
      </c>
    </row>
    <row r="12298" spans="2:5">
      <c r="B12298" s="4" t="s">
        <v>12345</v>
      </c>
      <c r="C12298" s="129" t="s">
        <v>12346</v>
      </c>
      <c r="D12298" s="5">
        <v>440705</v>
      </c>
      <c r="E12298" s="5" t="s">
        <v>14537</v>
      </c>
    </row>
    <row r="12299" spans="2:5">
      <c r="B12299" s="4" t="s">
        <v>12345</v>
      </c>
      <c r="C12299" s="129" t="s">
        <v>12346</v>
      </c>
      <c r="D12299" s="5">
        <v>440781</v>
      </c>
      <c r="E12299" s="5" t="s">
        <v>14538</v>
      </c>
    </row>
    <row r="12300" spans="2:5">
      <c r="B12300" s="4" t="s">
        <v>12345</v>
      </c>
      <c r="C12300" s="129" t="s">
        <v>12346</v>
      </c>
      <c r="D12300" s="5">
        <v>440783</v>
      </c>
      <c r="E12300" s="5" t="s">
        <v>14539</v>
      </c>
    </row>
    <row r="12301" spans="2:5">
      <c r="B12301" s="4" t="s">
        <v>12345</v>
      </c>
      <c r="C12301" s="129" t="s">
        <v>12346</v>
      </c>
      <c r="D12301" s="5">
        <v>440784</v>
      </c>
      <c r="E12301" s="5" t="s">
        <v>14540</v>
      </c>
    </row>
    <row r="12302" spans="2:5">
      <c r="B12302" s="4" t="s">
        <v>12345</v>
      </c>
      <c r="C12302" s="129" t="s">
        <v>12346</v>
      </c>
      <c r="D12302" s="5">
        <v>440785</v>
      </c>
      <c r="E12302" s="5" t="s">
        <v>14541</v>
      </c>
    </row>
    <row r="12303" spans="2:5">
      <c r="B12303" s="4" t="s">
        <v>12345</v>
      </c>
      <c r="C12303" s="129" t="s">
        <v>12346</v>
      </c>
      <c r="D12303" s="5">
        <v>440800</v>
      </c>
      <c r="E12303" s="5" t="s">
        <v>14542</v>
      </c>
    </row>
    <row r="12304" spans="2:5">
      <c r="B12304" s="4" t="s">
        <v>12345</v>
      </c>
      <c r="C12304" s="129" t="s">
        <v>12346</v>
      </c>
      <c r="D12304" s="5">
        <v>440801</v>
      </c>
      <c r="E12304" s="5" t="s">
        <v>14543</v>
      </c>
    </row>
    <row r="12305" spans="2:5">
      <c r="B12305" s="4" t="s">
        <v>12345</v>
      </c>
      <c r="C12305" s="129" t="s">
        <v>12346</v>
      </c>
      <c r="D12305" s="5">
        <v>440802</v>
      </c>
      <c r="E12305" s="5" t="s">
        <v>14544</v>
      </c>
    </row>
    <row r="12306" spans="2:5">
      <c r="B12306" s="4" t="s">
        <v>12345</v>
      </c>
      <c r="C12306" s="129" t="s">
        <v>12346</v>
      </c>
      <c r="D12306" s="5">
        <v>440803</v>
      </c>
      <c r="E12306" s="5" t="s">
        <v>14545</v>
      </c>
    </row>
    <row r="12307" spans="2:5">
      <c r="B12307" s="4" t="s">
        <v>12345</v>
      </c>
      <c r="C12307" s="129" t="s">
        <v>12346</v>
      </c>
      <c r="D12307" s="5">
        <v>440804</v>
      </c>
      <c r="E12307" s="5" t="s">
        <v>14546</v>
      </c>
    </row>
    <row r="12308" spans="2:5">
      <c r="B12308" s="4" t="s">
        <v>12345</v>
      </c>
      <c r="C12308" s="129" t="s">
        <v>12346</v>
      </c>
      <c r="D12308" s="5">
        <v>440811</v>
      </c>
      <c r="E12308" s="5" t="s">
        <v>14547</v>
      </c>
    </row>
    <row r="12309" spans="2:5">
      <c r="B12309" s="4" t="s">
        <v>12345</v>
      </c>
      <c r="C12309" s="129" t="s">
        <v>12346</v>
      </c>
      <c r="D12309" s="5">
        <v>440823</v>
      </c>
      <c r="E12309" s="5" t="s">
        <v>14548</v>
      </c>
    </row>
    <row r="12310" spans="2:5">
      <c r="B12310" s="4" t="s">
        <v>12345</v>
      </c>
      <c r="C12310" s="129" t="s">
        <v>12346</v>
      </c>
      <c r="D12310" s="5">
        <v>440825</v>
      </c>
      <c r="E12310" s="5" t="s">
        <v>14549</v>
      </c>
    </row>
    <row r="12311" spans="2:5">
      <c r="B12311" s="4" t="s">
        <v>12345</v>
      </c>
      <c r="C12311" s="129" t="s">
        <v>12346</v>
      </c>
      <c r="D12311" s="5">
        <v>440881</v>
      </c>
      <c r="E12311" s="5" t="s">
        <v>14550</v>
      </c>
    </row>
    <row r="12312" spans="2:5">
      <c r="B12312" s="4" t="s">
        <v>12345</v>
      </c>
      <c r="C12312" s="129" t="s">
        <v>12346</v>
      </c>
      <c r="D12312" s="5">
        <v>440882</v>
      </c>
      <c r="E12312" s="5" t="s">
        <v>14551</v>
      </c>
    </row>
    <row r="12313" spans="2:5">
      <c r="B12313" s="4" t="s">
        <v>12345</v>
      </c>
      <c r="C12313" s="129" t="s">
        <v>12346</v>
      </c>
      <c r="D12313" s="5">
        <v>440883</v>
      </c>
      <c r="E12313" s="5" t="s">
        <v>14552</v>
      </c>
    </row>
    <row r="12314" spans="2:5">
      <c r="B12314" s="4" t="s">
        <v>12345</v>
      </c>
      <c r="C12314" s="129" t="s">
        <v>12346</v>
      </c>
      <c r="D12314" s="5">
        <v>440900</v>
      </c>
      <c r="E12314" s="5" t="s">
        <v>14553</v>
      </c>
    </row>
    <row r="12315" spans="2:5">
      <c r="B12315" s="4" t="s">
        <v>12345</v>
      </c>
      <c r="C12315" s="129" t="s">
        <v>12346</v>
      </c>
      <c r="D12315" s="5">
        <v>440901</v>
      </c>
      <c r="E12315" s="5" t="s">
        <v>14554</v>
      </c>
    </row>
    <row r="12316" spans="2:5">
      <c r="B12316" s="4" t="s">
        <v>12345</v>
      </c>
      <c r="C12316" s="129" t="s">
        <v>12346</v>
      </c>
      <c r="D12316" s="5">
        <v>440902</v>
      </c>
      <c r="E12316" s="5" t="s">
        <v>14555</v>
      </c>
    </row>
    <row r="12317" spans="2:5">
      <c r="B12317" s="4" t="s">
        <v>12345</v>
      </c>
      <c r="C12317" s="129" t="s">
        <v>12346</v>
      </c>
      <c r="D12317" s="5">
        <v>440903</v>
      </c>
      <c r="E12317" s="5" t="s">
        <v>14556</v>
      </c>
    </row>
    <row r="12318" spans="2:5">
      <c r="B12318" s="4" t="s">
        <v>12345</v>
      </c>
      <c r="C12318" s="129" t="s">
        <v>12346</v>
      </c>
      <c r="D12318" s="5">
        <v>440904</v>
      </c>
      <c r="E12318" s="5" t="s">
        <v>14557</v>
      </c>
    </row>
    <row r="12319" spans="2:5">
      <c r="B12319" s="4" t="s">
        <v>12345</v>
      </c>
      <c r="C12319" s="129" t="s">
        <v>12346</v>
      </c>
      <c r="D12319" s="5">
        <v>440981</v>
      </c>
      <c r="E12319" s="5" t="s">
        <v>14558</v>
      </c>
    </row>
    <row r="12320" spans="2:5">
      <c r="B12320" s="4" t="s">
        <v>12345</v>
      </c>
      <c r="C12320" s="129" t="s">
        <v>12346</v>
      </c>
      <c r="D12320" s="5">
        <v>440982</v>
      </c>
      <c r="E12320" s="5" t="s">
        <v>14559</v>
      </c>
    </row>
    <row r="12321" spans="2:5">
      <c r="B12321" s="4" t="s">
        <v>12345</v>
      </c>
      <c r="C12321" s="129" t="s">
        <v>12346</v>
      </c>
      <c r="D12321" s="5">
        <v>440983</v>
      </c>
      <c r="E12321" s="5" t="s">
        <v>14560</v>
      </c>
    </row>
    <row r="12322" spans="2:5">
      <c r="B12322" s="4" t="s">
        <v>12345</v>
      </c>
      <c r="C12322" s="129" t="s">
        <v>12346</v>
      </c>
      <c r="D12322" s="5">
        <v>441200</v>
      </c>
      <c r="E12322" s="5" t="s">
        <v>14561</v>
      </c>
    </row>
    <row r="12323" spans="2:5">
      <c r="B12323" s="4" t="s">
        <v>12345</v>
      </c>
      <c r="C12323" s="129" t="s">
        <v>12346</v>
      </c>
      <c r="D12323" s="5">
        <v>441201</v>
      </c>
      <c r="E12323" s="5" t="s">
        <v>14562</v>
      </c>
    </row>
    <row r="12324" spans="2:5">
      <c r="B12324" s="4" t="s">
        <v>12345</v>
      </c>
      <c r="C12324" s="129" t="s">
        <v>12346</v>
      </c>
      <c r="D12324" s="5">
        <v>441202</v>
      </c>
      <c r="E12324" s="5" t="s">
        <v>14563</v>
      </c>
    </row>
    <row r="12325" spans="2:5">
      <c r="B12325" s="4" t="s">
        <v>12345</v>
      </c>
      <c r="C12325" s="129" t="s">
        <v>12346</v>
      </c>
      <c r="D12325" s="5">
        <v>441203</v>
      </c>
      <c r="E12325" s="5" t="s">
        <v>14564</v>
      </c>
    </row>
    <row r="12326" spans="2:5">
      <c r="B12326" s="4" t="s">
        <v>12345</v>
      </c>
      <c r="C12326" s="129" t="s">
        <v>12346</v>
      </c>
      <c r="D12326" s="5">
        <v>441223</v>
      </c>
      <c r="E12326" s="5" t="s">
        <v>14565</v>
      </c>
    </row>
    <row r="12327" spans="2:5">
      <c r="B12327" s="4" t="s">
        <v>12345</v>
      </c>
      <c r="C12327" s="129" t="s">
        <v>12346</v>
      </c>
      <c r="D12327" s="5">
        <v>441224</v>
      </c>
      <c r="E12327" s="5" t="s">
        <v>14566</v>
      </c>
    </row>
    <row r="12328" spans="2:5">
      <c r="B12328" s="4" t="s">
        <v>12345</v>
      </c>
      <c r="C12328" s="129" t="s">
        <v>12346</v>
      </c>
      <c r="D12328" s="5">
        <v>441225</v>
      </c>
      <c r="E12328" s="5" t="s">
        <v>14567</v>
      </c>
    </row>
    <row r="12329" spans="2:5">
      <c r="B12329" s="4" t="s">
        <v>12345</v>
      </c>
      <c r="C12329" s="129" t="s">
        <v>12346</v>
      </c>
      <c r="D12329" s="5">
        <v>441226</v>
      </c>
      <c r="E12329" s="5" t="s">
        <v>14568</v>
      </c>
    </row>
    <row r="12330" spans="2:5">
      <c r="B12330" s="4" t="s">
        <v>12345</v>
      </c>
      <c r="C12330" s="129" t="s">
        <v>12346</v>
      </c>
      <c r="D12330" s="5">
        <v>441283</v>
      </c>
      <c r="E12330" s="5" t="s">
        <v>14569</v>
      </c>
    </row>
    <row r="12331" spans="2:5">
      <c r="B12331" s="4" t="s">
        <v>12345</v>
      </c>
      <c r="C12331" s="129" t="s">
        <v>12346</v>
      </c>
      <c r="D12331" s="5">
        <v>441284</v>
      </c>
      <c r="E12331" s="5" t="s">
        <v>14570</v>
      </c>
    </row>
    <row r="12332" spans="2:5">
      <c r="B12332" s="4" t="s">
        <v>12345</v>
      </c>
      <c r="C12332" s="129" t="s">
        <v>12346</v>
      </c>
      <c r="D12332" s="5">
        <v>441300</v>
      </c>
      <c r="E12332" s="5" t="s">
        <v>14571</v>
      </c>
    </row>
    <row r="12333" spans="2:5">
      <c r="B12333" s="4" t="s">
        <v>12345</v>
      </c>
      <c r="C12333" s="129" t="s">
        <v>12346</v>
      </c>
      <c r="D12333" s="5">
        <v>441301</v>
      </c>
      <c r="E12333" s="5" t="s">
        <v>14572</v>
      </c>
    </row>
    <row r="12334" spans="2:5">
      <c r="B12334" s="4" t="s">
        <v>12345</v>
      </c>
      <c r="C12334" s="129" t="s">
        <v>12346</v>
      </c>
      <c r="D12334" s="5">
        <v>441302</v>
      </c>
      <c r="E12334" s="5" t="s">
        <v>14573</v>
      </c>
    </row>
    <row r="12335" spans="2:5">
      <c r="B12335" s="4" t="s">
        <v>12345</v>
      </c>
      <c r="C12335" s="129" t="s">
        <v>12346</v>
      </c>
      <c r="D12335" s="5">
        <v>441303</v>
      </c>
      <c r="E12335" s="5" t="s">
        <v>14574</v>
      </c>
    </row>
    <row r="12336" spans="2:5">
      <c r="B12336" s="4" t="s">
        <v>12345</v>
      </c>
      <c r="C12336" s="129" t="s">
        <v>12346</v>
      </c>
      <c r="D12336" s="5">
        <v>441322</v>
      </c>
      <c r="E12336" s="5" t="s">
        <v>14575</v>
      </c>
    </row>
    <row r="12337" spans="2:5">
      <c r="B12337" s="4" t="s">
        <v>12345</v>
      </c>
      <c r="C12337" s="129" t="s">
        <v>12346</v>
      </c>
      <c r="D12337" s="5">
        <v>441323</v>
      </c>
      <c r="E12337" s="5" t="s">
        <v>14576</v>
      </c>
    </row>
    <row r="12338" spans="2:5">
      <c r="B12338" s="4" t="s">
        <v>12345</v>
      </c>
      <c r="C12338" s="129" t="s">
        <v>12346</v>
      </c>
      <c r="D12338" s="5">
        <v>441324</v>
      </c>
      <c r="E12338" s="5" t="s">
        <v>14577</v>
      </c>
    </row>
    <row r="12339" spans="2:5">
      <c r="B12339" s="4" t="s">
        <v>12345</v>
      </c>
      <c r="C12339" s="129" t="s">
        <v>12346</v>
      </c>
      <c r="D12339" s="5">
        <v>441400</v>
      </c>
      <c r="E12339" s="5" t="s">
        <v>14578</v>
      </c>
    </row>
    <row r="12340" spans="2:5">
      <c r="B12340" s="4" t="s">
        <v>12345</v>
      </c>
      <c r="C12340" s="129" t="s">
        <v>12346</v>
      </c>
      <c r="D12340" s="5">
        <v>441401</v>
      </c>
      <c r="E12340" s="5" t="s">
        <v>14579</v>
      </c>
    </row>
    <row r="12341" spans="2:5">
      <c r="B12341" s="4" t="s">
        <v>12345</v>
      </c>
      <c r="C12341" s="129" t="s">
        <v>12346</v>
      </c>
      <c r="D12341" s="5">
        <v>441402</v>
      </c>
      <c r="E12341" s="5" t="s">
        <v>14580</v>
      </c>
    </row>
    <row r="12342" spans="2:5">
      <c r="B12342" s="4" t="s">
        <v>12345</v>
      </c>
      <c r="C12342" s="129" t="s">
        <v>12346</v>
      </c>
      <c r="D12342" s="5">
        <v>441403</v>
      </c>
      <c r="E12342" s="5" t="s">
        <v>14581</v>
      </c>
    </row>
    <row r="12343" spans="2:5">
      <c r="B12343" s="4" t="s">
        <v>12345</v>
      </c>
      <c r="C12343" s="129" t="s">
        <v>12346</v>
      </c>
      <c r="D12343" s="5">
        <v>441422</v>
      </c>
      <c r="E12343" s="5" t="s">
        <v>14582</v>
      </c>
    </row>
    <row r="12344" spans="2:5">
      <c r="B12344" s="4" t="s">
        <v>12345</v>
      </c>
      <c r="C12344" s="129" t="s">
        <v>12346</v>
      </c>
      <c r="D12344" s="5">
        <v>441423</v>
      </c>
      <c r="E12344" s="5" t="s">
        <v>14583</v>
      </c>
    </row>
    <row r="12345" spans="2:5">
      <c r="B12345" s="4" t="s">
        <v>12345</v>
      </c>
      <c r="C12345" s="129" t="s">
        <v>12346</v>
      </c>
      <c r="D12345" s="5">
        <v>441424</v>
      </c>
      <c r="E12345" s="5" t="s">
        <v>14584</v>
      </c>
    </row>
    <row r="12346" spans="2:5">
      <c r="B12346" s="4" t="s">
        <v>12345</v>
      </c>
      <c r="C12346" s="129" t="s">
        <v>12346</v>
      </c>
      <c r="D12346" s="5">
        <v>441426</v>
      </c>
      <c r="E12346" s="5" t="s">
        <v>14585</v>
      </c>
    </row>
    <row r="12347" spans="2:5">
      <c r="B12347" s="4" t="s">
        <v>12345</v>
      </c>
      <c r="C12347" s="129" t="s">
        <v>12346</v>
      </c>
      <c r="D12347" s="5">
        <v>441427</v>
      </c>
      <c r="E12347" s="5" t="s">
        <v>14586</v>
      </c>
    </row>
    <row r="12348" spans="2:5">
      <c r="B12348" s="4" t="s">
        <v>12345</v>
      </c>
      <c r="C12348" s="129" t="s">
        <v>12346</v>
      </c>
      <c r="D12348" s="5">
        <v>441481</v>
      </c>
      <c r="E12348" s="5" t="s">
        <v>14587</v>
      </c>
    </row>
    <row r="12349" spans="2:5">
      <c r="B12349" s="4" t="s">
        <v>12345</v>
      </c>
      <c r="C12349" s="129" t="s">
        <v>12346</v>
      </c>
      <c r="D12349" s="5">
        <v>441500</v>
      </c>
      <c r="E12349" s="5" t="s">
        <v>14588</v>
      </c>
    </row>
    <row r="12350" spans="2:5">
      <c r="B12350" s="4" t="s">
        <v>12345</v>
      </c>
      <c r="C12350" s="129" t="s">
        <v>12346</v>
      </c>
      <c r="D12350" s="5">
        <v>441501</v>
      </c>
      <c r="E12350" s="5" t="s">
        <v>14589</v>
      </c>
    </row>
    <row r="12351" spans="2:5">
      <c r="B12351" s="4" t="s">
        <v>12345</v>
      </c>
      <c r="C12351" s="129" t="s">
        <v>12346</v>
      </c>
      <c r="D12351" s="5">
        <v>441502</v>
      </c>
      <c r="E12351" s="5" t="s">
        <v>14590</v>
      </c>
    </row>
    <row r="12352" spans="2:5">
      <c r="B12352" s="4" t="s">
        <v>12345</v>
      </c>
      <c r="C12352" s="129" t="s">
        <v>12346</v>
      </c>
      <c r="D12352" s="5">
        <v>441521</v>
      </c>
      <c r="E12352" s="5" t="s">
        <v>14591</v>
      </c>
    </row>
    <row r="12353" spans="2:5">
      <c r="B12353" s="4" t="s">
        <v>12345</v>
      </c>
      <c r="C12353" s="129" t="s">
        <v>12346</v>
      </c>
      <c r="D12353" s="5">
        <v>441523</v>
      </c>
      <c r="E12353" s="5" t="s">
        <v>14592</v>
      </c>
    </row>
    <row r="12354" spans="2:5">
      <c r="B12354" s="4" t="s">
        <v>12345</v>
      </c>
      <c r="C12354" s="129" t="s">
        <v>12346</v>
      </c>
      <c r="D12354" s="5">
        <v>441581</v>
      </c>
      <c r="E12354" s="5" t="s">
        <v>14593</v>
      </c>
    </row>
    <row r="12355" spans="2:5">
      <c r="B12355" s="4" t="s">
        <v>12345</v>
      </c>
      <c r="C12355" s="129" t="s">
        <v>12346</v>
      </c>
      <c r="D12355" s="5">
        <v>441600</v>
      </c>
      <c r="E12355" s="5" t="s">
        <v>14594</v>
      </c>
    </row>
    <row r="12356" spans="2:5">
      <c r="B12356" s="4" t="s">
        <v>12345</v>
      </c>
      <c r="C12356" s="129" t="s">
        <v>12346</v>
      </c>
      <c r="D12356" s="5">
        <v>441601</v>
      </c>
      <c r="E12356" s="5" t="s">
        <v>14595</v>
      </c>
    </row>
    <row r="12357" spans="2:5">
      <c r="B12357" s="4" t="s">
        <v>12345</v>
      </c>
      <c r="C12357" s="129" t="s">
        <v>12346</v>
      </c>
      <c r="D12357" s="5">
        <v>441602</v>
      </c>
      <c r="E12357" s="5" t="s">
        <v>14596</v>
      </c>
    </row>
    <row r="12358" spans="2:5">
      <c r="B12358" s="4" t="s">
        <v>12345</v>
      </c>
      <c r="C12358" s="129" t="s">
        <v>12346</v>
      </c>
      <c r="D12358" s="5">
        <v>441621</v>
      </c>
      <c r="E12358" s="5" t="s">
        <v>14597</v>
      </c>
    </row>
    <row r="12359" spans="2:5">
      <c r="B12359" s="4" t="s">
        <v>12345</v>
      </c>
      <c r="C12359" s="129" t="s">
        <v>12346</v>
      </c>
      <c r="D12359" s="5">
        <v>441622</v>
      </c>
      <c r="E12359" s="5" t="s">
        <v>14598</v>
      </c>
    </row>
    <row r="12360" spans="2:5">
      <c r="B12360" s="4" t="s">
        <v>12345</v>
      </c>
      <c r="C12360" s="129" t="s">
        <v>12346</v>
      </c>
      <c r="D12360" s="5">
        <v>441623</v>
      </c>
      <c r="E12360" s="5" t="s">
        <v>14599</v>
      </c>
    </row>
    <row r="12361" spans="2:5">
      <c r="B12361" s="4" t="s">
        <v>12345</v>
      </c>
      <c r="C12361" s="129" t="s">
        <v>12346</v>
      </c>
      <c r="D12361" s="5">
        <v>441624</v>
      </c>
      <c r="E12361" s="5" t="s">
        <v>14600</v>
      </c>
    </row>
    <row r="12362" spans="2:5">
      <c r="B12362" s="4" t="s">
        <v>12345</v>
      </c>
      <c r="C12362" s="129" t="s">
        <v>12346</v>
      </c>
      <c r="D12362" s="5">
        <v>441625</v>
      </c>
      <c r="E12362" s="5" t="s">
        <v>14601</v>
      </c>
    </row>
    <row r="12363" spans="2:5">
      <c r="B12363" s="4" t="s">
        <v>12345</v>
      </c>
      <c r="C12363" s="129" t="s">
        <v>12346</v>
      </c>
      <c r="D12363" s="5">
        <v>441700</v>
      </c>
      <c r="E12363" s="5" t="s">
        <v>14602</v>
      </c>
    </row>
    <row r="12364" spans="2:5">
      <c r="B12364" s="4" t="s">
        <v>12345</v>
      </c>
      <c r="C12364" s="129" t="s">
        <v>12346</v>
      </c>
      <c r="D12364" s="5">
        <v>441701</v>
      </c>
      <c r="E12364" s="5" t="s">
        <v>14603</v>
      </c>
    </row>
    <row r="12365" spans="2:5">
      <c r="B12365" s="4" t="s">
        <v>12345</v>
      </c>
      <c r="C12365" s="129" t="s">
        <v>12346</v>
      </c>
      <c r="D12365" s="5">
        <v>441702</v>
      </c>
      <c r="E12365" s="5" t="s">
        <v>14604</v>
      </c>
    </row>
    <row r="12366" spans="2:5">
      <c r="B12366" s="4" t="s">
        <v>12345</v>
      </c>
      <c r="C12366" s="129" t="s">
        <v>12346</v>
      </c>
      <c r="D12366" s="5">
        <v>441721</v>
      </c>
      <c r="E12366" s="5" t="s">
        <v>14605</v>
      </c>
    </row>
    <row r="12367" spans="2:5">
      <c r="B12367" s="4" t="s">
        <v>12345</v>
      </c>
      <c r="C12367" s="129" t="s">
        <v>12346</v>
      </c>
      <c r="D12367" s="5">
        <v>441723</v>
      </c>
      <c r="E12367" s="5" t="s">
        <v>14606</v>
      </c>
    </row>
    <row r="12368" spans="2:5">
      <c r="B12368" s="4" t="s">
        <v>12345</v>
      </c>
      <c r="C12368" s="129" t="s">
        <v>12346</v>
      </c>
      <c r="D12368" s="5">
        <v>441781</v>
      </c>
      <c r="E12368" s="5" t="s">
        <v>14607</v>
      </c>
    </row>
    <row r="12369" spans="2:5">
      <c r="B12369" s="4" t="s">
        <v>12345</v>
      </c>
      <c r="C12369" s="129" t="s">
        <v>12346</v>
      </c>
      <c r="D12369" s="5">
        <v>441800</v>
      </c>
      <c r="E12369" s="5" t="s">
        <v>14608</v>
      </c>
    </row>
    <row r="12370" spans="2:5">
      <c r="B12370" s="4" t="s">
        <v>12345</v>
      </c>
      <c r="C12370" s="129" t="s">
        <v>12346</v>
      </c>
      <c r="D12370" s="5">
        <v>441801</v>
      </c>
      <c r="E12370" s="5" t="s">
        <v>14609</v>
      </c>
    </row>
    <row r="12371" spans="2:5">
      <c r="B12371" s="4" t="s">
        <v>12345</v>
      </c>
      <c r="C12371" s="129" t="s">
        <v>12346</v>
      </c>
      <c r="D12371" s="5">
        <v>441802</v>
      </c>
      <c r="E12371" s="5" t="s">
        <v>14610</v>
      </c>
    </row>
    <row r="12372" spans="2:5">
      <c r="B12372" s="4" t="s">
        <v>12345</v>
      </c>
      <c r="C12372" s="129" t="s">
        <v>12346</v>
      </c>
      <c r="D12372" s="5">
        <v>441803</v>
      </c>
      <c r="E12372" s="5" t="s">
        <v>14611</v>
      </c>
    </row>
    <row r="12373" spans="2:5">
      <c r="B12373" s="4" t="s">
        <v>12345</v>
      </c>
      <c r="C12373" s="129" t="s">
        <v>12346</v>
      </c>
      <c r="D12373" s="5">
        <v>441821</v>
      </c>
      <c r="E12373" s="5" t="s">
        <v>14612</v>
      </c>
    </row>
    <row r="12374" spans="2:5">
      <c r="B12374" s="4" t="s">
        <v>12345</v>
      </c>
      <c r="C12374" s="129" t="s">
        <v>12346</v>
      </c>
      <c r="D12374" s="5">
        <v>441823</v>
      </c>
      <c r="E12374" s="5" t="s">
        <v>14613</v>
      </c>
    </row>
    <row r="12375" spans="2:5">
      <c r="B12375" s="4" t="s">
        <v>12345</v>
      </c>
      <c r="C12375" s="129" t="s">
        <v>12346</v>
      </c>
      <c r="D12375" s="5">
        <v>441825</v>
      </c>
      <c r="E12375" s="5" t="s">
        <v>14614</v>
      </c>
    </row>
    <row r="12376" spans="2:5">
      <c r="B12376" s="4" t="s">
        <v>12345</v>
      </c>
      <c r="C12376" s="129" t="s">
        <v>12346</v>
      </c>
      <c r="D12376" s="5">
        <v>441826</v>
      </c>
      <c r="E12376" s="5" t="s">
        <v>14615</v>
      </c>
    </row>
    <row r="12377" spans="2:5">
      <c r="B12377" s="4" t="s">
        <v>12345</v>
      </c>
      <c r="C12377" s="129" t="s">
        <v>12346</v>
      </c>
      <c r="D12377" s="5">
        <v>441881</v>
      </c>
      <c r="E12377" s="5" t="s">
        <v>14616</v>
      </c>
    </row>
    <row r="12378" spans="2:5">
      <c r="B12378" s="4" t="s">
        <v>12345</v>
      </c>
      <c r="C12378" s="129" t="s">
        <v>12346</v>
      </c>
      <c r="D12378" s="5">
        <v>441882</v>
      </c>
      <c r="E12378" s="5" t="s">
        <v>14617</v>
      </c>
    </row>
    <row r="12379" spans="2:5">
      <c r="B12379" s="4" t="s">
        <v>12345</v>
      </c>
      <c r="C12379" s="129" t="s">
        <v>12346</v>
      </c>
      <c r="D12379" s="5">
        <v>441900</v>
      </c>
      <c r="E12379" s="5" t="s">
        <v>14618</v>
      </c>
    </row>
    <row r="12380" spans="2:5">
      <c r="B12380" s="4" t="s">
        <v>12345</v>
      </c>
      <c r="C12380" s="129" t="s">
        <v>12346</v>
      </c>
      <c r="D12380" s="5">
        <v>441901</v>
      </c>
      <c r="E12380" s="5" t="s">
        <v>14619</v>
      </c>
    </row>
    <row r="12381" spans="2:5">
      <c r="B12381" s="4" t="s">
        <v>12345</v>
      </c>
      <c r="C12381" s="129" t="s">
        <v>12346</v>
      </c>
      <c r="D12381" s="5">
        <v>442000</v>
      </c>
      <c r="E12381" s="5" t="s">
        <v>14620</v>
      </c>
    </row>
    <row r="12382" spans="2:5">
      <c r="B12382" s="4" t="s">
        <v>12345</v>
      </c>
      <c r="C12382" s="129" t="s">
        <v>12346</v>
      </c>
      <c r="D12382" s="5">
        <v>442001</v>
      </c>
      <c r="E12382" s="5" t="s">
        <v>14621</v>
      </c>
    </row>
    <row r="12383" spans="2:5">
      <c r="B12383" s="130" t="s">
        <v>12345</v>
      </c>
      <c r="C12383" s="131" t="s">
        <v>12346</v>
      </c>
      <c r="D12383" s="48">
        <v>445100</v>
      </c>
      <c r="E12383" s="48" t="s">
        <v>14622</v>
      </c>
    </row>
    <row r="12384" spans="2:6">
      <c r="B12384" s="4" t="s">
        <v>12345</v>
      </c>
      <c r="C12384" s="129" t="s">
        <v>12346</v>
      </c>
      <c r="D12384" s="5">
        <v>445101</v>
      </c>
      <c r="E12384" s="5" t="s">
        <v>14623</v>
      </c>
      <c r="F12384" s="5"/>
    </row>
    <row r="12385" spans="2:6">
      <c r="B12385" s="4" t="s">
        <v>12345</v>
      </c>
      <c r="C12385" s="129" t="s">
        <v>12346</v>
      </c>
      <c r="D12385" s="5">
        <v>445102</v>
      </c>
      <c r="E12385" s="5" t="s">
        <v>14624</v>
      </c>
      <c r="F12385" s="5"/>
    </row>
    <row r="12386" spans="2:6">
      <c r="B12386" s="4" t="s">
        <v>12345</v>
      </c>
      <c r="C12386" s="129" t="s">
        <v>12346</v>
      </c>
      <c r="D12386" s="5">
        <v>445121</v>
      </c>
      <c r="E12386" s="5" t="s">
        <v>14625</v>
      </c>
      <c r="F12386" s="5"/>
    </row>
    <row r="12387" spans="2:6">
      <c r="B12387" s="4" t="s">
        <v>12345</v>
      </c>
      <c r="C12387" s="129" t="s">
        <v>12346</v>
      </c>
      <c r="D12387" s="5">
        <v>445122</v>
      </c>
      <c r="E12387" s="5" t="s">
        <v>14626</v>
      </c>
      <c r="F12387" s="5"/>
    </row>
    <row r="12388" spans="2:6">
      <c r="B12388" s="4" t="s">
        <v>12345</v>
      </c>
      <c r="C12388" s="129" t="s">
        <v>12346</v>
      </c>
      <c r="D12388" s="5">
        <v>445200</v>
      </c>
      <c r="E12388" s="5" t="s">
        <v>14627</v>
      </c>
      <c r="F12388" s="5"/>
    </row>
    <row r="12389" spans="2:6">
      <c r="B12389" s="4" t="s">
        <v>12345</v>
      </c>
      <c r="C12389" s="129" t="s">
        <v>12346</v>
      </c>
      <c r="D12389" s="5">
        <v>445201</v>
      </c>
      <c r="E12389" s="5" t="s">
        <v>14628</v>
      </c>
      <c r="F12389" s="5"/>
    </row>
    <row r="12390" spans="2:6">
      <c r="B12390" s="4" t="s">
        <v>12345</v>
      </c>
      <c r="C12390" s="129" t="s">
        <v>12346</v>
      </c>
      <c r="D12390" s="5">
        <v>445202</v>
      </c>
      <c r="E12390" s="5" t="s">
        <v>14629</v>
      </c>
      <c r="F12390" s="5"/>
    </row>
    <row r="12391" spans="2:6">
      <c r="B12391" s="4" t="s">
        <v>12345</v>
      </c>
      <c r="C12391" s="129" t="s">
        <v>12346</v>
      </c>
      <c r="D12391" s="5">
        <v>445221</v>
      </c>
      <c r="E12391" s="5" t="s">
        <v>14630</v>
      </c>
      <c r="F12391" s="5"/>
    </row>
    <row r="12392" spans="2:6">
      <c r="B12392" s="4" t="s">
        <v>12345</v>
      </c>
      <c r="C12392" s="129" t="s">
        <v>12346</v>
      </c>
      <c r="D12392" s="5">
        <v>445222</v>
      </c>
      <c r="E12392" s="5" t="s">
        <v>14631</v>
      </c>
      <c r="F12392" s="5"/>
    </row>
    <row r="12393" spans="2:6">
      <c r="B12393" s="4" t="s">
        <v>12345</v>
      </c>
      <c r="C12393" s="129" t="s">
        <v>12346</v>
      </c>
      <c r="D12393" s="5">
        <v>445224</v>
      </c>
      <c r="E12393" s="5" t="s">
        <v>14632</v>
      </c>
      <c r="F12393" s="5"/>
    </row>
    <row r="12394" spans="2:6">
      <c r="B12394" s="4" t="s">
        <v>12345</v>
      </c>
      <c r="C12394" s="129" t="s">
        <v>12346</v>
      </c>
      <c r="D12394" s="5">
        <v>445281</v>
      </c>
      <c r="E12394" s="5" t="s">
        <v>14633</v>
      </c>
      <c r="F12394" s="5"/>
    </row>
    <row r="12395" spans="2:6">
      <c r="B12395" s="4" t="s">
        <v>12345</v>
      </c>
      <c r="C12395" s="129" t="s">
        <v>12346</v>
      </c>
      <c r="D12395" s="5">
        <v>445300</v>
      </c>
      <c r="E12395" s="5" t="s">
        <v>14634</v>
      </c>
      <c r="F12395" s="5"/>
    </row>
    <row r="12396" spans="2:6">
      <c r="B12396" s="4" t="s">
        <v>12345</v>
      </c>
      <c r="C12396" s="129" t="s">
        <v>12346</v>
      </c>
      <c r="D12396" s="5">
        <v>445301</v>
      </c>
      <c r="E12396" s="5" t="s">
        <v>14635</v>
      </c>
      <c r="F12396" s="5"/>
    </row>
    <row r="12397" spans="2:6">
      <c r="B12397" s="4" t="s">
        <v>12345</v>
      </c>
      <c r="C12397" s="129" t="s">
        <v>12346</v>
      </c>
      <c r="D12397" s="5">
        <v>445302</v>
      </c>
      <c r="E12397" s="5" t="s">
        <v>14636</v>
      </c>
      <c r="F12397" s="5"/>
    </row>
    <row r="12398" spans="2:6">
      <c r="B12398" s="4" t="s">
        <v>12345</v>
      </c>
      <c r="C12398" s="129" t="s">
        <v>12346</v>
      </c>
      <c r="D12398" s="5">
        <v>445303</v>
      </c>
      <c r="E12398" s="5" t="s">
        <v>14637</v>
      </c>
      <c r="F12398" s="5"/>
    </row>
    <row r="12399" spans="2:6">
      <c r="B12399" s="4" t="s">
        <v>12345</v>
      </c>
      <c r="C12399" s="129" t="s">
        <v>12346</v>
      </c>
      <c r="D12399" s="5">
        <v>445321</v>
      </c>
      <c r="E12399" s="5" t="s">
        <v>14638</v>
      </c>
      <c r="F12399" s="5"/>
    </row>
    <row r="12400" spans="2:6">
      <c r="B12400" s="4" t="s">
        <v>12345</v>
      </c>
      <c r="C12400" s="129" t="s">
        <v>12346</v>
      </c>
      <c r="D12400" s="5">
        <v>445322</v>
      </c>
      <c r="E12400" s="5" t="s">
        <v>14639</v>
      </c>
      <c r="F12400" s="5"/>
    </row>
    <row r="12401" spans="2:6">
      <c r="B12401" s="4" t="s">
        <v>12345</v>
      </c>
      <c r="C12401" s="129" t="s">
        <v>12346</v>
      </c>
      <c r="D12401" s="5">
        <v>445381</v>
      </c>
      <c r="E12401" s="5" t="s">
        <v>14640</v>
      </c>
      <c r="F12401" s="5"/>
    </row>
    <row r="12402" spans="2:6">
      <c r="B12402" s="4" t="s">
        <v>12345</v>
      </c>
      <c r="C12402" s="129" t="s">
        <v>12346</v>
      </c>
      <c r="D12402" s="5">
        <v>450000</v>
      </c>
      <c r="E12402" s="5" t="s">
        <v>14641</v>
      </c>
      <c r="F12402" s="5"/>
    </row>
    <row r="12403" spans="2:6">
      <c r="B12403" s="4" t="s">
        <v>12345</v>
      </c>
      <c r="C12403" s="129" t="s">
        <v>12346</v>
      </c>
      <c r="D12403" s="5">
        <v>450100</v>
      </c>
      <c r="E12403" s="5" t="s">
        <v>14642</v>
      </c>
      <c r="F12403" s="5"/>
    </row>
    <row r="12404" spans="2:6">
      <c r="B12404" s="4" t="s">
        <v>12345</v>
      </c>
      <c r="C12404" s="129" t="s">
        <v>12346</v>
      </c>
      <c r="D12404" s="5">
        <v>450101</v>
      </c>
      <c r="E12404" s="5" t="s">
        <v>14643</v>
      </c>
      <c r="F12404" s="5"/>
    </row>
    <row r="12405" spans="2:6">
      <c r="B12405" s="4" t="s">
        <v>12345</v>
      </c>
      <c r="C12405" s="129" t="s">
        <v>12346</v>
      </c>
      <c r="D12405" s="5">
        <v>450102</v>
      </c>
      <c r="E12405" s="5" t="s">
        <v>14644</v>
      </c>
      <c r="F12405" s="5"/>
    </row>
    <row r="12406" spans="2:6">
      <c r="B12406" s="4" t="s">
        <v>12345</v>
      </c>
      <c r="C12406" s="129" t="s">
        <v>12346</v>
      </c>
      <c r="D12406" s="5">
        <v>450103</v>
      </c>
      <c r="E12406" s="5" t="s">
        <v>14645</v>
      </c>
      <c r="F12406" s="5"/>
    </row>
    <row r="12407" spans="2:6">
      <c r="B12407" s="4" t="s">
        <v>12345</v>
      </c>
      <c r="C12407" s="129" t="s">
        <v>12346</v>
      </c>
      <c r="D12407" s="5">
        <v>450105</v>
      </c>
      <c r="E12407" s="5" t="s">
        <v>14646</v>
      </c>
      <c r="F12407" s="5"/>
    </row>
    <row r="12408" spans="2:6">
      <c r="B12408" s="4" t="s">
        <v>12345</v>
      </c>
      <c r="C12408" s="129" t="s">
        <v>12346</v>
      </c>
      <c r="D12408" s="5">
        <v>450107</v>
      </c>
      <c r="E12408" s="5" t="s">
        <v>14647</v>
      </c>
      <c r="F12408" s="5"/>
    </row>
    <row r="12409" spans="2:6">
      <c r="B12409" s="4" t="s">
        <v>12345</v>
      </c>
      <c r="C12409" s="129" t="s">
        <v>12346</v>
      </c>
      <c r="D12409" s="5">
        <v>450108</v>
      </c>
      <c r="E12409" s="5" t="s">
        <v>14648</v>
      </c>
      <c r="F12409" s="5"/>
    </row>
    <row r="12410" spans="2:6">
      <c r="B12410" s="4" t="s">
        <v>12345</v>
      </c>
      <c r="C12410" s="129" t="s">
        <v>12346</v>
      </c>
      <c r="D12410" s="5">
        <v>450109</v>
      </c>
      <c r="E12410" s="5" t="s">
        <v>14649</v>
      </c>
      <c r="F12410" s="5"/>
    </row>
    <row r="12411" spans="2:6">
      <c r="B12411" s="4" t="s">
        <v>12345</v>
      </c>
      <c r="C12411" s="129" t="s">
        <v>12346</v>
      </c>
      <c r="D12411" s="5">
        <v>450122</v>
      </c>
      <c r="E12411" s="5" t="s">
        <v>14650</v>
      </c>
      <c r="F12411" s="5"/>
    </row>
    <row r="12412" spans="2:6">
      <c r="B12412" s="4" t="s">
        <v>12345</v>
      </c>
      <c r="C12412" s="129" t="s">
        <v>12346</v>
      </c>
      <c r="D12412" s="5">
        <v>450123</v>
      </c>
      <c r="E12412" s="5" t="s">
        <v>14651</v>
      </c>
      <c r="F12412" s="5"/>
    </row>
    <row r="12413" spans="2:6">
      <c r="B12413" s="4" t="s">
        <v>12345</v>
      </c>
      <c r="C12413" s="129" t="s">
        <v>12346</v>
      </c>
      <c r="D12413" s="5">
        <v>450124</v>
      </c>
      <c r="E12413" s="5" t="s">
        <v>14652</v>
      </c>
      <c r="F12413" s="5"/>
    </row>
    <row r="12414" spans="2:6">
      <c r="B12414" s="4" t="s">
        <v>12345</v>
      </c>
      <c r="C12414" s="129" t="s">
        <v>12346</v>
      </c>
      <c r="D12414" s="5">
        <v>450125</v>
      </c>
      <c r="E12414" s="5" t="s">
        <v>14653</v>
      </c>
      <c r="F12414" s="5"/>
    </row>
    <row r="12415" spans="2:6">
      <c r="B12415" s="4" t="s">
        <v>12345</v>
      </c>
      <c r="C12415" s="129" t="s">
        <v>12346</v>
      </c>
      <c r="D12415" s="5">
        <v>450126</v>
      </c>
      <c r="E12415" s="5" t="s">
        <v>14654</v>
      </c>
      <c r="F12415" s="5"/>
    </row>
    <row r="12416" spans="2:6">
      <c r="B12416" s="4" t="s">
        <v>12345</v>
      </c>
      <c r="C12416" s="129" t="s">
        <v>12346</v>
      </c>
      <c r="D12416" s="5">
        <v>450127</v>
      </c>
      <c r="E12416" s="5" t="s">
        <v>14655</v>
      </c>
      <c r="F12416" s="5"/>
    </row>
    <row r="12417" spans="2:6">
      <c r="B12417" s="4" t="s">
        <v>12345</v>
      </c>
      <c r="C12417" s="129" t="s">
        <v>12346</v>
      </c>
      <c r="D12417" s="5">
        <v>450200</v>
      </c>
      <c r="E12417" s="5" t="s">
        <v>14656</v>
      </c>
      <c r="F12417" s="5"/>
    </row>
    <row r="12418" spans="2:6">
      <c r="B12418" s="4" t="s">
        <v>12345</v>
      </c>
      <c r="C12418" s="129" t="s">
        <v>12346</v>
      </c>
      <c r="D12418" s="5">
        <v>450201</v>
      </c>
      <c r="E12418" s="5" t="s">
        <v>14657</v>
      </c>
      <c r="F12418" s="5"/>
    </row>
    <row r="12419" spans="2:6">
      <c r="B12419" s="4" t="s">
        <v>12345</v>
      </c>
      <c r="C12419" s="129" t="s">
        <v>12346</v>
      </c>
      <c r="D12419" s="5">
        <v>450202</v>
      </c>
      <c r="E12419" s="5" t="s">
        <v>14658</v>
      </c>
      <c r="F12419" s="5"/>
    </row>
    <row r="12420" spans="2:6">
      <c r="B12420" s="4" t="s">
        <v>12345</v>
      </c>
      <c r="C12420" s="129" t="s">
        <v>12346</v>
      </c>
      <c r="D12420" s="5">
        <v>450203</v>
      </c>
      <c r="E12420" s="5" t="s">
        <v>14659</v>
      </c>
      <c r="F12420" s="5"/>
    </row>
    <row r="12421" spans="2:6">
      <c r="B12421" s="4" t="s">
        <v>12345</v>
      </c>
      <c r="C12421" s="129" t="s">
        <v>12346</v>
      </c>
      <c r="D12421" s="5">
        <v>450204</v>
      </c>
      <c r="E12421" s="5" t="s">
        <v>14660</v>
      </c>
      <c r="F12421" s="5"/>
    </row>
    <row r="12422" spans="2:6">
      <c r="B12422" s="4" t="s">
        <v>12345</v>
      </c>
      <c r="C12422" s="129" t="s">
        <v>12346</v>
      </c>
      <c r="D12422" s="5">
        <v>450205</v>
      </c>
      <c r="E12422" s="5" t="s">
        <v>14661</v>
      </c>
      <c r="F12422" s="5"/>
    </row>
    <row r="12423" spans="2:6">
      <c r="B12423" s="4" t="s">
        <v>12345</v>
      </c>
      <c r="C12423" s="129" t="s">
        <v>12346</v>
      </c>
      <c r="D12423" s="5">
        <v>450221</v>
      </c>
      <c r="E12423" s="5" t="s">
        <v>14662</v>
      </c>
      <c r="F12423" s="5"/>
    </row>
    <row r="12424" spans="2:6">
      <c r="B12424" s="4" t="s">
        <v>12345</v>
      </c>
      <c r="C12424" s="129" t="s">
        <v>12346</v>
      </c>
      <c r="D12424" s="5">
        <v>450222</v>
      </c>
      <c r="E12424" s="5" t="s">
        <v>14663</v>
      </c>
      <c r="F12424" s="5"/>
    </row>
    <row r="12425" spans="2:6">
      <c r="B12425" s="4" t="s">
        <v>12345</v>
      </c>
      <c r="C12425" s="129" t="s">
        <v>12346</v>
      </c>
      <c r="D12425" s="5">
        <v>450223</v>
      </c>
      <c r="E12425" s="5" t="s">
        <v>14664</v>
      </c>
      <c r="F12425" s="5"/>
    </row>
    <row r="12426" spans="2:6">
      <c r="B12426" s="4" t="s">
        <v>12345</v>
      </c>
      <c r="C12426" s="129" t="s">
        <v>12346</v>
      </c>
      <c r="D12426" s="5">
        <v>450224</v>
      </c>
      <c r="E12426" s="5" t="s">
        <v>14665</v>
      </c>
      <c r="F12426" s="5"/>
    </row>
    <row r="12427" spans="2:6">
      <c r="B12427" s="4" t="s">
        <v>12345</v>
      </c>
      <c r="C12427" s="129" t="s">
        <v>12346</v>
      </c>
      <c r="D12427" s="5">
        <v>450225</v>
      </c>
      <c r="E12427" s="5" t="s">
        <v>14666</v>
      </c>
      <c r="F12427" s="5"/>
    </row>
    <row r="12428" spans="2:6">
      <c r="B12428" s="4" t="s">
        <v>12345</v>
      </c>
      <c r="C12428" s="129" t="s">
        <v>12346</v>
      </c>
      <c r="D12428" s="5">
        <v>450226</v>
      </c>
      <c r="E12428" s="5" t="s">
        <v>14667</v>
      </c>
      <c r="F12428" s="5"/>
    </row>
    <row r="12429" spans="2:6">
      <c r="B12429" s="4" t="s">
        <v>12345</v>
      </c>
      <c r="C12429" s="129" t="s">
        <v>12346</v>
      </c>
      <c r="D12429" s="5">
        <v>450300</v>
      </c>
      <c r="E12429" s="5" t="s">
        <v>14668</v>
      </c>
      <c r="F12429" s="5"/>
    </row>
    <row r="12430" spans="2:6">
      <c r="B12430" s="4" t="s">
        <v>12345</v>
      </c>
      <c r="C12430" s="129" t="s">
        <v>12346</v>
      </c>
      <c r="D12430" s="5">
        <v>450301</v>
      </c>
      <c r="E12430" s="5" t="s">
        <v>14669</v>
      </c>
      <c r="F12430" s="5"/>
    </row>
    <row r="12431" spans="2:6">
      <c r="B12431" s="4" t="s">
        <v>12345</v>
      </c>
      <c r="C12431" s="129" t="s">
        <v>12346</v>
      </c>
      <c r="D12431" s="5">
        <v>450302</v>
      </c>
      <c r="E12431" s="5" t="s">
        <v>14670</v>
      </c>
      <c r="F12431" s="5"/>
    </row>
    <row r="12432" spans="2:6">
      <c r="B12432" s="4" t="s">
        <v>12345</v>
      </c>
      <c r="C12432" s="129" t="s">
        <v>12346</v>
      </c>
      <c r="D12432" s="5">
        <v>450303</v>
      </c>
      <c r="E12432" s="5" t="s">
        <v>14671</v>
      </c>
      <c r="F12432" s="5"/>
    </row>
    <row r="12433" spans="2:6">
      <c r="B12433" s="4" t="s">
        <v>12345</v>
      </c>
      <c r="C12433" s="129" t="s">
        <v>12346</v>
      </c>
      <c r="D12433" s="5">
        <v>450304</v>
      </c>
      <c r="E12433" s="5" t="s">
        <v>14672</v>
      </c>
      <c r="F12433" s="5"/>
    </row>
    <row r="12434" spans="2:6">
      <c r="B12434" s="4" t="s">
        <v>12345</v>
      </c>
      <c r="C12434" s="129" t="s">
        <v>12346</v>
      </c>
      <c r="D12434" s="5">
        <v>450305</v>
      </c>
      <c r="E12434" s="5" t="s">
        <v>14673</v>
      </c>
      <c r="F12434" s="5"/>
    </row>
    <row r="12435" spans="2:6">
      <c r="B12435" s="4" t="s">
        <v>12345</v>
      </c>
      <c r="C12435" s="129" t="s">
        <v>12346</v>
      </c>
      <c r="D12435" s="5">
        <v>450311</v>
      </c>
      <c r="E12435" s="5" t="s">
        <v>14674</v>
      </c>
      <c r="F12435" s="5"/>
    </row>
    <row r="12436" spans="2:6">
      <c r="B12436" s="4" t="s">
        <v>12345</v>
      </c>
      <c r="C12436" s="129" t="s">
        <v>12346</v>
      </c>
      <c r="D12436" s="5">
        <v>450321</v>
      </c>
      <c r="E12436" s="5" t="s">
        <v>14675</v>
      </c>
      <c r="F12436" s="5"/>
    </row>
    <row r="12437" spans="2:6">
      <c r="B12437" s="4" t="s">
        <v>12345</v>
      </c>
      <c r="C12437" s="129" t="s">
        <v>12346</v>
      </c>
      <c r="D12437" s="5">
        <v>450322</v>
      </c>
      <c r="E12437" s="5" t="s">
        <v>14676</v>
      </c>
      <c r="F12437" s="5"/>
    </row>
    <row r="12438" spans="2:6">
      <c r="B12438" s="4" t="s">
        <v>12345</v>
      </c>
      <c r="C12438" s="129" t="s">
        <v>12346</v>
      </c>
      <c r="D12438" s="5">
        <v>450323</v>
      </c>
      <c r="E12438" s="5" t="s">
        <v>14677</v>
      </c>
      <c r="F12438" s="5"/>
    </row>
    <row r="12439" spans="2:6">
      <c r="B12439" s="4" t="s">
        <v>12345</v>
      </c>
      <c r="C12439" s="129" t="s">
        <v>12346</v>
      </c>
      <c r="D12439" s="5">
        <v>450324</v>
      </c>
      <c r="E12439" s="5" t="s">
        <v>14678</v>
      </c>
      <c r="F12439" s="5"/>
    </row>
    <row r="12440" spans="2:6">
      <c r="B12440" s="4" t="s">
        <v>12345</v>
      </c>
      <c r="C12440" s="129" t="s">
        <v>12346</v>
      </c>
      <c r="D12440" s="5">
        <v>450325</v>
      </c>
      <c r="E12440" s="5" t="s">
        <v>14679</v>
      </c>
      <c r="F12440" s="5"/>
    </row>
    <row r="12441" spans="2:6">
      <c r="B12441" s="4" t="s">
        <v>12345</v>
      </c>
      <c r="C12441" s="129" t="s">
        <v>12346</v>
      </c>
      <c r="D12441" s="5">
        <v>450326</v>
      </c>
      <c r="E12441" s="5" t="s">
        <v>14680</v>
      </c>
      <c r="F12441" s="5"/>
    </row>
    <row r="12442" spans="2:6">
      <c r="B12442" s="4" t="s">
        <v>12345</v>
      </c>
      <c r="C12442" s="129" t="s">
        <v>12346</v>
      </c>
      <c r="D12442" s="5">
        <v>450327</v>
      </c>
      <c r="E12442" s="5" t="s">
        <v>14681</v>
      </c>
      <c r="F12442" s="5"/>
    </row>
    <row r="12443" spans="2:6">
      <c r="B12443" s="4" t="s">
        <v>12345</v>
      </c>
      <c r="C12443" s="129" t="s">
        <v>12346</v>
      </c>
      <c r="D12443" s="5">
        <v>450328</v>
      </c>
      <c r="E12443" s="5" t="s">
        <v>14682</v>
      </c>
      <c r="F12443" s="5"/>
    </row>
    <row r="12444" spans="2:6">
      <c r="B12444" s="4" t="s">
        <v>12345</v>
      </c>
      <c r="C12444" s="129" t="s">
        <v>12346</v>
      </c>
      <c r="D12444" s="5">
        <v>450329</v>
      </c>
      <c r="E12444" s="5" t="s">
        <v>14683</v>
      </c>
      <c r="F12444" s="5"/>
    </row>
    <row r="12445" spans="2:6">
      <c r="B12445" s="4" t="s">
        <v>12345</v>
      </c>
      <c r="C12445" s="129" t="s">
        <v>12346</v>
      </c>
      <c r="D12445" s="5">
        <v>450330</v>
      </c>
      <c r="E12445" s="5" t="s">
        <v>14684</v>
      </c>
      <c r="F12445" s="5"/>
    </row>
    <row r="12446" spans="2:6">
      <c r="B12446" s="4" t="s">
        <v>12345</v>
      </c>
      <c r="C12446" s="129" t="s">
        <v>12346</v>
      </c>
      <c r="D12446" s="5">
        <v>450331</v>
      </c>
      <c r="E12446" s="5" t="s">
        <v>14685</v>
      </c>
      <c r="F12446" s="5"/>
    </row>
    <row r="12447" spans="2:6">
      <c r="B12447" s="4" t="s">
        <v>12345</v>
      </c>
      <c r="C12447" s="129" t="s">
        <v>12346</v>
      </c>
      <c r="D12447" s="5">
        <v>450332</v>
      </c>
      <c r="E12447" s="5" t="s">
        <v>14686</v>
      </c>
      <c r="F12447" s="5"/>
    </row>
    <row r="12448" spans="2:6">
      <c r="B12448" s="4" t="s">
        <v>12345</v>
      </c>
      <c r="C12448" s="129" t="s">
        <v>12346</v>
      </c>
      <c r="D12448" s="5">
        <v>450400</v>
      </c>
      <c r="E12448" s="5" t="s">
        <v>14687</v>
      </c>
      <c r="F12448" s="5"/>
    </row>
    <row r="12449" spans="2:6">
      <c r="B12449" s="4" t="s">
        <v>12345</v>
      </c>
      <c r="C12449" s="129" t="s">
        <v>12346</v>
      </c>
      <c r="D12449" s="5">
        <v>450401</v>
      </c>
      <c r="E12449" s="5" t="s">
        <v>14688</v>
      </c>
      <c r="F12449" s="5"/>
    </row>
    <row r="12450" spans="2:6">
      <c r="B12450" s="4" t="s">
        <v>12345</v>
      </c>
      <c r="C12450" s="129" t="s">
        <v>12346</v>
      </c>
      <c r="D12450" s="5">
        <v>450403</v>
      </c>
      <c r="E12450" s="5" t="s">
        <v>14689</v>
      </c>
      <c r="F12450" s="5"/>
    </row>
    <row r="12451" spans="2:6">
      <c r="B12451" s="4" t="s">
        <v>12345</v>
      </c>
      <c r="C12451" s="129" t="s">
        <v>12346</v>
      </c>
      <c r="D12451" s="5">
        <v>450405</v>
      </c>
      <c r="E12451" s="5" t="s">
        <v>14690</v>
      </c>
      <c r="F12451" s="5"/>
    </row>
    <row r="12452" spans="2:6">
      <c r="B12452" s="4" t="s">
        <v>12345</v>
      </c>
      <c r="C12452" s="129" t="s">
        <v>12346</v>
      </c>
      <c r="D12452" s="5">
        <v>450406</v>
      </c>
      <c r="E12452" s="5" t="s">
        <v>14691</v>
      </c>
      <c r="F12452" s="5"/>
    </row>
    <row r="12453" spans="2:6">
      <c r="B12453" s="4" t="s">
        <v>12345</v>
      </c>
      <c r="C12453" s="129" t="s">
        <v>12346</v>
      </c>
      <c r="D12453" s="5">
        <v>450421</v>
      </c>
      <c r="E12453" s="5" t="s">
        <v>14692</v>
      </c>
      <c r="F12453" s="5"/>
    </row>
    <row r="12454" spans="2:6">
      <c r="B12454" s="4" t="s">
        <v>12345</v>
      </c>
      <c r="C12454" s="129" t="s">
        <v>12346</v>
      </c>
      <c r="D12454" s="5">
        <v>450422</v>
      </c>
      <c r="E12454" s="5" t="s">
        <v>14693</v>
      </c>
      <c r="F12454" s="5"/>
    </row>
    <row r="12455" spans="2:6">
      <c r="B12455" s="4" t="s">
        <v>12345</v>
      </c>
      <c r="C12455" s="129" t="s">
        <v>12346</v>
      </c>
      <c r="D12455" s="5">
        <v>450423</v>
      </c>
      <c r="E12455" s="5" t="s">
        <v>14694</v>
      </c>
      <c r="F12455" s="5"/>
    </row>
    <row r="12456" spans="2:6">
      <c r="B12456" s="4" t="s">
        <v>12345</v>
      </c>
      <c r="C12456" s="129" t="s">
        <v>12346</v>
      </c>
      <c r="D12456" s="5">
        <v>450481</v>
      </c>
      <c r="E12456" s="5" t="s">
        <v>14695</v>
      </c>
      <c r="F12456" s="5"/>
    </row>
    <row r="12457" spans="2:6">
      <c r="B12457" s="4" t="s">
        <v>12345</v>
      </c>
      <c r="C12457" s="129" t="s">
        <v>12346</v>
      </c>
      <c r="D12457" s="5">
        <v>450500</v>
      </c>
      <c r="E12457" s="5" t="s">
        <v>14696</v>
      </c>
      <c r="F12457" s="5"/>
    </row>
    <row r="12458" spans="2:6">
      <c r="B12458" s="4" t="s">
        <v>12345</v>
      </c>
      <c r="C12458" s="129" t="s">
        <v>12346</v>
      </c>
      <c r="D12458" s="5">
        <v>450501</v>
      </c>
      <c r="E12458" s="5" t="s">
        <v>14697</v>
      </c>
      <c r="F12458" s="5"/>
    </row>
    <row r="12459" spans="2:6">
      <c r="B12459" s="4" t="s">
        <v>12345</v>
      </c>
      <c r="C12459" s="129" t="s">
        <v>12346</v>
      </c>
      <c r="D12459" s="5">
        <v>450502</v>
      </c>
      <c r="E12459" s="5" t="s">
        <v>14698</v>
      </c>
      <c r="F12459" s="5"/>
    </row>
    <row r="12460" spans="2:6">
      <c r="B12460" s="4" t="s">
        <v>12345</v>
      </c>
      <c r="C12460" s="129" t="s">
        <v>12346</v>
      </c>
      <c r="D12460" s="5">
        <v>450503</v>
      </c>
      <c r="E12460" s="5" t="s">
        <v>14699</v>
      </c>
      <c r="F12460" s="5"/>
    </row>
    <row r="12461" spans="2:6">
      <c r="B12461" s="4" t="s">
        <v>12345</v>
      </c>
      <c r="C12461" s="129" t="s">
        <v>12346</v>
      </c>
      <c r="D12461" s="5">
        <v>450512</v>
      </c>
      <c r="E12461" s="5" t="s">
        <v>14700</v>
      </c>
      <c r="F12461" s="5"/>
    </row>
    <row r="12462" spans="2:6">
      <c r="B12462" s="4" t="s">
        <v>12345</v>
      </c>
      <c r="C12462" s="129" t="s">
        <v>12346</v>
      </c>
      <c r="D12462" s="5">
        <v>450521</v>
      </c>
      <c r="E12462" s="5" t="s">
        <v>14701</v>
      </c>
      <c r="F12462" s="5"/>
    </row>
    <row r="12463" spans="2:6">
      <c r="B12463" s="4" t="s">
        <v>12345</v>
      </c>
      <c r="C12463" s="129" t="s">
        <v>12346</v>
      </c>
      <c r="D12463" s="5">
        <v>450600</v>
      </c>
      <c r="E12463" s="5" t="s">
        <v>14702</v>
      </c>
      <c r="F12463" s="5"/>
    </row>
    <row r="12464" spans="2:6">
      <c r="B12464" s="4" t="s">
        <v>12345</v>
      </c>
      <c r="C12464" s="129" t="s">
        <v>12346</v>
      </c>
      <c r="D12464" s="5">
        <v>450601</v>
      </c>
      <c r="E12464" s="5" t="s">
        <v>14703</v>
      </c>
      <c r="F12464" s="5"/>
    </row>
    <row r="12465" spans="2:6">
      <c r="B12465" s="4" t="s">
        <v>12345</v>
      </c>
      <c r="C12465" s="129" t="s">
        <v>12346</v>
      </c>
      <c r="D12465" s="5">
        <v>450602</v>
      </c>
      <c r="E12465" s="5" t="s">
        <v>14704</v>
      </c>
      <c r="F12465" s="5"/>
    </row>
    <row r="12466" spans="2:6">
      <c r="B12466" s="4" t="s">
        <v>12345</v>
      </c>
      <c r="C12466" s="129" t="s">
        <v>12346</v>
      </c>
      <c r="D12466" s="5">
        <v>450603</v>
      </c>
      <c r="E12466" s="5" t="s">
        <v>14705</v>
      </c>
      <c r="F12466" s="5"/>
    </row>
    <row r="12467" spans="2:6">
      <c r="B12467" s="4" t="s">
        <v>12345</v>
      </c>
      <c r="C12467" s="129" t="s">
        <v>12346</v>
      </c>
      <c r="D12467" s="5">
        <v>450621</v>
      </c>
      <c r="E12467" s="5" t="s">
        <v>14706</v>
      </c>
      <c r="F12467" s="5"/>
    </row>
    <row r="12468" spans="2:6">
      <c r="B12468" s="4" t="s">
        <v>12345</v>
      </c>
      <c r="C12468" s="129" t="s">
        <v>12346</v>
      </c>
      <c r="D12468" s="5">
        <v>450681</v>
      </c>
      <c r="E12468" s="5" t="s">
        <v>14707</v>
      </c>
      <c r="F12468" s="5"/>
    </row>
    <row r="12469" spans="2:6">
      <c r="B12469" s="4" t="s">
        <v>12345</v>
      </c>
      <c r="C12469" s="129" t="s">
        <v>12346</v>
      </c>
      <c r="D12469" s="5">
        <v>450700</v>
      </c>
      <c r="E12469" s="5" t="s">
        <v>14708</v>
      </c>
      <c r="F12469" s="5"/>
    </row>
    <row r="12470" spans="2:6">
      <c r="B12470" s="4" t="s">
        <v>12345</v>
      </c>
      <c r="C12470" s="129" t="s">
        <v>12346</v>
      </c>
      <c r="D12470" s="5">
        <v>450701</v>
      </c>
      <c r="E12470" s="5" t="s">
        <v>14709</v>
      </c>
      <c r="F12470" s="5"/>
    </row>
    <row r="12471" spans="2:6">
      <c r="B12471" s="4" t="s">
        <v>12345</v>
      </c>
      <c r="C12471" s="129" t="s">
        <v>12346</v>
      </c>
      <c r="D12471" s="5">
        <v>450702</v>
      </c>
      <c r="E12471" s="5" t="s">
        <v>14710</v>
      </c>
      <c r="F12471" s="5"/>
    </row>
    <row r="12472" spans="2:6">
      <c r="B12472" s="4" t="s">
        <v>12345</v>
      </c>
      <c r="C12472" s="129" t="s">
        <v>12346</v>
      </c>
      <c r="D12472" s="5">
        <v>450703</v>
      </c>
      <c r="E12472" s="5" t="s">
        <v>14711</v>
      </c>
      <c r="F12472" s="5"/>
    </row>
    <row r="12473" spans="2:6">
      <c r="B12473" s="4" t="s">
        <v>12345</v>
      </c>
      <c r="C12473" s="129" t="s">
        <v>12346</v>
      </c>
      <c r="D12473" s="5">
        <v>450721</v>
      </c>
      <c r="E12473" s="5" t="s">
        <v>14712</v>
      </c>
      <c r="F12473" s="5"/>
    </row>
    <row r="12474" spans="2:6">
      <c r="B12474" s="4" t="s">
        <v>12345</v>
      </c>
      <c r="C12474" s="129" t="s">
        <v>12346</v>
      </c>
      <c r="D12474" s="5">
        <v>450722</v>
      </c>
      <c r="E12474" s="5" t="s">
        <v>14713</v>
      </c>
      <c r="F12474" s="5"/>
    </row>
    <row r="12475" spans="2:6">
      <c r="B12475" s="4" t="s">
        <v>12345</v>
      </c>
      <c r="C12475" s="129" t="s">
        <v>12346</v>
      </c>
      <c r="D12475" s="5">
        <v>450800</v>
      </c>
      <c r="E12475" s="5" t="s">
        <v>14714</v>
      </c>
      <c r="F12475" s="5"/>
    </row>
    <row r="12476" spans="2:6">
      <c r="B12476" s="4" t="s">
        <v>12345</v>
      </c>
      <c r="C12476" s="129" t="s">
        <v>12346</v>
      </c>
      <c r="D12476" s="5">
        <v>450801</v>
      </c>
      <c r="E12476" s="5" t="s">
        <v>14715</v>
      </c>
      <c r="F12476" s="5"/>
    </row>
    <row r="12477" spans="2:6">
      <c r="B12477" s="4" t="s">
        <v>12345</v>
      </c>
      <c r="C12477" s="129" t="s">
        <v>12346</v>
      </c>
      <c r="D12477" s="5">
        <v>450802</v>
      </c>
      <c r="E12477" s="5" t="s">
        <v>14716</v>
      </c>
      <c r="F12477" s="5"/>
    </row>
    <row r="12478" spans="2:6">
      <c r="B12478" s="4" t="s">
        <v>12345</v>
      </c>
      <c r="C12478" s="129" t="s">
        <v>12346</v>
      </c>
      <c r="D12478" s="5">
        <v>450803</v>
      </c>
      <c r="E12478" s="5" t="s">
        <v>14717</v>
      </c>
      <c r="F12478" s="5"/>
    </row>
    <row r="12479" spans="2:6">
      <c r="B12479" s="4" t="s">
        <v>12345</v>
      </c>
      <c r="C12479" s="129" t="s">
        <v>12346</v>
      </c>
      <c r="D12479" s="5">
        <v>450804</v>
      </c>
      <c r="E12479" s="5" t="s">
        <v>14718</v>
      </c>
      <c r="F12479" s="5"/>
    </row>
    <row r="12480" spans="2:6">
      <c r="B12480" s="4" t="s">
        <v>12345</v>
      </c>
      <c r="C12480" s="129" t="s">
        <v>12346</v>
      </c>
      <c r="D12480" s="5">
        <v>450821</v>
      </c>
      <c r="E12480" s="5" t="s">
        <v>14719</v>
      </c>
      <c r="F12480" s="5"/>
    </row>
    <row r="12481" spans="2:6">
      <c r="B12481" s="4" t="s">
        <v>12345</v>
      </c>
      <c r="C12481" s="129" t="s">
        <v>12346</v>
      </c>
      <c r="D12481" s="5">
        <v>450881</v>
      </c>
      <c r="E12481" s="5" t="s">
        <v>14720</v>
      </c>
      <c r="F12481" s="5"/>
    </row>
    <row r="12482" spans="2:6">
      <c r="B12482" s="4" t="s">
        <v>12345</v>
      </c>
      <c r="C12482" s="129" t="s">
        <v>12346</v>
      </c>
      <c r="D12482" s="5">
        <v>450900</v>
      </c>
      <c r="E12482" s="5" t="s">
        <v>14721</v>
      </c>
      <c r="F12482" s="5"/>
    </row>
    <row r="12483" spans="2:6">
      <c r="B12483" s="4" t="s">
        <v>12345</v>
      </c>
      <c r="C12483" s="129" t="s">
        <v>12346</v>
      </c>
      <c r="D12483" s="5">
        <v>450901</v>
      </c>
      <c r="E12483" s="5" t="s">
        <v>14722</v>
      </c>
      <c r="F12483" s="5"/>
    </row>
    <row r="12484" spans="2:6">
      <c r="B12484" s="4" t="s">
        <v>12345</v>
      </c>
      <c r="C12484" s="129" t="s">
        <v>12346</v>
      </c>
      <c r="D12484" s="5">
        <v>450902</v>
      </c>
      <c r="E12484" s="5" t="s">
        <v>14723</v>
      </c>
      <c r="F12484" s="5"/>
    </row>
    <row r="12485" spans="2:6">
      <c r="B12485" s="4" t="s">
        <v>12345</v>
      </c>
      <c r="C12485" s="129" t="s">
        <v>12346</v>
      </c>
      <c r="D12485" s="5">
        <v>450903</v>
      </c>
      <c r="E12485" s="5" t="s">
        <v>14724</v>
      </c>
      <c r="F12485" s="5"/>
    </row>
    <row r="12486" spans="2:6">
      <c r="B12486" s="4" t="s">
        <v>12345</v>
      </c>
      <c r="C12486" s="129" t="s">
        <v>12346</v>
      </c>
      <c r="D12486" s="5">
        <v>450921</v>
      </c>
      <c r="E12486" s="5" t="s">
        <v>14725</v>
      </c>
      <c r="F12486" s="5"/>
    </row>
    <row r="12487" spans="2:6">
      <c r="B12487" s="4" t="s">
        <v>12345</v>
      </c>
      <c r="C12487" s="129" t="s">
        <v>12346</v>
      </c>
      <c r="D12487" s="5">
        <v>450922</v>
      </c>
      <c r="E12487" s="5" t="s">
        <v>14726</v>
      </c>
      <c r="F12487" s="5"/>
    </row>
    <row r="12488" spans="2:6">
      <c r="B12488" s="4" t="s">
        <v>12345</v>
      </c>
      <c r="C12488" s="129" t="s">
        <v>12346</v>
      </c>
      <c r="D12488" s="5">
        <v>450923</v>
      </c>
      <c r="E12488" s="5" t="s">
        <v>14727</v>
      </c>
      <c r="F12488" s="5"/>
    </row>
    <row r="12489" spans="2:6">
      <c r="B12489" s="4" t="s">
        <v>12345</v>
      </c>
      <c r="C12489" s="129" t="s">
        <v>12346</v>
      </c>
      <c r="D12489" s="5">
        <v>450924</v>
      </c>
      <c r="E12489" s="5" t="s">
        <v>14728</v>
      </c>
      <c r="F12489" s="5"/>
    </row>
    <row r="12490" spans="2:6">
      <c r="B12490" s="4" t="s">
        <v>12345</v>
      </c>
      <c r="C12490" s="129" t="s">
        <v>12346</v>
      </c>
      <c r="D12490" s="5">
        <v>450981</v>
      </c>
      <c r="E12490" s="5" t="s">
        <v>14729</v>
      </c>
      <c r="F12490" s="5"/>
    </row>
    <row r="12491" spans="2:6">
      <c r="B12491" s="4" t="s">
        <v>12345</v>
      </c>
      <c r="C12491" s="129" t="s">
        <v>12346</v>
      </c>
      <c r="D12491" s="5">
        <v>451000</v>
      </c>
      <c r="E12491" s="5" t="s">
        <v>14730</v>
      </c>
      <c r="F12491" s="5"/>
    </row>
    <row r="12492" spans="2:6">
      <c r="B12492" s="4" t="s">
        <v>12345</v>
      </c>
      <c r="C12492" s="129" t="s">
        <v>12346</v>
      </c>
      <c r="D12492" s="5">
        <v>451001</v>
      </c>
      <c r="E12492" s="5" t="s">
        <v>14731</v>
      </c>
      <c r="F12492" s="5"/>
    </row>
    <row r="12493" spans="2:6">
      <c r="B12493" s="4" t="s">
        <v>12345</v>
      </c>
      <c r="C12493" s="129" t="s">
        <v>12346</v>
      </c>
      <c r="D12493" s="5">
        <v>451002</v>
      </c>
      <c r="E12493" s="5" t="s">
        <v>14732</v>
      </c>
      <c r="F12493" s="5"/>
    </row>
    <row r="12494" spans="2:6">
      <c r="B12494" s="4" t="s">
        <v>12345</v>
      </c>
      <c r="C12494" s="129" t="s">
        <v>12346</v>
      </c>
      <c r="D12494" s="5">
        <v>451021</v>
      </c>
      <c r="E12494" s="5" t="s">
        <v>14733</v>
      </c>
      <c r="F12494" s="5"/>
    </row>
    <row r="12495" spans="2:6">
      <c r="B12495" s="4" t="s">
        <v>12345</v>
      </c>
      <c r="C12495" s="129" t="s">
        <v>12346</v>
      </c>
      <c r="D12495" s="5">
        <v>451022</v>
      </c>
      <c r="E12495" s="5" t="s">
        <v>14734</v>
      </c>
      <c r="F12495" s="5"/>
    </row>
    <row r="12496" spans="2:6">
      <c r="B12496" s="4" t="s">
        <v>12345</v>
      </c>
      <c r="C12496" s="129" t="s">
        <v>12346</v>
      </c>
      <c r="D12496" s="5">
        <v>451023</v>
      </c>
      <c r="E12496" s="5" t="s">
        <v>14735</v>
      </c>
      <c r="F12496" s="5"/>
    </row>
    <row r="12497" spans="2:6">
      <c r="B12497" s="4" t="s">
        <v>12345</v>
      </c>
      <c r="C12497" s="129" t="s">
        <v>12346</v>
      </c>
      <c r="D12497" s="5">
        <v>451024</v>
      </c>
      <c r="E12497" s="5" t="s">
        <v>14736</v>
      </c>
      <c r="F12497" s="5"/>
    </row>
    <row r="12498" spans="2:6">
      <c r="B12498" s="4" t="s">
        <v>12345</v>
      </c>
      <c r="C12498" s="129" t="s">
        <v>12346</v>
      </c>
      <c r="D12498" s="5">
        <v>451025</v>
      </c>
      <c r="E12498" s="5" t="s">
        <v>14737</v>
      </c>
      <c r="F12498" s="5"/>
    </row>
    <row r="12499" spans="2:6">
      <c r="B12499" s="4" t="s">
        <v>12345</v>
      </c>
      <c r="C12499" s="129" t="s">
        <v>12346</v>
      </c>
      <c r="D12499" s="5">
        <v>451026</v>
      </c>
      <c r="E12499" s="5" t="s">
        <v>14738</v>
      </c>
      <c r="F12499" s="5"/>
    </row>
    <row r="12500" spans="2:6">
      <c r="B12500" s="4" t="s">
        <v>12345</v>
      </c>
      <c r="C12500" s="129" t="s">
        <v>12346</v>
      </c>
      <c r="D12500" s="5">
        <v>451027</v>
      </c>
      <c r="E12500" s="5" t="s">
        <v>14739</v>
      </c>
      <c r="F12500" s="5"/>
    </row>
    <row r="12501" spans="2:6">
      <c r="B12501" s="4" t="s">
        <v>12345</v>
      </c>
      <c r="C12501" s="129" t="s">
        <v>12346</v>
      </c>
      <c r="D12501" s="5">
        <v>451028</v>
      </c>
      <c r="E12501" s="5" t="s">
        <v>14740</v>
      </c>
      <c r="F12501" s="5"/>
    </row>
    <row r="12502" spans="2:6">
      <c r="B12502" s="4" t="s">
        <v>12345</v>
      </c>
      <c r="C12502" s="129" t="s">
        <v>12346</v>
      </c>
      <c r="D12502" s="5">
        <v>451029</v>
      </c>
      <c r="E12502" s="5" t="s">
        <v>14741</v>
      </c>
      <c r="F12502" s="5"/>
    </row>
    <row r="12503" spans="2:6">
      <c r="B12503" s="4" t="s">
        <v>12345</v>
      </c>
      <c r="C12503" s="129" t="s">
        <v>12346</v>
      </c>
      <c r="D12503" s="5">
        <v>451030</v>
      </c>
      <c r="E12503" s="5" t="s">
        <v>14742</v>
      </c>
      <c r="F12503" s="5"/>
    </row>
    <row r="12504" spans="2:6">
      <c r="B12504" s="4" t="s">
        <v>12345</v>
      </c>
      <c r="C12504" s="129" t="s">
        <v>12346</v>
      </c>
      <c r="D12504" s="5">
        <v>451031</v>
      </c>
      <c r="E12504" s="5" t="s">
        <v>14743</v>
      </c>
      <c r="F12504" s="5"/>
    </row>
    <row r="12505" spans="2:6">
      <c r="B12505" s="4" t="s">
        <v>12345</v>
      </c>
      <c r="C12505" s="129" t="s">
        <v>12346</v>
      </c>
      <c r="D12505" s="5">
        <v>451100</v>
      </c>
      <c r="E12505" s="5" t="s">
        <v>14744</v>
      </c>
      <c r="F12505" s="5"/>
    </row>
    <row r="12506" spans="2:6">
      <c r="B12506" s="4" t="s">
        <v>12345</v>
      </c>
      <c r="C12506" s="129" t="s">
        <v>12346</v>
      </c>
      <c r="D12506" s="5">
        <v>451101</v>
      </c>
      <c r="E12506" s="5" t="s">
        <v>14745</v>
      </c>
      <c r="F12506" s="5"/>
    </row>
    <row r="12507" spans="2:6">
      <c r="B12507" s="4" t="s">
        <v>12345</v>
      </c>
      <c r="C12507" s="129" t="s">
        <v>12346</v>
      </c>
      <c r="D12507" s="5">
        <v>451102</v>
      </c>
      <c r="E12507" s="5" t="s">
        <v>14746</v>
      </c>
      <c r="F12507" s="5"/>
    </row>
    <row r="12508" spans="2:6">
      <c r="B12508" s="4" t="s">
        <v>12345</v>
      </c>
      <c r="C12508" s="129" t="s">
        <v>12346</v>
      </c>
      <c r="D12508" s="5">
        <v>451121</v>
      </c>
      <c r="E12508" s="5" t="s">
        <v>14747</v>
      </c>
      <c r="F12508" s="5"/>
    </row>
    <row r="12509" spans="2:6">
      <c r="B12509" s="4" t="s">
        <v>12345</v>
      </c>
      <c r="C12509" s="129" t="s">
        <v>12346</v>
      </c>
      <c r="D12509" s="5">
        <v>451122</v>
      </c>
      <c r="E12509" s="5" t="s">
        <v>14748</v>
      </c>
      <c r="F12509" s="5"/>
    </row>
    <row r="12510" spans="2:6">
      <c r="B12510" s="4" t="s">
        <v>12345</v>
      </c>
      <c r="C12510" s="129" t="s">
        <v>12346</v>
      </c>
      <c r="D12510" s="5">
        <v>451123</v>
      </c>
      <c r="E12510" s="5" t="s">
        <v>14749</v>
      </c>
      <c r="F12510" s="5"/>
    </row>
    <row r="12511" spans="2:6">
      <c r="B12511" s="4" t="s">
        <v>12345</v>
      </c>
      <c r="C12511" s="129" t="s">
        <v>12346</v>
      </c>
      <c r="D12511" s="5">
        <v>451200</v>
      </c>
      <c r="E12511" s="5" t="s">
        <v>14750</v>
      </c>
      <c r="F12511" s="5"/>
    </row>
    <row r="12512" spans="2:6">
      <c r="B12512" s="4" t="s">
        <v>12345</v>
      </c>
      <c r="C12512" s="129" t="s">
        <v>12346</v>
      </c>
      <c r="D12512" s="5">
        <v>451201</v>
      </c>
      <c r="E12512" s="5" t="s">
        <v>14751</v>
      </c>
      <c r="F12512" s="5"/>
    </row>
    <row r="12513" spans="2:6">
      <c r="B12513" s="4" t="s">
        <v>12345</v>
      </c>
      <c r="C12513" s="129" t="s">
        <v>12346</v>
      </c>
      <c r="D12513" s="5">
        <v>451202</v>
      </c>
      <c r="E12513" s="5" t="s">
        <v>14752</v>
      </c>
      <c r="F12513" s="5"/>
    </row>
    <row r="12514" spans="2:6">
      <c r="B12514" s="4" t="s">
        <v>12345</v>
      </c>
      <c r="C12514" s="129" t="s">
        <v>12346</v>
      </c>
      <c r="D12514" s="5">
        <v>451221</v>
      </c>
      <c r="E12514" s="5" t="s">
        <v>14753</v>
      </c>
      <c r="F12514" s="5"/>
    </row>
    <row r="12515" spans="2:6">
      <c r="B12515" s="4" t="s">
        <v>12345</v>
      </c>
      <c r="C12515" s="129" t="s">
        <v>12346</v>
      </c>
      <c r="D12515" s="5">
        <v>451222</v>
      </c>
      <c r="E12515" s="5" t="s">
        <v>14754</v>
      </c>
      <c r="F12515" s="5"/>
    </row>
    <row r="12516" spans="2:6">
      <c r="B12516" s="4" t="s">
        <v>12345</v>
      </c>
      <c r="C12516" s="129" t="s">
        <v>12346</v>
      </c>
      <c r="D12516" s="5">
        <v>451223</v>
      </c>
      <c r="E12516" s="5" t="s">
        <v>14755</v>
      </c>
      <c r="F12516" s="5"/>
    </row>
    <row r="12517" spans="2:6">
      <c r="B12517" s="4" t="s">
        <v>12345</v>
      </c>
      <c r="C12517" s="129" t="s">
        <v>12346</v>
      </c>
      <c r="D12517" s="5">
        <v>451224</v>
      </c>
      <c r="E12517" s="5" t="s">
        <v>14756</v>
      </c>
      <c r="F12517" s="5"/>
    </row>
    <row r="12518" spans="2:6">
      <c r="B12518" s="4" t="s">
        <v>12345</v>
      </c>
      <c r="C12518" s="129" t="s">
        <v>12346</v>
      </c>
      <c r="D12518" s="5">
        <v>451225</v>
      </c>
      <c r="E12518" s="5" t="s">
        <v>14757</v>
      </c>
      <c r="F12518" s="5"/>
    </row>
    <row r="12519" spans="2:6">
      <c r="B12519" s="4" t="s">
        <v>12345</v>
      </c>
      <c r="C12519" s="129" t="s">
        <v>12346</v>
      </c>
      <c r="D12519" s="5">
        <v>451226</v>
      </c>
      <c r="E12519" s="5" t="s">
        <v>14758</v>
      </c>
      <c r="F12519" s="5"/>
    </row>
    <row r="12520" spans="2:6">
      <c r="B12520" s="4" t="s">
        <v>12345</v>
      </c>
      <c r="C12520" s="129" t="s">
        <v>12346</v>
      </c>
      <c r="D12520" s="5">
        <v>451227</v>
      </c>
      <c r="E12520" s="5" t="s">
        <v>14759</v>
      </c>
      <c r="F12520" s="5"/>
    </row>
    <row r="12521" spans="2:6">
      <c r="B12521" s="4" t="s">
        <v>12345</v>
      </c>
      <c r="C12521" s="129" t="s">
        <v>12346</v>
      </c>
      <c r="D12521" s="5">
        <v>451228</v>
      </c>
      <c r="E12521" s="5" t="s">
        <v>14760</v>
      </c>
      <c r="F12521" s="5"/>
    </row>
    <row r="12522" spans="2:6">
      <c r="B12522" s="4" t="s">
        <v>12345</v>
      </c>
      <c r="C12522" s="129" t="s">
        <v>12346</v>
      </c>
      <c r="D12522" s="5">
        <v>451229</v>
      </c>
      <c r="E12522" s="5" t="s">
        <v>14761</v>
      </c>
      <c r="F12522" s="5"/>
    </row>
    <row r="12523" spans="2:6">
      <c r="B12523" s="4" t="s">
        <v>12345</v>
      </c>
      <c r="C12523" s="129" t="s">
        <v>12346</v>
      </c>
      <c r="D12523" s="5">
        <v>451281</v>
      </c>
      <c r="E12523" s="5" t="s">
        <v>14762</v>
      </c>
      <c r="F12523" s="5"/>
    </row>
    <row r="12524" spans="2:6">
      <c r="B12524" s="4" t="s">
        <v>12345</v>
      </c>
      <c r="C12524" s="129" t="s">
        <v>12346</v>
      </c>
      <c r="D12524" s="5">
        <v>451300</v>
      </c>
      <c r="E12524" s="5" t="s">
        <v>14763</v>
      </c>
      <c r="F12524" s="5"/>
    </row>
    <row r="12525" spans="2:6">
      <c r="B12525" s="4" t="s">
        <v>12345</v>
      </c>
      <c r="C12525" s="129" t="s">
        <v>12346</v>
      </c>
      <c r="D12525" s="5">
        <v>451301</v>
      </c>
      <c r="E12525" s="5" t="s">
        <v>14764</v>
      </c>
      <c r="F12525" s="5"/>
    </row>
    <row r="12526" spans="2:6">
      <c r="B12526" s="4" t="s">
        <v>12345</v>
      </c>
      <c r="C12526" s="129" t="s">
        <v>12346</v>
      </c>
      <c r="D12526" s="5">
        <v>451302</v>
      </c>
      <c r="E12526" s="5" t="s">
        <v>14765</v>
      </c>
      <c r="F12526" s="5"/>
    </row>
    <row r="12527" spans="2:6">
      <c r="B12527" s="4" t="s">
        <v>12345</v>
      </c>
      <c r="C12527" s="129" t="s">
        <v>12346</v>
      </c>
      <c r="D12527" s="5">
        <v>451321</v>
      </c>
      <c r="E12527" s="5" t="s">
        <v>14766</v>
      </c>
      <c r="F12527" s="5"/>
    </row>
    <row r="12528" spans="2:6">
      <c r="B12528" s="4" t="s">
        <v>12345</v>
      </c>
      <c r="C12528" s="129" t="s">
        <v>12346</v>
      </c>
      <c r="D12528" s="5">
        <v>451322</v>
      </c>
      <c r="E12528" s="5" t="s">
        <v>14767</v>
      </c>
      <c r="F12528" s="5"/>
    </row>
    <row r="12529" spans="2:6">
      <c r="B12529" s="4" t="s">
        <v>12345</v>
      </c>
      <c r="C12529" s="129" t="s">
        <v>12346</v>
      </c>
      <c r="D12529" s="5">
        <v>451323</v>
      </c>
      <c r="E12529" s="5" t="s">
        <v>14768</v>
      </c>
      <c r="F12529" s="5"/>
    </row>
    <row r="12530" spans="2:6">
      <c r="B12530" s="4" t="s">
        <v>12345</v>
      </c>
      <c r="C12530" s="129" t="s">
        <v>12346</v>
      </c>
      <c r="D12530" s="5">
        <v>451324</v>
      </c>
      <c r="E12530" s="5" t="s">
        <v>14769</v>
      </c>
      <c r="F12530" s="5"/>
    </row>
    <row r="12531" spans="2:6">
      <c r="B12531" s="4" t="s">
        <v>12345</v>
      </c>
      <c r="C12531" s="129" t="s">
        <v>12346</v>
      </c>
      <c r="D12531" s="5">
        <v>451381</v>
      </c>
      <c r="E12531" s="5" t="s">
        <v>14770</v>
      </c>
      <c r="F12531" s="5"/>
    </row>
    <row r="12532" spans="2:6">
      <c r="B12532" s="4" t="s">
        <v>12345</v>
      </c>
      <c r="C12532" s="129" t="s">
        <v>12346</v>
      </c>
      <c r="D12532" s="5">
        <v>451400</v>
      </c>
      <c r="E12532" s="5" t="s">
        <v>14771</v>
      </c>
      <c r="F12532" s="5"/>
    </row>
    <row r="12533" spans="2:6">
      <c r="B12533" s="4" t="s">
        <v>12345</v>
      </c>
      <c r="C12533" s="129" t="s">
        <v>12346</v>
      </c>
      <c r="D12533" s="5">
        <v>451401</v>
      </c>
      <c r="E12533" s="5" t="s">
        <v>14772</v>
      </c>
      <c r="F12533" s="5"/>
    </row>
    <row r="12534" spans="2:6">
      <c r="B12534" s="4" t="s">
        <v>12345</v>
      </c>
      <c r="C12534" s="129" t="s">
        <v>12346</v>
      </c>
      <c r="D12534" s="5">
        <v>451402</v>
      </c>
      <c r="E12534" s="5" t="s">
        <v>14773</v>
      </c>
      <c r="F12534" s="5"/>
    </row>
    <row r="12535" spans="2:6">
      <c r="B12535" s="4" t="s">
        <v>12345</v>
      </c>
      <c r="C12535" s="129" t="s">
        <v>12346</v>
      </c>
      <c r="D12535" s="5">
        <v>451421</v>
      </c>
      <c r="E12535" s="5" t="s">
        <v>14774</v>
      </c>
      <c r="F12535" s="5"/>
    </row>
    <row r="12536" spans="2:6">
      <c r="B12536" s="4" t="s">
        <v>12345</v>
      </c>
      <c r="C12536" s="129" t="s">
        <v>12346</v>
      </c>
      <c r="D12536" s="5">
        <v>451422</v>
      </c>
      <c r="E12536" s="5" t="s">
        <v>14775</v>
      </c>
      <c r="F12536" s="5"/>
    </row>
    <row r="12537" spans="2:6">
      <c r="B12537" s="4" t="s">
        <v>12345</v>
      </c>
      <c r="C12537" s="129" t="s">
        <v>12346</v>
      </c>
      <c r="D12537" s="5">
        <v>451423</v>
      </c>
      <c r="E12537" s="5" t="s">
        <v>14776</v>
      </c>
      <c r="F12537" s="5"/>
    </row>
    <row r="12538" spans="2:6">
      <c r="B12538" s="4" t="s">
        <v>12345</v>
      </c>
      <c r="C12538" s="129" t="s">
        <v>12346</v>
      </c>
      <c r="D12538" s="5">
        <v>451424</v>
      </c>
      <c r="E12538" s="5" t="s">
        <v>14777</v>
      </c>
      <c r="F12538" s="5"/>
    </row>
    <row r="12539" spans="2:6">
      <c r="B12539" s="4" t="s">
        <v>12345</v>
      </c>
      <c r="C12539" s="129" t="s">
        <v>12346</v>
      </c>
      <c r="D12539" s="5">
        <v>451425</v>
      </c>
      <c r="E12539" s="5" t="s">
        <v>14778</v>
      </c>
      <c r="F12539" s="5"/>
    </row>
    <row r="12540" spans="2:6">
      <c r="B12540" s="4" t="s">
        <v>12345</v>
      </c>
      <c r="C12540" s="129" t="s">
        <v>12346</v>
      </c>
      <c r="D12540" s="5">
        <v>451481</v>
      </c>
      <c r="E12540" s="5" t="s">
        <v>14779</v>
      </c>
      <c r="F12540" s="5"/>
    </row>
    <row r="12541" spans="2:6">
      <c r="B12541" s="4" t="s">
        <v>12345</v>
      </c>
      <c r="C12541" s="129" t="s">
        <v>12346</v>
      </c>
      <c r="D12541" s="5">
        <v>460000</v>
      </c>
      <c r="E12541" s="5" t="s">
        <v>14780</v>
      </c>
      <c r="F12541" s="5"/>
    </row>
    <row r="12542" spans="2:6">
      <c r="B12542" s="4" t="s">
        <v>12345</v>
      </c>
      <c r="C12542" s="129" t="s">
        <v>12346</v>
      </c>
      <c r="D12542" s="5">
        <v>460100</v>
      </c>
      <c r="E12542" s="5" t="s">
        <v>14781</v>
      </c>
      <c r="F12542" s="5"/>
    </row>
    <row r="12543" spans="2:6">
      <c r="B12543" s="4" t="s">
        <v>12345</v>
      </c>
      <c r="C12543" s="129" t="s">
        <v>12346</v>
      </c>
      <c r="D12543" s="5">
        <v>460101</v>
      </c>
      <c r="E12543" s="5" t="s">
        <v>14782</v>
      </c>
      <c r="F12543" s="5"/>
    </row>
    <row r="12544" spans="2:6">
      <c r="B12544" s="4" t="s">
        <v>12345</v>
      </c>
      <c r="C12544" s="129" t="s">
        <v>12346</v>
      </c>
      <c r="D12544" s="5">
        <v>460105</v>
      </c>
      <c r="E12544" s="5" t="s">
        <v>14783</v>
      </c>
      <c r="F12544" s="5"/>
    </row>
    <row r="12545" spans="2:6">
      <c r="B12545" s="4" t="s">
        <v>12345</v>
      </c>
      <c r="C12545" s="129" t="s">
        <v>12346</v>
      </c>
      <c r="D12545" s="5">
        <v>460106</v>
      </c>
      <c r="E12545" s="5" t="s">
        <v>14784</v>
      </c>
      <c r="F12545" s="5"/>
    </row>
    <row r="12546" spans="2:6">
      <c r="B12546" s="4" t="s">
        <v>12345</v>
      </c>
      <c r="C12546" s="129" t="s">
        <v>12346</v>
      </c>
      <c r="D12546" s="5">
        <v>460107</v>
      </c>
      <c r="E12546" s="5" t="s">
        <v>14785</v>
      </c>
      <c r="F12546" s="5"/>
    </row>
    <row r="12547" spans="2:6">
      <c r="B12547" s="4" t="s">
        <v>12345</v>
      </c>
      <c r="C12547" s="129" t="s">
        <v>12346</v>
      </c>
      <c r="D12547" s="5">
        <v>460108</v>
      </c>
      <c r="E12547" s="5" t="s">
        <v>14786</v>
      </c>
      <c r="F12547" s="5"/>
    </row>
    <row r="12548" spans="2:6">
      <c r="B12548" s="4" t="s">
        <v>12345</v>
      </c>
      <c r="C12548" s="129" t="s">
        <v>12346</v>
      </c>
      <c r="D12548" s="5">
        <v>460200</v>
      </c>
      <c r="E12548" s="5" t="s">
        <v>14787</v>
      </c>
      <c r="F12548" s="5"/>
    </row>
    <row r="12549" spans="2:6">
      <c r="B12549" s="4" t="s">
        <v>12345</v>
      </c>
      <c r="C12549" s="129" t="s">
        <v>12346</v>
      </c>
      <c r="D12549" s="5">
        <v>460201</v>
      </c>
      <c r="E12549" s="5" t="s">
        <v>14788</v>
      </c>
      <c r="F12549" s="5"/>
    </row>
    <row r="12550" spans="2:6">
      <c r="B12550" s="4" t="s">
        <v>12345</v>
      </c>
      <c r="C12550" s="129" t="s">
        <v>12346</v>
      </c>
      <c r="D12550" s="5">
        <v>460202</v>
      </c>
      <c r="E12550" s="5" t="s">
        <v>14789</v>
      </c>
      <c r="F12550" s="5"/>
    </row>
    <row r="12551" spans="2:6">
      <c r="B12551" s="4" t="s">
        <v>12345</v>
      </c>
      <c r="C12551" s="129" t="s">
        <v>12346</v>
      </c>
      <c r="D12551" s="5">
        <v>460203</v>
      </c>
      <c r="E12551" s="5" t="s">
        <v>14790</v>
      </c>
      <c r="F12551" s="5"/>
    </row>
    <row r="12552" spans="2:6">
      <c r="B12552" s="4" t="s">
        <v>12345</v>
      </c>
      <c r="C12552" s="129" t="s">
        <v>12346</v>
      </c>
      <c r="D12552" s="5">
        <v>460204</v>
      </c>
      <c r="E12552" s="5" t="s">
        <v>14791</v>
      </c>
      <c r="F12552" s="5"/>
    </row>
    <row r="12553" spans="2:6">
      <c r="B12553" s="4" t="s">
        <v>12345</v>
      </c>
      <c r="C12553" s="129" t="s">
        <v>12346</v>
      </c>
      <c r="D12553" s="5">
        <v>460205</v>
      </c>
      <c r="E12553" s="5" t="s">
        <v>14792</v>
      </c>
      <c r="F12553" s="5"/>
    </row>
    <row r="12554" spans="2:6">
      <c r="B12554" s="4" t="s">
        <v>12345</v>
      </c>
      <c r="C12554" s="129" t="s">
        <v>12346</v>
      </c>
      <c r="D12554" s="5">
        <v>460300</v>
      </c>
      <c r="E12554" s="5" t="s">
        <v>14793</v>
      </c>
      <c r="F12554" s="5"/>
    </row>
    <row r="12555" spans="2:6">
      <c r="B12555" s="4" t="s">
        <v>12345</v>
      </c>
      <c r="C12555" s="129" t="s">
        <v>12346</v>
      </c>
      <c r="D12555" s="5">
        <v>469000</v>
      </c>
      <c r="E12555" s="5" t="s">
        <v>14794</v>
      </c>
      <c r="F12555" s="5"/>
    </row>
    <row r="12556" spans="2:6">
      <c r="B12556" s="4" t="s">
        <v>12345</v>
      </c>
      <c r="C12556" s="129" t="s">
        <v>12346</v>
      </c>
      <c r="D12556" s="5">
        <v>469001</v>
      </c>
      <c r="E12556" s="5" t="s">
        <v>14795</v>
      </c>
      <c r="F12556" s="5"/>
    </row>
    <row r="12557" spans="2:6">
      <c r="B12557" s="4" t="s">
        <v>12345</v>
      </c>
      <c r="C12557" s="129" t="s">
        <v>12346</v>
      </c>
      <c r="D12557" s="5">
        <v>469002</v>
      </c>
      <c r="E12557" s="5" t="s">
        <v>14796</v>
      </c>
      <c r="F12557" s="5"/>
    </row>
    <row r="12558" spans="2:6">
      <c r="B12558" s="4" t="s">
        <v>12345</v>
      </c>
      <c r="C12558" s="129" t="s">
        <v>12346</v>
      </c>
      <c r="D12558" s="5">
        <v>469003</v>
      </c>
      <c r="E12558" s="5" t="s">
        <v>14797</v>
      </c>
      <c r="F12558" s="5"/>
    </row>
    <row r="12559" spans="2:6">
      <c r="B12559" s="4" t="s">
        <v>12345</v>
      </c>
      <c r="C12559" s="129" t="s">
        <v>12346</v>
      </c>
      <c r="D12559" s="5">
        <v>469005</v>
      </c>
      <c r="E12559" s="5" t="s">
        <v>14798</v>
      </c>
      <c r="F12559" s="5"/>
    </row>
    <row r="12560" spans="2:6">
      <c r="B12560" s="4" t="s">
        <v>12345</v>
      </c>
      <c r="C12560" s="129" t="s">
        <v>12346</v>
      </c>
      <c r="D12560" s="5">
        <v>469006</v>
      </c>
      <c r="E12560" s="5" t="s">
        <v>14799</v>
      </c>
      <c r="F12560" s="5"/>
    </row>
    <row r="12561" spans="2:6">
      <c r="B12561" s="4" t="s">
        <v>12345</v>
      </c>
      <c r="C12561" s="129" t="s">
        <v>12346</v>
      </c>
      <c r="D12561" s="5">
        <v>469007</v>
      </c>
      <c r="E12561" s="5" t="s">
        <v>14800</v>
      </c>
      <c r="F12561" s="5"/>
    </row>
    <row r="12562" spans="2:6">
      <c r="B12562" s="4" t="s">
        <v>12345</v>
      </c>
      <c r="C12562" s="129" t="s">
        <v>12346</v>
      </c>
      <c r="D12562" s="5">
        <v>469021</v>
      </c>
      <c r="E12562" s="5" t="s">
        <v>14801</v>
      </c>
      <c r="F12562" s="5"/>
    </row>
    <row r="12563" spans="2:6">
      <c r="B12563" s="4" t="s">
        <v>12345</v>
      </c>
      <c r="C12563" s="129" t="s">
        <v>12346</v>
      </c>
      <c r="D12563" s="5">
        <v>469022</v>
      </c>
      <c r="E12563" s="5" t="s">
        <v>14802</v>
      </c>
      <c r="F12563" s="5"/>
    </row>
    <row r="12564" spans="2:6">
      <c r="B12564" s="4" t="s">
        <v>12345</v>
      </c>
      <c r="C12564" s="129" t="s">
        <v>12346</v>
      </c>
      <c r="D12564" s="5">
        <v>469023</v>
      </c>
      <c r="E12564" s="5" t="s">
        <v>14803</v>
      </c>
      <c r="F12564" s="5"/>
    </row>
    <row r="12565" spans="2:6">
      <c r="B12565" s="4" t="s">
        <v>12345</v>
      </c>
      <c r="C12565" s="129" t="s">
        <v>12346</v>
      </c>
      <c r="D12565" s="5">
        <v>469024</v>
      </c>
      <c r="E12565" s="5" t="s">
        <v>14804</v>
      </c>
      <c r="F12565" s="5"/>
    </row>
    <row r="12566" spans="2:6">
      <c r="B12566" s="4" t="s">
        <v>12345</v>
      </c>
      <c r="C12566" s="129" t="s">
        <v>12346</v>
      </c>
      <c r="D12566" s="5">
        <v>469025</v>
      </c>
      <c r="E12566" s="5" t="s">
        <v>14805</v>
      </c>
      <c r="F12566" s="5"/>
    </row>
    <row r="12567" spans="2:6">
      <c r="B12567" s="4" t="s">
        <v>12345</v>
      </c>
      <c r="C12567" s="129" t="s">
        <v>12346</v>
      </c>
      <c r="D12567" s="5">
        <v>469026</v>
      </c>
      <c r="E12567" s="5" t="s">
        <v>14806</v>
      </c>
      <c r="F12567" s="5"/>
    </row>
    <row r="12568" spans="2:6">
      <c r="B12568" s="4" t="s">
        <v>12345</v>
      </c>
      <c r="C12568" s="129" t="s">
        <v>12346</v>
      </c>
      <c r="D12568" s="5">
        <v>469027</v>
      </c>
      <c r="E12568" s="5" t="s">
        <v>14807</v>
      </c>
      <c r="F12568" s="5"/>
    </row>
    <row r="12569" spans="2:6">
      <c r="B12569" s="4" t="s">
        <v>12345</v>
      </c>
      <c r="C12569" s="129" t="s">
        <v>12346</v>
      </c>
      <c r="D12569" s="5">
        <v>469028</v>
      </c>
      <c r="E12569" s="5" t="s">
        <v>14808</v>
      </c>
      <c r="F12569" s="5"/>
    </row>
    <row r="12570" spans="2:6">
      <c r="B12570" s="4" t="s">
        <v>12345</v>
      </c>
      <c r="C12570" s="129" t="s">
        <v>12346</v>
      </c>
      <c r="D12570" s="5">
        <v>469029</v>
      </c>
      <c r="E12570" s="5" t="s">
        <v>14809</v>
      </c>
      <c r="F12570" s="5"/>
    </row>
    <row r="12571" spans="2:6">
      <c r="B12571" s="4" t="s">
        <v>12345</v>
      </c>
      <c r="C12571" s="129" t="s">
        <v>12346</v>
      </c>
      <c r="D12571" s="5">
        <v>469030</v>
      </c>
      <c r="E12571" s="5" t="s">
        <v>14810</v>
      </c>
      <c r="F12571" s="5"/>
    </row>
    <row r="12572" spans="2:6">
      <c r="B12572" s="4" t="s">
        <v>12345</v>
      </c>
      <c r="C12572" s="129" t="s">
        <v>12346</v>
      </c>
      <c r="D12572" s="5">
        <v>500000</v>
      </c>
      <c r="E12572" s="5" t="s">
        <v>14811</v>
      </c>
      <c r="F12572" s="5"/>
    </row>
    <row r="12573" spans="2:6">
      <c r="B12573" s="4" t="s">
        <v>12345</v>
      </c>
      <c r="C12573" s="129" t="s">
        <v>12346</v>
      </c>
      <c r="D12573" s="5">
        <v>500100</v>
      </c>
      <c r="E12573" s="5" t="s">
        <v>14812</v>
      </c>
      <c r="F12573" s="5"/>
    </row>
    <row r="12574" spans="2:6">
      <c r="B12574" s="4" t="s">
        <v>12345</v>
      </c>
      <c r="C12574" s="129" t="s">
        <v>12346</v>
      </c>
      <c r="D12574" s="5">
        <v>500101</v>
      </c>
      <c r="E12574" s="5" t="s">
        <v>14813</v>
      </c>
      <c r="F12574" s="5"/>
    </row>
    <row r="12575" spans="2:6">
      <c r="B12575" s="4" t="s">
        <v>12345</v>
      </c>
      <c r="C12575" s="129" t="s">
        <v>12346</v>
      </c>
      <c r="D12575" s="5">
        <v>500102</v>
      </c>
      <c r="E12575" s="5" t="s">
        <v>14814</v>
      </c>
      <c r="F12575" s="5"/>
    </row>
    <row r="12576" spans="2:6">
      <c r="B12576" s="4" t="s">
        <v>12345</v>
      </c>
      <c r="C12576" s="129" t="s">
        <v>12346</v>
      </c>
      <c r="D12576" s="5">
        <v>500103</v>
      </c>
      <c r="E12576" s="5" t="s">
        <v>14815</v>
      </c>
      <c r="F12576" s="5"/>
    </row>
    <row r="12577" spans="2:6">
      <c r="B12577" s="4" t="s">
        <v>12345</v>
      </c>
      <c r="C12577" s="129" t="s">
        <v>12346</v>
      </c>
      <c r="D12577" s="5">
        <v>500104</v>
      </c>
      <c r="E12577" s="5" t="s">
        <v>14816</v>
      </c>
      <c r="F12577" s="5"/>
    </row>
    <row r="12578" spans="2:6">
      <c r="B12578" s="4" t="s">
        <v>12345</v>
      </c>
      <c r="C12578" s="129" t="s">
        <v>12346</v>
      </c>
      <c r="D12578" s="5">
        <v>500105</v>
      </c>
      <c r="E12578" s="5" t="s">
        <v>14817</v>
      </c>
      <c r="F12578" s="5"/>
    </row>
    <row r="12579" spans="2:6">
      <c r="B12579" s="4" t="s">
        <v>12345</v>
      </c>
      <c r="C12579" s="129" t="s">
        <v>12346</v>
      </c>
      <c r="D12579" s="5">
        <v>500106</v>
      </c>
      <c r="E12579" s="5" t="s">
        <v>14818</v>
      </c>
      <c r="F12579" s="5"/>
    </row>
    <row r="12580" spans="2:6">
      <c r="B12580" s="4" t="s">
        <v>12345</v>
      </c>
      <c r="C12580" s="129" t="s">
        <v>12346</v>
      </c>
      <c r="D12580" s="5">
        <v>500107</v>
      </c>
      <c r="E12580" s="5" t="s">
        <v>14819</v>
      </c>
      <c r="F12580" s="5"/>
    </row>
    <row r="12581" spans="2:6">
      <c r="B12581" s="4" t="s">
        <v>12345</v>
      </c>
      <c r="C12581" s="129" t="s">
        <v>12346</v>
      </c>
      <c r="D12581" s="5">
        <v>500108</v>
      </c>
      <c r="E12581" s="5" t="s">
        <v>14820</v>
      </c>
      <c r="F12581" s="5"/>
    </row>
    <row r="12582" spans="2:6">
      <c r="B12582" s="4" t="s">
        <v>12345</v>
      </c>
      <c r="C12582" s="129" t="s">
        <v>12346</v>
      </c>
      <c r="D12582" s="5">
        <v>500109</v>
      </c>
      <c r="E12582" s="5" t="s">
        <v>14821</v>
      </c>
      <c r="F12582" s="5"/>
    </row>
    <row r="12583" spans="2:6">
      <c r="B12583" s="4" t="s">
        <v>12345</v>
      </c>
      <c r="C12583" s="129" t="s">
        <v>12346</v>
      </c>
      <c r="D12583" s="5">
        <v>500110</v>
      </c>
      <c r="E12583" s="5" t="s">
        <v>14822</v>
      </c>
      <c r="F12583" s="5"/>
    </row>
    <row r="12584" spans="2:6">
      <c r="B12584" s="4" t="s">
        <v>12345</v>
      </c>
      <c r="C12584" s="129" t="s">
        <v>12346</v>
      </c>
      <c r="D12584" s="5">
        <v>500111</v>
      </c>
      <c r="E12584" s="5" t="s">
        <v>14823</v>
      </c>
      <c r="F12584" s="5"/>
    </row>
    <row r="12585" spans="2:6">
      <c r="B12585" s="4" t="s">
        <v>12345</v>
      </c>
      <c r="C12585" s="129" t="s">
        <v>12346</v>
      </c>
      <c r="D12585" s="5">
        <v>500112</v>
      </c>
      <c r="E12585" s="5" t="s">
        <v>14824</v>
      </c>
      <c r="F12585" s="5"/>
    </row>
    <row r="12586" spans="2:6">
      <c r="B12586" s="4" t="s">
        <v>12345</v>
      </c>
      <c r="C12586" s="129" t="s">
        <v>12346</v>
      </c>
      <c r="D12586" s="5">
        <v>500113</v>
      </c>
      <c r="E12586" s="5" t="s">
        <v>14825</v>
      </c>
      <c r="F12586" s="5"/>
    </row>
    <row r="12587" spans="2:6">
      <c r="B12587" s="4" t="s">
        <v>12345</v>
      </c>
      <c r="C12587" s="129" t="s">
        <v>12346</v>
      </c>
      <c r="D12587" s="5">
        <v>500114</v>
      </c>
      <c r="E12587" s="5" t="s">
        <v>14826</v>
      </c>
      <c r="F12587" s="5"/>
    </row>
    <row r="12588" spans="2:6">
      <c r="B12588" s="4" t="s">
        <v>12345</v>
      </c>
      <c r="C12588" s="129" t="s">
        <v>12346</v>
      </c>
      <c r="D12588" s="5">
        <v>500115</v>
      </c>
      <c r="E12588" s="5" t="s">
        <v>14827</v>
      </c>
      <c r="F12588" s="5"/>
    </row>
    <row r="12589" spans="2:6">
      <c r="B12589" s="4" t="s">
        <v>12345</v>
      </c>
      <c r="C12589" s="129" t="s">
        <v>12346</v>
      </c>
      <c r="D12589" s="5">
        <v>500116</v>
      </c>
      <c r="E12589" s="5" t="s">
        <v>14828</v>
      </c>
      <c r="F12589" s="5"/>
    </row>
    <row r="12590" spans="2:6">
      <c r="B12590" s="4" t="s">
        <v>12345</v>
      </c>
      <c r="C12590" s="129" t="s">
        <v>12346</v>
      </c>
      <c r="D12590" s="5">
        <v>500117</v>
      </c>
      <c r="E12590" s="5" t="s">
        <v>14829</v>
      </c>
      <c r="F12590" s="5"/>
    </row>
    <row r="12591" spans="2:6">
      <c r="B12591" s="4" t="s">
        <v>12345</v>
      </c>
      <c r="C12591" s="129" t="s">
        <v>12346</v>
      </c>
      <c r="D12591" s="5">
        <v>500118</v>
      </c>
      <c r="E12591" s="5" t="s">
        <v>14830</v>
      </c>
      <c r="F12591" s="5"/>
    </row>
    <row r="12592" spans="2:6">
      <c r="B12592" s="4" t="s">
        <v>12345</v>
      </c>
      <c r="C12592" s="129" t="s">
        <v>12346</v>
      </c>
      <c r="D12592" s="5">
        <v>500119</v>
      </c>
      <c r="E12592" s="5" t="s">
        <v>14831</v>
      </c>
      <c r="F12592" s="5"/>
    </row>
    <row r="12593" spans="2:6">
      <c r="B12593" s="4" t="s">
        <v>12345</v>
      </c>
      <c r="C12593" s="129" t="s">
        <v>12346</v>
      </c>
      <c r="D12593" s="5">
        <v>500120</v>
      </c>
      <c r="E12593" s="5" t="s">
        <v>14832</v>
      </c>
      <c r="F12593" s="5"/>
    </row>
    <row r="12594" spans="2:6">
      <c r="B12594" s="4" t="s">
        <v>12345</v>
      </c>
      <c r="C12594" s="129" t="s">
        <v>12346</v>
      </c>
      <c r="D12594" s="5">
        <v>500151</v>
      </c>
      <c r="E12594" s="5" t="s">
        <v>14833</v>
      </c>
      <c r="F12594" s="5"/>
    </row>
    <row r="12595" spans="2:6">
      <c r="B12595" s="4" t="s">
        <v>12345</v>
      </c>
      <c r="C12595" s="129" t="s">
        <v>12346</v>
      </c>
      <c r="D12595" s="5">
        <v>500200</v>
      </c>
      <c r="E12595" s="5" t="s">
        <v>14834</v>
      </c>
      <c r="F12595" s="5"/>
    </row>
    <row r="12596" spans="2:6">
      <c r="B12596" s="4" t="s">
        <v>12345</v>
      </c>
      <c r="C12596" s="129" t="s">
        <v>12346</v>
      </c>
      <c r="D12596" s="5">
        <v>500223</v>
      </c>
      <c r="E12596" s="5" t="s">
        <v>14835</v>
      </c>
      <c r="F12596" s="5"/>
    </row>
    <row r="12597" spans="2:6">
      <c r="B12597" s="4" t="s">
        <v>12345</v>
      </c>
      <c r="C12597" s="129" t="s">
        <v>12346</v>
      </c>
      <c r="D12597" s="5">
        <v>500226</v>
      </c>
      <c r="E12597" s="5" t="s">
        <v>14836</v>
      </c>
      <c r="F12597" s="5"/>
    </row>
    <row r="12598" spans="2:6">
      <c r="B12598" s="4" t="s">
        <v>12345</v>
      </c>
      <c r="C12598" s="129" t="s">
        <v>12346</v>
      </c>
      <c r="D12598" s="5">
        <v>500228</v>
      </c>
      <c r="E12598" s="5" t="s">
        <v>14837</v>
      </c>
      <c r="F12598" s="5"/>
    </row>
    <row r="12599" spans="2:6">
      <c r="B12599" s="4" t="s">
        <v>12345</v>
      </c>
      <c r="C12599" s="129" t="s">
        <v>12346</v>
      </c>
      <c r="D12599" s="5">
        <v>500229</v>
      </c>
      <c r="E12599" s="5" t="s">
        <v>14838</v>
      </c>
      <c r="F12599" s="5"/>
    </row>
    <row r="12600" spans="2:6">
      <c r="B12600" s="4" t="s">
        <v>12345</v>
      </c>
      <c r="C12600" s="129" t="s">
        <v>12346</v>
      </c>
      <c r="D12600" s="5">
        <v>500230</v>
      </c>
      <c r="E12600" s="5" t="s">
        <v>14839</v>
      </c>
      <c r="F12600" s="5"/>
    </row>
    <row r="12601" spans="2:6">
      <c r="B12601" s="4" t="s">
        <v>12345</v>
      </c>
      <c r="C12601" s="129" t="s">
        <v>12346</v>
      </c>
      <c r="D12601" s="5">
        <v>500231</v>
      </c>
      <c r="E12601" s="5" t="s">
        <v>14840</v>
      </c>
      <c r="F12601" s="5"/>
    </row>
    <row r="12602" spans="2:6">
      <c r="B12602" s="4" t="s">
        <v>12345</v>
      </c>
      <c r="C12602" s="129" t="s">
        <v>12346</v>
      </c>
      <c r="D12602" s="5">
        <v>500232</v>
      </c>
      <c r="E12602" s="5" t="s">
        <v>14841</v>
      </c>
      <c r="F12602" s="5"/>
    </row>
    <row r="12603" spans="2:6">
      <c r="B12603" s="4" t="s">
        <v>12345</v>
      </c>
      <c r="C12603" s="129" t="s">
        <v>12346</v>
      </c>
      <c r="D12603" s="5">
        <v>500233</v>
      </c>
      <c r="E12603" s="5" t="s">
        <v>14842</v>
      </c>
      <c r="F12603" s="5"/>
    </row>
    <row r="12604" spans="2:6">
      <c r="B12604" s="4" t="s">
        <v>12345</v>
      </c>
      <c r="C12604" s="129" t="s">
        <v>12346</v>
      </c>
      <c r="D12604" s="5">
        <v>500234</v>
      </c>
      <c r="E12604" s="5" t="s">
        <v>14843</v>
      </c>
      <c r="F12604" s="5"/>
    </row>
    <row r="12605" spans="2:6">
      <c r="B12605" s="4" t="s">
        <v>12345</v>
      </c>
      <c r="C12605" s="129" t="s">
        <v>12346</v>
      </c>
      <c r="D12605" s="5">
        <v>500235</v>
      </c>
      <c r="E12605" s="5" t="s">
        <v>14844</v>
      </c>
      <c r="F12605" s="5"/>
    </row>
    <row r="12606" spans="2:6">
      <c r="B12606" s="4" t="s">
        <v>12345</v>
      </c>
      <c r="C12606" s="129" t="s">
        <v>12346</v>
      </c>
      <c r="D12606" s="5">
        <v>500236</v>
      </c>
      <c r="E12606" s="5" t="s">
        <v>14845</v>
      </c>
      <c r="F12606" s="5"/>
    </row>
    <row r="12607" spans="2:6">
      <c r="B12607" s="4" t="s">
        <v>12345</v>
      </c>
      <c r="C12607" s="129" t="s">
        <v>12346</v>
      </c>
      <c r="D12607" s="5">
        <v>500237</v>
      </c>
      <c r="E12607" s="5" t="s">
        <v>14846</v>
      </c>
      <c r="F12607" s="5"/>
    </row>
    <row r="12608" spans="2:6">
      <c r="B12608" s="4" t="s">
        <v>12345</v>
      </c>
      <c r="C12608" s="129" t="s">
        <v>12346</v>
      </c>
      <c r="D12608" s="5">
        <v>500238</v>
      </c>
      <c r="E12608" s="5" t="s">
        <v>14847</v>
      </c>
      <c r="F12608" s="5"/>
    </row>
    <row r="12609" spans="2:6">
      <c r="B12609" s="4" t="s">
        <v>12345</v>
      </c>
      <c r="C12609" s="129" t="s">
        <v>12346</v>
      </c>
      <c r="D12609" s="5">
        <v>500240</v>
      </c>
      <c r="E12609" s="5" t="s">
        <v>14848</v>
      </c>
      <c r="F12609" s="5"/>
    </row>
    <row r="12610" spans="2:6">
      <c r="B12610" s="4" t="s">
        <v>12345</v>
      </c>
      <c r="C12610" s="129" t="s">
        <v>12346</v>
      </c>
      <c r="D12610" s="5">
        <v>500241</v>
      </c>
      <c r="E12610" s="5" t="s">
        <v>14849</v>
      </c>
      <c r="F12610" s="5"/>
    </row>
    <row r="12611" spans="2:6">
      <c r="B12611" s="4" t="s">
        <v>12345</v>
      </c>
      <c r="C12611" s="129" t="s">
        <v>12346</v>
      </c>
      <c r="D12611" s="5">
        <v>500242</v>
      </c>
      <c r="E12611" s="5" t="s">
        <v>14850</v>
      </c>
      <c r="F12611" s="5"/>
    </row>
    <row r="12612" spans="2:6">
      <c r="B12612" s="4" t="s">
        <v>12345</v>
      </c>
      <c r="C12612" s="129" t="s">
        <v>12346</v>
      </c>
      <c r="D12612" s="5">
        <v>500243</v>
      </c>
      <c r="E12612" s="5" t="s">
        <v>14851</v>
      </c>
      <c r="F12612" s="5"/>
    </row>
    <row r="12613" spans="2:6">
      <c r="B12613" s="4" t="s">
        <v>12345</v>
      </c>
      <c r="C12613" s="129" t="s">
        <v>12346</v>
      </c>
      <c r="D12613" s="5">
        <v>510000</v>
      </c>
      <c r="E12613" s="5" t="s">
        <v>14852</v>
      </c>
      <c r="F12613" s="5"/>
    </row>
    <row r="12614" spans="2:6">
      <c r="B12614" s="4" t="s">
        <v>12345</v>
      </c>
      <c r="C12614" s="129" t="s">
        <v>12346</v>
      </c>
      <c r="D12614" s="5">
        <v>510100</v>
      </c>
      <c r="E12614" s="5" t="s">
        <v>14853</v>
      </c>
      <c r="F12614" s="5"/>
    </row>
    <row r="12615" spans="2:6">
      <c r="B12615" s="4" t="s">
        <v>12345</v>
      </c>
      <c r="C12615" s="129" t="s">
        <v>12346</v>
      </c>
      <c r="D12615" s="5">
        <v>510101</v>
      </c>
      <c r="E12615" s="5" t="s">
        <v>14854</v>
      </c>
      <c r="F12615" s="5"/>
    </row>
    <row r="12616" spans="2:6">
      <c r="B12616" s="4" t="s">
        <v>12345</v>
      </c>
      <c r="C12616" s="129" t="s">
        <v>12346</v>
      </c>
      <c r="D12616" s="5">
        <v>510104</v>
      </c>
      <c r="E12616" s="5" t="s">
        <v>14855</v>
      </c>
      <c r="F12616" s="5"/>
    </row>
    <row r="12617" spans="2:6">
      <c r="B12617" s="4" t="s">
        <v>12345</v>
      </c>
      <c r="C12617" s="129" t="s">
        <v>12346</v>
      </c>
      <c r="D12617" s="5">
        <v>510105</v>
      </c>
      <c r="E12617" s="5" t="s">
        <v>14856</v>
      </c>
      <c r="F12617" s="5"/>
    </row>
    <row r="12618" spans="2:6">
      <c r="B12618" s="4" t="s">
        <v>12345</v>
      </c>
      <c r="C12618" s="129" t="s">
        <v>12346</v>
      </c>
      <c r="D12618" s="5">
        <v>510106</v>
      </c>
      <c r="E12618" s="5" t="s">
        <v>14857</v>
      </c>
      <c r="F12618" s="5"/>
    </row>
    <row r="12619" spans="2:6">
      <c r="B12619" s="4" t="s">
        <v>12345</v>
      </c>
      <c r="C12619" s="129" t="s">
        <v>12346</v>
      </c>
      <c r="D12619" s="5">
        <v>510107</v>
      </c>
      <c r="E12619" s="5" t="s">
        <v>14858</v>
      </c>
      <c r="F12619" s="5"/>
    </row>
    <row r="12620" spans="2:6">
      <c r="B12620" s="4" t="s">
        <v>12345</v>
      </c>
      <c r="C12620" s="129" t="s">
        <v>12346</v>
      </c>
      <c r="D12620" s="5">
        <v>510108</v>
      </c>
      <c r="E12620" s="5" t="s">
        <v>14859</v>
      </c>
      <c r="F12620" s="5"/>
    </row>
    <row r="12621" spans="2:6">
      <c r="B12621" s="4" t="s">
        <v>12345</v>
      </c>
      <c r="C12621" s="129" t="s">
        <v>12346</v>
      </c>
      <c r="D12621" s="5">
        <v>510112</v>
      </c>
      <c r="E12621" s="5" t="s">
        <v>14860</v>
      </c>
      <c r="F12621" s="5"/>
    </row>
    <row r="12622" spans="2:6">
      <c r="B12622" s="4" t="s">
        <v>12345</v>
      </c>
      <c r="C12622" s="129" t="s">
        <v>12346</v>
      </c>
      <c r="D12622" s="5">
        <v>510113</v>
      </c>
      <c r="E12622" s="5" t="s">
        <v>14861</v>
      </c>
      <c r="F12622" s="5"/>
    </row>
    <row r="12623" spans="2:6">
      <c r="B12623" s="4" t="s">
        <v>12345</v>
      </c>
      <c r="C12623" s="129" t="s">
        <v>12346</v>
      </c>
      <c r="D12623" s="5">
        <v>510114</v>
      </c>
      <c r="E12623" s="5" t="s">
        <v>14862</v>
      </c>
      <c r="F12623" s="5"/>
    </row>
    <row r="12624" spans="2:6">
      <c r="B12624" s="4" t="s">
        <v>12345</v>
      </c>
      <c r="C12624" s="129" t="s">
        <v>12346</v>
      </c>
      <c r="D12624" s="5">
        <v>510115</v>
      </c>
      <c r="E12624" s="5" t="s">
        <v>14863</v>
      </c>
      <c r="F12624" s="5"/>
    </row>
    <row r="12625" spans="2:6">
      <c r="B12625" s="4" t="s">
        <v>12345</v>
      </c>
      <c r="C12625" s="129" t="s">
        <v>12346</v>
      </c>
      <c r="D12625" s="5">
        <v>510121</v>
      </c>
      <c r="E12625" s="5" t="s">
        <v>14864</v>
      </c>
      <c r="F12625" s="5"/>
    </row>
    <row r="12626" spans="2:6">
      <c r="B12626" s="4" t="s">
        <v>12345</v>
      </c>
      <c r="C12626" s="129" t="s">
        <v>12346</v>
      </c>
      <c r="D12626" s="5">
        <v>510122</v>
      </c>
      <c r="E12626" s="5" t="s">
        <v>14865</v>
      </c>
      <c r="F12626" s="5"/>
    </row>
    <row r="12627" spans="2:6">
      <c r="B12627" s="4" t="s">
        <v>12345</v>
      </c>
      <c r="C12627" s="129" t="s">
        <v>12346</v>
      </c>
      <c r="D12627" s="5">
        <v>510124</v>
      </c>
      <c r="E12627" s="5" t="s">
        <v>14866</v>
      </c>
      <c r="F12627" s="5"/>
    </row>
    <row r="12628" spans="2:6">
      <c r="B12628" s="4" t="s">
        <v>12345</v>
      </c>
      <c r="C12628" s="129" t="s">
        <v>12346</v>
      </c>
      <c r="D12628" s="5">
        <v>510129</v>
      </c>
      <c r="E12628" s="5" t="s">
        <v>14867</v>
      </c>
      <c r="F12628" s="5"/>
    </row>
    <row r="12629" spans="2:6">
      <c r="B12629" s="4" t="s">
        <v>12345</v>
      </c>
      <c r="C12629" s="129" t="s">
        <v>12346</v>
      </c>
      <c r="D12629" s="5">
        <v>510131</v>
      </c>
      <c r="E12629" s="5" t="s">
        <v>14868</v>
      </c>
      <c r="F12629" s="5"/>
    </row>
    <row r="12630" spans="2:6">
      <c r="B12630" s="4" t="s">
        <v>12345</v>
      </c>
      <c r="C12630" s="129" t="s">
        <v>12346</v>
      </c>
      <c r="D12630" s="5">
        <v>510132</v>
      </c>
      <c r="E12630" s="5" t="s">
        <v>14869</v>
      </c>
      <c r="F12630" s="5"/>
    </row>
    <row r="12631" spans="2:6">
      <c r="B12631" s="4" t="s">
        <v>12345</v>
      </c>
      <c r="C12631" s="129" t="s">
        <v>12346</v>
      </c>
      <c r="D12631" s="5">
        <v>510181</v>
      </c>
      <c r="E12631" s="5" t="s">
        <v>14870</v>
      </c>
      <c r="F12631" s="5"/>
    </row>
    <row r="12632" spans="2:6">
      <c r="B12632" s="4" t="s">
        <v>12345</v>
      </c>
      <c r="C12632" s="129" t="s">
        <v>12346</v>
      </c>
      <c r="D12632" s="5">
        <v>510182</v>
      </c>
      <c r="E12632" s="5" t="s">
        <v>14871</v>
      </c>
      <c r="F12632" s="5"/>
    </row>
    <row r="12633" spans="2:6">
      <c r="B12633" s="4" t="s">
        <v>12345</v>
      </c>
      <c r="C12633" s="129" t="s">
        <v>12346</v>
      </c>
      <c r="D12633" s="5">
        <v>510183</v>
      </c>
      <c r="E12633" s="5" t="s">
        <v>14872</v>
      </c>
      <c r="F12633" s="5"/>
    </row>
    <row r="12634" spans="2:6">
      <c r="B12634" s="4" t="s">
        <v>12345</v>
      </c>
      <c r="C12634" s="129" t="s">
        <v>12346</v>
      </c>
      <c r="D12634" s="5">
        <v>510184</v>
      </c>
      <c r="E12634" s="5" t="s">
        <v>14873</v>
      </c>
      <c r="F12634" s="5"/>
    </row>
    <row r="12635" spans="2:6">
      <c r="B12635" s="4" t="s">
        <v>12345</v>
      </c>
      <c r="C12635" s="129" t="s">
        <v>12346</v>
      </c>
      <c r="D12635" s="5">
        <v>510300</v>
      </c>
      <c r="E12635" s="5" t="s">
        <v>14874</v>
      </c>
      <c r="F12635" s="5"/>
    </row>
    <row r="12636" spans="2:6">
      <c r="B12636" s="4" t="s">
        <v>12345</v>
      </c>
      <c r="C12636" s="129" t="s">
        <v>12346</v>
      </c>
      <c r="D12636" s="5">
        <v>510301</v>
      </c>
      <c r="E12636" s="5" t="s">
        <v>14875</v>
      </c>
      <c r="F12636" s="5"/>
    </row>
    <row r="12637" spans="2:6">
      <c r="B12637" s="4" t="s">
        <v>12345</v>
      </c>
      <c r="C12637" s="129" t="s">
        <v>12346</v>
      </c>
      <c r="D12637" s="5">
        <v>510302</v>
      </c>
      <c r="E12637" s="5" t="s">
        <v>14876</v>
      </c>
      <c r="F12637" s="5"/>
    </row>
    <row r="12638" spans="2:6">
      <c r="B12638" s="4" t="s">
        <v>12345</v>
      </c>
      <c r="C12638" s="129" t="s">
        <v>12346</v>
      </c>
      <c r="D12638" s="5">
        <v>510303</v>
      </c>
      <c r="E12638" s="5" t="s">
        <v>14877</v>
      </c>
      <c r="F12638" s="5"/>
    </row>
    <row r="12639" spans="2:6">
      <c r="B12639" s="4" t="s">
        <v>12345</v>
      </c>
      <c r="C12639" s="129" t="s">
        <v>12346</v>
      </c>
      <c r="D12639" s="5">
        <v>510304</v>
      </c>
      <c r="E12639" s="5" t="s">
        <v>14878</v>
      </c>
      <c r="F12639" s="5"/>
    </row>
    <row r="12640" spans="2:6">
      <c r="B12640" s="4" t="s">
        <v>12345</v>
      </c>
      <c r="C12640" s="129" t="s">
        <v>12346</v>
      </c>
      <c r="D12640" s="5">
        <v>510311</v>
      </c>
      <c r="E12640" s="5" t="s">
        <v>14879</v>
      </c>
      <c r="F12640" s="5"/>
    </row>
    <row r="12641" spans="2:6">
      <c r="B12641" s="4" t="s">
        <v>12345</v>
      </c>
      <c r="C12641" s="129" t="s">
        <v>12346</v>
      </c>
      <c r="D12641" s="5">
        <v>510321</v>
      </c>
      <c r="E12641" s="5" t="s">
        <v>14880</v>
      </c>
      <c r="F12641" s="5"/>
    </row>
    <row r="12642" spans="2:6">
      <c r="B12642" s="4" t="s">
        <v>12345</v>
      </c>
      <c r="C12642" s="129" t="s">
        <v>12346</v>
      </c>
      <c r="D12642" s="5">
        <v>510322</v>
      </c>
      <c r="E12642" s="5" t="s">
        <v>14881</v>
      </c>
      <c r="F12642" s="5"/>
    </row>
    <row r="12643" spans="2:6">
      <c r="B12643" s="4" t="s">
        <v>12345</v>
      </c>
      <c r="C12643" s="129" t="s">
        <v>12346</v>
      </c>
      <c r="D12643" s="5">
        <v>510400</v>
      </c>
      <c r="E12643" s="5" t="s">
        <v>14882</v>
      </c>
      <c r="F12643" s="5"/>
    </row>
    <row r="12644" spans="2:6">
      <c r="B12644" s="4" t="s">
        <v>12345</v>
      </c>
      <c r="C12644" s="129" t="s">
        <v>12346</v>
      </c>
      <c r="D12644" s="5">
        <v>510401</v>
      </c>
      <c r="E12644" s="5" t="s">
        <v>14883</v>
      </c>
      <c r="F12644" s="5"/>
    </row>
    <row r="12645" spans="2:6">
      <c r="B12645" s="4" t="s">
        <v>12345</v>
      </c>
      <c r="C12645" s="129" t="s">
        <v>12346</v>
      </c>
      <c r="D12645" s="5">
        <v>510402</v>
      </c>
      <c r="E12645" s="5" t="s">
        <v>14884</v>
      </c>
      <c r="F12645" s="5"/>
    </row>
    <row r="12646" spans="2:6">
      <c r="B12646" s="4" t="s">
        <v>12345</v>
      </c>
      <c r="C12646" s="129" t="s">
        <v>12346</v>
      </c>
      <c r="D12646" s="5">
        <v>510403</v>
      </c>
      <c r="E12646" s="5" t="s">
        <v>14885</v>
      </c>
      <c r="F12646" s="5"/>
    </row>
    <row r="12647" spans="2:6">
      <c r="B12647" s="4" t="s">
        <v>12345</v>
      </c>
      <c r="C12647" s="129" t="s">
        <v>12346</v>
      </c>
      <c r="D12647" s="5">
        <v>510411</v>
      </c>
      <c r="E12647" s="5" t="s">
        <v>14886</v>
      </c>
      <c r="F12647" s="5"/>
    </row>
    <row r="12648" spans="2:6">
      <c r="B12648" s="4" t="s">
        <v>12345</v>
      </c>
      <c r="C12648" s="129" t="s">
        <v>12346</v>
      </c>
      <c r="D12648" s="5">
        <v>510421</v>
      </c>
      <c r="E12648" s="5" t="s">
        <v>14887</v>
      </c>
      <c r="F12648" s="5"/>
    </row>
    <row r="12649" spans="2:6">
      <c r="B12649" s="4" t="s">
        <v>12345</v>
      </c>
      <c r="C12649" s="129" t="s">
        <v>12346</v>
      </c>
      <c r="D12649" s="5">
        <v>510422</v>
      </c>
      <c r="E12649" s="5" t="s">
        <v>14888</v>
      </c>
      <c r="F12649" s="5"/>
    </row>
    <row r="12650" spans="2:6">
      <c r="B12650" s="4" t="s">
        <v>12345</v>
      </c>
      <c r="C12650" s="129" t="s">
        <v>12346</v>
      </c>
      <c r="D12650" s="5">
        <v>510500</v>
      </c>
      <c r="E12650" s="5" t="s">
        <v>14889</v>
      </c>
      <c r="F12650" s="5"/>
    </row>
    <row r="12651" spans="2:6">
      <c r="B12651" s="4" t="s">
        <v>12345</v>
      </c>
      <c r="C12651" s="129" t="s">
        <v>12346</v>
      </c>
      <c r="D12651" s="5">
        <v>510501</v>
      </c>
      <c r="E12651" s="5" t="s">
        <v>14890</v>
      </c>
      <c r="F12651" s="5"/>
    </row>
    <row r="12652" spans="2:6">
      <c r="B12652" s="4" t="s">
        <v>12345</v>
      </c>
      <c r="C12652" s="129" t="s">
        <v>12346</v>
      </c>
      <c r="D12652" s="5">
        <v>510502</v>
      </c>
      <c r="E12652" s="5" t="s">
        <v>14891</v>
      </c>
      <c r="F12652" s="5"/>
    </row>
    <row r="12653" spans="2:6">
      <c r="B12653" s="4" t="s">
        <v>12345</v>
      </c>
      <c r="C12653" s="129" t="s">
        <v>12346</v>
      </c>
      <c r="D12653" s="5">
        <v>510503</v>
      </c>
      <c r="E12653" s="5" t="s">
        <v>14892</v>
      </c>
      <c r="F12653" s="5"/>
    </row>
    <row r="12654" spans="2:6">
      <c r="B12654" s="4" t="s">
        <v>12345</v>
      </c>
      <c r="C12654" s="129" t="s">
        <v>12346</v>
      </c>
      <c r="D12654" s="5">
        <v>510504</v>
      </c>
      <c r="E12654" s="5" t="s">
        <v>14893</v>
      </c>
      <c r="F12654" s="5"/>
    </row>
    <row r="12655" spans="2:6">
      <c r="B12655" s="4" t="s">
        <v>12345</v>
      </c>
      <c r="C12655" s="129" t="s">
        <v>12346</v>
      </c>
      <c r="D12655" s="5">
        <v>510521</v>
      </c>
      <c r="E12655" s="5" t="s">
        <v>14894</v>
      </c>
      <c r="F12655" s="5"/>
    </row>
    <row r="12656" spans="2:6">
      <c r="B12656" s="4" t="s">
        <v>12345</v>
      </c>
      <c r="C12656" s="129" t="s">
        <v>12346</v>
      </c>
      <c r="D12656" s="5">
        <v>510522</v>
      </c>
      <c r="E12656" s="5" t="s">
        <v>14895</v>
      </c>
      <c r="F12656" s="5"/>
    </row>
    <row r="12657" spans="2:6">
      <c r="B12657" s="4" t="s">
        <v>12345</v>
      </c>
      <c r="C12657" s="129" t="s">
        <v>12346</v>
      </c>
      <c r="D12657" s="5">
        <v>510524</v>
      </c>
      <c r="E12657" s="5" t="s">
        <v>14896</v>
      </c>
      <c r="F12657" s="5"/>
    </row>
    <row r="12658" spans="2:6">
      <c r="B12658" s="4" t="s">
        <v>12345</v>
      </c>
      <c r="C12658" s="129" t="s">
        <v>12346</v>
      </c>
      <c r="D12658" s="5">
        <v>510525</v>
      </c>
      <c r="E12658" s="5" t="s">
        <v>14897</v>
      </c>
      <c r="F12658" s="5"/>
    </row>
    <row r="12659" spans="2:6">
      <c r="B12659" s="4" t="s">
        <v>12345</v>
      </c>
      <c r="C12659" s="129" t="s">
        <v>12346</v>
      </c>
      <c r="D12659" s="5">
        <v>510600</v>
      </c>
      <c r="E12659" s="5" t="s">
        <v>14898</v>
      </c>
      <c r="F12659" s="5"/>
    </row>
    <row r="12660" spans="2:6">
      <c r="B12660" s="4" t="s">
        <v>12345</v>
      </c>
      <c r="C12660" s="129" t="s">
        <v>12346</v>
      </c>
      <c r="D12660" s="5">
        <v>510601</v>
      </c>
      <c r="E12660" s="5" t="s">
        <v>14899</v>
      </c>
      <c r="F12660" s="5"/>
    </row>
    <row r="12661" spans="2:6">
      <c r="B12661" s="4" t="s">
        <v>12345</v>
      </c>
      <c r="C12661" s="129" t="s">
        <v>12346</v>
      </c>
      <c r="D12661" s="5">
        <v>510603</v>
      </c>
      <c r="E12661" s="5" t="s">
        <v>14900</v>
      </c>
      <c r="F12661" s="5"/>
    </row>
    <row r="12662" spans="2:6">
      <c r="B12662" s="4" t="s">
        <v>12345</v>
      </c>
      <c r="C12662" s="129" t="s">
        <v>12346</v>
      </c>
      <c r="D12662" s="5">
        <v>510623</v>
      </c>
      <c r="E12662" s="5" t="s">
        <v>14901</v>
      </c>
      <c r="F12662" s="5"/>
    </row>
    <row r="12663" spans="2:6">
      <c r="B12663" s="4" t="s">
        <v>12345</v>
      </c>
      <c r="C12663" s="129" t="s">
        <v>12346</v>
      </c>
      <c r="D12663" s="5">
        <v>510626</v>
      </c>
      <c r="E12663" s="5" t="s">
        <v>14902</v>
      </c>
      <c r="F12663" s="5"/>
    </row>
    <row r="12664" spans="2:6">
      <c r="B12664" s="4" t="s">
        <v>12345</v>
      </c>
      <c r="C12664" s="129" t="s">
        <v>12346</v>
      </c>
      <c r="D12664" s="5">
        <v>510681</v>
      </c>
      <c r="E12664" s="5" t="s">
        <v>14903</v>
      </c>
      <c r="F12664" s="5"/>
    </row>
    <row r="12665" spans="2:6">
      <c r="B12665" s="4" t="s">
        <v>12345</v>
      </c>
      <c r="C12665" s="129" t="s">
        <v>12346</v>
      </c>
      <c r="D12665" s="5">
        <v>510682</v>
      </c>
      <c r="E12665" s="5" t="s">
        <v>14904</v>
      </c>
      <c r="F12665" s="5"/>
    </row>
    <row r="12666" spans="2:6">
      <c r="B12666" s="4" t="s">
        <v>12345</v>
      </c>
      <c r="C12666" s="129" t="s">
        <v>12346</v>
      </c>
      <c r="D12666" s="5">
        <v>510683</v>
      </c>
      <c r="E12666" s="5" t="s">
        <v>14905</v>
      </c>
      <c r="F12666" s="5"/>
    </row>
    <row r="12667" spans="2:6">
      <c r="B12667" s="4" t="s">
        <v>12345</v>
      </c>
      <c r="C12667" s="129" t="s">
        <v>12346</v>
      </c>
      <c r="D12667" s="5">
        <v>510700</v>
      </c>
      <c r="E12667" s="5" t="s">
        <v>14906</v>
      </c>
      <c r="F12667" s="5"/>
    </row>
    <row r="12668" spans="2:6">
      <c r="B12668" s="4" t="s">
        <v>12345</v>
      </c>
      <c r="C12668" s="129" t="s">
        <v>12346</v>
      </c>
      <c r="D12668" s="5">
        <v>510701</v>
      </c>
      <c r="E12668" s="5" t="s">
        <v>14907</v>
      </c>
      <c r="F12668" s="5"/>
    </row>
    <row r="12669" spans="2:6">
      <c r="B12669" s="4" t="s">
        <v>12345</v>
      </c>
      <c r="C12669" s="129" t="s">
        <v>12346</v>
      </c>
      <c r="D12669" s="5">
        <v>510703</v>
      </c>
      <c r="E12669" s="5" t="s">
        <v>14908</v>
      </c>
      <c r="F12669" s="5"/>
    </row>
    <row r="12670" spans="2:6">
      <c r="B12670" s="4" t="s">
        <v>12345</v>
      </c>
      <c r="C12670" s="129" t="s">
        <v>12346</v>
      </c>
      <c r="D12670" s="5">
        <v>510704</v>
      </c>
      <c r="E12670" s="5" t="s">
        <v>14909</v>
      </c>
      <c r="F12670" s="5"/>
    </row>
    <row r="12671" spans="2:6">
      <c r="B12671" s="4" t="s">
        <v>12345</v>
      </c>
      <c r="C12671" s="129" t="s">
        <v>12346</v>
      </c>
      <c r="D12671" s="5">
        <v>510722</v>
      </c>
      <c r="E12671" s="5" t="s">
        <v>14910</v>
      </c>
      <c r="F12671" s="5"/>
    </row>
    <row r="12672" spans="2:6">
      <c r="B12672" s="4" t="s">
        <v>12345</v>
      </c>
      <c r="C12672" s="129" t="s">
        <v>12346</v>
      </c>
      <c r="D12672" s="5">
        <v>510723</v>
      </c>
      <c r="E12672" s="5" t="s">
        <v>14911</v>
      </c>
      <c r="F12672" s="5"/>
    </row>
    <row r="12673" spans="2:6">
      <c r="B12673" s="4" t="s">
        <v>12345</v>
      </c>
      <c r="C12673" s="129" t="s">
        <v>12346</v>
      </c>
      <c r="D12673" s="5">
        <v>510724</v>
      </c>
      <c r="E12673" s="5" t="s">
        <v>14912</v>
      </c>
      <c r="F12673" s="5"/>
    </row>
    <row r="12674" spans="2:6">
      <c r="B12674" s="4" t="s">
        <v>12345</v>
      </c>
      <c r="C12674" s="129" t="s">
        <v>12346</v>
      </c>
      <c r="D12674" s="5">
        <v>510725</v>
      </c>
      <c r="E12674" s="5" t="s">
        <v>14913</v>
      </c>
      <c r="F12674" s="5"/>
    </row>
    <row r="12675" spans="2:6">
      <c r="B12675" s="4" t="s">
        <v>12345</v>
      </c>
      <c r="C12675" s="129" t="s">
        <v>12346</v>
      </c>
      <c r="D12675" s="5">
        <v>510726</v>
      </c>
      <c r="E12675" s="5" t="s">
        <v>14914</v>
      </c>
      <c r="F12675" s="5"/>
    </row>
    <row r="12676" spans="2:6">
      <c r="B12676" s="4" t="s">
        <v>12345</v>
      </c>
      <c r="C12676" s="129" t="s">
        <v>12346</v>
      </c>
      <c r="D12676" s="5">
        <v>510727</v>
      </c>
      <c r="E12676" s="5" t="s">
        <v>14915</v>
      </c>
      <c r="F12676" s="5"/>
    </row>
    <row r="12677" spans="2:6">
      <c r="B12677" s="4" t="s">
        <v>12345</v>
      </c>
      <c r="C12677" s="129" t="s">
        <v>12346</v>
      </c>
      <c r="D12677" s="5">
        <v>510781</v>
      </c>
      <c r="E12677" s="5" t="s">
        <v>14916</v>
      </c>
      <c r="F12677" s="5"/>
    </row>
    <row r="12678" spans="2:6">
      <c r="B12678" s="4" t="s">
        <v>12345</v>
      </c>
      <c r="C12678" s="129" t="s">
        <v>12346</v>
      </c>
      <c r="D12678" s="5">
        <v>510800</v>
      </c>
      <c r="E12678" s="5" t="s">
        <v>14917</v>
      </c>
      <c r="F12678" s="5"/>
    </row>
    <row r="12679" spans="2:6">
      <c r="B12679" s="4" t="s">
        <v>12345</v>
      </c>
      <c r="C12679" s="129" t="s">
        <v>12346</v>
      </c>
      <c r="D12679" s="5">
        <v>510801</v>
      </c>
      <c r="E12679" s="5" t="s">
        <v>14918</v>
      </c>
      <c r="F12679" s="5"/>
    </row>
    <row r="12680" spans="2:6">
      <c r="B12680" s="4" t="s">
        <v>12345</v>
      </c>
      <c r="C12680" s="129" t="s">
        <v>12346</v>
      </c>
      <c r="D12680" s="5">
        <v>510802</v>
      </c>
      <c r="E12680" s="5" t="s">
        <v>14919</v>
      </c>
      <c r="F12680" s="5"/>
    </row>
    <row r="12681" spans="2:6">
      <c r="B12681" s="4" t="s">
        <v>12345</v>
      </c>
      <c r="C12681" s="129" t="s">
        <v>12346</v>
      </c>
      <c r="D12681" s="5">
        <v>510811</v>
      </c>
      <c r="E12681" s="5" t="s">
        <v>14920</v>
      </c>
      <c r="F12681" s="5"/>
    </row>
    <row r="12682" spans="2:6">
      <c r="B12682" s="4" t="s">
        <v>12345</v>
      </c>
      <c r="C12682" s="129" t="s">
        <v>12346</v>
      </c>
      <c r="D12682" s="5">
        <v>510812</v>
      </c>
      <c r="E12682" s="5" t="s">
        <v>14921</v>
      </c>
      <c r="F12682" s="5"/>
    </row>
    <row r="12683" spans="2:6">
      <c r="B12683" s="4" t="s">
        <v>12345</v>
      </c>
      <c r="C12683" s="129" t="s">
        <v>12346</v>
      </c>
      <c r="D12683" s="5">
        <v>510821</v>
      </c>
      <c r="E12683" s="5" t="s">
        <v>14922</v>
      </c>
      <c r="F12683" s="5"/>
    </row>
    <row r="12684" spans="2:6">
      <c r="B12684" s="4" t="s">
        <v>12345</v>
      </c>
      <c r="C12684" s="129" t="s">
        <v>12346</v>
      </c>
      <c r="D12684" s="5">
        <v>510822</v>
      </c>
      <c r="E12684" s="5" t="s">
        <v>14923</v>
      </c>
      <c r="F12684" s="5"/>
    </row>
    <row r="12685" spans="2:6">
      <c r="B12685" s="4" t="s">
        <v>12345</v>
      </c>
      <c r="C12685" s="129" t="s">
        <v>12346</v>
      </c>
      <c r="D12685" s="5">
        <v>510823</v>
      </c>
      <c r="E12685" s="5" t="s">
        <v>14924</v>
      </c>
      <c r="F12685" s="5"/>
    </row>
    <row r="12686" spans="2:6">
      <c r="B12686" s="4" t="s">
        <v>12345</v>
      </c>
      <c r="C12686" s="129" t="s">
        <v>12346</v>
      </c>
      <c r="D12686" s="5">
        <v>510824</v>
      </c>
      <c r="E12686" s="5" t="s">
        <v>14925</v>
      </c>
      <c r="F12686" s="5"/>
    </row>
    <row r="12687" spans="2:6">
      <c r="B12687" s="4" t="s">
        <v>12345</v>
      </c>
      <c r="C12687" s="129" t="s">
        <v>12346</v>
      </c>
      <c r="D12687" s="5">
        <v>510900</v>
      </c>
      <c r="E12687" s="5" t="s">
        <v>14926</v>
      </c>
      <c r="F12687" s="5"/>
    </row>
    <row r="12688" spans="2:6">
      <c r="B12688" s="4" t="s">
        <v>12345</v>
      </c>
      <c r="C12688" s="129" t="s">
        <v>12346</v>
      </c>
      <c r="D12688" s="5">
        <v>510901</v>
      </c>
      <c r="E12688" s="5" t="s">
        <v>14927</v>
      </c>
      <c r="F12688" s="5"/>
    </row>
    <row r="12689" spans="2:6">
      <c r="B12689" s="4" t="s">
        <v>12345</v>
      </c>
      <c r="C12689" s="129" t="s">
        <v>12346</v>
      </c>
      <c r="D12689" s="5">
        <v>510903</v>
      </c>
      <c r="E12689" s="5" t="s">
        <v>14928</v>
      </c>
      <c r="F12689" s="5"/>
    </row>
    <row r="12690" spans="2:6">
      <c r="B12690" s="4" t="s">
        <v>12345</v>
      </c>
      <c r="C12690" s="129" t="s">
        <v>12346</v>
      </c>
      <c r="D12690" s="5">
        <v>510904</v>
      </c>
      <c r="E12690" s="5" t="s">
        <v>14929</v>
      </c>
      <c r="F12690" s="5"/>
    </row>
    <row r="12691" spans="2:6">
      <c r="B12691" s="4" t="s">
        <v>12345</v>
      </c>
      <c r="C12691" s="129" t="s">
        <v>12346</v>
      </c>
      <c r="D12691" s="5">
        <v>510921</v>
      </c>
      <c r="E12691" s="5" t="s">
        <v>14930</v>
      </c>
      <c r="F12691" s="5"/>
    </row>
    <row r="12692" spans="2:6">
      <c r="B12692" s="4" t="s">
        <v>12345</v>
      </c>
      <c r="C12692" s="129" t="s">
        <v>12346</v>
      </c>
      <c r="D12692" s="5">
        <v>510922</v>
      </c>
      <c r="E12692" s="5" t="s">
        <v>14931</v>
      </c>
      <c r="F12692" s="5"/>
    </row>
    <row r="12693" spans="2:6">
      <c r="B12693" s="4" t="s">
        <v>12345</v>
      </c>
      <c r="C12693" s="129" t="s">
        <v>12346</v>
      </c>
      <c r="D12693" s="5">
        <v>510923</v>
      </c>
      <c r="E12693" s="5" t="s">
        <v>14932</v>
      </c>
      <c r="F12693" s="5"/>
    </row>
    <row r="12694" spans="2:6">
      <c r="B12694" s="4" t="s">
        <v>12345</v>
      </c>
      <c r="C12694" s="129" t="s">
        <v>12346</v>
      </c>
      <c r="D12694" s="5">
        <v>511000</v>
      </c>
      <c r="E12694" s="5" t="s">
        <v>14933</v>
      </c>
      <c r="F12694" s="5"/>
    </row>
    <row r="12695" spans="2:6">
      <c r="B12695" s="4" t="s">
        <v>12345</v>
      </c>
      <c r="C12695" s="129" t="s">
        <v>12346</v>
      </c>
      <c r="D12695" s="5">
        <v>511001</v>
      </c>
      <c r="E12695" s="5" t="s">
        <v>14934</v>
      </c>
      <c r="F12695" s="5"/>
    </row>
    <row r="12696" spans="2:6">
      <c r="B12696" s="4" t="s">
        <v>12345</v>
      </c>
      <c r="C12696" s="129" t="s">
        <v>12346</v>
      </c>
      <c r="D12696" s="5">
        <v>511002</v>
      </c>
      <c r="E12696" s="5" t="s">
        <v>14935</v>
      </c>
      <c r="F12696" s="5"/>
    </row>
    <row r="12697" spans="2:6">
      <c r="B12697" s="4" t="s">
        <v>12345</v>
      </c>
      <c r="C12697" s="129" t="s">
        <v>12346</v>
      </c>
      <c r="D12697" s="5">
        <v>511011</v>
      </c>
      <c r="E12697" s="5" t="s">
        <v>14936</v>
      </c>
      <c r="F12697" s="5"/>
    </row>
    <row r="12698" spans="2:6">
      <c r="B12698" s="4" t="s">
        <v>12345</v>
      </c>
      <c r="C12698" s="129" t="s">
        <v>12346</v>
      </c>
      <c r="D12698" s="5">
        <v>511024</v>
      </c>
      <c r="E12698" s="5" t="s">
        <v>14937</v>
      </c>
      <c r="F12698" s="5"/>
    </row>
    <row r="12699" spans="2:6">
      <c r="B12699" s="4" t="s">
        <v>12345</v>
      </c>
      <c r="C12699" s="129" t="s">
        <v>12346</v>
      </c>
      <c r="D12699" s="5">
        <v>511025</v>
      </c>
      <c r="E12699" s="5" t="s">
        <v>14938</v>
      </c>
      <c r="F12699" s="5"/>
    </row>
    <row r="12700" spans="2:6">
      <c r="B12700" s="4" t="s">
        <v>12345</v>
      </c>
      <c r="C12700" s="129" t="s">
        <v>12346</v>
      </c>
      <c r="D12700" s="5">
        <v>511028</v>
      </c>
      <c r="E12700" s="5" t="s">
        <v>14939</v>
      </c>
      <c r="F12700" s="5"/>
    </row>
    <row r="12701" spans="2:6">
      <c r="B12701" s="4" t="s">
        <v>12345</v>
      </c>
      <c r="C12701" s="129" t="s">
        <v>12346</v>
      </c>
      <c r="D12701" s="5">
        <v>511100</v>
      </c>
      <c r="E12701" s="5" t="s">
        <v>14940</v>
      </c>
      <c r="F12701" s="5"/>
    </row>
    <row r="12702" spans="2:6">
      <c r="B12702" s="4" t="s">
        <v>12345</v>
      </c>
      <c r="C12702" s="129" t="s">
        <v>12346</v>
      </c>
      <c r="D12702" s="5">
        <v>511101</v>
      </c>
      <c r="E12702" s="5" t="s">
        <v>14941</v>
      </c>
      <c r="F12702" s="5"/>
    </row>
    <row r="12703" spans="2:6">
      <c r="B12703" s="4" t="s">
        <v>12345</v>
      </c>
      <c r="C12703" s="129" t="s">
        <v>12346</v>
      </c>
      <c r="D12703" s="5">
        <v>511102</v>
      </c>
      <c r="E12703" s="5" t="s">
        <v>14942</v>
      </c>
      <c r="F12703" s="5"/>
    </row>
    <row r="12704" spans="2:6">
      <c r="B12704" s="4" t="s">
        <v>12345</v>
      </c>
      <c r="C12704" s="129" t="s">
        <v>12346</v>
      </c>
      <c r="D12704" s="5">
        <v>511111</v>
      </c>
      <c r="E12704" s="5" t="s">
        <v>14943</v>
      </c>
      <c r="F12704" s="5"/>
    </row>
    <row r="12705" spans="2:6">
      <c r="B12705" s="4" t="s">
        <v>12345</v>
      </c>
      <c r="C12705" s="129" t="s">
        <v>12346</v>
      </c>
      <c r="D12705" s="5">
        <v>511112</v>
      </c>
      <c r="E12705" s="5" t="s">
        <v>14944</v>
      </c>
      <c r="F12705" s="5"/>
    </row>
    <row r="12706" spans="2:6">
      <c r="B12706" s="4" t="s">
        <v>12345</v>
      </c>
      <c r="C12706" s="129" t="s">
        <v>12346</v>
      </c>
      <c r="D12706" s="5">
        <v>511113</v>
      </c>
      <c r="E12706" s="5" t="s">
        <v>14945</v>
      </c>
      <c r="F12706" s="5"/>
    </row>
    <row r="12707" spans="2:6">
      <c r="B12707" s="4" t="s">
        <v>12345</v>
      </c>
      <c r="C12707" s="129" t="s">
        <v>12346</v>
      </c>
      <c r="D12707" s="5">
        <v>511123</v>
      </c>
      <c r="E12707" s="5" t="s">
        <v>14946</v>
      </c>
      <c r="F12707" s="5"/>
    </row>
    <row r="12708" spans="2:6">
      <c r="B12708" s="4" t="s">
        <v>12345</v>
      </c>
      <c r="C12708" s="129" t="s">
        <v>12346</v>
      </c>
      <c r="D12708" s="5">
        <v>511124</v>
      </c>
      <c r="E12708" s="5" t="s">
        <v>14947</v>
      </c>
      <c r="F12708" s="5"/>
    </row>
    <row r="12709" spans="2:6">
      <c r="B12709" s="4" t="s">
        <v>12345</v>
      </c>
      <c r="C12709" s="129" t="s">
        <v>12346</v>
      </c>
      <c r="D12709" s="5">
        <v>511126</v>
      </c>
      <c r="E12709" s="5" t="s">
        <v>14948</v>
      </c>
      <c r="F12709" s="5"/>
    </row>
    <row r="12710" spans="2:6">
      <c r="B12710" s="4" t="s">
        <v>12345</v>
      </c>
      <c r="C12710" s="129" t="s">
        <v>12346</v>
      </c>
      <c r="D12710" s="5">
        <v>511129</v>
      </c>
      <c r="E12710" s="5" t="s">
        <v>14949</v>
      </c>
      <c r="F12710" s="5"/>
    </row>
    <row r="12711" spans="2:6">
      <c r="B12711" s="4" t="s">
        <v>12345</v>
      </c>
      <c r="C12711" s="129" t="s">
        <v>12346</v>
      </c>
      <c r="D12711" s="5">
        <v>511132</v>
      </c>
      <c r="E12711" s="5" t="s">
        <v>14950</v>
      </c>
      <c r="F12711" s="5"/>
    </row>
    <row r="12712" spans="2:6">
      <c r="B12712" s="4" t="s">
        <v>12345</v>
      </c>
      <c r="C12712" s="129" t="s">
        <v>12346</v>
      </c>
      <c r="D12712" s="5">
        <v>511133</v>
      </c>
      <c r="E12712" s="5" t="s">
        <v>14951</v>
      </c>
      <c r="F12712" s="5"/>
    </row>
    <row r="12713" spans="2:6">
      <c r="B12713" s="4" t="s">
        <v>12345</v>
      </c>
      <c r="C12713" s="129" t="s">
        <v>12346</v>
      </c>
      <c r="D12713" s="5">
        <v>511181</v>
      </c>
      <c r="E12713" s="5" t="s">
        <v>14952</v>
      </c>
      <c r="F12713" s="5"/>
    </row>
    <row r="12714" spans="2:6">
      <c r="B12714" s="4" t="s">
        <v>12345</v>
      </c>
      <c r="C12714" s="129" t="s">
        <v>12346</v>
      </c>
      <c r="D12714" s="5">
        <v>511300</v>
      </c>
      <c r="E12714" s="5" t="s">
        <v>14953</v>
      </c>
      <c r="F12714" s="5"/>
    </row>
    <row r="12715" spans="2:6">
      <c r="B12715" s="4" t="s">
        <v>12345</v>
      </c>
      <c r="C12715" s="129" t="s">
        <v>12346</v>
      </c>
      <c r="D12715" s="5">
        <v>511301</v>
      </c>
      <c r="E12715" s="5" t="s">
        <v>14954</v>
      </c>
      <c r="F12715" s="5"/>
    </row>
    <row r="12716" spans="2:6">
      <c r="B12716" s="4" t="s">
        <v>12345</v>
      </c>
      <c r="C12716" s="129" t="s">
        <v>12346</v>
      </c>
      <c r="D12716" s="5">
        <v>511302</v>
      </c>
      <c r="E12716" s="5" t="s">
        <v>14955</v>
      </c>
      <c r="F12716" s="5"/>
    </row>
    <row r="12717" spans="2:6">
      <c r="B12717" s="4" t="s">
        <v>12345</v>
      </c>
      <c r="C12717" s="129" t="s">
        <v>12346</v>
      </c>
      <c r="D12717" s="5">
        <v>511303</v>
      </c>
      <c r="E12717" s="5" t="s">
        <v>14956</v>
      </c>
      <c r="F12717" s="5"/>
    </row>
    <row r="12718" spans="2:6">
      <c r="B12718" s="4" t="s">
        <v>12345</v>
      </c>
      <c r="C12718" s="129" t="s">
        <v>12346</v>
      </c>
      <c r="D12718" s="5">
        <v>511304</v>
      </c>
      <c r="E12718" s="5" t="s">
        <v>14957</v>
      </c>
      <c r="F12718" s="5"/>
    </row>
    <row r="12719" spans="2:6">
      <c r="B12719" s="4" t="s">
        <v>12345</v>
      </c>
      <c r="C12719" s="129" t="s">
        <v>12346</v>
      </c>
      <c r="D12719" s="5">
        <v>511321</v>
      </c>
      <c r="E12719" s="5" t="s">
        <v>14958</v>
      </c>
      <c r="F12719" s="5"/>
    </row>
    <row r="12720" spans="2:5">
      <c r="B12720" s="4" t="s">
        <v>12345</v>
      </c>
      <c r="C12720" s="129" t="s">
        <v>12346</v>
      </c>
      <c r="D12720" s="5">
        <v>511322</v>
      </c>
      <c r="E12720" s="5" t="s">
        <v>14959</v>
      </c>
    </row>
    <row r="12721" spans="2:5">
      <c r="B12721" s="4" t="s">
        <v>12345</v>
      </c>
      <c r="C12721" s="129" t="s">
        <v>12346</v>
      </c>
      <c r="D12721" s="5">
        <v>511323</v>
      </c>
      <c r="E12721" s="5" t="s">
        <v>14960</v>
      </c>
    </row>
    <row r="12722" spans="2:5">
      <c r="B12722" s="4" t="s">
        <v>12345</v>
      </c>
      <c r="C12722" s="129" t="s">
        <v>12346</v>
      </c>
      <c r="D12722" s="5">
        <v>511324</v>
      </c>
      <c r="E12722" s="5" t="s">
        <v>14961</v>
      </c>
    </row>
    <row r="12723" spans="2:5">
      <c r="B12723" s="4" t="s">
        <v>12345</v>
      </c>
      <c r="C12723" s="129" t="s">
        <v>12346</v>
      </c>
      <c r="D12723" s="5">
        <v>511325</v>
      </c>
      <c r="E12723" s="5" t="s">
        <v>14962</v>
      </c>
    </row>
    <row r="12724" spans="2:5">
      <c r="B12724" s="4" t="s">
        <v>12345</v>
      </c>
      <c r="C12724" s="129" t="s">
        <v>12346</v>
      </c>
      <c r="D12724" s="5">
        <v>511381</v>
      </c>
      <c r="E12724" s="5" t="s">
        <v>14963</v>
      </c>
    </row>
    <row r="12725" spans="2:5">
      <c r="B12725" s="4" t="s">
        <v>12345</v>
      </c>
      <c r="C12725" s="129" t="s">
        <v>12346</v>
      </c>
      <c r="D12725" s="5">
        <v>511400</v>
      </c>
      <c r="E12725" s="5" t="s">
        <v>14964</v>
      </c>
    </row>
    <row r="12726" spans="2:5">
      <c r="B12726" s="4" t="s">
        <v>12345</v>
      </c>
      <c r="C12726" s="129" t="s">
        <v>12346</v>
      </c>
      <c r="D12726" s="5">
        <v>511401</v>
      </c>
      <c r="E12726" s="5" t="s">
        <v>14965</v>
      </c>
    </row>
    <row r="12727" spans="2:5">
      <c r="B12727" s="4" t="s">
        <v>12345</v>
      </c>
      <c r="C12727" s="129" t="s">
        <v>12346</v>
      </c>
      <c r="D12727" s="5">
        <v>511402</v>
      </c>
      <c r="E12727" s="5" t="s">
        <v>14966</v>
      </c>
    </row>
    <row r="12728" spans="2:5">
      <c r="B12728" s="4" t="s">
        <v>12345</v>
      </c>
      <c r="C12728" s="129" t="s">
        <v>12346</v>
      </c>
      <c r="D12728" s="5">
        <v>511421</v>
      </c>
      <c r="E12728" s="5" t="s">
        <v>14967</v>
      </c>
    </row>
    <row r="12729" spans="2:5">
      <c r="B12729" s="4" t="s">
        <v>12345</v>
      </c>
      <c r="C12729" s="129" t="s">
        <v>12346</v>
      </c>
      <c r="D12729" s="5">
        <v>511422</v>
      </c>
      <c r="E12729" s="5" t="s">
        <v>14968</v>
      </c>
    </row>
    <row r="12730" spans="2:5">
      <c r="B12730" s="4" t="s">
        <v>12345</v>
      </c>
      <c r="C12730" s="129" t="s">
        <v>12346</v>
      </c>
      <c r="D12730" s="5">
        <v>511423</v>
      </c>
      <c r="E12730" s="5" t="s">
        <v>14969</v>
      </c>
    </row>
    <row r="12731" spans="2:5">
      <c r="B12731" s="4" t="s">
        <v>12345</v>
      </c>
      <c r="C12731" s="129" t="s">
        <v>12346</v>
      </c>
      <c r="D12731" s="5">
        <v>511424</v>
      </c>
      <c r="E12731" s="5" t="s">
        <v>14970</v>
      </c>
    </row>
    <row r="12732" spans="2:5">
      <c r="B12732" s="4" t="s">
        <v>12345</v>
      </c>
      <c r="C12732" s="129" t="s">
        <v>12346</v>
      </c>
      <c r="D12732" s="5">
        <v>511425</v>
      </c>
      <c r="E12732" s="5" t="s">
        <v>14971</v>
      </c>
    </row>
    <row r="12733" spans="2:5">
      <c r="B12733" s="4" t="s">
        <v>12345</v>
      </c>
      <c r="C12733" s="129" t="s">
        <v>12346</v>
      </c>
      <c r="D12733" s="5">
        <v>511500</v>
      </c>
      <c r="E12733" s="5" t="s">
        <v>14972</v>
      </c>
    </row>
    <row r="12734" spans="2:5">
      <c r="B12734" s="4" t="s">
        <v>12345</v>
      </c>
      <c r="C12734" s="129" t="s">
        <v>12346</v>
      </c>
      <c r="D12734" s="5">
        <v>511501</v>
      </c>
      <c r="E12734" s="5" t="s">
        <v>14973</v>
      </c>
    </row>
    <row r="12735" spans="2:5">
      <c r="B12735" s="4" t="s">
        <v>12345</v>
      </c>
      <c r="C12735" s="129" t="s">
        <v>12346</v>
      </c>
      <c r="D12735" s="5">
        <v>511502</v>
      </c>
      <c r="E12735" s="5" t="s">
        <v>14974</v>
      </c>
    </row>
    <row r="12736" spans="2:5">
      <c r="B12736" s="4" t="s">
        <v>12345</v>
      </c>
      <c r="C12736" s="129" t="s">
        <v>12346</v>
      </c>
      <c r="D12736" s="5">
        <v>511503</v>
      </c>
      <c r="E12736" s="5" t="s">
        <v>14975</v>
      </c>
    </row>
    <row r="12737" spans="2:5">
      <c r="B12737" s="4" t="s">
        <v>12345</v>
      </c>
      <c r="C12737" s="129" t="s">
        <v>12346</v>
      </c>
      <c r="D12737" s="5">
        <v>511521</v>
      </c>
      <c r="E12737" s="5" t="s">
        <v>14976</v>
      </c>
    </row>
    <row r="12738" spans="2:5">
      <c r="B12738" s="4" t="s">
        <v>12345</v>
      </c>
      <c r="C12738" s="129" t="s">
        <v>12346</v>
      </c>
      <c r="D12738" s="5">
        <v>511523</v>
      </c>
      <c r="E12738" s="5" t="s">
        <v>14977</v>
      </c>
    </row>
    <row r="12739" spans="2:5">
      <c r="B12739" s="4" t="s">
        <v>12345</v>
      </c>
      <c r="C12739" s="129" t="s">
        <v>12346</v>
      </c>
      <c r="D12739" s="5">
        <v>511524</v>
      </c>
      <c r="E12739" s="5" t="s">
        <v>14978</v>
      </c>
    </row>
    <row r="12740" spans="2:5">
      <c r="B12740" s="4" t="s">
        <v>12345</v>
      </c>
      <c r="C12740" s="129" t="s">
        <v>12346</v>
      </c>
      <c r="D12740" s="5">
        <v>511525</v>
      </c>
      <c r="E12740" s="5" t="s">
        <v>14979</v>
      </c>
    </row>
    <row r="12741" spans="2:5">
      <c r="B12741" s="4" t="s">
        <v>12345</v>
      </c>
      <c r="C12741" s="129" t="s">
        <v>12346</v>
      </c>
      <c r="D12741" s="5">
        <v>511526</v>
      </c>
      <c r="E12741" s="5" t="s">
        <v>14980</v>
      </c>
    </row>
    <row r="12742" spans="2:5">
      <c r="B12742" s="4" t="s">
        <v>12345</v>
      </c>
      <c r="C12742" s="129" t="s">
        <v>12346</v>
      </c>
      <c r="D12742" s="5">
        <v>511527</v>
      </c>
      <c r="E12742" s="5" t="s">
        <v>14981</v>
      </c>
    </row>
    <row r="12743" spans="2:5">
      <c r="B12743" s="4" t="s">
        <v>12345</v>
      </c>
      <c r="C12743" s="129" t="s">
        <v>12346</v>
      </c>
      <c r="D12743" s="5">
        <v>511528</v>
      </c>
      <c r="E12743" s="5" t="s">
        <v>14982</v>
      </c>
    </row>
    <row r="12744" spans="2:5">
      <c r="B12744" s="4" t="s">
        <v>12345</v>
      </c>
      <c r="C12744" s="129" t="s">
        <v>12346</v>
      </c>
      <c r="D12744" s="5">
        <v>511529</v>
      </c>
      <c r="E12744" s="5" t="s">
        <v>14983</v>
      </c>
    </row>
    <row r="12745" spans="2:5">
      <c r="B12745" s="4" t="s">
        <v>12345</v>
      </c>
      <c r="C12745" s="129" t="s">
        <v>12346</v>
      </c>
      <c r="D12745" s="5">
        <v>511600</v>
      </c>
      <c r="E12745" s="5" t="s">
        <v>14984</v>
      </c>
    </row>
    <row r="12746" spans="2:5">
      <c r="B12746" s="4" t="s">
        <v>12345</v>
      </c>
      <c r="C12746" s="129" t="s">
        <v>12346</v>
      </c>
      <c r="D12746" s="5">
        <v>511601</v>
      </c>
      <c r="E12746" s="5" t="s">
        <v>14985</v>
      </c>
    </row>
    <row r="12747" spans="2:5">
      <c r="B12747" s="4" t="s">
        <v>12345</v>
      </c>
      <c r="C12747" s="129" t="s">
        <v>12346</v>
      </c>
      <c r="D12747" s="5">
        <v>511602</v>
      </c>
      <c r="E12747" s="5" t="s">
        <v>14986</v>
      </c>
    </row>
    <row r="12748" spans="2:5">
      <c r="B12748" s="4" t="s">
        <v>12345</v>
      </c>
      <c r="C12748" s="129" t="s">
        <v>12346</v>
      </c>
      <c r="D12748" s="5">
        <v>511603</v>
      </c>
      <c r="E12748" s="5" t="s">
        <v>14987</v>
      </c>
    </row>
    <row r="12749" spans="2:5">
      <c r="B12749" s="4" t="s">
        <v>12345</v>
      </c>
      <c r="C12749" s="129" t="s">
        <v>12346</v>
      </c>
      <c r="D12749" s="5">
        <v>511621</v>
      </c>
      <c r="E12749" s="5" t="s">
        <v>14988</v>
      </c>
    </row>
    <row r="12750" spans="2:5">
      <c r="B12750" s="4" t="s">
        <v>12345</v>
      </c>
      <c r="C12750" s="129" t="s">
        <v>12346</v>
      </c>
      <c r="D12750" s="5">
        <v>511622</v>
      </c>
      <c r="E12750" s="5" t="s">
        <v>14989</v>
      </c>
    </row>
    <row r="12751" spans="2:5">
      <c r="B12751" s="4" t="s">
        <v>12345</v>
      </c>
      <c r="C12751" s="129" t="s">
        <v>12346</v>
      </c>
      <c r="D12751" s="5">
        <v>511623</v>
      </c>
      <c r="E12751" s="5" t="s">
        <v>14990</v>
      </c>
    </row>
    <row r="12752" spans="2:5">
      <c r="B12752" s="4" t="s">
        <v>12345</v>
      </c>
      <c r="C12752" s="129" t="s">
        <v>12346</v>
      </c>
      <c r="D12752" s="5">
        <v>511681</v>
      </c>
      <c r="E12752" s="5" t="s">
        <v>14991</v>
      </c>
    </row>
    <row r="12753" spans="2:5">
      <c r="B12753" s="4" t="s">
        <v>12345</v>
      </c>
      <c r="C12753" s="129" t="s">
        <v>12346</v>
      </c>
      <c r="D12753" s="5">
        <v>511700</v>
      </c>
      <c r="E12753" s="5" t="s">
        <v>14992</v>
      </c>
    </row>
    <row r="12754" spans="2:5">
      <c r="B12754" s="4" t="s">
        <v>12345</v>
      </c>
      <c r="C12754" s="129" t="s">
        <v>12346</v>
      </c>
      <c r="D12754" s="5">
        <v>511701</v>
      </c>
      <c r="E12754" s="5" t="s">
        <v>14993</v>
      </c>
    </row>
    <row r="12755" spans="2:5">
      <c r="B12755" s="4" t="s">
        <v>12345</v>
      </c>
      <c r="C12755" s="129" t="s">
        <v>12346</v>
      </c>
      <c r="D12755" s="5">
        <v>511702</v>
      </c>
      <c r="E12755" s="5" t="s">
        <v>14994</v>
      </c>
    </row>
    <row r="12756" spans="2:5">
      <c r="B12756" s="4" t="s">
        <v>12345</v>
      </c>
      <c r="C12756" s="129" t="s">
        <v>12346</v>
      </c>
      <c r="D12756" s="5">
        <v>511703</v>
      </c>
      <c r="E12756" s="5" t="s">
        <v>14995</v>
      </c>
    </row>
    <row r="12757" spans="2:5">
      <c r="B12757" s="4" t="s">
        <v>12345</v>
      </c>
      <c r="C12757" s="129" t="s">
        <v>12346</v>
      </c>
      <c r="D12757" s="5">
        <v>511722</v>
      </c>
      <c r="E12757" s="5" t="s">
        <v>14996</v>
      </c>
    </row>
    <row r="12758" spans="2:5">
      <c r="B12758" s="4" t="s">
        <v>12345</v>
      </c>
      <c r="C12758" s="129" t="s">
        <v>12346</v>
      </c>
      <c r="D12758" s="5">
        <v>511723</v>
      </c>
      <c r="E12758" s="5" t="s">
        <v>14997</v>
      </c>
    </row>
    <row r="12759" spans="2:5">
      <c r="B12759" s="4" t="s">
        <v>12345</v>
      </c>
      <c r="C12759" s="129" t="s">
        <v>12346</v>
      </c>
      <c r="D12759" s="5">
        <v>511724</v>
      </c>
      <c r="E12759" s="5" t="s">
        <v>14998</v>
      </c>
    </row>
    <row r="12760" spans="2:5">
      <c r="B12760" s="4" t="s">
        <v>12345</v>
      </c>
      <c r="C12760" s="129" t="s">
        <v>12346</v>
      </c>
      <c r="D12760" s="5">
        <v>511725</v>
      </c>
      <c r="E12760" s="5" t="s">
        <v>14999</v>
      </c>
    </row>
    <row r="12761" spans="2:5">
      <c r="B12761" s="4" t="s">
        <v>12345</v>
      </c>
      <c r="C12761" s="129" t="s">
        <v>12346</v>
      </c>
      <c r="D12761" s="5">
        <v>511781</v>
      </c>
      <c r="E12761" s="5" t="s">
        <v>15000</v>
      </c>
    </row>
    <row r="12762" spans="2:5">
      <c r="B12762" s="4" t="s">
        <v>12345</v>
      </c>
      <c r="C12762" s="129" t="s">
        <v>12346</v>
      </c>
      <c r="D12762" s="5">
        <v>511800</v>
      </c>
      <c r="E12762" s="5" t="s">
        <v>15001</v>
      </c>
    </row>
    <row r="12763" spans="2:5">
      <c r="B12763" s="4" t="s">
        <v>12345</v>
      </c>
      <c r="C12763" s="129" t="s">
        <v>12346</v>
      </c>
      <c r="D12763" s="5">
        <v>511801</v>
      </c>
      <c r="E12763" s="5" t="s">
        <v>15002</v>
      </c>
    </row>
    <row r="12764" spans="2:5">
      <c r="B12764" s="4" t="s">
        <v>12345</v>
      </c>
      <c r="C12764" s="129" t="s">
        <v>12346</v>
      </c>
      <c r="D12764" s="5">
        <v>511802</v>
      </c>
      <c r="E12764" s="5" t="s">
        <v>15003</v>
      </c>
    </row>
    <row r="12765" spans="2:5">
      <c r="B12765" s="4" t="s">
        <v>12345</v>
      </c>
      <c r="C12765" s="129" t="s">
        <v>12346</v>
      </c>
      <c r="D12765" s="5">
        <v>511803</v>
      </c>
      <c r="E12765" s="5" t="s">
        <v>15004</v>
      </c>
    </row>
    <row r="12766" spans="2:5">
      <c r="B12766" s="4" t="s">
        <v>12345</v>
      </c>
      <c r="C12766" s="129" t="s">
        <v>12346</v>
      </c>
      <c r="D12766" s="5">
        <v>511822</v>
      </c>
      <c r="E12766" s="5" t="s">
        <v>15005</v>
      </c>
    </row>
    <row r="12767" spans="2:5">
      <c r="B12767" s="4" t="s">
        <v>12345</v>
      </c>
      <c r="C12767" s="129" t="s">
        <v>12346</v>
      </c>
      <c r="D12767" s="5">
        <v>511823</v>
      </c>
      <c r="E12767" s="5" t="s">
        <v>15006</v>
      </c>
    </row>
    <row r="12768" spans="2:5">
      <c r="B12768" s="4" t="s">
        <v>12345</v>
      </c>
      <c r="C12768" s="129" t="s">
        <v>12346</v>
      </c>
      <c r="D12768" s="5">
        <v>511824</v>
      </c>
      <c r="E12768" s="5" t="s">
        <v>15007</v>
      </c>
    </row>
    <row r="12769" spans="2:5">
      <c r="B12769" s="4" t="s">
        <v>12345</v>
      </c>
      <c r="C12769" s="129" t="s">
        <v>12346</v>
      </c>
      <c r="D12769" s="5">
        <v>511825</v>
      </c>
      <c r="E12769" s="5" t="s">
        <v>15008</v>
      </c>
    </row>
    <row r="12770" spans="2:5">
      <c r="B12770" s="4" t="s">
        <v>12345</v>
      </c>
      <c r="C12770" s="129" t="s">
        <v>12346</v>
      </c>
      <c r="D12770" s="5">
        <v>511826</v>
      </c>
      <c r="E12770" s="5" t="s">
        <v>15009</v>
      </c>
    </row>
    <row r="12771" spans="2:5">
      <c r="B12771" s="4" t="s">
        <v>12345</v>
      </c>
      <c r="C12771" s="129" t="s">
        <v>12346</v>
      </c>
      <c r="D12771" s="5">
        <v>511827</v>
      </c>
      <c r="E12771" s="5" t="s">
        <v>15010</v>
      </c>
    </row>
    <row r="12772" spans="2:5">
      <c r="B12772" s="4" t="s">
        <v>12345</v>
      </c>
      <c r="C12772" s="129" t="s">
        <v>12346</v>
      </c>
      <c r="D12772" s="5">
        <v>511900</v>
      </c>
      <c r="E12772" s="5" t="s">
        <v>15011</v>
      </c>
    </row>
    <row r="12773" spans="2:5">
      <c r="B12773" s="4" t="s">
        <v>12345</v>
      </c>
      <c r="C12773" s="129" t="s">
        <v>12346</v>
      </c>
      <c r="D12773" s="5">
        <v>511901</v>
      </c>
      <c r="E12773" s="5" t="s">
        <v>15012</v>
      </c>
    </row>
    <row r="12774" spans="2:5">
      <c r="B12774" s="4" t="s">
        <v>12345</v>
      </c>
      <c r="C12774" s="129" t="s">
        <v>12346</v>
      </c>
      <c r="D12774" s="5">
        <v>511902</v>
      </c>
      <c r="E12774" s="5" t="s">
        <v>15013</v>
      </c>
    </row>
    <row r="12775" spans="2:5">
      <c r="B12775" s="4" t="s">
        <v>12345</v>
      </c>
      <c r="C12775" s="129" t="s">
        <v>12346</v>
      </c>
      <c r="D12775" s="5">
        <v>511903</v>
      </c>
      <c r="E12775" s="5" t="s">
        <v>15014</v>
      </c>
    </row>
    <row r="12776" spans="2:5">
      <c r="B12776" s="4" t="s">
        <v>12345</v>
      </c>
      <c r="C12776" s="129" t="s">
        <v>12346</v>
      </c>
      <c r="D12776" s="5">
        <v>511921</v>
      </c>
      <c r="E12776" s="5" t="s">
        <v>15015</v>
      </c>
    </row>
    <row r="12777" spans="2:5">
      <c r="B12777" s="4" t="s">
        <v>12345</v>
      </c>
      <c r="C12777" s="129" t="s">
        <v>12346</v>
      </c>
      <c r="D12777" s="5">
        <v>511922</v>
      </c>
      <c r="E12777" s="5" t="s">
        <v>15016</v>
      </c>
    </row>
    <row r="12778" spans="2:5">
      <c r="B12778" s="4" t="s">
        <v>12345</v>
      </c>
      <c r="C12778" s="129" t="s">
        <v>12346</v>
      </c>
      <c r="D12778" s="5">
        <v>511923</v>
      </c>
      <c r="E12778" s="5" t="s">
        <v>15017</v>
      </c>
    </row>
    <row r="12779" spans="2:5">
      <c r="B12779" s="4" t="s">
        <v>12345</v>
      </c>
      <c r="C12779" s="129" t="s">
        <v>12346</v>
      </c>
      <c r="D12779" s="5">
        <v>512000</v>
      </c>
      <c r="E12779" s="5" t="s">
        <v>15018</v>
      </c>
    </row>
    <row r="12780" spans="2:5">
      <c r="B12780" s="4" t="s">
        <v>12345</v>
      </c>
      <c r="C12780" s="129" t="s">
        <v>12346</v>
      </c>
      <c r="D12780" s="5">
        <v>512001</v>
      </c>
      <c r="E12780" s="5" t="s">
        <v>15019</v>
      </c>
    </row>
    <row r="12781" spans="2:5">
      <c r="B12781" s="4" t="s">
        <v>12345</v>
      </c>
      <c r="C12781" s="129" t="s">
        <v>12346</v>
      </c>
      <c r="D12781" s="5">
        <v>512002</v>
      </c>
      <c r="E12781" s="5" t="s">
        <v>15020</v>
      </c>
    </row>
    <row r="12782" spans="2:5">
      <c r="B12782" s="4" t="s">
        <v>12345</v>
      </c>
      <c r="C12782" s="129" t="s">
        <v>12346</v>
      </c>
      <c r="D12782" s="5">
        <v>512021</v>
      </c>
      <c r="E12782" s="5" t="s">
        <v>15021</v>
      </c>
    </row>
    <row r="12783" spans="2:5">
      <c r="B12783" s="4" t="s">
        <v>12345</v>
      </c>
      <c r="C12783" s="129" t="s">
        <v>12346</v>
      </c>
      <c r="D12783" s="5">
        <v>512022</v>
      </c>
      <c r="E12783" s="5" t="s">
        <v>15022</v>
      </c>
    </row>
    <row r="12784" spans="2:5">
      <c r="B12784" s="4" t="s">
        <v>12345</v>
      </c>
      <c r="C12784" s="129" t="s">
        <v>12346</v>
      </c>
      <c r="D12784" s="5">
        <v>512081</v>
      </c>
      <c r="E12784" s="5" t="s">
        <v>15023</v>
      </c>
    </row>
    <row r="12785" spans="2:5">
      <c r="B12785" s="4" t="s">
        <v>12345</v>
      </c>
      <c r="C12785" s="129" t="s">
        <v>12346</v>
      </c>
      <c r="D12785" s="5">
        <v>513200</v>
      </c>
      <c r="E12785" s="5" t="s">
        <v>15024</v>
      </c>
    </row>
    <row r="12786" spans="2:5">
      <c r="B12786" s="4" t="s">
        <v>12345</v>
      </c>
      <c r="C12786" s="129" t="s">
        <v>12346</v>
      </c>
      <c r="D12786" s="5">
        <v>513221</v>
      </c>
      <c r="E12786" s="5" t="s">
        <v>15025</v>
      </c>
    </row>
    <row r="12787" spans="2:5">
      <c r="B12787" s="4" t="s">
        <v>12345</v>
      </c>
      <c r="C12787" s="129" t="s">
        <v>12346</v>
      </c>
      <c r="D12787" s="5">
        <v>513222</v>
      </c>
      <c r="E12787" s="5" t="s">
        <v>15026</v>
      </c>
    </row>
    <row r="12788" spans="2:5">
      <c r="B12788" s="4" t="s">
        <v>12345</v>
      </c>
      <c r="C12788" s="129" t="s">
        <v>12346</v>
      </c>
      <c r="D12788" s="5">
        <v>513223</v>
      </c>
      <c r="E12788" s="5" t="s">
        <v>15027</v>
      </c>
    </row>
    <row r="12789" spans="2:5">
      <c r="B12789" s="4" t="s">
        <v>12345</v>
      </c>
      <c r="C12789" s="129" t="s">
        <v>12346</v>
      </c>
      <c r="D12789" s="5">
        <v>513224</v>
      </c>
      <c r="E12789" s="5" t="s">
        <v>15028</v>
      </c>
    </row>
    <row r="12790" spans="2:5">
      <c r="B12790" s="4" t="s">
        <v>12345</v>
      </c>
      <c r="C12790" s="129" t="s">
        <v>12346</v>
      </c>
      <c r="D12790" s="5">
        <v>513225</v>
      </c>
      <c r="E12790" s="5" t="s">
        <v>15029</v>
      </c>
    </row>
    <row r="12791" spans="2:5">
      <c r="B12791" s="4" t="s">
        <v>12345</v>
      </c>
      <c r="C12791" s="129" t="s">
        <v>12346</v>
      </c>
      <c r="D12791" s="5">
        <v>513226</v>
      </c>
      <c r="E12791" s="5" t="s">
        <v>15030</v>
      </c>
    </row>
    <row r="12792" spans="2:5">
      <c r="B12792" s="4" t="s">
        <v>12345</v>
      </c>
      <c r="C12792" s="129" t="s">
        <v>12346</v>
      </c>
      <c r="D12792" s="5">
        <v>513227</v>
      </c>
      <c r="E12792" s="5" t="s">
        <v>15031</v>
      </c>
    </row>
    <row r="12793" spans="2:5">
      <c r="B12793" s="4" t="s">
        <v>12345</v>
      </c>
      <c r="C12793" s="129" t="s">
        <v>12346</v>
      </c>
      <c r="D12793" s="5">
        <v>513228</v>
      </c>
      <c r="E12793" s="5" t="s">
        <v>15032</v>
      </c>
    </row>
    <row r="12794" spans="2:5">
      <c r="B12794" s="4" t="s">
        <v>12345</v>
      </c>
      <c r="C12794" s="129" t="s">
        <v>12346</v>
      </c>
      <c r="D12794" s="5">
        <v>513229</v>
      </c>
      <c r="E12794" s="5" t="s">
        <v>15033</v>
      </c>
    </row>
    <row r="12795" spans="2:5">
      <c r="B12795" s="4" t="s">
        <v>12345</v>
      </c>
      <c r="C12795" s="129" t="s">
        <v>12346</v>
      </c>
      <c r="D12795" s="5">
        <v>513230</v>
      </c>
      <c r="E12795" s="5" t="s">
        <v>15034</v>
      </c>
    </row>
    <row r="12796" spans="2:5">
      <c r="B12796" s="4" t="s">
        <v>12345</v>
      </c>
      <c r="C12796" s="129" t="s">
        <v>12346</v>
      </c>
      <c r="D12796" s="5">
        <v>513231</v>
      </c>
      <c r="E12796" s="5" t="s">
        <v>15035</v>
      </c>
    </row>
    <row r="12797" spans="2:5">
      <c r="B12797" s="4" t="s">
        <v>12345</v>
      </c>
      <c r="C12797" s="129" t="s">
        <v>12346</v>
      </c>
      <c r="D12797" s="5">
        <v>513232</v>
      </c>
      <c r="E12797" s="5" t="s">
        <v>15036</v>
      </c>
    </row>
    <row r="12798" spans="2:5">
      <c r="B12798" s="4" t="s">
        <v>12345</v>
      </c>
      <c r="C12798" s="129" t="s">
        <v>12346</v>
      </c>
      <c r="D12798" s="5">
        <v>513233</v>
      </c>
      <c r="E12798" s="5" t="s">
        <v>15037</v>
      </c>
    </row>
    <row r="12799" spans="2:5">
      <c r="B12799" s="4" t="s">
        <v>12345</v>
      </c>
      <c r="C12799" s="129" t="s">
        <v>12346</v>
      </c>
      <c r="D12799" s="5">
        <v>513300</v>
      </c>
      <c r="E12799" s="5" t="s">
        <v>15038</v>
      </c>
    </row>
    <row r="12800" spans="2:5">
      <c r="B12800" s="4" t="s">
        <v>12345</v>
      </c>
      <c r="C12800" s="129" t="s">
        <v>12346</v>
      </c>
      <c r="D12800" s="5">
        <v>513321</v>
      </c>
      <c r="E12800" s="5" t="s">
        <v>15039</v>
      </c>
    </row>
    <row r="12801" spans="2:5">
      <c r="B12801" s="4" t="s">
        <v>12345</v>
      </c>
      <c r="C12801" s="129" t="s">
        <v>12346</v>
      </c>
      <c r="D12801" s="5">
        <v>513322</v>
      </c>
      <c r="E12801" s="5" t="s">
        <v>15040</v>
      </c>
    </row>
    <row r="12802" spans="2:5">
      <c r="B12802" s="4" t="s">
        <v>12345</v>
      </c>
      <c r="C12802" s="129" t="s">
        <v>12346</v>
      </c>
      <c r="D12802" s="5">
        <v>513323</v>
      </c>
      <c r="E12802" s="5" t="s">
        <v>15041</v>
      </c>
    </row>
    <row r="12803" spans="2:5">
      <c r="B12803" s="4" t="s">
        <v>12345</v>
      </c>
      <c r="C12803" s="129" t="s">
        <v>12346</v>
      </c>
      <c r="D12803" s="5">
        <v>513324</v>
      </c>
      <c r="E12803" s="5" t="s">
        <v>15042</v>
      </c>
    </row>
    <row r="12804" spans="2:5">
      <c r="B12804" s="4" t="s">
        <v>12345</v>
      </c>
      <c r="C12804" s="129" t="s">
        <v>12346</v>
      </c>
      <c r="D12804" s="5">
        <v>513325</v>
      </c>
      <c r="E12804" s="5" t="s">
        <v>15043</v>
      </c>
    </row>
    <row r="12805" spans="2:5">
      <c r="B12805" s="4" t="s">
        <v>12345</v>
      </c>
      <c r="C12805" s="129" t="s">
        <v>12346</v>
      </c>
      <c r="D12805" s="5">
        <v>513326</v>
      </c>
      <c r="E12805" s="5" t="s">
        <v>15044</v>
      </c>
    </row>
    <row r="12806" spans="2:5">
      <c r="B12806" s="4" t="s">
        <v>12345</v>
      </c>
      <c r="C12806" s="129" t="s">
        <v>12346</v>
      </c>
      <c r="D12806" s="5">
        <v>513327</v>
      </c>
      <c r="E12806" s="5" t="s">
        <v>15045</v>
      </c>
    </row>
    <row r="12807" spans="2:5">
      <c r="B12807" s="4" t="s">
        <v>12345</v>
      </c>
      <c r="C12807" s="129" t="s">
        <v>12346</v>
      </c>
      <c r="D12807" s="5">
        <v>513328</v>
      </c>
      <c r="E12807" s="5" t="s">
        <v>15046</v>
      </c>
    </row>
    <row r="12808" spans="2:5">
      <c r="B12808" s="4" t="s">
        <v>12345</v>
      </c>
      <c r="C12808" s="129" t="s">
        <v>12346</v>
      </c>
      <c r="D12808" s="5">
        <v>513329</v>
      </c>
      <c r="E12808" s="5" t="s">
        <v>15047</v>
      </c>
    </row>
    <row r="12809" spans="2:5">
      <c r="B12809" s="4" t="s">
        <v>12345</v>
      </c>
      <c r="C12809" s="129" t="s">
        <v>12346</v>
      </c>
      <c r="D12809" s="5">
        <v>513330</v>
      </c>
      <c r="E12809" s="5" t="s">
        <v>15048</v>
      </c>
    </row>
    <row r="12810" spans="2:5">
      <c r="B12810" s="4" t="s">
        <v>12345</v>
      </c>
      <c r="C12810" s="129" t="s">
        <v>12346</v>
      </c>
      <c r="D12810" s="5">
        <v>513331</v>
      </c>
      <c r="E12810" s="5" t="s">
        <v>15049</v>
      </c>
    </row>
    <row r="12811" spans="2:5">
      <c r="B12811" s="4" t="s">
        <v>12345</v>
      </c>
      <c r="C12811" s="129" t="s">
        <v>12346</v>
      </c>
      <c r="D12811" s="5">
        <v>513332</v>
      </c>
      <c r="E12811" s="5" t="s">
        <v>15050</v>
      </c>
    </row>
    <row r="12812" spans="2:5">
      <c r="B12812" s="4" t="s">
        <v>12345</v>
      </c>
      <c r="C12812" s="129" t="s">
        <v>12346</v>
      </c>
      <c r="D12812" s="5">
        <v>513333</v>
      </c>
      <c r="E12812" s="5" t="s">
        <v>15051</v>
      </c>
    </row>
    <row r="12813" spans="2:5">
      <c r="B12813" s="4" t="s">
        <v>12345</v>
      </c>
      <c r="C12813" s="129" t="s">
        <v>12346</v>
      </c>
      <c r="D12813" s="5">
        <v>513334</v>
      </c>
      <c r="E12813" s="5" t="s">
        <v>15052</v>
      </c>
    </row>
    <row r="12814" spans="2:5">
      <c r="B12814" s="4" t="s">
        <v>12345</v>
      </c>
      <c r="C12814" s="129" t="s">
        <v>12346</v>
      </c>
      <c r="D12814" s="5">
        <v>513335</v>
      </c>
      <c r="E12814" s="5" t="s">
        <v>15053</v>
      </c>
    </row>
    <row r="12815" spans="2:5">
      <c r="B12815" s="4" t="s">
        <v>12345</v>
      </c>
      <c r="C12815" s="129" t="s">
        <v>12346</v>
      </c>
      <c r="D12815" s="5">
        <v>513336</v>
      </c>
      <c r="E12815" s="5" t="s">
        <v>15054</v>
      </c>
    </row>
    <row r="12816" spans="2:5">
      <c r="B12816" s="4" t="s">
        <v>12345</v>
      </c>
      <c r="C12816" s="129" t="s">
        <v>12346</v>
      </c>
      <c r="D12816" s="5">
        <v>513337</v>
      </c>
      <c r="E12816" s="5" t="s">
        <v>15055</v>
      </c>
    </row>
    <row r="12817" spans="2:5">
      <c r="B12817" s="4" t="s">
        <v>12345</v>
      </c>
      <c r="C12817" s="129" t="s">
        <v>12346</v>
      </c>
      <c r="D12817" s="5">
        <v>513338</v>
      </c>
      <c r="E12817" s="5" t="s">
        <v>15056</v>
      </c>
    </row>
    <row r="12818" spans="2:5">
      <c r="B12818" s="4" t="s">
        <v>12345</v>
      </c>
      <c r="C12818" s="129" t="s">
        <v>12346</v>
      </c>
      <c r="D12818" s="5">
        <v>513400</v>
      </c>
      <c r="E12818" s="5" t="s">
        <v>15057</v>
      </c>
    </row>
    <row r="12819" spans="2:5">
      <c r="B12819" s="4" t="s">
        <v>12345</v>
      </c>
      <c r="C12819" s="129" t="s">
        <v>12346</v>
      </c>
      <c r="D12819" s="5">
        <v>513401</v>
      </c>
      <c r="E12819" s="5" t="s">
        <v>15058</v>
      </c>
    </row>
    <row r="12820" spans="2:5">
      <c r="B12820" s="4" t="s">
        <v>12345</v>
      </c>
      <c r="C12820" s="129" t="s">
        <v>12346</v>
      </c>
      <c r="D12820" s="5">
        <v>513422</v>
      </c>
      <c r="E12820" s="5" t="s">
        <v>15059</v>
      </c>
    </row>
    <row r="12821" spans="2:5">
      <c r="B12821" s="4" t="s">
        <v>12345</v>
      </c>
      <c r="C12821" s="129" t="s">
        <v>12346</v>
      </c>
      <c r="D12821" s="5">
        <v>513423</v>
      </c>
      <c r="E12821" s="5" t="s">
        <v>15060</v>
      </c>
    </row>
    <row r="12822" spans="2:5">
      <c r="B12822" s="4" t="s">
        <v>12345</v>
      </c>
      <c r="C12822" s="129" t="s">
        <v>12346</v>
      </c>
      <c r="D12822" s="5">
        <v>513424</v>
      </c>
      <c r="E12822" s="5" t="s">
        <v>15061</v>
      </c>
    </row>
    <row r="12823" spans="2:5">
      <c r="B12823" s="4" t="s">
        <v>12345</v>
      </c>
      <c r="C12823" s="129" t="s">
        <v>12346</v>
      </c>
      <c r="D12823" s="5">
        <v>513425</v>
      </c>
      <c r="E12823" s="5" t="s">
        <v>15062</v>
      </c>
    </row>
    <row r="12824" spans="2:5">
      <c r="B12824" s="4" t="s">
        <v>12345</v>
      </c>
      <c r="C12824" s="129" t="s">
        <v>12346</v>
      </c>
      <c r="D12824" s="5">
        <v>513426</v>
      </c>
      <c r="E12824" s="5" t="s">
        <v>15063</v>
      </c>
    </row>
    <row r="12825" spans="2:5">
      <c r="B12825" s="4" t="s">
        <v>12345</v>
      </c>
      <c r="C12825" s="129" t="s">
        <v>12346</v>
      </c>
      <c r="D12825" s="5">
        <v>513427</v>
      </c>
      <c r="E12825" s="5" t="s">
        <v>15064</v>
      </c>
    </row>
    <row r="12826" spans="2:5">
      <c r="B12826" s="4" t="s">
        <v>12345</v>
      </c>
      <c r="C12826" s="129" t="s">
        <v>12346</v>
      </c>
      <c r="D12826" s="5">
        <v>513428</v>
      </c>
      <c r="E12826" s="5" t="s">
        <v>15065</v>
      </c>
    </row>
    <row r="12827" spans="2:5">
      <c r="B12827" s="4" t="s">
        <v>12345</v>
      </c>
      <c r="C12827" s="129" t="s">
        <v>12346</v>
      </c>
      <c r="D12827" s="5">
        <v>513429</v>
      </c>
      <c r="E12827" s="5" t="s">
        <v>15066</v>
      </c>
    </row>
    <row r="12828" spans="2:5">
      <c r="B12828" s="4" t="s">
        <v>12345</v>
      </c>
      <c r="C12828" s="129" t="s">
        <v>12346</v>
      </c>
      <c r="D12828" s="5">
        <v>513430</v>
      </c>
      <c r="E12828" s="5" t="s">
        <v>15067</v>
      </c>
    </row>
    <row r="12829" spans="2:5">
      <c r="B12829" s="4" t="s">
        <v>12345</v>
      </c>
      <c r="C12829" s="129" t="s">
        <v>12346</v>
      </c>
      <c r="D12829" s="5">
        <v>513431</v>
      </c>
      <c r="E12829" s="5" t="s">
        <v>15068</v>
      </c>
    </row>
    <row r="12830" spans="2:5">
      <c r="B12830" s="4" t="s">
        <v>12345</v>
      </c>
      <c r="C12830" s="129" t="s">
        <v>12346</v>
      </c>
      <c r="D12830" s="5">
        <v>513432</v>
      </c>
      <c r="E12830" s="5" t="s">
        <v>15069</v>
      </c>
    </row>
    <row r="12831" spans="2:5">
      <c r="B12831" s="4" t="s">
        <v>12345</v>
      </c>
      <c r="C12831" s="129" t="s">
        <v>12346</v>
      </c>
      <c r="D12831" s="5">
        <v>513433</v>
      </c>
      <c r="E12831" s="5" t="s">
        <v>15070</v>
      </c>
    </row>
    <row r="12832" spans="2:5">
      <c r="B12832" s="4" t="s">
        <v>12345</v>
      </c>
      <c r="C12832" s="129" t="s">
        <v>12346</v>
      </c>
      <c r="D12832" s="5">
        <v>513434</v>
      </c>
      <c r="E12832" s="5" t="s">
        <v>15071</v>
      </c>
    </row>
    <row r="12833" spans="2:5">
      <c r="B12833" s="4" t="s">
        <v>12345</v>
      </c>
      <c r="C12833" s="129" t="s">
        <v>12346</v>
      </c>
      <c r="D12833" s="5">
        <v>513435</v>
      </c>
      <c r="E12833" s="5" t="s">
        <v>15072</v>
      </c>
    </row>
    <row r="12834" spans="2:5">
      <c r="B12834" s="4" t="s">
        <v>12345</v>
      </c>
      <c r="C12834" s="129" t="s">
        <v>12346</v>
      </c>
      <c r="D12834" s="5">
        <v>513436</v>
      </c>
      <c r="E12834" s="5" t="s">
        <v>15073</v>
      </c>
    </row>
    <row r="12835" spans="2:5">
      <c r="B12835" s="4" t="s">
        <v>12345</v>
      </c>
      <c r="C12835" s="129" t="s">
        <v>12346</v>
      </c>
      <c r="D12835" s="5">
        <v>513437</v>
      </c>
      <c r="E12835" s="5" t="s">
        <v>15074</v>
      </c>
    </row>
    <row r="12836" spans="2:5">
      <c r="B12836" s="4" t="s">
        <v>12345</v>
      </c>
      <c r="C12836" s="129" t="s">
        <v>12346</v>
      </c>
      <c r="D12836" s="5">
        <v>520000</v>
      </c>
      <c r="E12836" s="5" t="s">
        <v>15075</v>
      </c>
    </row>
    <row r="12837" spans="2:5">
      <c r="B12837" s="4" t="s">
        <v>12345</v>
      </c>
      <c r="C12837" s="129" t="s">
        <v>12346</v>
      </c>
      <c r="D12837" s="5">
        <v>520100</v>
      </c>
      <c r="E12837" s="5" t="s">
        <v>15076</v>
      </c>
    </row>
    <row r="12838" spans="2:5">
      <c r="B12838" s="4" t="s">
        <v>12345</v>
      </c>
      <c r="C12838" s="129" t="s">
        <v>12346</v>
      </c>
      <c r="D12838" s="5">
        <v>520101</v>
      </c>
      <c r="E12838" s="5" t="s">
        <v>15077</v>
      </c>
    </row>
    <row r="12839" spans="2:5">
      <c r="B12839" s="4" t="s">
        <v>12345</v>
      </c>
      <c r="C12839" s="129" t="s">
        <v>12346</v>
      </c>
      <c r="D12839" s="5">
        <v>520102</v>
      </c>
      <c r="E12839" s="5" t="s">
        <v>15078</v>
      </c>
    </row>
    <row r="12840" spans="2:5">
      <c r="B12840" s="4" t="s">
        <v>12345</v>
      </c>
      <c r="C12840" s="129" t="s">
        <v>12346</v>
      </c>
      <c r="D12840" s="5">
        <v>520103</v>
      </c>
      <c r="E12840" s="5" t="s">
        <v>15079</v>
      </c>
    </row>
    <row r="12841" spans="2:5">
      <c r="B12841" s="4" t="s">
        <v>12345</v>
      </c>
      <c r="C12841" s="129" t="s">
        <v>12346</v>
      </c>
      <c r="D12841" s="5">
        <v>520111</v>
      </c>
      <c r="E12841" s="5" t="s">
        <v>15080</v>
      </c>
    </row>
    <row r="12842" spans="2:5">
      <c r="B12842" s="4" t="s">
        <v>12345</v>
      </c>
      <c r="C12842" s="129" t="s">
        <v>12346</v>
      </c>
      <c r="D12842" s="5">
        <v>520112</v>
      </c>
      <c r="E12842" s="5" t="s">
        <v>15081</v>
      </c>
    </row>
    <row r="12843" spans="2:5">
      <c r="B12843" s="4" t="s">
        <v>12345</v>
      </c>
      <c r="C12843" s="129" t="s">
        <v>12346</v>
      </c>
      <c r="D12843" s="5">
        <v>520113</v>
      </c>
      <c r="E12843" s="5" t="s">
        <v>15082</v>
      </c>
    </row>
    <row r="12844" spans="2:5">
      <c r="B12844" s="4" t="s">
        <v>12345</v>
      </c>
      <c r="C12844" s="129" t="s">
        <v>12346</v>
      </c>
      <c r="D12844" s="5">
        <v>520115</v>
      </c>
      <c r="E12844" s="5" t="s">
        <v>15083</v>
      </c>
    </row>
    <row r="12845" spans="2:5">
      <c r="B12845" s="4" t="s">
        <v>12345</v>
      </c>
      <c r="C12845" s="129" t="s">
        <v>12346</v>
      </c>
      <c r="D12845" s="5">
        <v>520121</v>
      </c>
      <c r="E12845" s="5" t="s">
        <v>15084</v>
      </c>
    </row>
    <row r="12846" spans="2:5">
      <c r="B12846" s="4" t="s">
        <v>12345</v>
      </c>
      <c r="C12846" s="129" t="s">
        <v>12346</v>
      </c>
      <c r="D12846" s="5">
        <v>520122</v>
      </c>
      <c r="E12846" s="5" t="s">
        <v>15085</v>
      </c>
    </row>
    <row r="12847" spans="2:5">
      <c r="B12847" s="4" t="s">
        <v>12345</v>
      </c>
      <c r="C12847" s="129" t="s">
        <v>12346</v>
      </c>
      <c r="D12847" s="5">
        <v>520123</v>
      </c>
      <c r="E12847" s="5" t="s">
        <v>15086</v>
      </c>
    </row>
    <row r="12848" spans="2:5">
      <c r="B12848" s="4" t="s">
        <v>12345</v>
      </c>
      <c r="C12848" s="129" t="s">
        <v>12346</v>
      </c>
      <c r="D12848" s="5">
        <v>520181</v>
      </c>
      <c r="E12848" s="5" t="s">
        <v>15087</v>
      </c>
    </row>
    <row r="12849" spans="2:5">
      <c r="B12849" s="4" t="s">
        <v>12345</v>
      </c>
      <c r="C12849" s="129" t="s">
        <v>12346</v>
      </c>
      <c r="D12849" s="5">
        <v>520200</v>
      </c>
      <c r="E12849" s="5" t="s">
        <v>15088</v>
      </c>
    </row>
    <row r="12850" spans="2:5">
      <c r="B12850" s="4" t="s">
        <v>12345</v>
      </c>
      <c r="C12850" s="129" t="s">
        <v>12346</v>
      </c>
      <c r="D12850" s="5">
        <v>520201</v>
      </c>
      <c r="E12850" s="5" t="s">
        <v>15089</v>
      </c>
    </row>
    <row r="12851" spans="2:5">
      <c r="B12851" s="4" t="s">
        <v>12345</v>
      </c>
      <c r="C12851" s="129" t="s">
        <v>12346</v>
      </c>
      <c r="D12851" s="5">
        <v>520203</v>
      </c>
      <c r="E12851" s="5" t="s">
        <v>15090</v>
      </c>
    </row>
    <row r="12852" spans="2:5">
      <c r="B12852" s="4" t="s">
        <v>12345</v>
      </c>
      <c r="C12852" s="129" t="s">
        <v>12346</v>
      </c>
      <c r="D12852" s="5">
        <v>520221</v>
      </c>
      <c r="E12852" s="5" t="s">
        <v>15091</v>
      </c>
    </row>
    <row r="12853" spans="2:5">
      <c r="B12853" s="4" t="s">
        <v>12345</v>
      </c>
      <c r="C12853" s="129" t="s">
        <v>12346</v>
      </c>
      <c r="D12853" s="5">
        <v>520222</v>
      </c>
      <c r="E12853" s="5" t="s">
        <v>15092</v>
      </c>
    </row>
    <row r="12854" spans="2:5">
      <c r="B12854" s="4" t="s">
        <v>12345</v>
      </c>
      <c r="C12854" s="129" t="s">
        <v>12346</v>
      </c>
      <c r="D12854" s="5">
        <v>520300</v>
      </c>
      <c r="E12854" s="5" t="s">
        <v>15093</v>
      </c>
    </row>
    <row r="12855" spans="2:5">
      <c r="B12855" s="4" t="s">
        <v>12345</v>
      </c>
      <c r="C12855" s="129" t="s">
        <v>12346</v>
      </c>
      <c r="D12855" s="5">
        <v>520301</v>
      </c>
      <c r="E12855" s="5" t="s">
        <v>15094</v>
      </c>
    </row>
    <row r="12856" spans="2:5">
      <c r="B12856" s="4" t="s">
        <v>12345</v>
      </c>
      <c r="C12856" s="129" t="s">
        <v>12346</v>
      </c>
      <c r="D12856" s="5">
        <v>520302</v>
      </c>
      <c r="E12856" s="5" t="s">
        <v>15095</v>
      </c>
    </row>
    <row r="12857" spans="2:5">
      <c r="B12857" s="4" t="s">
        <v>12345</v>
      </c>
      <c r="C12857" s="129" t="s">
        <v>12346</v>
      </c>
      <c r="D12857" s="5">
        <v>520303</v>
      </c>
      <c r="E12857" s="5" t="s">
        <v>15096</v>
      </c>
    </row>
    <row r="12858" spans="2:5">
      <c r="B12858" s="4" t="s">
        <v>12345</v>
      </c>
      <c r="C12858" s="129" t="s">
        <v>12346</v>
      </c>
      <c r="D12858" s="5">
        <v>520321</v>
      </c>
      <c r="E12858" s="5" t="s">
        <v>15097</v>
      </c>
    </row>
    <row r="12859" spans="2:5">
      <c r="B12859" s="4" t="s">
        <v>12345</v>
      </c>
      <c r="C12859" s="129" t="s">
        <v>12346</v>
      </c>
      <c r="D12859" s="5">
        <v>520322</v>
      </c>
      <c r="E12859" s="5" t="s">
        <v>15098</v>
      </c>
    </row>
    <row r="12860" spans="2:5">
      <c r="B12860" s="4" t="s">
        <v>12345</v>
      </c>
      <c r="C12860" s="129" t="s">
        <v>12346</v>
      </c>
      <c r="D12860" s="5">
        <v>520323</v>
      </c>
      <c r="E12860" s="5" t="s">
        <v>15099</v>
      </c>
    </row>
    <row r="12861" spans="2:5">
      <c r="B12861" s="4" t="s">
        <v>12345</v>
      </c>
      <c r="C12861" s="129" t="s">
        <v>12346</v>
      </c>
      <c r="D12861" s="5">
        <v>520324</v>
      </c>
      <c r="E12861" s="5" t="s">
        <v>15100</v>
      </c>
    </row>
    <row r="12862" spans="2:5">
      <c r="B12862" s="4" t="s">
        <v>12345</v>
      </c>
      <c r="C12862" s="129" t="s">
        <v>12346</v>
      </c>
      <c r="D12862" s="5">
        <v>520325</v>
      </c>
      <c r="E12862" s="5" t="s">
        <v>15101</v>
      </c>
    </row>
    <row r="12863" spans="2:5">
      <c r="B12863" s="4" t="s">
        <v>12345</v>
      </c>
      <c r="C12863" s="129" t="s">
        <v>12346</v>
      </c>
      <c r="D12863" s="5">
        <v>520326</v>
      </c>
      <c r="E12863" s="5" t="s">
        <v>15102</v>
      </c>
    </row>
    <row r="12864" spans="2:5">
      <c r="B12864" s="4" t="s">
        <v>12345</v>
      </c>
      <c r="C12864" s="129" t="s">
        <v>12346</v>
      </c>
      <c r="D12864" s="5">
        <v>520327</v>
      </c>
      <c r="E12864" s="5" t="s">
        <v>15103</v>
      </c>
    </row>
    <row r="12865" spans="2:5">
      <c r="B12865" s="4" t="s">
        <v>12345</v>
      </c>
      <c r="C12865" s="129" t="s">
        <v>12346</v>
      </c>
      <c r="D12865" s="5">
        <v>520328</v>
      </c>
      <c r="E12865" s="5" t="s">
        <v>15104</v>
      </c>
    </row>
    <row r="12866" spans="2:5">
      <c r="B12866" s="4" t="s">
        <v>12345</v>
      </c>
      <c r="C12866" s="129" t="s">
        <v>12346</v>
      </c>
      <c r="D12866" s="5">
        <v>520329</v>
      </c>
      <c r="E12866" s="5" t="s">
        <v>15105</v>
      </c>
    </row>
    <row r="12867" spans="2:5">
      <c r="B12867" s="4" t="s">
        <v>12345</v>
      </c>
      <c r="C12867" s="129" t="s">
        <v>12346</v>
      </c>
      <c r="D12867" s="5">
        <v>520330</v>
      </c>
      <c r="E12867" s="5" t="s">
        <v>15106</v>
      </c>
    </row>
    <row r="12868" spans="2:5">
      <c r="B12868" s="4" t="s">
        <v>12345</v>
      </c>
      <c r="C12868" s="129" t="s">
        <v>12346</v>
      </c>
      <c r="D12868" s="5">
        <v>520381</v>
      </c>
      <c r="E12868" s="5" t="s">
        <v>15107</v>
      </c>
    </row>
    <row r="12869" spans="2:5">
      <c r="B12869" s="4" t="s">
        <v>12345</v>
      </c>
      <c r="C12869" s="129" t="s">
        <v>12346</v>
      </c>
      <c r="D12869" s="5">
        <v>520382</v>
      </c>
      <c r="E12869" s="5" t="s">
        <v>15108</v>
      </c>
    </row>
    <row r="12870" spans="2:5">
      <c r="B12870" s="4" t="s">
        <v>12345</v>
      </c>
      <c r="C12870" s="129" t="s">
        <v>12346</v>
      </c>
      <c r="D12870" s="5">
        <v>520400</v>
      </c>
      <c r="E12870" s="5" t="s">
        <v>15109</v>
      </c>
    </row>
    <row r="12871" spans="2:5">
      <c r="B12871" s="4" t="s">
        <v>12345</v>
      </c>
      <c r="C12871" s="129" t="s">
        <v>12346</v>
      </c>
      <c r="D12871" s="5">
        <v>520401</v>
      </c>
      <c r="E12871" s="5" t="s">
        <v>15110</v>
      </c>
    </row>
    <row r="12872" spans="2:5">
      <c r="B12872" s="4" t="s">
        <v>12345</v>
      </c>
      <c r="C12872" s="129" t="s">
        <v>12346</v>
      </c>
      <c r="D12872" s="5">
        <v>520402</v>
      </c>
      <c r="E12872" s="5" t="s">
        <v>15111</v>
      </c>
    </row>
    <row r="12873" spans="2:5">
      <c r="B12873" s="4" t="s">
        <v>12345</v>
      </c>
      <c r="C12873" s="129" t="s">
        <v>12346</v>
      </c>
      <c r="D12873" s="5">
        <v>520421</v>
      </c>
      <c r="E12873" s="5" t="s">
        <v>15112</v>
      </c>
    </row>
    <row r="12874" spans="2:5">
      <c r="B12874" s="4" t="s">
        <v>12345</v>
      </c>
      <c r="C12874" s="129" t="s">
        <v>12346</v>
      </c>
      <c r="D12874" s="5">
        <v>520422</v>
      </c>
      <c r="E12874" s="5" t="s">
        <v>15113</v>
      </c>
    </row>
    <row r="12875" spans="2:5">
      <c r="B12875" s="4" t="s">
        <v>12345</v>
      </c>
      <c r="C12875" s="129" t="s">
        <v>12346</v>
      </c>
      <c r="D12875" s="5">
        <v>520423</v>
      </c>
      <c r="E12875" s="5" t="s">
        <v>15114</v>
      </c>
    </row>
    <row r="12876" spans="2:5">
      <c r="B12876" s="4" t="s">
        <v>12345</v>
      </c>
      <c r="C12876" s="129" t="s">
        <v>12346</v>
      </c>
      <c r="D12876" s="5">
        <v>520424</v>
      </c>
      <c r="E12876" s="5" t="s">
        <v>15115</v>
      </c>
    </row>
    <row r="12877" spans="2:5">
      <c r="B12877" s="4" t="s">
        <v>12345</v>
      </c>
      <c r="C12877" s="129" t="s">
        <v>12346</v>
      </c>
      <c r="D12877" s="5">
        <v>520425</v>
      </c>
      <c r="E12877" s="5" t="s">
        <v>15116</v>
      </c>
    </row>
    <row r="12878" spans="2:5">
      <c r="B12878" s="4" t="s">
        <v>12345</v>
      </c>
      <c r="C12878" s="129" t="s">
        <v>12346</v>
      </c>
      <c r="D12878" s="5">
        <v>520500</v>
      </c>
      <c r="E12878" s="5" t="s">
        <v>15117</v>
      </c>
    </row>
    <row r="12879" spans="2:5">
      <c r="B12879" s="4" t="s">
        <v>12345</v>
      </c>
      <c r="C12879" s="129" t="s">
        <v>12346</v>
      </c>
      <c r="D12879" s="5">
        <v>520501</v>
      </c>
      <c r="E12879" s="5" t="s">
        <v>15118</v>
      </c>
    </row>
    <row r="12880" spans="2:5">
      <c r="B12880" s="4" t="s">
        <v>12345</v>
      </c>
      <c r="C12880" s="129" t="s">
        <v>12346</v>
      </c>
      <c r="D12880" s="5">
        <v>520502</v>
      </c>
      <c r="E12880" s="5" t="s">
        <v>15119</v>
      </c>
    </row>
    <row r="12881" spans="2:5">
      <c r="B12881" s="4" t="s">
        <v>12345</v>
      </c>
      <c r="C12881" s="129" t="s">
        <v>12346</v>
      </c>
      <c r="D12881" s="5">
        <v>520521</v>
      </c>
      <c r="E12881" s="5" t="s">
        <v>15120</v>
      </c>
    </row>
    <row r="12882" spans="2:5">
      <c r="B12882" s="4" t="s">
        <v>12345</v>
      </c>
      <c r="C12882" s="129" t="s">
        <v>12346</v>
      </c>
      <c r="D12882" s="5">
        <v>520522</v>
      </c>
      <c r="E12882" s="5" t="s">
        <v>15121</v>
      </c>
    </row>
    <row r="12883" spans="2:5">
      <c r="B12883" s="4" t="s">
        <v>12345</v>
      </c>
      <c r="C12883" s="129" t="s">
        <v>12346</v>
      </c>
      <c r="D12883" s="5">
        <v>520523</v>
      </c>
      <c r="E12883" s="5" t="s">
        <v>15122</v>
      </c>
    </row>
    <row r="12884" spans="2:5">
      <c r="B12884" s="4" t="s">
        <v>12345</v>
      </c>
      <c r="C12884" s="129" t="s">
        <v>12346</v>
      </c>
      <c r="D12884" s="5">
        <v>520524</v>
      </c>
      <c r="E12884" s="5" t="s">
        <v>15123</v>
      </c>
    </row>
    <row r="12885" spans="2:5">
      <c r="B12885" s="4" t="s">
        <v>12345</v>
      </c>
      <c r="C12885" s="129" t="s">
        <v>12346</v>
      </c>
      <c r="D12885" s="5">
        <v>520525</v>
      </c>
      <c r="E12885" s="5" t="s">
        <v>15124</v>
      </c>
    </row>
    <row r="12886" spans="2:5">
      <c r="B12886" s="4" t="s">
        <v>12345</v>
      </c>
      <c r="C12886" s="129" t="s">
        <v>12346</v>
      </c>
      <c r="D12886" s="5">
        <v>520526</v>
      </c>
      <c r="E12886" s="5" t="s">
        <v>15125</v>
      </c>
    </row>
    <row r="12887" spans="2:5">
      <c r="B12887" s="4" t="s">
        <v>12345</v>
      </c>
      <c r="C12887" s="129" t="s">
        <v>12346</v>
      </c>
      <c r="D12887" s="5">
        <v>520527</v>
      </c>
      <c r="E12887" s="5" t="s">
        <v>15126</v>
      </c>
    </row>
    <row r="12888" spans="2:5">
      <c r="B12888" s="4" t="s">
        <v>12345</v>
      </c>
      <c r="C12888" s="129" t="s">
        <v>12346</v>
      </c>
      <c r="D12888" s="5">
        <v>520600</v>
      </c>
      <c r="E12888" s="5" t="s">
        <v>15127</v>
      </c>
    </row>
    <row r="12889" spans="2:5">
      <c r="B12889" s="4" t="s">
        <v>12345</v>
      </c>
      <c r="C12889" s="129" t="s">
        <v>12346</v>
      </c>
      <c r="D12889" s="5">
        <v>520601</v>
      </c>
      <c r="E12889" s="5" t="s">
        <v>15128</v>
      </c>
    </row>
    <row r="12890" spans="2:5">
      <c r="B12890" s="4" t="s">
        <v>12345</v>
      </c>
      <c r="C12890" s="129" t="s">
        <v>12346</v>
      </c>
      <c r="D12890" s="5">
        <v>520602</v>
      </c>
      <c r="E12890" s="5" t="s">
        <v>15129</v>
      </c>
    </row>
    <row r="12891" spans="2:5">
      <c r="B12891" s="4" t="s">
        <v>12345</v>
      </c>
      <c r="C12891" s="129" t="s">
        <v>12346</v>
      </c>
      <c r="D12891" s="5">
        <v>520603</v>
      </c>
      <c r="E12891" s="5" t="s">
        <v>15130</v>
      </c>
    </row>
    <row r="12892" spans="2:5">
      <c r="B12892" s="4" t="s">
        <v>12345</v>
      </c>
      <c r="C12892" s="129" t="s">
        <v>12346</v>
      </c>
      <c r="D12892" s="5">
        <v>520621</v>
      </c>
      <c r="E12892" s="5" t="s">
        <v>15131</v>
      </c>
    </row>
    <row r="12893" spans="2:5">
      <c r="B12893" s="4" t="s">
        <v>12345</v>
      </c>
      <c r="C12893" s="129" t="s">
        <v>12346</v>
      </c>
      <c r="D12893" s="5">
        <v>520622</v>
      </c>
      <c r="E12893" s="5" t="s">
        <v>15132</v>
      </c>
    </row>
    <row r="12894" spans="2:5">
      <c r="B12894" s="4" t="s">
        <v>12345</v>
      </c>
      <c r="C12894" s="129" t="s">
        <v>12346</v>
      </c>
      <c r="D12894" s="5">
        <v>520623</v>
      </c>
      <c r="E12894" s="5" t="s">
        <v>15133</v>
      </c>
    </row>
    <row r="12895" spans="2:5">
      <c r="B12895" s="4" t="s">
        <v>12345</v>
      </c>
      <c r="C12895" s="129" t="s">
        <v>12346</v>
      </c>
      <c r="D12895" s="5">
        <v>520624</v>
      </c>
      <c r="E12895" s="5" t="s">
        <v>15134</v>
      </c>
    </row>
    <row r="12896" spans="2:5">
      <c r="B12896" s="4" t="s">
        <v>12345</v>
      </c>
      <c r="C12896" s="129" t="s">
        <v>12346</v>
      </c>
      <c r="D12896" s="5">
        <v>520625</v>
      </c>
      <c r="E12896" s="5" t="s">
        <v>15135</v>
      </c>
    </row>
    <row r="12897" spans="2:5">
      <c r="B12897" s="4" t="s">
        <v>12345</v>
      </c>
      <c r="C12897" s="129" t="s">
        <v>12346</v>
      </c>
      <c r="D12897" s="5">
        <v>520626</v>
      </c>
      <c r="E12897" s="5" t="s">
        <v>15136</v>
      </c>
    </row>
    <row r="12898" spans="2:5">
      <c r="B12898" s="4" t="s">
        <v>12345</v>
      </c>
      <c r="C12898" s="129" t="s">
        <v>12346</v>
      </c>
      <c r="D12898" s="5">
        <v>520627</v>
      </c>
      <c r="E12898" s="5" t="s">
        <v>15137</v>
      </c>
    </row>
    <row r="12899" spans="2:5">
      <c r="B12899" s="4" t="s">
        <v>12345</v>
      </c>
      <c r="C12899" s="129" t="s">
        <v>12346</v>
      </c>
      <c r="D12899" s="5">
        <v>520628</v>
      </c>
      <c r="E12899" s="5" t="s">
        <v>15138</v>
      </c>
    </row>
    <row r="12900" spans="2:5">
      <c r="B12900" s="4" t="s">
        <v>12345</v>
      </c>
      <c r="C12900" s="129" t="s">
        <v>12346</v>
      </c>
      <c r="D12900" s="5">
        <v>522300</v>
      </c>
      <c r="E12900" s="5" t="s">
        <v>15139</v>
      </c>
    </row>
    <row r="12901" spans="2:5">
      <c r="B12901" s="4" t="s">
        <v>12345</v>
      </c>
      <c r="C12901" s="129" t="s">
        <v>12346</v>
      </c>
      <c r="D12901" s="5">
        <v>522301</v>
      </c>
      <c r="E12901" s="5" t="s">
        <v>15140</v>
      </c>
    </row>
    <row r="12902" spans="2:5">
      <c r="B12902" s="4" t="s">
        <v>12345</v>
      </c>
      <c r="C12902" s="129" t="s">
        <v>12346</v>
      </c>
      <c r="D12902" s="5">
        <v>522322</v>
      </c>
      <c r="E12902" s="5" t="s">
        <v>15141</v>
      </c>
    </row>
    <row r="12903" spans="2:5">
      <c r="B12903" s="4" t="s">
        <v>12345</v>
      </c>
      <c r="C12903" s="129" t="s">
        <v>12346</v>
      </c>
      <c r="D12903" s="5">
        <v>522323</v>
      </c>
      <c r="E12903" s="5" t="s">
        <v>15142</v>
      </c>
    </row>
    <row r="12904" spans="2:5">
      <c r="B12904" s="4" t="s">
        <v>12345</v>
      </c>
      <c r="C12904" s="129" t="s">
        <v>12346</v>
      </c>
      <c r="D12904" s="5">
        <v>522324</v>
      </c>
      <c r="E12904" s="5" t="s">
        <v>15143</v>
      </c>
    </row>
    <row r="12905" spans="2:5">
      <c r="B12905" s="4" t="s">
        <v>12345</v>
      </c>
      <c r="C12905" s="129" t="s">
        <v>12346</v>
      </c>
      <c r="D12905" s="5">
        <v>522325</v>
      </c>
      <c r="E12905" s="5" t="s">
        <v>15144</v>
      </c>
    </row>
    <row r="12906" spans="2:5">
      <c r="B12906" s="4" t="s">
        <v>12345</v>
      </c>
      <c r="C12906" s="129" t="s">
        <v>12346</v>
      </c>
      <c r="D12906" s="5">
        <v>522326</v>
      </c>
      <c r="E12906" s="5" t="s">
        <v>15145</v>
      </c>
    </row>
    <row r="12907" spans="2:5">
      <c r="B12907" s="4" t="s">
        <v>12345</v>
      </c>
      <c r="C12907" s="129" t="s">
        <v>12346</v>
      </c>
      <c r="D12907" s="5">
        <v>522327</v>
      </c>
      <c r="E12907" s="5" t="s">
        <v>15146</v>
      </c>
    </row>
    <row r="12908" spans="2:5">
      <c r="B12908" s="4" t="s">
        <v>12345</v>
      </c>
      <c r="C12908" s="129" t="s">
        <v>12346</v>
      </c>
      <c r="D12908" s="5">
        <v>522328</v>
      </c>
      <c r="E12908" s="5" t="s">
        <v>15147</v>
      </c>
    </row>
    <row r="12909" spans="2:5">
      <c r="B12909" s="4" t="s">
        <v>12345</v>
      </c>
      <c r="C12909" s="129" t="s">
        <v>12346</v>
      </c>
      <c r="D12909" s="5">
        <v>522600</v>
      </c>
      <c r="E12909" s="5" t="s">
        <v>15148</v>
      </c>
    </row>
    <row r="12910" spans="2:5">
      <c r="B12910" s="4" t="s">
        <v>12345</v>
      </c>
      <c r="C12910" s="129" t="s">
        <v>12346</v>
      </c>
      <c r="D12910" s="5">
        <v>522601</v>
      </c>
      <c r="E12910" s="5" t="s">
        <v>15149</v>
      </c>
    </row>
    <row r="12911" spans="2:5">
      <c r="B12911" s="4" t="s">
        <v>12345</v>
      </c>
      <c r="C12911" s="129" t="s">
        <v>12346</v>
      </c>
      <c r="D12911" s="5">
        <v>522622</v>
      </c>
      <c r="E12911" s="5" t="s">
        <v>15150</v>
      </c>
    </row>
    <row r="12912" spans="2:5">
      <c r="B12912" s="4" t="s">
        <v>12345</v>
      </c>
      <c r="C12912" s="129" t="s">
        <v>12346</v>
      </c>
      <c r="D12912" s="5">
        <v>522623</v>
      </c>
      <c r="E12912" s="5" t="s">
        <v>15151</v>
      </c>
    </row>
    <row r="12913" spans="2:5">
      <c r="B12913" s="4" t="s">
        <v>12345</v>
      </c>
      <c r="C12913" s="129" t="s">
        <v>12346</v>
      </c>
      <c r="D12913" s="5">
        <v>522624</v>
      </c>
      <c r="E12913" s="5" t="s">
        <v>15152</v>
      </c>
    </row>
    <row r="12914" spans="2:5">
      <c r="B12914" s="4" t="s">
        <v>12345</v>
      </c>
      <c r="C12914" s="129" t="s">
        <v>12346</v>
      </c>
      <c r="D12914" s="5">
        <v>522625</v>
      </c>
      <c r="E12914" s="5" t="s">
        <v>15153</v>
      </c>
    </row>
    <row r="12915" spans="2:5">
      <c r="B12915" s="4" t="s">
        <v>12345</v>
      </c>
      <c r="C12915" s="129" t="s">
        <v>12346</v>
      </c>
      <c r="D12915" s="5">
        <v>522626</v>
      </c>
      <c r="E12915" s="5" t="s">
        <v>15154</v>
      </c>
    </row>
    <row r="12916" spans="2:5">
      <c r="B12916" s="4" t="s">
        <v>12345</v>
      </c>
      <c r="C12916" s="129" t="s">
        <v>12346</v>
      </c>
      <c r="D12916" s="5">
        <v>522627</v>
      </c>
      <c r="E12916" s="5" t="s">
        <v>15155</v>
      </c>
    </row>
    <row r="12917" spans="2:5">
      <c r="B12917" s="4" t="s">
        <v>12345</v>
      </c>
      <c r="C12917" s="129" t="s">
        <v>12346</v>
      </c>
      <c r="D12917" s="5">
        <v>522628</v>
      </c>
      <c r="E12917" s="5" t="s">
        <v>15156</v>
      </c>
    </row>
    <row r="12918" spans="2:5">
      <c r="B12918" s="4" t="s">
        <v>12345</v>
      </c>
      <c r="C12918" s="129" t="s">
        <v>12346</v>
      </c>
      <c r="D12918" s="5">
        <v>522629</v>
      </c>
      <c r="E12918" s="5" t="s">
        <v>15157</v>
      </c>
    </row>
    <row r="12919" spans="2:5">
      <c r="B12919" s="4" t="s">
        <v>12345</v>
      </c>
      <c r="C12919" s="129" t="s">
        <v>12346</v>
      </c>
      <c r="D12919" s="5">
        <v>522630</v>
      </c>
      <c r="E12919" s="5" t="s">
        <v>15158</v>
      </c>
    </row>
    <row r="12920" spans="2:5">
      <c r="B12920" s="4" t="s">
        <v>12345</v>
      </c>
      <c r="C12920" s="129" t="s">
        <v>12346</v>
      </c>
      <c r="D12920" s="5">
        <v>522631</v>
      </c>
      <c r="E12920" s="5" t="s">
        <v>15159</v>
      </c>
    </row>
    <row r="12921" spans="2:5">
      <c r="B12921" s="4" t="s">
        <v>12345</v>
      </c>
      <c r="C12921" s="129" t="s">
        <v>12346</v>
      </c>
      <c r="D12921" s="5">
        <v>522632</v>
      </c>
      <c r="E12921" s="5" t="s">
        <v>15160</v>
      </c>
    </row>
    <row r="12922" spans="2:5">
      <c r="B12922" s="4" t="s">
        <v>12345</v>
      </c>
      <c r="C12922" s="129" t="s">
        <v>12346</v>
      </c>
      <c r="D12922" s="5">
        <v>522633</v>
      </c>
      <c r="E12922" s="5" t="s">
        <v>15161</v>
      </c>
    </row>
    <row r="12923" spans="2:5">
      <c r="B12923" s="4" t="s">
        <v>12345</v>
      </c>
      <c r="C12923" s="129" t="s">
        <v>12346</v>
      </c>
      <c r="D12923" s="5">
        <v>522634</v>
      </c>
      <c r="E12923" s="5" t="s">
        <v>15162</v>
      </c>
    </row>
    <row r="12924" spans="2:5">
      <c r="B12924" s="4" t="s">
        <v>12345</v>
      </c>
      <c r="C12924" s="129" t="s">
        <v>12346</v>
      </c>
      <c r="D12924" s="5">
        <v>522635</v>
      </c>
      <c r="E12924" s="5" t="s">
        <v>15163</v>
      </c>
    </row>
    <row r="12925" spans="2:5">
      <c r="B12925" s="4" t="s">
        <v>12345</v>
      </c>
      <c r="C12925" s="129" t="s">
        <v>12346</v>
      </c>
      <c r="D12925" s="5">
        <v>522636</v>
      </c>
      <c r="E12925" s="5" t="s">
        <v>15164</v>
      </c>
    </row>
    <row r="12926" spans="2:5">
      <c r="B12926" s="4" t="s">
        <v>12345</v>
      </c>
      <c r="C12926" s="129" t="s">
        <v>12346</v>
      </c>
      <c r="D12926" s="5">
        <v>522700</v>
      </c>
      <c r="E12926" s="5" t="s">
        <v>15165</v>
      </c>
    </row>
    <row r="12927" spans="2:5">
      <c r="B12927" s="4" t="s">
        <v>12345</v>
      </c>
      <c r="C12927" s="129" t="s">
        <v>12346</v>
      </c>
      <c r="D12927" s="5">
        <v>522701</v>
      </c>
      <c r="E12927" s="5" t="s">
        <v>15166</v>
      </c>
    </row>
    <row r="12928" spans="2:5">
      <c r="B12928" s="4" t="s">
        <v>12345</v>
      </c>
      <c r="C12928" s="129" t="s">
        <v>12346</v>
      </c>
      <c r="D12928" s="5">
        <v>522702</v>
      </c>
      <c r="E12928" s="5" t="s">
        <v>15167</v>
      </c>
    </row>
    <row r="12929" spans="2:5">
      <c r="B12929" s="4" t="s">
        <v>12345</v>
      </c>
      <c r="C12929" s="129" t="s">
        <v>12346</v>
      </c>
      <c r="D12929" s="5">
        <v>522722</v>
      </c>
      <c r="E12929" s="5" t="s">
        <v>15168</v>
      </c>
    </row>
    <row r="12930" spans="2:5">
      <c r="B12930" s="4" t="s">
        <v>12345</v>
      </c>
      <c r="C12930" s="129" t="s">
        <v>12346</v>
      </c>
      <c r="D12930" s="5">
        <v>522723</v>
      </c>
      <c r="E12930" s="5" t="s">
        <v>15169</v>
      </c>
    </row>
    <row r="12931" spans="2:5">
      <c r="B12931" s="4" t="s">
        <v>12345</v>
      </c>
      <c r="C12931" s="129" t="s">
        <v>12346</v>
      </c>
      <c r="D12931" s="5">
        <v>522725</v>
      </c>
      <c r="E12931" s="5" t="s">
        <v>15170</v>
      </c>
    </row>
    <row r="12932" spans="2:5">
      <c r="B12932" s="4" t="s">
        <v>12345</v>
      </c>
      <c r="C12932" s="129" t="s">
        <v>12346</v>
      </c>
      <c r="D12932" s="5">
        <v>522726</v>
      </c>
      <c r="E12932" s="5" t="s">
        <v>15171</v>
      </c>
    </row>
    <row r="12933" spans="2:5">
      <c r="B12933" s="4" t="s">
        <v>12345</v>
      </c>
      <c r="C12933" s="129" t="s">
        <v>12346</v>
      </c>
      <c r="D12933" s="5">
        <v>522727</v>
      </c>
      <c r="E12933" s="5" t="s">
        <v>15172</v>
      </c>
    </row>
    <row r="12934" spans="2:5">
      <c r="B12934" s="4" t="s">
        <v>12345</v>
      </c>
      <c r="C12934" s="129" t="s">
        <v>12346</v>
      </c>
      <c r="D12934" s="5">
        <v>522728</v>
      </c>
      <c r="E12934" s="5" t="s">
        <v>15173</v>
      </c>
    </row>
    <row r="12935" spans="2:5">
      <c r="B12935" s="4" t="s">
        <v>12345</v>
      </c>
      <c r="C12935" s="129" t="s">
        <v>12346</v>
      </c>
      <c r="D12935" s="5">
        <v>522729</v>
      </c>
      <c r="E12935" s="5" t="s">
        <v>15174</v>
      </c>
    </row>
    <row r="12936" spans="2:5">
      <c r="B12936" s="4" t="s">
        <v>12345</v>
      </c>
      <c r="C12936" s="129" t="s">
        <v>12346</v>
      </c>
      <c r="D12936" s="5">
        <v>522730</v>
      </c>
      <c r="E12936" s="5" t="s">
        <v>15175</v>
      </c>
    </row>
    <row r="12937" spans="2:5">
      <c r="B12937" s="4" t="s">
        <v>12345</v>
      </c>
      <c r="C12937" s="129" t="s">
        <v>12346</v>
      </c>
      <c r="D12937" s="5">
        <v>522731</v>
      </c>
      <c r="E12937" s="5" t="s">
        <v>15176</v>
      </c>
    </row>
    <row r="12938" spans="2:5">
      <c r="B12938" s="4" t="s">
        <v>12345</v>
      </c>
      <c r="C12938" s="129" t="s">
        <v>12346</v>
      </c>
      <c r="D12938" s="5">
        <v>522732</v>
      </c>
      <c r="E12938" s="5" t="s">
        <v>15177</v>
      </c>
    </row>
    <row r="12939" spans="2:5">
      <c r="B12939" s="4" t="s">
        <v>12345</v>
      </c>
      <c r="C12939" s="129" t="s">
        <v>12346</v>
      </c>
      <c r="D12939" s="5">
        <v>530000</v>
      </c>
      <c r="E12939" s="5" t="s">
        <v>15178</v>
      </c>
    </row>
    <row r="12940" spans="2:5">
      <c r="B12940" s="4" t="s">
        <v>12345</v>
      </c>
      <c r="C12940" s="129" t="s">
        <v>12346</v>
      </c>
      <c r="D12940" s="5">
        <v>530100</v>
      </c>
      <c r="E12940" s="5" t="s">
        <v>15179</v>
      </c>
    </row>
    <row r="12941" spans="2:5">
      <c r="B12941" s="4" t="s">
        <v>12345</v>
      </c>
      <c r="C12941" s="129" t="s">
        <v>12346</v>
      </c>
      <c r="D12941" s="5">
        <v>530101</v>
      </c>
      <c r="E12941" s="5" t="s">
        <v>15180</v>
      </c>
    </row>
    <row r="12942" spans="2:5">
      <c r="B12942" s="4" t="s">
        <v>12345</v>
      </c>
      <c r="C12942" s="129" t="s">
        <v>12346</v>
      </c>
      <c r="D12942" s="5">
        <v>530102</v>
      </c>
      <c r="E12942" s="5" t="s">
        <v>15181</v>
      </c>
    </row>
    <row r="12943" spans="2:5">
      <c r="B12943" s="4" t="s">
        <v>12345</v>
      </c>
      <c r="C12943" s="129" t="s">
        <v>12346</v>
      </c>
      <c r="D12943" s="5">
        <v>530103</v>
      </c>
      <c r="E12943" s="5" t="s">
        <v>15182</v>
      </c>
    </row>
    <row r="12944" spans="2:5">
      <c r="B12944" s="4" t="s">
        <v>12345</v>
      </c>
      <c r="C12944" s="129" t="s">
        <v>12346</v>
      </c>
      <c r="D12944" s="5">
        <v>530111</v>
      </c>
      <c r="E12944" s="5" t="s">
        <v>15183</v>
      </c>
    </row>
    <row r="12945" spans="2:5">
      <c r="B12945" s="4" t="s">
        <v>12345</v>
      </c>
      <c r="C12945" s="129" t="s">
        <v>12346</v>
      </c>
      <c r="D12945" s="5">
        <v>530112</v>
      </c>
      <c r="E12945" s="5" t="s">
        <v>15184</v>
      </c>
    </row>
    <row r="12946" spans="2:5">
      <c r="B12946" s="4" t="s">
        <v>12345</v>
      </c>
      <c r="C12946" s="129" t="s">
        <v>12346</v>
      </c>
      <c r="D12946" s="5">
        <v>530113</v>
      </c>
      <c r="E12946" s="5" t="s">
        <v>15185</v>
      </c>
    </row>
    <row r="12947" spans="2:5">
      <c r="B12947" s="4" t="s">
        <v>12345</v>
      </c>
      <c r="C12947" s="129" t="s">
        <v>12346</v>
      </c>
      <c r="D12947" s="5">
        <v>530121</v>
      </c>
      <c r="E12947" s="5" t="s">
        <v>15186</v>
      </c>
    </row>
    <row r="12948" spans="2:5">
      <c r="B12948" s="4" t="s">
        <v>12345</v>
      </c>
      <c r="C12948" s="129" t="s">
        <v>12346</v>
      </c>
      <c r="D12948" s="5">
        <v>530122</v>
      </c>
      <c r="E12948" s="5" t="s">
        <v>15187</v>
      </c>
    </row>
    <row r="12949" spans="2:5">
      <c r="B12949" s="4" t="s">
        <v>12345</v>
      </c>
      <c r="C12949" s="129" t="s">
        <v>12346</v>
      </c>
      <c r="D12949" s="5">
        <v>530124</v>
      </c>
      <c r="E12949" s="5" t="s">
        <v>15188</v>
      </c>
    </row>
    <row r="12950" spans="2:5">
      <c r="B12950" s="4" t="s">
        <v>12345</v>
      </c>
      <c r="C12950" s="129" t="s">
        <v>12346</v>
      </c>
      <c r="D12950" s="5">
        <v>530125</v>
      </c>
      <c r="E12950" s="5" t="s">
        <v>15189</v>
      </c>
    </row>
    <row r="12951" spans="2:5">
      <c r="B12951" s="4" t="s">
        <v>12345</v>
      </c>
      <c r="C12951" s="129" t="s">
        <v>12346</v>
      </c>
      <c r="D12951" s="5">
        <v>530126</v>
      </c>
      <c r="E12951" s="5" t="s">
        <v>15190</v>
      </c>
    </row>
    <row r="12952" spans="2:5">
      <c r="B12952" s="4" t="s">
        <v>12345</v>
      </c>
      <c r="C12952" s="129" t="s">
        <v>12346</v>
      </c>
      <c r="D12952" s="5">
        <v>530127</v>
      </c>
      <c r="E12952" s="5" t="s">
        <v>15191</v>
      </c>
    </row>
    <row r="12953" spans="2:5">
      <c r="B12953" s="4" t="s">
        <v>12345</v>
      </c>
      <c r="C12953" s="129" t="s">
        <v>12346</v>
      </c>
      <c r="D12953" s="5">
        <v>530128</v>
      </c>
      <c r="E12953" s="5" t="s">
        <v>15192</v>
      </c>
    </row>
    <row r="12954" spans="2:5">
      <c r="B12954" s="4" t="s">
        <v>12345</v>
      </c>
      <c r="C12954" s="129" t="s">
        <v>12346</v>
      </c>
      <c r="D12954" s="5">
        <v>530129</v>
      </c>
      <c r="E12954" s="5" t="s">
        <v>15193</v>
      </c>
    </row>
    <row r="12955" spans="2:5">
      <c r="B12955" s="4" t="s">
        <v>12345</v>
      </c>
      <c r="C12955" s="129" t="s">
        <v>12346</v>
      </c>
      <c r="D12955" s="5">
        <v>530181</v>
      </c>
      <c r="E12955" s="5" t="s">
        <v>15194</v>
      </c>
    </row>
    <row r="12956" spans="2:5">
      <c r="B12956" s="4" t="s">
        <v>12345</v>
      </c>
      <c r="C12956" s="129" t="s">
        <v>12346</v>
      </c>
      <c r="D12956" s="5">
        <v>530300</v>
      </c>
      <c r="E12956" s="5" t="s">
        <v>15195</v>
      </c>
    </row>
    <row r="12957" spans="2:5">
      <c r="B12957" s="4" t="s">
        <v>12345</v>
      </c>
      <c r="C12957" s="129" t="s">
        <v>12346</v>
      </c>
      <c r="D12957" s="5">
        <v>530301</v>
      </c>
      <c r="E12957" s="5" t="s">
        <v>15196</v>
      </c>
    </row>
    <row r="12958" spans="2:5">
      <c r="B12958" s="4" t="s">
        <v>12345</v>
      </c>
      <c r="C12958" s="129" t="s">
        <v>12346</v>
      </c>
      <c r="D12958" s="5">
        <v>530302</v>
      </c>
      <c r="E12958" s="5" t="s">
        <v>15197</v>
      </c>
    </row>
    <row r="12959" spans="2:5">
      <c r="B12959" s="4" t="s">
        <v>12345</v>
      </c>
      <c r="C12959" s="129" t="s">
        <v>12346</v>
      </c>
      <c r="D12959" s="5">
        <v>530321</v>
      </c>
      <c r="E12959" s="5" t="s">
        <v>15198</v>
      </c>
    </row>
    <row r="12960" spans="2:5">
      <c r="B12960" s="4" t="s">
        <v>12345</v>
      </c>
      <c r="C12960" s="129" t="s">
        <v>12346</v>
      </c>
      <c r="D12960" s="5">
        <v>530322</v>
      </c>
      <c r="E12960" s="5" t="s">
        <v>15199</v>
      </c>
    </row>
    <row r="12961" spans="2:5">
      <c r="B12961" s="4" t="s">
        <v>12345</v>
      </c>
      <c r="C12961" s="129" t="s">
        <v>12346</v>
      </c>
      <c r="D12961" s="5">
        <v>530323</v>
      </c>
      <c r="E12961" s="5" t="s">
        <v>15200</v>
      </c>
    </row>
    <row r="12962" spans="2:5">
      <c r="B12962" s="4" t="s">
        <v>12345</v>
      </c>
      <c r="C12962" s="129" t="s">
        <v>12346</v>
      </c>
      <c r="D12962" s="5">
        <v>530324</v>
      </c>
      <c r="E12962" s="5" t="s">
        <v>15201</v>
      </c>
    </row>
    <row r="12963" spans="2:5">
      <c r="B12963" s="4" t="s">
        <v>12345</v>
      </c>
      <c r="C12963" s="129" t="s">
        <v>12346</v>
      </c>
      <c r="D12963" s="5">
        <v>530325</v>
      </c>
      <c r="E12963" s="5" t="s">
        <v>15202</v>
      </c>
    </row>
    <row r="12964" spans="2:5">
      <c r="B12964" s="4" t="s">
        <v>12345</v>
      </c>
      <c r="C12964" s="129" t="s">
        <v>12346</v>
      </c>
      <c r="D12964" s="5">
        <v>530326</v>
      </c>
      <c r="E12964" s="5" t="s">
        <v>15203</v>
      </c>
    </row>
    <row r="12965" spans="2:5">
      <c r="B12965" s="4" t="s">
        <v>12345</v>
      </c>
      <c r="C12965" s="129" t="s">
        <v>12346</v>
      </c>
      <c r="D12965" s="5">
        <v>530328</v>
      </c>
      <c r="E12965" s="5" t="s">
        <v>15204</v>
      </c>
    </row>
    <row r="12966" spans="2:5">
      <c r="B12966" s="4" t="s">
        <v>12345</v>
      </c>
      <c r="C12966" s="129" t="s">
        <v>12346</v>
      </c>
      <c r="D12966" s="5">
        <v>530381</v>
      </c>
      <c r="E12966" s="5" t="s">
        <v>15205</v>
      </c>
    </row>
    <row r="12967" spans="2:5">
      <c r="B12967" s="4" t="s">
        <v>12345</v>
      </c>
      <c r="C12967" s="129" t="s">
        <v>12346</v>
      </c>
      <c r="D12967" s="5">
        <v>530400</v>
      </c>
      <c r="E12967" s="5" t="s">
        <v>15206</v>
      </c>
    </row>
    <row r="12968" spans="2:5">
      <c r="B12968" s="4" t="s">
        <v>12345</v>
      </c>
      <c r="C12968" s="129" t="s">
        <v>12346</v>
      </c>
      <c r="D12968" s="5">
        <v>530401</v>
      </c>
      <c r="E12968" s="5" t="s">
        <v>15207</v>
      </c>
    </row>
    <row r="12969" spans="2:5">
      <c r="B12969" s="4" t="s">
        <v>12345</v>
      </c>
      <c r="C12969" s="129" t="s">
        <v>12346</v>
      </c>
      <c r="D12969" s="5">
        <v>530402</v>
      </c>
      <c r="E12969" s="5" t="s">
        <v>15208</v>
      </c>
    </row>
    <row r="12970" spans="2:5">
      <c r="B12970" s="4" t="s">
        <v>12345</v>
      </c>
      <c r="C12970" s="129" t="s">
        <v>12346</v>
      </c>
      <c r="D12970" s="5">
        <v>530421</v>
      </c>
      <c r="E12970" s="5" t="s">
        <v>15209</v>
      </c>
    </row>
    <row r="12971" spans="2:5">
      <c r="B12971" s="4" t="s">
        <v>12345</v>
      </c>
      <c r="C12971" s="129" t="s">
        <v>12346</v>
      </c>
      <c r="D12971" s="5">
        <v>530422</v>
      </c>
      <c r="E12971" s="5" t="s">
        <v>15210</v>
      </c>
    </row>
    <row r="12972" spans="2:5">
      <c r="B12972" s="4" t="s">
        <v>12345</v>
      </c>
      <c r="C12972" s="129" t="s">
        <v>12346</v>
      </c>
      <c r="D12972" s="5">
        <v>530423</v>
      </c>
      <c r="E12972" s="5" t="s">
        <v>15211</v>
      </c>
    </row>
    <row r="12973" spans="2:5">
      <c r="B12973" s="4" t="s">
        <v>12345</v>
      </c>
      <c r="C12973" s="129" t="s">
        <v>12346</v>
      </c>
      <c r="D12973" s="5">
        <v>530424</v>
      </c>
      <c r="E12973" s="5" t="s">
        <v>15212</v>
      </c>
    </row>
    <row r="12974" spans="2:5">
      <c r="B12974" s="4" t="s">
        <v>12345</v>
      </c>
      <c r="C12974" s="129" t="s">
        <v>12346</v>
      </c>
      <c r="D12974" s="5">
        <v>530425</v>
      </c>
      <c r="E12974" s="5" t="s">
        <v>15213</v>
      </c>
    </row>
    <row r="12975" spans="2:5">
      <c r="B12975" s="4" t="s">
        <v>12345</v>
      </c>
      <c r="C12975" s="129" t="s">
        <v>12346</v>
      </c>
      <c r="D12975" s="5">
        <v>530426</v>
      </c>
      <c r="E12975" s="5" t="s">
        <v>15214</v>
      </c>
    </row>
    <row r="12976" spans="2:5">
      <c r="B12976" s="4" t="s">
        <v>12345</v>
      </c>
      <c r="C12976" s="129" t="s">
        <v>12346</v>
      </c>
      <c r="D12976" s="5">
        <v>530427</v>
      </c>
      <c r="E12976" s="5" t="s">
        <v>15215</v>
      </c>
    </row>
    <row r="12977" spans="2:5">
      <c r="B12977" s="4" t="s">
        <v>12345</v>
      </c>
      <c r="C12977" s="129" t="s">
        <v>12346</v>
      </c>
      <c r="D12977" s="5">
        <v>530428</v>
      </c>
      <c r="E12977" s="5" t="s">
        <v>15216</v>
      </c>
    </row>
    <row r="12978" spans="2:5">
      <c r="B12978" s="4" t="s">
        <v>12345</v>
      </c>
      <c r="C12978" s="129" t="s">
        <v>12346</v>
      </c>
      <c r="D12978" s="5">
        <v>530500</v>
      </c>
      <c r="E12978" s="5" t="s">
        <v>15217</v>
      </c>
    </row>
    <row r="12979" spans="2:5">
      <c r="B12979" s="4" t="s">
        <v>12345</v>
      </c>
      <c r="C12979" s="129" t="s">
        <v>12346</v>
      </c>
      <c r="D12979" s="5">
        <v>530501</v>
      </c>
      <c r="E12979" s="5" t="s">
        <v>15218</v>
      </c>
    </row>
    <row r="12980" spans="2:5">
      <c r="B12980" s="4" t="s">
        <v>12345</v>
      </c>
      <c r="C12980" s="129" t="s">
        <v>12346</v>
      </c>
      <c r="D12980" s="5">
        <v>530502</v>
      </c>
      <c r="E12980" s="5" t="s">
        <v>15219</v>
      </c>
    </row>
    <row r="12981" spans="2:5">
      <c r="B12981" s="4" t="s">
        <v>12345</v>
      </c>
      <c r="C12981" s="129" t="s">
        <v>12346</v>
      </c>
      <c r="D12981" s="5">
        <v>530521</v>
      </c>
      <c r="E12981" s="5" t="s">
        <v>15220</v>
      </c>
    </row>
    <row r="12982" spans="2:5">
      <c r="B12982" s="4" t="s">
        <v>12345</v>
      </c>
      <c r="C12982" s="129" t="s">
        <v>12346</v>
      </c>
      <c r="D12982" s="5">
        <v>530522</v>
      </c>
      <c r="E12982" s="5" t="s">
        <v>15221</v>
      </c>
    </row>
    <row r="12983" spans="2:5">
      <c r="B12983" s="4" t="s">
        <v>12345</v>
      </c>
      <c r="C12983" s="129" t="s">
        <v>12346</v>
      </c>
      <c r="D12983" s="5">
        <v>530523</v>
      </c>
      <c r="E12983" s="5" t="s">
        <v>15222</v>
      </c>
    </row>
    <row r="12984" spans="2:5">
      <c r="B12984" s="4" t="s">
        <v>12345</v>
      </c>
      <c r="C12984" s="129" t="s">
        <v>12346</v>
      </c>
      <c r="D12984" s="5">
        <v>530524</v>
      </c>
      <c r="E12984" s="5" t="s">
        <v>15223</v>
      </c>
    </row>
    <row r="12985" spans="2:5">
      <c r="B12985" s="4" t="s">
        <v>12345</v>
      </c>
      <c r="C12985" s="129" t="s">
        <v>12346</v>
      </c>
      <c r="D12985" s="5">
        <v>530600</v>
      </c>
      <c r="E12985" s="5" t="s">
        <v>15224</v>
      </c>
    </row>
    <row r="12986" spans="2:5">
      <c r="B12986" s="4" t="s">
        <v>12345</v>
      </c>
      <c r="C12986" s="129" t="s">
        <v>12346</v>
      </c>
      <c r="D12986" s="5">
        <v>530601</v>
      </c>
      <c r="E12986" s="5" t="s">
        <v>15225</v>
      </c>
    </row>
    <row r="12987" spans="2:5">
      <c r="B12987" s="4" t="s">
        <v>12345</v>
      </c>
      <c r="C12987" s="129" t="s">
        <v>12346</v>
      </c>
      <c r="D12987" s="5">
        <v>530602</v>
      </c>
      <c r="E12987" s="5" t="s">
        <v>15226</v>
      </c>
    </row>
    <row r="12988" spans="2:5">
      <c r="B12988" s="4" t="s">
        <v>12345</v>
      </c>
      <c r="C12988" s="129" t="s">
        <v>12346</v>
      </c>
      <c r="D12988" s="5">
        <v>530621</v>
      </c>
      <c r="E12988" s="5" t="s">
        <v>15227</v>
      </c>
    </row>
    <row r="12989" spans="2:5">
      <c r="B12989" s="4" t="s">
        <v>12345</v>
      </c>
      <c r="C12989" s="129" t="s">
        <v>12346</v>
      </c>
      <c r="D12989" s="5">
        <v>530622</v>
      </c>
      <c r="E12989" s="5" t="s">
        <v>15228</v>
      </c>
    </row>
    <row r="12990" spans="2:5">
      <c r="B12990" s="4" t="s">
        <v>12345</v>
      </c>
      <c r="C12990" s="129" t="s">
        <v>12346</v>
      </c>
      <c r="D12990" s="5">
        <v>530623</v>
      </c>
      <c r="E12990" s="5" t="s">
        <v>15229</v>
      </c>
    </row>
    <row r="12991" spans="2:5">
      <c r="B12991" s="4" t="s">
        <v>12345</v>
      </c>
      <c r="C12991" s="129" t="s">
        <v>12346</v>
      </c>
      <c r="D12991" s="5">
        <v>530624</v>
      </c>
      <c r="E12991" s="5" t="s">
        <v>15230</v>
      </c>
    </row>
    <row r="12992" spans="2:5">
      <c r="B12992" s="4" t="s">
        <v>12345</v>
      </c>
      <c r="C12992" s="129" t="s">
        <v>12346</v>
      </c>
      <c r="D12992" s="5">
        <v>530625</v>
      </c>
      <c r="E12992" s="5" t="s">
        <v>15231</v>
      </c>
    </row>
    <row r="12993" spans="2:5">
      <c r="B12993" s="4" t="s">
        <v>12345</v>
      </c>
      <c r="C12993" s="129" t="s">
        <v>12346</v>
      </c>
      <c r="D12993" s="5">
        <v>530626</v>
      </c>
      <c r="E12993" s="5" t="s">
        <v>15232</v>
      </c>
    </row>
    <row r="12994" spans="2:5">
      <c r="B12994" s="4" t="s">
        <v>12345</v>
      </c>
      <c r="C12994" s="129" t="s">
        <v>12346</v>
      </c>
      <c r="D12994" s="5">
        <v>530627</v>
      </c>
      <c r="E12994" s="5" t="s">
        <v>15233</v>
      </c>
    </row>
    <row r="12995" spans="2:5">
      <c r="B12995" s="4" t="s">
        <v>12345</v>
      </c>
      <c r="C12995" s="129" t="s">
        <v>12346</v>
      </c>
      <c r="D12995" s="5">
        <v>530628</v>
      </c>
      <c r="E12995" s="5" t="s">
        <v>15234</v>
      </c>
    </row>
    <row r="12996" spans="2:5">
      <c r="B12996" s="4" t="s">
        <v>12345</v>
      </c>
      <c r="C12996" s="129" t="s">
        <v>12346</v>
      </c>
      <c r="D12996" s="5">
        <v>530629</v>
      </c>
      <c r="E12996" s="5" t="s">
        <v>15235</v>
      </c>
    </row>
    <row r="12997" spans="2:5">
      <c r="B12997" s="4" t="s">
        <v>12345</v>
      </c>
      <c r="C12997" s="129" t="s">
        <v>12346</v>
      </c>
      <c r="D12997" s="5">
        <v>530630</v>
      </c>
      <c r="E12997" s="5" t="s">
        <v>15236</v>
      </c>
    </row>
    <row r="12998" spans="2:5">
      <c r="B12998" s="4" t="s">
        <v>12345</v>
      </c>
      <c r="C12998" s="129" t="s">
        <v>12346</v>
      </c>
      <c r="D12998" s="5">
        <v>530700</v>
      </c>
      <c r="E12998" s="5" t="s">
        <v>15237</v>
      </c>
    </row>
    <row r="12999" spans="2:5">
      <c r="B12999" s="4" t="s">
        <v>12345</v>
      </c>
      <c r="C12999" s="129" t="s">
        <v>12346</v>
      </c>
      <c r="D12999" s="5">
        <v>530701</v>
      </c>
      <c r="E12999" s="5" t="s">
        <v>15238</v>
      </c>
    </row>
    <row r="13000" spans="2:5">
      <c r="B13000" s="4" t="s">
        <v>12345</v>
      </c>
      <c r="C13000" s="129" t="s">
        <v>12346</v>
      </c>
      <c r="D13000" s="5">
        <v>530702</v>
      </c>
      <c r="E13000" s="5" t="s">
        <v>15239</v>
      </c>
    </row>
    <row r="13001" spans="2:5">
      <c r="B13001" s="4" t="s">
        <v>12345</v>
      </c>
      <c r="C13001" s="129" t="s">
        <v>12346</v>
      </c>
      <c r="D13001" s="5">
        <v>530721</v>
      </c>
      <c r="E13001" s="5" t="s">
        <v>15240</v>
      </c>
    </row>
    <row r="13002" spans="2:5">
      <c r="B13002" s="4" t="s">
        <v>12345</v>
      </c>
      <c r="C13002" s="129" t="s">
        <v>12346</v>
      </c>
      <c r="D13002" s="5">
        <v>530722</v>
      </c>
      <c r="E13002" s="5" t="s">
        <v>15241</v>
      </c>
    </row>
    <row r="13003" spans="2:5">
      <c r="B13003" s="4" t="s">
        <v>12345</v>
      </c>
      <c r="C13003" s="129" t="s">
        <v>12346</v>
      </c>
      <c r="D13003" s="5">
        <v>530723</v>
      </c>
      <c r="E13003" s="5" t="s">
        <v>15242</v>
      </c>
    </row>
    <row r="13004" spans="2:5">
      <c r="B13004" s="4" t="s">
        <v>12345</v>
      </c>
      <c r="C13004" s="129" t="s">
        <v>12346</v>
      </c>
      <c r="D13004" s="5">
        <v>530724</v>
      </c>
      <c r="E13004" s="5" t="s">
        <v>15243</v>
      </c>
    </row>
    <row r="13005" spans="2:5">
      <c r="B13005" s="4" t="s">
        <v>12345</v>
      </c>
      <c r="C13005" s="129" t="s">
        <v>12346</v>
      </c>
      <c r="D13005" s="5">
        <v>530800</v>
      </c>
      <c r="E13005" s="5" t="s">
        <v>15244</v>
      </c>
    </row>
    <row r="13006" spans="2:5">
      <c r="B13006" s="4" t="s">
        <v>12345</v>
      </c>
      <c r="C13006" s="129" t="s">
        <v>12346</v>
      </c>
      <c r="D13006" s="5">
        <v>530801</v>
      </c>
      <c r="E13006" s="5" t="s">
        <v>15245</v>
      </c>
    </row>
    <row r="13007" spans="2:5">
      <c r="B13007" s="4" t="s">
        <v>12345</v>
      </c>
      <c r="C13007" s="129" t="s">
        <v>12346</v>
      </c>
      <c r="D13007" s="5">
        <v>530802</v>
      </c>
      <c r="E13007" s="5" t="s">
        <v>15246</v>
      </c>
    </row>
    <row r="13008" spans="2:5">
      <c r="B13008" s="4" t="s">
        <v>12345</v>
      </c>
      <c r="C13008" s="129" t="s">
        <v>12346</v>
      </c>
      <c r="D13008" s="5">
        <v>530821</v>
      </c>
      <c r="E13008" s="5" t="s">
        <v>15247</v>
      </c>
    </row>
    <row r="13009" spans="2:5">
      <c r="B13009" s="4" t="s">
        <v>12345</v>
      </c>
      <c r="C13009" s="129" t="s">
        <v>12346</v>
      </c>
      <c r="D13009" s="5">
        <v>530822</v>
      </c>
      <c r="E13009" s="5" t="s">
        <v>15248</v>
      </c>
    </row>
    <row r="13010" spans="2:5">
      <c r="B13010" s="4" t="s">
        <v>12345</v>
      </c>
      <c r="C13010" s="129" t="s">
        <v>12346</v>
      </c>
      <c r="D13010" s="5">
        <v>530823</v>
      </c>
      <c r="E13010" s="5" t="s">
        <v>15249</v>
      </c>
    </row>
    <row r="13011" spans="2:5">
      <c r="B13011" s="4" t="s">
        <v>12345</v>
      </c>
      <c r="C13011" s="129" t="s">
        <v>12346</v>
      </c>
      <c r="D13011" s="5">
        <v>530824</v>
      </c>
      <c r="E13011" s="5" t="s">
        <v>15250</v>
      </c>
    </row>
    <row r="13012" spans="2:5">
      <c r="B13012" s="4" t="s">
        <v>12345</v>
      </c>
      <c r="C13012" s="129" t="s">
        <v>12346</v>
      </c>
      <c r="D13012" s="5">
        <v>530825</v>
      </c>
      <c r="E13012" s="5" t="s">
        <v>15251</v>
      </c>
    </row>
    <row r="13013" spans="2:5">
      <c r="B13013" s="4" t="s">
        <v>12345</v>
      </c>
      <c r="C13013" s="129" t="s">
        <v>12346</v>
      </c>
      <c r="D13013" s="5">
        <v>530826</v>
      </c>
      <c r="E13013" s="5" t="s">
        <v>15252</v>
      </c>
    </row>
    <row r="13014" spans="2:5">
      <c r="B13014" s="4" t="s">
        <v>12345</v>
      </c>
      <c r="C13014" s="129" t="s">
        <v>12346</v>
      </c>
      <c r="D13014" s="5">
        <v>530827</v>
      </c>
      <c r="E13014" s="5" t="s">
        <v>15253</v>
      </c>
    </row>
    <row r="13015" spans="2:5">
      <c r="B13015" s="4" t="s">
        <v>12345</v>
      </c>
      <c r="C13015" s="129" t="s">
        <v>12346</v>
      </c>
      <c r="D13015" s="5">
        <v>530828</v>
      </c>
      <c r="E13015" s="5" t="s">
        <v>15254</v>
      </c>
    </row>
    <row r="13016" spans="2:5">
      <c r="B13016" s="4" t="s">
        <v>12345</v>
      </c>
      <c r="C13016" s="129" t="s">
        <v>12346</v>
      </c>
      <c r="D13016" s="5">
        <v>530829</v>
      </c>
      <c r="E13016" s="5" t="s">
        <v>15255</v>
      </c>
    </row>
    <row r="13017" spans="2:5">
      <c r="B13017" s="4" t="s">
        <v>12345</v>
      </c>
      <c r="C13017" s="129" t="s">
        <v>12346</v>
      </c>
      <c r="D13017" s="5">
        <v>530900</v>
      </c>
      <c r="E13017" s="5" t="s">
        <v>15256</v>
      </c>
    </row>
    <row r="13018" spans="2:5">
      <c r="B13018" s="4" t="s">
        <v>12345</v>
      </c>
      <c r="C13018" s="129" t="s">
        <v>12346</v>
      </c>
      <c r="D13018" s="5">
        <v>530901</v>
      </c>
      <c r="E13018" s="5" t="s">
        <v>15257</v>
      </c>
    </row>
    <row r="13019" spans="2:5">
      <c r="B13019" s="4" t="s">
        <v>12345</v>
      </c>
      <c r="C13019" s="129" t="s">
        <v>12346</v>
      </c>
      <c r="D13019" s="5">
        <v>530902</v>
      </c>
      <c r="E13019" s="5" t="s">
        <v>15258</v>
      </c>
    </row>
    <row r="13020" spans="2:5">
      <c r="B13020" s="4" t="s">
        <v>12345</v>
      </c>
      <c r="C13020" s="129" t="s">
        <v>12346</v>
      </c>
      <c r="D13020" s="5">
        <v>530921</v>
      </c>
      <c r="E13020" s="5" t="s">
        <v>15259</v>
      </c>
    </row>
    <row r="13021" spans="2:5">
      <c r="B13021" s="4" t="s">
        <v>12345</v>
      </c>
      <c r="C13021" s="129" t="s">
        <v>12346</v>
      </c>
      <c r="D13021" s="5">
        <v>530922</v>
      </c>
      <c r="E13021" s="5" t="s">
        <v>15260</v>
      </c>
    </row>
    <row r="13022" spans="2:5">
      <c r="B13022" s="4" t="s">
        <v>12345</v>
      </c>
      <c r="C13022" s="129" t="s">
        <v>12346</v>
      </c>
      <c r="D13022" s="5">
        <v>530923</v>
      </c>
      <c r="E13022" s="5" t="s">
        <v>15261</v>
      </c>
    </row>
    <row r="13023" spans="2:5">
      <c r="B13023" s="4" t="s">
        <v>12345</v>
      </c>
      <c r="C13023" s="129" t="s">
        <v>12346</v>
      </c>
      <c r="D13023" s="5">
        <v>530924</v>
      </c>
      <c r="E13023" s="5" t="s">
        <v>15262</v>
      </c>
    </row>
    <row r="13024" spans="2:5">
      <c r="B13024" s="4" t="s">
        <v>12345</v>
      </c>
      <c r="C13024" s="129" t="s">
        <v>12346</v>
      </c>
      <c r="D13024" s="5">
        <v>530925</v>
      </c>
      <c r="E13024" s="5" t="s">
        <v>15263</v>
      </c>
    </row>
    <row r="13025" spans="2:5">
      <c r="B13025" s="4" t="s">
        <v>12345</v>
      </c>
      <c r="C13025" s="129" t="s">
        <v>12346</v>
      </c>
      <c r="D13025" s="5">
        <v>530926</v>
      </c>
      <c r="E13025" s="5" t="s">
        <v>15264</v>
      </c>
    </row>
    <row r="13026" spans="2:5">
      <c r="B13026" s="4" t="s">
        <v>12345</v>
      </c>
      <c r="C13026" s="129" t="s">
        <v>12346</v>
      </c>
      <c r="D13026" s="5">
        <v>530927</v>
      </c>
      <c r="E13026" s="5" t="s">
        <v>15265</v>
      </c>
    </row>
    <row r="13027" spans="2:5">
      <c r="B13027" s="4" t="s">
        <v>12345</v>
      </c>
      <c r="C13027" s="129" t="s">
        <v>12346</v>
      </c>
      <c r="D13027" s="5">
        <v>532300</v>
      </c>
      <c r="E13027" s="5" t="s">
        <v>15266</v>
      </c>
    </row>
    <row r="13028" spans="2:5">
      <c r="B13028" s="4" t="s">
        <v>12345</v>
      </c>
      <c r="C13028" s="129" t="s">
        <v>12346</v>
      </c>
      <c r="D13028" s="5">
        <v>532301</v>
      </c>
      <c r="E13028" s="5" t="s">
        <v>15267</v>
      </c>
    </row>
    <row r="13029" spans="2:5">
      <c r="B13029" s="4" t="s">
        <v>12345</v>
      </c>
      <c r="C13029" s="129" t="s">
        <v>12346</v>
      </c>
      <c r="D13029" s="5">
        <v>532322</v>
      </c>
      <c r="E13029" s="5" t="s">
        <v>15268</v>
      </c>
    </row>
    <row r="13030" spans="2:5">
      <c r="B13030" s="4" t="s">
        <v>12345</v>
      </c>
      <c r="C13030" s="129" t="s">
        <v>12346</v>
      </c>
      <c r="D13030" s="5">
        <v>532323</v>
      </c>
      <c r="E13030" s="5" t="s">
        <v>15269</v>
      </c>
    </row>
    <row r="13031" spans="2:5">
      <c r="B13031" s="4" t="s">
        <v>12345</v>
      </c>
      <c r="C13031" s="129" t="s">
        <v>12346</v>
      </c>
      <c r="D13031" s="5">
        <v>532324</v>
      </c>
      <c r="E13031" s="5" t="s">
        <v>15270</v>
      </c>
    </row>
    <row r="13032" spans="2:5">
      <c r="B13032" s="4" t="s">
        <v>12345</v>
      </c>
      <c r="C13032" s="129" t="s">
        <v>12346</v>
      </c>
      <c r="D13032" s="5">
        <v>532325</v>
      </c>
      <c r="E13032" s="5" t="s">
        <v>15271</v>
      </c>
    </row>
    <row r="13033" spans="2:5">
      <c r="B13033" s="4" t="s">
        <v>12345</v>
      </c>
      <c r="C13033" s="129" t="s">
        <v>12346</v>
      </c>
      <c r="D13033" s="5">
        <v>532326</v>
      </c>
      <c r="E13033" s="5" t="s">
        <v>15272</v>
      </c>
    </row>
    <row r="13034" spans="2:5">
      <c r="B13034" s="4" t="s">
        <v>12345</v>
      </c>
      <c r="C13034" s="129" t="s">
        <v>12346</v>
      </c>
      <c r="D13034" s="5">
        <v>532327</v>
      </c>
      <c r="E13034" s="5" t="s">
        <v>15273</v>
      </c>
    </row>
    <row r="13035" spans="2:5">
      <c r="B13035" s="4" t="s">
        <v>12345</v>
      </c>
      <c r="C13035" s="129" t="s">
        <v>12346</v>
      </c>
      <c r="D13035" s="5">
        <v>532328</v>
      </c>
      <c r="E13035" s="5" t="s">
        <v>15274</v>
      </c>
    </row>
    <row r="13036" spans="2:5">
      <c r="B13036" s="4" t="s">
        <v>12345</v>
      </c>
      <c r="C13036" s="129" t="s">
        <v>12346</v>
      </c>
      <c r="D13036" s="5">
        <v>532329</v>
      </c>
      <c r="E13036" s="5" t="s">
        <v>15275</v>
      </c>
    </row>
    <row r="13037" spans="2:5">
      <c r="B13037" s="4" t="s">
        <v>12345</v>
      </c>
      <c r="C13037" s="129" t="s">
        <v>12346</v>
      </c>
      <c r="D13037" s="5">
        <v>532331</v>
      </c>
      <c r="E13037" s="5" t="s">
        <v>15276</v>
      </c>
    </row>
    <row r="13038" spans="2:5">
      <c r="B13038" s="4" t="s">
        <v>12345</v>
      </c>
      <c r="C13038" s="129" t="s">
        <v>12346</v>
      </c>
      <c r="D13038" s="5">
        <v>532500</v>
      </c>
      <c r="E13038" s="5" t="s">
        <v>15277</v>
      </c>
    </row>
    <row r="13039" spans="2:5">
      <c r="B13039" s="4" t="s">
        <v>12345</v>
      </c>
      <c r="C13039" s="129" t="s">
        <v>12346</v>
      </c>
      <c r="D13039" s="5">
        <v>532501</v>
      </c>
      <c r="E13039" s="5" t="s">
        <v>15278</v>
      </c>
    </row>
    <row r="13040" spans="2:5">
      <c r="B13040" s="4" t="s">
        <v>12345</v>
      </c>
      <c r="C13040" s="129" t="s">
        <v>12346</v>
      </c>
      <c r="D13040" s="5">
        <v>532502</v>
      </c>
      <c r="E13040" s="5" t="s">
        <v>15279</v>
      </c>
    </row>
    <row r="13041" spans="2:5">
      <c r="B13041" s="4" t="s">
        <v>12345</v>
      </c>
      <c r="C13041" s="129" t="s">
        <v>12346</v>
      </c>
      <c r="D13041" s="5">
        <v>532503</v>
      </c>
      <c r="E13041" s="5" t="s">
        <v>15280</v>
      </c>
    </row>
    <row r="13042" spans="2:5">
      <c r="B13042" s="4" t="s">
        <v>12345</v>
      </c>
      <c r="C13042" s="129" t="s">
        <v>12346</v>
      </c>
      <c r="D13042" s="5">
        <v>532504</v>
      </c>
      <c r="E13042" s="5" t="s">
        <v>15281</v>
      </c>
    </row>
    <row r="13043" spans="2:5">
      <c r="B13043" s="4" t="s">
        <v>12345</v>
      </c>
      <c r="C13043" s="129" t="s">
        <v>12346</v>
      </c>
      <c r="D13043" s="5">
        <v>532523</v>
      </c>
      <c r="E13043" s="5" t="s">
        <v>15282</v>
      </c>
    </row>
    <row r="13044" spans="2:5">
      <c r="B13044" s="4" t="s">
        <v>12345</v>
      </c>
      <c r="C13044" s="129" t="s">
        <v>12346</v>
      </c>
      <c r="D13044" s="5">
        <v>532524</v>
      </c>
      <c r="E13044" s="5" t="s">
        <v>15283</v>
      </c>
    </row>
    <row r="13045" spans="2:5">
      <c r="B13045" s="4" t="s">
        <v>12345</v>
      </c>
      <c r="C13045" s="129" t="s">
        <v>12346</v>
      </c>
      <c r="D13045" s="5">
        <v>532525</v>
      </c>
      <c r="E13045" s="5" t="s">
        <v>15284</v>
      </c>
    </row>
    <row r="13046" spans="2:5">
      <c r="B13046" s="4" t="s">
        <v>12345</v>
      </c>
      <c r="C13046" s="129" t="s">
        <v>12346</v>
      </c>
      <c r="D13046" s="5">
        <v>532527</v>
      </c>
      <c r="E13046" s="5" t="s">
        <v>15285</v>
      </c>
    </row>
    <row r="13047" spans="2:5">
      <c r="B13047" s="4" t="s">
        <v>12345</v>
      </c>
      <c r="C13047" s="129" t="s">
        <v>12346</v>
      </c>
      <c r="D13047" s="5">
        <v>532528</v>
      </c>
      <c r="E13047" s="5" t="s">
        <v>15286</v>
      </c>
    </row>
    <row r="13048" spans="2:5">
      <c r="B13048" s="4" t="s">
        <v>12345</v>
      </c>
      <c r="C13048" s="129" t="s">
        <v>12346</v>
      </c>
      <c r="D13048" s="5">
        <v>532529</v>
      </c>
      <c r="E13048" s="5" t="s">
        <v>15287</v>
      </c>
    </row>
    <row r="13049" spans="2:5">
      <c r="B13049" s="4" t="s">
        <v>12345</v>
      </c>
      <c r="C13049" s="129" t="s">
        <v>12346</v>
      </c>
      <c r="D13049" s="5">
        <v>532530</v>
      </c>
      <c r="E13049" s="5" t="s">
        <v>15288</v>
      </c>
    </row>
    <row r="13050" spans="2:5">
      <c r="B13050" s="4" t="s">
        <v>12345</v>
      </c>
      <c r="C13050" s="129" t="s">
        <v>12346</v>
      </c>
      <c r="D13050" s="5">
        <v>532531</v>
      </c>
      <c r="E13050" s="5" t="s">
        <v>15289</v>
      </c>
    </row>
    <row r="13051" spans="2:5">
      <c r="B13051" s="4" t="s">
        <v>12345</v>
      </c>
      <c r="C13051" s="129" t="s">
        <v>12346</v>
      </c>
      <c r="D13051" s="5">
        <v>532532</v>
      </c>
      <c r="E13051" s="5" t="s">
        <v>15290</v>
      </c>
    </row>
    <row r="13052" spans="2:5">
      <c r="B13052" s="4" t="s">
        <v>12345</v>
      </c>
      <c r="C13052" s="129" t="s">
        <v>12346</v>
      </c>
      <c r="D13052" s="5">
        <v>532600</v>
      </c>
      <c r="E13052" s="5" t="s">
        <v>15291</v>
      </c>
    </row>
    <row r="13053" spans="2:5">
      <c r="B13053" s="4" t="s">
        <v>12345</v>
      </c>
      <c r="C13053" s="129" t="s">
        <v>12346</v>
      </c>
      <c r="D13053" s="5">
        <v>532601</v>
      </c>
      <c r="E13053" s="5" t="s">
        <v>15292</v>
      </c>
    </row>
    <row r="13054" spans="2:5">
      <c r="B13054" s="4" t="s">
        <v>12345</v>
      </c>
      <c r="C13054" s="129" t="s">
        <v>12346</v>
      </c>
      <c r="D13054" s="5">
        <v>532622</v>
      </c>
      <c r="E13054" s="5" t="s">
        <v>15293</v>
      </c>
    </row>
    <row r="13055" spans="2:5">
      <c r="B13055" s="4" t="s">
        <v>12345</v>
      </c>
      <c r="C13055" s="129" t="s">
        <v>12346</v>
      </c>
      <c r="D13055" s="5">
        <v>532623</v>
      </c>
      <c r="E13055" s="5" t="s">
        <v>15294</v>
      </c>
    </row>
    <row r="13056" spans="2:5">
      <c r="B13056" s="4" t="s">
        <v>12345</v>
      </c>
      <c r="C13056" s="129" t="s">
        <v>12346</v>
      </c>
      <c r="D13056" s="5">
        <v>532624</v>
      </c>
      <c r="E13056" s="5" t="s">
        <v>15295</v>
      </c>
    </row>
    <row r="13057" spans="2:5">
      <c r="B13057" s="4" t="s">
        <v>12345</v>
      </c>
      <c r="C13057" s="129" t="s">
        <v>12346</v>
      </c>
      <c r="D13057" s="5">
        <v>532625</v>
      </c>
      <c r="E13057" s="5" t="s">
        <v>15296</v>
      </c>
    </row>
    <row r="13058" spans="2:5">
      <c r="B13058" s="4" t="s">
        <v>12345</v>
      </c>
      <c r="C13058" s="129" t="s">
        <v>12346</v>
      </c>
      <c r="D13058" s="5">
        <v>532626</v>
      </c>
      <c r="E13058" s="5" t="s">
        <v>15297</v>
      </c>
    </row>
    <row r="13059" spans="2:5">
      <c r="B13059" s="4" t="s">
        <v>12345</v>
      </c>
      <c r="C13059" s="129" t="s">
        <v>12346</v>
      </c>
      <c r="D13059" s="5">
        <v>532627</v>
      </c>
      <c r="E13059" s="5" t="s">
        <v>15298</v>
      </c>
    </row>
    <row r="13060" spans="2:5">
      <c r="B13060" s="4" t="s">
        <v>12345</v>
      </c>
      <c r="C13060" s="129" t="s">
        <v>12346</v>
      </c>
      <c r="D13060" s="5">
        <v>532628</v>
      </c>
      <c r="E13060" s="5" t="s">
        <v>15299</v>
      </c>
    </row>
    <row r="13061" spans="2:5">
      <c r="B13061" s="4" t="s">
        <v>12345</v>
      </c>
      <c r="C13061" s="129" t="s">
        <v>12346</v>
      </c>
      <c r="D13061" s="5">
        <v>532800</v>
      </c>
      <c r="E13061" s="5" t="s">
        <v>15300</v>
      </c>
    </row>
    <row r="13062" spans="2:5">
      <c r="B13062" s="4" t="s">
        <v>12345</v>
      </c>
      <c r="C13062" s="129" t="s">
        <v>12346</v>
      </c>
      <c r="D13062" s="5">
        <v>532801</v>
      </c>
      <c r="E13062" s="5" t="s">
        <v>15301</v>
      </c>
    </row>
    <row r="13063" spans="2:5">
      <c r="B13063" s="4" t="s">
        <v>12345</v>
      </c>
      <c r="C13063" s="129" t="s">
        <v>12346</v>
      </c>
      <c r="D13063" s="5">
        <v>532822</v>
      </c>
      <c r="E13063" s="5" t="s">
        <v>15302</v>
      </c>
    </row>
    <row r="13064" spans="2:5">
      <c r="B13064" s="4" t="s">
        <v>12345</v>
      </c>
      <c r="C13064" s="129" t="s">
        <v>12346</v>
      </c>
      <c r="D13064" s="5">
        <v>532823</v>
      </c>
      <c r="E13064" s="5" t="s">
        <v>15303</v>
      </c>
    </row>
    <row r="13065" spans="2:5">
      <c r="B13065" s="4" t="s">
        <v>12345</v>
      </c>
      <c r="C13065" s="129" t="s">
        <v>12346</v>
      </c>
      <c r="D13065" s="5">
        <v>532900</v>
      </c>
      <c r="E13065" s="5" t="s">
        <v>15304</v>
      </c>
    </row>
    <row r="13066" spans="2:5">
      <c r="B13066" s="4" t="s">
        <v>12345</v>
      </c>
      <c r="C13066" s="129" t="s">
        <v>12346</v>
      </c>
      <c r="D13066" s="5">
        <v>532901</v>
      </c>
      <c r="E13066" s="5" t="s">
        <v>15305</v>
      </c>
    </row>
    <row r="13067" spans="2:5">
      <c r="B13067" s="4" t="s">
        <v>12345</v>
      </c>
      <c r="C13067" s="129" t="s">
        <v>12346</v>
      </c>
      <c r="D13067" s="5">
        <v>532922</v>
      </c>
      <c r="E13067" s="5" t="s">
        <v>15306</v>
      </c>
    </row>
    <row r="13068" spans="2:5">
      <c r="B13068" s="4" t="s">
        <v>12345</v>
      </c>
      <c r="C13068" s="129" t="s">
        <v>12346</v>
      </c>
      <c r="D13068" s="5">
        <v>532923</v>
      </c>
      <c r="E13068" s="5" t="s">
        <v>15307</v>
      </c>
    </row>
    <row r="13069" spans="2:5">
      <c r="B13069" s="4" t="s">
        <v>12345</v>
      </c>
      <c r="C13069" s="129" t="s">
        <v>12346</v>
      </c>
      <c r="D13069" s="5">
        <v>532924</v>
      </c>
      <c r="E13069" s="5" t="s">
        <v>15308</v>
      </c>
    </row>
    <row r="13070" spans="2:5">
      <c r="B13070" s="4" t="s">
        <v>12345</v>
      </c>
      <c r="C13070" s="129" t="s">
        <v>12346</v>
      </c>
      <c r="D13070" s="5">
        <v>532925</v>
      </c>
      <c r="E13070" s="5" t="s">
        <v>15309</v>
      </c>
    </row>
    <row r="13071" spans="2:5">
      <c r="B13071" s="4" t="s">
        <v>12345</v>
      </c>
      <c r="C13071" s="129" t="s">
        <v>12346</v>
      </c>
      <c r="D13071" s="5">
        <v>532926</v>
      </c>
      <c r="E13071" s="5" t="s">
        <v>15310</v>
      </c>
    </row>
    <row r="13072" spans="2:5">
      <c r="B13072" s="4" t="s">
        <v>12345</v>
      </c>
      <c r="C13072" s="129" t="s">
        <v>12346</v>
      </c>
      <c r="D13072" s="5">
        <v>532927</v>
      </c>
      <c r="E13072" s="5" t="s">
        <v>15311</v>
      </c>
    </row>
    <row r="13073" spans="2:5">
      <c r="B13073" s="4" t="s">
        <v>12345</v>
      </c>
      <c r="C13073" s="129" t="s">
        <v>12346</v>
      </c>
      <c r="D13073" s="5">
        <v>532928</v>
      </c>
      <c r="E13073" s="5" t="s">
        <v>15312</v>
      </c>
    </row>
    <row r="13074" spans="2:5">
      <c r="B13074" s="4" t="s">
        <v>12345</v>
      </c>
      <c r="C13074" s="129" t="s">
        <v>12346</v>
      </c>
      <c r="D13074" s="5">
        <v>532929</v>
      </c>
      <c r="E13074" s="5" t="s">
        <v>15313</v>
      </c>
    </row>
    <row r="13075" spans="2:5">
      <c r="B13075" s="4" t="s">
        <v>12345</v>
      </c>
      <c r="C13075" s="129" t="s">
        <v>12346</v>
      </c>
      <c r="D13075" s="5">
        <v>532930</v>
      </c>
      <c r="E13075" s="5" t="s">
        <v>15314</v>
      </c>
    </row>
    <row r="13076" spans="2:5">
      <c r="B13076" s="4" t="s">
        <v>12345</v>
      </c>
      <c r="C13076" s="129" t="s">
        <v>12346</v>
      </c>
      <c r="D13076" s="5">
        <v>532931</v>
      </c>
      <c r="E13076" s="5" t="s">
        <v>15315</v>
      </c>
    </row>
    <row r="13077" spans="2:5">
      <c r="B13077" s="4" t="s">
        <v>12345</v>
      </c>
      <c r="C13077" s="129" t="s">
        <v>12346</v>
      </c>
      <c r="D13077" s="5">
        <v>532932</v>
      </c>
      <c r="E13077" s="5" t="s">
        <v>15316</v>
      </c>
    </row>
    <row r="13078" spans="2:5">
      <c r="B13078" s="4" t="s">
        <v>12345</v>
      </c>
      <c r="C13078" s="129" t="s">
        <v>12346</v>
      </c>
      <c r="D13078" s="5">
        <v>533100</v>
      </c>
      <c r="E13078" s="5" t="s">
        <v>15317</v>
      </c>
    </row>
    <row r="13079" spans="2:5">
      <c r="B13079" s="4" t="s">
        <v>12345</v>
      </c>
      <c r="C13079" s="129" t="s">
        <v>12346</v>
      </c>
      <c r="D13079" s="5">
        <v>533102</v>
      </c>
      <c r="E13079" s="5" t="s">
        <v>15318</v>
      </c>
    </row>
    <row r="13080" spans="2:5">
      <c r="B13080" s="4" t="s">
        <v>12345</v>
      </c>
      <c r="C13080" s="129" t="s">
        <v>12346</v>
      </c>
      <c r="D13080" s="5">
        <v>533103</v>
      </c>
      <c r="E13080" s="5" t="s">
        <v>15319</v>
      </c>
    </row>
    <row r="13081" spans="2:5">
      <c r="B13081" s="4" t="s">
        <v>12345</v>
      </c>
      <c r="C13081" s="129" t="s">
        <v>12346</v>
      </c>
      <c r="D13081" s="5">
        <v>533122</v>
      </c>
      <c r="E13081" s="5" t="s">
        <v>15320</v>
      </c>
    </row>
    <row r="13082" spans="2:5">
      <c r="B13082" s="4" t="s">
        <v>12345</v>
      </c>
      <c r="C13082" s="129" t="s">
        <v>12346</v>
      </c>
      <c r="D13082" s="5">
        <v>533123</v>
      </c>
      <c r="E13082" s="5" t="s">
        <v>15321</v>
      </c>
    </row>
    <row r="13083" spans="2:5">
      <c r="B13083" s="4" t="s">
        <v>12345</v>
      </c>
      <c r="C13083" s="129" t="s">
        <v>12346</v>
      </c>
      <c r="D13083" s="5">
        <v>533124</v>
      </c>
      <c r="E13083" s="5" t="s">
        <v>15322</v>
      </c>
    </row>
    <row r="13084" spans="2:5">
      <c r="B13084" s="4" t="s">
        <v>12345</v>
      </c>
      <c r="C13084" s="129" t="s">
        <v>12346</v>
      </c>
      <c r="D13084" s="5">
        <v>533300</v>
      </c>
      <c r="E13084" s="5" t="s">
        <v>15323</v>
      </c>
    </row>
    <row r="13085" spans="2:5">
      <c r="B13085" s="4" t="s">
        <v>12345</v>
      </c>
      <c r="C13085" s="129" t="s">
        <v>12346</v>
      </c>
      <c r="D13085" s="5">
        <v>533321</v>
      </c>
      <c r="E13085" s="5" t="s">
        <v>15324</v>
      </c>
    </row>
    <row r="13086" spans="2:5">
      <c r="B13086" s="4" t="s">
        <v>12345</v>
      </c>
      <c r="C13086" s="129" t="s">
        <v>12346</v>
      </c>
      <c r="D13086" s="5">
        <v>533323</v>
      </c>
      <c r="E13086" s="5" t="s">
        <v>15325</v>
      </c>
    </row>
    <row r="13087" spans="2:5">
      <c r="B13087" s="4" t="s">
        <v>12345</v>
      </c>
      <c r="C13087" s="129" t="s">
        <v>12346</v>
      </c>
      <c r="D13087" s="5">
        <v>533324</v>
      </c>
      <c r="E13087" s="5" t="s">
        <v>15326</v>
      </c>
    </row>
    <row r="13088" spans="2:5">
      <c r="B13088" s="4" t="s">
        <v>12345</v>
      </c>
      <c r="C13088" s="129" t="s">
        <v>12346</v>
      </c>
      <c r="D13088" s="5">
        <v>533325</v>
      </c>
      <c r="E13088" s="5" t="s">
        <v>15327</v>
      </c>
    </row>
    <row r="13089" spans="2:5">
      <c r="B13089" s="4" t="s">
        <v>12345</v>
      </c>
      <c r="C13089" s="129" t="s">
        <v>12346</v>
      </c>
      <c r="D13089" s="5">
        <v>533400</v>
      </c>
      <c r="E13089" s="5" t="s">
        <v>15328</v>
      </c>
    </row>
    <row r="13090" spans="2:5">
      <c r="B13090" s="4" t="s">
        <v>12345</v>
      </c>
      <c r="C13090" s="129" t="s">
        <v>12346</v>
      </c>
      <c r="D13090" s="5">
        <v>533421</v>
      </c>
      <c r="E13090" s="5" t="s">
        <v>15329</v>
      </c>
    </row>
    <row r="13091" spans="2:5">
      <c r="B13091" s="4" t="s">
        <v>12345</v>
      </c>
      <c r="C13091" s="129" t="s">
        <v>12346</v>
      </c>
      <c r="D13091" s="5">
        <v>533422</v>
      </c>
      <c r="E13091" s="5" t="s">
        <v>15330</v>
      </c>
    </row>
    <row r="13092" spans="2:5">
      <c r="B13092" s="4" t="s">
        <v>12345</v>
      </c>
      <c r="C13092" s="129" t="s">
        <v>12346</v>
      </c>
      <c r="D13092" s="5">
        <v>533423</v>
      </c>
      <c r="E13092" s="5" t="s">
        <v>15331</v>
      </c>
    </row>
    <row r="13093" spans="2:5">
      <c r="B13093" s="4" t="s">
        <v>12345</v>
      </c>
      <c r="C13093" s="129" t="s">
        <v>12346</v>
      </c>
      <c r="D13093" s="5">
        <v>540000</v>
      </c>
      <c r="E13093" s="5" t="s">
        <v>15332</v>
      </c>
    </row>
    <row r="13094" spans="2:5">
      <c r="B13094" s="4" t="s">
        <v>12345</v>
      </c>
      <c r="C13094" s="129" t="s">
        <v>12346</v>
      </c>
      <c r="D13094" s="5">
        <v>540100</v>
      </c>
      <c r="E13094" s="5" t="s">
        <v>15333</v>
      </c>
    </row>
    <row r="13095" spans="2:5">
      <c r="B13095" s="4" t="s">
        <v>12345</v>
      </c>
      <c r="C13095" s="129" t="s">
        <v>12346</v>
      </c>
      <c r="D13095" s="5">
        <v>540101</v>
      </c>
      <c r="E13095" s="5" t="s">
        <v>15334</v>
      </c>
    </row>
    <row r="13096" spans="2:5">
      <c r="B13096" s="4" t="s">
        <v>12345</v>
      </c>
      <c r="C13096" s="129" t="s">
        <v>12346</v>
      </c>
      <c r="D13096" s="5">
        <v>540102</v>
      </c>
      <c r="E13096" s="5" t="s">
        <v>15335</v>
      </c>
    </row>
    <row r="13097" spans="2:5">
      <c r="B13097" s="4" t="s">
        <v>12345</v>
      </c>
      <c r="C13097" s="129" t="s">
        <v>12346</v>
      </c>
      <c r="D13097" s="5">
        <v>540121</v>
      </c>
      <c r="E13097" s="5" t="s">
        <v>15336</v>
      </c>
    </row>
    <row r="13098" spans="2:5">
      <c r="B13098" s="4" t="s">
        <v>12345</v>
      </c>
      <c r="C13098" s="129" t="s">
        <v>12346</v>
      </c>
      <c r="D13098" s="5">
        <v>540122</v>
      </c>
      <c r="E13098" s="5" t="s">
        <v>15337</v>
      </c>
    </row>
    <row r="13099" spans="2:5">
      <c r="B13099" s="4" t="s">
        <v>12345</v>
      </c>
      <c r="C13099" s="129" t="s">
        <v>12346</v>
      </c>
      <c r="D13099" s="5">
        <v>540123</v>
      </c>
      <c r="E13099" s="5" t="s">
        <v>15338</v>
      </c>
    </row>
    <row r="13100" spans="2:5">
      <c r="B13100" s="4" t="s">
        <v>12345</v>
      </c>
      <c r="C13100" s="129" t="s">
        <v>12346</v>
      </c>
      <c r="D13100" s="5">
        <v>540124</v>
      </c>
      <c r="E13100" s="5" t="s">
        <v>15339</v>
      </c>
    </row>
    <row r="13101" spans="2:5">
      <c r="B13101" s="4" t="s">
        <v>12345</v>
      </c>
      <c r="C13101" s="129" t="s">
        <v>12346</v>
      </c>
      <c r="D13101" s="5">
        <v>540125</v>
      </c>
      <c r="E13101" s="5" t="s">
        <v>15340</v>
      </c>
    </row>
    <row r="13102" spans="2:5">
      <c r="B13102" s="4" t="s">
        <v>12345</v>
      </c>
      <c r="C13102" s="129" t="s">
        <v>12346</v>
      </c>
      <c r="D13102" s="5">
        <v>540126</v>
      </c>
      <c r="E13102" s="5" t="s">
        <v>15341</v>
      </c>
    </row>
    <row r="13103" spans="2:5">
      <c r="B13103" s="4" t="s">
        <v>12345</v>
      </c>
      <c r="C13103" s="129" t="s">
        <v>12346</v>
      </c>
      <c r="D13103" s="5">
        <v>540127</v>
      </c>
      <c r="E13103" s="5" t="s">
        <v>15342</v>
      </c>
    </row>
    <row r="13104" spans="2:5">
      <c r="B13104" s="4" t="s">
        <v>12345</v>
      </c>
      <c r="C13104" s="129" t="s">
        <v>12346</v>
      </c>
      <c r="D13104" s="5">
        <v>540200</v>
      </c>
      <c r="E13104" s="5" t="s">
        <v>15343</v>
      </c>
    </row>
    <row r="13105" spans="2:5">
      <c r="B13105" s="4" t="s">
        <v>12345</v>
      </c>
      <c r="C13105" s="129" t="s">
        <v>12346</v>
      </c>
      <c r="D13105" s="5">
        <v>540202</v>
      </c>
      <c r="E13105" s="5" t="s">
        <v>15344</v>
      </c>
    </row>
    <row r="13106" spans="2:5">
      <c r="B13106" s="4" t="s">
        <v>12345</v>
      </c>
      <c r="C13106" s="129" t="s">
        <v>12346</v>
      </c>
      <c r="D13106" s="5">
        <v>540221</v>
      </c>
      <c r="E13106" s="5" t="s">
        <v>15345</v>
      </c>
    </row>
    <row r="13107" spans="2:5">
      <c r="B13107" s="4" t="s">
        <v>12345</v>
      </c>
      <c r="C13107" s="129" t="s">
        <v>12346</v>
      </c>
      <c r="D13107" s="5">
        <v>540222</v>
      </c>
      <c r="E13107" s="5" t="s">
        <v>15346</v>
      </c>
    </row>
    <row r="13108" spans="2:5">
      <c r="B13108" s="4" t="s">
        <v>12345</v>
      </c>
      <c r="C13108" s="129" t="s">
        <v>12346</v>
      </c>
      <c r="D13108" s="5">
        <v>540223</v>
      </c>
      <c r="E13108" s="5" t="s">
        <v>15347</v>
      </c>
    </row>
    <row r="13109" spans="2:5">
      <c r="B13109" s="4" t="s">
        <v>12345</v>
      </c>
      <c r="C13109" s="129" t="s">
        <v>12346</v>
      </c>
      <c r="D13109" s="5">
        <v>540224</v>
      </c>
      <c r="E13109" s="5" t="s">
        <v>15348</v>
      </c>
    </row>
    <row r="13110" spans="2:5">
      <c r="B13110" s="4" t="s">
        <v>12345</v>
      </c>
      <c r="C13110" s="129" t="s">
        <v>12346</v>
      </c>
      <c r="D13110" s="5">
        <v>540225</v>
      </c>
      <c r="E13110" s="5" t="s">
        <v>15349</v>
      </c>
    </row>
    <row r="13111" spans="2:5">
      <c r="B13111" s="4" t="s">
        <v>12345</v>
      </c>
      <c r="C13111" s="129" t="s">
        <v>12346</v>
      </c>
      <c r="D13111" s="5">
        <v>540226</v>
      </c>
      <c r="E13111" s="5" t="s">
        <v>15350</v>
      </c>
    </row>
    <row r="13112" spans="2:5">
      <c r="B13112" s="4" t="s">
        <v>12345</v>
      </c>
      <c r="C13112" s="129" t="s">
        <v>12346</v>
      </c>
      <c r="D13112" s="5">
        <v>540227</v>
      </c>
      <c r="E13112" s="5" t="s">
        <v>15351</v>
      </c>
    </row>
    <row r="13113" spans="2:5">
      <c r="B13113" s="4" t="s">
        <v>12345</v>
      </c>
      <c r="C13113" s="129" t="s">
        <v>12346</v>
      </c>
      <c r="D13113" s="5">
        <v>540228</v>
      </c>
      <c r="E13113" s="5" t="s">
        <v>15352</v>
      </c>
    </row>
    <row r="13114" spans="2:5">
      <c r="B13114" s="4" t="s">
        <v>12345</v>
      </c>
      <c r="C13114" s="129" t="s">
        <v>12346</v>
      </c>
      <c r="D13114" s="5">
        <v>540229</v>
      </c>
      <c r="E13114" s="5" t="s">
        <v>15353</v>
      </c>
    </row>
    <row r="13115" spans="2:5">
      <c r="B13115" s="4" t="s">
        <v>12345</v>
      </c>
      <c r="C13115" s="129" t="s">
        <v>12346</v>
      </c>
      <c r="D13115" s="5">
        <v>540230</v>
      </c>
      <c r="E13115" s="5" t="s">
        <v>15354</v>
      </c>
    </row>
    <row r="13116" spans="2:5">
      <c r="B13116" s="4" t="s">
        <v>12345</v>
      </c>
      <c r="C13116" s="129" t="s">
        <v>12346</v>
      </c>
      <c r="D13116" s="5">
        <v>540231</v>
      </c>
      <c r="E13116" s="5" t="s">
        <v>15355</v>
      </c>
    </row>
    <row r="13117" spans="2:5">
      <c r="B13117" s="4" t="s">
        <v>12345</v>
      </c>
      <c r="C13117" s="129" t="s">
        <v>12346</v>
      </c>
      <c r="D13117" s="5">
        <v>540232</v>
      </c>
      <c r="E13117" s="5" t="s">
        <v>15356</v>
      </c>
    </row>
    <row r="13118" spans="2:5">
      <c r="B13118" s="4" t="s">
        <v>12345</v>
      </c>
      <c r="C13118" s="129" t="s">
        <v>12346</v>
      </c>
      <c r="D13118" s="5">
        <v>540233</v>
      </c>
      <c r="E13118" s="5" t="s">
        <v>15357</v>
      </c>
    </row>
    <row r="13119" spans="2:5">
      <c r="B13119" s="4" t="s">
        <v>12345</v>
      </c>
      <c r="C13119" s="129" t="s">
        <v>12346</v>
      </c>
      <c r="D13119" s="5">
        <v>540234</v>
      </c>
      <c r="E13119" s="5" t="s">
        <v>15358</v>
      </c>
    </row>
    <row r="13120" spans="2:5">
      <c r="B13120" s="4" t="s">
        <v>12345</v>
      </c>
      <c r="C13120" s="129" t="s">
        <v>12346</v>
      </c>
      <c r="D13120" s="5">
        <v>540235</v>
      </c>
      <c r="E13120" s="5" t="s">
        <v>15359</v>
      </c>
    </row>
    <row r="13121" spans="2:5">
      <c r="B13121" s="4" t="s">
        <v>12345</v>
      </c>
      <c r="C13121" s="129" t="s">
        <v>12346</v>
      </c>
      <c r="D13121" s="5">
        <v>540236</v>
      </c>
      <c r="E13121" s="5" t="s">
        <v>15360</v>
      </c>
    </row>
    <row r="13122" spans="2:5">
      <c r="B13122" s="4" t="s">
        <v>12345</v>
      </c>
      <c r="C13122" s="129" t="s">
        <v>12346</v>
      </c>
      <c r="D13122" s="5">
        <v>540237</v>
      </c>
      <c r="E13122" s="5" t="s">
        <v>15361</v>
      </c>
    </row>
    <row r="13123" spans="2:5">
      <c r="B13123" s="4" t="s">
        <v>12345</v>
      </c>
      <c r="C13123" s="129" t="s">
        <v>12346</v>
      </c>
      <c r="D13123" s="5">
        <v>542100</v>
      </c>
      <c r="E13123" s="5" t="s">
        <v>15362</v>
      </c>
    </row>
    <row r="13124" spans="2:5">
      <c r="B13124" s="4" t="s">
        <v>12345</v>
      </c>
      <c r="C13124" s="129" t="s">
        <v>12346</v>
      </c>
      <c r="D13124" s="5">
        <v>542121</v>
      </c>
      <c r="E13124" s="5" t="s">
        <v>15363</v>
      </c>
    </row>
    <row r="13125" spans="2:5">
      <c r="B13125" s="4" t="s">
        <v>12345</v>
      </c>
      <c r="C13125" s="129" t="s">
        <v>12346</v>
      </c>
      <c r="D13125" s="5">
        <v>542122</v>
      </c>
      <c r="E13125" s="5" t="s">
        <v>15364</v>
      </c>
    </row>
    <row r="13126" spans="2:5">
      <c r="B13126" s="4" t="s">
        <v>12345</v>
      </c>
      <c r="C13126" s="129" t="s">
        <v>12346</v>
      </c>
      <c r="D13126" s="5">
        <v>542123</v>
      </c>
      <c r="E13126" s="5" t="s">
        <v>15365</v>
      </c>
    </row>
    <row r="13127" spans="2:5">
      <c r="B13127" s="4" t="s">
        <v>12345</v>
      </c>
      <c r="C13127" s="129" t="s">
        <v>12346</v>
      </c>
      <c r="D13127" s="5">
        <v>542124</v>
      </c>
      <c r="E13127" s="5" t="s">
        <v>15366</v>
      </c>
    </row>
    <row r="13128" spans="2:5">
      <c r="B13128" s="4" t="s">
        <v>12345</v>
      </c>
      <c r="C13128" s="129" t="s">
        <v>12346</v>
      </c>
      <c r="D13128" s="5">
        <v>542125</v>
      </c>
      <c r="E13128" s="5" t="s">
        <v>15367</v>
      </c>
    </row>
    <row r="13129" spans="2:5">
      <c r="B13129" s="4" t="s">
        <v>12345</v>
      </c>
      <c r="C13129" s="129" t="s">
        <v>12346</v>
      </c>
      <c r="D13129" s="5">
        <v>542126</v>
      </c>
      <c r="E13129" s="5" t="s">
        <v>15368</v>
      </c>
    </row>
    <row r="13130" spans="2:5">
      <c r="B13130" s="4" t="s">
        <v>12345</v>
      </c>
      <c r="C13130" s="129" t="s">
        <v>12346</v>
      </c>
      <c r="D13130" s="5">
        <v>542127</v>
      </c>
      <c r="E13130" s="5" t="s">
        <v>15369</v>
      </c>
    </row>
    <row r="13131" spans="2:5">
      <c r="B13131" s="4" t="s">
        <v>12345</v>
      </c>
      <c r="C13131" s="129" t="s">
        <v>12346</v>
      </c>
      <c r="D13131" s="5">
        <v>542128</v>
      </c>
      <c r="E13131" s="5" t="s">
        <v>15370</v>
      </c>
    </row>
    <row r="13132" spans="2:5">
      <c r="B13132" s="4" t="s">
        <v>12345</v>
      </c>
      <c r="C13132" s="129" t="s">
        <v>12346</v>
      </c>
      <c r="D13132" s="5">
        <v>542129</v>
      </c>
      <c r="E13132" s="5" t="s">
        <v>15371</v>
      </c>
    </row>
    <row r="13133" spans="2:5">
      <c r="B13133" s="4" t="s">
        <v>12345</v>
      </c>
      <c r="C13133" s="129" t="s">
        <v>12346</v>
      </c>
      <c r="D13133" s="5">
        <v>542132</v>
      </c>
      <c r="E13133" s="5" t="s">
        <v>15372</v>
      </c>
    </row>
    <row r="13134" spans="2:5">
      <c r="B13134" s="4" t="s">
        <v>12345</v>
      </c>
      <c r="C13134" s="129" t="s">
        <v>12346</v>
      </c>
      <c r="D13134" s="5">
        <v>542133</v>
      </c>
      <c r="E13134" s="5" t="s">
        <v>15373</v>
      </c>
    </row>
    <row r="13135" spans="2:5">
      <c r="B13135" s="4" t="s">
        <v>12345</v>
      </c>
      <c r="C13135" s="129" t="s">
        <v>12346</v>
      </c>
      <c r="D13135" s="5">
        <v>542200</v>
      </c>
      <c r="E13135" s="5" t="s">
        <v>15374</v>
      </c>
    </row>
    <row r="13136" spans="2:5">
      <c r="B13136" s="4" t="s">
        <v>12345</v>
      </c>
      <c r="C13136" s="129" t="s">
        <v>12346</v>
      </c>
      <c r="D13136" s="5">
        <v>542221</v>
      </c>
      <c r="E13136" s="5" t="s">
        <v>15375</v>
      </c>
    </row>
    <row r="13137" spans="2:5">
      <c r="B13137" s="4" t="s">
        <v>12345</v>
      </c>
      <c r="C13137" s="129" t="s">
        <v>12346</v>
      </c>
      <c r="D13137" s="5">
        <v>542222</v>
      </c>
      <c r="E13137" s="5" t="s">
        <v>15376</v>
      </c>
    </row>
    <row r="13138" spans="2:5">
      <c r="B13138" s="4" t="s">
        <v>12345</v>
      </c>
      <c r="C13138" s="129" t="s">
        <v>12346</v>
      </c>
      <c r="D13138" s="5">
        <v>542223</v>
      </c>
      <c r="E13138" s="5" t="s">
        <v>15377</v>
      </c>
    </row>
    <row r="13139" spans="2:5">
      <c r="B13139" s="4" t="s">
        <v>12345</v>
      </c>
      <c r="C13139" s="129" t="s">
        <v>12346</v>
      </c>
      <c r="D13139" s="5">
        <v>542224</v>
      </c>
      <c r="E13139" s="5" t="s">
        <v>15378</v>
      </c>
    </row>
    <row r="13140" spans="2:5">
      <c r="B13140" s="4" t="s">
        <v>12345</v>
      </c>
      <c r="C13140" s="129" t="s">
        <v>12346</v>
      </c>
      <c r="D13140" s="5">
        <v>542225</v>
      </c>
      <c r="E13140" s="5" t="s">
        <v>15379</v>
      </c>
    </row>
    <row r="13141" spans="2:5">
      <c r="B13141" s="4" t="s">
        <v>12345</v>
      </c>
      <c r="C13141" s="129" t="s">
        <v>12346</v>
      </c>
      <c r="D13141" s="5">
        <v>542226</v>
      </c>
      <c r="E13141" s="5" t="s">
        <v>15380</v>
      </c>
    </row>
    <row r="13142" spans="2:5">
      <c r="B13142" s="4" t="s">
        <v>12345</v>
      </c>
      <c r="C13142" s="129" t="s">
        <v>12346</v>
      </c>
      <c r="D13142" s="5">
        <v>542227</v>
      </c>
      <c r="E13142" s="5" t="s">
        <v>15381</v>
      </c>
    </row>
    <row r="13143" spans="2:5">
      <c r="B13143" s="4" t="s">
        <v>12345</v>
      </c>
      <c r="C13143" s="129" t="s">
        <v>12346</v>
      </c>
      <c r="D13143" s="5">
        <v>542228</v>
      </c>
      <c r="E13143" s="5" t="s">
        <v>15382</v>
      </c>
    </row>
    <row r="13144" spans="2:5">
      <c r="B13144" s="4" t="s">
        <v>12345</v>
      </c>
      <c r="C13144" s="129" t="s">
        <v>12346</v>
      </c>
      <c r="D13144" s="5">
        <v>542229</v>
      </c>
      <c r="E13144" s="5" t="s">
        <v>15383</v>
      </c>
    </row>
    <row r="13145" spans="2:5">
      <c r="B13145" s="4" t="s">
        <v>12345</v>
      </c>
      <c r="C13145" s="129" t="s">
        <v>12346</v>
      </c>
      <c r="D13145" s="5">
        <v>542231</v>
      </c>
      <c r="E13145" s="5" t="s">
        <v>15384</v>
      </c>
    </row>
    <row r="13146" spans="2:5">
      <c r="B13146" s="4" t="s">
        <v>12345</v>
      </c>
      <c r="C13146" s="129" t="s">
        <v>12346</v>
      </c>
      <c r="D13146" s="5">
        <v>542232</v>
      </c>
      <c r="E13146" s="5" t="s">
        <v>15385</v>
      </c>
    </row>
    <row r="13147" spans="2:5">
      <c r="B13147" s="4" t="s">
        <v>12345</v>
      </c>
      <c r="C13147" s="129" t="s">
        <v>12346</v>
      </c>
      <c r="D13147" s="5">
        <v>542233</v>
      </c>
      <c r="E13147" s="5" t="s">
        <v>15386</v>
      </c>
    </row>
    <row r="13148" spans="2:5">
      <c r="B13148" s="4" t="s">
        <v>12345</v>
      </c>
      <c r="C13148" s="129" t="s">
        <v>12346</v>
      </c>
      <c r="D13148" s="5">
        <v>542400</v>
      </c>
      <c r="E13148" s="5" t="s">
        <v>15387</v>
      </c>
    </row>
    <row r="13149" spans="2:5">
      <c r="B13149" s="4" t="s">
        <v>12345</v>
      </c>
      <c r="C13149" s="129" t="s">
        <v>12346</v>
      </c>
      <c r="D13149" s="5">
        <v>542421</v>
      </c>
      <c r="E13149" s="5" t="s">
        <v>15388</v>
      </c>
    </row>
    <row r="13150" spans="2:5">
      <c r="B13150" s="4" t="s">
        <v>12345</v>
      </c>
      <c r="C13150" s="129" t="s">
        <v>12346</v>
      </c>
      <c r="D13150" s="5">
        <v>542422</v>
      </c>
      <c r="E13150" s="5" t="s">
        <v>15389</v>
      </c>
    </row>
    <row r="13151" spans="2:5">
      <c r="B13151" s="4" t="s">
        <v>12345</v>
      </c>
      <c r="C13151" s="129" t="s">
        <v>12346</v>
      </c>
      <c r="D13151" s="5">
        <v>542423</v>
      </c>
      <c r="E13151" s="5" t="s">
        <v>15390</v>
      </c>
    </row>
    <row r="13152" spans="2:5">
      <c r="B13152" s="4" t="s">
        <v>12345</v>
      </c>
      <c r="C13152" s="129" t="s">
        <v>12346</v>
      </c>
      <c r="D13152" s="5">
        <v>542424</v>
      </c>
      <c r="E13152" s="5" t="s">
        <v>15391</v>
      </c>
    </row>
    <row r="13153" spans="2:5">
      <c r="B13153" s="4" t="s">
        <v>12345</v>
      </c>
      <c r="C13153" s="129" t="s">
        <v>12346</v>
      </c>
      <c r="D13153" s="5">
        <v>542425</v>
      </c>
      <c r="E13153" s="5" t="s">
        <v>15392</v>
      </c>
    </row>
    <row r="13154" spans="2:5">
      <c r="B13154" s="4" t="s">
        <v>12345</v>
      </c>
      <c r="C13154" s="129" t="s">
        <v>12346</v>
      </c>
      <c r="D13154" s="5">
        <v>542426</v>
      </c>
      <c r="E13154" s="5" t="s">
        <v>15393</v>
      </c>
    </row>
    <row r="13155" spans="2:5">
      <c r="B13155" s="4" t="s">
        <v>12345</v>
      </c>
      <c r="C13155" s="129" t="s">
        <v>12346</v>
      </c>
      <c r="D13155" s="5">
        <v>542427</v>
      </c>
      <c r="E13155" s="5" t="s">
        <v>15394</v>
      </c>
    </row>
    <row r="13156" spans="2:5">
      <c r="B13156" s="4" t="s">
        <v>12345</v>
      </c>
      <c r="C13156" s="129" t="s">
        <v>12346</v>
      </c>
      <c r="D13156" s="5">
        <v>542428</v>
      </c>
      <c r="E13156" s="5" t="s">
        <v>15395</v>
      </c>
    </row>
    <row r="13157" spans="2:5">
      <c r="B13157" s="4" t="s">
        <v>12345</v>
      </c>
      <c r="C13157" s="129" t="s">
        <v>12346</v>
      </c>
      <c r="D13157" s="5">
        <v>542429</v>
      </c>
      <c r="E13157" s="5" t="s">
        <v>15396</v>
      </c>
    </row>
    <row r="13158" spans="2:5">
      <c r="B13158" s="4" t="s">
        <v>12345</v>
      </c>
      <c r="C13158" s="129" t="s">
        <v>12346</v>
      </c>
      <c r="D13158" s="5">
        <v>542430</v>
      </c>
      <c r="E13158" s="5" t="s">
        <v>15397</v>
      </c>
    </row>
    <row r="13159" spans="2:5">
      <c r="B13159" s="4" t="s">
        <v>12345</v>
      </c>
      <c r="C13159" s="129" t="s">
        <v>12346</v>
      </c>
      <c r="D13159" s="5">
        <v>542431</v>
      </c>
      <c r="E13159" s="5" t="s">
        <v>15398</v>
      </c>
    </row>
    <row r="13160" spans="2:5">
      <c r="B13160" s="4" t="s">
        <v>12345</v>
      </c>
      <c r="C13160" s="129" t="s">
        <v>12346</v>
      </c>
      <c r="D13160" s="5">
        <v>542500</v>
      </c>
      <c r="E13160" s="5" t="s">
        <v>15399</v>
      </c>
    </row>
    <row r="13161" spans="2:5">
      <c r="B13161" s="4" t="s">
        <v>12345</v>
      </c>
      <c r="C13161" s="129" t="s">
        <v>12346</v>
      </c>
      <c r="D13161" s="5">
        <v>542521</v>
      </c>
      <c r="E13161" s="5" t="s">
        <v>15400</v>
      </c>
    </row>
    <row r="13162" spans="2:5">
      <c r="B13162" s="4" t="s">
        <v>12345</v>
      </c>
      <c r="C13162" s="129" t="s">
        <v>12346</v>
      </c>
      <c r="D13162" s="5">
        <v>542522</v>
      </c>
      <c r="E13162" s="5" t="s">
        <v>15401</v>
      </c>
    </row>
    <row r="13163" spans="2:5">
      <c r="B13163" s="4" t="s">
        <v>12345</v>
      </c>
      <c r="C13163" s="129" t="s">
        <v>12346</v>
      </c>
      <c r="D13163" s="5">
        <v>542523</v>
      </c>
      <c r="E13163" s="5" t="s">
        <v>15402</v>
      </c>
    </row>
    <row r="13164" spans="2:5">
      <c r="B13164" s="4" t="s">
        <v>12345</v>
      </c>
      <c r="C13164" s="129" t="s">
        <v>12346</v>
      </c>
      <c r="D13164" s="5">
        <v>542524</v>
      </c>
      <c r="E13164" s="5" t="s">
        <v>15403</v>
      </c>
    </row>
    <row r="13165" spans="2:5">
      <c r="B13165" s="4" t="s">
        <v>12345</v>
      </c>
      <c r="C13165" s="129" t="s">
        <v>12346</v>
      </c>
      <c r="D13165" s="5">
        <v>542525</v>
      </c>
      <c r="E13165" s="5" t="s">
        <v>15404</v>
      </c>
    </row>
    <row r="13166" spans="2:5">
      <c r="B13166" s="4" t="s">
        <v>12345</v>
      </c>
      <c r="C13166" s="129" t="s">
        <v>12346</v>
      </c>
      <c r="D13166" s="5">
        <v>542526</v>
      </c>
      <c r="E13166" s="5" t="s">
        <v>15405</v>
      </c>
    </row>
    <row r="13167" spans="2:5">
      <c r="B13167" s="4" t="s">
        <v>12345</v>
      </c>
      <c r="C13167" s="129" t="s">
        <v>12346</v>
      </c>
      <c r="D13167" s="5">
        <v>542527</v>
      </c>
      <c r="E13167" s="5" t="s">
        <v>15406</v>
      </c>
    </row>
    <row r="13168" spans="2:5">
      <c r="B13168" s="4" t="s">
        <v>12345</v>
      </c>
      <c r="C13168" s="129" t="s">
        <v>12346</v>
      </c>
      <c r="D13168" s="5">
        <v>542600</v>
      </c>
      <c r="E13168" s="5" t="s">
        <v>15407</v>
      </c>
    </row>
    <row r="13169" spans="2:5">
      <c r="B13169" s="4" t="s">
        <v>12345</v>
      </c>
      <c r="C13169" s="129" t="s">
        <v>12346</v>
      </c>
      <c r="D13169" s="5">
        <v>542621</v>
      </c>
      <c r="E13169" s="5" t="s">
        <v>15408</v>
      </c>
    </row>
    <row r="13170" spans="2:5">
      <c r="B13170" s="4" t="s">
        <v>12345</v>
      </c>
      <c r="C13170" s="129" t="s">
        <v>12346</v>
      </c>
      <c r="D13170" s="5">
        <v>542622</v>
      </c>
      <c r="E13170" s="5" t="s">
        <v>15409</v>
      </c>
    </row>
    <row r="13171" spans="2:5">
      <c r="B13171" s="4" t="s">
        <v>12345</v>
      </c>
      <c r="C13171" s="129" t="s">
        <v>12346</v>
      </c>
      <c r="D13171" s="5">
        <v>542623</v>
      </c>
      <c r="E13171" s="5" t="s">
        <v>15410</v>
      </c>
    </row>
    <row r="13172" spans="2:5">
      <c r="B13172" s="4" t="s">
        <v>12345</v>
      </c>
      <c r="C13172" s="129" t="s">
        <v>12346</v>
      </c>
      <c r="D13172" s="5">
        <v>542624</v>
      </c>
      <c r="E13172" s="5" t="s">
        <v>15411</v>
      </c>
    </row>
    <row r="13173" spans="2:5">
      <c r="B13173" s="4" t="s">
        <v>12345</v>
      </c>
      <c r="C13173" s="129" t="s">
        <v>12346</v>
      </c>
      <c r="D13173" s="5">
        <v>542625</v>
      </c>
      <c r="E13173" s="5" t="s">
        <v>15412</v>
      </c>
    </row>
    <row r="13174" spans="2:5">
      <c r="B13174" s="4" t="s">
        <v>12345</v>
      </c>
      <c r="C13174" s="129" t="s">
        <v>12346</v>
      </c>
      <c r="D13174" s="5">
        <v>542626</v>
      </c>
      <c r="E13174" s="5" t="s">
        <v>15413</v>
      </c>
    </row>
    <row r="13175" spans="2:5">
      <c r="B13175" s="4" t="s">
        <v>12345</v>
      </c>
      <c r="C13175" s="129" t="s">
        <v>12346</v>
      </c>
      <c r="D13175" s="5">
        <v>542627</v>
      </c>
      <c r="E13175" s="5" t="s">
        <v>15414</v>
      </c>
    </row>
    <row r="13176" spans="2:5">
      <c r="B13176" s="4" t="s">
        <v>12345</v>
      </c>
      <c r="C13176" s="129" t="s">
        <v>12346</v>
      </c>
      <c r="D13176" s="5">
        <v>610000</v>
      </c>
      <c r="E13176" s="5" t="s">
        <v>15415</v>
      </c>
    </row>
    <row r="13177" spans="2:5">
      <c r="B13177" s="4" t="s">
        <v>12345</v>
      </c>
      <c r="C13177" s="129" t="s">
        <v>12346</v>
      </c>
      <c r="D13177" s="5">
        <v>610100</v>
      </c>
      <c r="E13177" s="5" t="s">
        <v>15416</v>
      </c>
    </row>
    <row r="13178" spans="2:5">
      <c r="B13178" s="4" t="s">
        <v>12345</v>
      </c>
      <c r="C13178" s="129" t="s">
        <v>12346</v>
      </c>
      <c r="D13178" s="5">
        <v>610101</v>
      </c>
      <c r="E13178" s="5" t="s">
        <v>15417</v>
      </c>
    </row>
    <row r="13179" spans="2:5">
      <c r="B13179" s="4" t="s">
        <v>12345</v>
      </c>
      <c r="C13179" s="129" t="s">
        <v>12346</v>
      </c>
      <c r="D13179" s="5">
        <v>610102</v>
      </c>
      <c r="E13179" s="5" t="s">
        <v>15418</v>
      </c>
    </row>
    <row r="13180" spans="2:5">
      <c r="B13180" s="4" t="s">
        <v>12345</v>
      </c>
      <c r="C13180" s="129" t="s">
        <v>12346</v>
      </c>
      <c r="D13180" s="5">
        <v>610103</v>
      </c>
      <c r="E13180" s="5" t="s">
        <v>15419</v>
      </c>
    </row>
    <row r="13181" spans="2:5">
      <c r="B13181" s="4" t="s">
        <v>12345</v>
      </c>
      <c r="C13181" s="129" t="s">
        <v>12346</v>
      </c>
      <c r="D13181" s="5">
        <v>610104</v>
      </c>
      <c r="E13181" s="5" t="s">
        <v>15420</v>
      </c>
    </row>
    <row r="13182" spans="2:5">
      <c r="B13182" s="4" t="s">
        <v>12345</v>
      </c>
      <c r="C13182" s="129" t="s">
        <v>12346</v>
      </c>
      <c r="D13182" s="5">
        <v>610111</v>
      </c>
      <c r="E13182" s="5" t="s">
        <v>15421</v>
      </c>
    </row>
    <row r="13183" spans="2:5">
      <c r="B13183" s="4" t="s">
        <v>12345</v>
      </c>
      <c r="C13183" s="129" t="s">
        <v>12346</v>
      </c>
      <c r="D13183" s="5">
        <v>610112</v>
      </c>
      <c r="E13183" s="5" t="s">
        <v>15422</v>
      </c>
    </row>
    <row r="13184" spans="2:5">
      <c r="B13184" s="4" t="s">
        <v>12345</v>
      </c>
      <c r="C13184" s="129" t="s">
        <v>12346</v>
      </c>
      <c r="D13184" s="5">
        <v>610113</v>
      </c>
      <c r="E13184" s="5" t="s">
        <v>15423</v>
      </c>
    </row>
    <row r="13185" spans="2:5">
      <c r="B13185" s="4" t="s">
        <v>12345</v>
      </c>
      <c r="C13185" s="129" t="s">
        <v>12346</v>
      </c>
      <c r="D13185" s="5">
        <v>610114</v>
      </c>
      <c r="E13185" s="5" t="s">
        <v>15424</v>
      </c>
    </row>
    <row r="13186" spans="2:5">
      <c r="B13186" s="4" t="s">
        <v>12345</v>
      </c>
      <c r="C13186" s="129" t="s">
        <v>12346</v>
      </c>
      <c r="D13186" s="5">
        <v>610115</v>
      </c>
      <c r="E13186" s="5" t="s">
        <v>15425</v>
      </c>
    </row>
    <row r="13187" spans="2:5">
      <c r="B13187" s="4" t="s">
        <v>12345</v>
      </c>
      <c r="C13187" s="129" t="s">
        <v>12346</v>
      </c>
      <c r="D13187" s="5">
        <v>610116</v>
      </c>
      <c r="E13187" s="5" t="s">
        <v>15426</v>
      </c>
    </row>
    <row r="13188" spans="2:5">
      <c r="B13188" s="4" t="s">
        <v>12345</v>
      </c>
      <c r="C13188" s="129" t="s">
        <v>12346</v>
      </c>
      <c r="D13188" s="5">
        <v>610122</v>
      </c>
      <c r="E13188" s="5" t="s">
        <v>15427</v>
      </c>
    </row>
    <row r="13189" spans="2:5">
      <c r="B13189" s="4" t="s">
        <v>12345</v>
      </c>
      <c r="C13189" s="129" t="s">
        <v>12346</v>
      </c>
      <c r="D13189" s="5">
        <v>610124</v>
      </c>
      <c r="E13189" s="5" t="s">
        <v>15428</v>
      </c>
    </row>
    <row r="13190" spans="2:5">
      <c r="B13190" s="4" t="s">
        <v>12345</v>
      </c>
      <c r="C13190" s="129" t="s">
        <v>12346</v>
      </c>
      <c r="D13190" s="5">
        <v>610125</v>
      </c>
      <c r="E13190" s="5" t="s">
        <v>15429</v>
      </c>
    </row>
    <row r="13191" spans="2:5">
      <c r="B13191" s="4" t="s">
        <v>12345</v>
      </c>
      <c r="C13191" s="129" t="s">
        <v>12346</v>
      </c>
      <c r="D13191" s="5">
        <v>610126</v>
      </c>
      <c r="E13191" s="5" t="s">
        <v>15430</v>
      </c>
    </row>
    <row r="13192" spans="2:5">
      <c r="B13192" s="4" t="s">
        <v>12345</v>
      </c>
      <c r="C13192" s="129" t="s">
        <v>12346</v>
      </c>
      <c r="D13192" s="5">
        <v>610200</v>
      </c>
      <c r="E13192" s="5" t="s">
        <v>15431</v>
      </c>
    </row>
    <row r="13193" spans="2:5">
      <c r="B13193" s="4" t="s">
        <v>12345</v>
      </c>
      <c r="C13193" s="129" t="s">
        <v>12346</v>
      </c>
      <c r="D13193" s="5">
        <v>610201</v>
      </c>
      <c r="E13193" s="5" t="s">
        <v>15432</v>
      </c>
    </row>
    <row r="13194" spans="2:5">
      <c r="B13194" s="4" t="s">
        <v>12345</v>
      </c>
      <c r="C13194" s="129" t="s">
        <v>12346</v>
      </c>
      <c r="D13194" s="5">
        <v>610202</v>
      </c>
      <c r="E13194" s="5" t="s">
        <v>15433</v>
      </c>
    </row>
    <row r="13195" spans="2:5">
      <c r="B13195" s="4" t="s">
        <v>12345</v>
      </c>
      <c r="C13195" s="129" t="s">
        <v>12346</v>
      </c>
      <c r="D13195" s="5">
        <v>610203</v>
      </c>
      <c r="E13195" s="5" t="s">
        <v>15434</v>
      </c>
    </row>
    <row r="13196" spans="2:5">
      <c r="B13196" s="4" t="s">
        <v>12345</v>
      </c>
      <c r="C13196" s="129" t="s">
        <v>12346</v>
      </c>
      <c r="D13196" s="5">
        <v>610204</v>
      </c>
      <c r="E13196" s="5" t="s">
        <v>15435</v>
      </c>
    </row>
    <row r="13197" spans="2:5">
      <c r="B13197" s="4" t="s">
        <v>12345</v>
      </c>
      <c r="C13197" s="129" t="s">
        <v>12346</v>
      </c>
      <c r="D13197" s="5">
        <v>610222</v>
      </c>
      <c r="E13197" s="5" t="s">
        <v>15436</v>
      </c>
    </row>
    <row r="13198" spans="2:5">
      <c r="B13198" s="4" t="s">
        <v>12345</v>
      </c>
      <c r="C13198" s="129" t="s">
        <v>12346</v>
      </c>
      <c r="D13198" s="5">
        <v>610300</v>
      </c>
      <c r="E13198" s="5" t="s">
        <v>15437</v>
      </c>
    </row>
    <row r="13199" spans="2:5">
      <c r="B13199" s="4" t="s">
        <v>12345</v>
      </c>
      <c r="C13199" s="129" t="s">
        <v>12346</v>
      </c>
      <c r="D13199" s="5">
        <v>610301</v>
      </c>
      <c r="E13199" s="5" t="s">
        <v>15438</v>
      </c>
    </row>
    <row r="13200" spans="2:5">
      <c r="B13200" s="4" t="s">
        <v>12345</v>
      </c>
      <c r="C13200" s="129" t="s">
        <v>12346</v>
      </c>
      <c r="D13200" s="5">
        <v>610302</v>
      </c>
      <c r="E13200" s="5" t="s">
        <v>15439</v>
      </c>
    </row>
    <row r="13201" spans="2:5">
      <c r="B13201" s="4" t="s">
        <v>12345</v>
      </c>
      <c r="C13201" s="129" t="s">
        <v>12346</v>
      </c>
      <c r="D13201" s="5">
        <v>610303</v>
      </c>
      <c r="E13201" s="5" t="s">
        <v>15440</v>
      </c>
    </row>
    <row r="13202" spans="2:5">
      <c r="B13202" s="4" t="s">
        <v>12345</v>
      </c>
      <c r="C13202" s="129" t="s">
        <v>12346</v>
      </c>
      <c r="D13202" s="5">
        <v>610304</v>
      </c>
      <c r="E13202" s="5" t="s">
        <v>15441</v>
      </c>
    </row>
    <row r="13203" spans="2:5">
      <c r="B13203" s="4" t="s">
        <v>12345</v>
      </c>
      <c r="C13203" s="129" t="s">
        <v>12346</v>
      </c>
      <c r="D13203" s="5">
        <v>610322</v>
      </c>
      <c r="E13203" s="5" t="s">
        <v>15442</v>
      </c>
    </row>
    <row r="13204" spans="2:5">
      <c r="B13204" s="4" t="s">
        <v>12345</v>
      </c>
      <c r="C13204" s="129" t="s">
        <v>12346</v>
      </c>
      <c r="D13204" s="5">
        <v>610323</v>
      </c>
      <c r="E13204" s="5" t="s">
        <v>15443</v>
      </c>
    </row>
    <row r="13205" spans="2:5">
      <c r="B13205" s="4" t="s">
        <v>12345</v>
      </c>
      <c r="C13205" s="129" t="s">
        <v>12346</v>
      </c>
      <c r="D13205" s="5">
        <v>610324</v>
      </c>
      <c r="E13205" s="5" t="s">
        <v>15444</v>
      </c>
    </row>
    <row r="13206" spans="2:5">
      <c r="B13206" s="4" t="s">
        <v>12345</v>
      </c>
      <c r="C13206" s="129" t="s">
        <v>12346</v>
      </c>
      <c r="D13206" s="5">
        <v>610326</v>
      </c>
      <c r="E13206" s="5" t="s">
        <v>15445</v>
      </c>
    </row>
    <row r="13207" spans="2:5">
      <c r="B13207" s="4" t="s">
        <v>12345</v>
      </c>
      <c r="C13207" s="129" t="s">
        <v>12346</v>
      </c>
      <c r="D13207" s="5">
        <v>610327</v>
      </c>
      <c r="E13207" s="5" t="s">
        <v>15446</v>
      </c>
    </row>
    <row r="13208" spans="2:5">
      <c r="B13208" s="4" t="s">
        <v>12345</v>
      </c>
      <c r="C13208" s="129" t="s">
        <v>12346</v>
      </c>
      <c r="D13208" s="5">
        <v>610328</v>
      </c>
      <c r="E13208" s="5" t="s">
        <v>15447</v>
      </c>
    </row>
    <row r="13209" spans="2:5">
      <c r="B13209" s="4" t="s">
        <v>12345</v>
      </c>
      <c r="C13209" s="129" t="s">
        <v>12346</v>
      </c>
      <c r="D13209" s="5">
        <v>610329</v>
      </c>
      <c r="E13209" s="5" t="s">
        <v>15448</v>
      </c>
    </row>
    <row r="13210" spans="2:5">
      <c r="B13210" s="4" t="s">
        <v>12345</v>
      </c>
      <c r="C13210" s="129" t="s">
        <v>12346</v>
      </c>
      <c r="D13210" s="5">
        <v>610330</v>
      </c>
      <c r="E13210" s="5" t="s">
        <v>15449</v>
      </c>
    </row>
    <row r="13211" spans="2:5">
      <c r="B13211" s="4" t="s">
        <v>12345</v>
      </c>
      <c r="C13211" s="129" t="s">
        <v>12346</v>
      </c>
      <c r="D13211" s="5">
        <v>610331</v>
      </c>
      <c r="E13211" s="5" t="s">
        <v>15450</v>
      </c>
    </row>
    <row r="13212" spans="2:5">
      <c r="B13212" s="4" t="s">
        <v>12345</v>
      </c>
      <c r="C13212" s="129" t="s">
        <v>12346</v>
      </c>
      <c r="D13212" s="5">
        <v>610400</v>
      </c>
      <c r="E13212" s="5" t="s">
        <v>15451</v>
      </c>
    </row>
    <row r="13213" spans="2:5">
      <c r="B13213" s="4" t="s">
        <v>12345</v>
      </c>
      <c r="C13213" s="129" t="s">
        <v>12346</v>
      </c>
      <c r="D13213" s="5">
        <v>610401</v>
      </c>
      <c r="E13213" s="5" t="s">
        <v>15452</v>
      </c>
    </row>
    <row r="13214" spans="2:5">
      <c r="B13214" s="4" t="s">
        <v>12345</v>
      </c>
      <c r="C13214" s="129" t="s">
        <v>12346</v>
      </c>
      <c r="D13214" s="5">
        <v>610402</v>
      </c>
      <c r="E13214" s="5" t="s">
        <v>15453</v>
      </c>
    </row>
    <row r="13215" spans="2:5">
      <c r="B13215" s="4" t="s">
        <v>12345</v>
      </c>
      <c r="C13215" s="129" t="s">
        <v>12346</v>
      </c>
      <c r="D13215" s="5">
        <v>610403</v>
      </c>
      <c r="E13215" s="5" t="s">
        <v>15454</v>
      </c>
    </row>
    <row r="13216" spans="2:5">
      <c r="B13216" s="4" t="s">
        <v>12345</v>
      </c>
      <c r="C13216" s="129" t="s">
        <v>12346</v>
      </c>
      <c r="D13216" s="5">
        <v>610404</v>
      </c>
      <c r="E13216" s="5" t="s">
        <v>15455</v>
      </c>
    </row>
    <row r="13217" spans="2:5">
      <c r="B13217" s="4" t="s">
        <v>12345</v>
      </c>
      <c r="C13217" s="129" t="s">
        <v>12346</v>
      </c>
      <c r="D13217" s="5">
        <v>610422</v>
      </c>
      <c r="E13217" s="5" t="s">
        <v>15456</v>
      </c>
    </row>
    <row r="13218" spans="2:5">
      <c r="B13218" s="4" t="s">
        <v>12345</v>
      </c>
      <c r="C13218" s="129" t="s">
        <v>12346</v>
      </c>
      <c r="D13218" s="5">
        <v>610423</v>
      </c>
      <c r="E13218" s="5" t="s">
        <v>15457</v>
      </c>
    </row>
    <row r="13219" spans="2:5">
      <c r="B13219" s="4" t="s">
        <v>12345</v>
      </c>
      <c r="C13219" s="129" t="s">
        <v>12346</v>
      </c>
      <c r="D13219" s="5">
        <v>610424</v>
      </c>
      <c r="E13219" s="5" t="s">
        <v>15458</v>
      </c>
    </row>
    <row r="13220" spans="2:5">
      <c r="B13220" s="4" t="s">
        <v>12345</v>
      </c>
      <c r="C13220" s="129" t="s">
        <v>12346</v>
      </c>
      <c r="D13220" s="5">
        <v>610425</v>
      </c>
      <c r="E13220" s="5" t="s">
        <v>15459</v>
      </c>
    </row>
    <row r="13221" spans="2:5">
      <c r="B13221" s="4" t="s">
        <v>12345</v>
      </c>
      <c r="C13221" s="129" t="s">
        <v>12346</v>
      </c>
      <c r="D13221" s="5">
        <v>610426</v>
      </c>
      <c r="E13221" s="5" t="s">
        <v>15460</v>
      </c>
    </row>
    <row r="13222" spans="2:5">
      <c r="B13222" s="4" t="s">
        <v>12345</v>
      </c>
      <c r="C13222" s="129" t="s">
        <v>12346</v>
      </c>
      <c r="D13222" s="5">
        <v>610427</v>
      </c>
      <c r="E13222" s="5" t="s">
        <v>15461</v>
      </c>
    </row>
    <row r="13223" spans="2:5">
      <c r="B13223" s="4" t="s">
        <v>12345</v>
      </c>
      <c r="C13223" s="129" t="s">
        <v>12346</v>
      </c>
      <c r="D13223" s="5">
        <v>610428</v>
      </c>
      <c r="E13223" s="5" t="s">
        <v>15462</v>
      </c>
    </row>
    <row r="13224" spans="2:5">
      <c r="B13224" s="4" t="s">
        <v>12345</v>
      </c>
      <c r="C13224" s="129" t="s">
        <v>12346</v>
      </c>
      <c r="D13224" s="5">
        <v>610429</v>
      </c>
      <c r="E13224" s="5" t="s">
        <v>15463</v>
      </c>
    </row>
    <row r="13225" spans="2:5">
      <c r="B13225" s="4" t="s">
        <v>12345</v>
      </c>
      <c r="C13225" s="129" t="s">
        <v>12346</v>
      </c>
      <c r="D13225" s="5">
        <v>610430</v>
      </c>
      <c r="E13225" s="5" t="s">
        <v>15464</v>
      </c>
    </row>
    <row r="13226" spans="2:5">
      <c r="B13226" s="4" t="s">
        <v>12345</v>
      </c>
      <c r="C13226" s="129" t="s">
        <v>12346</v>
      </c>
      <c r="D13226" s="5">
        <v>610431</v>
      </c>
      <c r="E13226" s="5" t="s">
        <v>15465</v>
      </c>
    </row>
    <row r="13227" spans="2:5">
      <c r="B13227" s="4" t="s">
        <v>12345</v>
      </c>
      <c r="C13227" s="129" t="s">
        <v>12346</v>
      </c>
      <c r="D13227" s="5">
        <v>610481</v>
      </c>
      <c r="E13227" s="5" t="s">
        <v>15466</v>
      </c>
    </row>
    <row r="13228" spans="2:5">
      <c r="B13228" s="4" t="s">
        <v>12345</v>
      </c>
      <c r="C13228" s="129" t="s">
        <v>12346</v>
      </c>
      <c r="D13228" s="5">
        <v>610500</v>
      </c>
      <c r="E13228" s="5" t="s">
        <v>15467</v>
      </c>
    </row>
    <row r="13229" spans="2:5">
      <c r="B13229" s="4" t="s">
        <v>12345</v>
      </c>
      <c r="C13229" s="129" t="s">
        <v>12346</v>
      </c>
      <c r="D13229" s="5">
        <v>610501</v>
      </c>
      <c r="E13229" s="5" t="s">
        <v>15468</v>
      </c>
    </row>
    <row r="13230" spans="2:5">
      <c r="B13230" s="4" t="s">
        <v>12345</v>
      </c>
      <c r="C13230" s="129" t="s">
        <v>12346</v>
      </c>
      <c r="D13230" s="5">
        <v>610502</v>
      </c>
      <c r="E13230" s="5" t="s">
        <v>15469</v>
      </c>
    </row>
    <row r="13231" spans="2:5">
      <c r="B13231" s="4" t="s">
        <v>12345</v>
      </c>
      <c r="C13231" s="129" t="s">
        <v>12346</v>
      </c>
      <c r="D13231" s="5">
        <v>610521</v>
      </c>
      <c r="E13231" s="5" t="s">
        <v>15470</v>
      </c>
    </row>
    <row r="13232" spans="2:5">
      <c r="B13232" s="4" t="s">
        <v>12345</v>
      </c>
      <c r="C13232" s="129" t="s">
        <v>12346</v>
      </c>
      <c r="D13232" s="5">
        <v>610522</v>
      </c>
      <c r="E13232" s="5" t="s">
        <v>15471</v>
      </c>
    </row>
    <row r="13233" spans="2:5">
      <c r="B13233" s="4" t="s">
        <v>12345</v>
      </c>
      <c r="C13233" s="129" t="s">
        <v>12346</v>
      </c>
      <c r="D13233" s="5">
        <v>610523</v>
      </c>
      <c r="E13233" s="5" t="s">
        <v>15472</v>
      </c>
    </row>
    <row r="13234" spans="2:5">
      <c r="B13234" s="4" t="s">
        <v>12345</v>
      </c>
      <c r="C13234" s="129" t="s">
        <v>12346</v>
      </c>
      <c r="D13234" s="5">
        <v>610524</v>
      </c>
      <c r="E13234" s="5" t="s">
        <v>15473</v>
      </c>
    </row>
    <row r="13235" spans="2:5">
      <c r="B13235" s="4" t="s">
        <v>12345</v>
      </c>
      <c r="C13235" s="129" t="s">
        <v>12346</v>
      </c>
      <c r="D13235" s="5">
        <v>610525</v>
      </c>
      <c r="E13235" s="5" t="s">
        <v>15474</v>
      </c>
    </row>
    <row r="13236" spans="2:5">
      <c r="B13236" s="4" t="s">
        <v>12345</v>
      </c>
      <c r="C13236" s="129" t="s">
        <v>12346</v>
      </c>
      <c r="D13236" s="5">
        <v>610526</v>
      </c>
      <c r="E13236" s="5" t="s">
        <v>15475</v>
      </c>
    </row>
    <row r="13237" spans="2:5">
      <c r="B13237" s="4" t="s">
        <v>12345</v>
      </c>
      <c r="C13237" s="129" t="s">
        <v>12346</v>
      </c>
      <c r="D13237" s="5">
        <v>610527</v>
      </c>
      <c r="E13237" s="5" t="s">
        <v>15476</v>
      </c>
    </row>
    <row r="13238" spans="2:5">
      <c r="B13238" s="4" t="s">
        <v>12345</v>
      </c>
      <c r="C13238" s="129" t="s">
        <v>12346</v>
      </c>
      <c r="D13238" s="5">
        <v>610528</v>
      </c>
      <c r="E13238" s="5" t="s">
        <v>15477</v>
      </c>
    </row>
    <row r="13239" spans="2:5">
      <c r="B13239" s="4" t="s">
        <v>12345</v>
      </c>
      <c r="C13239" s="129" t="s">
        <v>12346</v>
      </c>
      <c r="D13239" s="5">
        <v>610581</v>
      </c>
      <c r="E13239" s="5" t="s">
        <v>15478</v>
      </c>
    </row>
    <row r="13240" spans="2:5">
      <c r="B13240" s="4" t="s">
        <v>12345</v>
      </c>
      <c r="C13240" s="129" t="s">
        <v>12346</v>
      </c>
      <c r="D13240" s="5">
        <v>610582</v>
      </c>
      <c r="E13240" s="5" t="s">
        <v>15479</v>
      </c>
    </row>
    <row r="13241" spans="2:5">
      <c r="B13241" s="4" t="s">
        <v>12345</v>
      </c>
      <c r="C13241" s="129" t="s">
        <v>12346</v>
      </c>
      <c r="D13241" s="5">
        <v>610600</v>
      </c>
      <c r="E13241" s="5" t="s">
        <v>15480</v>
      </c>
    </row>
    <row r="13242" spans="2:5">
      <c r="B13242" s="4" t="s">
        <v>12345</v>
      </c>
      <c r="C13242" s="129" t="s">
        <v>12346</v>
      </c>
      <c r="D13242" s="5">
        <v>610601</v>
      </c>
      <c r="E13242" s="5" t="s">
        <v>15481</v>
      </c>
    </row>
    <row r="13243" spans="2:5">
      <c r="B13243" s="4" t="s">
        <v>12345</v>
      </c>
      <c r="C13243" s="129" t="s">
        <v>12346</v>
      </c>
      <c r="D13243" s="5">
        <v>610602</v>
      </c>
      <c r="E13243" s="5" t="s">
        <v>15482</v>
      </c>
    </row>
    <row r="13244" spans="2:5">
      <c r="B13244" s="4" t="s">
        <v>12345</v>
      </c>
      <c r="C13244" s="129" t="s">
        <v>12346</v>
      </c>
      <c r="D13244" s="5">
        <v>610621</v>
      </c>
      <c r="E13244" s="5" t="s">
        <v>15483</v>
      </c>
    </row>
    <row r="13245" spans="2:5">
      <c r="B13245" s="4" t="s">
        <v>12345</v>
      </c>
      <c r="C13245" s="129" t="s">
        <v>12346</v>
      </c>
      <c r="D13245" s="5">
        <v>610622</v>
      </c>
      <c r="E13245" s="5" t="s">
        <v>15484</v>
      </c>
    </row>
    <row r="13246" spans="2:5">
      <c r="B13246" s="4" t="s">
        <v>12345</v>
      </c>
      <c r="C13246" s="129" t="s">
        <v>12346</v>
      </c>
      <c r="D13246" s="5">
        <v>610623</v>
      </c>
      <c r="E13246" s="5" t="s">
        <v>15485</v>
      </c>
    </row>
    <row r="13247" spans="2:5">
      <c r="B13247" s="4" t="s">
        <v>12345</v>
      </c>
      <c r="C13247" s="129" t="s">
        <v>12346</v>
      </c>
      <c r="D13247" s="5">
        <v>610624</v>
      </c>
      <c r="E13247" s="5" t="s">
        <v>15486</v>
      </c>
    </row>
    <row r="13248" spans="2:5">
      <c r="B13248" s="4" t="s">
        <v>12345</v>
      </c>
      <c r="C13248" s="129" t="s">
        <v>12346</v>
      </c>
      <c r="D13248" s="5">
        <v>610625</v>
      </c>
      <c r="E13248" s="5" t="s">
        <v>15487</v>
      </c>
    </row>
    <row r="13249" spans="2:5">
      <c r="B13249" s="4" t="s">
        <v>12345</v>
      </c>
      <c r="C13249" s="129" t="s">
        <v>12346</v>
      </c>
      <c r="D13249" s="5">
        <v>610626</v>
      </c>
      <c r="E13249" s="5" t="s">
        <v>15488</v>
      </c>
    </row>
    <row r="13250" spans="2:5">
      <c r="B13250" s="4" t="s">
        <v>12345</v>
      </c>
      <c r="C13250" s="129" t="s">
        <v>12346</v>
      </c>
      <c r="D13250" s="5">
        <v>610627</v>
      </c>
      <c r="E13250" s="5" t="s">
        <v>15489</v>
      </c>
    </row>
    <row r="13251" spans="2:5">
      <c r="B13251" s="4" t="s">
        <v>12345</v>
      </c>
      <c r="C13251" s="129" t="s">
        <v>12346</v>
      </c>
      <c r="D13251" s="5">
        <v>610628</v>
      </c>
      <c r="E13251" s="5" t="s">
        <v>15490</v>
      </c>
    </row>
    <row r="13252" spans="2:5">
      <c r="B13252" s="4" t="s">
        <v>12345</v>
      </c>
      <c r="C13252" s="129" t="s">
        <v>12346</v>
      </c>
      <c r="D13252" s="5">
        <v>610629</v>
      </c>
      <c r="E13252" s="5" t="s">
        <v>15491</v>
      </c>
    </row>
    <row r="13253" spans="2:5">
      <c r="B13253" s="4" t="s">
        <v>12345</v>
      </c>
      <c r="C13253" s="129" t="s">
        <v>12346</v>
      </c>
      <c r="D13253" s="5">
        <v>610630</v>
      </c>
      <c r="E13253" s="5" t="s">
        <v>15492</v>
      </c>
    </row>
    <row r="13254" spans="2:5">
      <c r="B13254" s="4" t="s">
        <v>12345</v>
      </c>
      <c r="C13254" s="129" t="s">
        <v>12346</v>
      </c>
      <c r="D13254" s="5">
        <v>610631</v>
      </c>
      <c r="E13254" s="5" t="s">
        <v>15493</v>
      </c>
    </row>
    <row r="13255" spans="2:5">
      <c r="B13255" s="4" t="s">
        <v>12345</v>
      </c>
      <c r="C13255" s="129" t="s">
        <v>12346</v>
      </c>
      <c r="D13255" s="5">
        <v>610632</v>
      </c>
      <c r="E13255" s="5" t="s">
        <v>15494</v>
      </c>
    </row>
    <row r="13256" spans="2:5">
      <c r="B13256" s="4" t="s">
        <v>12345</v>
      </c>
      <c r="C13256" s="129" t="s">
        <v>12346</v>
      </c>
      <c r="D13256" s="5">
        <v>610700</v>
      </c>
      <c r="E13256" s="5" t="s">
        <v>15495</v>
      </c>
    </row>
    <row r="13257" spans="2:5">
      <c r="B13257" s="4" t="s">
        <v>12345</v>
      </c>
      <c r="C13257" s="129" t="s">
        <v>12346</v>
      </c>
      <c r="D13257" s="5">
        <v>610701</v>
      </c>
      <c r="E13257" s="5" t="s">
        <v>15496</v>
      </c>
    </row>
    <row r="13258" spans="2:5">
      <c r="B13258" s="4" t="s">
        <v>12345</v>
      </c>
      <c r="C13258" s="129" t="s">
        <v>12346</v>
      </c>
      <c r="D13258" s="5">
        <v>610702</v>
      </c>
      <c r="E13258" s="5" t="s">
        <v>15497</v>
      </c>
    </row>
    <row r="13259" spans="2:5">
      <c r="B13259" s="4" t="s">
        <v>12345</v>
      </c>
      <c r="C13259" s="129" t="s">
        <v>12346</v>
      </c>
      <c r="D13259" s="5">
        <v>610721</v>
      </c>
      <c r="E13259" s="5" t="s">
        <v>15498</v>
      </c>
    </row>
    <row r="13260" spans="2:5">
      <c r="B13260" s="4" t="s">
        <v>12345</v>
      </c>
      <c r="C13260" s="129" t="s">
        <v>12346</v>
      </c>
      <c r="D13260" s="5">
        <v>610722</v>
      </c>
      <c r="E13260" s="5" t="s">
        <v>15499</v>
      </c>
    </row>
    <row r="13261" spans="2:5">
      <c r="B13261" s="4" t="s">
        <v>12345</v>
      </c>
      <c r="C13261" s="129" t="s">
        <v>12346</v>
      </c>
      <c r="D13261" s="5">
        <v>610723</v>
      </c>
      <c r="E13261" s="5" t="s">
        <v>15500</v>
      </c>
    </row>
    <row r="13262" spans="2:5">
      <c r="B13262" s="4" t="s">
        <v>12345</v>
      </c>
      <c r="C13262" s="129" t="s">
        <v>12346</v>
      </c>
      <c r="D13262" s="5">
        <v>610724</v>
      </c>
      <c r="E13262" s="5" t="s">
        <v>15501</v>
      </c>
    </row>
    <row r="13263" spans="2:5">
      <c r="B13263" s="4" t="s">
        <v>12345</v>
      </c>
      <c r="C13263" s="129" t="s">
        <v>12346</v>
      </c>
      <c r="D13263" s="5">
        <v>610725</v>
      </c>
      <c r="E13263" s="5" t="s">
        <v>15502</v>
      </c>
    </row>
    <row r="13264" spans="2:5">
      <c r="B13264" s="4" t="s">
        <v>12345</v>
      </c>
      <c r="C13264" s="129" t="s">
        <v>12346</v>
      </c>
      <c r="D13264" s="5">
        <v>610726</v>
      </c>
      <c r="E13264" s="5" t="s">
        <v>15503</v>
      </c>
    </row>
    <row r="13265" spans="2:5">
      <c r="B13265" s="4" t="s">
        <v>12345</v>
      </c>
      <c r="C13265" s="129" t="s">
        <v>12346</v>
      </c>
      <c r="D13265" s="5">
        <v>610727</v>
      </c>
      <c r="E13265" s="5" t="s">
        <v>15504</v>
      </c>
    </row>
    <row r="13266" spans="2:5">
      <c r="B13266" s="4" t="s">
        <v>12345</v>
      </c>
      <c r="C13266" s="129" t="s">
        <v>12346</v>
      </c>
      <c r="D13266" s="5">
        <v>610728</v>
      </c>
      <c r="E13266" s="5" t="s">
        <v>15505</v>
      </c>
    </row>
    <row r="13267" spans="2:5">
      <c r="B13267" s="4" t="s">
        <v>12345</v>
      </c>
      <c r="C13267" s="129" t="s">
        <v>12346</v>
      </c>
      <c r="D13267" s="5">
        <v>610729</v>
      </c>
      <c r="E13267" s="5" t="s">
        <v>15506</v>
      </c>
    </row>
    <row r="13268" spans="2:5">
      <c r="B13268" s="4" t="s">
        <v>12345</v>
      </c>
      <c r="C13268" s="129" t="s">
        <v>12346</v>
      </c>
      <c r="D13268" s="5">
        <v>610730</v>
      </c>
      <c r="E13268" s="5" t="s">
        <v>15507</v>
      </c>
    </row>
    <row r="13269" spans="2:5">
      <c r="B13269" s="4" t="s">
        <v>12345</v>
      </c>
      <c r="C13269" s="129" t="s">
        <v>12346</v>
      </c>
      <c r="D13269" s="5">
        <v>610800</v>
      </c>
      <c r="E13269" s="5" t="s">
        <v>15508</v>
      </c>
    </row>
    <row r="13270" spans="2:5">
      <c r="B13270" s="4" t="s">
        <v>12345</v>
      </c>
      <c r="C13270" s="129" t="s">
        <v>12346</v>
      </c>
      <c r="D13270" s="5">
        <v>610801</v>
      </c>
      <c r="E13270" s="5" t="s">
        <v>15509</v>
      </c>
    </row>
    <row r="13271" spans="2:5">
      <c r="B13271" s="4" t="s">
        <v>12345</v>
      </c>
      <c r="C13271" s="129" t="s">
        <v>12346</v>
      </c>
      <c r="D13271" s="5">
        <v>610802</v>
      </c>
      <c r="E13271" s="5" t="s">
        <v>15510</v>
      </c>
    </row>
    <row r="13272" spans="2:5">
      <c r="B13272" s="4" t="s">
        <v>12345</v>
      </c>
      <c r="C13272" s="129" t="s">
        <v>12346</v>
      </c>
      <c r="D13272" s="5">
        <v>610821</v>
      </c>
      <c r="E13272" s="5" t="s">
        <v>15511</v>
      </c>
    </row>
    <row r="13273" spans="2:5">
      <c r="B13273" s="4" t="s">
        <v>12345</v>
      </c>
      <c r="C13273" s="129" t="s">
        <v>12346</v>
      </c>
      <c r="D13273" s="5">
        <v>610822</v>
      </c>
      <c r="E13273" s="5" t="s">
        <v>15512</v>
      </c>
    </row>
    <row r="13274" spans="2:5">
      <c r="B13274" s="4" t="s">
        <v>12345</v>
      </c>
      <c r="C13274" s="129" t="s">
        <v>12346</v>
      </c>
      <c r="D13274" s="5">
        <v>610823</v>
      </c>
      <c r="E13274" s="5" t="s">
        <v>15513</v>
      </c>
    </row>
    <row r="13275" spans="2:5">
      <c r="B13275" s="4" t="s">
        <v>12345</v>
      </c>
      <c r="C13275" s="129" t="s">
        <v>12346</v>
      </c>
      <c r="D13275" s="5">
        <v>610824</v>
      </c>
      <c r="E13275" s="5" t="s">
        <v>15514</v>
      </c>
    </row>
    <row r="13276" spans="2:5">
      <c r="B13276" s="4" t="s">
        <v>12345</v>
      </c>
      <c r="C13276" s="129" t="s">
        <v>12346</v>
      </c>
      <c r="D13276" s="5">
        <v>610825</v>
      </c>
      <c r="E13276" s="5" t="s">
        <v>15515</v>
      </c>
    </row>
    <row r="13277" spans="2:5">
      <c r="B13277" s="4" t="s">
        <v>12345</v>
      </c>
      <c r="C13277" s="129" t="s">
        <v>12346</v>
      </c>
      <c r="D13277" s="5">
        <v>610826</v>
      </c>
      <c r="E13277" s="5" t="s">
        <v>15516</v>
      </c>
    </row>
    <row r="13278" spans="2:5">
      <c r="B13278" s="4" t="s">
        <v>12345</v>
      </c>
      <c r="C13278" s="129" t="s">
        <v>12346</v>
      </c>
      <c r="D13278" s="5">
        <v>610827</v>
      </c>
      <c r="E13278" s="5" t="s">
        <v>15517</v>
      </c>
    </row>
    <row r="13279" spans="2:5">
      <c r="B13279" s="4" t="s">
        <v>12345</v>
      </c>
      <c r="C13279" s="129" t="s">
        <v>12346</v>
      </c>
      <c r="D13279" s="5">
        <v>610828</v>
      </c>
      <c r="E13279" s="5" t="s">
        <v>15518</v>
      </c>
    </row>
    <row r="13280" spans="2:5">
      <c r="B13280" s="4" t="s">
        <v>12345</v>
      </c>
      <c r="C13280" s="129" t="s">
        <v>12346</v>
      </c>
      <c r="D13280" s="5">
        <v>610829</v>
      </c>
      <c r="E13280" s="5" t="s">
        <v>15519</v>
      </c>
    </row>
    <row r="13281" spans="2:5">
      <c r="B13281" s="4" t="s">
        <v>12345</v>
      </c>
      <c r="C13281" s="129" t="s">
        <v>12346</v>
      </c>
      <c r="D13281" s="5">
        <v>610830</v>
      </c>
      <c r="E13281" s="5" t="s">
        <v>15520</v>
      </c>
    </row>
    <row r="13282" spans="2:5">
      <c r="B13282" s="4" t="s">
        <v>12345</v>
      </c>
      <c r="C13282" s="129" t="s">
        <v>12346</v>
      </c>
      <c r="D13282" s="5">
        <v>610831</v>
      </c>
      <c r="E13282" s="5" t="s">
        <v>15521</v>
      </c>
    </row>
    <row r="13283" spans="2:5">
      <c r="B13283" s="4" t="s">
        <v>12345</v>
      </c>
      <c r="C13283" s="129" t="s">
        <v>12346</v>
      </c>
      <c r="D13283" s="5">
        <v>610900</v>
      </c>
      <c r="E13283" s="5" t="s">
        <v>15522</v>
      </c>
    </row>
    <row r="13284" spans="2:5">
      <c r="B13284" s="4" t="s">
        <v>12345</v>
      </c>
      <c r="C13284" s="129" t="s">
        <v>12346</v>
      </c>
      <c r="D13284" s="5">
        <v>610901</v>
      </c>
      <c r="E13284" s="5" t="s">
        <v>15523</v>
      </c>
    </row>
    <row r="13285" spans="2:5">
      <c r="B13285" s="4" t="s">
        <v>12345</v>
      </c>
      <c r="C13285" s="129" t="s">
        <v>12346</v>
      </c>
      <c r="D13285" s="5">
        <v>610902</v>
      </c>
      <c r="E13285" s="5" t="s">
        <v>15524</v>
      </c>
    </row>
    <row r="13286" spans="2:5">
      <c r="B13286" s="4" t="s">
        <v>12345</v>
      </c>
      <c r="C13286" s="129" t="s">
        <v>12346</v>
      </c>
      <c r="D13286" s="5">
        <v>610921</v>
      </c>
      <c r="E13286" s="5" t="s">
        <v>15525</v>
      </c>
    </row>
    <row r="13287" spans="2:5">
      <c r="B13287" s="4" t="s">
        <v>12345</v>
      </c>
      <c r="C13287" s="129" t="s">
        <v>12346</v>
      </c>
      <c r="D13287" s="5">
        <v>610922</v>
      </c>
      <c r="E13287" s="5" t="s">
        <v>15526</v>
      </c>
    </row>
    <row r="13288" spans="2:5">
      <c r="B13288" s="4" t="s">
        <v>12345</v>
      </c>
      <c r="C13288" s="129" t="s">
        <v>12346</v>
      </c>
      <c r="D13288" s="5">
        <v>610923</v>
      </c>
      <c r="E13288" s="5" t="s">
        <v>15527</v>
      </c>
    </row>
    <row r="13289" spans="2:5">
      <c r="B13289" s="4" t="s">
        <v>12345</v>
      </c>
      <c r="C13289" s="129" t="s">
        <v>12346</v>
      </c>
      <c r="D13289" s="5">
        <v>610924</v>
      </c>
      <c r="E13289" s="5" t="s">
        <v>15528</v>
      </c>
    </row>
    <row r="13290" spans="2:5">
      <c r="B13290" s="4" t="s">
        <v>12345</v>
      </c>
      <c r="C13290" s="129" t="s">
        <v>12346</v>
      </c>
      <c r="D13290" s="5">
        <v>610925</v>
      </c>
      <c r="E13290" s="5" t="s">
        <v>15529</v>
      </c>
    </row>
    <row r="13291" spans="2:5">
      <c r="B13291" s="4" t="s">
        <v>12345</v>
      </c>
      <c r="C13291" s="129" t="s">
        <v>12346</v>
      </c>
      <c r="D13291" s="5">
        <v>610926</v>
      </c>
      <c r="E13291" s="5" t="s">
        <v>15530</v>
      </c>
    </row>
    <row r="13292" spans="2:5">
      <c r="B13292" s="4" t="s">
        <v>12345</v>
      </c>
      <c r="C13292" s="129" t="s">
        <v>12346</v>
      </c>
      <c r="D13292" s="5">
        <v>610927</v>
      </c>
      <c r="E13292" s="5" t="s">
        <v>15531</v>
      </c>
    </row>
    <row r="13293" spans="2:5">
      <c r="B13293" s="4" t="s">
        <v>12345</v>
      </c>
      <c r="C13293" s="129" t="s">
        <v>12346</v>
      </c>
      <c r="D13293" s="5">
        <v>610928</v>
      </c>
      <c r="E13293" s="5" t="s">
        <v>15532</v>
      </c>
    </row>
    <row r="13294" spans="2:5">
      <c r="B13294" s="4" t="s">
        <v>12345</v>
      </c>
      <c r="C13294" s="129" t="s">
        <v>12346</v>
      </c>
      <c r="D13294" s="5">
        <v>610929</v>
      </c>
      <c r="E13294" s="5" t="s">
        <v>15533</v>
      </c>
    </row>
    <row r="13295" spans="2:5">
      <c r="B13295" s="4" t="s">
        <v>12345</v>
      </c>
      <c r="C13295" s="129" t="s">
        <v>12346</v>
      </c>
      <c r="D13295" s="5">
        <v>611000</v>
      </c>
      <c r="E13295" s="5" t="s">
        <v>15534</v>
      </c>
    </row>
    <row r="13296" spans="2:5">
      <c r="B13296" s="4" t="s">
        <v>12345</v>
      </c>
      <c r="C13296" s="129" t="s">
        <v>12346</v>
      </c>
      <c r="D13296" s="5">
        <v>611001</v>
      </c>
      <c r="E13296" s="5" t="s">
        <v>15535</v>
      </c>
    </row>
    <row r="13297" spans="2:5">
      <c r="B13297" s="4" t="s">
        <v>12345</v>
      </c>
      <c r="C13297" s="129" t="s">
        <v>12346</v>
      </c>
      <c r="D13297" s="5">
        <v>611002</v>
      </c>
      <c r="E13297" s="5" t="s">
        <v>15536</v>
      </c>
    </row>
    <row r="13298" spans="2:5">
      <c r="B13298" s="4" t="s">
        <v>12345</v>
      </c>
      <c r="C13298" s="129" t="s">
        <v>12346</v>
      </c>
      <c r="D13298" s="5">
        <v>611021</v>
      </c>
      <c r="E13298" s="5" t="s">
        <v>15537</v>
      </c>
    </row>
    <row r="13299" spans="2:5">
      <c r="B13299" s="4" t="s">
        <v>12345</v>
      </c>
      <c r="C13299" s="129" t="s">
        <v>12346</v>
      </c>
      <c r="D13299" s="5">
        <v>611022</v>
      </c>
      <c r="E13299" s="5" t="s">
        <v>15538</v>
      </c>
    </row>
    <row r="13300" spans="2:5">
      <c r="B13300" s="4" t="s">
        <v>12345</v>
      </c>
      <c r="C13300" s="129" t="s">
        <v>12346</v>
      </c>
      <c r="D13300" s="5">
        <v>611023</v>
      </c>
      <c r="E13300" s="5" t="s">
        <v>15539</v>
      </c>
    </row>
    <row r="13301" spans="2:5">
      <c r="B13301" s="4" t="s">
        <v>12345</v>
      </c>
      <c r="C13301" s="129" t="s">
        <v>12346</v>
      </c>
      <c r="D13301" s="5">
        <v>611024</v>
      </c>
      <c r="E13301" s="5" t="s">
        <v>15540</v>
      </c>
    </row>
    <row r="13302" spans="2:5">
      <c r="B13302" s="4" t="s">
        <v>12345</v>
      </c>
      <c r="C13302" s="129" t="s">
        <v>12346</v>
      </c>
      <c r="D13302" s="5">
        <v>611025</v>
      </c>
      <c r="E13302" s="5" t="s">
        <v>15541</v>
      </c>
    </row>
    <row r="13303" spans="2:5">
      <c r="B13303" s="4" t="s">
        <v>12345</v>
      </c>
      <c r="C13303" s="129" t="s">
        <v>12346</v>
      </c>
      <c r="D13303" s="5">
        <v>611026</v>
      </c>
      <c r="E13303" s="5" t="s">
        <v>15542</v>
      </c>
    </row>
    <row r="13304" spans="2:5">
      <c r="B13304" s="4" t="s">
        <v>12345</v>
      </c>
      <c r="C13304" s="129" t="s">
        <v>12346</v>
      </c>
      <c r="D13304" s="5">
        <v>620000</v>
      </c>
      <c r="E13304" s="5" t="s">
        <v>15543</v>
      </c>
    </row>
    <row r="13305" spans="2:5">
      <c r="B13305" s="4" t="s">
        <v>12345</v>
      </c>
      <c r="C13305" s="129" t="s">
        <v>12346</v>
      </c>
      <c r="D13305" s="5">
        <v>620100</v>
      </c>
      <c r="E13305" s="5" t="s">
        <v>15544</v>
      </c>
    </row>
    <row r="13306" spans="2:5">
      <c r="B13306" s="4" t="s">
        <v>12345</v>
      </c>
      <c r="C13306" s="129" t="s">
        <v>12346</v>
      </c>
      <c r="D13306" s="5">
        <v>620101</v>
      </c>
      <c r="E13306" s="5" t="s">
        <v>15545</v>
      </c>
    </row>
    <row r="13307" spans="2:5">
      <c r="B13307" s="4" t="s">
        <v>12345</v>
      </c>
      <c r="C13307" s="129" t="s">
        <v>12346</v>
      </c>
      <c r="D13307" s="5">
        <v>620102</v>
      </c>
      <c r="E13307" s="5" t="s">
        <v>15546</v>
      </c>
    </row>
    <row r="13308" spans="2:5">
      <c r="B13308" s="4" t="s">
        <v>12345</v>
      </c>
      <c r="C13308" s="129" t="s">
        <v>12346</v>
      </c>
      <c r="D13308" s="5">
        <v>620103</v>
      </c>
      <c r="E13308" s="5" t="s">
        <v>15547</v>
      </c>
    </row>
    <row r="13309" spans="2:5">
      <c r="B13309" s="4" t="s">
        <v>12345</v>
      </c>
      <c r="C13309" s="129" t="s">
        <v>12346</v>
      </c>
      <c r="D13309" s="5">
        <v>620104</v>
      </c>
      <c r="E13309" s="5" t="s">
        <v>15548</v>
      </c>
    </row>
    <row r="13310" spans="2:5">
      <c r="B13310" s="4" t="s">
        <v>12345</v>
      </c>
      <c r="C13310" s="129" t="s">
        <v>12346</v>
      </c>
      <c r="D13310" s="5">
        <v>620105</v>
      </c>
      <c r="E13310" s="5" t="s">
        <v>15549</v>
      </c>
    </row>
    <row r="13311" spans="2:5">
      <c r="B13311" s="4" t="s">
        <v>12345</v>
      </c>
      <c r="C13311" s="129" t="s">
        <v>12346</v>
      </c>
      <c r="D13311" s="5">
        <v>620111</v>
      </c>
      <c r="E13311" s="5" t="s">
        <v>15550</v>
      </c>
    </row>
    <row r="13312" spans="2:5">
      <c r="B13312" s="4" t="s">
        <v>12345</v>
      </c>
      <c r="C13312" s="129" t="s">
        <v>12346</v>
      </c>
      <c r="D13312" s="5">
        <v>620121</v>
      </c>
      <c r="E13312" s="5" t="s">
        <v>15551</v>
      </c>
    </row>
    <row r="13313" spans="2:5">
      <c r="B13313" s="4" t="s">
        <v>12345</v>
      </c>
      <c r="C13313" s="129" t="s">
        <v>12346</v>
      </c>
      <c r="D13313" s="5">
        <v>620122</v>
      </c>
      <c r="E13313" s="5" t="s">
        <v>15552</v>
      </c>
    </row>
    <row r="13314" spans="2:5">
      <c r="B13314" s="4" t="s">
        <v>12345</v>
      </c>
      <c r="C13314" s="129" t="s">
        <v>12346</v>
      </c>
      <c r="D13314" s="5">
        <v>620123</v>
      </c>
      <c r="E13314" s="5" t="s">
        <v>15553</v>
      </c>
    </row>
    <row r="13315" spans="2:5">
      <c r="B13315" s="4" t="s">
        <v>12345</v>
      </c>
      <c r="C13315" s="129" t="s">
        <v>12346</v>
      </c>
      <c r="D13315" s="5">
        <v>620200</v>
      </c>
      <c r="E13315" s="5" t="s">
        <v>15554</v>
      </c>
    </row>
    <row r="13316" spans="2:5">
      <c r="B13316" s="4" t="s">
        <v>12345</v>
      </c>
      <c r="C13316" s="129" t="s">
        <v>12346</v>
      </c>
      <c r="D13316" s="5">
        <v>620201</v>
      </c>
      <c r="E13316" s="5" t="s">
        <v>15555</v>
      </c>
    </row>
    <row r="13317" spans="2:5">
      <c r="B13317" s="4" t="s">
        <v>12345</v>
      </c>
      <c r="C13317" s="129" t="s">
        <v>12346</v>
      </c>
      <c r="D13317" s="5">
        <v>620300</v>
      </c>
      <c r="E13317" s="5" t="s">
        <v>15556</v>
      </c>
    </row>
    <row r="13318" spans="2:5">
      <c r="B13318" s="4" t="s">
        <v>12345</v>
      </c>
      <c r="C13318" s="129" t="s">
        <v>12346</v>
      </c>
      <c r="D13318" s="5">
        <v>620301</v>
      </c>
      <c r="E13318" s="5" t="s">
        <v>15557</v>
      </c>
    </row>
    <row r="13319" spans="2:5">
      <c r="B13319" s="4" t="s">
        <v>12345</v>
      </c>
      <c r="C13319" s="129" t="s">
        <v>12346</v>
      </c>
      <c r="D13319" s="5">
        <v>620302</v>
      </c>
      <c r="E13319" s="5" t="s">
        <v>15558</v>
      </c>
    </row>
    <row r="13320" spans="2:5">
      <c r="B13320" s="4" t="s">
        <v>12345</v>
      </c>
      <c r="C13320" s="129" t="s">
        <v>12346</v>
      </c>
      <c r="D13320" s="5">
        <v>620321</v>
      </c>
      <c r="E13320" s="5" t="s">
        <v>15559</v>
      </c>
    </row>
    <row r="13321" spans="2:5">
      <c r="B13321" s="4" t="s">
        <v>12345</v>
      </c>
      <c r="C13321" s="129" t="s">
        <v>12346</v>
      </c>
      <c r="D13321" s="5">
        <v>620400</v>
      </c>
      <c r="E13321" s="5" t="s">
        <v>15560</v>
      </c>
    </row>
    <row r="13322" spans="2:5">
      <c r="B13322" s="4" t="s">
        <v>12345</v>
      </c>
      <c r="C13322" s="129" t="s">
        <v>12346</v>
      </c>
      <c r="D13322" s="5">
        <v>620401</v>
      </c>
      <c r="E13322" s="5" t="s">
        <v>15561</v>
      </c>
    </row>
    <row r="13323" spans="2:5">
      <c r="B13323" s="4" t="s">
        <v>12345</v>
      </c>
      <c r="C13323" s="129" t="s">
        <v>12346</v>
      </c>
      <c r="D13323" s="5">
        <v>620402</v>
      </c>
      <c r="E13323" s="5" t="s">
        <v>15562</v>
      </c>
    </row>
    <row r="13324" spans="2:5">
      <c r="B13324" s="4" t="s">
        <v>12345</v>
      </c>
      <c r="C13324" s="129" t="s">
        <v>12346</v>
      </c>
      <c r="D13324" s="5">
        <v>620403</v>
      </c>
      <c r="E13324" s="5" t="s">
        <v>15563</v>
      </c>
    </row>
    <row r="13325" spans="2:5">
      <c r="B13325" s="4" t="s">
        <v>12345</v>
      </c>
      <c r="C13325" s="129" t="s">
        <v>12346</v>
      </c>
      <c r="D13325" s="5">
        <v>620421</v>
      </c>
      <c r="E13325" s="5" t="s">
        <v>15564</v>
      </c>
    </row>
    <row r="13326" spans="2:5">
      <c r="B13326" s="4" t="s">
        <v>12345</v>
      </c>
      <c r="C13326" s="129" t="s">
        <v>12346</v>
      </c>
      <c r="D13326" s="5">
        <v>620422</v>
      </c>
      <c r="E13326" s="5" t="s">
        <v>15565</v>
      </c>
    </row>
    <row r="13327" spans="2:5">
      <c r="B13327" s="4" t="s">
        <v>12345</v>
      </c>
      <c r="C13327" s="129" t="s">
        <v>12346</v>
      </c>
      <c r="D13327" s="5">
        <v>620423</v>
      </c>
      <c r="E13327" s="5" t="s">
        <v>15566</v>
      </c>
    </row>
    <row r="13328" spans="2:5">
      <c r="B13328" s="4" t="s">
        <v>12345</v>
      </c>
      <c r="C13328" s="129" t="s">
        <v>12346</v>
      </c>
      <c r="D13328" s="5">
        <v>620500</v>
      </c>
      <c r="E13328" s="5" t="s">
        <v>15567</v>
      </c>
    </row>
    <row r="13329" spans="2:5">
      <c r="B13329" s="4" t="s">
        <v>12345</v>
      </c>
      <c r="C13329" s="129" t="s">
        <v>12346</v>
      </c>
      <c r="D13329" s="5">
        <v>620501</v>
      </c>
      <c r="E13329" s="5" t="s">
        <v>15568</v>
      </c>
    </row>
    <row r="13330" spans="2:5">
      <c r="B13330" s="4" t="s">
        <v>12345</v>
      </c>
      <c r="C13330" s="129" t="s">
        <v>12346</v>
      </c>
      <c r="D13330" s="5">
        <v>620502</v>
      </c>
      <c r="E13330" s="5" t="s">
        <v>15569</v>
      </c>
    </row>
    <row r="13331" spans="2:5">
      <c r="B13331" s="4" t="s">
        <v>12345</v>
      </c>
      <c r="C13331" s="129" t="s">
        <v>12346</v>
      </c>
      <c r="D13331" s="5">
        <v>620503</v>
      </c>
      <c r="E13331" s="5" t="s">
        <v>15570</v>
      </c>
    </row>
    <row r="13332" spans="2:5">
      <c r="B13332" s="4" t="s">
        <v>12345</v>
      </c>
      <c r="C13332" s="129" t="s">
        <v>12346</v>
      </c>
      <c r="D13332" s="5">
        <v>620521</v>
      </c>
      <c r="E13332" s="5" t="s">
        <v>15571</v>
      </c>
    </row>
    <row r="13333" spans="2:5">
      <c r="B13333" s="4" t="s">
        <v>12345</v>
      </c>
      <c r="C13333" s="129" t="s">
        <v>12346</v>
      </c>
      <c r="D13333" s="5">
        <v>620522</v>
      </c>
      <c r="E13333" s="5" t="s">
        <v>15572</v>
      </c>
    </row>
    <row r="13334" spans="2:5">
      <c r="B13334" s="4" t="s">
        <v>12345</v>
      </c>
      <c r="C13334" s="129" t="s">
        <v>12346</v>
      </c>
      <c r="D13334" s="5">
        <v>620523</v>
      </c>
      <c r="E13334" s="5" t="s">
        <v>15573</v>
      </c>
    </row>
    <row r="13335" spans="2:5">
      <c r="B13335" s="4" t="s">
        <v>12345</v>
      </c>
      <c r="C13335" s="129" t="s">
        <v>12346</v>
      </c>
      <c r="D13335" s="5">
        <v>620524</v>
      </c>
      <c r="E13335" s="5" t="s">
        <v>15574</v>
      </c>
    </row>
    <row r="13336" spans="2:5">
      <c r="B13336" s="4" t="s">
        <v>12345</v>
      </c>
      <c r="C13336" s="129" t="s">
        <v>12346</v>
      </c>
      <c r="D13336" s="5">
        <v>620525</v>
      </c>
      <c r="E13336" s="5" t="s">
        <v>15575</v>
      </c>
    </row>
    <row r="13337" spans="2:5">
      <c r="B13337" s="4" t="s">
        <v>12345</v>
      </c>
      <c r="C13337" s="129" t="s">
        <v>12346</v>
      </c>
      <c r="D13337" s="5">
        <v>620600</v>
      </c>
      <c r="E13337" s="5" t="s">
        <v>15576</v>
      </c>
    </row>
    <row r="13338" spans="2:5">
      <c r="B13338" s="4" t="s">
        <v>12345</v>
      </c>
      <c r="C13338" s="129" t="s">
        <v>12346</v>
      </c>
      <c r="D13338" s="5">
        <v>620601</v>
      </c>
      <c r="E13338" s="5" t="s">
        <v>15577</v>
      </c>
    </row>
    <row r="13339" spans="2:5">
      <c r="B13339" s="4" t="s">
        <v>12345</v>
      </c>
      <c r="C13339" s="129" t="s">
        <v>12346</v>
      </c>
      <c r="D13339" s="5">
        <v>620602</v>
      </c>
      <c r="E13339" s="5" t="s">
        <v>15578</v>
      </c>
    </row>
    <row r="13340" spans="2:5">
      <c r="B13340" s="4" t="s">
        <v>12345</v>
      </c>
      <c r="C13340" s="129" t="s">
        <v>12346</v>
      </c>
      <c r="D13340" s="5">
        <v>620621</v>
      </c>
      <c r="E13340" s="5" t="s">
        <v>15579</v>
      </c>
    </row>
    <row r="13341" spans="2:5">
      <c r="B13341" s="4" t="s">
        <v>12345</v>
      </c>
      <c r="C13341" s="129" t="s">
        <v>12346</v>
      </c>
      <c r="D13341" s="5">
        <v>620622</v>
      </c>
      <c r="E13341" s="5" t="s">
        <v>15580</v>
      </c>
    </row>
    <row r="13342" spans="2:5">
      <c r="B13342" s="4" t="s">
        <v>12345</v>
      </c>
      <c r="C13342" s="129" t="s">
        <v>12346</v>
      </c>
      <c r="D13342" s="5">
        <v>620623</v>
      </c>
      <c r="E13342" s="5" t="s">
        <v>15581</v>
      </c>
    </row>
    <row r="13343" spans="2:5">
      <c r="B13343" s="4" t="s">
        <v>12345</v>
      </c>
      <c r="C13343" s="129" t="s">
        <v>12346</v>
      </c>
      <c r="D13343" s="5">
        <v>620700</v>
      </c>
      <c r="E13343" s="5" t="s">
        <v>15582</v>
      </c>
    </row>
    <row r="13344" spans="2:5">
      <c r="B13344" s="4" t="s">
        <v>12345</v>
      </c>
      <c r="C13344" s="129" t="s">
        <v>12346</v>
      </c>
      <c r="D13344" s="5">
        <v>620701</v>
      </c>
      <c r="E13344" s="5" t="s">
        <v>15583</v>
      </c>
    </row>
    <row r="13345" spans="2:5">
      <c r="B13345" s="4" t="s">
        <v>12345</v>
      </c>
      <c r="C13345" s="129" t="s">
        <v>12346</v>
      </c>
      <c r="D13345" s="5">
        <v>620702</v>
      </c>
      <c r="E13345" s="5" t="s">
        <v>15584</v>
      </c>
    </row>
    <row r="13346" spans="2:5">
      <c r="B13346" s="4" t="s">
        <v>12345</v>
      </c>
      <c r="C13346" s="129" t="s">
        <v>12346</v>
      </c>
      <c r="D13346" s="5">
        <v>620721</v>
      </c>
      <c r="E13346" s="5" t="s">
        <v>15585</v>
      </c>
    </row>
    <row r="13347" spans="2:5">
      <c r="B13347" s="4" t="s">
        <v>12345</v>
      </c>
      <c r="C13347" s="129" t="s">
        <v>12346</v>
      </c>
      <c r="D13347" s="5">
        <v>620722</v>
      </c>
      <c r="E13347" s="5" t="s">
        <v>15586</v>
      </c>
    </row>
    <row r="13348" spans="2:5">
      <c r="B13348" s="4" t="s">
        <v>12345</v>
      </c>
      <c r="C13348" s="129" t="s">
        <v>12346</v>
      </c>
      <c r="D13348" s="5">
        <v>620723</v>
      </c>
      <c r="E13348" s="5" t="s">
        <v>15587</v>
      </c>
    </row>
    <row r="13349" spans="2:5">
      <c r="B13349" s="4" t="s">
        <v>12345</v>
      </c>
      <c r="C13349" s="129" t="s">
        <v>12346</v>
      </c>
      <c r="D13349" s="5">
        <v>620724</v>
      </c>
      <c r="E13349" s="5" t="s">
        <v>15588</v>
      </c>
    </row>
    <row r="13350" spans="2:5">
      <c r="B13350" s="4" t="s">
        <v>12345</v>
      </c>
      <c r="C13350" s="129" t="s">
        <v>12346</v>
      </c>
      <c r="D13350" s="5">
        <v>620725</v>
      </c>
      <c r="E13350" s="5" t="s">
        <v>15589</v>
      </c>
    </row>
    <row r="13351" spans="2:5">
      <c r="B13351" s="4" t="s">
        <v>12345</v>
      </c>
      <c r="C13351" s="129" t="s">
        <v>12346</v>
      </c>
      <c r="D13351" s="5">
        <v>620800</v>
      </c>
      <c r="E13351" s="5" t="s">
        <v>15590</v>
      </c>
    </row>
    <row r="13352" spans="2:5">
      <c r="B13352" s="4" t="s">
        <v>12345</v>
      </c>
      <c r="C13352" s="129" t="s">
        <v>12346</v>
      </c>
      <c r="D13352" s="5">
        <v>620801</v>
      </c>
      <c r="E13352" s="5" t="s">
        <v>15591</v>
      </c>
    </row>
    <row r="13353" spans="2:5">
      <c r="B13353" s="4" t="s">
        <v>12345</v>
      </c>
      <c r="C13353" s="129" t="s">
        <v>12346</v>
      </c>
      <c r="D13353" s="5">
        <v>620802</v>
      </c>
      <c r="E13353" s="5" t="s">
        <v>15592</v>
      </c>
    </row>
    <row r="13354" spans="2:5">
      <c r="B13354" s="4" t="s">
        <v>12345</v>
      </c>
      <c r="C13354" s="129" t="s">
        <v>12346</v>
      </c>
      <c r="D13354" s="5">
        <v>620821</v>
      </c>
      <c r="E13354" s="5" t="s">
        <v>15593</v>
      </c>
    </row>
    <row r="13355" spans="2:5">
      <c r="B13355" s="4" t="s">
        <v>12345</v>
      </c>
      <c r="C13355" s="129" t="s">
        <v>12346</v>
      </c>
      <c r="D13355" s="5">
        <v>620822</v>
      </c>
      <c r="E13355" s="5" t="s">
        <v>15594</v>
      </c>
    </row>
    <row r="13356" spans="2:5">
      <c r="B13356" s="4" t="s">
        <v>12345</v>
      </c>
      <c r="C13356" s="129" t="s">
        <v>12346</v>
      </c>
      <c r="D13356" s="5">
        <v>620823</v>
      </c>
      <c r="E13356" s="5" t="s">
        <v>15595</v>
      </c>
    </row>
    <row r="13357" spans="2:5">
      <c r="B13357" s="4" t="s">
        <v>12345</v>
      </c>
      <c r="C13357" s="129" t="s">
        <v>12346</v>
      </c>
      <c r="D13357" s="5">
        <v>620824</v>
      </c>
      <c r="E13357" s="5" t="s">
        <v>15596</v>
      </c>
    </row>
    <row r="13358" spans="2:5">
      <c r="B13358" s="4" t="s">
        <v>12345</v>
      </c>
      <c r="C13358" s="129" t="s">
        <v>12346</v>
      </c>
      <c r="D13358" s="5">
        <v>620825</v>
      </c>
      <c r="E13358" s="5" t="s">
        <v>15597</v>
      </c>
    </row>
    <row r="13359" spans="2:5">
      <c r="B13359" s="4" t="s">
        <v>12345</v>
      </c>
      <c r="C13359" s="129" t="s">
        <v>12346</v>
      </c>
      <c r="D13359" s="5">
        <v>620826</v>
      </c>
      <c r="E13359" s="5" t="s">
        <v>15598</v>
      </c>
    </row>
    <row r="13360" spans="2:5">
      <c r="B13360" s="4" t="s">
        <v>12345</v>
      </c>
      <c r="C13360" s="129" t="s">
        <v>12346</v>
      </c>
      <c r="D13360" s="5">
        <v>620900</v>
      </c>
      <c r="E13360" s="5" t="s">
        <v>15599</v>
      </c>
    </row>
    <row r="13361" spans="2:5">
      <c r="B13361" s="4" t="s">
        <v>12345</v>
      </c>
      <c r="C13361" s="129" t="s">
        <v>12346</v>
      </c>
      <c r="D13361" s="5">
        <v>620901</v>
      </c>
      <c r="E13361" s="5" t="s">
        <v>15600</v>
      </c>
    </row>
    <row r="13362" spans="2:5">
      <c r="B13362" s="4" t="s">
        <v>12345</v>
      </c>
      <c r="C13362" s="129" t="s">
        <v>12346</v>
      </c>
      <c r="D13362" s="5">
        <v>620902</v>
      </c>
      <c r="E13362" s="5" t="s">
        <v>15601</v>
      </c>
    </row>
    <row r="13363" spans="2:5">
      <c r="B13363" s="4" t="s">
        <v>12345</v>
      </c>
      <c r="C13363" s="129" t="s">
        <v>12346</v>
      </c>
      <c r="D13363" s="5">
        <v>620921</v>
      </c>
      <c r="E13363" s="5" t="s">
        <v>15602</v>
      </c>
    </row>
    <row r="13364" spans="2:5">
      <c r="B13364" s="4" t="s">
        <v>12345</v>
      </c>
      <c r="C13364" s="129" t="s">
        <v>12346</v>
      </c>
      <c r="D13364" s="5">
        <v>620922</v>
      </c>
      <c r="E13364" s="5" t="s">
        <v>15603</v>
      </c>
    </row>
    <row r="13365" spans="2:5">
      <c r="B13365" s="4" t="s">
        <v>12345</v>
      </c>
      <c r="C13365" s="129" t="s">
        <v>12346</v>
      </c>
      <c r="D13365" s="5">
        <v>620923</v>
      </c>
      <c r="E13365" s="5" t="s">
        <v>15604</v>
      </c>
    </row>
    <row r="13366" spans="2:5">
      <c r="B13366" s="4" t="s">
        <v>12345</v>
      </c>
      <c r="C13366" s="129" t="s">
        <v>12346</v>
      </c>
      <c r="D13366" s="5">
        <v>620924</v>
      </c>
      <c r="E13366" s="5" t="s">
        <v>15605</v>
      </c>
    </row>
    <row r="13367" spans="2:5">
      <c r="B13367" s="4" t="s">
        <v>12345</v>
      </c>
      <c r="C13367" s="129" t="s">
        <v>12346</v>
      </c>
      <c r="D13367" s="5">
        <v>620981</v>
      </c>
      <c r="E13367" s="5" t="s">
        <v>15606</v>
      </c>
    </row>
    <row r="13368" spans="2:5">
      <c r="B13368" s="4" t="s">
        <v>12345</v>
      </c>
      <c r="C13368" s="129" t="s">
        <v>12346</v>
      </c>
      <c r="D13368" s="5">
        <v>620982</v>
      </c>
      <c r="E13368" s="5" t="s">
        <v>15607</v>
      </c>
    </row>
    <row r="13369" spans="2:5">
      <c r="B13369" s="4" t="s">
        <v>12345</v>
      </c>
      <c r="C13369" s="129" t="s">
        <v>12346</v>
      </c>
      <c r="D13369" s="5">
        <v>621000</v>
      </c>
      <c r="E13369" s="5" t="s">
        <v>15608</v>
      </c>
    </row>
    <row r="13370" spans="2:5">
      <c r="B13370" s="4" t="s">
        <v>12345</v>
      </c>
      <c r="C13370" s="129" t="s">
        <v>12346</v>
      </c>
      <c r="D13370" s="5">
        <v>621001</v>
      </c>
      <c r="E13370" s="5" t="s">
        <v>15609</v>
      </c>
    </row>
    <row r="13371" spans="2:5">
      <c r="B13371" s="4" t="s">
        <v>12345</v>
      </c>
      <c r="C13371" s="129" t="s">
        <v>12346</v>
      </c>
      <c r="D13371" s="5">
        <v>621002</v>
      </c>
      <c r="E13371" s="5" t="s">
        <v>15610</v>
      </c>
    </row>
    <row r="13372" spans="2:5">
      <c r="B13372" s="4" t="s">
        <v>12345</v>
      </c>
      <c r="C13372" s="129" t="s">
        <v>12346</v>
      </c>
      <c r="D13372" s="5">
        <v>621021</v>
      </c>
      <c r="E13372" s="5" t="s">
        <v>15611</v>
      </c>
    </row>
    <row r="13373" spans="2:5">
      <c r="B13373" s="4" t="s">
        <v>12345</v>
      </c>
      <c r="C13373" s="129" t="s">
        <v>12346</v>
      </c>
      <c r="D13373" s="5">
        <v>621022</v>
      </c>
      <c r="E13373" s="5" t="s">
        <v>15612</v>
      </c>
    </row>
    <row r="13374" spans="2:5">
      <c r="B13374" s="4" t="s">
        <v>12345</v>
      </c>
      <c r="C13374" s="129" t="s">
        <v>12346</v>
      </c>
      <c r="D13374" s="5">
        <v>621023</v>
      </c>
      <c r="E13374" s="5" t="s">
        <v>15613</v>
      </c>
    </row>
    <row r="13375" spans="2:5">
      <c r="B13375" s="4" t="s">
        <v>12345</v>
      </c>
      <c r="C13375" s="129" t="s">
        <v>12346</v>
      </c>
      <c r="D13375" s="5">
        <v>621024</v>
      </c>
      <c r="E13375" s="5" t="s">
        <v>15614</v>
      </c>
    </row>
    <row r="13376" spans="2:5">
      <c r="B13376" s="4" t="s">
        <v>12345</v>
      </c>
      <c r="C13376" s="129" t="s">
        <v>12346</v>
      </c>
      <c r="D13376" s="5">
        <v>621025</v>
      </c>
      <c r="E13376" s="5" t="s">
        <v>15615</v>
      </c>
    </row>
    <row r="13377" spans="2:5">
      <c r="B13377" s="4" t="s">
        <v>12345</v>
      </c>
      <c r="C13377" s="129" t="s">
        <v>12346</v>
      </c>
      <c r="D13377" s="5">
        <v>621026</v>
      </c>
      <c r="E13377" s="5" t="s">
        <v>15616</v>
      </c>
    </row>
    <row r="13378" spans="2:5">
      <c r="B13378" s="4" t="s">
        <v>12345</v>
      </c>
      <c r="C13378" s="129" t="s">
        <v>12346</v>
      </c>
      <c r="D13378" s="5">
        <v>621027</v>
      </c>
      <c r="E13378" s="5" t="s">
        <v>15617</v>
      </c>
    </row>
    <row r="13379" spans="2:5">
      <c r="B13379" s="4" t="s">
        <v>12345</v>
      </c>
      <c r="C13379" s="129" t="s">
        <v>12346</v>
      </c>
      <c r="D13379" s="5">
        <v>621100</v>
      </c>
      <c r="E13379" s="5" t="s">
        <v>15618</v>
      </c>
    </row>
    <row r="13380" spans="2:5">
      <c r="B13380" s="4" t="s">
        <v>12345</v>
      </c>
      <c r="C13380" s="129" t="s">
        <v>12346</v>
      </c>
      <c r="D13380" s="5">
        <v>621101</v>
      </c>
      <c r="E13380" s="5" t="s">
        <v>15619</v>
      </c>
    </row>
    <row r="13381" spans="2:5">
      <c r="B13381" s="4" t="s">
        <v>12345</v>
      </c>
      <c r="C13381" s="129" t="s">
        <v>12346</v>
      </c>
      <c r="D13381" s="5">
        <v>621102</v>
      </c>
      <c r="E13381" s="5" t="s">
        <v>15620</v>
      </c>
    </row>
    <row r="13382" spans="2:5">
      <c r="B13382" s="4" t="s">
        <v>12345</v>
      </c>
      <c r="C13382" s="129" t="s">
        <v>12346</v>
      </c>
      <c r="D13382" s="5">
        <v>621121</v>
      </c>
      <c r="E13382" s="5" t="s">
        <v>15621</v>
      </c>
    </row>
    <row r="13383" spans="2:5">
      <c r="B13383" s="4" t="s">
        <v>12345</v>
      </c>
      <c r="C13383" s="129" t="s">
        <v>12346</v>
      </c>
      <c r="D13383" s="5">
        <v>621122</v>
      </c>
      <c r="E13383" s="5" t="s">
        <v>15622</v>
      </c>
    </row>
    <row r="13384" spans="2:5">
      <c r="B13384" s="4" t="s">
        <v>12345</v>
      </c>
      <c r="C13384" s="129" t="s">
        <v>12346</v>
      </c>
      <c r="D13384" s="5">
        <v>621123</v>
      </c>
      <c r="E13384" s="5" t="s">
        <v>15623</v>
      </c>
    </row>
    <row r="13385" spans="2:5">
      <c r="B13385" s="4" t="s">
        <v>12345</v>
      </c>
      <c r="C13385" s="129" t="s">
        <v>12346</v>
      </c>
      <c r="D13385" s="5">
        <v>621124</v>
      </c>
      <c r="E13385" s="5" t="s">
        <v>15624</v>
      </c>
    </row>
    <row r="13386" spans="2:5">
      <c r="B13386" s="4" t="s">
        <v>12345</v>
      </c>
      <c r="C13386" s="129" t="s">
        <v>12346</v>
      </c>
      <c r="D13386" s="5">
        <v>621125</v>
      </c>
      <c r="E13386" s="5" t="s">
        <v>15625</v>
      </c>
    </row>
    <row r="13387" spans="2:5">
      <c r="B13387" s="4" t="s">
        <v>12345</v>
      </c>
      <c r="C13387" s="129" t="s">
        <v>12346</v>
      </c>
      <c r="D13387" s="5">
        <v>621126</v>
      </c>
      <c r="E13387" s="5" t="s">
        <v>15626</v>
      </c>
    </row>
    <row r="13388" spans="2:5">
      <c r="B13388" s="4" t="s">
        <v>12345</v>
      </c>
      <c r="C13388" s="129" t="s">
        <v>12346</v>
      </c>
      <c r="D13388" s="5">
        <v>621200</v>
      </c>
      <c r="E13388" s="5" t="s">
        <v>15627</v>
      </c>
    </row>
    <row r="13389" spans="2:5">
      <c r="B13389" s="4" t="s">
        <v>12345</v>
      </c>
      <c r="C13389" s="129" t="s">
        <v>12346</v>
      </c>
      <c r="D13389" s="5">
        <v>621201</v>
      </c>
      <c r="E13389" s="5" t="s">
        <v>15628</v>
      </c>
    </row>
    <row r="13390" spans="2:5">
      <c r="B13390" s="4" t="s">
        <v>12345</v>
      </c>
      <c r="C13390" s="129" t="s">
        <v>12346</v>
      </c>
      <c r="D13390" s="5">
        <v>621202</v>
      </c>
      <c r="E13390" s="5" t="s">
        <v>15629</v>
      </c>
    </row>
    <row r="13391" spans="2:5">
      <c r="B13391" s="4" t="s">
        <v>12345</v>
      </c>
      <c r="C13391" s="129" t="s">
        <v>12346</v>
      </c>
      <c r="D13391" s="5">
        <v>621221</v>
      </c>
      <c r="E13391" s="5" t="s">
        <v>15630</v>
      </c>
    </row>
    <row r="13392" spans="2:5">
      <c r="B13392" s="4" t="s">
        <v>12345</v>
      </c>
      <c r="C13392" s="129" t="s">
        <v>12346</v>
      </c>
      <c r="D13392" s="5">
        <v>621222</v>
      </c>
      <c r="E13392" s="5" t="s">
        <v>15631</v>
      </c>
    </row>
    <row r="13393" spans="2:5">
      <c r="B13393" s="4" t="s">
        <v>12345</v>
      </c>
      <c r="C13393" s="129" t="s">
        <v>12346</v>
      </c>
      <c r="D13393" s="5">
        <v>621223</v>
      </c>
      <c r="E13393" s="5" t="s">
        <v>15632</v>
      </c>
    </row>
    <row r="13394" spans="2:5">
      <c r="B13394" s="4" t="s">
        <v>12345</v>
      </c>
      <c r="C13394" s="129" t="s">
        <v>12346</v>
      </c>
      <c r="D13394" s="5">
        <v>621224</v>
      </c>
      <c r="E13394" s="5" t="s">
        <v>15633</v>
      </c>
    </row>
    <row r="13395" spans="2:5">
      <c r="B13395" s="4" t="s">
        <v>12345</v>
      </c>
      <c r="C13395" s="129" t="s">
        <v>12346</v>
      </c>
      <c r="D13395" s="5">
        <v>621225</v>
      </c>
      <c r="E13395" s="5" t="s">
        <v>15634</v>
      </c>
    </row>
    <row r="13396" spans="2:5">
      <c r="B13396" s="4" t="s">
        <v>12345</v>
      </c>
      <c r="C13396" s="129" t="s">
        <v>12346</v>
      </c>
      <c r="D13396" s="5">
        <v>621226</v>
      </c>
      <c r="E13396" s="5" t="s">
        <v>15635</v>
      </c>
    </row>
    <row r="13397" spans="2:5">
      <c r="B13397" s="4" t="s">
        <v>12345</v>
      </c>
      <c r="C13397" s="129" t="s">
        <v>12346</v>
      </c>
      <c r="D13397" s="5">
        <v>621227</v>
      </c>
      <c r="E13397" s="5" t="s">
        <v>15636</v>
      </c>
    </row>
    <row r="13398" spans="2:5">
      <c r="B13398" s="4" t="s">
        <v>12345</v>
      </c>
      <c r="C13398" s="129" t="s">
        <v>12346</v>
      </c>
      <c r="D13398" s="5">
        <v>621228</v>
      </c>
      <c r="E13398" s="5" t="s">
        <v>15637</v>
      </c>
    </row>
    <row r="13399" spans="2:5">
      <c r="B13399" s="4" t="s">
        <v>12345</v>
      </c>
      <c r="C13399" s="129" t="s">
        <v>12346</v>
      </c>
      <c r="D13399" s="5">
        <v>622900</v>
      </c>
      <c r="E13399" s="5" t="s">
        <v>15638</v>
      </c>
    </row>
    <row r="13400" spans="2:5">
      <c r="B13400" s="4" t="s">
        <v>12345</v>
      </c>
      <c r="C13400" s="129" t="s">
        <v>12346</v>
      </c>
      <c r="D13400" s="5">
        <v>622901</v>
      </c>
      <c r="E13400" s="5" t="s">
        <v>15639</v>
      </c>
    </row>
    <row r="13401" spans="2:5">
      <c r="B13401" s="4" t="s">
        <v>12345</v>
      </c>
      <c r="C13401" s="129" t="s">
        <v>12346</v>
      </c>
      <c r="D13401" s="5">
        <v>622921</v>
      </c>
      <c r="E13401" s="5" t="s">
        <v>15640</v>
      </c>
    </row>
    <row r="13402" spans="2:5">
      <c r="B13402" s="4" t="s">
        <v>12345</v>
      </c>
      <c r="C13402" s="129" t="s">
        <v>12346</v>
      </c>
      <c r="D13402" s="5">
        <v>622922</v>
      </c>
      <c r="E13402" s="5" t="s">
        <v>15641</v>
      </c>
    </row>
    <row r="13403" spans="2:5">
      <c r="B13403" s="4" t="s">
        <v>12345</v>
      </c>
      <c r="C13403" s="129" t="s">
        <v>12346</v>
      </c>
      <c r="D13403" s="5">
        <v>622923</v>
      </c>
      <c r="E13403" s="5" t="s">
        <v>15642</v>
      </c>
    </row>
    <row r="13404" spans="2:5">
      <c r="B13404" s="4" t="s">
        <v>12345</v>
      </c>
      <c r="C13404" s="129" t="s">
        <v>12346</v>
      </c>
      <c r="D13404" s="5">
        <v>622924</v>
      </c>
      <c r="E13404" s="5" t="s">
        <v>15643</v>
      </c>
    </row>
    <row r="13405" spans="2:5">
      <c r="B13405" s="4" t="s">
        <v>12345</v>
      </c>
      <c r="C13405" s="129" t="s">
        <v>12346</v>
      </c>
      <c r="D13405" s="5">
        <v>622925</v>
      </c>
      <c r="E13405" s="5" t="s">
        <v>15644</v>
      </c>
    </row>
    <row r="13406" spans="2:5">
      <c r="B13406" s="4" t="s">
        <v>12345</v>
      </c>
      <c r="C13406" s="129" t="s">
        <v>12346</v>
      </c>
      <c r="D13406" s="5">
        <v>622926</v>
      </c>
      <c r="E13406" s="5" t="s">
        <v>15645</v>
      </c>
    </row>
    <row r="13407" spans="2:5">
      <c r="B13407" s="4" t="s">
        <v>12345</v>
      </c>
      <c r="C13407" s="129" t="s">
        <v>12346</v>
      </c>
      <c r="D13407" s="5">
        <v>622927</v>
      </c>
      <c r="E13407" s="5" t="s">
        <v>15646</v>
      </c>
    </row>
    <row r="13408" spans="2:5">
      <c r="B13408" s="4" t="s">
        <v>12345</v>
      </c>
      <c r="C13408" s="129" t="s">
        <v>12346</v>
      </c>
      <c r="D13408" s="5">
        <v>623000</v>
      </c>
      <c r="E13408" s="5" t="s">
        <v>15647</v>
      </c>
    </row>
    <row r="13409" spans="2:5">
      <c r="B13409" s="4" t="s">
        <v>12345</v>
      </c>
      <c r="C13409" s="129" t="s">
        <v>12346</v>
      </c>
      <c r="D13409" s="5">
        <v>623001</v>
      </c>
      <c r="E13409" s="5" t="s">
        <v>15648</v>
      </c>
    </row>
    <row r="13410" spans="2:5">
      <c r="B13410" s="4" t="s">
        <v>12345</v>
      </c>
      <c r="C13410" s="129" t="s">
        <v>12346</v>
      </c>
      <c r="D13410" s="5">
        <v>623021</v>
      </c>
      <c r="E13410" s="5" t="s">
        <v>15649</v>
      </c>
    </row>
    <row r="13411" spans="2:5">
      <c r="B13411" s="4" t="s">
        <v>12345</v>
      </c>
      <c r="C13411" s="129" t="s">
        <v>12346</v>
      </c>
      <c r="D13411" s="5">
        <v>623022</v>
      </c>
      <c r="E13411" s="5" t="s">
        <v>15650</v>
      </c>
    </row>
    <row r="13412" spans="2:5">
      <c r="B13412" s="4" t="s">
        <v>12345</v>
      </c>
      <c r="C13412" s="129" t="s">
        <v>12346</v>
      </c>
      <c r="D13412" s="5">
        <v>623023</v>
      </c>
      <c r="E13412" s="5" t="s">
        <v>15651</v>
      </c>
    </row>
    <row r="13413" spans="2:5">
      <c r="B13413" s="4" t="s">
        <v>12345</v>
      </c>
      <c r="C13413" s="129" t="s">
        <v>12346</v>
      </c>
      <c r="D13413" s="5">
        <v>623024</v>
      </c>
      <c r="E13413" s="5" t="s">
        <v>15652</v>
      </c>
    </row>
    <row r="13414" spans="2:5">
      <c r="B13414" s="4" t="s">
        <v>12345</v>
      </c>
      <c r="C13414" s="129" t="s">
        <v>12346</v>
      </c>
      <c r="D13414" s="5">
        <v>623025</v>
      </c>
      <c r="E13414" s="5" t="s">
        <v>15653</v>
      </c>
    </row>
    <row r="13415" spans="2:5">
      <c r="B13415" s="4" t="s">
        <v>12345</v>
      </c>
      <c r="C13415" s="129" t="s">
        <v>12346</v>
      </c>
      <c r="D13415" s="5">
        <v>623026</v>
      </c>
      <c r="E13415" s="5" t="s">
        <v>15654</v>
      </c>
    </row>
    <row r="13416" spans="2:5">
      <c r="B13416" s="4" t="s">
        <v>12345</v>
      </c>
      <c r="C13416" s="129" t="s">
        <v>12346</v>
      </c>
      <c r="D13416" s="5">
        <v>623027</v>
      </c>
      <c r="E13416" s="5" t="s">
        <v>15655</v>
      </c>
    </row>
    <row r="13417" spans="2:5">
      <c r="B13417" s="4" t="s">
        <v>12345</v>
      </c>
      <c r="C13417" s="129" t="s">
        <v>12346</v>
      </c>
      <c r="D13417" s="5">
        <v>630000</v>
      </c>
      <c r="E13417" s="5" t="s">
        <v>15656</v>
      </c>
    </row>
    <row r="13418" spans="2:5">
      <c r="B13418" s="4" t="s">
        <v>12345</v>
      </c>
      <c r="C13418" s="129" t="s">
        <v>12346</v>
      </c>
      <c r="D13418" s="5">
        <v>630100</v>
      </c>
      <c r="E13418" s="5" t="s">
        <v>15657</v>
      </c>
    </row>
    <row r="13419" spans="2:5">
      <c r="B13419" s="4" t="s">
        <v>12345</v>
      </c>
      <c r="C13419" s="129" t="s">
        <v>12346</v>
      </c>
      <c r="D13419" s="5">
        <v>630101</v>
      </c>
      <c r="E13419" s="5" t="s">
        <v>15658</v>
      </c>
    </row>
    <row r="13420" spans="2:5">
      <c r="B13420" s="4" t="s">
        <v>12345</v>
      </c>
      <c r="C13420" s="129" t="s">
        <v>12346</v>
      </c>
      <c r="D13420" s="5">
        <v>630102</v>
      </c>
      <c r="E13420" s="5" t="s">
        <v>15659</v>
      </c>
    </row>
    <row r="13421" spans="2:5">
      <c r="B13421" s="4" t="s">
        <v>12345</v>
      </c>
      <c r="C13421" s="129" t="s">
        <v>12346</v>
      </c>
      <c r="D13421" s="5">
        <v>630103</v>
      </c>
      <c r="E13421" s="5" t="s">
        <v>15660</v>
      </c>
    </row>
    <row r="13422" spans="2:5">
      <c r="B13422" s="4" t="s">
        <v>12345</v>
      </c>
      <c r="C13422" s="129" t="s">
        <v>12346</v>
      </c>
      <c r="D13422" s="5">
        <v>630104</v>
      </c>
      <c r="E13422" s="5" t="s">
        <v>15661</v>
      </c>
    </row>
    <row r="13423" spans="2:5">
      <c r="B13423" s="4" t="s">
        <v>12345</v>
      </c>
      <c r="C13423" s="129" t="s">
        <v>12346</v>
      </c>
      <c r="D13423" s="5">
        <v>630105</v>
      </c>
      <c r="E13423" s="5" t="s">
        <v>15662</v>
      </c>
    </row>
    <row r="13424" spans="2:5">
      <c r="B13424" s="4" t="s">
        <v>12345</v>
      </c>
      <c r="C13424" s="129" t="s">
        <v>12346</v>
      </c>
      <c r="D13424" s="5">
        <v>630121</v>
      </c>
      <c r="E13424" s="5" t="s">
        <v>15663</v>
      </c>
    </row>
    <row r="13425" spans="2:5">
      <c r="B13425" s="4" t="s">
        <v>12345</v>
      </c>
      <c r="C13425" s="129" t="s">
        <v>12346</v>
      </c>
      <c r="D13425" s="5">
        <v>630122</v>
      </c>
      <c r="E13425" s="5" t="s">
        <v>15664</v>
      </c>
    </row>
    <row r="13426" spans="2:5">
      <c r="B13426" s="4" t="s">
        <v>12345</v>
      </c>
      <c r="C13426" s="129" t="s">
        <v>12346</v>
      </c>
      <c r="D13426" s="5">
        <v>630123</v>
      </c>
      <c r="E13426" s="5" t="s">
        <v>15665</v>
      </c>
    </row>
    <row r="13427" spans="2:5">
      <c r="B13427" s="4" t="s">
        <v>12345</v>
      </c>
      <c r="C13427" s="129" t="s">
        <v>12346</v>
      </c>
      <c r="D13427" s="5">
        <v>630200</v>
      </c>
      <c r="E13427" s="5" t="s">
        <v>15666</v>
      </c>
    </row>
    <row r="13428" spans="2:5">
      <c r="B13428" s="4" t="s">
        <v>12345</v>
      </c>
      <c r="C13428" s="129" t="s">
        <v>12346</v>
      </c>
      <c r="D13428" s="5">
        <v>630202</v>
      </c>
      <c r="E13428" s="5" t="s">
        <v>15667</v>
      </c>
    </row>
    <row r="13429" spans="2:5">
      <c r="B13429" s="4" t="s">
        <v>12345</v>
      </c>
      <c r="C13429" s="129" t="s">
        <v>12346</v>
      </c>
      <c r="D13429" s="5">
        <v>630221</v>
      </c>
      <c r="E13429" s="5" t="s">
        <v>15668</v>
      </c>
    </row>
    <row r="13430" spans="2:5">
      <c r="B13430" s="4" t="s">
        <v>12345</v>
      </c>
      <c r="C13430" s="129" t="s">
        <v>12346</v>
      </c>
      <c r="D13430" s="5">
        <v>630222</v>
      </c>
      <c r="E13430" s="5" t="s">
        <v>15669</v>
      </c>
    </row>
    <row r="13431" spans="2:5">
      <c r="B13431" s="4" t="s">
        <v>12345</v>
      </c>
      <c r="C13431" s="129" t="s">
        <v>12346</v>
      </c>
      <c r="D13431" s="5">
        <v>630223</v>
      </c>
      <c r="E13431" s="5" t="s">
        <v>15670</v>
      </c>
    </row>
    <row r="13432" spans="2:5">
      <c r="B13432" s="4" t="s">
        <v>12345</v>
      </c>
      <c r="C13432" s="129" t="s">
        <v>12346</v>
      </c>
      <c r="D13432" s="5">
        <v>630224</v>
      </c>
      <c r="E13432" s="5" t="s">
        <v>15671</v>
      </c>
    </row>
    <row r="13433" spans="2:5">
      <c r="B13433" s="4" t="s">
        <v>12345</v>
      </c>
      <c r="C13433" s="129" t="s">
        <v>12346</v>
      </c>
      <c r="D13433" s="5">
        <v>630225</v>
      </c>
      <c r="E13433" s="5" t="s">
        <v>15672</v>
      </c>
    </row>
    <row r="13434" spans="2:5">
      <c r="B13434" s="4" t="s">
        <v>12345</v>
      </c>
      <c r="C13434" s="129" t="s">
        <v>12346</v>
      </c>
      <c r="D13434" s="5">
        <v>632200</v>
      </c>
      <c r="E13434" s="5" t="s">
        <v>15673</v>
      </c>
    </row>
    <row r="13435" spans="2:5">
      <c r="B13435" s="4" t="s">
        <v>12345</v>
      </c>
      <c r="C13435" s="129" t="s">
        <v>12346</v>
      </c>
      <c r="D13435" s="5">
        <v>632221</v>
      </c>
      <c r="E13435" s="5" t="s">
        <v>15674</v>
      </c>
    </row>
    <row r="13436" spans="2:5">
      <c r="B13436" s="4" t="s">
        <v>12345</v>
      </c>
      <c r="C13436" s="129" t="s">
        <v>12346</v>
      </c>
      <c r="D13436" s="5">
        <v>632222</v>
      </c>
      <c r="E13436" s="5" t="s">
        <v>15675</v>
      </c>
    </row>
    <row r="13437" spans="2:5">
      <c r="B13437" s="4" t="s">
        <v>12345</v>
      </c>
      <c r="C13437" s="129" t="s">
        <v>12346</v>
      </c>
      <c r="D13437" s="5">
        <v>632223</v>
      </c>
      <c r="E13437" s="5" t="s">
        <v>15676</v>
      </c>
    </row>
    <row r="13438" spans="2:5">
      <c r="B13438" s="4" t="s">
        <v>12345</v>
      </c>
      <c r="C13438" s="129" t="s">
        <v>12346</v>
      </c>
      <c r="D13438" s="5">
        <v>632224</v>
      </c>
      <c r="E13438" s="5" t="s">
        <v>15677</v>
      </c>
    </row>
    <row r="13439" spans="2:5">
      <c r="B13439" s="4" t="s">
        <v>12345</v>
      </c>
      <c r="C13439" s="129" t="s">
        <v>12346</v>
      </c>
      <c r="D13439" s="5">
        <v>632300</v>
      </c>
      <c r="E13439" s="5" t="s">
        <v>15678</v>
      </c>
    </row>
    <row r="13440" spans="2:5">
      <c r="B13440" s="4" t="s">
        <v>12345</v>
      </c>
      <c r="C13440" s="129" t="s">
        <v>12346</v>
      </c>
      <c r="D13440" s="5">
        <v>632321</v>
      </c>
      <c r="E13440" s="5" t="s">
        <v>15679</v>
      </c>
    </row>
    <row r="13441" spans="2:5">
      <c r="B13441" s="4" t="s">
        <v>12345</v>
      </c>
      <c r="C13441" s="129" t="s">
        <v>12346</v>
      </c>
      <c r="D13441" s="5">
        <v>632322</v>
      </c>
      <c r="E13441" s="5" t="s">
        <v>15680</v>
      </c>
    </row>
    <row r="13442" spans="2:5">
      <c r="B13442" s="4" t="s">
        <v>12345</v>
      </c>
      <c r="C13442" s="129" t="s">
        <v>12346</v>
      </c>
      <c r="D13442" s="5">
        <v>632323</v>
      </c>
      <c r="E13442" s="5" t="s">
        <v>15681</v>
      </c>
    </row>
    <row r="13443" spans="2:5">
      <c r="B13443" s="4" t="s">
        <v>12345</v>
      </c>
      <c r="C13443" s="129" t="s">
        <v>12346</v>
      </c>
      <c r="D13443" s="5">
        <v>632324</v>
      </c>
      <c r="E13443" s="5" t="s">
        <v>15682</v>
      </c>
    </row>
    <row r="13444" spans="2:5">
      <c r="B13444" s="4" t="s">
        <v>12345</v>
      </c>
      <c r="C13444" s="129" t="s">
        <v>12346</v>
      </c>
      <c r="D13444" s="5">
        <v>632500</v>
      </c>
      <c r="E13444" s="5" t="s">
        <v>15683</v>
      </c>
    </row>
    <row r="13445" spans="2:5">
      <c r="B13445" s="4" t="s">
        <v>12345</v>
      </c>
      <c r="C13445" s="129" t="s">
        <v>12346</v>
      </c>
      <c r="D13445" s="5">
        <v>632521</v>
      </c>
      <c r="E13445" s="5" t="s">
        <v>15684</v>
      </c>
    </row>
    <row r="13446" spans="2:5">
      <c r="B13446" s="4" t="s">
        <v>12345</v>
      </c>
      <c r="C13446" s="129" t="s">
        <v>12346</v>
      </c>
      <c r="D13446" s="5">
        <v>632522</v>
      </c>
      <c r="E13446" s="5" t="s">
        <v>15685</v>
      </c>
    </row>
    <row r="13447" spans="2:5">
      <c r="B13447" s="4" t="s">
        <v>12345</v>
      </c>
      <c r="C13447" s="129" t="s">
        <v>12346</v>
      </c>
      <c r="D13447" s="5">
        <v>632523</v>
      </c>
      <c r="E13447" s="5" t="s">
        <v>15686</v>
      </c>
    </row>
    <row r="13448" spans="2:5">
      <c r="B13448" s="4" t="s">
        <v>12345</v>
      </c>
      <c r="C13448" s="129" t="s">
        <v>12346</v>
      </c>
      <c r="D13448" s="5">
        <v>632524</v>
      </c>
      <c r="E13448" s="5" t="s">
        <v>15687</v>
      </c>
    </row>
    <row r="13449" spans="2:5">
      <c r="B13449" s="4" t="s">
        <v>12345</v>
      </c>
      <c r="C13449" s="129" t="s">
        <v>12346</v>
      </c>
      <c r="D13449" s="5">
        <v>632525</v>
      </c>
      <c r="E13449" s="5" t="s">
        <v>15688</v>
      </c>
    </row>
    <row r="13450" spans="2:5">
      <c r="B13450" s="4" t="s">
        <v>12345</v>
      </c>
      <c r="C13450" s="129" t="s">
        <v>12346</v>
      </c>
      <c r="D13450" s="5">
        <v>632600</v>
      </c>
      <c r="E13450" s="5" t="s">
        <v>15689</v>
      </c>
    </row>
    <row r="13451" spans="2:5">
      <c r="B13451" s="4" t="s">
        <v>12345</v>
      </c>
      <c r="C13451" s="129" t="s">
        <v>12346</v>
      </c>
      <c r="D13451" s="5">
        <v>632621</v>
      </c>
      <c r="E13451" s="5" t="s">
        <v>15690</v>
      </c>
    </row>
    <row r="13452" spans="2:5">
      <c r="B13452" s="4" t="s">
        <v>12345</v>
      </c>
      <c r="C13452" s="129" t="s">
        <v>12346</v>
      </c>
      <c r="D13452" s="5">
        <v>632622</v>
      </c>
      <c r="E13452" s="5" t="s">
        <v>15691</v>
      </c>
    </row>
    <row r="13453" spans="2:5">
      <c r="B13453" s="4" t="s">
        <v>12345</v>
      </c>
      <c r="C13453" s="129" t="s">
        <v>12346</v>
      </c>
      <c r="D13453" s="5">
        <v>632623</v>
      </c>
      <c r="E13453" s="5" t="s">
        <v>15692</v>
      </c>
    </row>
    <row r="13454" spans="2:5">
      <c r="B13454" s="4" t="s">
        <v>12345</v>
      </c>
      <c r="C13454" s="129" t="s">
        <v>12346</v>
      </c>
      <c r="D13454" s="5">
        <v>632624</v>
      </c>
      <c r="E13454" s="5" t="s">
        <v>15693</v>
      </c>
    </row>
    <row r="13455" spans="2:5">
      <c r="B13455" s="4" t="s">
        <v>12345</v>
      </c>
      <c r="C13455" s="129" t="s">
        <v>12346</v>
      </c>
      <c r="D13455" s="5">
        <v>632625</v>
      </c>
      <c r="E13455" s="5" t="s">
        <v>15694</v>
      </c>
    </row>
    <row r="13456" spans="2:5">
      <c r="B13456" s="4" t="s">
        <v>12345</v>
      </c>
      <c r="C13456" s="129" t="s">
        <v>12346</v>
      </c>
      <c r="D13456" s="5">
        <v>632626</v>
      </c>
      <c r="E13456" s="5" t="s">
        <v>15695</v>
      </c>
    </row>
    <row r="13457" spans="2:5">
      <c r="B13457" s="4" t="s">
        <v>12345</v>
      </c>
      <c r="C13457" s="129" t="s">
        <v>12346</v>
      </c>
      <c r="D13457" s="5">
        <v>632700</v>
      </c>
      <c r="E13457" s="5" t="s">
        <v>15696</v>
      </c>
    </row>
    <row r="13458" spans="2:5">
      <c r="B13458" s="4" t="s">
        <v>12345</v>
      </c>
      <c r="C13458" s="129" t="s">
        <v>12346</v>
      </c>
      <c r="D13458" s="5">
        <v>632701</v>
      </c>
      <c r="E13458" s="5" t="s">
        <v>15697</v>
      </c>
    </row>
    <row r="13459" spans="2:5">
      <c r="B13459" s="4" t="s">
        <v>12345</v>
      </c>
      <c r="C13459" s="129" t="s">
        <v>12346</v>
      </c>
      <c r="D13459" s="5">
        <v>632722</v>
      </c>
      <c r="E13459" s="5" t="s">
        <v>15698</v>
      </c>
    </row>
    <row r="13460" spans="2:5">
      <c r="B13460" s="4" t="s">
        <v>12345</v>
      </c>
      <c r="C13460" s="129" t="s">
        <v>12346</v>
      </c>
      <c r="D13460" s="5">
        <v>632723</v>
      </c>
      <c r="E13460" s="5" t="s">
        <v>15699</v>
      </c>
    </row>
    <row r="13461" spans="2:5">
      <c r="B13461" s="4" t="s">
        <v>12345</v>
      </c>
      <c r="C13461" s="129" t="s">
        <v>12346</v>
      </c>
      <c r="D13461" s="5">
        <v>632724</v>
      </c>
      <c r="E13461" s="5" t="s">
        <v>15700</v>
      </c>
    </row>
    <row r="13462" spans="2:5">
      <c r="B13462" s="4" t="s">
        <v>12345</v>
      </c>
      <c r="C13462" s="129" t="s">
        <v>12346</v>
      </c>
      <c r="D13462" s="5">
        <v>632725</v>
      </c>
      <c r="E13462" s="5" t="s">
        <v>15701</v>
      </c>
    </row>
    <row r="13463" spans="2:5">
      <c r="B13463" s="4" t="s">
        <v>12345</v>
      </c>
      <c r="C13463" s="129" t="s">
        <v>12346</v>
      </c>
      <c r="D13463" s="5">
        <v>632726</v>
      </c>
      <c r="E13463" s="5" t="s">
        <v>15702</v>
      </c>
    </row>
    <row r="13464" spans="2:5">
      <c r="B13464" s="4" t="s">
        <v>12345</v>
      </c>
      <c r="C13464" s="129" t="s">
        <v>12346</v>
      </c>
      <c r="D13464" s="5">
        <v>632800</v>
      </c>
      <c r="E13464" s="5" t="s">
        <v>15703</v>
      </c>
    </row>
    <row r="13465" spans="2:5">
      <c r="B13465" s="4" t="s">
        <v>12345</v>
      </c>
      <c r="C13465" s="129" t="s">
        <v>12346</v>
      </c>
      <c r="D13465" s="5">
        <v>632801</v>
      </c>
      <c r="E13465" s="5" t="s">
        <v>15704</v>
      </c>
    </row>
    <row r="13466" spans="2:5">
      <c r="B13466" s="4" t="s">
        <v>12345</v>
      </c>
      <c r="C13466" s="129" t="s">
        <v>12346</v>
      </c>
      <c r="D13466" s="5">
        <v>632802</v>
      </c>
      <c r="E13466" s="5" t="s">
        <v>15705</v>
      </c>
    </row>
    <row r="13467" spans="2:5">
      <c r="B13467" s="4" t="s">
        <v>12345</v>
      </c>
      <c r="C13467" s="129" t="s">
        <v>12346</v>
      </c>
      <c r="D13467" s="5">
        <v>632821</v>
      </c>
      <c r="E13467" s="5" t="s">
        <v>15706</v>
      </c>
    </row>
    <row r="13468" spans="2:5">
      <c r="B13468" s="4" t="s">
        <v>12345</v>
      </c>
      <c r="C13468" s="129" t="s">
        <v>12346</v>
      </c>
      <c r="D13468" s="5">
        <v>632822</v>
      </c>
      <c r="E13468" s="5" t="s">
        <v>15707</v>
      </c>
    </row>
    <row r="13469" spans="2:5">
      <c r="B13469" s="4" t="s">
        <v>12345</v>
      </c>
      <c r="C13469" s="129" t="s">
        <v>12346</v>
      </c>
      <c r="D13469" s="5">
        <v>632823</v>
      </c>
      <c r="E13469" s="5" t="s">
        <v>15708</v>
      </c>
    </row>
    <row r="13470" spans="2:5">
      <c r="B13470" s="4" t="s">
        <v>12345</v>
      </c>
      <c r="C13470" s="129" t="s">
        <v>12346</v>
      </c>
      <c r="D13470" s="5">
        <v>640000</v>
      </c>
      <c r="E13470" s="5" t="s">
        <v>15709</v>
      </c>
    </row>
    <row r="13471" spans="2:5">
      <c r="B13471" s="4" t="s">
        <v>12345</v>
      </c>
      <c r="C13471" s="129" t="s">
        <v>12346</v>
      </c>
      <c r="D13471" s="5">
        <v>640100</v>
      </c>
      <c r="E13471" s="5" t="s">
        <v>15710</v>
      </c>
    </row>
    <row r="13472" spans="2:5">
      <c r="B13472" s="4" t="s">
        <v>12345</v>
      </c>
      <c r="C13472" s="129" t="s">
        <v>12346</v>
      </c>
      <c r="D13472" s="5">
        <v>640101</v>
      </c>
      <c r="E13472" s="5" t="s">
        <v>15711</v>
      </c>
    </row>
    <row r="13473" spans="2:5">
      <c r="B13473" s="4" t="s">
        <v>12345</v>
      </c>
      <c r="C13473" s="129" t="s">
        <v>12346</v>
      </c>
      <c r="D13473" s="5">
        <v>640104</v>
      </c>
      <c r="E13473" s="5" t="s">
        <v>15712</v>
      </c>
    </row>
    <row r="13474" spans="2:5">
      <c r="B13474" s="4" t="s">
        <v>12345</v>
      </c>
      <c r="C13474" s="129" t="s">
        <v>12346</v>
      </c>
      <c r="D13474" s="5">
        <v>640105</v>
      </c>
      <c r="E13474" s="5" t="s">
        <v>15713</v>
      </c>
    </row>
    <row r="13475" spans="2:5">
      <c r="B13475" s="4" t="s">
        <v>12345</v>
      </c>
      <c r="C13475" s="129" t="s">
        <v>12346</v>
      </c>
      <c r="D13475" s="5">
        <v>640106</v>
      </c>
      <c r="E13475" s="5" t="s">
        <v>15714</v>
      </c>
    </row>
    <row r="13476" spans="2:5">
      <c r="B13476" s="4" t="s">
        <v>12345</v>
      </c>
      <c r="C13476" s="129" t="s">
        <v>12346</v>
      </c>
      <c r="D13476" s="5">
        <v>640121</v>
      </c>
      <c r="E13476" s="5" t="s">
        <v>15715</v>
      </c>
    </row>
    <row r="13477" spans="2:5">
      <c r="B13477" s="4" t="s">
        <v>12345</v>
      </c>
      <c r="C13477" s="129" t="s">
        <v>12346</v>
      </c>
      <c r="D13477" s="5">
        <v>640122</v>
      </c>
      <c r="E13477" s="5" t="s">
        <v>15716</v>
      </c>
    </row>
    <row r="13478" spans="2:5">
      <c r="B13478" s="4" t="s">
        <v>12345</v>
      </c>
      <c r="C13478" s="129" t="s">
        <v>12346</v>
      </c>
      <c r="D13478" s="5">
        <v>640181</v>
      </c>
      <c r="E13478" s="5" t="s">
        <v>15717</v>
      </c>
    </row>
    <row r="13479" spans="2:5">
      <c r="B13479" s="4" t="s">
        <v>12345</v>
      </c>
      <c r="C13479" s="129" t="s">
        <v>12346</v>
      </c>
      <c r="D13479" s="5">
        <v>640200</v>
      </c>
      <c r="E13479" s="5" t="s">
        <v>15718</v>
      </c>
    </row>
    <row r="13480" spans="2:5">
      <c r="B13480" s="4" t="s">
        <v>12345</v>
      </c>
      <c r="C13480" s="129" t="s">
        <v>12346</v>
      </c>
      <c r="D13480" s="5">
        <v>640201</v>
      </c>
      <c r="E13480" s="5" t="s">
        <v>15719</v>
      </c>
    </row>
    <row r="13481" spans="2:5">
      <c r="B13481" s="4" t="s">
        <v>12345</v>
      </c>
      <c r="C13481" s="129" t="s">
        <v>12346</v>
      </c>
      <c r="D13481" s="5">
        <v>640202</v>
      </c>
      <c r="E13481" s="5" t="s">
        <v>15720</v>
      </c>
    </row>
    <row r="13482" spans="2:5">
      <c r="B13482" s="4" t="s">
        <v>12345</v>
      </c>
      <c r="C13482" s="129" t="s">
        <v>12346</v>
      </c>
      <c r="D13482" s="5">
        <v>640205</v>
      </c>
      <c r="E13482" s="5" t="s">
        <v>15721</v>
      </c>
    </row>
    <row r="13483" spans="2:5">
      <c r="B13483" s="4" t="s">
        <v>12345</v>
      </c>
      <c r="C13483" s="129" t="s">
        <v>12346</v>
      </c>
      <c r="D13483" s="5">
        <v>640221</v>
      </c>
      <c r="E13483" s="5" t="s">
        <v>15722</v>
      </c>
    </row>
    <row r="13484" spans="2:5">
      <c r="B13484" s="4" t="s">
        <v>12345</v>
      </c>
      <c r="C13484" s="129" t="s">
        <v>12346</v>
      </c>
      <c r="D13484" s="5">
        <v>640300</v>
      </c>
      <c r="E13484" s="5" t="s">
        <v>15723</v>
      </c>
    </row>
    <row r="13485" spans="2:5">
      <c r="B13485" s="4" t="s">
        <v>12345</v>
      </c>
      <c r="C13485" s="129" t="s">
        <v>12346</v>
      </c>
      <c r="D13485" s="5">
        <v>640301</v>
      </c>
      <c r="E13485" s="5" t="s">
        <v>15724</v>
      </c>
    </row>
    <row r="13486" spans="2:5">
      <c r="B13486" s="4" t="s">
        <v>12345</v>
      </c>
      <c r="C13486" s="129" t="s">
        <v>12346</v>
      </c>
      <c r="D13486" s="5">
        <v>640302</v>
      </c>
      <c r="E13486" s="5" t="s">
        <v>15725</v>
      </c>
    </row>
    <row r="13487" spans="2:5">
      <c r="B13487" s="4" t="s">
        <v>12345</v>
      </c>
      <c r="C13487" s="129" t="s">
        <v>12346</v>
      </c>
      <c r="D13487" s="5">
        <v>640303</v>
      </c>
      <c r="E13487" s="5" t="s">
        <v>15726</v>
      </c>
    </row>
    <row r="13488" spans="2:5">
      <c r="B13488" s="4" t="s">
        <v>12345</v>
      </c>
      <c r="C13488" s="129" t="s">
        <v>12346</v>
      </c>
      <c r="D13488" s="5">
        <v>640323</v>
      </c>
      <c r="E13488" s="5" t="s">
        <v>15727</v>
      </c>
    </row>
    <row r="13489" spans="2:5">
      <c r="B13489" s="4" t="s">
        <v>12345</v>
      </c>
      <c r="C13489" s="129" t="s">
        <v>12346</v>
      </c>
      <c r="D13489" s="5">
        <v>640324</v>
      </c>
      <c r="E13489" s="5" t="s">
        <v>15728</v>
      </c>
    </row>
    <row r="13490" spans="2:5">
      <c r="B13490" s="4" t="s">
        <v>12345</v>
      </c>
      <c r="C13490" s="129" t="s">
        <v>12346</v>
      </c>
      <c r="D13490" s="5">
        <v>640381</v>
      </c>
      <c r="E13490" s="5" t="s">
        <v>15729</v>
      </c>
    </row>
    <row r="13491" spans="2:5">
      <c r="B13491" s="4" t="s">
        <v>12345</v>
      </c>
      <c r="C13491" s="129" t="s">
        <v>12346</v>
      </c>
      <c r="D13491" s="5">
        <v>640400</v>
      </c>
      <c r="E13491" s="5" t="s">
        <v>15730</v>
      </c>
    </row>
    <row r="13492" spans="2:5">
      <c r="B13492" s="4" t="s">
        <v>12345</v>
      </c>
      <c r="C13492" s="129" t="s">
        <v>12346</v>
      </c>
      <c r="D13492" s="5">
        <v>640401</v>
      </c>
      <c r="E13492" s="5" t="s">
        <v>15731</v>
      </c>
    </row>
    <row r="13493" spans="2:5">
      <c r="B13493" s="4" t="s">
        <v>12345</v>
      </c>
      <c r="C13493" s="129" t="s">
        <v>12346</v>
      </c>
      <c r="D13493" s="5">
        <v>640402</v>
      </c>
      <c r="E13493" s="5" t="s">
        <v>15732</v>
      </c>
    </row>
    <row r="13494" spans="2:5">
      <c r="B13494" s="4" t="s">
        <v>12345</v>
      </c>
      <c r="C13494" s="129" t="s">
        <v>12346</v>
      </c>
      <c r="D13494" s="5">
        <v>640422</v>
      </c>
      <c r="E13494" s="5" t="s">
        <v>15733</v>
      </c>
    </row>
    <row r="13495" spans="2:5">
      <c r="B13495" s="4" t="s">
        <v>12345</v>
      </c>
      <c r="C13495" s="129" t="s">
        <v>12346</v>
      </c>
      <c r="D13495" s="5">
        <v>640423</v>
      </c>
      <c r="E13495" s="5" t="s">
        <v>15734</v>
      </c>
    </row>
    <row r="13496" spans="2:5">
      <c r="B13496" s="4" t="s">
        <v>12345</v>
      </c>
      <c r="C13496" s="129" t="s">
        <v>12346</v>
      </c>
      <c r="D13496" s="5">
        <v>640424</v>
      </c>
      <c r="E13496" s="5" t="s">
        <v>15735</v>
      </c>
    </row>
    <row r="13497" spans="2:5">
      <c r="B13497" s="4" t="s">
        <v>12345</v>
      </c>
      <c r="C13497" s="129" t="s">
        <v>12346</v>
      </c>
      <c r="D13497" s="5">
        <v>640425</v>
      </c>
      <c r="E13497" s="5" t="s">
        <v>15736</v>
      </c>
    </row>
    <row r="13498" spans="2:5">
      <c r="B13498" s="4" t="s">
        <v>12345</v>
      </c>
      <c r="C13498" s="129" t="s">
        <v>12346</v>
      </c>
      <c r="D13498" s="5">
        <v>640500</v>
      </c>
      <c r="E13498" s="5" t="s">
        <v>15737</v>
      </c>
    </row>
    <row r="13499" spans="2:5">
      <c r="B13499" s="4" t="s">
        <v>12345</v>
      </c>
      <c r="C13499" s="129" t="s">
        <v>12346</v>
      </c>
      <c r="D13499" s="5">
        <v>640501</v>
      </c>
      <c r="E13499" s="5" t="s">
        <v>15738</v>
      </c>
    </row>
    <row r="13500" spans="2:5">
      <c r="B13500" s="4" t="s">
        <v>12345</v>
      </c>
      <c r="C13500" s="129" t="s">
        <v>12346</v>
      </c>
      <c r="D13500" s="5">
        <v>640502</v>
      </c>
      <c r="E13500" s="5" t="s">
        <v>15739</v>
      </c>
    </row>
    <row r="13501" spans="2:5">
      <c r="B13501" s="4" t="s">
        <v>12345</v>
      </c>
      <c r="C13501" s="129" t="s">
        <v>12346</v>
      </c>
      <c r="D13501" s="5">
        <v>640521</v>
      </c>
      <c r="E13501" s="5" t="s">
        <v>15740</v>
      </c>
    </row>
    <row r="13502" spans="2:5">
      <c r="B13502" s="4" t="s">
        <v>12345</v>
      </c>
      <c r="C13502" s="129" t="s">
        <v>12346</v>
      </c>
      <c r="D13502" s="5">
        <v>640522</v>
      </c>
      <c r="E13502" s="5" t="s">
        <v>15741</v>
      </c>
    </row>
    <row r="13503" spans="2:5">
      <c r="B13503" s="4" t="s">
        <v>12345</v>
      </c>
      <c r="C13503" s="129" t="s">
        <v>12346</v>
      </c>
      <c r="D13503" s="5">
        <v>650000</v>
      </c>
      <c r="E13503" s="5" t="s">
        <v>15742</v>
      </c>
    </row>
    <row r="13504" spans="2:5">
      <c r="B13504" s="4" t="s">
        <v>12345</v>
      </c>
      <c r="C13504" s="129" t="s">
        <v>12346</v>
      </c>
      <c r="D13504" s="5">
        <v>650100</v>
      </c>
      <c r="E13504" s="5" t="s">
        <v>15743</v>
      </c>
    </row>
    <row r="13505" spans="2:5">
      <c r="B13505" s="4" t="s">
        <v>12345</v>
      </c>
      <c r="C13505" s="129" t="s">
        <v>12346</v>
      </c>
      <c r="D13505" s="5">
        <v>650101</v>
      </c>
      <c r="E13505" s="5" t="s">
        <v>15744</v>
      </c>
    </row>
    <row r="13506" spans="2:5">
      <c r="B13506" s="4" t="s">
        <v>12345</v>
      </c>
      <c r="C13506" s="129" t="s">
        <v>12346</v>
      </c>
      <c r="D13506" s="5">
        <v>650102</v>
      </c>
      <c r="E13506" s="5" t="s">
        <v>15745</v>
      </c>
    </row>
    <row r="13507" spans="2:5">
      <c r="B13507" s="4" t="s">
        <v>12345</v>
      </c>
      <c r="C13507" s="129" t="s">
        <v>12346</v>
      </c>
      <c r="D13507" s="5">
        <v>650103</v>
      </c>
      <c r="E13507" s="5" t="s">
        <v>15746</v>
      </c>
    </row>
    <row r="13508" spans="2:5">
      <c r="B13508" s="4" t="s">
        <v>12345</v>
      </c>
      <c r="C13508" s="129" t="s">
        <v>12346</v>
      </c>
      <c r="D13508" s="5">
        <v>650104</v>
      </c>
      <c r="E13508" s="5" t="s">
        <v>15747</v>
      </c>
    </row>
    <row r="13509" spans="2:5">
      <c r="B13509" s="4" t="s">
        <v>12345</v>
      </c>
      <c r="C13509" s="129" t="s">
        <v>12346</v>
      </c>
      <c r="D13509" s="5">
        <v>650105</v>
      </c>
      <c r="E13509" s="5" t="s">
        <v>15748</v>
      </c>
    </row>
    <row r="13510" spans="2:5">
      <c r="B13510" s="4" t="s">
        <v>12345</v>
      </c>
      <c r="C13510" s="129" t="s">
        <v>12346</v>
      </c>
      <c r="D13510" s="5">
        <v>650106</v>
      </c>
      <c r="E13510" s="5" t="s">
        <v>15749</v>
      </c>
    </row>
    <row r="13511" spans="2:5">
      <c r="B13511" s="4" t="s">
        <v>12345</v>
      </c>
      <c r="C13511" s="129" t="s">
        <v>12346</v>
      </c>
      <c r="D13511" s="5">
        <v>650107</v>
      </c>
      <c r="E13511" s="5" t="s">
        <v>15750</v>
      </c>
    </row>
    <row r="13512" spans="2:5">
      <c r="B13512" s="4" t="s">
        <v>12345</v>
      </c>
      <c r="C13512" s="129" t="s">
        <v>12346</v>
      </c>
      <c r="D13512" s="5">
        <v>650109</v>
      </c>
      <c r="E13512" s="5" t="s">
        <v>15751</v>
      </c>
    </row>
    <row r="13513" spans="2:5">
      <c r="B13513" s="4" t="s">
        <v>12345</v>
      </c>
      <c r="C13513" s="129" t="s">
        <v>12346</v>
      </c>
      <c r="D13513" s="5">
        <v>650121</v>
      </c>
      <c r="E13513" s="5" t="s">
        <v>15752</v>
      </c>
    </row>
    <row r="13514" spans="2:5">
      <c r="B13514" s="4" t="s">
        <v>12345</v>
      </c>
      <c r="C13514" s="129" t="s">
        <v>12346</v>
      </c>
      <c r="D13514" s="5">
        <v>650200</v>
      </c>
      <c r="E13514" s="5" t="s">
        <v>15753</v>
      </c>
    </row>
    <row r="13515" spans="2:5">
      <c r="B13515" s="4" t="s">
        <v>12345</v>
      </c>
      <c r="C13515" s="129" t="s">
        <v>12346</v>
      </c>
      <c r="D13515" s="5">
        <v>650201</v>
      </c>
      <c r="E13515" s="5" t="s">
        <v>15754</v>
      </c>
    </row>
    <row r="13516" spans="2:5">
      <c r="B13516" s="4" t="s">
        <v>12345</v>
      </c>
      <c r="C13516" s="129" t="s">
        <v>12346</v>
      </c>
      <c r="D13516" s="5">
        <v>650202</v>
      </c>
      <c r="E13516" s="5" t="s">
        <v>15755</v>
      </c>
    </row>
    <row r="13517" spans="2:5">
      <c r="B13517" s="4" t="s">
        <v>12345</v>
      </c>
      <c r="C13517" s="129" t="s">
        <v>12346</v>
      </c>
      <c r="D13517" s="5">
        <v>650203</v>
      </c>
      <c r="E13517" s="5" t="s">
        <v>15756</v>
      </c>
    </row>
    <row r="13518" spans="2:5">
      <c r="B13518" s="4" t="s">
        <v>12345</v>
      </c>
      <c r="C13518" s="129" t="s">
        <v>12346</v>
      </c>
      <c r="D13518" s="5">
        <v>650204</v>
      </c>
      <c r="E13518" s="5" t="s">
        <v>15757</v>
      </c>
    </row>
    <row r="13519" spans="2:5">
      <c r="B13519" s="4" t="s">
        <v>12345</v>
      </c>
      <c r="C13519" s="129" t="s">
        <v>12346</v>
      </c>
      <c r="D13519" s="5">
        <v>650205</v>
      </c>
      <c r="E13519" s="5" t="s">
        <v>15758</v>
      </c>
    </row>
    <row r="13520" spans="2:5">
      <c r="B13520" s="4" t="s">
        <v>12345</v>
      </c>
      <c r="C13520" s="129" t="s">
        <v>12346</v>
      </c>
      <c r="D13520" s="5">
        <v>652100</v>
      </c>
      <c r="E13520" s="5" t="s">
        <v>15759</v>
      </c>
    </row>
    <row r="13521" spans="2:5">
      <c r="B13521" s="4" t="s">
        <v>12345</v>
      </c>
      <c r="C13521" s="129" t="s">
        <v>12346</v>
      </c>
      <c r="D13521" s="5">
        <v>652101</v>
      </c>
      <c r="E13521" s="5" t="s">
        <v>15760</v>
      </c>
    </row>
    <row r="13522" spans="2:5">
      <c r="B13522" s="4" t="s">
        <v>12345</v>
      </c>
      <c r="C13522" s="129" t="s">
        <v>12346</v>
      </c>
      <c r="D13522" s="5">
        <v>652122</v>
      </c>
      <c r="E13522" s="5" t="s">
        <v>15761</v>
      </c>
    </row>
    <row r="13523" spans="2:5">
      <c r="B13523" s="4" t="s">
        <v>12345</v>
      </c>
      <c r="C13523" s="129" t="s">
        <v>12346</v>
      </c>
      <c r="D13523" s="5">
        <v>652123</v>
      </c>
      <c r="E13523" s="5" t="s">
        <v>15762</v>
      </c>
    </row>
    <row r="13524" spans="2:5">
      <c r="B13524" s="4" t="s">
        <v>12345</v>
      </c>
      <c r="C13524" s="129" t="s">
        <v>12346</v>
      </c>
      <c r="D13524" s="5">
        <v>652200</v>
      </c>
      <c r="E13524" s="5" t="s">
        <v>15763</v>
      </c>
    </row>
    <row r="13525" spans="2:5">
      <c r="B13525" s="4" t="s">
        <v>12345</v>
      </c>
      <c r="C13525" s="129" t="s">
        <v>12346</v>
      </c>
      <c r="D13525" s="5">
        <v>652201</v>
      </c>
      <c r="E13525" s="5" t="s">
        <v>15764</v>
      </c>
    </row>
    <row r="13526" spans="2:5">
      <c r="B13526" s="4" t="s">
        <v>12345</v>
      </c>
      <c r="C13526" s="129" t="s">
        <v>12346</v>
      </c>
      <c r="D13526" s="5">
        <v>652222</v>
      </c>
      <c r="E13526" s="5" t="s">
        <v>15765</v>
      </c>
    </row>
    <row r="13527" spans="2:5">
      <c r="B13527" s="4" t="s">
        <v>12345</v>
      </c>
      <c r="C13527" s="129" t="s">
        <v>12346</v>
      </c>
      <c r="D13527" s="5">
        <v>652223</v>
      </c>
      <c r="E13527" s="5" t="s">
        <v>15766</v>
      </c>
    </row>
    <row r="13528" spans="2:5">
      <c r="B13528" s="4" t="s">
        <v>12345</v>
      </c>
      <c r="C13528" s="129" t="s">
        <v>12346</v>
      </c>
      <c r="D13528" s="5">
        <v>652300</v>
      </c>
      <c r="E13528" s="5" t="s">
        <v>15767</v>
      </c>
    </row>
    <row r="13529" spans="2:5">
      <c r="B13529" s="4" t="s">
        <v>12345</v>
      </c>
      <c r="C13529" s="129" t="s">
        <v>12346</v>
      </c>
      <c r="D13529" s="5">
        <v>652301</v>
      </c>
      <c r="E13529" s="5" t="s">
        <v>15768</v>
      </c>
    </row>
    <row r="13530" spans="2:5">
      <c r="B13530" s="4" t="s">
        <v>12345</v>
      </c>
      <c r="C13530" s="129" t="s">
        <v>12346</v>
      </c>
      <c r="D13530" s="5">
        <v>652302</v>
      </c>
      <c r="E13530" s="5" t="s">
        <v>15769</v>
      </c>
    </row>
    <row r="13531" spans="2:5">
      <c r="B13531" s="4" t="s">
        <v>12345</v>
      </c>
      <c r="C13531" s="129" t="s">
        <v>12346</v>
      </c>
      <c r="D13531" s="5">
        <v>652323</v>
      </c>
      <c r="E13531" s="5" t="s">
        <v>15770</v>
      </c>
    </row>
    <row r="13532" spans="2:5">
      <c r="B13532" s="4" t="s">
        <v>12345</v>
      </c>
      <c r="C13532" s="129" t="s">
        <v>12346</v>
      </c>
      <c r="D13532" s="5">
        <v>652324</v>
      </c>
      <c r="E13532" s="5" t="s">
        <v>15771</v>
      </c>
    </row>
    <row r="13533" spans="2:5">
      <c r="B13533" s="4" t="s">
        <v>12345</v>
      </c>
      <c r="C13533" s="129" t="s">
        <v>12346</v>
      </c>
      <c r="D13533" s="5">
        <v>652325</v>
      </c>
      <c r="E13533" s="5" t="s">
        <v>15772</v>
      </c>
    </row>
    <row r="13534" spans="2:5">
      <c r="B13534" s="4" t="s">
        <v>12345</v>
      </c>
      <c r="C13534" s="129" t="s">
        <v>12346</v>
      </c>
      <c r="D13534" s="5">
        <v>652327</v>
      </c>
      <c r="E13534" s="5" t="s">
        <v>15773</v>
      </c>
    </row>
    <row r="13535" spans="2:5">
      <c r="B13535" s="4" t="s">
        <v>12345</v>
      </c>
      <c r="C13535" s="129" t="s">
        <v>12346</v>
      </c>
      <c r="D13535" s="5">
        <v>652328</v>
      </c>
      <c r="E13535" s="5" t="s">
        <v>15774</v>
      </c>
    </row>
    <row r="13536" spans="2:5">
      <c r="B13536" s="4" t="s">
        <v>12345</v>
      </c>
      <c r="C13536" s="129" t="s">
        <v>12346</v>
      </c>
      <c r="D13536" s="5">
        <v>652700</v>
      </c>
      <c r="E13536" s="5" t="s">
        <v>15775</v>
      </c>
    </row>
    <row r="13537" spans="2:5">
      <c r="B13537" s="4" t="s">
        <v>12345</v>
      </c>
      <c r="C13537" s="129" t="s">
        <v>12346</v>
      </c>
      <c r="D13537" s="5">
        <v>652701</v>
      </c>
      <c r="E13537" s="5" t="s">
        <v>15776</v>
      </c>
    </row>
    <row r="13538" spans="2:5">
      <c r="B13538" s="4" t="s">
        <v>12345</v>
      </c>
      <c r="C13538" s="129" t="s">
        <v>12346</v>
      </c>
      <c r="D13538" s="5">
        <v>652702</v>
      </c>
      <c r="E13538" s="5" t="s">
        <v>15777</v>
      </c>
    </row>
    <row r="13539" spans="2:5">
      <c r="B13539" s="4" t="s">
        <v>12345</v>
      </c>
      <c r="C13539" s="129" t="s">
        <v>12346</v>
      </c>
      <c r="D13539" s="5">
        <v>652722</v>
      </c>
      <c r="E13539" s="5" t="s">
        <v>15778</v>
      </c>
    </row>
    <row r="13540" spans="2:5">
      <c r="B13540" s="4" t="s">
        <v>12345</v>
      </c>
      <c r="C13540" s="129" t="s">
        <v>12346</v>
      </c>
      <c r="D13540" s="5">
        <v>652723</v>
      </c>
      <c r="E13540" s="5" t="s">
        <v>15779</v>
      </c>
    </row>
    <row r="13541" spans="2:5">
      <c r="B13541" s="4" t="s">
        <v>12345</v>
      </c>
      <c r="C13541" s="129" t="s">
        <v>12346</v>
      </c>
      <c r="D13541" s="5">
        <v>652800</v>
      </c>
      <c r="E13541" s="5" t="s">
        <v>15780</v>
      </c>
    </row>
    <row r="13542" spans="2:5">
      <c r="B13542" s="4" t="s">
        <v>12345</v>
      </c>
      <c r="C13542" s="129" t="s">
        <v>12346</v>
      </c>
      <c r="D13542" s="5">
        <v>652801</v>
      </c>
      <c r="E13542" s="5" t="s">
        <v>15781</v>
      </c>
    </row>
    <row r="13543" spans="2:5">
      <c r="B13543" s="4" t="s">
        <v>12345</v>
      </c>
      <c r="C13543" s="129" t="s">
        <v>12346</v>
      </c>
      <c r="D13543" s="5">
        <v>652822</v>
      </c>
      <c r="E13543" s="5" t="s">
        <v>15782</v>
      </c>
    </row>
    <row r="13544" spans="2:5">
      <c r="B13544" s="4" t="s">
        <v>12345</v>
      </c>
      <c r="C13544" s="129" t="s">
        <v>12346</v>
      </c>
      <c r="D13544" s="5">
        <v>652823</v>
      </c>
      <c r="E13544" s="5" t="s">
        <v>15783</v>
      </c>
    </row>
    <row r="13545" spans="2:5">
      <c r="B13545" s="4" t="s">
        <v>12345</v>
      </c>
      <c r="C13545" s="129" t="s">
        <v>12346</v>
      </c>
      <c r="D13545" s="5">
        <v>652824</v>
      </c>
      <c r="E13545" s="5" t="s">
        <v>15784</v>
      </c>
    </row>
    <row r="13546" spans="2:5">
      <c r="B13546" s="4" t="s">
        <v>12345</v>
      </c>
      <c r="C13546" s="129" t="s">
        <v>12346</v>
      </c>
      <c r="D13546" s="5">
        <v>652825</v>
      </c>
      <c r="E13546" s="5" t="s">
        <v>15785</v>
      </c>
    </row>
    <row r="13547" spans="2:5">
      <c r="B13547" s="4" t="s">
        <v>12345</v>
      </c>
      <c r="C13547" s="129" t="s">
        <v>12346</v>
      </c>
      <c r="D13547" s="5">
        <v>652826</v>
      </c>
      <c r="E13547" s="5" t="s">
        <v>15786</v>
      </c>
    </row>
    <row r="13548" spans="2:5">
      <c r="B13548" s="4" t="s">
        <v>12345</v>
      </c>
      <c r="C13548" s="129" t="s">
        <v>12346</v>
      </c>
      <c r="D13548" s="5">
        <v>652827</v>
      </c>
      <c r="E13548" s="5" t="s">
        <v>15787</v>
      </c>
    </row>
    <row r="13549" spans="2:5">
      <c r="B13549" s="4" t="s">
        <v>12345</v>
      </c>
      <c r="C13549" s="129" t="s">
        <v>12346</v>
      </c>
      <c r="D13549" s="5">
        <v>652828</v>
      </c>
      <c r="E13549" s="5" t="s">
        <v>15788</v>
      </c>
    </row>
    <row r="13550" spans="2:5">
      <c r="B13550" s="4" t="s">
        <v>12345</v>
      </c>
      <c r="C13550" s="129" t="s">
        <v>12346</v>
      </c>
      <c r="D13550" s="5">
        <v>652829</v>
      </c>
      <c r="E13550" s="5" t="s">
        <v>15789</v>
      </c>
    </row>
    <row r="13551" spans="2:5">
      <c r="B13551" s="4" t="s">
        <v>12345</v>
      </c>
      <c r="C13551" s="129" t="s">
        <v>12346</v>
      </c>
      <c r="D13551" s="5">
        <v>652900</v>
      </c>
      <c r="E13551" s="5" t="s">
        <v>15790</v>
      </c>
    </row>
    <row r="13552" spans="2:5">
      <c r="B13552" s="4" t="s">
        <v>12345</v>
      </c>
      <c r="C13552" s="129" t="s">
        <v>12346</v>
      </c>
      <c r="D13552" s="5">
        <v>652901</v>
      </c>
      <c r="E13552" s="5" t="s">
        <v>15791</v>
      </c>
    </row>
    <row r="13553" spans="2:5">
      <c r="B13553" s="4" t="s">
        <v>12345</v>
      </c>
      <c r="C13553" s="129" t="s">
        <v>12346</v>
      </c>
      <c r="D13553" s="5">
        <v>652922</v>
      </c>
      <c r="E13553" s="5" t="s">
        <v>15792</v>
      </c>
    </row>
    <row r="13554" spans="2:5">
      <c r="B13554" s="4" t="s">
        <v>12345</v>
      </c>
      <c r="C13554" s="129" t="s">
        <v>12346</v>
      </c>
      <c r="D13554" s="5">
        <v>652923</v>
      </c>
      <c r="E13554" s="5" t="s">
        <v>15793</v>
      </c>
    </row>
    <row r="13555" spans="2:5">
      <c r="B13555" s="4" t="s">
        <v>12345</v>
      </c>
      <c r="C13555" s="129" t="s">
        <v>12346</v>
      </c>
      <c r="D13555" s="5">
        <v>652924</v>
      </c>
      <c r="E13555" s="5" t="s">
        <v>15794</v>
      </c>
    </row>
    <row r="13556" spans="2:5">
      <c r="B13556" s="4" t="s">
        <v>12345</v>
      </c>
      <c r="C13556" s="129" t="s">
        <v>12346</v>
      </c>
      <c r="D13556" s="5">
        <v>652925</v>
      </c>
      <c r="E13556" s="5" t="s">
        <v>15795</v>
      </c>
    </row>
    <row r="13557" spans="2:5">
      <c r="B13557" s="4" t="s">
        <v>12345</v>
      </c>
      <c r="C13557" s="129" t="s">
        <v>12346</v>
      </c>
      <c r="D13557" s="5">
        <v>652926</v>
      </c>
      <c r="E13557" s="5" t="s">
        <v>15796</v>
      </c>
    </row>
    <row r="13558" spans="2:5">
      <c r="B13558" s="4" t="s">
        <v>12345</v>
      </c>
      <c r="C13558" s="129" t="s">
        <v>12346</v>
      </c>
      <c r="D13558" s="5">
        <v>652927</v>
      </c>
      <c r="E13558" s="5" t="s">
        <v>15797</v>
      </c>
    </row>
    <row r="13559" spans="2:5">
      <c r="B13559" s="4" t="s">
        <v>12345</v>
      </c>
      <c r="C13559" s="129" t="s">
        <v>12346</v>
      </c>
      <c r="D13559" s="5">
        <v>652928</v>
      </c>
      <c r="E13559" s="5" t="s">
        <v>15798</v>
      </c>
    </row>
    <row r="13560" spans="2:5">
      <c r="B13560" s="4" t="s">
        <v>12345</v>
      </c>
      <c r="C13560" s="129" t="s">
        <v>12346</v>
      </c>
      <c r="D13560" s="5">
        <v>652929</v>
      </c>
      <c r="E13560" s="5" t="s">
        <v>15799</v>
      </c>
    </row>
    <row r="13561" spans="2:5">
      <c r="B13561" s="4" t="s">
        <v>12345</v>
      </c>
      <c r="C13561" s="129" t="s">
        <v>12346</v>
      </c>
      <c r="D13561" s="5">
        <v>653000</v>
      </c>
      <c r="E13561" s="5" t="s">
        <v>15800</v>
      </c>
    </row>
    <row r="13562" spans="2:5">
      <c r="B13562" s="4" t="s">
        <v>12345</v>
      </c>
      <c r="C13562" s="129" t="s">
        <v>12346</v>
      </c>
      <c r="D13562" s="5">
        <v>653001</v>
      </c>
      <c r="E13562" s="5" t="s">
        <v>15801</v>
      </c>
    </row>
    <row r="13563" spans="2:5">
      <c r="B13563" s="4" t="s">
        <v>12345</v>
      </c>
      <c r="C13563" s="129" t="s">
        <v>12346</v>
      </c>
      <c r="D13563" s="5">
        <v>653022</v>
      </c>
      <c r="E13563" s="5" t="s">
        <v>15802</v>
      </c>
    </row>
    <row r="13564" spans="2:5">
      <c r="B13564" s="4" t="s">
        <v>12345</v>
      </c>
      <c r="C13564" s="129" t="s">
        <v>12346</v>
      </c>
      <c r="D13564" s="5">
        <v>653023</v>
      </c>
      <c r="E13564" s="5" t="s">
        <v>15803</v>
      </c>
    </row>
    <row r="13565" spans="2:5">
      <c r="B13565" s="4" t="s">
        <v>12345</v>
      </c>
      <c r="C13565" s="129" t="s">
        <v>12346</v>
      </c>
      <c r="D13565" s="5">
        <v>653024</v>
      </c>
      <c r="E13565" s="5" t="s">
        <v>15804</v>
      </c>
    </row>
    <row r="13566" spans="2:5">
      <c r="B13566" s="4" t="s">
        <v>12345</v>
      </c>
      <c r="C13566" s="129" t="s">
        <v>12346</v>
      </c>
      <c r="D13566" s="5">
        <v>653100</v>
      </c>
      <c r="E13566" s="5" t="s">
        <v>15805</v>
      </c>
    </row>
    <row r="13567" spans="2:5">
      <c r="B13567" s="4" t="s">
        <v>12345</v>
      </c>
      <c r="C13567" s="129" t="s">
        <v>12346</v>
      </c>
      <c r="D13567" s="5">
        <v>653101</v>
      </c>
      <c r="E13567" s="5" t="s">
        <v>15806</v>
      </c>
    </row>
    <row r="13568" spans="2:5">
      <c r="B13568" s="4" t="s">
        <v>12345</v>
      </c>
      <c r="C13568" s="129" t="s">
        <v>12346</v>
      </c>
      <c r="D13568" s="5">
        <v>653121</v>
      </c>
      <c r="E13568" s="5" t="s">
        <v>15807</v>
      </c>
    </row>
    <row r="13569" spans="2:5">
      <c r="B13569" s="4" t="s">
        <v>12345</v>
      </c>
      <c r="C13569" s="129" t="s">
        <v>12346</v>
      </c>
      <c r="D13569" s="5">
        <v>653122</v>
      </c>
      <c r="E13569" s="5" t="s">
        <v>15808</v>
      </c>
    </row>
    <row r="13570" spans="2:5">
      <c r="B13570" s="4" t="s">
        <v>12345</v>
      </c>
      <c r="C13570" s="129" t="s">
        <v>12346</v>
      </c>
      <c r="D13570" s="5">
        <v>653123</v>
      </c>
      <c r="E13570" s="5" t="s">
        <v>15809</v>
      </c>
    </row>
    <row r="13571" spans="2:5">
      <c r="B13571" s="4" t="s">
        <v>12345</v>
      </c>
      <c r="C13571" s="129" t="s">
        <v>12346</v>
      </c>
      <c r="D13571" s="5">
        <v>653124</v>
      </c>
      <c r="E13571" s="5" t="s">
        <v>15810</v>
      </c>
    </row>
    <row r="13572" spans="2:5">
      <c r="B13572" s="4" t="s">
        <v>12345</v>
      </c>
      <c r="C13572" s="129" t="s">
        <v>12346</v>
      </c>
      <c r="D13572" s="5">
        <v>653125</v>
      </c>
      <c r="E13572" s="5" t="s">
        <v>15811</v>
      </c>
    </row>
    <row r="13573" spans="2:5">
      <c r="B13573" s="4" t="s">
        <v>12345</v>
      </c>
      <c r="C13573" s="129" t="s">
        <v>12346</v>
      </c>
      <c r="D13573" s="5">
        <v>653126</v>
      </c>
      <c r="E13573" s="5" t="s">
        <v>15812</v>
      </c>
    </row>
    <row r="13574" spans="2:5">
      <c r="B13574" s="4" t="s">
        <v>12345</v>
      </c>
      <c r="C13574" s="129" t="s">
        <v>12346</v>
      </c>
      <c r="D13574" s="5">
        <v>653127</v>
      </c>
      <c r="E13574" s="5" t="s">
        <v>15813</v>
      </c>
    </row>
    <row r="13575" spans="2:5">
      <c r="B13575" s="4" t="s">
        <v>12345</v>
      </c>
      <c r="C13575" s="129" t="s">
        <v>12346</v>
      </c>
      <c r="D13575" s="5">
        <v>653128</v>
      </c>
      <c r="E13575" s="5" t="s">
        <v>15814</v>
      </c>
    </row>
    <row r="13576" spans="2:5">
      <c r="B13576" s="4" t="s">
        <v>12345</v>
      </c>
      <c r="C13576" s="129" t="s">
        <v>12346</v>
      </c>
      <c r="D13576" s="5">
        <v>653129</v>
      </c>
      <c r="E13576" s="5" t="s">
        <v>15815</v>
      </c>
    </row>
    <row r="13577" spans="2:5">
      <c r="B13577" s="4" t="s">
        <v>12345</v>
      </c>
      <c r="C13577" s="129" t="s">
        <v>12346</v>
      </c>
      <c r="D13577" s="5">
        <v>653130</v>
      </c>
      <c r="E13577" s="5" t="s">
        <v>15816</v>
      </c>
    </row>
    <row r="13578" spans="2:5">
      <c r="B13578" s="4" t="s">
        <v>12345</v>
      </c>
      <c r="C13578" s="129" t="s">
        <v>12346</v>
      </c>
      <c r="D13578" s="5">
        <v>653131</v>
      </c>
      <c r="E13578" s="5" t="s">
        <v>15817</v>
      </c>
    </row>
    <row r="13579" spans="2:5">
      <c r="B13579" s="4" t="s">
        <v>12345</v>
      </c>
      <c r="C13579" s="129" t="s">
        <v>12346</v>
      </c>
      <c r="D13579" s="5">
        <v>653200</v>
      </c>
      <c r="E13579" s="5" t="s">
        <v>15818</v>
      </c>
    </row>
    <row r="13580" spans="2:5">
      <c r="B13580" s="4" t="s">
        <v>12345</v>
      </c>
      <c r="C13580" s="129" t="s">
        <v>12346</v>
      </c>
      <c r="D13580" s="5">
        <v>653201</v>
      </c>
      <c r="E13580" s="5" t="s">
        <v>15819</v>
      </c>
    </row>
    <row r="13581" spans="2:5">
      <c r="B13581" s="4" t="s">
        <v>12345</v>
      </c>
      <c r="C13581" s="129" t="s">
        <v>12346</v>
      </c>
      <c r="D13581" s="5">
        <v>653221</v>
      </c>
      <c r="E13581" s="5" t="s">
        <v>15820</v>
      </c>
    </row>
    <row r="13582" spans="2:5">
      <c r="B13582" s="4" t="s">
        <v>12345</v>
      </c>
      <c r="C13582" s="129" t="s">
        <v>12346</v>
      </c>
      <c r="D13582" s="5">
        <v>653222</v>
      </c>
      <c r="E13582" s="5" t="s">
        <v>15821</v>
      </c>
    </row>
    <row r="13583" spans="2:5">
      <c r="B13583" s="4" t="s">
        <v>12345</v>
      </c>
      <c r="C13583" s="129" t="s">
        <v>12346</v>
      </c>
      <c r="D13583" s="5">
        <v>653223</v>
      </c>
      <c r="E13583" s="5" t="s">
        <v>15822</v>
      </c>
    </row>
    <row r="13584" spans="2:5">
      <c r="B13584" s="4" t="s">
        <v>12345</v>
      </c>
      <c r="C13584" s="129" t="s">
        <v>12346</v>
      </c>
      <c r="D13584" s="5">
        <v>653224</v>
      </c>
      <c r="E13584" s="5" t="s">
        <v>15823</v>
      </c>
    </row>
    <row r="13585" spans="2:5">
      <c r="B13585" s="4" t="s">
        <v>12345</v>
      </c>
      <c r="C13585" s="129" t="s">
        <v>12346</v>
      </c>
      <c r="D13585" s="5">
        <v>653225</v>
      </c>
      <c r="E13585" s="5" t="s">
        <v>15824</v>
      </c>
    </row>
    <row r="13586" spans="2:5">
      <c r="B13586" s="4" t="s">
        <v>12345</v>
      </c>
      <c r="C13586" s="129" t="s">
        <v>12346</v>
      </c>
      <c r="D13586" s="5">
        <v>653226</v>
      </c>
      <c r="E13586" s="5" t="s">
        <v>15825</v>
      </c>
    </row>
    <row r="13587" spans="2:5">
      <c r="B13587" s="4" t="s">
        <v>12345</v>
      </c>
      <c r="C13587" s="129" t="s">
        <v>12346</v>
      </c>
      <c r="D13587" s="5">
        <v>653227</v>
      </c>
      <c r="E13587" s="5" t="s">
        <v>15826</v>
      </c>
    </row>
    <row r="13588" spans="2:5">
      <c r="B13588" s="4" t="s">
        <v>12345</v>
      </c>
      <c r="C13588" s="129" t="s">
        <v>12346</v>
      </c>
      <c r="D13588" s="5">
        <v>654000</v>
      </c>
      <c r="E13588" s="5" t="s">
        <v>15827</v>
      </c>
    </row>
    <row r="13589" spans="2:5">
      <c r="B13589" s="4" t="s">
        <v>12345</v>
      </c>
      <c r="C13589" s="129" t="s">
        <v>12346</v>
      </c>
      <c r="D13589" s="5">
        <v>654002</v>
      </c>
      <c r="E13589" s="5" t="s">
        <v>15828</v>
      </c>
    </row>
    <row r="13590" spans="2:5">
      <c r="B13590" s="4" t="s">
        <v>12345</v>
      </c>
      <c r="C13590" s="129" t="s">
        <v>12346</v>
      </c>
      <c r="D13590" s="5">
        <v>654003</v>
      </c>
      <c r="E13590" s="5" t="s">
        <v>15829</v>
      </c>
    </row>
    <row r="13591" spans="2:5">
      <c r="B13591" s="4" t="s">
        <v>12345</v>
      </c>
      <c r="C13591" s="129" t="s">
        <v>12346</v>
      </c>
      <c r="D13591" s="5">
        <v>654021</v>
      </c>
      <c r="E13591" s="5" t="s">
        <v>15830</v>
      </c>
    </row>
    <row r="13592" spans="2:5">
      <c r="B13592" s="4" t="s">
        <v>12345</v>
      </c>
      <c r="C13592" s="129" t="s">
        <v>12346</v>
      </c>
      <c r="D13592" s="5">
        <v>654022</v>
      </c>
      <c r="E13592" s="5" t="s">
        <v>15831</v>
      </c>
    </row>
    <row r="13593" spans="2:5">
      <c r="B13593" s="4" t="s">
        <v>12345</v>
      </c>
      <c r="C13593" s="129" t="s">
        <v>12346</v>
      </c>
      <c r="D13593" s="5">
        <v>654023</v>
      </c>
      <c r="E13593" s="5" t="s">
        <v>15832</v>
      </c>
    </row>
    <row r="13594" spans="2:5">
      <c r="B13594" s="4" t="s">
        <v>12345</v>
      </c>
      <c r="C13594" s="129" t="s">
        <v>12346</v>
      </c>
      <c r="D13594" s="5">
        <v>654024</v>
      </c>
      <c r="E13594" s="5" t="s">
        <v>15833</v>
      </c>
    </row>
    <row r="13595" spans="2:5">
      <c r="B13595" s="4" t="s">
        <v>12345</v>
      </c>
      <c r="C13595" s="129" t="s">
        <v>12346</v>
      </c>
      <c r="D13595" s="5">
        <v>654025</v>
      </c>
      <c r="E13595" s="5" t="s">
        <v>15834</v>
      </c>
    </row>
    <row r="13596" spans="2:5">
      <c r="B13596" s="4" t="s">
        <v>12345</v>
      </c>
      <c r="C13596" s="129" t="s">
        <v>12346</v>
      </c>
      <c r="D13596" s="5">
        <v>654026</v>
      </c>
      <c r="E13596" s="5" t="s">
        <v>15835</v>
      </c>
    </row>
    <row r="13597" spans="2:5">
      <c r="B13597" s="4" t="s">
        <v>12345</v>
      </c>
      <c r="C13597" s="129" t="s">
        <v>12346</v>
      </c>
      <c r="D13597" s="5">
        <v>654027</v>
      </c>
      <c r="E13597" s="5" t="s">
        <v>15836</v>
      </c>
    </row>
    <row r="13598" spans="2:5">
      <c r="B13598" s="4" t="s">
        <v>12345</v>
      </c>
      <c r="C13598" s="129" t="s">
        <v>12346</v>
      </c>
      <c r="D13598" s="5">
        <v>654028</v>
      </c>
      <c r="E13598" s="5" t="s">
        <v>15837</v>
      </c>
    </row>
    <row r="13599" spans="2:5">
      <c r="B13599" s="4" t="s">
        <v>12345</v>
      </c>
      <c r="C13599" s="129" t="s">
        <v>12346</v>
      </c>
      <c r="D13599" s="5">
        <v>654200</v>
      </c>
      <c r="E13599" s="5" t="s">
        <v>15838</v>
      </c>
    </row>
    <row r="13600" spans="2:5">
      <c r="B13600" s="4" t="s">
        <v>12345</v>
      </c>
      <c r="C13600" s="129" t="s">
        <v>12346</v>
      </c>
      <c r="D13600" s="5">
        <v>654201</v>
      </c>
      <c r="E13600" s="5" t="s">
        <v>15839</v>
      </c>
    </row>
    <row r="13601" spans="2:5">
      <c r="B13601" s="4" t="s">
        <v>12345</v>
      </c>
      <c r="C13601" s="129" t="s">
        <v>12346</v>
      </c>
      <c r="D13601" s="5">
        <v>654202</v>
      </c>
      <c r="E13601" s="5" t="s">
        <v>15840</v>
      </c>
    </row>
    <row r="13602" spans="2:5">
      <c r="B13602" s="4" t="s">
        <v>12345</v>
      </c>
      <c r="C13602" s="129" t="s">
        <v>12346</v>
      </c>
      <c r="D13602" s="5">
        <v>654221</v>
      </c>
      <c r="E13602" s="5" t="s">
        <v>15841</v>
      </c>
    </row>
    <row r="13603" spans="2:5">
      <c r="B13603" s="4" t="s">
        <v>12345</v>
      </c>
      <c r="C13603" s="129" t="s">
        <v>12346</v>
      </c>
      <c r="D13603" s="5">
        <v>654223</v>
      </c>
      <c r="E13603" s="5" t="s">
        <v>15842</v>
      </c>
    </row>
    <row r="13604" spans="2:5">
      <c r="B13604" s="4" t="s">
        <v>12345</v>
      </c>
      <c r="C13604" s="129" t="s">
        <v>12346</v>
      </c>
      <c r="D13604" s="5">
        <v>654224</v>
      </c>
      <c r="E13604" s="5" t="s">
        <v>15843</v>
      </c>
    </row>
    <row r="13605" spans="2:5">
      <c r="B13605" s="4" t="s">
        <v>12345</v>
      </c>
      <c r="C13605" s="129" t="s">
        <v>12346</v>
      </c>
      <c r="D13605" s="5">
        <v>654225</v>
      </c>
      <c r="E13605" s="5" t="s">
        <v>15844</v>
      </c>
    </row>
    <row r="13606" spans="2:5">
      <c r="B13606" s="4" t="s">
        <v>12345</v>
      </c>
      <c r="C13606" s="129" t="s">
        <v>12346</v>
      </c>
      <c r="D13606" s="5">
        <v>654226</v>
      </c>
      <c r="E13606" s="5" t="s">
        <v>15845</v>
      </c>
    </row>
    <row r="13607" spans="2:5">
      <c r="B13607" s="4" t="s">
        <v>12345</v>
      </c>
      <c r="C13607" s="129" t="s">
        <v>12346</v>
      </c>
      <c r="D13607" s="5">
        <v>654300</v>
      </c>
      <c r="E13607" s="5" t="s">
        <v>15846</v>
      </c>
    </row>
    <row r="13608" spans="2:5">
      <c r="B13608" s="4" t="s">
        <v>12345</v>
      </c>
      <c r="C13608" s="129" t="s">
        <v>12346</v>
      </c>
      <c r="D13608" s="5">
        <v>654301</v>
      </c>
      <c r="E13608" s="5" t="s">
        <v>15847</v>
      </c>
    </row>
    <row r="13609" spans="2:5">
      <c r="B13609" s="4" t="s">
        <v>12345</v>
      </c>
      <c r="C13609" s="129" t="s">
        <v>12346</v>
      </c>
      <c r="D13609" s="5">
        <v>654321</v>
      </c>
      <c r="E13609" s="5" t="s">
        <v>15848</v>
      </c>
    </row>
    <row r="13610" spans="2:5">
      <c r="B13610" s="4" t="s">
        <v>12345</v>
      </c>
      <c r="C13610" s="129" t="s">
        <v>12346</v>
      </c>
      <c r="D13610" s="5">
        <v>654322</v>
      </c>
      <c r="E13610" s="5" t="s">
        <v>15849</v>
      </c>
    </row>
    <row r="13611" spans="2:5">
      <c r="B13611" s="4" t="s">
        <v>12345</v>
      </c>
      <c r="C13611" s="129" t="s">
        <v>12346</v>
      </c>
      <c r="D13611" s="5">
        <v>654323</v>
      </c>
      <c r="E13611" s="5" t="s">
        <v>15850</v>
      </c>
    </row>
    <row r="13612" spans="2:5">
      <c r="B13612" s="4" t="s">
        <v>12345</v>
      </c>
      <c r="C13612" s="129" t="s">
        <v>12346</v>
      </c>
      <c r="D13612" s="5">
        <v>654324</v>
      </c>
      <c r="E13612" s="5" t="s">
        <v>15851</v>
      </c>
    </row>
    <row r="13613" spans="2:5">
      <c r="B13613" s="4" t="s">
        <v>12345</v>
      </c>
      <c r="C13613" s="129" t="s">
        <v>12346</v>
      </c>
      <c r="D13613" s="5">
        <v>654325</v>
      </c>
      <c r="E13613" s="5" t="s">
        <v>15852</v>
      </c>
    </row>
    <row r="13614" spans="2:5">
      <c r="B13614" s="4" t="s">
        <v>12345</v>
      </c>
      <c r="C13614" s="129" t="s">
        <v>12346</v>
      </c>
      <c r="D13614" s="5">
        <v>654326</v>
      </c>
      <c r="E13614" s="5" t="s">
        <v>15853</v>
      </c>
    </row>
    <row r="13615" spans="2:5">
      <c r="B13615" s="4" t="s">
        <v>12345</v>
      </c>
      <c r="C13615" s="129" t="s">
        <v>12346</v>
      </c>
      <c r="D13615" s="5">
        <v>659000</v>
      </c>
      <c r="E13615" s="5" t="s">
        <v>15854</v>
      </c>
    </row>
    <row r="13616" spans="2:5">
      <c r="B13616" s="4" t="s">
        <v>12345</v>
      </c>
      <c r="C13616" s="129" t="s">
        <v>12346</v>
      </c>
      <c r="D13616" s="5">
        <v>659001</v>
      </c>
      <c r="E13616" s="5" t="s">
        <v>15855</v>
      </c>
    </row>
    <row r="13617" spans="2:5">
      <c r="B13617" s="4" t="s">
        <v>12345</v>
      </c>
      <c r="C13617" s="129" t="s">
        <v>12346</v>
      </c>
      <c r="D13617" s="5">
        <v>659002</v>
      </c>
      <c r="E13617" s="5" t="s">
        <v>15856</v>
      </c>
    </row>
    <row r="13618" spans="2:5">
      <c r="B13618" s="4" t="s">
        <v>12345</v>
      </c>
      <c r="C13618" s="129" t="s">
        <v>12346</v>
      </c>
      <c r="D13618" s="5">
        <v>659003</v>
      </c>
      <c r="E13618" s="5" t="s">
        <v>15857</v>
      </c>
    </row>
    <row r="13619" spans="2:5">
      <c r="B13619" s="4" t="s">
        <v>12345</v>
      </c>
      <c r="C13619" s="129" t="s">
        <v>12346</v>
      </c>
      <c r="D13619" s="5">
        <v>659004</v>
      </c>
      <c r="E13619" s="5" t="s">
        <v>15858</v>
      </c>
    </row>
    <row r="13620" spans="2:5">
      <c r="B13620" s="4" t="s">
        <v>12345</v>
      </c>
      <c r="C13620" s="129" t="s">
        <v>12346</v>
      </c>
      <c r="D13620" s="5">
        <v>71</v>
      </c>
      <c r="E13620" s="5" t="s">
        <v>15859</v>
      </c>
    </row>
    <row r="13621" spans="2:5">
      <c r="B13621" s="4" t="s">
        <v>12345</v>
      </c>
      <c r="C13621" s="129" t="s">
        <v>12346</v>
      </c>
      <c r="D13621" s="5">
        <v>710000</v>
      </c>
      <c r="E13621" s="5" t="s">
        <v>15859</v>
      </c>
    </row>
    <row r="13622" spans="2:5">
      <c r="B13622" s="4" t="s">
        <v>12345</v>
      </c>
      <c r="C13622" s="129" t="s">
        <v>12346</v>
      </c>
      <c r="D13622" s="5">
        <v>710001</v>
      </c>
      <c r="E13622" s="5" t="s">
        <v>15859</v>
      </c>
    </row>
    <row r="13623" spans="2:5">
      <c r="B13623" s="4" t="s">
        <v>12345</v>
      </c>
      <c r="C13623" s="129" t="s">
        <v>12346</v>
      </c>
      <c r="D13623" s="5">
        <v>81</v>
      </c>
      <c r="E13623" s="5" t="s">
        <v>15860</v>
      </c>
    </row>
    <row r="13624" spans="2:5">
      <c r="B13624" s="4" t="s">
        <v>12345</v>
      </c>
      <c r="C13624" s="129" t="s">
        <v>12346</v>
      </c>
      <c r="D13624" s="5">
        <v>810000</v>
      </c>
      <c r="E13624" s="5" t="s">
        <v>15860</v>
      </c>
    </row>
    <row r="13625" spans="2:5">
      <c r="B13625" s="4" t="s">
        <v>12345</v>
      </c>
      <c r="C13625" s="129" t="s">
        <v>12346</v>
      </c>
      <c r="D13625" s="5">
        <v>810001</v>
      </c>
      <c r="E13625" s="5" t="s">
        <v>15860</v>
      </c>
    </row>
    <row r="13626" spans="2:5">
      <c r="B13626" s="4" t="s">
        <v>12345</v>
      </c>
      <c r="C13626" s="129" t="s">
        <v>12346</v>
      </c>
      <c r="D13626" s="5">
        <v>91</v>
      </c>
      <c r="E13626" s="5" t="s">
        <v>15861</v>
      </c>
    </row>
    <row r="13627" spans="2:5">
      <c r="B13627" s="4" t="s">
        <v>12345</v>
      </c>
      <c r="C13627" s="129" t="s">
        <v>12346</v>
      </c>
      <c r="D13627" s="5">
        <v>910000</v>
      </c>
      <c r="E13627" s="5" t="s">
        <v>15861</v>
      </c>
    </row>
    <row r="13628" spans="2:5">
      <c r="B13628" s="4" t="s">
        <v>12345</v>
      </c>
      <c r="C13628" s="129" t="s">
        <v>12346</v>
      </c>
      <c r="D13628" s="5">
        <v>910001</v>
      </c>
      <c r="E13628" s="5" t="s">
        <v>15861</v>
      </c>
    </row>
    <row r="13629" ht="16.75" spans="2:2">
      <c r="B13629" s="122" t="s">
        <v>15862</v>
      </c>
    </row>
    <row r="13630" spans="2:5">
      <c r="B13630" s="15" t="s">
        <v>15863</v>
      </c>
      <c r="C13630" s="53" t="s">
        <v>15864</v>
      </c>
      <c r="D13630" s="15">
        <v>1</v>
      </c>
      <c r="E13630" s="15" t="s">
        <v>15865</v>
      </c>
    </row>
    <row r="13631" spans="2:5">
      <c r="B13631" s="15" t="s">
        <v>15863</v>
      </c>
      <c r="C13631" s="53" t="s">
        <v>15864</v>
      </c>
      <c r="D13631" s="16">
        <v>2</v>
      </c>
      <c r="E13631" s="16" t="s">
        <v>15866</v>
      </c>
    </row>
    <row r="13632" spans="2:5">
      <c r="B13632" s="15" t="s">
        <v>15863</v>
      </c>
      <c r="C13632" s="53" t="s">
        <v>15864</v>
      </c>
      <c r="D13632" s="4">
        <v>3</v>
      </c>
      <c r="E13632" s="4" t="s">
        <v>15867</v>
      </c>
    </row>
    <row r="13633" ht="16.75" spans="2:2">
      <c r="B13633" s="122" t="s">
        <v>15868</v>
      </c>
    </row>
    <row r="13634" spans="2:5">
      <c r="B13634" s="15" t="s">
        <v>15869</v>
      </c>
      <c r="C13634" s="53" t="s">
        <v>15870</v>
      </c>
      <c r="D13634" s="15">
        <v>1</v>
      </c>
      <c r="E13634" s="15" t="s">
        <v>10683</v>
      </c>
    </row>
    <row r="13635" spans="2:5">
      <c r="B13635" s="15" t="s">
        <v>15869</v>
      </c>
      <c r="C13635" s="53" t="s">
        <v>15870</v>
      </c>
      <c r="D13635" s="16">
        <v>2</v>
      </c>
      <c r="E13635" s="16" t="s">
        <v>15871</v>
      </c>
    </row>
    <row r="13636" spans="2:5">
      <c r="B13636" s="15" t="s">
        <v>15869</v>
      </c>
      <c r="C13636" s="53" t="s">
        <v>15870</v>
      </c>
      <c r="D13636" s="4">
        <v>3</v>
      </c>
      <c r="E13636" s="4" t="s">
        <v>15872</v>
      </c>
    </row>
    <row r="13637" ht="16" spans="2:2">
      <c r="B13637" s="127" t="s">
        <v>15873</v>
      </c>
    </row>
    <row r="13638" spans="2:5">
      <c r="B13638" s="4" t="s">
        <v>15874</v>
      </c>
      <c r="C13638" s="128" t="s">
        <v>15875</v>
      </c>
      <c r="D13638" s="4" t="s">
        <v>839</v>
      </c>
      <c r="E13638" s="4" t="s">
        <v>15876</v>
      </c>
    </row>
    <row r="13639" spans="2:5">
      <c r="B13639" s="4" t="s">
        <v>15874</v>
      </c>
      <c r="C13639" s="128" t="s">
        <v>15875</v>
      </c>
      <c r="D13639" s="4" t="s">
        <v>15877</v>
      </c>
      <c r="E13639" s="4" t="s">
        <v>15878</v>
      </c>
    </row>
    <row r="13640" spans="2:5">
      <c r="B13640" s="4" t="s">
        <v>15874</v>
      </c>
      <c r="C13640" s="128" t="s">
        <v>15875</v>
      </c>
      <c r="D13640" s="4" t="s">
        <v>15879</v>
      </c>
      <c r="E13640" s="4" t="s">
        <v>15880</v>
      </c>
    </row>
    <row r="13641" spans="2:5">
      <c r="B13641" s="4" t="s">
        <v>15874</v>
      </c>
      <c r="C13641" s="128" t="s">
        <v>15875</v>
      </c>
      <c r="D13641" s="5" t="s">
        <v>15881</v>
      </c>
      <c r="E13641" s="5" t="s">
        <v>15882</v>
      </c>
    </row>
    <row r="13642" spans="2:5">
      <c r="B13642" s="4" t="s">
        <v>15874</v>
      </c>
      <c r="C13642" s="128" t="s">
        <v>15875</v>
      </c>
      <c r="D13642" s="5" t="s">
        <v>15883</v>
      </c>
      <c r="E13642" s="5" t="s">
        <v>15884</v>
      </c>
    </row>
    <row r="13643" spans="2:5">
      <c r="B13643" s="4" t="s">
        <v>15874</v>
      </c>
      <c r="C13643" s="128" t="s">
        <v>15875</v>
      </c>
      <c r="D13643" s="5" t="s">
        <v>15885</v>
      </c>
      <c r="E13643" s="5" t="s">
        <v>15886</v>
      </c>
    </row>
    <row r="13644" spans="2:5">
      <c r="B13644" s="4" t="s">
        <v>15874</v>
      </c>
      <c r="C13644" s="128" t="s">
        <v>15875</v>
      </c>
      <c r="D13644" s="5" t="s">
        <v>15887</v>
      </c>
      <c r="E13644" s="5" t="s">
        <v>15888</v>
      </c>
    </row>
    <row r="13645" spans="2:5">
      <c r="B13645" s="4" t="s">
        <v>15874</v>
      </c>
      <c r="C13645" s="128" t="s">
        <v>15875</v>
      </c>
      <c r="D13645" s="5" t="s">
        <v>15889</v>
      </c>
      <c r="E13645" s="5" t="s">
        <v>15890</v>
      </c>
    </row>
    <row r="13646" spans="2:5">
      <c r="B13646" s="4" t="s">
        <v>15874</v>
      </c>
      <c r="C13646" s="128" t="s">
        <v>15875</v>
      </c>
      <c r="D13646" s="5" t="s">
        <v>15891</v>
      </c>
      <c r="E13646" s="5" t="s">
        <v>15892</v>
      </c>
    </row>
    <row r="13647" spans="2:5">
      <c r="B13647" s="4" t="s">
        <v>15874</v>
      </c>
      <c r="C13647" s="128" t="s">
        <v>15875</v>
      </c>
      <c r="D13647" s="5" t="s">
        <v>15893</v>
      </c>
      <c r="E13647" s="5" t="s">
        <v>15894</v>
      </c>
    </row>
    <row r="13648" spans="2:5">
      <c r="B13648" s="4" t="s">
        <v>15874</v>
      </c>
      <c r="C13648" s="128" t="s">
        <v>15875</v>
      </c>
      <c r="D13648" s="5" t="s">
        <v>15895</v>
      </c>
      <c r="E13648" s="5" t="s">
        <v>15896</v>
      </c>
    </row>
    <row r="13649" spans="2:5">
      <c r="B13649" s="4" t="s">
        <v>15874</v>
      </c>
      <c r="C13649" s="128" t="s">
        <v>15875</v>
      </c>
      <c r="D13649" s="5" t="s">
        <v>5971</v>
      </c>
      <c r="E13649" s="5" t="s">
        <v>15897</v>
      </c>
    </row>
    <row r="13650" spans="2:5">
      <c r="B13650" s="4" t="s">
        <v>15874</v>
      </c>
      <c r="C13650" s="128" t="s">
        <v>15875</v>
      </c>
      <c r="D13650" s="5" t="s">
        <v>15898</v>
      </c>
      <c r="E13650" s="5" t="s">
        <v>15899</v>
      </c>
    </row>
    <row r="13651" spans="2:5">
      <c r="B13651" s="4" t="s">
        <v>15874</v>
      </c>
      <c r="C13651" s="128" t="s">
        <v>15875</v>
      </c>
      <c r="D13651" s="5" t="s">
        <v>15900</v>
      </c>
      <c r="E13651" s="5" t="s">
        <v>15901</v>
      </c>
    </row>
    <row r="13652" spans="2:5">
      <c r="B13652" s="4" t="s">
        <v>15874</v>
      </c>
      <c r="C13652" s="128" t="s">
        <v>15875</v>
      </c>
      <c r="D13652" s="5" t="s">
        <v>12264</v>
      </c>
      <c r="E13652" s="5" t="s">
        <v>15902</v>
      </c>
    </row>
    <row r="13653" spans="2:5">
      <c r="B13653" s="4" t="s">
        <v>15874</v>
      </c>
      <c r="C13653" s="128" t="s">
        <v>15875</v>
      </c>
      <c r="D13653" s="5" t="s">
        <v>15903</v>
      </c>
      <c r="E13653" s="5" t="s">
        <v>15904</v>
      </c>
    </row>
    <row r="13654" spans="2:5">
      <c r="B13654" s="4" t="s">
        <v>15874</v>
      </c>
      <c r="C13654" s="128" t="s">
        <v>15875</v>
      </c>
      <c r="D13654" s="5" t="s">
        <v>15905</v>
      </c>
      <c r="E13654" s="5" t="s">
        <v>15906</v>
      </c>
    </row>
    <row r="13655" spans="2:5">
      <c r="B13655" s="4" t="s">
        <v>15874</v>
      </c>
      <c r="C13655" s="128" t="s">
        <v>15875</v>
      </c>
      <c r="D13655" s="5" t="s">
        <v>15907</v>
      </c>
      <c r="E13655" s="5" t="s">
        <v>15908</v>
      </c>
    </row>
    <row r="13656" spans="2:5">
      <c r="B13656" s="4" t="s">
        <v>15874</v>
      </c>
      <c r="C13656" s="128" t="s">
        <v>15875</v>
      </c>
      <c r="D13656" s="5" t="s">
        <v>15909</v>
      </c>
      <c r="E13656" s="5" t="s">
        <v>15910</v>
      </c>
    </row>
    <row r="13657" spans="2:5">
      <c r="B13657" s="4" t="s">
        <v>15874</v>
      </c>
      <c r="C13657" s="128" t="s">
        <v>15875</v>
      </c>
      <c r="D13657" s="5" t="s">
        <v>15911</v>
      </c>
      <c r="E13657" s="5" t="s">
        <v>15912</v>
      </c>
    </row>
    <row r="13658" spans="2:5">
      <c r="B13658" s="4" t="s">
        <v>15874</v>
      </c>
      <c r="C13658" s="128" t="s">
        <v>15875</v>
      </c>
      <c r="D13658" s="5" t="s">
        <v>15913</v>
      </c>
      <c r="E13658" s="5" t="s">
        <v>15914</v>
      </c>
    </row>
    <row r="13659" spans="2:5">
      <c r="B13659" s="4" t="s">
        <v>15874</v>
      </c>
      <c r="C13659" s="128" t="s">
        <v>15875</v>
      </c>
      <c r="D13659" s="5" t="s">
        <v>15915</v>
      </c>
      <c r="E13659" s="5" t="s">
        <v>15916</v>
      </c>
    </row>
    <row r="13660" spans="2:5">
      <c r="B13660" s="4" t="s">
        <v>15874</v>
      </c>
      <c r="C13660" s="128" t="s">
        <v>15875</v>
      </c>
      <c r="D13660" s="5" t="s">
        <v>15917</v>
      </c>
      <c r="E13660" s="5" t="s">
        <v>15918</v>
      </c>
    </row>
    <row r="13661" spans="2:5">
      <c r="B13661" s="4" t="s">
        <v>15874</v>
      </c>
      <c r="C13661" s="128" t="s">
        <v>15875</v>
      </c>
      <c r="D13661" s="5" t="s">
        <v>15919</v>
      </c>
      <c r="E13661" s="5" t="s">
        <v>15920</v>
      </c>
    </row>
    <row r="13662" spans="2:5">
      <c r="B13662" s="4" t="s">
        <v>15874</v>
      </c>
      <c r="C13662" s="128" t="s">
        <v>15875</v>
      </c>
      <c r="D13662" s="5" t="s">
        <v>15921</v>
      </c>
      <c r="E13662" s="5" t="s">
        <v>15922</v>
      </c>
    </row>
    <row r="13663" spans="2:5">
      <c r="B13663" s="4" t="s">
        <v>15874</v>
      </c>
      <c r="C13663" s="128" t="s">
        <v>15875</v>
      </c>
      <c r="D13663" s="5" t="s">
        <v>15923</v>
      </c>
      <c r="E13663" s="5" t="s">
        <v>15924</v>
      </c>
    </row>
    <row r="13664" spans="2:5">
      <c r="B13664" s="4" t="s">
        <v>15874</v>
      </c>
      <c r="C13664" s="128" t="s">
        <v>15875</v>
      </c>
      <c r="D13664" s="5" t="s">
        <v>1267</v>
      </c>
      <c r="E13664" s="5" t="s">
        <v>15925</v>
      </c>
    </row>
    <row r="13665" spans="2:5">
      <c r="B13665" s="4" t="s">
        <v>15874</v>
      </c>
      <c r="C13665" s="128" t="s">
        <v>15875</v>
      </c>
      <c r="D13665" s="5" t="s">
        <v>15926</v>
      </c>
      <c r="E13665" s="5" t="s">
        <v>15927</v>
      </c>
    </row>
    <row r="13666" spans="2:5">
      <c r="B13666" s="4" t="s">
        <v>15874</v>
      </c>
      <c r="C13666" s="128" t="s">
        <v>15875</v>
      </c>
      <c r="D13666" s="5" t="s">
        <v>15928</v>
      </c>
      <c r="E13666" s="5" t="s">
        <v>15929</v>
      </c>
    </row>
    <row r="13667" spans="2:5">
      <c r="B13667" s="4" t="s">
        <v>15874</v>
      </c>
      <c r="C13667" s="128" t="s">
        <v>15875</v>
      </c>
      <c r="D13667" s="5" t="s">
        <v>15930</v>
      </c>
      <c r="E13667" s="5" t="s">
        <v>15931</v>
      </c>
    </row>
    <row r="13668" spans="2:5">
      <c r="B13668" s="4" t="s">
        <v>15874</v>
      </c>
      <c r="C13668" s="128" t="s">
        <v>15875</v>
      </c>
      <c r="D13668" s="5" t="s">
        <v>15932</v>
      </c>
      <c r="E13668" s="5" t="s">
        <v>15933</v>
      </c>
    </row>
    <row r="13669" spans="2:5">
      <c r="B13669" s="4" t="s">
        <v>15874</v>
      </c>
      <c r="C13669" s="128" t="s">
        <v>15875</v>
      </c>
      <c r="D13669" s="5" t="s">
        <v>15934</v>
      </c>
      <c r="E13669" s="5" t="s">
        <v>15935</v>
      </c>
    </row>
    <row r="13670" spans="2:5">
      <c r="B13670" s="4" t="s">
        <v>15874</v>
      </c>
      <c r="C13670" s="128" t="s">
        <v>15875</v>
      </c>
      <c r="D13670" s="5" t="s">
        <v>15936</v>
      </c>
      <c r="E13670" s="5" t="s">
        <v>15937</v>
      </c>
    </row>
    <row r="13671" spans="2:5">
      <c r="B13671" s="4" t="s">
        <v>15874</v>
      </c>
      <c r="C13671" s="128" t="s">
        <v>15875</v>
      </c>
      <c r="D13671" s="5" t="s">
        <v>15938</v>
      </c>
      <c r="E13671" s="5" t="s">
        <v>15939</v>
      </c>
    </row>
    <row r="13672" spans="2:5">
      <c r="B13672" s="4" t="s">
        <v>15874</v>
      </c>
      <c r="C13672" s="128" t="s">
        <v>15875</v>
      </c>
      <c r="D13672" s="5" t="s">
        <v>15940</v>
      </c>
      <c r="E13672" s="5" t="s">
        <v>15941</v>
      </c>
    </row>
    <row r="13673" spans="2:5">
      <c r="B13673" s="4" t="s">
        <v>15874</v>
      </c>
      <c r="C13673" s="128" t="s">
        <v>15875</v>
      </c>
      <c r="D13673" s="5" t="s">
        <v>10523</v>
      </c>
      <c r="E13673" s="5" t="s">
        <v>15942</v>
      </c>
    </row>
    <row r="13674" spans="2:5">
      <c r="B13674" s="4" t="s">
        <v>15874</v>
      </c>
      <c r="C13674" s="128" t="s">
        <v>15875</v>
      </c>
      <c r="D13674" s="5" t="s">
        <v>15943</v>
      </c>
      <c r="E13674" s="5" t="s">
        <v>15944</v>
      </c>
    </row>
    <row r="13675" spans="2:5">
      <c r="B13675" s="4" t="s">
        <v>15874</v>
      </c>
      <c r="C13675" s="128" t="s">
        <v>15875</v>
      </c>
      <c r="D13675" s="5" t="s">
        <v>15945</v>
      </c>
      <c r="E13675" s="5" t="s">
        <v>15946</v>
      </c>
    </row>
    <row r="13676" spans="2:5">
      <c r="B13676" s="4" t="s">
        <v>15874</v>
      </c>
      <c r="C13676" s="128" t="s">
        <v>15875</v>
      </c>
      <c r="D13676" s="5" t="s">
        <v>15947</v>
      </c>
      <c r="E13676" s="5" t="s">
        <v>15948</v>
      </c>
    </row>
    <row r="13677" spans="2:5">
      <c r="B13677" s="4" t="s">
        <v>15874</v>
      </c>
      <c r="C13677" s="128" t="s">
        <v>15875</v>
      </c>
      <c r="D13677" s="5" t="s">
        <v>15949</v>
      </c>
      <c r="E13677" s="5" t="s">
        <v>15950</v>
      </c>
    </row>
    <row r="13678" spans="2:5">
      <c r="B13678" s="4" t="s">
        <v>15874</v>
      </c>
      <c r="C13678" s="128" t="s">
        <v>15875</v>
      </c>
      <c r="D13678" s="5" t="s">
        <v>15951</v>
      </c>
      <c r="E13678" s="5" t="s">
        <v>15952</v>
      </c>
    </row>
    <row r="13679" spans="2:5">
      <c r="B13679" s="4" t="s">
        <v>15874</v>
      </c>
      <c r="C13679" s="128" t="s">
        <v>15875</v>
      </c>
      <c r="D13679" s="5" t="s">
        <v>15953</v>
      </c>
      <c r="E13679" s="5" t="s">
        <v>15954</v>
      </c>
    </row>
    <row r="13680" spans="2:5">
      <c r="B13680" s="4" t="s">
        <v>15874</v>
      </c>
      <c r="C13680" s="128" t="s">
        <v>15875</v>
      </c>
      <c r="D13680" s="5" t="s">
        <v>15955</v>
      </c>
      <c r="E13680" s="5" t="s">
        <v>15956</v>
      </c>
    </row>
    <row r="13681" spans="2:5">
      <c r="B13681" s="4" t="s">
        <v>15874</v>
      </c>
      <c r="C13681" s="128" t="s">
        <v>15875</v>
      </c>
      <c r="D13681" s="5" t="s">
        <v>15957</v>
      </c>
      <c r="E13681" s="5" t="s">
        <v>15958</v>
      </c>
    </row>
    <row r="13682" spans="2:5">
      <c r="B13682" s="4" t="s">
        <v>15874</v>
      </c>
      <c r="C13682" s="128" t="s">
        <v>15875</v>
      </c>
      <c r="D13682" s="5" t="s">
        <v>9390</v>
      </c>
      <c r="E13682" s="5" t="s">
        <v>15959</v>
      </c>
    </row>
    <row r="13683" spans="2:5">
      <c r="B13683" s="4" t="s">
        <v>15874</v>
      </c>
      <c r="C13683" s="128" t="s">
        <v>15875</v>
      </c>
      <c r="D13683" s="5" t="s">
        <v>15960</v>
      </c>
      <c r="E13683" s="5" t="s">
        <v>15961</v>
      </c>
    </row>
    <row r="13684" spans="2:5">
      <c r="B13684" s="4" t="s">
        <v>15874</v>
      </c>
      <c r="C13684" s="128" t="s">
        <v>15875</v>
      </c>
      <c r="D13684" s="5" t="s">
        <v>15962</v>
      </c>
      <c r="E13684" s="5" t="s">
        <v>15963</v>
      </c>
    </row>
    <row r="13685" spans="2:5">
      <c r="B13685" s="4" t="s">
        <v>15874</v>
      </c>
      <c r="C13685" s="128" t="s">
        <v>15875</v>
      </c>
      <c r="D13685" s="5" t="s">
        <v>15964</v>
      </c>
      <c r="E13685" s="5" t="s">
        <v>15965</v>
      </c>
    </row>
    <row r="13686" spans="2:5">
      <c r="B13686" s="4" t="s">
        <v>15874</v>
      </c>
      <c r="C13686" s="128" t="s">
        <v>15875</v>
      </c>
      <c r="D13686" s="5" t="s">
        <v>15966</v>
      </c>
      <c r="E13686" s="5" t="s">
        <v>15967</v>
      </c>
    </row>
    <row r="13687" spans="2:5">
      <c r="B13687" s="4" t="s">
        <v>15874</v>
      </c>
      <c r="C13687" s="128" t="s">
        <v>15875</v>
      </c>
      <c r="D13687" s="5" t="s">
        <v>15968</v>
      </c>
      <c r="E13687" s="5" t="s">
        <v>15969</v>
      </c>
    </row>
    <row r="13688" ht="16" spans="2:2">
      <c r="B13688" s="127" t="s">
        <v>15970</v>
      </c>
    </row>
    <row r="13689" spans="2:5">
      <c r="B13689" s="4" t="s">
        <v>15971</v>
      </c>
      <c r="C13689" s="128" t="s">
        <v>905</v>
      </c>
      <c r="D13689" s="4">
        <v>1</v>
      </c>
      <c r="E13689" s="4" t="s">
        <v>953</v>
      </c>
    </row>
    <row r="13690" spans="2:5">
      <c r="B13690" s="4" t="s">
        <v>15971</v>
      </c>
      <c r="C13690" s="128" t="s">
        <v>905</v>
      </c>
      <c r="D13690" s="4">
        <v>2</v>
      </c>
      <c r="E13690" s="4" t="s">
        <v>2311</v>
      </c>
    </row>
    <row r="13691" ht="16" spans="2:2">
      <c r="B13691" s="127" t="s">
        <v>15972</v>
      </c>
    </row>
    <row r="13692" spans="2:5">
      <c r="B13692" s="4" t="s">
        <v>15973</v>
      </c>
      <c r="C13692" s="128" t="s">
        <v>88</v>
      </c>
      <c r="D13692" s="4">
        <v>1</v>
      </c>
      <c r="E13692" s="128" t="s">
        <v>15974</v>
      </c>
    </row>
    <row r="13693" spans="2:5">
      <c r="B13693" s="4" t="s">
        <v>15973</v>
      </c>
      <c r="C13693" s="128" t="s">
        <v>88</v>
      </c>
      <c r="D13693" s="4">
        <v>2</v>
      </c>
      <c r="E13693" s="4" t="s">
        <v>15975</v>
      </c>
    </row>
    <row r="13694" ht="15.95" spans="2:2">
      <c r="B13694" s="122" t="s">
        <v>15976</v>
      </c>
    </row>
    <row r="13695" spans="2:5">
      <c r="B13695" s="15" t="s">
        <v>8801</v>
      </c>
      <c r="C13695" s="15" t="s">
        <v>8802</v>
      </c>
      <c r="D13695" s="15" t="s">
        <v>770</v>
      </c>
      <c r="E13695" s="15" t="s">
        <v>8803</v>
      </c>
    </row>
    <row r="13696" spans="2:5">
      <c r="B13696" s="16" t="s">
        <v>8801</v>
      </c>
      <c r="C13696" s="16" t="s">
        <v>8802</v>
      </c>
      <c r="D13696" s="16" t="s">
        <v>772</v>
      </c>
      <c r="E13696" s="16" t="s">
        <v>8804</v>
      </c>
    </row>
    <row r="13697" spans="2:6">
      <c r="B13697" s="132" t="s">
        <v>15977</v>
      </c>
      <c r="C13697" s="59" t="s">
        <v>15978</v>
      </c>
      <c r="D13697" s="57"/>
      <c r="E13697" s="57"/>
      <c r="F13697" s="2" t="s">
        <v>3038</v>
      </c>
    </row>
    <row r="13698" spans="2:5">
      <c r="B13698" s="57" t="s">
        <v>15977</v>
      </c>
      <c r="C13698" s="57"/>
      <c r="D13698" s="57">
        <v>1</v>
      </c>
      <c r="E13698" s="59" t="s">
        <v>15979</v>
      </c>
    </row>
    <row r="13699" spans="2:5">
      <c r="B13699" s="57" t="s">
        <v>15977</v>
      </c>
      <c r="C13699" s="57"/>
      <c r="D13699" s="57">
        <v>2</v>
      </c>
      <c r="E13699" s="59" t="s">
        <v>15980</v>
      </c>
    </row>
    <row r="13700" spans="2:6">
      <c r="B13700" s="133" t="s">
        <v>15981</v>
      </c>
      <c r="C13700" s="81"/>
      <c r="D13700" s="57"/>
      <c r="E13700" s="57"/>
      <c r="F13700" s="2" t="s">
        <v>3038</v>
      </c>
    </row>
    <row r="13701" spans="2:5">
      <c r="B13701" s="57"/>
      <c r="C13701" s="57"/>
      <c r="D13701" s="57">
        <v>1</v>
      </c>
      <c r="E13701" s="59" t="s">
        <v>3206</v>
      </c>
    </row>
    <row r="13702" spans="2:5">
      <c r="B13702" s="57"/>
      <c r="C13702" s="57"/>
      <c r="D13702" s="57">
        <v>2</v>
      </c>
      <c r="E13702" s="59" t="s">
        <v>3208</v>
      </c>
    </row>
    <row r="13703" spans="2:5">
      <c r="B13703" s="57"/>
      <c r="C13703" s="57"/>
      <c r="D13703" s="57">
        <v>3</v>
      </c>
      <c r="E13703" s="59" t="s">
        <v>3214</v>
      </c>
    </row>
  </sheetData>
  <pageMargins left="0.75" right="0.75" top="1" bottom="1" header="0.5" footer="0.5"/>
  <pageSetup paperSize="1" orientation="portrait" horizontalDpi="300" verticalDpi="300"/>
  <headerFooter alignWithMargins="0" scaleWithDoc="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19"/>
  <sheetViews>
    <sheetView workbookViewId="0">
      <selection activeCell="F11" sqref="F11"/>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51" t="str">
        <f>HYPERLINK("#表结构清单!A1","返回")</f>
        <v>返回</v>
      </c>
      <c r="B1" t="s">
        <v>3</v>
      </c>
    </row>
    <row r="2" spans="2:10">
      <c r="B2" s="13" t="s">
        <v>15982</v>
      </c>
      <c r="C2" s="13" t="s">
        <v>297</v>
      </c>
      <c r="D2" s="13" t="s">
        <v>11870</v>
      </c>
      <c r="E2" s="13" t="s">
        <v>15983</v>
      </c>
      <c r="F2" s="13" t="s">
        <v>15984</v>
      </c>
      <c r="G2" s="13" t="s">
        <v>300</v>
      </c>
      <c r="H2" s="13" t="s">
        <v>301</v>
      </c>
      <c r="I2" s="13" t="s">
        <v>15985</v>
      </c>
      <c r="J2" s="13" t="s">
        <v>15986</v>
      </c>
    </row>
    <row r="3" spans="1:16">
      <c r="A3" t="s">
        <v>3</v>
      </c>
      <c r="B3" s="15" t="s">
        <v>15987</v>
      </c>
      <c r="C3" s="15" t="s">
        <v>15988</v>
      </c>
      <c r="D3" s="15" t="s">
        <v>316</v>
      </c>
      <c r="E3" s="15" t="s">
        <v>15989</v>
      </c>
      <c r="F3" s="15" t="s">
        <v>15990</v>
      </c>
      <c r="G3" s="15"/>
      <c r="H3" s="15"/>
      <c r="I3" s="15" t="s">
        <v>528</v>
      </c>
      <c r="J3" s="15" t="s">
        <v>15991</v>
      </c>
      <c r="K3" t="str">
        <f>A3</f>
        <v>审计信息</v>
      </c>
      <c r="L3" t="str">
        <f>B3</f>
        <v>audit_info</v>
      </c>
      <c r="M3" t="str">
        <f>F3</f>
        <v>流水号</v>
      </c>
      <c r="N3" t="str">
        <f>C3</f>
        <v>SERIALNO</v>
      </c>
      <c r="O3" t="str">
        <f>IFERROR(LEFT(D3,FIND("(",D3)-1),D3)</f>
        <v>varchar</v>
      </c>
      <c r="P3" t="str">
        <f>IFERROR(MID(D3,FIND("(",D3)+1,FIND(")",D3)-FIND("(",D3)-1),"")</f>
        <v>32</v>
      </c>
    </row>
    <row r="4" spans="1:16">
      <c r="A4" t="s">
        <v>3</v>
      </c>
      <c r="B4" s="15" t="s">
        <v>15987</v>
      </c>
      <c r="C4" s="15" t="s">
        <v>15992</v>
      </c>
      <c r="D4" s="15" t="s">
        <v>506</v>
      </c>
      <c r="E4" s="15" t="s">
        <v>305</v>
      </c>
      <c r="F4" s="15" t="s">
        <v>15993</v>
      </c>
      <c r="G4" s="15"/>
      <c r="H4" s="15"/>
      <c r="I4" s="15" t="s">
        <v>528</v>
      </c>
      <c r="J4" s="15" t="s">
        <v>15991</v>
      </c>
      <c r="K4" t="str">
        <f t="shared" ref="K4:K19" si="0">A4</f>
        <v>审计信息</v>
      </c>
      <c r="L4" t="str">
        <f t="shared" ref="L4:L19" si="1">B4</f>
        <v>audit_info</v>
      </c>
      <c r="M4" t="str">
        <f t="shared" ref="M4:M19" si="2">F4</f>
        <v>操作人</v>
      </c>
      <c r="N4" t="str">
        <f t="shared" ref="N4:N19" si="3">C4</f>
        <v>OPERATOR</v>
      </c>
      <c r="O4" t="str">
        <f t="shared" ref="O4:O19" si="4">IFERROR(LEFT(D4,FIND("(",D4)-1),D4)</f>
        <v>varchar</v>
      </c>
      <c r="P4" t="str">
        <f t="shared" ref="P4:P19" si="5">IFERROR(MID(D4,FIND("(",D4)+1,FIND(")",D4)-FIND("(",D4)-1),"")</f>
        <v>80</v>
      </c>
    </row>
    <row r="5" spans="1:16">
      <c r="A5" t="s">
        <v>3</v>
      </c>
      <c r="B5" s="15" t="s">
        <v>15987</v>
      </c>
      <c r="C5" s="15" t="s">
        <v>15994</v>
      </c>
      <c r="D5" s="15" t="s">
        <v>506</v>
      </c>
      <c r="E5" s="15" t="s">
        <v>305</v>
      </c>
      <c r="F5" s="15" t="s">
        <v>15995</v>
      </c>
      <c r="G5" s="15"/>
      <c r="H5" s="15"/>
      <c r="I5" s="15" t="s">
        <v>528</v>
      </c>
      <c r="J5" s="15" t="s">
        <v>15991</v>
      </c>
      <c r="K5" t="str">
        <f t="shared" si="0"/>
        <v>审计信息</v>
      </c>
      <c r="L5" t="str">
        <f t="shared" si="1"/>
        <v>audit_info</v>
      </c>
      <c r="M5" t="str">
        <f t="shared" si="2"/>
        <v>服务器地址</v>
      </c>
      <c r="N5" t="str">
        <f t="shared" si="3"/>
        <v>SERVERADDRESS</v>
      </c>
      <c r="O5" t="str">
        <f t="shared" si="4"/>
        <v>varchar</v>
      </c>
      <c r="P5" t="str">
        <f t="shared" si="5"/>
        <v>80</v>
      </c>
    </row>
    <row r="6" spans="1:16">
      <c r="A6" t="s">
        <v>3</v>
      </c>
      <c r="B6" s="15" t="s">
        <v>15987</v>
      </c>
      <c r="C6" s="15" t="s">
        <v>15996</v>
      </c>
      <c r="D6" s="15" t="s">
        <v>506</v>
      </c>
      <c r="E6" s="15" t="s">
        <v>305</v>
      </c>
      <c r="F6" s="15" t="s">
        <v>15997</v>
      </c>
      <c r="G6" s="15"/>
      <c r="H6" s="15"/>
      <c r="I6" s="15" t="s">
        <v>528</v>
      </c>
      <c r="J6" s="15" t="s">
        <v>15991</v>
      </c>
      <c r="K6" t="str">
        <f t="shared" si="0"/>
        <v>审计信息</v>
      </c>
      <c r="L6" t="str">
        <f t="shared" si="1"/>
        <v>audit_info</v>
      </c>
      <c r="M6" t="str">
        <f t="shared" si="2"/>
        <v>客户端地址</v>
      </c>
      <c r="N6" t="str">
        <f t="shared" si="3"/>
        <v>CLIENTADDRESS</v>
      </c>
      <c r="O6" t="str">
        <f t="shared" si="4"/>
        <v>varchar</v>
      </c>
      <c r="P6" t="str">
        <f t="shared" si="5"/>
        <v>80</v>
      </c>
    </row>
    <row r="7" spans="1:16">
      <c r="A7" t="s">
        <v>3</v>
      </c>
      <c r="B7" s="15" t="s">
        <v>15987</v>
      </c>
      <c r="C7" s="15" t="s">
        <v>15998</v>
      </c>
      <c r="D7" s="15" t="s">
        <v>367</v>
      </c>
      <c r="E7" s="15" t="s">
        <v>305</v>
      </c>
      <c r="F7" s="15" t="s">
        <v>15999</v>
      </c>
      <c r="G7" s="15"/>
      <c r="H7" s="15"/>
      <c r="I7" s="15" t="s">
        <v>528</v>
      </c>
      <c r="J7" s="15" t="s">
        <v>15991</v>
      </c>
      <c r="K7" t="str">
        <f t="shared" si="0"/>
        <v>审计信息</v>
      </c>
      <c r="L7" t="str">
        <f t="shared" si="1"/>
        <v>audit_info</v>
      </c>
      <c r="M7" t="str">
        <f t="shared" si="2"/>
        <v>应用</v>
      </c>
      <c r="N7" t="str">
        <f t="shared" si="3"/>
        <v>APPLICATION</v>
      </c>
      <c r="O7" t="str">
        <f t="shared" si="4"/>
        <v>varchar</v>
      </c>
      <c r="P7" t="str">
        <f t="shared" si="5"/>
        <v>200</v>
      </c>
    </row>
    <row r="8" spans="1:16">
      <c r="A8" t="s">
        <v>3</v>
      </c>
      <c r="B8" s="15" t="s">
        <v>15987</v>
      </c>
      <c r="C8" s="15" t="s">
        <v>16000</v>
      </c>
      <c r="D8" s="15" t="s">
        <v>367</v>
      </c>
      <c r="E8" s="15" t="s">
        <v>305</v>
      </c>
      <c r="F8" s="15" t="s">
        <v>16001</v>
      </c>
      <c r="G8" s="15"/>
      <c r="H8" s="15"/>
      <c r="I8" s="15" t="s">
        <v>528</v>
      </c>
      <c r="J8" s="15" t="s">
        <v>15991</v>
      </c>
      <c r="K8" t="str">
        <f t="shared" si="0"/>
        <v>审计信息</v>
      </c>
      <c r="L8" t="str">
        <f t="shared" si="1"/>
        <v>audit_info</v>
      </c>
      <c r="M8" t="str">
        <f t="shared" si="2"/>
        <v>附加信息</v>
      </c>
      <c r="N8" t="str">
        <f t="shared" si="3"/>
        <v>ADDITIONALINFO</v>
      </c>
      <c r="O8" t="str">
        <f t="shared" si="4"/>
        <v>varchar</v>
      </c>
      <c r="P8" t="str">
        <f t="shared" si="5"/>
        <v>200</v>
      </c>
    </row>
    <row r="9" spans="1:16">
      <c r="A9" t="s">
        <v>3</v>
      </c>
      <c r="B9" s="15" t="s">
        <v>15987</v>
      </c>
      <c r="C9" s="15" t="s">
        <v>16002</v>
      </c>
      <c r="D9" s="15" t="s">
        <v>316</v>
      </c>
      <c r="E9" s="15" t="s">
        <v>305</v>
      </c>
      <c r="F9" s="15" t="s">
        <v>3496</v>
      </c>
      <c r="G9" s="15"/>
      <c r="H9" s="15"/>
      <c r="I9" s="15" t="s">
        <v>528</v>
      </c>
      <c r="J9" s="15" t="s">
        <v>15991</v>
      </c>
      <c r="K9" t="str">
        <f t="shared" si="0"/>
        <v>审计信息</v>
      </c>
      <c r="L9" t="str">
        <f t="shared" si="1"/>
        <v>audit_info</v>
      </c>
      <c r="M9" t="str">
        <f t="shared" si="2"/>
        <v>记录类型</v>
      </c>
      <c r="N9" t="str">
        <f t="shared" si="3"/>
        <v>RECORDTYPE</v>
      </c>
      <c r="O9" t="str">
        <f t="shared" si="4"/>
        <v>varchar</v>
      </c>
      <c r="P9" t="str">
        <f t="shared" si="5"/>
        <v>32</v>
      </c>
    </row>
    <row r="10" spans="1:16">
      <c r="A10" t="s">
        <v>3</v>
      </c>
      <c r="B10" s="15" t="s">
        <v>15987</v>
      </c>
      <c r="C10" s="15" t="s">
        <v>16003</v>
      </c>
      <c r="D10" s="15" t="s">
        <v>316</v>
      </c>
      <c r="E10" s="15" t="s">
        <v>305</v>
      </c>
      <c r="F10" s="15" t="s">
        <v>16004</v>
      </c>
      <c r="G10" s="15"/>
      <c r="H10" s="15"/>
      <c r="I10" s="15" t="s">
        <v>528</v>
      </c>
      <c r="J10" s="15" t="s">
        <v>15991</v>
      </c>
      <c r="K10" t="str">
        <f t="shared" si="0"/>
        <v>审计信息</v>
      </c>
      <c r="L10" t="str">
        <f t="shared" si="1"/>
        <v>audit_info</v>
      </c>
      <c r="M10" t="str">
        <f t="shared" si="2"/>
        <v>记录动作</v>
      </c>
      <c r="N10" t="str">
        <f t="shared" si="3"/>
        <v>RECORDACTION</v>
      </c>
      <c r="O10" t="str">
        <f t="shared" si="4"/>
        <v>varchar</v>
      </c>
      <c r="P10" t="str">
        <f t="shared" si="5"/>
        <v>32</v>
      </c>
    </row>
    <row r="11" spans="1:16">
      <c r="A11" t="s">
        <v>3</v>
      </c>
      <c r="B11" s="15" t="s">
        <v>15987</v>
      </c>
      <c r="C11" s="15" t="s">
        <v>16005</v>
      </c>
      <c r="D11" s="15" t="s">
        <v>367</v>
      </c>
      <c r="E11" s="15" t="s">
        <v>305</v>
      </c>
      <c r="F11" s="15" t="s">
        <v>16006</v>
      </c>
      <c r="G11" s="15"/>
      <c r="H11" s="15"/>
      <c r="I11" s="15" t="s">
        <v>528</v>
      </c>
      <c r="J11" s="15" t="s">
        <v>15991</v>
      </c>
      <c r="K11" t="str">
        <f t="shared" si="0"/>
        <v>审计信息</v>
      </c>
      <c r="L11" t="str">
        <f t="shared" si="1"/>
        <v>audit_info</v>
      </c>
      <c r="M11" t="str">
        <f t="shared" si="2"/>
        <v>记录目标</v>
      </c>
      <c r="N11" t="str">
        <f t="shared" si="3"/>
        <v>RECORDTARGET</v>
      </c>
      <c r="O11" t="str">
        <f t="shared" si="4"/>
        <v>varchar</v>
      </c>
      <c r="P11" t="str">
        <f t="shared" si="5"/>
        <v>200</v>
      </c>
    </row>
    <row r="12" spans="1:16">
      <c r="A12" t="s">
        <v>3</v>
      </c>
      <c r="B12" s="15" t="s">
        <v>15987</v>
      </c>
      <c r="C12" s="15" t="s">
        <v>16007</v>
      </c>
      <c r="D12" s="15" t="s">
        <v>316</v>
      </c>
      <c r="E12" s="15" t="s">
        <v>305</v>
      </c>
      <c r="F12" s="15" t="s">
        <v>16008</v>
      </c>
      <c r="G12" s="15"/>
      <c r="H12" s="15"/>
      <c r="I12" s="15" t="s">
        <v>528</v>
      </c>
      <c r="J12" s="15" t="s">
        <v>15991</v>
      </c>
      <c r="K12" t="str">
        <f t="shared" si="0"/>
        <v>审计信息</v>
      </c>
      <c r="L12" t="str">
        <f t="shared" si="1"/>
        <v>audit_info</v>
      </c>
      <c r="M12" t="str">
        <f t="shared" si="2"/>
        <v>修改时间</v>
      </c>
      <c r="N12" t="str">
        <f t="shared" si="3"/>
        <v>AUDITTIME</v>
      </c>
      <c r="O12" t="str">
        <f t="shared" si="4"/>
        <v>varchar</v>
      </c>
      <c r="P12" t="str">
        <f t="shared" si="5"/>
        <v>32</v>
      </c>
    </row>
    <row r="13" spans="1:16">
      <c r="A13" t="s">
        <v>3</v>
      </c>
      <c r="B13" s="15" t="s">
        <v>15987</v>
      </c>
      <c r="C13" s="15" t="s">
        <v>16009</v>
      </c>
      <c r="D13" s="15" t="s">
        <v>316</v>
      </c>
      <c r="E13" s="15" t="s">
        <v>305</v>
      </c>
      <c r="F13" s="15" t="s">
        <v>16010</v>
      </c>
      <c r="G13" s="15"/>
      <c r="H13" s="15"/>
      <c r="I13" s="15" t="s">
        <v>528</v>
      </c>
      <c r="J13" s="15" t="s">
        <v>15991</v>
      </c>
      <c r="K13" t="str">
        <f t="shared" si="0"/>
        <v>审计信息</v>
      </c>
      <c r="L13" t="str">
        <f t="shared" si="1"/>
        <v>audit_info</v>
      </c>
      <c r="M13" t="str">
        <f t="shared" si="2"/>
        <v>登记机构</v>
      </c>
      <c r="N13" t="str">
        <f t="shared" si="3"/>
        <v>INPUTORGID</v>
      </c>
      <c r="O13" t="str">
        <f t="shared" si="4"/>
        <v>varchar</v>
      </c>
      <c r="P13" t="str">
        <f t="shared" si="5"/>
        <v>32</v>
      </c>
    </row>
    <row r="14" spans="1:16">
      <c r="A14" t="s">
        <v>3</v>
      </c>
      <c r="B14" s="15" t="s">
        <v>15987</v>
      </c>
      <c r="C14" s="15" t="s">
        <v>16011</v>
      </c>
      <c r="D14" s="15" t="s">
        <v>316</v>
      </c>
      <c r="E14" s="15" t="s">
        <v>305</v>
      </c>
      <c r="F14" s="15" t="s">
        <v>16012</v>
      </c>
      <c r="G14" s="15"/>
      <c r="H14" s="15"/>
      <c r="I14" s="15" t="s">
        <v>528</v>
      </c>
      <c r="J14" s="15" t="s">
        <v>15991</v>
      </c>
      <c r="K14" t="str">
        <f t="shared" si="0"/>
        <v>审计信息</v>
      </c>
      <c r="L14" t="str">
        <f t="shared" si="1"/>
        <v>audit_info</v>
      </c>
      <c r="M14" t="str">
        <f t="shared" si="2"/>
        <v>登记人</v>
      </c>
      <c r="N14" t="str">
        <f t="shared" si="3"/>
        <v>INPUTUSERID</v>
      </c>
      <c r="O14" t="str">
        <f t="shared" si="4"/>
        <v>varchar</v>
      </c>
      <c r="P14" t="str">
        <f t="shared" si="5"/>
        <v>32</v>
      </c>
    </row>
    <row r="15" spans="1:16">
      <c r="A15" t="s">
        <v>3</v>
      </c>
      <c r="B15" s="15" t="s">
        <v>15987</v>
      </c>
      <c r="C15" s="15" t="s">
        <v>16013</v>
      </c>
      <c r="D15" s="15" t="s">
        <v>513</v>
      </c>
      <c r="E15" s="15" t="s">
        <v>305</v>
      </c>
      <c r="F15" s="15" t="s">
        <v>16014</v>
      </c>
      <c r="G15" s="15"/>
      <c r="H15" s="15"/>
      <c r="I15" s="15" t="s">
        <v>528</v>
      </c>
      <c r="J15" s="15" t="s">
        <v>15991</v>
      </c>
      <c r="K15" t="str">
        <f t="shared" si="0"/>
        <v>审计信息</v>
      </c>
      <c r="L15" t="str">
        <f t="shared" si="1"/>
        <v>audit_info</v>
      </c>
      <c r="M15" t="str">
        <f t="shared" si="2"/>
        <v>登记日期</v>
      </c>
      <c r="N15" t="str">
        <f t="shared" si="3"/>
        <v>INPUTDATE</v>
      </c>
      <c r="O15" t="str">
        <f t="shared" si="4"/>
        <v>varchar</v>
      </c>
      <c r="P15" t="str">
        <f t="shared" si="5"/>
        <v>18</v>
      </c>
    </row>
    <row r="16" spans="1:16">
      <c r="A16" t="s">
        <v>3</v>
      </c>
      <c r="B16" s="15" t="s">
        <v>15987</v>
      </c>
      <c r="C16" s="15" t="s">
        <v>16015</v>
      </c>
      <c r="D16" s="15" t="s">
        <v>316</v>
      </c>
      <c r="E16" s="15" t="s">
        <v>305</v>
      </c>
      <c r="F16" s="15" t="s">
        <v>16016</v>
      </c>
      <c r="G16" s="15"/>
      <c r="H16" s="15"/>
      <c r="I16" s="15" t="s">
        <v>528</v>
      </c>
      <c r="J16" s="15" t="s">
        <v>15991</v>
      </c>
      <c r="K16" t="str">
        <f t="shared" si="0"/>
        <v>审计信息</v>
      </c>
      <c r="L16" t="str">
        <f t="shared" si="1"/>
        <v>audit_info</v>
      </c>
      <c r="M16" t="str">
        <f t="shared" si="2"/>
        <v>更新机构</v>
      </c>
      <c r="N16" t="str">
        <f t="shared" si="3"/>
        <v>UPDATEORGID</v>
      </c>
      <c r="O16" t="str">
        <f t="shared" si="4"/>
        <v>varchar</v>
      </c>
      <c r="P16" t="str">
        <f t="shared" si="5"/>
        <v>32</v>
      </c>
    </row>
    <row r="17" spans="1:16">
      <c r="A17" t="s">
        <v>3</v>
      </c>
      <c r="B17" s="15" t="s">
        <v>15987</v>
      </c>
      <c r="C17" s="15" t="s">
        <v>16017</v>
      </c>
      <c r="D17" s="15" t="s">
        <v>316</v>
      </c>
      <c r="E17" s="15" t="s">
        <v>305</v>
      </c>
      <c r="F17" s="15" t="s">
        <v>16018</v>
      </c>
      <c r="G17" s="15"/>
      <c r="H17" s="15"/>
      <c r="I17" s="15" t="s">
        <v>528</v>
      </c>
      <c r="J17" s="15" t="s">
        <v>15991</v>
      </c>
      <c r="K17" t="str">
        <f t="shared" si="0"/>
        <v>审计信息</v>
      </c>
      <c r="L17" t="str">
        <f t="shared" si="1"/>
        <v>audit_info</v>
      </c>
      <c r="M17" t="str">
        <f t="shared" si="2"/>
        <v>更新人</v>
      </c>
      <c r="N17" t="str">
        <f t="shared" si="3"/>
        <v>UPDATEUSERID</v>
      </c>
      <c r="O17" t="str">
        <f t="shared" si="4"/>
        <v>varchar</v>
      </c>
      <c r="P17" t="str">
        <f t="shared" si="5"/>
        <v>32</v>
      </c>
    </row>
    <row r="18" spans="1:16">
      <c r="A18" t="s">
        <v>3</v>
      </c>
      <c r="B18" s="15" t="s">
        <v>15987</v>
      </c>
      <c r="C18" s="15" t="s">
        <v>16019</v>
      </c>
      <c r="D18" s="15" t="s">
        <v>513</v>
      </c>
      <c r="E18" s="15" t="s">
        <v>305</v>
      </c>
      <c r="F18" s="15" t="s">
        <v>16020</v>
      </c>
      <c r="G18" s="15"/>
      <c r="H18" s="15"/>
      <c r="I18" s="15" t="s">
        <v>528</v>
      </c>
      <c r="J18" s="15" t="s">
        <v>15991</v>
      </c>
      <c r="K18" t="str">
        <f t="shared" si="0"/>
        <v>审计信息</v>
      </c>
      <c r="L18" t="str">
        <f t="shared" si="1"/>
        <v>audit_info</v>
      </c>
      <c r="M18" t="str">
        <f t="shared" si="2"/>
        <v>更新日期</v>
      </c>
      <c r="N18" t="str">
        <f t="shared" si="3"/>
        <v>UPDATEDATE</v>
      </c>
      <c r="O18" t="str">
        <f t="shared" si="4"/>
        <v>varchar</v>
      </c>
      <c r="P18" t="str">
        <f t="shared" si="5"/>
        <v>18</v>
      </c>
    </row>
    <row r="19" spans="1:16">
      <c r="A19" t="s">
        <v>3</v>
      </c>
      <c r="B19" s="15" t="s">
        <v>15987</v>
      </c>
      <c r="C19" s="15" t="s">
        <v>16021</v>
      </c>
      <c r="D19" s="15" t="s">
        <v>16022</v>
      </c>
      <c r="E19" s="15" t="s">
        <v>305</v>
      </c>
      <c r="F19" s="15" t="s">
        <v>16023</v>
      </c>
      <c r="G19" s="15"/>
      <c r="H19" s="15"/>
      <c r="I19" s="15" t="s">
        <v>528</v>
      </c>
      <c r="J19" s="15" t="s">
        <v>15991</v>
      </c>
      <c r="K19" t="str">
        <f t="shared" si="0"/>
        <v>审计信息</v>
      </c>
      <c r="L19" t="str">
        <f t="shared" si="1"/>
        <v>audit_info</v>
      </c>
      <c r="M19" t="str">
        <f t="shared" si="2"/>
        <v>审计数据</v>
      </c>
      <c r="N19" t="str">
        <f t="shared" si="3"/>
        <v>AUDITDATA</v>
      </c>
      <c r="O19" t="str">
        <f t="shared" si="4"/>
        <v>varchar</v>
      </c>
      <c r="P19" t="str">
        <f t="shared" si="5"/>
        <v>2000</v>
      </c>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41"/>
  <sheetViews>
    <sheetView zoomScale="112" zoomScaleNormal="112" zoomScaleSheetLayoutView="60" workbookViewId="0">
      <selection activeCell="A1" sqref="A1"/>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51" t="str">
        <f>HYPERLINK("#表结构清单!A1","返回")</f>
        <v>返回</v>
      </c>
      <c r="B1" t="s">
        <v>4</v>
      </c>
    </row>
    <row r="2" spans="1:10">
      <c r="A2" t="s">
        <v>4</v>
      </c>
      <c r="B2" s="13" t="s">
        <v>15982</v>
      </c>
      <c r="C2" s="13" t="s">
        <v>297</v>
      </c>
      <c r="D2" s="13" t="s">
        <v>11870</v>
      </c>
      <c r="E2" s="13" t="s">
        <v>15983</v>
      </c>
      <c r="F2" s="13" t="s">
        <v>15984</v>
      </c>
      <c r="G2" s="13" t="s">
        <v>300</v>
      </c>
      <c r="H2" s="13" t="s">
        <v>301</v>
      </c>
      <c r="I2" s="13" t="s">
        <v>15985</v>
      </c>
      <c r="J2" s="13" t="s">
        <v>15986</v>
      </c>
    </row>
    <row r="3" spans="1:16">
      <c r="A3" t="s">
        <v>4</v>
      </c>
      <c r="B3" s="15" t="s">
        <v>16024</v>
      </c>
      <c r="C3" s="15" t="s">
        <v>16025</v>
      </c>
      <c r="D3" s="15" t="s">
        <v>316</v>
      </c>
      <c r="E3" s="15" t="s">
        <v>15989</v>
      </c>
      <c r="F3" s="15" t="s">
        <v>16026</v>
      </c>
      <c r="G3" s="15"/>
      <c r="H3" s="15"/>
      <c r="I3" s="15" t="s">
        <v>528</v>
      </c>
      <c r="J3" s="15" t="s">
        <v>15991</v>
      </c>
      <c r="K3" t="str">
        <f>A3</f>
        <v>评估机构</v>
      </c>
      <c r="L3" t="str">
        <f>B3</f>
        <v>appraisal_agency</v>
      </c>
      <c r="M3" t="str">
        <f>F3</f>
        <v>评估机构编号</v>
      </c>
      <c r="N3" t="str">
        <f>C3</f>
        <v>APPRAISALORGID</v>
      </c>
      <c r="O3" t="str">
        <f>IFERROR(LEFT(D3,FIND("(",D3)-1),D3)</f>
        <v>varchar</v>
      </c>
      <c r="P3" t="str">
        <f>IFERROR(MID(D3,FIND("(",D3)+1,FIND(")",D3)-FIND("(",D3)-1),"")</f>
        <v>32</v>
      </c>
    </row>
    <row r="4" spans="1:16">
      <c r="A4" t="s">
        <v>4</v>
      </c>
      <c r="B4" s="15" t="s">
        <v>16024</v>
      </c>
      <c r="C4" s="15" t="s">
        <v>16027</v>
      </c>
      <c r="D4" s="15" t="s">
        <v>506</v>
      </c>
      <c r="E4" s="15" t="s">
        <v>305</v>
      </c>
      <c r="F4" s="15" t="s">
        <v>16028</v>
      </c>
      <c r="G4" s="15"/>
      <c r="H4" s="15"/>
      <c r="I4" s="15" t="s">
        <v>528</v>
      </c>
      <c r="J4" s="15" t="s">
        <v>15991</v>
      </c>
      <c r="K4" t="str">
        <f t="shared" ref="K4:K41" si="0">A4</f>
        <v>评估机构</v>
      </c>
      <c r="L4" t="str">
        <f t="shared" ref="L4:L41" si="1">B4</f>
        <v>appraisal_agency</v>
      </c>
      <c r="M4" t="str">
        <f t="shared" ref="M4:M41" si="2">F4</f>
        <v>评估机构名称</v>
      </c>
      <c r="N4" t="str">
        <f t="shared" ref="N4:N41" si="3">C4</f>
        <v>APPRAISALORGNAME</v>
      </c>
      <c r="O4" t="str">
        <f t="shared" ref="O4:O41" si="4">IFERROR(LEFT(D4,FIND("(",D4)-1),D4)</f>
        <v>varchar</v>
      </c>
      <c r="P4" t="str">
        <f t="shared" ref="P4:P41" si="5">IFERROR(MID(D4,FIND("(",D4)+1,FIND(")",D4)-FIND("(",D4)-1),"")</f>
        <v>80</v>
      </c>
    </row>
    <row r="5" spans="1:16">
      <c r="A5" t="s">
        <v>4</v>
      </c>
      <c r="B5" s="15" t="s">
        <v>16024</v>
      </c>
      <c r="C5" s="15" t="s">
        <v>16029</v>
      </c>
      <c r="D5" s="15" t="s">
        <v>513</v>
      </c>
      <c r="E5" s="15" t="s">
        <v>305</v>
      </c>
      <c r="F5" s="15" t="s">
        <v>16030</v>
      </c>
      <c r="G5" s="52" t="str">
        <f>HYPERLINK("#码值映射清单!B9420","AppraisalOrgType")</f>
        <v>AppraisalOrgType</v>
      </c>
      <c r="H5" s="15"/>
      <c r="I5" s="15" t="s">
        <v>528</v>
      </c>
      <c r="J5" s="15" t="s">
        <v>15991</v>
      </c>
      <c r="K5" t="str">
        <f t="shared" si="0"/>
        <v>评估机构</v>
      </c>
      <c r="L5" t="str">
        <f t="shared" si="1"/>
        <v>appraisal_agency</v>
      </c>
      <c r="M5" t="str">
        <f t="shared" si="2"/>
        <v>评估公司类型
02  特殊资产准入
03  特别准入;一次性)</v>
      </c>
      <c r="N5" t="str">
        <f t="shared" si="3"/>
        <v>APPRAISALORGTYPE</v>
      </c>
      <c r="O5" t="str">
        <f t="shared" si="4"/>
        <v>varchar</v>
      </c>
      <c r="P5" t="str">
        <f t="shared" si="5"/>
        <v>18</v>
      </c>
    </row>
    <row r="6" spans="1:16">
      <c r="A6" t="s">
        <v>4</v>
      </c>
      <c r="B6" s="15" t="s">
        <v>16024</v>
      </c>
      <c r="C6" s="15" t="s">
        <v>16031</v>
      </c>
      <c r="D6" s="15" t="s">
        <v>327</v>
      </c>
      <c r="E6" s="15" t="s">
        <v>305</v>
      </c>
      <c r="F6" s="15" t="s">
        <v>16032</v>
      </c>
      <c r="G6" s="15"/>
      <c r="H6" s="15"/>
      <c r="I6" s="15" t="s">
        <v>528</v>
      </c>
      <c r="J6" s="15" t="s">
        <v>15991</v>
      </c>
      <c r="K6" t="str">
        <f t="shared" si="0"/>
        <v>评估机构</v>
      </c>
      <c r="L6" t="str">
        <f t="shared" si="1"/>
        <v>appraisal_agency</v>
      </c>
      <c r="M6" t="str">
        <f t="shared" si="2"/>
        <v>机构地址</v>
      </c>
      <c r="N6" t="str">
        <f t="shared" si="3"/>
        <v>APPRAISALORGADDRESS</v>
      </c>
      <c r="O6" t="str">
        <f t="shared" si="4"/>
        <v>varchar</v>
      </c>
      <c r="P6" t="str">
        <f t="shared" si="5"/>
        <v>500</v>
      </c>
    </row>
    <row r="7" spans="1:16">
      <c r="A7" t="s">
        <v>4</v>
      </c>
      <c r="B7" s="15" t="s">
        <v>16024</v>
      </c>
      <c r="C7" s="15" t="s">
        <v>16033</v>
      </c>
      <c r="D7" s="15" t="s">
        <v>321</v>
      </c>
      <c r="E7" s="15" t="s">
        <v>305</v>
      </c>
      <c r="F7" s="49" t="s">
        <v>16034</v>
      </c>
      <c r="G7" s="72" t="str">
        <f>HYPERLINK("#码值映射清单!B9986","AgencyStatus")</f>
        <v>AgencyStatus</v>
      </c>
      <c r="H7" s="46" t="s">
        <v>16035</v>
      </c>
      <c r="I7" s="15" t="s">
        <v>528</v>
      </c>
      <c r="J7" s="67">
        <v>45740</v>
      </c>
      <c r="K7" t="str">
        <f t="shared" si="0"/>
        <v>评估机构</v>
      </c>
      <c r="L7" t="str">
        <f t="shared" si="1"/>
        <v>appraisal_agency</v>
      </c>
      <c r="M7" t="str">
        <f t="shared" si="2"/>
        <v>评估机构状态</v>
      </c>
      <c r="N7" t="str">
        <f t="shared" si="3"/>
        <v>APPRAISALORGSTATUS</v>
      </c>
      <c r="O7" t="str">
        <f t="shared" si="4"/>
        <v>varchar</v>
      </c>
      <c r="P7" t="str">
        <f t="shared" si="5"/>
        <v>6</v>
      </c>
    </row>
    <row r="8" spans="1:16">
      <c r="A8" t="s">
        <v>4</v>
      </c>
      <c r="B8" s="15" t="s">
        <v>16024</v>
      </c>
      <c r="C8" s="15" t="s">
        <v>16036</v>
      </c>
      <c r="D8" s="15" t="s">
        <v>371</v>
      </c>
      <c r="E8" s="15" t="s">
        <v>305</v>
      </c>
      <c r="F8" s="15" t="s">
        <v>16037</v>
      </c>
      <c r="G8" s="15"/>
      <c r="H8" s="15"/>
      <c r="I8" s="15" t="s">
        <v>528</v>
      </c>
      <c r="J8" s="15" t="s">
        <v>15991</v>
      </c>
      <c r="K8" t="str">
        <f t="shared" si="0"/>
        <v>评估机构</v>
      </c>
      <c r="L8" t="str">
        <f t="shared" si="1"/>
        <v>appraisal_agency</v>
      </c>
      <c r="M8" t="str">
        <f t="shared" si="2"/>
        <v>机构成立日期</v>
      </c>
      <c r="N8" t="str">
        <f t="shared" si="3"/>
        <v>REGISTERDATE</v>
      </c>
      <c r="O8" t="str">
        <f t="shared" si="4"/>
        <v>datetime</v>
      </c>
      <c r="P8" t="str">
        <f t="shared" si="5"/>
        <v/>
      </c>
    </row>
    <row r="9" spans="1:16">
      <c r="A9" t="s">
        <v>4</v>
      </c>
      <c r="B9" s="15" t="s">
        <v>16024</v>
      </c>
      <c r="C9" s="15" t="s">
        <v>16038</v>
      </c>
      <c r="D9" s="15" t="s">
        <v>513</v>
      </c>
      <c r="E9" s="15" t="s">
        <v>305</v>
      </c>
      <c r="F9" s="15" t="s">
        <v>16039</v>
      </c>
      <c r="G9" s="52" t="str">
        <f>HYPERLINK("#码值映射清单!B8049","AssessAssetsType")</f>
        <v>AssessAssetsType</v>
      </c>
      <c r="H9" s="15"/>
      <c r="I9" s="15" t="s">
        <v>528</v>
      </c>
      <c r="J9" s="15" t="s">
        <v>15991</v>
      </c>
      <c r="K9" t="str">
        <f t="shared" si="0"/>
        <v>评估机构</v>
      </c>
      <c r="L9" t="str">
        <f t="shared" si="1"/>
        <v>appraisal_agency</v>
      </c>
      <c r="M9" t="str">
        <f t="shared" si="2"/>
        <v>可评估资产类型</v>
      </c>
      <c r="N9" t="str">
        <f t="shared" si="3"/>
        <v>ASSETSTYPE</v>
      </c>
      <c r="O9" t="str">
        <f t="shared" si="4"/>
        <v>varchar</v>
      </c>
      <c r="P9" t="str">
        <f t="shared" si="5"/>
        <v>18</v>
      </c>
    </row>
    <row r="10" spans="1:16">
      <c r="A10" t="s">
        <v>4</v>
      </c>
      <c r="B10" s="15" t="s">
        <v>16024</v>
      </c>
      <c r="C10" s="15" t="s">
        <v>16040</v>
      </c>
      <c r="D10" s="15" t="s">
        <v>513</v>
      </c>
      <c r="E10" s="15" t="s">
        <v>305</v>
      </c>
      <c r="F10" s="15" t="s">
        <v>16041</v>
      </c>
      <c r="G10" s="15"/>
      <c r="H10" s="15"/>
      <c r="I10" s="15" t="s">
        <v>528</v>
      </c>
      <c r="J10" s="15" t="s">
        <v>15991</v>
      </c>
      <c r="K10" t="str">
        <f t="shared" si="0"/>
        <v>评估机构</v>
      </c>
      <c r="L10" t="str">
        <f t="shared" si="1"/>
        <v>appraisal_agency</v>
      </c>
      <c r="M10" t="str">
        <f t="shared" si="2"/>
        <v>执业资质等级</v>
      </c>
      <c r="N10" t="str">
        <f t="shared" si="3"/>
        <v>QUALIFYLEVEL</v>
      </c>
      <c r="O10" t="str">
        <f t="shared" si="4"/>
        <v>varchar</v>
      </c>
      <c r="P10" t="str">
        <f t="shared" si="5"/>
        <v>18</v>
      </c>
    </row>
    <row r="11" spans="1:16">
      <c r="A11" t="s">
        <v>4</v>
      </c>
      <c r="B11" s="15" t="s">
        <v>16024</v>
      </c>
      <c r="C11" s="15" t="s">
        <v>16042</v>
      </c>
      <c r="D11" s="15" t="s">
        <v>506</v>
      </c>
      <c r="E11" s="15" t="s">
        <v>305</v>
      </c>
      <c r="F11" s="15" t="s">
        <v>11320</v>
      </c>
      <c r="G11" s="52" t="str">
        <f>HYPERLINK("#码值映射清单!B9045","AssessArea")</f>
        <v>AssessArea</v>
      </c>
      <c r="H11" s="15"/>
      <c r="I11" s="15" t="s">
        <v>528</v>
      </c>
      <c r="J11" s="15" t="s">
        <v>15991</v>
      </c>
      <c r="K11" t="str">
        <f t="shared" si="0"/>
        <v>评估机构</v>
      </c>
      <c r="L11" t="str">
        <f t="shared" si="1"/>
        <v>appraisal_agency</v>
      </c>
      <c r="M11" t="str">
        <f t="shared" si="2"/>
        <v>可估价地域范围</v>
      </c>
      <c r="N11" t="str">
        <f t="shared" si="3"/>
        <v>ASSESSAREA</v>
      </c>
      <c r="O11" t="str">
        <f t="shared" si="4"/>
        <v>varchar</v>
      </c>
      <c r="P11" t="str">
        <f t="shared" si="5"/>
        <v>80</v>
      </c>
    </row>
    <row r="12" spans="1:16">
      <c r="A12" t="s">
        <v>4</v>
      </c>
      <c r="B12" s="15" t="s">
        <v>16024</v>
      </c>
      <c r="C12" s="15" t="s">
        <v>16043</v>
      </c>
      <c r="D12" s="15" t="s">
        <v>506</v>
      </c>
      <c r="E12" s="15" t="s">
        <v>305</v>
      </c>
      <c r="F12" s="15" t="s">
        <v>16044</v>
      </c>
      <c r="G12" s="15"/>
      <c r="H12" s="15"/>
      <c r="I12" s="15" t="s">
        <v>528</v>
      </c>
      <c r="J12" s="15" t="s">
        <v>15991</v>
      </c>
      <c r="K12" t="str">
        <f t="shared" si="0"/>
        <v>评估机构</v>
      </c>
      <c r="L12" t="str">
        <f t="shared" si="1"/>
        <v>appraisal_agency</v>
      </c>
      <c r="M12" t="str">
        <f t="shared" si="2"/>
        <v>资质证书名称</v>
      </c>
      <c r="N12" t="str">
        <f t="shared" si="3"/>
        <v>CERTNAME</v>
      </c>
      <c r="O12" t="str">
        <f t="shared" si="4"/>
        <v>varchar</v>
      </c>
      <c r="P12" t="str">
        <f t="shared" si="5"/>
        <v>80</v>
      </c>
    </row>
    <row r="13" spans="1:16">
      <c r="A13" t="s">
        <v>4</v>
      </c>
      <c r="B13" s="15" t="s">
        <v>16024</v>
      </c>
      <c r="C13" s="15" t="s">
        <v>16045</v>
      </c>
      <c r="D13" s="15" t="s">
        <v>316</v>
      </c>
      <c r="E13" s="15" t="s">
        <v>305</v>
      </c>
      <c r="F13" s="15" t="s">
        <v>16046</v>
      </c>
      <c r="G13" s="15"/>
      <c r="H13" s="15"/>
      <c r="I13" s="15" t="s">
        <v>528</v>
      </c>
      <c r="J13" s="15" t="s">
        <v>15991</v>
      </c>
      <c r="K13" t="str">
        <f t="shared" si="0"/>
        <v>评估机构</v>
      </c>
      <c r="L13" t="str">
        <f t="shared" si="1"/>
        <v>appraisal_agency</v>
      </c>
      <c r="M13" t="str">
        <f t="shared" si="2"/>
        <v>资质证书标号</v>
      </c>
      <c r="N13" t="str">
        <f t="shared" si="3"/>
        <v>CERTID</v>
      </c>
      <c r="O13" t="str">
        <f t="shared" si="4"/>
        <v>varchar</v>
      </c>
      <c r="P13" t="str">
        <f t="shared" si="5"/>
        <v>32</v>
      </c>
    </row>
    <row r="14" spans="1:16">
      <c r="A14" t="s">
        <v>4</v>
      </c>
      <c r="B14" s="15" t="s">
        <v>16024</v>
      </c>
      <c r="C14" s="15" t="s">
        <v>16047</v>
      </c>
      <c r="D14" s="15" t="s">
        <v>371</v>
      </c>
      <c r="E14" s="15" t="s">
        <v>305</v>
      </c>
      <c r="F14" s="15" t="s">
        <v>16048</v>
      </c>
      <c r="G14" s="15"/>
      <c r="H14" s="15"/>
      <c r="I14" s="15" t="s">
        <v>528</v>
      </c>
      <c r="J14" s="15" t="s">
        <v>15991</v>
      </c>
      <c r="K14" t="str">
        <f t="shared" si="0"/>
        <v>评估机构</v>
      </c>
      <c r="L14" t="str">
        <f t="shared" si="1"/>
        <v>appraisal_agency</v>
      </c>
      <c r="M14" t="str">
        <f t="shared" si="2"/>
        <v>资质核准日期</v>
      </c>
      <c r="N14" t="str">
        <f t="shared" si="3"/>
        <v>APPROVEDATE</v>
      </c>
      <c r="O14" t="str">
        <f t="shared" si="4"/>
        <v>datetime</v>
      </c>
      <c r="P14" t="str">
        <f t="shared" si="5"/>
        <v/>
      </c>
    </row>
    <row r="15" spans="1:16">
      <c r="A15" t="s">
        <v>4</v>
      </c>
      <c r="B15" s="15" t="s">
        <v>16024</v>
      </c>
      <c r="C15" s="15" t="s">
        <v>16049</v>
      </c>
      <c r="D15" s="15" t="s">
        <v>371</v>
      </c>
      <c r="E15" s="15" t="s">
        <v>305</v>
      </c>
      <c r="F15" s="15" t="s">
        <v>16050</v>
      </c>
      <c r="G15" s="15"/>
      <c r="H15" s="15"/>
      <c r="I15" s="15" t="s">
        <v>528</v>
      </c>
      <c r="J15" s="15" t="s">
        <v>15991</v>
      </c>
      <c r="K15" t="str">
        <f t="shared" si="0"/>
        <v>评估机构</v>
      </c>
      <c r="L15" t="str">
        <f t="shared" si="1"/>
        <v>appraisal_agency</v>
      </c>
      <c r="M15" t="str">
        <f t="shared" si="2"/>
        <v>资质到期日期</v>
      </c>
      <c r="N15" t="str">
        <f t="shared" si="3"/>
        <v>APPROVEENDDATE</v>
      </c>
      <c r="O15" t="str">
        <f t="shared" si="4"/>
        <v>datetime</v>
      </c>
      <c r="P15" t="str">
        <f t="shared" si="5"/>
        <v/>
      </c>
    </row>
    <row r="16" spans="1:16">
      <c r="A16" t="s">
        <v>4</v>
      </c>
      <c r="B16" s="15" t="s">
        <v>16024</v>
      </c>
      <c r="C16" s="15" t="s">
        <v>16051</v>
      </c>
      <c r="D16" s="15" t="s">
        <v>321</v>
      </c>
      <c r="E16" s="15" t="s">
        <v>305</v>
      </c>
      <c r="F16" s="15" t="s">
        <v>16052</v>
      </c>
      <c r="G16" s="52" t="str">
        <f>HYPERLINK("#码值映射清单!B5150","YesNo")</f>
        <v>YesNo</v>
      </c>
      <c r="H16" s="15"/>
      <c r="I16" s="15" t="s">
        <v>528</v>
      </c>
      <c r="J16" s="15" t="s">
        <v>15991</v>
      </c>
      <c r="K16" t="str">
        <f t="shared" si="0"/>
        <v>评估机构</v>
      </c>
      <c r="L16" t="str">
        <f t="shared" si="1"/>
        <v>appraisal_agency</v>
      </c>
      <c r="M16" t="str">
        <f t="shared" si="2"/>
        <v>行业主管部门是否年审</v>
      </c>
      <c r="N16" t="str">
        <f t="shared" si="3"/>
        <v>DEPARTMENTCARE</v>
      </c>
      <c r="O16" t="str">
        <f t="shared" si="4"/>
        <v>varchar</v>
      </c>
      <c r="P16" t="str">
        <f t="shared" si="5"/>
        <v>6</v>
      </c>
    </row>
    <row r="17" spans="1:16">
      <c r="A17" t="s">
        <v>4</v>
      </c>
      <c r="B17" s="15" t="s">
        <v>16024</v>
      </c>
      <c r="C17" s="15" t="s">
        <v>16053</v>
      </c>
      <c r="D17" s="15" t="s">
        <v>506</v>
      </c>
      <c r="E17" s="15" t="s">
        <v>305</v>
      </c>
      <c r="F17" s="15" t="s">
        <v>16054</v>
      </c>
      <c r="G17" s="15"/>
      <c r="H17" s="15"/>
      <c r="I17" s="15" t="s">
        <v>528</v>
      </c>
      <c r="J17" s="15" t="s">
        <v>15991</v>
      </c>
      <c r="K17" t="str">
        <f t="shared" si="0"/>
        <v>评估机构</v>
      </c>
      <c r="L17" t="str">
        <f t="shared" si="1"/>
        <v>appraisal_agency</v>
      </c>
      <c r="M17" t="str">
        <f t="shared" si="2"/>
        <v>基本信息录入岗</v>
      </c>
      <c r="N17" t="str">
        <f t="shared" si="3"/>
        <v>INPUTUSER</v>
      </c>
      <c r="O17" t="str">
        <f t="shared" si="4"/>
        <v>varchar</v>
      </c>
      <c r="P17" t="str">
        <f t="shared" si="5"/>
        <v>80</v>
      </c>
    </row>
    <row r="18" spans="1:16">
      <c r="A18" t="s">
        <v>4</v>
      </c>
      <c r="B18" s="15" t="s">
        <v>16024</v>
      </c>
      <c r="C18" s="15" t="s">
        <v>16055</v>
      </c>
      <c r="D18" s="15" t="s">
        <v>16056</v>
      </c>
      <c r="E18" s="15" t="s">
        <v>305</v>
      </c>
      <c r="F18" s="15" t="s">
        <v>16057</v>
      </c>
      <c r="G18" s="15"/>
      <c r="H18" s="15"/>
      <c r="I18" s="15" t="s">
        <v>528</v>
      </c>
      <c r="J18" s="15" t="s">
        <v>15991</v>
      </c>
      <c r="K18" t="str">
        <f t="shared" si="0"/>
        <v>评估机构</v>
      </c>
      <c r="L18" t="str">
        <f t="shared" si="1"/>
        <v>appraisal_agency</v>
      </c>
      <c r="M18" t="str">
        <f t="shared" si="2"/>
        <v>连续执业时间</v>
      </c>
      <c r="N18" t="str">
        <f t="shared" si="3"/>
        <v>CONTINUETIME</v>
      </c>
      <c r="O18" t="str">
        <f t="shared" si="4"/>
        <v>int</v>
      </c>
      <c r="P18" t="str">
        <f t="shared" si="5"/>
        <v/>
      </c>
    </row>
    <row r="19" spans="1:16">
      <c r="A19" t="s">
        <v>4</v>
      </c>
      <c r="B19" s="15" t="s">
        <v>16024</v>
      </c>
      <c r="C19" s="15" t="s">
        <v>16058</v>
      </c>
      <c r="D19" s="15" t="s">
        <v>327</v>
      </c>
      <c r="E19" s="15" t="s">
        <v>305</v>
      </c>
      <c r="F19" s="15" t="s">
        <v>16059</v>
      </c>
      <c r="G19" s="15"/>
      <c r="H19" s="15"/>
      <c r="I19" s="15" t="s">
        <v>528</v>
      </c>
      <c r="J19" s="15" t="s">
        <v>15991</v>
      </c>
      <c r="K19" t="str">
        <f t="shared" si="0"/>
        <v>评估机构</v>
      </c>
      <c r="L19" t="str">
        <f t="shared" si="1"/>
        <v>appraisal_agency</v>
      </c>
      <c r="M19" t="str">
        <f t="shared" si="2"/>
        <v>经营范围</v>
      </c>
      <c r="N19" t="str">
        <f t="shared" si="3"/>
        <v>BUSINESSSCOPE</v>
      </c>
      <c r="O19" t="str">
        <f t="shared" si="4"/>
        <v>varchar</v>
      </c>
      <c r="P19" t="str">
        <f t="shared" si="5"/>
        <v>500</v>
      </c>
    </row>
    <row r="20" spans="1:16">
      <c r="A20" t="s">
        <v>4</v>
      </c>
      <c r="B20" s="15" t="s">
        <v>16024</v>
      </c>
      <c r="C20" s="15" t="s">
        <v>16060</v>
      </c>
      <c r="D20" s="15" t="s">
        <v>350</v>
      </c>
      <c r="E20" s="15" t="s">
        <v>305</v>
      </c>
      <c r="F20" s="15" t="s">
        <v>16061</v>
      </c>
      <c r="G20" s="15"/>
      <c r="H20" s="15"/>
      <c r="I20" s="15" t="s">
        <v>528</v>
      </c>
      <c r="J20" s="15" t="s">
        <v>15991</v>
      </c>
      <c r="K20" t="str">
        <f t="shared" si="0"/>
        <v>评估机构</v>
      </c>
      <c r="L20" t="str">
        <f t="shared" si="1"/>
        <v>appraisal_agency</v>
      </c>
      <c r="M20" t="str">
        <f t="shared" si="2"/>
        <v>注册资金</v>
      </c>
      <c r="N20" t="str">
        <f t="shared" si="3"/>
        <v>REGISTERCAPITAL</v>
      </c>
      <c r="O20" t="str">
        <f t="shared" si="4"/>
        <v>decimal</v>
      </c>
      <c r="P20" t="str">
        <f t="shared" si="5"/>
        <v>24,6</v>
      </c>
    </row>
    <row r="21" spans="1:16">
      <c r="A21" t="s">
        <v>4</v>
      </c>
      <c r="B21" s="15" t="s">
        <v>16024</v>
      </c>
      <c r="C21" s="15" t="s">
        <v>16062</v>
      </c>
      <c r="D21" s="15" t="s">
        <v>506</v>
      </c>
      <c r="E21" s="15" t="s">
        <v>305</v>
      </c>
      <c r="F21" s="15" t="s">
        <v>7450</v>
      </c>
      <c r="G21" s="15"/>
      <c r="H21" s="15"/>
      <c r="I21" s="15" t="s">
        <v>528</v>
      </c>
      <c r="J21" s="15" t="s">
        <v>15991</v>
      </c>
      <c r="K21" t="str">
        <f t="shared" si="0"/>
        <v>评估机构</v>
      </c>
      <c r="L21" t="str">
        <f t="shared" si="1"/>
        <v>appraisal_agency</v>
      </c>
      <c r="M21" t="str">
        <f t="shared" si="2"/>
        <v>法人代表</v>
      </c>
      <c r="N21" t="str">
        <f t="shared" si="3"/>
        <v>LEGALREP</v>
      </c>
      <c r="O21" t="str">
        <f t="shared" si="4"/>
        <v>varchar</v>
      </c>
      <c r="P21" t="str">
        <f t="shared" si="5"/>
        <v>80</v>
      </c>
    </row>
    <row r="22" spans="1:16">
      <c r="A22" t="s">
        <v>4</v>
      </c>
      <c r="B22" s="15" t="s">
        <v>16024</v>
      </c>
      <c r="C22" s="15" t="s">
        <v>16063</v>
      </c>
      <c r="D22" s="15" t="s">
        <v>513</v>
      </c>
      <c r="E22" s="15" t="s">
        <v>305</v>
      </c>
      <c r="F22" s="15" t="s">
        <v>16064</v>
      </c>
      <c r="G22" s="15"/>
      <c r="H22" s="15"/>
      <c r="I22" s="15" t="s">
        <v>528</v>
      </c>
      <c r="J22" s="15" t="s">
        <v>15991</v>
      </c>
      <c r="K22" t="str">
        <f t="shared" si="0"/>
        <v>评估机构</v>
      </c>
      <c r="L22" t="str">
        <f t="shared" si="1"/>
        <v>appraisal_agency</v>
      </c>
      <c r="M22" t="str">
        <f t="shared" si="2"/>
        <v>评估机构电话</v>
      </c>
      <c r="N22" t="str">
        <f t="shared" si="3"/>
        <v>ORGTELEPHONE</v>
      </c>
      <c r="O22" t="str">
        <f t="shared" si="4"/>
        <v>varchar</v>
      </c>
      <c r="P22" t="str">
        <f t="shared" si="5"/>
        <v>18</v>
      </c>
    </row>
    <row r="23" spans="1:16">
      <c r="A23" t="s">
        <v>4</v>
      </c>
      <c r="B23" s="15" t="s">
        <v>16024</v>
      </c>
      <c r="C23" s="15" t="s">
        <v>16065</v>
      </c>
      <c r="D23" s="15" t="s">
        <v>513</v>
      </c>
      <c r="E23" s="15" t="s">
        <v>305</v>
      </c>
      <c r="F23" s="15" t="s">
        <v>16066</v>
      </c>
      <c r="G23" s="15"/>
      <c r="H23" s="15"/>
      <c r="I23" s="15" t="s">
        <v>528</v>
      </c>
      <c r="J23" s="15" t="s">
        <v>15991</v>
      </c>
      <c r="K23" t="str">
        <f t="shared" si="0"/>
        <v>评估机构</v>
      </c>
      <c r="L23" t="str">
        <f t="shared" si="1"/>
        <v>appraisal_agency</v>
      </c>
      <c r="M23" t="str">
        <f t="shared" si="2"/>
        <v>评估机构传真电话</v>
      </c>
      <c r="N23" t="str">
        <f t="shared" si="3"/>
        <v>ORGFAX</v>
      </c>
      <c r="O23" t="str">
        <f t="shared" si="4"/>
        <v>varchar</v>
      </c>
      <c r="P23" t="str">
        <f t="shared" si="5"/>
        <v>18</v>
      </c>
    </row>
    <row r="24" spans="1:16">
      <c r="A24" t="s">
        <v>4</v>
      </c>
      <c r="B24" s="15" t="s">
        <v>16024</v>
      </c>
      <c r="C24" s="15" t="s">
        <v>16067</v>
      </c>
      <c r="D24" s="15" t="s">
        <v>316</v>
      </c>
      <c r="E24" s="15" t="s">
        <v>305</v>
      </c>
      <c r="F24" s="15" t="s">
        <v>16068</v>
      </c>
      <c r="G24" s="15"/>
      <c r="H24" s="15"/>
      <c r="I24" s="15" t="s">
        <v>528</v>
      </c>
      <c r="J24" s="15" t="s">
        <v>15991</v>
      </c>
      <c r="K24" t="str">
        <f t="shared" si="0"/>
        <v>评估机构</v>
      </c>
      <c r="L24" t="str">
        <f t="shared" si="1"/>
        <v>appraisal_agency</v>
      </c>
      <c r="M24" t="str">
        <f t="shared" si="2"/>
        <v>评估机构电子邮箱</v>
      </c>
      <c r="N24" t="str">
        <f t="shared" si="3"/>
        <v>ORGEMAIL</v>
      </c>
      <c r="O24" t="str">
        <f t="shared" si="4"/>
        <v>varchar</v>
      </c>
      <c r="P24" t="str">
        <f t="shared" si="5"/>
        <v>32</v>
      </c>
    </row>
    <row r="25" spans="1:16">
      <c r="A25" t="s">
        <v>4</v>
      </c>
      <c r="B25" s="15" t="s">
        <v>16024</v>
      </c>
      <c r="C25" s="15" t="s">
        <v>16069</v>
      </c>
      <c r="D25" s="15" t="s">
        <v>16056</v>
      </c>
      <c r="E25" s="15" t="s">
        <v>305</v>
      </c>
      <c r="F25" s="15" t="s">
        <v>16070</v>
      </c>
      <c r="G25" s="15"/>
      <c r="H25" s="15"/>
      <c r="I25" s="15" t="s">
        <v>528</v>
      </c>
      <c r="J25" s="15" t="s">
        <v>15991</v>
      </c>
      <c r="K25" t="str">
        <f t="shared" si="0"/>
        <v>评估机构</v>
      </c>
      <c r="L25" t="str">
        <f t="shared" si="1"/>
        <v>appraisal_agency</v>
      </c>
      <c r="M25" t="str">
        <f t="shared" si="2"/>
        <v>评估师数量</v>
      </c>
      <c r="N25" t="str">
        <f t="shared" si="3"/>
        <v>APPRAISERNUM</v>
      </c>
      <c r="O25" t="str">
        <f t="shared" si="4"/>
        <v>int</v>
      </c>
      <c r="P25" t="str">
        <f t="shared" si="5"/>
        <v/>
      </c>
    </row>
    <row r="26" spans="1:16">
      <c r="A26" t="s">
        <v>4</v>
      </c>
      <c r="B26" s="15" t="s">
        <v>16024</v>
      </c>
      <c r="C26" s="15" t="s">
        <v>16071</v>
      </c>
      <c r="D26" s="15" t="s">
        <v>16072</v>
      </c>
      <c r="E26" s="15" t="s">
        <v>305</v>
      </c>
      <c r="F26" s="15" t="s">
        <v>16073</v>
      </c>
      <c r="G26" s="52" t="str">
        <f>HYPERLINK("#码值映射清单!B5150","YesNo")</f>
        <v>YesNo</v>
      </c>
      <c r="H26" s="15"/>
      <c r="I26" s="15" t="s">
        <v>528</v>
      </c>
      <c r="J26" s="15" t="s">
        <v>15991</v>
      </c>
      <c r="K26" t="str">
        <f t="shared" si="0"/>
        <v>评估机构</v>
      </c>
      <c r="L26" t="str">
        <f t="shared" si="1"/>
        <v>appraisal_agency</v>
      </c>
      <c r="M26" t="str">
        <f t="shared" si="2"/>
        <v>是否黑名单</v>
      </c>
      <c r="N26" t="str">
        <f t="shared" si="3"/>
        <v>ISINBLACKLIST</v>
      </c>
      <c r="O26" t="str">
        <f t="shared" si="4"/>
        <v>char</v>
      </c>
      <c r="P26" t="str">
        <f t="shared" si="5"/>
        <v>1</v>
      </c>
    </row>
    <row r="27" spans="1:16">
      <c r="A27" t="s">
        <v>4</v>
      </c>
      <c r="B27" s="15" t="s">
        <v>16024</v>
      </c>
      <c r="C27" s="15" t="s">
        <v>16074</v>
      </c>
      <c r="D27" s="15" t="s">
        <v>506</v>
      </c>
      <c r="E27" s="15" t="s">
        <v>305</v>
      </c>
      <c r="F27" s="15" t="s">
        <v>16075</v>
      </c>
      <c r="G27" s="15"/>
      <c r="H27" s="15"/>
      <c r="I27" s="15" t="s">
        <v>528</v>
      </c>
      <c r="J27" s="15" t="s">
        <v>15991</v>
      </c>
      <c r="K27" t="str">
        <f t="shared" si="0"/>
        <v>评估机构</v>
      </c>
      <c r="L27" t="str">
        <f t="shared" si="1"/>
        <v>appraisal_agency</v>
      </c>
      <c r="M27" t="str">
        <f t="shared" si="2"/>
        <v>所属分行</v>
      </c>
      <c r="N27" t="str">
        <f t="shared" si="3"/>
        <v>PARENTORGID</v>
      </c>
      <c r="O27" t="str">
        <f t="shared" si="4"/>
        <v>varchar</v>
      </c>
      <c r="P27" t="str">
        <f t="shared" si="5"/>
        <v>80</v>
      </c>
    </row>
    <row r="28" spans="1:16">
      <c r="A28" t="s">
        <v>4</v>
      </c>
      <c r="B28" s="15" t="s">
        <v>16024</v>
      </c>
      <c r="C28" s="15" t="s">
        <v>16076</v>
      </c>
      <c r="D28" s="15" t="s">
        <v>316</v>
      </c>
      <c r="E28" s="15" t="s">
        <v>305</v>
      </c>
      <c r="F28" s="15" t="s">
        <v>16077</v>
      </c>
      <c r="G28" s="15"/>
      <c r="H28" s="15"/>
      <c r="I28" s="15" t="s">
        <v>528</v>
      </c>
      <c r="J28" s="15" t="s">
        <v>15991</v>
      </c>
      <c r="K28" t="str">
        <f t="shared" si="0"/>
        <v>评估机构</v>
      </c>
      <c r="L28" t="str">
        <f t="shared" si="1"/>
        <v>appraisal_agency</v>
      </c>
      <c r="M28" t="str">
        <f t="shared" si="2"/>
        <v>评估机构证件号码</v>
      </c>
      <c r="N28" t="str">
        <f t="shared" si="3"/>
        <v>APPRAISALCERTID</v>
      </c>
      <c r="O28" t="str">
        <f t="shared" si="4"/>
        <v>varchar</v>
      </c>
      <c r="P28" t="str">
        <f t="shared" si="5"/>
        <v>32</v>
      </c>
    </row>
    <row r="29" spans="1:16">
      <c r="A29" t="s">
        <v>4</v>
      </c>
      <c r="B29" s="15" t="s">
        <v>16024</v>
      </c>
      <c r="C29" s="15" t="s">
        <v>16078</v>
      </c>
      <c r="D29" s="15" t="s">
        <v>513</v>
      </c>
      <c r="E29" s="15" t="s">
        <v>305</v>
      </c>
      <c r="F29" s="15" t="s">
        <v>16079</v>
      </c>
      <c r="G29" s="61" t="str">
        <f>HYPERLINK("#码值映射清单!B6810","EntCertType")</f>
        <v>EntCertType</v>
      </c>
      <c r="H29" s="15"/>
      <c r="I29" s="15" t="s">
        <v>528</v>
      </c>
      <c r="J29" s="15" t="s">
        <v>15991</v>
      </c>
      <c r="K29" t="str">
        <f t="shared" si="0"/>
        <v>评估机构</v>
      </c>
      <c r="L29" t="str">
        <f t="shared" si="1"/>
        <v>appraisal_agency</v>
      </c>
      <c r="M29" t="str">
        <f t="shared" si="2"/>
        <v>评估机构证件类型</v>
      </c>
      <c r="N29" t="str">
        <f t="shared" si="3"/>
        <v>APPRAISALCERTTYPE</v>
      </c>
      <c r="O29" t="str">
        <f t="shared" si="4"/>
        <v>varchar</v>
      </c>
      <c r="P29" t="str">
        <f t="shared" si="5"/>
        <v>18</v>
      </c>
    </row>
    <row r="30" spans="1:16">
      <c r="A30" t="s">
        <v>4</v>
      </c>
      <c r="B30" s="15" t="s">
        <v>16024</v>
      </c>
      <c r="C30" s="15" t="s">
        <v>16080</v>
      </c>
      <c r="D30" s="15" t="s">
        <v>316</v>
      </c>
      <c r="E30" s="15" t="s">
        <v>305</v>
      </c>
      <c r="F30" s="15" t="s">
        <v>16081</v>
      </c>
      <c r="G30" s="15"/>
      <c r="H30" s="15"/>
      <c r="I30" s="15" t="s">
        <v>528</v>
      </c>
      <c r="J30" s="15" t="s">
        <v>15991</v>
      </c>
      <c r="K30" t="str">
        <f t="shared" si="0"/>
        <v>评估机构</v>
      </c>
      <c r="L30" t="str">
        <f t="shared" si="1"/>
        <v>appraisal_agency</v>
      </c>
      <c r="M30" t="str">
        <f t="shared" si="2"/>
        <v>关联机构</v>
      </c>
      <c r="N30" t="str">
        <f t="shared" si="3"/>
        <v>RELACERTID</v>
      </c>
      <c r="O30" t="str">
        <f t="shared" si="4"/>
        <v>varchar</v>
      </c>
      <c r="P30" t="str">
        <f t="shared" si="5"/>
        <v>32</v>
      </c>
    </row>
    <row r="31" spans="1:16">
      <c r="A31" t="s">
        <v>4</v>
      </c>
      <c r="B31" s="15" t="s">
        <v>16024</v>
      </c>
      <c r="C31" s="15" t="s">
        <v>16082</v>
      </c>
      <c r="D31" s="15" t="s">
        <v>16072</v>
      </c>
      <c r="E31" s="15" t="s">
        <v>305</v>
      </c>
      <c r="F31" s="15" t="s">
        <v>16083</v>
      </c>
      <c r="G31" s="15"/>
      <c r="H31" s="15"/>
      <c r="I31" s="15" t="s">
        <v>528</v>
      </c>
      <c r="J31" s="15" t="s">
        <v>15991</v>
      </c>
      <c r="K31" t="str">
        <f t="shared" si="0"/>
        <v>评估机构</v>
      </c>
      <c r="L31" t="str">
        <f t="shared" si="1"/>
        <v>appraisal_agency</v>
      </c>
      <c r="M31" t="str">
        <f t="shared" si="2"/>
        <v>暂存标志</v>
      </c>
      <c r="N31" t="str">
        <f t="shared" si="3"/>
        <v>TEMPSAVEFLAG</v>
      </c>
      <c r="O31" t="str">
        <f t="shared" si="4"/>
        <v>char</v>
      </c>
      <c r="P31" t="str">
        <f t="shared" si="5"/>
        <v>1</v>
      </c>
    </row>
    <row r="32" spans="1:16">
      <c r="A32" t="s">
        <v>4</v>
      </c>
      <c r="B32" s="15" t="s">
        <v>16024</v>
      </c>
      <c r="C32" s="15" t="s">
        <v>16084</v>
      </c>
      <c r="D32" s="15" t="s">
        <v>16072</v>
      </c>
      <c r="E32" s="15" t="s">
        <v>305</v>
      </c>
      <c r="F32" s="15" t="s">
        <v>16085</v>
      </c>
      <c r="G32" s="15"/>
      <c r="H32" s="15"/>
      <c r="I32" s="15" t="s">
        <v>528</v>
      </c>
      <c r="J32" s="15" t="s">
        <v>15991</v>
      </c>
      <c r="K32" t="str">
        <f t="shared" si="0"/>
        <v>评估机构</v>
      </c>
      <c r="L32" t="str">
        <f t="shared" si="1"/>
        <v>appraisal_agency</v>
      </c>
      <c r="M32" t="str">
        <f t="shared" si="2"/>
        <v>警示标识</v>
      </c>
      <c r="N32" t="str">
        <f t="shared" si="3"/>
        <v>ISINALERTLIST</v>
      </c>
      <c r="O32" t="str">
        <f t="shared" si="4"/>
        <v>char</v>
      </c>
      <c r="P32" t="str">
        <f t="shared" si="5"/>
        <v>1</v>
      </c>
    </row>
    <row r="33" spans="1:16">
      <c r="A33" t="s">
        <v>4</v>
      </c>
      <c r="B33" s="15" t="s">
        <v>16024</v>
      </c>
      <c r="C33" s="15" t="s">
        <v>16011</v>
      </c>
      <c r="D33" s="15" t="s">
        <v>316</v>
      </c>
      <c r="E33" s="15" t="s">
        <v>305</v>
      </c>
      <c r="F33" s="15" t="s">
        <v>16012</v>
      </c>
      <c r="G33" s="15"/>
      <c r="H33" s="15"/>
      <c r="I33" s="15" t="s">
        <v>528</v>
      </c>
      <c r="J33" s="15" t="s">
        <v>15991</v>
      </c>
      <c r="K33" t="str">
        <f t="shared" si="0"/>
        <v>评估机构</v>
      </c>
      <c r="L33" t="str">
        <f t="shared" si="1"/>
        <v>appraisal_agency</v>
      </c>
      <c r="M33" t="str">
        <f t="shared" si="2"/>
        <v>登记人</v>
      </c>
      <c r="N33" t="str">
        <f t="shared" si="3"/>
        <v>INPUTUSERID</v>
      </c>
      <c r="O33" t="str">
        <f t="shared" si="4"/>
        <v>varchar</v>
      </c>
      <c r="P33" t="str">
        <f t="shared" si="5"/>
        <v>32</v>
      </c>
    </row>
    <row r="34" spans="1:16">
      <c r="A34" t="s">
        <v>4</v>
      </c>
      <c r="B34" s="15" t="s">
        <v>16024</v>
      </c>
      <c r="C34" s="15" t="s">
        <v>16009</v>
      </c>
      <c r="D34" s="15" t="s">
        <v>316</v>
      </c>
      <c r="E34" s="15" t="s">
        <v>305</v>
      </c>
      <c r="F34" s="15" t="s">
        <v>16010</v>
      </c>
      <c r="G34" s="15"/>
      <c r="H34" s="15"/>
      <c r="I34" s="15" t="s">
        <v>528</v>
      </c>
      <c r="J34" s="15" t="s">
        <v>15991</v>
      </c>
      <c r="K34" t="str">
        <f t="shared" si="0"/>
        <v>评估机构</v>
      </c>
      <c r="L34" t="str">
        <f t="shared" si="1"/>
        <v>appraisal_agency</v>
      </c>
      <c r="M34" t="str">
        <f t="shared" si="2"/>
        <v>登记机构</v>
      </c>
      <c r="N34" t="str">
        <f t="shared" si="3"/>
        <v>INPUTORGID</v>
      </c>
      <c r="O34" t="str">
        <f t="shared" si="4"/>
        <v>varchar</v>
      </c>
      <c r="P34" t="str">
        <f t="shared" si="5"/>
        <v>32</v>
      </c>
    </row>
    <row r="35" spans="1:16">
      <c r="A35" t="s">
        <v>4</v>
      </c>
      <c r="B35" s="15" t="s">
        <v>16024</v>
      </c>
      <c r="C35" s="15" t="s">
        <v>16013</v>
      </c>
      <c r="D35" s="15" t="s">
        <v>371</v>
      </c>
      <c r="E35" s="15" t="s">
        <v>305</v>
      </c>
      <c r="F35" s="15" t="s">
        <v>16014</v>
      </c>
      <c r="G35" s="15"/>
      <c r="H35" s="15"/>
      <c r="I35" s="15" t="s">
        <v>528</v>
      </c>
      <c r="J35" s="15" t="s">
        <v>15991</v>
      </c>
      <c r="K35" t="str">
        <f t="shared" si="0"/>
        <v>评估机构</v>
      </c>
      <c r="L35" t="str">
        <f t="shared" si="1"/>
        <v>appraisal_agency</v>
      </c>
      <c r="M35" t="str">
        <f t="shared" si="2"/>
        <v>登记日期</v>
      </c>
      <c r="N35" t="str">
        <f t="shared" si="3"/>
        <v>INPUTDATE</v>
      </c>
      <c r="O35" t="str">
        <f t="shared" si="4"/>
        <v>datetime</v>
      </c>
      <c r="P35" t="str">
        <f t="shared" si="5"/>
        <v/>
      </c>
    </row>
    <row r="36" spans="1:16">
      <c r="A36" t="s">
        <v>4</v>
      </c>
      <c r="B36" s="15" t="s">
        <v>16024</v>
      </c>
      <c r="C36" s="15" t="s">
        <v>16017</v>
      </c>
      <c r="D36" s="15" t="s">
        <v>316</v>
      </c>
      <c r="E36" s="15" t="s">
        <v>305</v>
      </c>
      <c r="F36" s="15" t="s">
        <v>16018</v>
      </c>
      <c r="G36" s="15"/>
      <c r="H36" s="15"/>
      <c r="I36" s="15" t="s">
        <v>528</v>
      </c>
      <c r="J36" s="15" t="s">
        <v>15991</v>
      </c>
      <c r="K36" t="str">
        <f t="shared" si="0"/>
        <v>评估机构</v>
      </c>
      <c r="L36" t="str">
        <f t="shared" si="1"/>
        <v>appraisal_agency</v>
      </c>
      <c r="M36" t="str">
        <f t="shared" si="2"/>
        <v>更新人</v>
      </c>
      <c r="N36" t="str">
        <f t="shared" si="3"/>
        <v>UPDATEUSERID</v>
      </c>
      <c r="O36" t="str">
        <f t="shared" si="4"/>
        <v>varchar</v>
      </c>
      <c r="P36" t="str">
        <f t="shared" si="5"/>
        <v>32</v>
      </c>
    </row>
    <row r="37" spans="1:16">
      <c r="A37" t="s">
        <v>4</v>
      </c>
      <c r="B37" s="15" t="s">
        <v>16024</v>
      </c>
      <c r="C37" s="15" t="s">
        <v>16015</v>
      </c>
      <c r="D37" s="15" t="s">
        <v>316</v>
      </c>
      <c r="E37" s="15" t="s">
        <v>305</v>
      </c>
      <c r="F37" s="15" t="s">
        <v>16016</v>
      </c>
      <c r="G37" s="15"/>
      <c r="H37" s="15"/>
      <c r="I37" s="15" t="s">
        <v>528</v>
      </c>
      <c r="J37" s="15" t="s">
        <v>15991</v>
      </c>
      <c r="K37" t="str">
        <f t="shared" si="0"/>
        <v>评估机构</v>
      </c>
      <c r="L37" t="str">
        <f t="shared" si="1"/>
        <v>appraisal_agency</v>
      </c>
      <c r="M37" t="str">
        <f t="shared" si="2"/>
        <v>更新机构</v>
      </c>
      <c r="N37" t="str">
        <f t="shared" si="3"/>
        <v>UPDATEORGID</v>
      </c>
      <c r="O37" t="str">
        <f t="shared" si="4"/>
        <v>varchar</v>
      </c>
      <c r="P37" t="str">
        <f t="shared" si="5"/>
        <v>32</v>
      </c>
    </row>
    <row r="38" spans="1:16">
      <c r="A38" t="s">
        <v>4</v>
      </c>
      <c r="B38" s="15" t="s">
        <v>16024</v>
      </c>
      <c r="C38" s="15" t="s">
        <v>16019</v>
      </c>
      <c r="D38" s="15" t="s">
        <v>371</v>
      </c>
      <c r="E38" s="15" t="s">
        <v>305</v>
      </c>
      <c r="F38" s="15" t="s">
        <v>16020</v>
      </c>
      <c r="G38" s="15"/>
      <c r="H38" s="15"/>
      <c r="I38" s="15" t="s">
        <v>528</v>
      </c>
      <c r="J38" s="15" t="s">
        <v>15991</v>
      </c>
      <c r="K38" t="str">
        <f t="shared" si="0"/>
        <v>评估机构</v>
      </c>
      <c r="L38" t="str">
        <f t="shared" si="1"/>
        <v>appraisal_agency</v>
      </c>
      <c r="M38" t="str">
        <f t="shared" si="2"/>
        <v>更新日期</v>
      </c>
      <c r="N38" t="str">
        <f t="shared" si="3"/>
        <v>UPDATEDATE</v>
      </c>
      <c r="O38" t="str">
        <f t="shared" si="4"/>
        <v>datetime</v>
      </c>
      <c r="P38" t="str">
        <f t="shared" si="5"/>
        <v/>
      </c>
    </row>
    <row r="39" spans="1:16">
      <c r="A39" t="s">
        <v>4</v>
      </c>
      <c r="B39" s="15" t="s">
        <v>16024</v>
      </c>
      <c r="C39" s="15" t="s">
        <v>16086</v>
      </c>
      <c r="D39" s="15" t="s">
        <v>16087</v>
      </c>
      <c r="E39" s="15" t="s">
        <v>305</v>
      </c>
      <c r="F39" s="15" t="s">
        <v>301</v>
      </c>
      <c r="G39" s="15"/>
      <c r="H39" s="15"/>
      <c r="I39" s="15" t="s">
        <v>528</v>
      </c>
      <c r="J39" s="15" t="s">
        <v>15991</v>
      </c>
      <c r="K39" t="str">
        <f t="shared" si="0"/>
        <v>评估机构</v>
      </c>
      <c r="L39" t="str">
        <f t="shared" si="1"/>
        <v>appraisal_agency</v>
      </c>
      <c r="M39" t="str">
        <f t="shared" si="2"/>
        <v>备注</v>
      </c>
      <c r="N39" t="str">
        <f t="shared" si="3"/>
        <v>REMARK</v>
      </c>
      <c r="O39" t="str">
        <f t="shared" si="4"/>
        <v>varchar</v>
      </c>
      <c r="P39" t="str">
        <f t="shared" si="5"/>
        <v>1000</v>
      </c>
    </row>
    <row r="40" spans="1:16">
      <c r="A40" t="s">
        <v>4</v>
      </c>
      <c r="B40" s="16" t="s">
        <v>16024</v>
      </c>
      <c r="C40" s="16" t="s">
        <v>16088</v>
      </c>
      <c r="D40" s="16" t="s">
        <v>316</v>
      </c>
      <c r="E40" s="16" t="s">
        <v>305</v>
      </c>
      <c r="F40" s="16" t="s">
        <v>16089</v>
      </c>
      <c r="G40" s="16"/>
      <c r="H40" s="16"/>
      <c r="I40" s="16" t="s">
        <v>528</v>
      </c>
      <c r="J40" s="16" t="s">
        <v>15991</v>
      </c>
      <c r="K40" t="str">
        <f t="shared" si="0"/>
        <v>评估机构</v>
      </c>
      <c r="L40" t="str">
        <f t="shared" si="1"/>
        <v>appraisal_agency</v>
      </c>
      <c r="M40" t="str">
        <f t="shared" si="2"/>
        <v>法人机构编号</v>
      </c>
      <c r="N40" t="str">
        <f t="shared" si="3"/>
        <v>CORPORGID</v>
      </c>
      <c r="O40" t="str">
        <f t="shared" si="4"/>
        <v>varchar</v>
      </c>
      <c r="P40" t="str">
        <f t="shared" si="5"/>
        <v>32</v>
      </c>
    </row>
    <row r="41" spans="1:16">
      <c r="A41" t="s">
        <v>4</v>
      </c>
      <c r="B41" s="65" t="s">
        <v>16024</v>
      </c>
      <c r="C41" s="57" t="s">
        <v>16090</v>
      </c>
      <c r="D41" s="65" t="s">
        <v>321</v>
      </c>
      <c r="E41" s="57" t="s">
        <v>305</v>
      </c>
      <c r="F41" s="59" t="s">
        <v>16091</v>
      </c>
      <c r="G41" s="120" t="str">
        <f>HYPERLINK("#码值映射清单!B5150","YesNo")</f>
        <v>YesNo</v>
      </c>
      <c r="H41" s="57"/>
      <c r="I41" s="57"/>
      <c r="J41" s="121">
        <v>45740</v>
      </c>
      <c r="K41" t="str">
        <f t="shared" si="0"/>
        <v>评估机构</v>
      </c>
      <c r="L41" t="str">
        <f t="shared" si="1"/>
        <v>appraisal_agency</v>
      </c>
      <c r="M41" t="str">
        <f t="shared" si="2"/>
        <v>线上评估是否启用</v>
      </c>
      <c r="N41" t="str">
        <f t="shared" si="3"/>
        <v>ISONLINE</v>
      </c>
      <c r="O41" t="str">
        <f t="shared" si="4"/>
        <v>varchar</v>
      </c>
      <c r="P41" t="str">
        <f t="shared" si="5"/>
        <v>6</v>
      </c>
    </row>
  </sheetData>
  <pageMargins left="0.75" right="0.75" top="1" bottom="1" header="0.5" footer="0.5"/>
  <pageSetup paperSize="1" orientation="portrait" horizontalDpi="300" verticalDpi="300"/>
  <headerFooter alignWithMargins="0" scaleWithDoc="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4"/>
  <sheetViews>
    <sheetView zoomScaleSheetLayoutView="60" workbookViewId="0">
      <selection activeCell="A1" sqref="A1"/>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18.8571428571429" customWidth="1"/>
    <col min="10" max="10" width="11.7053571428571" customWidth="1"/>
  </cols>
  <sheetData>
    <row r="1" spans="1:2">
      <c r="A1" s="51" t="str">
        <f>HYPERLINK("#表结构清单!A1","返回")</f>
        <v>返回</v>
      </c>
      <c r="B1" t="s">
        <v>5</v>
      </c>
    </row>
    <row r="2" spans="2:10">
      <c r="B2" s="13" t="s">
        <v>15982</v>
      </c>
      <c r="C2" s="13" t="s">
        <v>297</v>
      </c>
      <c r="D2" s="13" t="s">
        <v>11870</v>
      </c>
      <c r="E2" s="13" t="s">
        <v>15983</v>
      </c>
      <c r="F2" s="13" t="s">
        <v>15984</v>
      </c>
      <c r="G2" s="13" t="s">
        <v>300</v>
      </c>
      <c r="H2" s="13" t="s">
        <v>301</v>
      </c>
      <c r="I2" s="13" t="s">
        <v>15985</v>
      </c>
      <c r="J2" s="13" t="s">
        <v>15986</v>
      </c>
    </row>
    <row r="3" spans="2:10">
      <c r="B3" s="15" t="s">
        <v>16092</v>
      </c>
      <c r="C3" s="15" t="s">
        <v>16093</v>
      </c>
      <c r="D3" s="15" t="s">
        <v>316</v>
      </c>
      <c r="E3" s="15" t="s">
        <v>15989</v>
      </c>
      <c r="F3" s="15" t="s">
        <v>16094</v>
      </c>
      <c r="G3" s="15"/>
      <c r="H3" s="15"/>
      <c r="I3" s="15" t="s">
        <v>528</v>
      </c>
      <c r="J3" s="15" t="s">
        <v>15991</v>
      </c>
    </row>
    <row r="4" spans="2:10">
      <c r="B4" s="15" t="s">
        <v>16092</v>
      </c>
      <c r="C4" s="15" t="s">
        <v>16095</v>
      </c>
      <c r="D4" s="15" t="s">
        <v>316</v>
      </c>
      <c r="E4" s="15" t="s">
        <v>305</v>
      </c>
      <c r="F4" s="15" t="s">
        <v>6971</v>
      </c>
      <c r="G4" s="61" t="str">
        <f>HYPERLINK("#码值映射清单!B7547","AppraisalFlowType2")</f>
        <v>AppraisalFlowType2</v>
      </c>
      <c r="H4" s="15"/>
      <c r="I4" s="15" t="s">
        <v>528</v>
      </c>
      <c r="J4" s="15" t="s">
        <v>15991</v>
      </c>
    </row>
    <row r="5" spans="2:10">
      <c r="B5" s="15" t="s">
        <v>16092</v>
      </c>
      <c r="C5" s="15" t="s">
        <v>16096</v>
      </c>
      <c r="D5" s="15" t="s">
        <v>316</v>
      </c>
      <c r="E5" s="15" t="s">
        <v>305</v>
      </c>
      <c r="F5" s="15" t="s">
        <v>16097</v>
      </c>
      <c r="G5" s="52" t="str">
        <f>HYPERLINK("#码值映射清单!B1429","ApproveStatus")</f>
        <v>ApproveStatus</v>
      </c>
      <c r="H5" s="15"/>
      <c r="I5" s="15" t="s">
        <v>528</v>
      </c>
      <c r="J5" s="15" t="s">
        <v>15991</v>
      </c>
    </row>
    <row r="6" spans="2:10">
      <c r="B6" s="15" t="s">
        <v>16092</v>
      </c>
      <c r="C6" s="15" t="s">
        <v>16098</v>
      </c>
      <c r="D6" s="15" t="s">
        <v>316</v>
      </c>
      <c r="E6" s="15" t="s">
        <v>305</v>
      </c>
      <c r="F6" s="15" t="s">
        <v>16099</v>
      </c>
      <c r="G6" s="15"/>
      <c r="H6" s="15"/>
      <c r="I6" s="15" t="s">
        <v>528</v>
      </c>
      <c r="J6" s="15" t="s">
        <v>15991</v>
      </c>
    </row>
    <row r="7" spans="2:10">
      <c r="B7" s="15" t="s">
        <v>16092</v>
      </c>
      <c r="C7" s="15" t="s">
        <v>16011</v>
      </c>
      <c r="D7" s="15" t="s">
        <v>316</v>
      </c>
      <c r="E7" s="15" t="s">
        <v>305</v>
      </c>
      <c r="F7" s="15" t="s">
        <v>16012</v>
      </c>
      <c r="G7" s="15"/>
      <c r="H7" s="15"/>
      <c r="I7" s="15" t="s">
        <v>528</v>
      </c>
      <c r="J7" s="15" t="s">
        <v>15991</v>
      </c>
    </row>
    <row r="8" spans="2:10">
      <c r="B8" s="15" t="s">
        <v>16092</v>
      </c>
      <c r="C8" s="15" t="s">
        <v>16009</v>
      </c>
      <c r="D8" s="15" t="s">
        <v>316</v>
      </c>
      <c r="E8" s="15" t="s">
        <v>305</v>
      </c>
      <c r="F8" s="15" t="s">
        <v>16010</v>
      </c>
      <c r="G8" s="15"/>
      <c r="H8" s="15"/>
      <c r="I8" s="15" t="s">
        <v>528</v>
      </c>
      <c r="J8" s="15" t="s">
        <v>15991</v>
      </c>
    </row>
    <row r="9" spans="2:10">
      <c r="B9" s="15" t="s">
        <v>16092</v>
      </c>
      <c r="C9" s="15" t="s">
        <v>16013</v>
      </c>
      <c r="D9" s="15" t="s">
        <v>371</v>
      </c>
      <c r="E9" s="15" t="s">
        <v>305</v>
      </c>
      <c r="F9" s="15" t="s">
        <v>16014</v>
      </c>
      <c r="G9" s="15"/>
      <c r="H9" s="15"/>
      <c r="I9" s="15" t="s">
        <v>528</v>
      </c>
      <c r="J9" s="15" t="s">
        <v>15991</v>
      </c>
    </row>
    <row r="10" spans="2:10">
      <c r="B10" s="15" t="s">
        <v>16092</v>
      </c>
      <c r="C10" s="15" t="s">
        <v>16017</v>
      </c>
      <c r="D10" s="15" t="s">
        <v>316</v>
      </c>
      <c r="E10" s="15" t="s">
        <v>305</v>
      </c>
      <c r="F10" s="15" t="s">
        <v>16018</v>
      </c>
      <c r="G10" s="15"/>
      <c r="H10" s="15"/>
      <c r="I10" s="15" t="s">
        <v>528</v>
      </c>
      <c r="J10" s="15" t="s">
        <v>15991</v>
      </c>
    </row>
    <row r="11" spans="2:10">
      <c r="B11" s="15" t="s">
        <v>16092</v>
      </c>
      <c r="C11" s="15" t="s">
        <v>16015</v>
      </c>
      <c r="D11" s="15" t="s">
        <v>316</v>
      </c>
      <c r="E11" s="15" t="s">
        <v>305</v>
      </c>
      <c r="F11" s="15" t="s">
        <v>16016</v>
      </c>
      <c r="G11" s="15"/>
      <c r="H11" s="15"/>
      <c r="I11" s="15" t="s">
        <v>528</v>
      </c>
      <c r="J11" s="15" t="s">
        <v>15991</v>
      </c>
    </row>
    <row r="12" spans="2:10">
      <c r="B12" s="15" t="s">
        <v>16092</v>
      </c>
      <c r="C12" s="15" t="s">
        <v>16019</v>
      </c>
      <c r="D12" s="15" t="s">
        <v>371</v>
      </c>
      <c r="E12" s="15" t="s">
        <v>305</v>
      </c>
      <c r="F12" s="15" t="s">
        <v>16020</v>
      </c>
      <c r="G12" s="15"/>
      <c r="H12" s="15"/>
      <c r="I12" s="15" t="s">
        <v>528</v>
      </c>
      <c r="J12" s="15" t="s">
        <v>15991</v>
      </c>
    </row>
    <row r="13" spans="2:10">
      <c r="B13" s="15" t="s">
        <v>16092</v>
      </c>
      <c r="C13" s="15" t="s">
        <v>16086</v>
      </c>
      <c r="D13" s="15" t="s">
        <v>327</v>
      </c>
      <c r="E13" s="15" t="s">
        <v>305</v>
      </c>
      <c r="F13" s="15" t="s">
        <v>301</v>
      </c>
      <c r="G13" s="61" t="str">
        <f>HYPERLINK("#码值映射清单!B5361","AppraisalFlowType")</f>
        <v>AppraisalFlowType</v>
      </c>
      <c r="H13" s="15"/>
      <c r="I13" s="15" t="s">
        <v>528</v>
      </c>
      <c r="J13" s="15" t="s">
        <v>15991</v>
      </c>
    </row>
    <row r="14" spans="2:10">
      <c r="B14" s="15" t="s">
        <v>16092</v>
      </c>
      <c r="C14" s="15" t="s">
        <v>16088</v>
      </c>
      <c r="D14" s="15" t="s">
        <v>316</v>
      </c>
      <c r="E14" s="15" t="s">
        <v>305</v>
      </c>
      <c r="F14" s="15" t="s">
        <v>16089</v>
      </c>
      <c r="G14" s="15"/>
      <c r="H14" s="15"/>
      <c r="I14" s="15" t="s">
        <v>528</v>
      </c>
      <c r="J14" s="15" t="s">
        <v>15991</v>
      </c>
    </row>
  </sheetData>
  <pageMargins left="0.75" right="0.75" top="1" bottom="1" header="0.5" footer="0.5"/>
  <pageSetup paperSize="1" orientation="portrait" horizontalDpi="300" verticalDpi="300"/>
  <headerFooter alignWithMargins="0" scaleWithDoc="0"/>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9"/>
  <sheetViews>
    <sheetView zoomScaleSheetLayoutView="60" workbookViewId="0">
      <selection activeCell="D21" sqref="D21"/>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52" t="str">
        <f>HYPERLINK("#表结构清单!A1","返回")</f>
        <v>返回</v>
      </c>
      <c r="B1" t="s">
        <v>6</v>
      </c>
    </row>
    <row r="2" spans="2:10">
      <c r="B2" s="13" t="s">
        <v>15982</v>
      </c>
      <c r="C2" s="13" t="s">
        <v>297</v>
      </c>
      <c r="D2" s="13" t="s">
        <v>11870</v>
      </c>
      <c r="E2" s="13" t="s">
        <v>15983</v>
      </c>
      <c r="F2" s="13" t="s">
        <v>15984</v>
      </c>
      <c r="G2" s="13" t="s">
        <v>300</v>
      </c>
      <c r="H2" s="13" t="s">
        <v>301</v>
      </c>
      <c r="I2" s="13" t="s">
        <v>15985</v>
      </c>
      <c r="J2" s="13" t="s">
        <v>15986</v>
      </c>
    </row>
    <row r="3" spans="2:10">
      <c r="B3" s="15" t="s">
        <v>16100</v>
      </c>
      <c r="C3" s="15" t="s">
        <v>16093</v>
      </c>
      <c r="D3" s="15" t="s">
        <v>316</v>
      </c>
      <c r="E3" s="15" t="s">
        <v>15989</v>
      </c>
      <c r="F3" s="15" t="s">
        <v>16094</v>
      </c>
      <c r="G3" s="15"/>
      <c r="H3" s="15"/>
      <c r="I3" s="15" t="s">
        <v>528</v>
      </c>
      <c r="J3" s="15" t="s">
        <v>15991</v>
      </c>
    </row>
    <row r="4" spans="2:10">
      <c r="B4" s="15" t="s">
        <v>16100</v>
      </c>
      <c r="C4" s="15" t="s">
        <v>16101</v>
      </c>
      <c r="D4" s="15" t="s">
        <v>316</v>
      </c>
      <c r="E4" s="15" t="s">
        <v>305</v>
      </c>
      <c r="F4" s="15" t="s">
        <v>16102</v>
      </c>
      <c r="G4" s="15"/>
      <c r="H4" s="15"/>
      <c r="I4" s="15" t="s">
        <v>528</v>
      </c>
      <c r="J4" s="15" t="s">
        <v>15991</v>
      </c>
    </row>
    <row r="5" spans="2:10">
      <c r="B5" s="15" t="s">
        <v>16100</v>
      </c>
      <c r="C5" s="15" t="s">
        <v>16103</v>
      </c>
      <c r="D5" s="15" t="s">
        <v>316</v>
      </c>
      <c r="E5" s="15" t="s">
        <v>305</v>
      </c>
      <c r="F5" s="15" t="s">
        <v>16104</v>
      </c>
      <c r="G5" s="15"/>
      <c r="H5" s="15"/>
      <c r="I5" s="15" t="s">
        <v>528</v>
      </c>
      <c r="J5" s="15" t="s">
        <v>15991</v>
      </c>
    </row>
    <row r="6" spans="2:10">
      <c r="B6" s="15" t="s">
        <v>16100</v>
      </c>
      <c r="C6" s="15" t="s">
        <v>16105</v>
      </c>
      <c r="D6" s="15" t="s">
        <v>513</v>
      </c>
      <c r="E6" s="15" t="s">
        <v>305</v>
      </c>
      <c r="F6" s="15" t="s">
        <v>16106</v>
      </c>
      <c r="G6" s="15"/>
      <c r="H6" s="15"/>
      <c r="I6" s="15" t="s">
        <v>528</v>
      </c>
      <c r="J6" s="15" t="s">
        <v>15991</v>
      </c>
    </row>
    <row r="7" spans="2:10">
      <c r="B7" s="15" t="s">
        <v>16100</v>
      </c>
      <c r="C7" s="15" t="s">
        <v>16107</v>
      </c>
      <c r="D7" s="15" t="s">
        <v>16087</v>
      </c>
      <c r="E7" s="15" t="s">
        <v>305</v>
      </c>
      <c r="F7" s="15" t="s">
        <v>10272</v>
      </c>
      <c r="G7" s="15"/>
      <c r="H7" s="15"/>
      <c r="I7" s="15" t="s">
        <v>528</v>
      </c>
      <c r="J7" s="15" t="s">
        <v>15991</v>
      </c>
    </row>
    <row r="8" spans="2:10">
      <c r="B8" s="15" t="s">
        <v>16100</v>
      </c>
      <c r="C8" s="15" t="s">
        <v>16108</v>
      </c>
      <c r="D8" s="15" t="s">
        <v>16087</v>
      </c>
      <c r="E8" s="15" t="s">
        <v>305</v>
      </c>
      <c r="F8" s="15" t="s">
        <v>16109</v>
      </c>
      <c r="G8" s="15"/>
      <c r="H8" s="15"/>
      <c r="I8" s="15" t="s">
        <v>528</v>
      </c>
      <c r="J8" s="15" t="s">
        <v>15991</v>
      </c>
    </row>
    <row r="9" spans="2:10">
      <c r="B9" s="15" t="s">
        <v>16100</v>
      </c>
      <c r="C9" s="15" t="s">
        <v>16110</v>
      </c>
      <c r="D9" s="15" t="s">
        <v>16087</v>
      </c>
      <c r="E9" s="15" t="s">
        <v>305</v>
      </c>
      <c r="F9" s="15" t="s">
        <v>16111</v>
      </c>
      <c r="G9" s="15"/>
      <c r="H9" s="15"/>
      <c r="I9" s="15" t="s">
        <v>528</v>
      </c>
      <c r="J9" s="15" t="s">
        <v>15991</v>
      </c>
    </row>
    <row r="10" spans="2:10">
      <c r="B10" s="15" t="s">
        <v>16100</v>
      </c>
      <c r="C10" s="15" t="s">
        <v>16112</v>
      </c>
      <c r="D10" s="15" t="s">
        <v>371</v>
      </c>
      <c r="E10" s="15" t="s">
        <v>305</v>
      </c>
      <c r="F10" s="15" t="s">
        <v>16113</v>
      </c>
      <c r="G10" s="15"/>
      <c r="H10" s="15"/>
      <c r="I10" s="15" t="s">
        <v>528</v>
      </c>
      <c r="J10" s="15" t="s">
        <v>15991</v>
      </c>
    </row>
    <row r="11" spans="2:10">
      <c r="B11" s="15" t="s">
        <v>16100</v>
      </c>
      <c r="C11" s="15" t="s">
        <v>16011</v>
      </c>
      <c r="D11" s="15" t="s">
        <v>316</v>
      </c>
      <c r="E11" s="15" t="s">
        <v>305</v>
      </c>
      <c r="F11" s="15" t="s">
        <v>16012</v>
      </c>
      <c r="G11" s="15"/>
      <c r="H11" s="15"/>
      <c r="I11" s="15" t="s">
        <v>528</v>
      </c>
      <c r="J11" s="15" t="s">
        <v>15991</v>
      </c>
    </row>
    <row r="12" spans="2:10">
      <c r="B12" s="15" t="s">
        <v>16100</v>
      </c>
      <c r="C12" s="15" t="s">
        <v>16009</v>
      </c>
      <c r="D12" s="15" t="s">
        <v>316</v>
      </c>
      <c r="E12" s="15" t="s">
        <v>305</v>
      </c>
      <c r="F12" s="15" t="s">
        <v>16010</v>
      </c>
      <c r="G12" s="15"/>
      <c r="H12" s="15"/>
      <c r="I12" s="15" t="s">
        <v>528</v>
      </c>
      <c r="J12" s="15" t="s">
        <v>15991</v>
      </c>
    </row>
    <row r="13" spans="2:10">
      <c r="B13" s="15" t="s">
        <v>16100</v>
      </c>
      <c r="C13" s="15" t="s">
        <v>16013</v>
      </c>
      <c r="D13" s="15" t="s">
        <v>371</v>
      </c>
      <c r="E13" s="15" t="s">
        <v>305</v>
      </c>
      <c r="F13" s="15" t="s">
        <v>16014</v>
      </c>
      <c r="G13" s="15"/>
      <c r="H13" s="15"/>
      <c r="I13" s="15" t="s">
        <v>528</v>
      </c>
      <c r="J13" s="15" t="s">
        <v>15991</v>
      </c>
    </row>
    <row r="14" spans="2:10">
      <c r="B14" s="15" t="s">
        <v>16100</v>
      </c>
      <c r="C14" s="15" t="s">
        <v>16017</v>
      </c>
      <c r="D14" s="15" t="s">
        <v>316</v>
      </c>
      <c r="E14" s="15" t="s">
        <v>305</v>
      </c>
      <c r="F14" s="15" t="s">
        <v>16018</v>
      </c>
      <c r="G14" s="15"/>
      <c r="H14" s="15"/>
      <c r="I14" s="15" t="s">
        <v>528</v>
      </c>
      <c r="J14" s="15" t="s">
        <v>15991</v>
      </c>
    </row>
    <row r="15" spans="2:10">
      <c r="B15" s="15" t="s">
        <v>16100</v>
      </c>
      <c r="C15" s="15" t="s">
        <v>16015</v>
      </c>
      <c r="D15" s="15" t="s">
        <v>316</v>
      </c>
      <c r="E15" s="15" t="s">
        <v>305</v>
      </c>
      <c r="F15" s="15" t="s">
        <v>16016</v>
      </c>
      <c r="G15" s="15"/>
      <c r="H15" s="15"/>
      <c r="I15" s="15" t="s">
        <v>528</v>
      </c>
      <c r="J15" s="15" t="s">
        <v>15991</v>
      </c>
    </row>
    <row r="16" spans="2:10">
      <c r="B16" s="15" t="s">
        <v>16100</v>
      </c>
      <c r="C16" s="15" t="s">
        <v>16019</v>
      </c>
      <c r="D16" s="15" t="s">
        <v>371</v>
      </c>
      <c r="E16" s="15" t="s">
        <v>305</v>
      </c>
      <c r="F16" s="15" t="s">
        <v>16020</v>
      </c>
      <c r="G16" s="15"/>
      <c r="H16" s="15"/>
      <c r="I16" s="15" t="s">
        <v>528</v>
      </c>
      <c r="J16" s="15" t="s">
        <v>15991</v>
      </c>
    </row>
    <row r="17" spans="2:10">
      <c r="B17" s="15" t="s">
        <v>16100</v>
      </c>
      <c r="C17" s="15" t="s">
        <v>16086</v>
      </c>
      <c r="D17" s="15" t="s">
        <v>16087</v>
      </c>
      <c r="E17" s="15" t="s">
        <v>305</v>
      </c>
      <c r="F17" s="15" t="s">
        <v>301</v>
      </c>
      <c r="G17" s="15"/>
      <c r="H17" s="15"/>
      <c r="I17" s="15" t="s">
        <v>528</v>
      </c>
      <c r="J17" s="15" t="s">
        <v>15991</v>
      </c>
    </row>
    <row r="18" spans="2:10">
      <c r="B18" s="15" t="s">
        <v>16100</v>
      </c>
      <c r="C18" s="15" t="s">
        <v>16088</v>
      </c>
      <c r="D18" s="15" t="s">
        <v>316</v>
      </c>
      <c r="E18" s="15" t="s">
        <v>305</v>
      </c>
      <c r="F18" s="15" t="s">
        <v>16089</v>
      </c>
      <c r="G18" s="15"/>
      <c r="H18" s="15"/>
      <c r="I18" s="15" t="s">
        <v>528</v>
      </c>
      <c r="J18" s="15" t="s">
        <v>15991</v>
      </c>
    </row>
    <row r="19" spans="2:10">
      <c r="B19" s="15" t="s">
        <v>16100</v>
      </c>
      <c r="C19" s="15" t="s">
        <v>16114</v>
      </c>
      <c r="D19" s="15" t="s">
        <v>16115</v>
      </c>
      <c r="E19" s="15" t="s">
        <v>305</v>
      </c>
      <c r="F19" s="15" t="s">
        <v>16116</v>
      </c>
      <c r="G19" s="15"/>
      <c r="H19" s="15"/>
      <c r="I19" s="15" t="s">
        <v>528</v>
      </c>
      <c r="J19" s="15" t="s">
        <v>15991</v>
      </c>
    </row>
  </sheetData>
  <pageMargins left="0.75" right="0.75" top="1" bottom="1" header="0.5" footer="0.5"/>
  <pageSetup paperSize="1" orientation="portrait" horizontalDpi="300" verticalDpi="300"/>
  <headerFooter alignWithMargins="0" scaleWithDoc="0"/>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3"/>
  <sheetViews>
    <sheetView zoomScaleSheetLayoutView="60" workbookViewId="0">
      <selection activeCell="F3" sqref="F3"/>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1" t="str">
        <f>HYPERLINK("#表结构清单!A1","返回")</f>
        <v>返回</v>
      </c>
      <c r="B1" t="s">
        <v>7</v>
      </c>
    </row>
    <row r="2" spans="2:10">
      <c r="B2" s="13" t="s">
        <v>15982</v>
      </c>
      <c r="C2" s="13" t="s">
        <v>297</v>
      </c>
      <c r="D2" s="13" t="s">
        <v>11870</v>
      </c>
      <c r="E2" s="13" t="s">
        <v>15983</v>
      </c>
      <c r="F2" s="13" t="s">
        <v>15984</v>
      </c>
      <c r="G2" s="13" t="s">
        <v>300</v>
      </c>
      <c r="H2" s="13" t="s">
        <v>301</v>
      </c>
      <c r="I2" s="13" t="s">
        <v>15985</v>
      </c>
      <c r="J2" s="13" t="s">
        <v>15986</v>
      </c>
    </row>
    <row r="3" spans="2:10">
      <c r="B3" s="15" t="s">
        <v>16117</v>
      </c>
      <c r="C3" s="15" t="s">
        <v>15988</v>
      </c>
      <c r="D3" s="15" t="s">
        <v>316</v>
      </c>
      <c r="E3" s="15" t="s">
        <v>15989</v>
      </c>
      <c r="F3" s="15" t="s">
        <v>15990</v>
      </c>
      <c r="G3" s="15"/>
      <c r="H3" s="15"/>
      <c r="I3" s="15" t="s">
        <v>528</v>
      </c>
      <c r="J3" s="15" t="s">
        <v>15991</v>
      </c>
    </row>
    <row r="4" spans="2:10">
      <c r="B4" s="15" t="s">
        <v>16117</v>
      </c>
      <c r="C4" s="15" t="s">
        <v>16118</v>
      </c>
      <c r="D4" s="15" t="s">
        <v>316</v>
      </c>
      <c r="E4" s="15" t="s">
        <v>305</v>
      </c>
      <c r="F4" s="15" t="s">
        <v>16119</v>
      </c>
      <c r="G4" s="15"/>
      <c r="H4" s="15"/>
      <c r="I4" s="15" t="s">
        <v>528</v>
      </c>
      <c r="J4" s="15" t="s">
        <v>15991</v>
      </c>
    </row>
    <row r="5" spans="2:10">
      <c r="B5" s="15" t="s">
        <v>16117</v>
      </c>
      <c r="C5" s="15" t="s">
        <v>16025</v>
      </c>
      <c r="D5" s="15" t="s">
        <v>316</v>
      </c>
      <c r="E5" s="15" t="s">
        <v>305</v>
      </c>
      <c r="F5" s="15" t="s">
        <v>16026</v>
      </c>
      <c r="G5" s="15"/>
      <c r="H5" s="15"/>
      <c r="I5" s="15" t="s">
        <v>528</v>
      </c>
      <c r="J5" s="15" t="s">
        <v>15991</v>
      </c>
    </row>
    <row r="6" spans="2:10">
      <c r="B6" s="15" t="s">
        <v>16117</v>
      </c>
      <c r="C6" s="15" t="s">
        <v>16120</v>
      </c>
      <c r="D6" s="15" t="s">
        <v>316</v>
      </c>
      <c r="E6" s="15" t="s">
        <v>305</v>
      </c>
      <c r="F6" s="15" t="s">
        <v>16121</v>
      </c>
      <c r="G6" s="15"/>
      <c r="H6" s="15"/>
      <c r="I6" s="15" t="s">
        <v>528</v>
      </c>
      <c r="J6" s="15" t="s">
        <v>15991</v>
      </c>
    </row>
    <row r="7" spans="2:10">
      <c r="B7" s="15" t="s">
        <v>16117</v>
      </c>
      <c r="C7" s="15" t="s">
        <v>16122</v>
      </c>
      <c r="D7" s="15" t="s">
        <v>371</v>
      </c>
      <c r="E7" s="15" t="s">
        <v>305</v>
      </c>
      <c r="F7" s="15" t="s">
        <v>16123</v>
      </c>
      <c r="G7" s="15"/>
      <c r="H7" s="15"/>
      <c r="I7" s="15" t="s">
        <v>528</v>
      </c>
      <c r="J7" s="15" t="s">
        <v>15991</v>
      </c>
    </row>
    <row r="8" spans="2:10">
      <c r="B8" s="15" t="s">
        <v>16117</v>
      </c>
      <c r="C8" s="15" t="s">
        <v>16124</v>
      </c>
      <c r="D8" s="15" t="s">
        <v>371</v>
      </c>
      <c r="E8" s="15" t="s">
        <v>305</v>
      </c>
      <c r="F8" s="15" t="s">
        <v>16125</v>
      </c>
      <c r="G8" s="15"/>
      <c r="H8" s="15"/>
      <c r="I8" s="15" t="s">
        <v>528</v>
      </c>
      <c r="J8" s="15" t="s">
        <v>15991</v>
      </c>
    </row>
    <row r="9" spans="2:10">
      <c r="B9" s="15" t="s">
        <v>16117</v>
      </c>
      <c r="C9" s="15" t="s">
        <v>16126</v>
      </c>
      <c r="D9" s="15" t="s">
        <v>321</v>
      </c>
      <c r="E9" s="15" t="s">
        <v>305</v>
      </c>
      <c r="F9" s="15" t="s">
        <v>905</v>
      </c>
      <c r="G9" s="15"/>
      <c r="H9" s="15"/>
      <c r="I9" s="15" t="s">
        <v>528</v>
      </c>
      <c r="J9" s="15" t="s">
        <v>15991</v>
      </c>
    </row>
    <row r="10" spans="2:10">
      <c r="B10" s="15" t="s">
        <v>16117</v>
      </c>
      <c r="C10" s="15" t="s">
        <v>16105</v>
      </c>
      <c r="D10" s="15" t="s">
        <v>513</v>
      </c>
      <c r="E10" s="15" t="s">
        <v>305</v>
      </c>
      <c r="F10" s="15" t="s">
        <v>16127</v>
      </c>
      <c r="G10" s="52" t="str">
        <f>HYPERLINK("#码值映射清单!B8049","AssessAssetsType")</f>
        <v>AssessAssetsType</v>
      </c>
      <c r="H10" s="15"/>
      <c r="I10" s="15" t="s">
        <v>528</v>
      </c>
      <c r="J10" s="15" t="s">
        <v>15991</v>
      </c>
    </row>
    <row r="11" spans="2:10">
      <c r="B11" s="15" t="s">
        <v>16117</v>
      </c>
      <c r="C11" s="15" t="s">
        <v>16128</v>
      </c>
      <c r="D11" s="15" t="s">
        <v>350</v>
      </c>
      <c r="E11" s="15" t="s">
        <v>305</v>
      </c>
      <c r="F11" s="15" t="s">
        <v>16129</v>
      </c>
      <c r="G11" s="15"/>
      <c r="H11" s="15"/>
      <c r="I11" s="15" t="s">
        <v>528</v>
      </c>
      <c r="J11" s="15" t="s">
        <v>15991</v>
      </c>
    </row>
    <row r="12" spans="2:10">
      <c r="B12" s="15" t="s">
        <v>16117</v>
      </c>
      <c r="C12" s="15" t="s">
        <v>16130</v>
      </c>
      <c r="D12" s="15" t="s">
        <v>371</v>
      </c>
      <c r="E12" s="15" t="s">
        <v>305</v>
      </c>
      <c r="F12" s="15" t="s">
        <v>16131</v>
      </c>
      <c r="G12" s="15"/>
      <c r="H12" s="15"/>
      <c r="I12" s="15" t="s">
        <v>528</v>
      </c>
      <c r="J12" s="15" t="s">
        <v>15991</v>
      </c>
    </row>
    <row r="13" spans="2:10">
      <c r="B13" s="15" t="s">
        <v>16117</v>
      </c>
      <c r="C13" s="15" t="s">
        <v>16132</v>
      </c>
      <c r="D13" s="15" t="s">
        <v>371</v>
      </c>
      <c r="E13" s="15" t="s">
        <v>305</v>
      </c>
      <c r="F13" s="15" t="s">
        <v>16133</v>
      </c>
      <c r="G13" s="15"/>
      <c r="H13" s="15"/>
      <c r="I13" s="15" t="s">
        <v>528</v>
      </c>
      <c r="J13" s="15" t="s">
        <v>15991</v>
      </c>
    </row>
    <row r="14" spans="2:10">
      <c r="B14" s="15" t="s">
        <v>16117</v>
      </c>
      <c r="C14" s="15" t="s">
        <v>16134</v>
      </c>
      <c r="D14" s="15" t="s">
        <v>371</v>
      </c>
      <c r="E14" s="15" t="s">
        <v>305</v>
      </c>
      <c r="F14" s="15" t="s">
        <v>16135</v>
      </c>
      <c r="G14" s="15"/>
      <c r="H14" s="15"/>
      <c r="I14" s="15" t="s">
        <v>528</v>
      </c>
      <c r="J14" s="15" t="s">
        <v>15991</v>
      </c>
    </row>
    <row r="15" spans="2:10">
      <c r="B15" s="15" t="s">
        <v>16117</v>
      </c>
      <c r="C15" s="15" t="s">
        <v>16011</v>
      </c>
      <c r="D15" s="15" t="s">
        <v>316</v>
      </c>
      <c r="E15" s="15" t="s">
        <v>305</v>
      </c>
      <c r="F15" s="15" t="s">
        <v>16012</v>
      </c>
      <c r="G15" s="15"/>
      <c r="H15" s="15"/>
      <c r="I15" s="15" t="s">
        <v>528</v>
      </c>
      <c r="J15" s="15" t="s">
        <v>15991</v>
      </c>
    </row>
    <row r="16" spans="2:10">
      <c r="B16" s="15" t="s">
        <v>16117</v>
      </c>
      <c r="C16" s="15" t="s">
        <v>16009</v>
      </c>
      <c r="D16" s="15" t="s">
        <v>316</v>
      </c>
      <c r="E16" s="15" t="s">
        <v>305</v>
      </c>
      <c r="F16" s="15" t="s">
        <v>16010</v>
      </c>
      <c r="G16" s="15"/>
      <c r="H16" s="15"/>
      <c r="I16" s="15" t="s">
        <v>528</v>
      </c>
      <c r="J16" s="15" t="s">
        <v>15991</v>
      </c>
    </row>
    <row r="17" spans="2:10">
      <c r="B17" s="15" t="s">
        <v>16117</v>
      </c>
      <c r="C17" s="15" t="s">
        <v>16013</v>
      </c>
      <c r="D17" s="15" t="s">
        <v>371</v>
      </c>
      <c r="E17" s="15" t="s">
        <v>305</v>
      </c>
      <c r="F17" s="15" t="s">
        <v>16014</v>
      </c>
      <c r="G17" s="15"/>
      <c r="H17" s="15"/>
      <c r="I17" s="15" t="s">
        <v>528</v>
      </c>
      <c r="J17" s="15" t="s">
        <v>15991</v>
      </c>
    </row>
    <row r="18" spans="2:10">
      <c r="B18" s="15" t="s">
        <v>16117</v>
      </c>
      <c r="C18" s="15" t="s">
        <v>16017</v>
      </c>
      <c r="D18" s="15" t="s">
        <v>316</v>
      </c>
      <c r="E18" s="15" t="s">
        <v>305</v>
      </c>
      <c r="F18" s="15" t="s">
        <v>16018</v>
      </c>
      <c r="G18" s="15"/>
      <c r="H18" s="15"/>
      <c r="I18" s="15" t="s">
        <v>528</v>
      </c>
      <c r="J18" s="15" t="s">
        <v>15991</v>
      </c>
    </row>
    <row r="19" spans="2:10">
      <c r="B19" s="15" t="s">
        <v>16117</v>
      </c>
      <c r="C19" s="15" t="s">
        <v>16015</v>
      </c>
      <c r="D19" s="15" t="s">
        <v>316</v>
      </c>
      <c r="E19" s="15" t="s">
        <v>305</v>
      </c>
      <c r="F19" s="15" t="s">
        <v>16016</v>
      </c>
      <c r="G19" s="15"/>
      <c r="H19" s="15"/>
      <c r="I19" s="15" t="s">
        <v>528</v>
      </c>
      <c r="J19" s="15" t="s">
        <v>15991</v>
      </c>
    </row>
    <row r="20" spans="2:10">
      <c r="B20" s="15" t="s">
        <v>16117</v>
      </c>
      <c r="C20" s="15" t="s">
        <v>16019</v>
      </c>
      <c r="D20" s="15" t="s">
        <v>371</v>
      </c>
      <c r="E20" s="15" t="s">
        <v>305</v>
      </c>
      <c r="F20" s="15" t="s">
        <v>16020</v>
      </c>
      <c r="G20" s="15"/>
      <c r="H20" s="15"/>
      <c r="I20" s="15" t="s">
        <v>528</v>
      </c>
      <c r="J20" s="15" t="s">
        <v>15991</v>
      </c>
    </row>
    <row r="21" spans="2:10">
      <c r="B21" s="15" t="s">
        <v>16117</v>
      </c>
      <c r="C21" s="15" t="s">
        <v>16086</v>
      </c>
      <c r="D21" s="15" t="s">
        <v>16087</v>
      </c>
      <c r="E21" s="15" t="s">
        <v>305</v>
      </c>
      <c r="F21" s="15" t="s">
        <v>301</v>
      </c>
      <c r="G21" s="15"/>
      <c r="H21" s="15"/>
      <c r="I21" s="15" t="s">
        <v>528</v>
      </c>
      <c r="J21" s="15" t="s">
        <v>15991</v>
      </c>
    </row>
    <row r="22" spans="2:10">
      <c r="B22" s="15" t="s">
        <v>16117</v>
      </c>
      <c r="C22" s="15" t="s">
        <v>16088</v>
      </c>
      <c r="D22" s="15" t="s">
        <v>316</v>
      </c>
      <c r="E22" s="15" t="s">
        <v>305</v>
      </c>
      <c r="F22" s="15" t="s">
        <v>16089</v>
      </c>
      <c r="G22" s="15"/>
      <c r="H22" s="15"/>
      <c r="I22" s="15" t="s">
        <v>528</v>
      </c>
      <c r="J22" s="15" t="s">
        <v>15991</v>
      </c>
    </row>
    <row r="23" spans="2:10">
      <c r="B23" s="15" t="s">
        <v>16117</v>
      </c>
      <c r="C23" s="15" t="s">
        <v>16136</v>
      </c>
      <c r="D23" s="15" t="s">
        <v>16115</v>
      </c>
      <c r="E23" s="15" t="s">
        <v>305</v>
      </c>
      <c r="F23" s="15" t="s">
        <v>16137</v>
      </c>
      <c r="G23" s="15"/>
      <c r="H23" s="15"/>
      <c r="I23" s="15" t="s">
        <v>528</v>
      </c>
      <c r="J23" s="15" t="s">
        <v>15991</v>
      </c>
    </row>
  </sheetData>
  <pageMargins left="0.75" right="0.75" top="1" bottom="1" header="0.5" footer="0.5"/>
  <pageSetup paperSize="1" orientation="portrait" horizontalDpi="300" verticalDpi="300"/>
  <headerFooter alignWithMargins="0" scaleWithDoc="0"/>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3"/>
  <sheetViews>
    <sheetView zoomScaleSheetLayoutView="60" workbookViewId="0">
      <selection activeCell="L39" sqref="L39"/>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51" t="str">
        <f>HYPERLINK("#表结构清单!A1","返回")</f>
        <v>返回</v>
      </c>
      <c r="B1" t="s">
        <v>8</v>
      </c>
    </row>
    <row r="2" spans="2:10">
      <c r="B2" s="13" t="s">
        <v>15982</v>
      </c>
      <c r="C2" s="13" t="s">
        <v>297</v>
      </c>
      <c r="D2" s="13" t="s">
        <v>11870</v>
      </c>
      <c r="E2" s="13" t="s">
        <v>15983</v>
      </c>
      <c r="F2" s="13" t="s">
        <v>15984</v>
      </c>
      <c r="G2" s="13" t="s">
        <v>300</v>
      </c>
      <c r="H2" s="13" t="s">
        <v>301</v>
      </c>
      <c r="I2" s="13" t="s">
        <v>15985</v>
      </c>
      <c r="J2" s="13" t="s">
        <v>15986</v>
      </c>
    </row>
    <row r="3" spans="2:10">
      <c r="B3" s="15" t="s">
        <v>16138</v>
      </c>
      <c r="C3" s="15" t="s">
        <v>16093</v>
      </c>
      <c r="D3" s="15" t="s">
        <v>316</v>
      </c>
      <c r="E3" s="15" t="s">
        <v>15989</v>
      </c>
      <c r="F3" s="15" t="s">
        <v>16094</v>
      </c>
      <c r="G3" s="15"/>
      <c r="H3" s="15"/>
      <c r="I3" s="15" t="s">
        <v>528</v>
      </c>
      <c r="J3" s="15" t="s">
        <v>15991</v>
      </c>
    </row>
    <row r="4" spans="2:10">
      <c r="B4" s="15" t="s">
        <v>16138</v>
      </c>
      <c r="C4" s="15" t="s">
        <v>16139</v>
      </c>
      <c r="D4" s="15" t="s">
        <v>316</v>
      </c>
      <c r="E4" s="15" t="s">
        <v>305</v>
      </c>
      <c r="F4" s="15" t="s">
        <v>16140</v>
      </c>
      <c r="G4" s="15"/>
      <c r="H4" s="15"/>
      <c r="I4" s="15" t="s">
        <v>528</v>
      </c>
      <c r="J4" s="15" t="s">
        <v>15991</v>
      </c>
    </row>
    <row r="5" spans="2:10">
      <c r="B5" s="15" t="s">
        <v>16138</v>
      </c>
      <c r="C5" s="15" t="s">
        <v>16101</v>
      </c>
      <c r="D5" s="15" t="s">
        <v>316</v>
      </c>
      <c r="E5" s="15" t="s">
        <v>305</v>
      </c>
      <c r="F5" s="15" t="s">
        <v>16102</v>
      </c>
      <c r="G5" s="15"/>
      <c r="H5" s="15"/>
      <c r="I5" s="15" t="s">
        <v>528</v>
      </c>
      <c r="J5" s="15" t="s">
        <v>15991</v>
      </c>
    </row>
    <row r="6" spans="2:10">
      <c r="B6" s="15" t="s">
        <v>16138</v>
      </c>
      <c r="C6" s="15" t="s">
        <v>16141</v>
      </c>
      <c r="D6" s="15" t="s">
        <v>321</v>
      </c>
      <c r="E6" s="15" t="s">
        <v>305</v>
      </c>
      <c r="F6" s="15" t="s">
        <v>16142</v>
      </c>
      <c r="G6" s="15"/>
      <c r="H6" s="15"/>
      <c r="I6" s="15" t="s">
        <v>528</v>
      </c>
      <c r="J6" s="15" t="s">
        <v>15991</v>
      </c>
    </row>
    <row r="7" spans="2:10">
      <c r="B7" s="15" t="s">
        <v>16138</v>
      </c>
      <c r="C7" s="15" t="s">
        <v>16143</v>
      </c>
      <c r="D7" s="15" t="s">
        <v>321</v>
      </c>
      <c r="E7" s="15" t="s">
        <v>305</v>
      </c>
      <c r="F7" s="15" t="s">
        <v>16144</v>
      </c>
      <c r="G7" s="15"/>
      <c r="H7" s="15"/>
      <c r="I7" s="15" t="s">
        <v>528</v>
      </c>
      <c r="J7" s="15" t="s">
        <v>15991</v>
      </c>
    </row>
    <row r="8" spans="2:10">
      <c r="B8" s="15" t="s">
        <v>16138</v>
      </c>
      <c r="C8" s="15" t="s">
        <v>16145</v>
      </c>
      <c r="D8" s="15" t="s">
        <v>327</v>
      </c>
      <c r="E8" s="15" t="s">
        <v>305</v>
      </c>
      <c r="F8" s="15" t="s">
        <v>16146</v>
      </c>
      <c r="G8" s="15"/>
      <c r="H8" s="15"/>
      <c r="I8" s="15" t="s">
        <v>528</v>
      </c>
      <c r="J8" s="15" t="s">
        <v>15991</v>
      </c>
    </row>
    <row r="9" spans="2:10">
      <c r="B9" s="15" t="s">
        <v>16138</v>
      </c>
      <c r="C9" s="15" t="s">
        <v>16147</v>
      </c>
      <c r="D9" s="15" t="s">
        <v>316</v>
      </c>
      <c r="E9" s="15" t="s">
        <v>305</v>
      </c>
      <c r="F9" s="15" t="s">
        <v>16148</v>
      </c>
      <c r="G9" s="15"/>
      <c r="H9" s="15"/>
      <c r="I9" s="15" t="s">
        <v>528</v>
      </c>
      <c r="J9" s="15" t="s">
        <v>15991</v>
      </c>
    </row>
    <row r="10" spans="2:10">
      <c r="B10" s="15" t="s">
        <v>16138</v>
      </c>
      <c r="C10" s="15" t="s">
        <v>16149</v>
      </c>
      <c r="D10" s="15" t="s">
        <v>316</v>
      </c>
      <c r="E10" s="15" t="s">
        <v>305</v>
      </c>
      <c r="F10" s="15" t="s">
        <v>16150</v>
      </c>
      <c r="G10" s="15"/>
      <c r="H10" s="15"/>
      <c r="I10" s="15" t="s">
        <v>528</v>
      </c>
      <c r="J10" s="15" t="s">
        <v>15991</v>
      </c>
    </row>
    <row r="11" spans="2:10">
      <c r="B11" s="15" t="s">
        <v>16138</v>
      </c>
      <c r="C11" s="15" t="s">
        <v>16151</v>
      </c>
      <c r="D11" s="15" t="s">
        <v>371</v>
      </c>
      <c r="E11" s="15" t="s">
        <v>305</v>
      </c>
      <c r="F11" s="15" t="s">
        <v>16152</v>
      </c>
      <c r="G11" s="15"/>
      <c r="H11" s="15"/>
      <c r="I11" s="15" t="s">
        <v>528</v>
      </c>
      <c r="J11" s="15" t="s">
        <v>15991</v>
      </c>
    </row>
    <row r="12" spans="2:10">
      <c r="B12" s="15" t="s">
        <v>16138</v>
      </c>
      <c r="C12" s="15" t="s">
        <v>16153</v>
      </c>
      <c r="D12" s="15" t="s">
        <v>316</v>
      </c>
      <c r="E12" s="15" t="s">
        <v>305</v>
      </c>
      <c r="F12" s="15" t="s">
        <v>16154</v>
      </c>
      <c r="G12" s="15"/>
      <c r="H12" s="15"/>
      <c r="I12" s="15" t="s">
        <v>528</v>
      </c>
      <c r="J12" s="15" t="s">
        <v>15991</v>
      </c>
    </row>
    <row r="13" spans="2:10">
      <c r="B13" s="15" t="s">
        <v>16138</v>
      </c>
      <c r="C13" s="15" t="s">
        <v>16155</v>
      </c>
      <c r="D13" s="15" t="s">
        <v>316</v>
      </c>
      <c r="E13" s="15" t="s">
        <v>305</v>
      </c>
      <c r="F13" s="15" t="s">
        <v>16156</v>
      </c>
      <c r="G13" s="15"/>
      <c r="H13" s="15"/>
      <c r="I13" s="15" t="s">
        <v>528</v>
      </c>
      <c r="J13" s="15" t="s">
        <v>15991</v>
      </c>
    </row>
    <row r="14" spans="2:10">
      <c r="B14" s="15" t="s">
        <v>16138</v>
      </c>
      <c r="C14" s="15" t="s">
        <v>16157</v>
      </c>
      <c r="D14" s="15" t="s">
        <v>371</v>
      </c>
      <c r="E14" s="15" t="s">
        <v>305</v>
      </c>
      <c r="F14" s="15" t="s">
        <v>16158</v>
      </c>
      <c r="G14" s="15"/>
      <c r="H14" s="15"/>
      <c r="I14" s="15" t="s">
        <v>528</v>
      </c>
      <c r="J14" s="15" t="s">
        <v>15991</v>
      </c>
    </row>
    <row r="15" spans="2:10">
      <c r="B15" s="15" t="s">
        <v>16138</v>
      </c>
      <c r="C15" s="15" t="s">
        <v>16159</v>
      </c>
      <c r="D15" s="15" t="s">
        <v>327</v>
      </c>
      <c r="E15" s="15" t="s">
        <v>305</v>
      </c>
      <c r="F15" s="15" t="s">
        <v>16160</v>
      </c>
      <c r="G15" s="15"/>
      <c r="H15" s="15"/>
      <c r="I15" s="15" t="s">
        <v>528</v>
      </c>
      <c r="J15" s="15" t="s">
        <v>15991</v>
      </c>
    </row>
    <row r="16" spans="2:10">
      <c r="B16" s="15" t="s">
        <v>16138</v>
      </c>
      <c r="C16" s="15" t="s">
        <v>16086</v>
      </c>
      <c r="D16" s="15" t="s">
        <v>327</v>
      </c>
      <c r="E16" s="15" t="s">
        <v>305</v>
      </c>
      <c r="F16" s="15" t="s">
        <v>301</v>
      </c>
      <c r="G16" s="15"/>
      <c r="H16" s="15"/>
      <c r="I16" s="15" t="s">
        <v>528</v>
      </c>
      <c r="J16" s="15" t="s">
        <v>15991</v>
      </c>
    </row>
    <row r="17" spans="2:10">
      <c r="B17" s="15" t="s">
        <v>16138</v>
      </c>
      <c r="C17" s="15" t="s">
        <v>16011</v>
      </c>
      <c r="D17" s="15" t="s">
        <v>316</v>
      </c>
      <c r="E17" s="15" t="s">
        <v>305</v>
      </c>
      <c r="F17" s="15" t="s">
        <v>16012</v>
      </c>
      <c r="G17" s="15"/>
      <c r="H17" s="15"/>
      <c r="I17" s="15" t="s">
        <v>528</v>
      </c>
      <c r="J17" s="15" t="s">
        <v>15991</v>
      </c>
    </row>
    <row r="18" spans="2:10">
      <c r="B18" s="15" t="s">
        <v>16138</v>
      </c>
      <c r="C18" s="15" t="s">
        <v>16009</v>
      </c>
      <c r="D18" s="15" t="s">
        <v>316</v>
      </c>
      <c r="E18" s="15" t="s">
        <v>305</v>
      </c>
      <c r="F18" s="15" t="s">
        <v>16010</v>
      </c>
      <c r="G18" s="15"/>
      <c r="H18" s="15"/>
      <c r="I18" s="15" t="s">
        <v>528</v>
      </c>
      <c r="J18" s="15" t="s">
        <v>15991</v>
      </c>
    </row>
    <row r="19" spans="2:10">
      <c r="B19" s="15" t="s">
        <v>16138</v>
      </c>
      <c r="C19" s="15" t="s">
        <v>16013</v>
      </c>
      <c r="D19" s="15" t="s">
        <v>371</v>
      </c>
      <c r="E19" s="15" t="s">
        <v>305</v>
      </c>
      <c r="F19" s="15" t="s">
        <v>16014</v>
      </c>
      <c r="G19" s="15"/>
      <c r="H19" s="15"/>
      <c r="I19" s="15" t="s">
        <v>528</v>
      </c>
      <c r="J19" s="15" t="s">
        <v>15991</v>
      </c>
    </row>
    <row r="20" spans="2:10">
      <c r="B20" s="15" t="s">
        <v>16138</v>
      </c>
      <c r="C20" s="15" t="s">
        <v>16017</v>
      </c>
      <c r="D20" s="15" t="s">
        <v>316</v>
      </c>
      <c r="E20" s="15" t="s">
        <v>305</v>
      </c>
      <c r="F20" s="15" t="s">
        <v>16018</v>
      </c>
      <c r="G20" s="15"/>
      <c r="H20" s="15"/>
      <c r="I20" s="15" t="s">
        <v>528</v>
      </c>
      <c r="J20" s="15" t="s">
        <v>15991</v>
      </c>
    </row>
    <row r="21" spans="2:10">
      <c r="B21" s="15" t="s">
        <v>16138</v>
      </c>
      <c r="C21" s="15" t="s">
        <v>16015</v>
      </c>
      <c r="D21" s="15" t="s">
        <v>316</v>
      </c>
      <c r="E21" s="15" t="s">
        <v>305</v>
      </c>
      <c r="F21" s="15" t="s">
        <v>16016</v>
      </c>
      <c r="G21" s="15"/>
      <c r="H21" s="15"/>
      <c r="I21" s="15" t="s">
        <v>528</v>
      </c>
      <c r="J21" s="15" t="s">
        <v>15991</v>
      </c>
    </row>
    <row r="22" spans="2:10">
      <c r="B22" s="15" t="s">
        <v>16138</v>
      </c>
      <c r="C22" s="15" t="s">
        <v>16019</v>
      </c>
      <c r="D22" s="15" t="s">
        <v>371</v>
      </c>
      <c r="E22" s="15" t="s">
        <v>305</v>
      </c>
      <c r="F22" s="15" t="s">
        <v>16020</v>
      </c>
      <c r="G22" s="15"/>
      <c r="H22" s="15"/>
      <c r="I22" s="15" t="s">
        <v>528</v>
      </c>
      <c r="J22" s="15" t="s">
        <v>15991</v>
      </c>
    </row>
    <row r="23" spans="2:10">
      <c r="B23" s="15" t="s">
        <v>16138</v>
      </c>
      <c r="C23" s="15" t="s">
        <v>16088</v>
      </c>
      <c r="D23" s="15" t="s">
        <v>316</v>
      </c>
      <c r="E23" s="15" t="s">
        <v>305</v>
      </c>
      <c r="F23" s="15" t="s">
        <v>16089</v>
      </c>
      <c r="G23" s="15"/>
      <c r="H23" s="15"/>
      <c r="I23" s="15" t="s">
        <v>528</v>
      </c>
      <c r="J23" s="15" t="s">
        <v>15991</v>
      </c>
    </row>
  </sheetData>
  <pageMargins left="0.75" right="0.75" top="1" bottom="1" header="0.5" footer="0.5"/>
  <pageSetup paperSize="1" orientation="portrait" horizontalDpi="300" verticalDpi="300"/>
  <headerFooter alignWithMargins="0" scaleWithDoc="0"/>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6"/>
  <sheetViews>
    <sheetView zoomScaleSheetLayoutView="60" workbookViewId="0">
      <selection activeCell="F7" sqref="F7"/>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52" t="str">
        <f>HYPERLINK("#表结构清单!A1","返回")</f>
        <v>返回</v>
      </c>
      <c r="B1" t="s">
        <v>9</v>
      </c>
    </row>
    <row r="2" spans="2:10">
      <c r="B2" s="13" t="s">
        <v>15982</v>
      </c>
      <c r="C2" s="13" t="s">
        <v>297</v>
      </c>
      <c r="D2" s="13" t="s">
        <v>11870</v>
      </c>
      <c r="E2" s="13" t="s">
        <v>15983</v>
      </c>
      <c r="F2" s="13" t="s">
        <v>15984</v>
      </c>
      <c r="G2" s="13" t="s">
        <v>300</v>
      </c>
      <c r="H2" s="13" t="s">
        <v>301</v>
      </c>
      <c r="I2" s="13" t="s">
        <v>15985</v>
      </c>
      <c r="J2" s="13" t="s">
        <v>15986</v>
      </c>
    </row>
    <row r="3" spans="2:10">
      <c r="B3" s="15" t="s">
        <v>16161</v>
      </c>
      <c r="C3" s="15" t="s">
        <v>15988</v>
      </c>
      <c r="D3" s="15" t="s">
        <v>316</v>
      </c>
      <c r="E3" s="15" t="s">
        <v>15989</v>
      </c>
      <c r="F3" s="15" t="s">
        <v>15990</v>
      </c>
      <c r="G3" s="15"/>
      <c r="H3" s="15"/>
      <c r="I3" s="15" t="s">
        <v>528</v>
      </c>
      <c r="J3" s="15" t="s">
        <v>15991</v>
      </c>
    </row>
    <row r="4" spans="2:10">
      <c r="B4" s="15" t="s">
        <v>16161</v>
      </c>
      <c r="C4" s="15" t="s">
        <v>16025</v>
      </c>
      <c r="D4" s="15" t="s">
        <v>316</v>
      </c>
      <c r="E4" s="15" t="s">
        <v>15989</v>
      </c>
      <c r="F4" s="15" t="s">
        <v>16162</v>
      </c>
      <c r="G4" s="15"/>
      <c r="H4" s="15"/>
      <c r="I4" s="15" t="s">
        <v>528</v>
      </c>
      <c r="J4" s="15" t="s">
        <v>15991</v>
      </c>
    </row>
    <row r="5" spans="2:10">
      <c r="B5" s="15" t="s">
        <v>16161</v>
      </c>
      <c r="C5" s="15" t="s">
        <v>16163</v>
      </c>
      <c r="D5" s="15" t="s">
        <v>316</v>
      </c>
      <c r="E5" s="15" t="s">
        <v>305</v>
      </c>
      <c r="F5" s="15" t="s">
        <v>16164</v>
      </c>
      <c r="G5" s="15"/>
      <c r="H5" s="15"/>
      <c r="I5" s="15" t="s">
        <v>528</v>
      </c>
      <c r="J5" s="15" t="s">
        <v>15991</v>
      </c>
    </row>
    <row r="6" spans="2:10">
      <c r="B6" s="15" t="s">
        <v>16161</v>
      </c>
      <c r="C6" s="15" t="s">
        <v>16165</v>
      </c>
      <c r="D6" s="15" t="s">
        <v>506</v>
      </c>
      <c r="E6" s="15" t="s">
        <v>305</v>
      </c>
      <c r="F6" s="15" t="s">
        <v>16166</v>
      </c>
      <c r="G6" s="15"/>
      <c r="H6" s="15"/>
      <c r="I6" s="15" t="s">
        <v>528</v>
      </c>
      <c r="J6" s="15" t="s">
        <v>15991</v>
      </c>
    </row>
    <row r="7" spans="2:10">
      <c r="B7" s="15" t="s">
        <v>16161</v>
      </c>
      <c r="C7" s="15" t="s">
        <v>16167</v>
      </c>
      <c r="D7" s="15" t="s">
        <v>350</v>
      </c>
      <c r="E7" s="15" t="s">
        <v>305</v>
      </c>
      <c r="F7" s="15" t="s">
        <v>16168</v>
      </c>
      <c r="G7" s="15"/>
      <c r="H7" s="15"/>
      <c r="I7" s="15" t="s">
        <v>528</v>
      </c>
      <c r="J7" s="15" t="s">
        <v>15991</v>
      </c>
    </row>
    <row r="8" spans="2:10">
      <c r="B8" s="15" t="s">
        <v>16161</v>
      </c>
      <c r="C8" s="15" t="s">
        <v>16169</v>
      </c>
      <c r="D8" s="15" t="s">
        <v>371</v>
      </c>
      <c r="E8" s="15" t="s">
        <v>15989</v>
      </c>
      <c r="F8" s="15" t="s">
        <v>16170</v>
      </c>
      <c r="G8" s="15"/>
      <c r="H8" s="15"/>
      <c r="I8" s="15" t="s">
        <v>528</v>
      </c>
      <c r="J8" s="15" t="s">
        <v>15991</v>
      </c>
    </row>
    <row r="9" spans="2:10">
      <c r="B9" s="15" t="s">
        <v>16161</v>
      </c>
      <c r="C9" s="15" t="s">
        <v>16011</v>
      </c>
      <c r="D9" s="15" t="s">
        <v>316</v>
      </c>
      <c r="E9" s="15" t="s">
        <v>305</v>
      </c>
      <c r="F9" s="15" t="s">
        <v>16012</v>
      </c>
      <c r="G9" s="15"/>
      <c r="H9" s="15"/>
      <c r="I9" s="15" t="s">
        <v>528</v>
      </c>
      <c r="J9" s="15" t="s">
        <v>15991</v>
      </c>
    </row>
    <row r="10" spans="2:10">
      <c r="B10" s="15" t="s">
        <v>16161</v>
      </c>
      <c r="C10" s="15" t="s">
        <v>16009</v>
      </c>
      <c r="D10" s="15" t="s">
        <v>316</v>
      </c>
      <c r="E10" s="15" t="s">
        <v>305</v>
      </c>
      <c r="F10" s="15" t="s">
        <v>16010</v>
      </c>
      <c r="G10" s="15"/>
      <c r="H10" s="15"/>
      <c r="I10" s="15" t="s">
        <v>528</v>
      </c>
      <c r="J10" s="15" t="s">
        <v>15991</v>
      </c>
    </row>
    <row r="11" spans="2:10">
      <c r="B11" s="15" t="s">
        <v>16161</v>
      </c>
      <c r="C11" s="15" t="s">
        <v>16013</v>
      </c>
      <c r="D11" s="15" t="s">
        <v>371</v>
      </c>
      <c r="E11" s="15" t="s">
        <v>305</v>
      </c>
      <c r="F11" s="15" t="s">
        <v>16014</v>
      </c>
      <c r="G11" s="15"/>
      <c r="H11" s="15"/>
      <c r="I11" s="15" t="s">
        <v>528</v>
      </c>
      <c r="J11" s="15" t="s">
        <v>15991</v>
      </c>
    </row>
    <row r="12" spans="2:10">
      <c r="B12" s="15" t="s">
        <v>16161</v>
      </c>
      <c r="C12" s="15" t="s">
        <v>16017</v>
      </c>
      <c r="D12" s="15" t="s">
        <v>316</v>
      </c>
      <c r="E12" s="15" t="s">
        <v>305</v>
      </c>
      <c r="F12" s="15" t="s">
        <v>16018</v>
      </c>
      <c r="G12" s="15"/>
      <c r="H12" s="15"/>
      <c r="I12" s="15" t="s">
        <v>528</v>
      </c>
      <c r="J12" s="15" t="s">
        <v>15991</v>
      </c>
    </row>
    <row r="13" spans="2:10">
      <c r="B13" s="15" t="s">
        <v>16161</v>
      </c>
      <c r="C13" s="15" t="s">
        <v>16015</v>
      </c>
      <c r="D13" s="15" t="s">
        <v>316</v>
      </c>
      <c r="E13" s="15" t="s">
        <v>305</v>
      </c>
      <c r="F13" s="15" t="s">
        <v>16016</v>
      </c>
      <c r="G13" s="15"/>
      <c r="H13" s="15"/>
      <c r="I13" s="15" t="s">
        <v>528</v>
      </c>
      <c r="J13" s="15" t="s">
        <v>15991</v>
      </c>
    </row>
    <row r="14" spans="2:10">
      <c r="B14" s="15" t="s">
        <v>16161</v>
      </c>
      <c r="C14" s="15" t="s">
        <v>16019</v>
      </c>
      <c r="D14" s="15" t="s">
        <v>371</v>
      </c>
      <c r="E14" s="15" t="s">
        <v>305</v>
      </c>
      <c r="F14" s="15" t="s">
        <v>16020</v>
      </c>
      <c r="G14" s="15"/>
      <c r="H14" s="15"/>
      <c r="I14" s="15" t="s">
        <v>528</v>
      </c>
      <c r="J14" s="15" t="s">
        <v>15991</v>
      </c>
    </row>
    <row r="15" spans="2:10">
      <c r="B15" s="15" t="s">
        <v>16161</v>
      </c>
      <c r="C15" s="15" t="s">
        <v>16086</v>
      </c>
      <c r="D15" s="15" t="s">
        <v>327</v>
      </c>
      <c r="E15" s="15" t="s">
        <v>305</v>
      </c>
      <c r="F15" s="15" t="s">
        <v>301</v>
      </c>
      <c r="G15" s="15"/>
      <c r="H15" s="15"/>
      <c r="I15" s="15" t="s">
        <v>528</v>
      </c>
      <c r="J15" s="15" t="s">
        <v>15991</v>
      </c>
    </row>
    <row r="16" spans="2:10">
      <c r="B16" s="15" t="s">
        <v>16161</v>
      </c>
      <c r="C16" s="15" t="s">
        <v>16088</v>
      </c>
      <c r="D16" s="15" t="s">
        <v>316</v>
      </c>
      <c r="E16" s="15" t="s">
        <v>305</v>
      </c>
      <c r="F16" s="15" t="s">
        <v>16089</v>
      </c>
      <c r="G16" s="15"/>
      <c r="H16" s="15"/>
      <c r="I16" s="15" t="s">
        <v>528</v>
      </c>
      <c r="J16" s="15" t="s">
        <v>15991</v>
      </c>
    </row>
  </sheetData>
  <pageMargins left="0.75" right="0.75" top="1" bottom="1" header="0.5" footer="0.5"/>
  <pageSetup paperSize="1" orientation="portrait" horizontalDpi="300" verticalDpi="300"/>
  <headerFooter alignWithMargins="0" scaleWithDoc="0"/>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3"/>
  <sheetViews>
    <sheetView zoomScaleSheetLayoutView="60" workbookViewId="0">
      <selection activeCell="A1" sqref="A1"/>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52" t="str">
        <f>HYPERLINK("#表结构清单!A1","返回")</f>
        <v>返回</v>
      </c>
      <c r="B1" t="s">
        <v>10</v>
      </c>
    </row>
    <row r="2" spans="2:10">
      <c r="B2" s="13" t="s">
        <v>15982</v>
      </c>
      <c r="C2" s="13" t="s">
        <v>297</v>
      </c>
      <c r="D2" s="13" t="s">
        <v>11870</v>
      </c>
      <c r="E2" s="13" t="s">
        <v>15983</v>
      </c>
      <c r="F2" s="13" t="s">
        <v>15984</v>
      </c>
      <c r="G2" s="13" t="s">
        <v>300</v>
      </c>
      <c r="H2" s="13" t="s">
        <v>301</v>
      </c>
      <c r="I2" s="13" t="s">
        <v>15985</v>
      </c>
      <c r="J2" s="13" t="s">
        <v>15986</v>
      </c>
    </row>
    <row r="3" spans="2:10">
      <c r="B3" s="15" t="s">
        <v>16171</v>
      </c>
      <c r="C3" s="15" t="s">
        <v>16172</v>
      </c>
      <c r="D3" s="15" t="s">
        <v>316</v>
      </c>
      <c r="E3" s="15" t="s">
        <v>15989</v>
      </c>
      <c r="F3" s="15" t="s">
        <v>16173</v>
      </c>
      <c r="G3" s="15"/>
      <c r="H3" s="15"/>
      <c r="I3" s="15" t="s">
        <v>528</v>
      </c>
      <c r="J3" s="15" t="s">
        <v>15991</v>
      </c>
    </row>
    <row r="4" spans="2:10">
      <c r="B4" s="15" t="s">
        <v>16171</v>
      </c>
      <c r="C4" s="15" t="s">
        <v>16025</v>
      </c>
      <c r="D4" s="15" t="s">
        <v>316</v>
      </c>
      <c r="E4" s="15" t="s">
        <v>15989</v>
      </c>
      <c r="F4" s="15" t="s">
        <v>16162</v>
      </c>
      <c r="G4" s="15"/>
      <c r="H4" s="15"/>
      <c r="I4" s="15" t="s">
        <v>528</v>
      </c>
      <c r="J4" s="15" t="s">
        <v>15991</v>
      </c>
    </row>
    <row r="5" spans="2:10">
      <c r="B5" s="15" t="s">
        <v>16171</v>
      </c>
      <c r="C5" s="15" t="s">
        <v>16174</v>
      </c>
      <c r="D5" s="15" t="s">
        <v>506</v>
      </c>
      <c r="E5" s="15" t="s">
        <v>305</v>
      </c>
      <c r="F5" s="15" t="s">
        <v>16175</v>
      </c>
      <c r="G5" s="15"/>
      <c r="H5" s="15"/>
      <c r="I5" s="15" t="s">
        <v>528</v>
      </c>
      <c r="J5" s="15" t="s">
        <v>15991</v>
      </c>
    </row>
    <row r="6" spans="2:10">
      <c r="B6" s="15" t="s">
        <v>16171</v>
      </c>
      <c r="C6" s="15" t="s">
        <v>16011</v>
      </c>
      <c r="D6" s="15" t="s">
        <v>316</v>
      </c>
      <c r="E6" s="15" t="s">
        <v>305</v>
      </c>
      <c r="F6" s="15" t="s">
        <v>16012</v>
      </c>
      <c r="G6" s="15"/>
      <c r="H6" s="15"/>
      <c r="I6" s="15" t="s">
        <v>528</v>
      </c>
      <c r="J6" s="15" t="s">
        <v>15991</v>
      </c>
    </row>
    <row r="7" spans="2:10">
      <c r="B7" s="15" t="s">
        <v>16171</v>
      </c>
      <c r="C7" s="15" t="s">
        <v>16009</v>
      </c>
      <c r="D7" s="15" t="s">
        <v>316</v>
      </c>
      <c r="E7" s="15" t="s">
        <v>305</v>
      </c>
      <c r="F7" s="15" t="s">
        <v>16010</v>
      </c>
      <c r="G7" s="15"/>
      <c r="H7" s="15"/>
      <c r="I7" s="15" t="s">
        <v>528</v>
      </c>
      <c r="J7" s="15" t="s">
        <v>15991</v>
      </c>
    </row>
    <row r="8" spans="2:10">
      <c r="B8" s="15" t="s">
        <v>16171</v>
      </c>
      <c r="C8" s="15" t="s">
        <v>16013</v>
      </c>
      <c r="D8" s="15" t="s">
        <v>371</v>
      </c>
      <c r="E8" s="15" t="s">
        <v>305</v>
      </c>
      <c r="F8" s="15" t="s">
        <v>16014</v>
      </c>
      <c r="G8" s="15"/>
      <c r="H8" s="15"/>
      <c r="I8" s="15" t="s">
        <v>528</v>
      </c>
      <c r="J8" s="15" t="s">
        <v>15991</v>
      </c>
    </row>
    <row r="9" spans="2:10">
      <c r="B9" s="15" t="s">
        <v>16171</v>
      </c>
      <c r="C9" s="15" t="s">
        <v>16017</v>
      </c>
      <c r="D9" s="15" t="s">
        <v>316</v>
      </c>
      <c r="E9" s="15" t="s">
        <v>305</v>
      </c>
      <c r="F9" s="15" t="s">
        <v>16018</v>
      </c>
      <c r="G9" s="15"/>
      <c r="H9" s="15"/>
      <c r="I9" s="15" t="s">
        <v>528</v>
      </c>
      <c r="J9" s="15" t="s">
        <v>15991</v>
      </c>
    </row>
    <row r="10" spans="2:10">
      <c r="B10" s="15" t="s">
        <v>16171</v>
      </c>
      <c r="C10" s="15" t="s">
        <v>16015</v>
      </c>
      <c r="D10" s="15" t="s">
        <v>316</v>
      </c>
      <c r="E10" s="15" t="s">
        <v>305</v>
      </c>
      <c r="F10" s="15" t="s">
        <v>16016</v>
      </c>
      <c r="G10" s="15"/>
      <c r="H10" s="15"/>
      <c r="I10" s="15" t="s">
        <v>528</v>
      </c>
      <c r="J10" s="15" t="s">
        <v>15991</v>
      </c>
    </row>
    <row r="11" spans="2:10">
      <c r="B11" s="15" t="s">
        <v>16171</v>
      </c>
      <c r="C11" s="15" t="s">
        <v>16019</v>
      </c>
      <c r="D11" s="15" t="s">
        <v>371</v>
      </c>
      <c r="E11" s="15" t="s">
        <v>305</v>
      </c>
      <c r="F11" s="15" t="s">
        <v>16020</v>
      </c>
      <c r="G11" s="15"/>
      <c r="H11" s="15"/>
      <c r="I11" s="15" t="s">
        <v>528</v>
      </c>
      <c r="J11" s="15" t="s">
        <v>15991</v>
      </c>
    </row>
    <row r="12" spans="2:10">
      <c r="B12" s="15" t="s">
        <v>16171</v>
      </c>
      <c r="C12" s="15" t="s">
        <v>16086</v>
      </c>
      <c r="D12" s="15" t="s">
        <v>327</v>
      </c>
      <c r="E12" s="15" t="s">
        <v>305</v>
      </c>
      <c r="F12" s="15" t="s">
        <v>301</v>
      </c>
      <c r="G12" s="15"/>
      <c r="H12" s="15"/>
      <c r="I12" s="15" t="s">
        <v>528</v>
      </c>
      <c r="J12" s="15" t="s">
        <v>15991</v>
      </c>
    </row>
    <row r="13" spans="2:10">
      <c r="B13" s="15" t="s">
        <v>16171</v>
      </c>
      <c r="C13" s="15" t="s">
        <v>16088</v>
      </c>
      <c r="D13" s="15" t="s">
        <v>316</v>
      </c>
      <c r="E13" s="15" t="s">
        <v>305</v>
      </c>
      <c r="F13" s="15" t="s">
        <v>16089</v>
      </c>
      <c r="G13" s="15"/>
      <c r="H13" s="15"/>
      <c r="I13" s="15" t="s">
        <v>528</v>
      </c>
      <c r="J13" s="15" t="s">
        <v>15991</v>
      </c>
    </row>
  </sheetData>
  <pageMargins left="0.75" right="0.75" top="1" bottom="1" header="0.5" footer="0.5"/>
  <pageSetup paperSize="1" orientation="portrait" horizontalDpi="300" verticalDpi="300"/>
  <headerFooter alignWithMargins="0" scaleWithDoc="0"/>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1"/>
  <sheetViews>
    <sheetView zoomScaleSheetLayoutView="60" workbookViewId="0">
      <selection activeCell="D21" sqref="D21"/>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42.8571428571429" customWidth="1"/>
    <col min="10" max="10" width="11.7053571428571" customWidth="1"/>
  </cols>
  <sheetData>
    <row r="1" spans="1:2">
      <c r="A1" s="51" t="str">
        <f>HYPERLINK("#表结构清单!A1","返回")</f>
        <v>返回</v>
      </c>
      <c r="B1" t="s">
        <v>11</v>
      </c>
    </row>
    <row r="2" spans="2:10">
      <c r="B2" s="13" t="s">
        <v>15982</v>
      </c>
      <c r="C2" s="13" t="s">
        <v>297</v>
      </c>
      <c r="D2" s="13" t="s">
        <v>11870</v>
      </c>
      <c r="E2" s="13" t="s">
        <v>15983</v>
      </c>
      <c r="F2" s="13" t="s">
        <v>15984</v>
      </c>
      <c r="G2" s="13" t="s">
        <v>300</v>
      </c>
      <c r="H2" s="13" t="s">
        <v>301</v>
      </c>
      <c r="I2" s="13" t="s">
        <v>15985</v>
      </c>
      <c r="J2" s="13" t="s">
        <v>15986</v>
      </c>
    </row>
    <row r="3" spans="2:10">
      <c r="B3" s="15" t="s">
        <v>16176</v>
      </c>
      <c r="C3" s="15" t="s">
        <v>15988</v>
      </c>
      <c r="D3" s="15" t="s">
        <v>316</v>
      </c>
      <c r="E3" s="15" t="s">
        <v>15989</v>
      </c>
      <c r="F3" s="15" t="s">
        <v>15990</v>
      </c>
      <c r="G3" s="15"/>
      <c r="H3" s="15"/>
      <c r="I3" s="15" t="s">
        <v>528</v>
      </c>
      <c r="J3" s="15" t="s">
        <v>15991</v>
      </c>
    </row>
    <row r="4" spans="2:10">
      <c r="B4" s="15" t="s">
        <v>16176</v>
      </c>
      <c r="C4" s="15" t="s">
        <v>16025</v>
      </c>
      <c r="D4" s="15" t="s">
        <v>316</v>
      </c>
      <c r="E4" s="15" t="s">
        <v>15989</v>
      </c>
      <c r="F4" s="15" t="s">
        <v>16162</v>
      </c>
      <c r="G4" s="15"/>
      <c r="H4" s="15"/>
      <c r="I4" s="15" t="s">
        <v>528</v>
      </c>
      <c r="J4" s="15" t="s">
        <v>15991</v>
      </c>
    </row>
    <row r="5" spans="2:10">
      <c r="B5" s="15" t="s">
        <v>16176</v>
      </c>
      <c r="C5" s="15" t="s">
        <v>16177</v>
      </c>
      <c r="D5" s="15" t="s">
        <v>513</v>
      </c>
      <c r="E5" s="15" t="s">
        <v>305</v>
      </c>
      <c r="F5" s="15" t="s">
        <v>16178</v>
      </c>
      <c r="G5" s="62" t="str">
        <f>HYPERLINK("#码值映射清单!B10076","AgencyInformationType")</f>
        <v>AgencyInformationType</v>
      </c>
      <c r="H5" s="15"/>
      <c r="I5" s="15" t="s">
        <v>528</v>
      </c>
      <c r="J5" s="15" t="s">
        <v>15991</v>
      </c>
    </row>
    <row r="6" spans="2:10">
      <c r="B6" s="15" t="s">
        <v>16176</v>
      </c>
      <c r="C6" s="15" t="s">
        <v>16179</v>
      </c>
      <c r="D6" s="15" t="s">
        <v>506</v>
      </c>
      <c r="E6" s="15" t="s">
        <v>305</v>
      </c>
      <c r="F6" s="15" t="s">
        <v>16180</v>
      </c>
      <c r="G6" s="15"/>
      <c r="H6" s="15"/>
      <c r="I6" s="15" t="s">
        <v>528</v>
      </c>
      <c r="J6" s="15" t="s">
        <v>15991</v>
      </c>
    </row>
    <row r="7" spans="2:10">
      <c r="B7" s="15" t="s">
        <v>16176</v>
      </c>
      <c r="C7" s="15" t="s">
        <v>16181</v>
      </c>
      <c r="D7" s="15" t="s">
        <v>316</v>
      </c>
      <c r="E7" s="15" t="s">
        <v>305</v>
      </c>
      <c r="F7" s="15" t="s">
        <v>16182</v>
      </c>
      <c r="G7" s="15"/>
      <c r="H7" s="15"/>
      <c r="I7" s="15" t="s">
        <v>528</v>
      </c>
      <c r="J7" s="15" t="s">
        <v>15991</v>
      </c>
    </row>
    <row r="8" spans="2:10">
      <c r="B8" s="15" t="s">
        <v>16176</v>
      </c>
      <c r="C8" s="15" t="s">
        <v>16183</v>
      </c>
      <c r="D8" s="15" t="s">
        <v>316</v>
      </c>
      <c r="E8" s="15" t="s">
        <v>305</v>
      </c>
      <c r="F8" s="15" t="s">
        <v>16184</v>
      </c>
      <c r="G8" s="15"/>
      <c r="H8" s="15"/>
      <c r="I8" s="15" t="s">
        <v>528</v>
      </c>
      <c r="J8" s="15" t="s">
        <v>15991</v>
      </c>
    </row>
    <row r="9" spans="2:10">
      <c r="B9" s="15" t="s">
        <v>16176</v>
      </c>
      <c r="C9" s="15" t="s">
        <v>16185</v>
      </c>
      <c r="D9" s="15" t="s">
        <v>513</v>
      </c>
      <c r="E9" s="15" t="s">
        <v>305</v>
      </c>
      <c r="F9" s="15" t="s">
        <v>16186</v>
      </c>
      <c r="G9" s="61" t="str">
        <f>HYPERLINK("#码值映射清单!B5150","YesNo")</f>
        <v>YesNo</v>
      </c>
      <c r="H9" s="15"/>
      <c r="I9" s="15" t="s">
        <v>528</v>
      </c>
      <c r="J9" s="15" t="s">
        <v>15991</v>
      </c>
    </row>
    <row r="10" spans="2:10">
      <c r="B10" s="15" t="s">
        <v>16176</v>
      </c>
      <c r="C10" s="15" t="s">
        <v>16187</v>
      </c>
      <c r="D10" s="15" t="s">
        <v>371</v>
      </c>
      <c r="E10" s="15" t="s">
        <v>305</v>
      </c>
      <c r="F10" s="15" t="s">
        <v>16188</v>
      </c>
      <c r="G10" s="15"/>
      <c r="H10" s="15"/>
      <c r="I10" s="15" t="s">
        <v>528</v>
      </c>
      <c r="J10" s="15" t="s">
        <v>15991</v>
      </c>
    </row>
    <row r="11" spans="2:10">
      <c r="B11" s="15" t="s">
        <v>16176</v>
      </c>
      <c r="C11" s="15" t="s">
        <v>16189</v>
      </c>
      <c r="D11" s="15" t="s">
        <v>371</v>
      </c>
      <c r="E11" s="15" t="s">
        <v>305</v>
      </c>
      <c r="F11" s="15" t="s">
        <v>16190</v>
      </c>
      <c r="G11" s="15"/>
      <c r="H11" s="15"/>
      <c r="I11" s="15" t="s">
        <v>528</v>
      </c>
      <c r="J11" s="15" t="s">
        <v>15991</v>
      </c>
    </row>
    <row r="12" spans="2:10">
      <c r="B12" s="15" t="s">
        <v>16176</v>
      </c>
      <c r="C12" s="15" t="s">
        <v>16191</v>
      </c>
      <c r="D12" s="15" t="s">
        <v>321</v>
      </c>
      <c r="E12" s="15" t="s">
        <v>305</v>
      </c>
      <c r="F12" s="15" t="s">
        <v>2967</v>
      </c>
      <c r="G12" s="15"/>
      <c r="H12" s="15"/>
      <c r="I12" s="15" t="s">
        <v>528</v>
      </c>
      <c r="J12" s="15" t="s">
        <v>15991</v>
      </c>
    </row>
    <row r="13" spans="2:10">
      <c r="B13" s="15" t="s">
        <v>16176</v>
      </c>
      <c r="C13" s="15" t="s">
        <v>16011</v>
      </c>
      <c r="D13" s="15" t="s">
        <v>316</v>
      </c>
      <c r="E13" s="15" t="s">
        <v>305</v>
      </c>
      <c r="F13" s="15" t="s">
        <v>16012</v>
      </c>
      <c r="G13" s="15"/>
      <c r="H13" s="15"/>
      <c r="I13" s="15" t="s">
        <v>528</v>
      </c>
      <c r="J13" s="15" t="s">
        <v>15991</v>
      </c>
    </row>
    <row r="14" spans="2:10">
      <c r="B14" s="15" t="s">
        <v>16176</v>
      </c>
      <c r="C14" s="15" t="s">
        <v>16009</v>
      </c>
      <c r="D14" s="15" t="s">
        <v>316</v>
      </c>
      <c r="E14" s="15" t="s">
        <v>305</v>
      </c>
      <c r="F14" s="15" t="s">
        <v>16010</v>
      </c>
      <c r="G14" s="15"/>
      <c r="H14" s="15"/>
      <c r="I14" s="15" t="s">
        <v>528</v>
      </c>
      <c r="J14" s="15" t="s">
        <v>15991</v>
      </c>
    </row>
    <row r="15" spans="2:10">
      <c r="B15" s="15" t="s">
        <v>16176</v>
      </c>
      <c r="C15" s="15" t="s">
        <v>16013</v>
      </c>
      <c r="D15" s="15" t="s">
        <v>371</v>
      </c>
      <c r="E15" s="15" t="s">
        <v>305</v>
      </c>
      <c r="F15" s="15" t="s">
        <v>16014</v>
      </c>
      <c r="G15" s="15"/>
      <c r="H15" s="15"/>
      <c r="I15" s="15" t="s">
        <v>528</v>
      </c>
      <c r="J15" s="15" t="s">
        <v>15991</v>
      </c>
    </row>
    <row r="16" spans="2:10">
      <c r="B16" s="15" t="s">
        <v>16176</v>
      </c>
      <c r="C16" s="15" t="s">
        <v>16017</v>
      </c>
      <c r="D16" s="15" t="s">
        <v>316</v>
      </c>
      <c r="E16" s="15" t="s">
        <v>305</v>
      </c>
      <c r="F16" s="15" t="s">
        <v>16018</v>
      </c>
      <c r="G16" s="15"/>
      <c r="H16" s="15"/>
      <c r="I16" s="15" t="s">
        <v>528</v>
      </c>
      <c r="J16" s="15" t="s">
        <v>15991</v>
      </c>
    </row>
    <row r="17" spans="2:10">
      <c r="B17" s="15" t="s">
        <v>16176</v>
      </c>
      <c r="C17" s="15" t="s">
        <v>16015</v>
      </c>
      <c r="D17" s="15" t="s">
        <v>316</v>
      </c>
      <c r="E17" s="15" t="s">
        <v>305</v>
      </c>
      <c r="F17" s="15" t="s">
        <v>16016</v>
      </c>
      <c r="G17" s="15"/>
      <c r="H17" s="15"/>
      <c r="I17" s="15" t="s">
        <v>528</v>
      </c>
      <c r="J17" s="15" t="s">
        <v>15991</v>
      </c>
    </row>
    <row r="18" spans="2:10">
      <c r="B18" s="15" t="s">
        <v>16176</v>
      </c>
      <c r="C18" s="15" t="s">
        <v>16019</v>
      </c>
      <c r="D18" s="15" t="s">
        <v>371</v>
      </c>
      <c r="E18" s="15" t="s">
        <v>305</v>
      </c>
      <c r="F18" s="15" t="s">
        <v>16020</v>
      </c>
      <c r="G18" s="15"/>
      <c r="H18" s="15"/>
      <c r="I18" s="15" t="s">
        <v>528</v>
      </c>
      <c r="J18" s="15" t="s">
        <v>15991</v>
      </c>
    </row>
    <row r="19" spans="2:10">
      <c r="B19" s="15" t="s">
        <v>16176</v>
      </c>
      <c r="C19" s="15" t="s">
        <v>16086</v>
      </c>
      <c r="D19" s="15" t="s">
        <v>327</v>
      </c>
      <c r="E19" s="15" t="s">
        <v>305</v>
      </c>
      <c r="F19" s="15" t="s">
        <v>301</v>
      </c>
      <c r="G19" s="15"/>
      <c r="H19" s="15"/>
      <c r="I19" s="15" t="s">
        <v>528</v>
      </c>
      <c r="J19" s="15" t="s">
        <v>15991</v>
      </c>
    </row>
    <row r="20" spans="2:10">
      <c r="B20" s="15" t="s">
        <v>16176</v>
      </c>
      <c r="C20" s="15" t="s">
        <v>16088</v>
      </c>
      <c r="D20" s="15" t="s">
        <v>316</v>
      </c>
      <c r="E20" s="15" t="s">
        <v>305</v>
      </c>
      <c r="F20" s="15" t="s">
        <v>16089</v>
      </c>
      <c r="G20" s="15"/>
      <c r="H20" s="15"/>
      <c r="I20" s="15" t="s">
        <v>528</v>
      </c>
      <c r="J20" s="15" t="s">
        <v>15991</v>
      </c>
    </row>
    <row r="21" spans="2:10">
      <c r="B21" s="15" t="s">
        <v>16176</v>
      </c>
      <c r="C21" s="15" t="s">
        <v>16192</v>
      </c>
      <c r="D21" s="15" t="s">
        <v>16087</v>
      </c>
      <c r="E21" s="15" t="s">
        <v>305</v>
      </c>
      <c r="F21" s="15" t="s">
        <v>16193</v>
      </c>
      <c r="G21" s="15"/>
      <c r="H21" s="15"/>
      <c r="I21" s="15" t="s">
        <v>528</v>
      </c>
      <c r="J21" s="15" t="s">
        <v>15991</v>
      </c>
    </row>
  </sheetData>
  <pageMargins left="0.75" right="0.75" top="1" bottom="1" header="0.5" footer="0.5"/>
  <pageSetup paperSize="1" orientation="portrait" horizontalDpi="300" verticalDpi="300"/>
  <headerFooter alignWithMargins="0" scaleWithDoc="0"/>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8"/>
  <sheetViews>
    <sheetView zoomScaleSheetLayoutView="60" workbookViewId="0">
      <selection activeCell="F27" sqref="F27"/>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51" t="str">
        <f>HYPERLINK("#表结构清单!A1","返回")</f>
        <v>返回</v>
      </c>
      <c r="B1" t="s">
        <v>12</v>
      </c>
    </row>
    <row r="2" spans="2:10">
      <c r="B2" s="13" t="s">
        <v>15982</v>
      </c>
      <c r="C2" s="13" t="s">
        <v>297</v>
      </c>
      <c r="D2" s="13" t="s">
        <v>11870</v>
      </c>
      <c r="E2" s="13" t="s">
        <v>15983</v>
      </c>
      <c r="F2" s="13" t="s">
        <v>15984</v>
      </c>
      <c r="G2" s="13" t="s">
        <v>300</v>
      </c>
      <c r="H2" s="13" t="s">
        <v>301</v>
      </c>
      <c r="I2" s="13" t="s">
        <v>15985</v>
      </c>
      <c r="J2" s="13" t="s">
        <v>15986</v>
      </c>
    </row>
    <row r="3" spans="2:10">
      <c r="B3" s="15" t="s">
        <v>16194</v>
      </c>
      <c r="C3" s="15" t="s">
        <v>16093</v>
      </c>
      <c r="D3" s="15" t="s">
        <v>316</v>
      </c>
      <c r="E3" s="15" t="s">
        <v>15989</v>
      </c>
      <c r="F3" s="15" t="s">
        <v>16094</v>
      </c>
      <c r="G3" s="15"/>
      <c r="H3" s="15"/>
      <c r="I3" s="15" t="s">
        <v>528</v>
      </c>
      <c r="J3" s="15" t="s">
        <v>15991</v>
      </c>
    </row>
    <row r="4" spans="2:10">
      <c r="B4" s="15" t="s">
        <v>16194</v>
      </c>
      <c r="C4" s="15" t="s">
        <v>16101</v>
      </c>
      <c r="D4" s="15" t="s">
        <v>316</v>
      </c>
      <c r="E4" s="15" t="s">
        <v>305</v>
      </c>
      <c r="F4" s="15" t="s">
        <v>16102</v>
      </c>
      <c r="G4" s="15"/>
      <c r="H4" s="15"/>
      <c r="I4" s="15" t="s">
        <v>528</v>
      </c>
      <c r="J4" s="15" t="s">
        <v>15991</v>
      </c>
    </row>
    <row r="5" spans="2:10">
      <c r="B5" s="15" t="s">
        <v>16194</v>
      </c>
      <c r="C5" s="15" t="s">
        <v>16195</v>
      </c>
      <c r="D5" s="15" t="s">
        <v>513</v>
      </c>
      <c r="E5" s="15" t="s">
        <v>305</v>
      </c>
      <c r="F5" s="15" t="s">
        <v>16196</v>
      </c>
      <c r="G5" s="15"/>
      <c r="H5" s="15"/>
      <c r="I5" s="15" t="s">
        <v>528</v>
      </c>
      <c r="J5" s="15" t="s">
        <v>15991</v>
      </c>
    </row>
    <row r="6" spans="2:10">
      <c r="B6" s="15" t="s">
        <v>16194</v>
      </c>
      <c r="C6" s="15" t="s">
        <v>16197</v>
      </c>
      <c r="D6" s="15" t="s">
        <v>16072</v>
      </c>
      <c r="E6" s="15" t="s">
        <v>305</v>
      </c>
      <c r="F6" s="15" t="s">
        <v>16198</v>
      </c>
      <c r="G6" s="15"/>
      <c r="H6" s="15"/>
      <c r="I6" s="15" t="s">
        <v>528</v>
      </c>
      <c r="J6" s="15" t="s">
        <v>15991</v>
      </c>
    </row>
    <row r="7" spans="2:10">
      <c r="B7" s="15" t="s">
        <v>16194</v>
      </c>
      <c r="C7" s="15" t="s">
        <v>16199</v>
      </c>
      <c r="D7" s="15" t="s">
        <v>16072</v>
      </c>
      <c r="E7" s="15" t="s">
        <v>305</v>
      </c>
      <c r="F7" s="15" t="s">
        <v>16200</v>
      </c>
      <c r="G7" s="15"/>
      <c r="H7" s="15"/>
      <c r="I7" s="15" t="s">
        <v>528</v>
      </c>
      <c r="J7" s="15" t="s">
        <v>15991</v>
      </c>
    </row>
    <row r="8" spans="2:10">
      <c r="B8" s="15" t="s">
        <v>16194</v>
      </c>
      <c r="C8" s="15" t="s">
        <v>16201</v>
      </c>
      <c r="D8" s="15" t="s">
        <v>363</v>
      </c>
      <c r="E8" s="15" t="s">
        <v>305</v>
      </c>
      <c r="F8" s="15" t="s">
        <v>16202</v>
      </c>
      <c r="G8" s="15"/>
      <c r="H8" s="15"/>
      <c r="I8" s="15" t="s">
        <v>528</v>
      </c>
      <c r="J8" s="15" t="s">
        <v>15991</v>
      </c>
    </row>
    <row r="9" spans="2:10">
      <c r="B9" s="15" t="s">
        <v>16194</v>
      </c>
      <c r="C9" s="15" t="s">
        <v>16203</v>
      </c>
      <c r="D9" s="15" t="s">
        <v>16056</v>
      </c>
      <c r="E9" s="15" t="s">
        <v>305</v>
      </c>
      <c r="F9" s="15" t="s">
        <v>16204</v>
      </c>
      <c r="G9" s="15"/>
      <c r="H9" s="15"/>
      <c r="I9" s="15" t="s">
        <v>528</v>
      </c>
      <c r="J9" s="15" t="s">
        <v>15991</v>
      </c>
    </row>
    <row r="10" spans="2:10">
      <c r="B10" s="15" t="s">
        <v>16194</v>
      </c>
      <c r="C10" s="15" t="s">
        <v>16205</v>
      </c>
      <c r="D10" s="15" t="s">
        <v>327</v>
      </c>
      <c r="E10" s="15" t="s">
        <v>305</v>
      </c>
      <c r="F10" s="15" t="s">
        <v>16206</v>
      </c>
      <c r="G10" s="15"/>
      <c r="H10" s="15"/>
      <c r="I10" s="15" t="s">
        <v>528</v>
      </c>
      <c r="J10" s="15" t="s">
        <v>15991</v>
      </c>
    </row>
    <row r="11" spans="2:10">
      <c r="B11" s="15" t="s">
        <v>16194</v>
      </c>
      <c r="C11" s="15" t="s">
        <v>16086</v>
      </c>
      <c r="D11" s="15" t="s">
        <v>327</v>
      </c>
      <c r="E11" s="15" t="s">
        <v>305</v>
      </c>
      <c r="F11" s="15" t="s">
        <v>301</v>
      </c>
      <c r="G11" s="15"/>
      <c r="H11" s="15"/>
      <c r="I11" s="15" t="s">
        <v>528</v>
      </c>
      <c r="J11" s="15" t="s">
        <v>15991</v>
      </c>
    </row>
    <row r="12" spans="2:10">
      <c r="B12" s="15" t="s">
        <v>16194</v>
      </c>
      <c r="C12" s="15" t="s">
        <v>16011</v>
      </c>
      <c r="D12" s="15" t="s">
        <v>316</v>
      </c>
      <c r="E12" s="15" t="s">
        <v>305</v>
      </c>
      <c r="F12" s="15" t="s">
        <v>16012</v>
      </c>
      <c r="G12" s="15"/>
      <c r="H12" s="15"/>
      <c r="I12" s="15" t="s">
        <v>528</v>
      </c>
      <c r="J12" s="15" t="s">
        <v>15991</v>
      </c>
    </row>
    <row r="13" spans="2:10">
      <c r="B13" s="15" t="s">
        <v>16194</v>
      </c>
      <c r="C13" s="15" t="s">
        <v>16009</v>
      </c>
      <c r="D13" s="15" t="s">
        <v>316</v>
      </c>
      <c r="E13" s="15" t="s">
        <v>305</v>
      </c>
      <c r="F13" s="15" t="s">
        <v>16010</v>
      </c>
      <c r="G13" s="15"/>
      <c r="H13" s="15"/>
      <c r="I13" s="15" t="s">
        <v>528</v>
      </c>
      <c r="J13" s="15" t="s">
        <v>15991</v>
      </c>
    </row>
    <row r="14" spans="2:10">
      <c r="B14" s="15" t="s">
        <v>16194</v>
      </c>
      <c r="C14" s="15" t="s">
        <v>16013</v>
      </c>
      <c r="D14" s="15" t="s">
        <v>371</v>
      </c>
      <c r="E14" s="15" t="s">
        <v>305</v>
      </c>
      <c r="F14" s="15" t="s">
        <v>16014</v>
      </c>
      <c r="G14" s="15"/>
      <c r="H14" s="15"/>
      <c r="I14" s="15" t="s">
        <v>528</v>
      </c>
      <c r="J14" s="15" t="s">
        <v>15991</v>
      </c>
    </row>
    <row r="15" spans="2:10">
      <c r="B15" s="15" t="s">
        <v>16194</v>
      </c>
      <c r="C15" s="15" t="s">
        <v>16017</v>
      </c>
      <c r="D15" s="15" t="s">
        <v>316</v>
      </c>
      <c r="E15" s="15" t="s">
        <v>305</v>
      </c>
      <c r="F15" s="15" t="s">
        <v>16018</v>
      </c>
      <c r="G15" s="15"/>
      <c r="H15" s="15"/>
      <c r="I15" s="15" t="s">
        <v>528</v>
      </c>
      <c r="J15" s="15" t="s">
        <v>15991</v>
      </c>
    </row>
    <row r="16" spans="2:10">
      <c r="B16" s="15" t="s">
        <v>16194</v>
      </c>
      <c r="C16" s="15" t="s">
        <v>16015</v>
      </c>
      <c r="D16" s="15" t="s">
        <v>316</v>
      </c>
      <c r="E16" s="15" t="s">
        <v>305</v>
      </c>
      <c r="F16" s="15" t="s">
        <v>16016</v>
      </c>
      <c r="G16" s="15"/>
      <c r="H16" s="15"/>
      <c r="I16" s="15" t="s">
        <v>528</v>
      </c>
      <c r="J16" s="15" t="s">
        <v>15991</v>
      </c>
    </row>
    <row r="17" spans="2:10">
      <c r="B17" s="15" t="s">
        <v>16194</v>
      </c>
      <c r="C17" s="15" t="s">
        <v>16019</v>
      </c>
      <c r="D17" s="15" t="s">
        <v>371</v>
      </c>
      <c r="E17" s="15" t="s">
        <v>305</v>
      </c>
      <c r="F17" s="15" t="s">
        <v>16020</v>
      </c>
      <c r="G17" s="15"/>
      <c r="H17" s="15"/>
      <c r="I17" s="15" t="s">
        <v>528</v>
      </c>
      <c r="J17" s="15" t="s">
        <v>15991</v>
      </c>
    </row>
    <row r="18" spans="2:10">
      <c r="B18" s="15" t="s">
        <v>16194</v>
      </c>
      <c r="C18" s="15" t="s">
        <v>16088</v>
      </c>
      <c r="D18" s="15" t="s">
        <v>316</v>
      </c>
      <c r="E18" s="15" t="s">
        <v>305</v>
      </c>
      <c r="F18" s="15" t="s">
        <v>16089</v>
      </c>
      <c r="G18" s="15"/>
      <c r="H18" s="15"/>
      <c r="I18" s="15" t="s">
        <v>528</v>
      </c>
      <c r="J18" s="15" t="s">
        <v>15991</v>
      </c>
    </row>
  </sheetData>
  <pageMargins left="0.75" right="0.75" top="1" bottom="1" header="0.5" footer="0.5"/>
  <pageSetup paperSize="1" orientation="portrait" horizontalDpi="300" verticalDpi="300"/>
  <headerFooter alignWithMargins="0" scaleWithDoc="0"/>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1"/>
  <sheetViews>
    <sheetView zoomScaleSheetLayoutView="60" workbookViewId="0">
      <selection activeCell="A1" sqref="A1"/>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1" t="str">
        <f>HYPERLINK("#表结构清单!A1","返回")</f>
        <v>返回</v>
      </c>
      <c r="B1" t="s">
        <v>13</v>
      </c>
    </row>
    <row r="2" spans="2:10">
      <c r="B2" s="13" t="s">
        <v>15982</v>
      </c>
      <c r="C2" s="13" t="s">
        <v>297</v>
      </c>
      <c r="D2" s="13" t="s">
        <v>11870</v>
      </c>
      <c r="E2" s="13" t="s">
        <v>15983</v>
      </c>
      <c r="F2" s="13" t="s">
        <v>15984</v>
      </c>
      <c r="G2" s="13" t="s">
        <v>300</v>
      </c>
      <c r="H2" s="13" t="s">
        <v>301</v>
      </c>
      <c r="I2" s="13" t="s">
        <v>15985</v>
      </c>
      <c r="J2" s="13" t="s">
        <v>15986</v>
      </c>
    </row>
    <row r="3" spans="2:10">
      <c r="B3" s="15" t="s">
        <v>16207</v>
      </c>
      <c r="C3" s="15" t="s">
        <v>16093</v>
      </c>
      <c r="D3" s="15" t="s">
        <v>316</v>
      </c>
      <c r="E3" s="15" t="s">
        <v>15989</v>
      </c>
      <c r="F3" s="15" t="s">
        <v>16094</v>
      </c>
      <c r="G3" s="15"/>
      <c r="H3" s="15"/>
      <c r="I3" s="15" t="s">
        <v>528</v>
      </c>
      <c r="J3" s="15" t="s">
        <v>15991</v>
      </c>
    </row>
    <row r="4" spans="2:10">
      <c r="B4" s="15" t="s">
        <v>16207</v>
      </c>
      <c r="C4" s="15" t="s">
        <v>16025</v>
      </c>
      <c r="D4" s="15" t="s">
        <v>316</v>
      </c>
      <c r="E4" s="15" t="s">
        <v>305</v>
      </c>
      <c r="F4" s="15" t="s">
        <v>16026</v>
      </c>
      <c r="G4" s="15"/>
      <c r="H4" s="15"/>
      <c r="I4" s="15" t="s">
        <v>528</v>
      </c>
      <c r="J4" s="15" t="s">
        <v>15991</v>
      </c>
    </row>
    <row r="5" spans="2:10">
      <c r="B5" s="15" t="s">
        <v>16207</v>
      </c>
      <c r="C5" s="15" t="s">
        <v>16086</v>
      </c>
      <c r="D5" s="15" t="s">
        <v>16087</v>
      </c>
      <c r="E5" s="15" t="s">
        <v>305</v>
      </c>
      <c r="F5" s="15" t="s">
        <v>301</v>
      </c>
      <c r="G5" s="15"/>
      <c r="H5" s="15"/>
      <c r="I5" s="15" t="s">
        <v>528</v>
      </c>
      <c r="J5" s="15" t="s">
        <v>15991</v>
      </c>
    </row>
    <row r="6" spans="2:10">
      <c r="B6" s="15" t="s">
        <v>16207</v>
      </c>
      <c r="C6" s="15" t="s">
        <v>16011</v>
      </c>
      <c r="D6" s="15" t="s">
        <v>316</v>
      </c>
      <c r="E6" s="15" t="s">
        <v>305</v>
      </c>
      <c r="F6" s="15" t="s">
        <v>16012</v>
      </c>
      <c r="G6" s="15"/>
      <c r="H6" s="15"/>
      <c r="I6" s="15" t="s">
        <v>528</v>
      </c>
      <c r="J6" s="15" t="s">
        <v>15991</v>
      </c>
    </row>
    <row r="7" spans="2:10">
      <c r="B7" s="15" t="s">
        <v>16207</v>
      </c>
      <c r="C7" s="15" t="s">
        <v>16009</v>
      </c>
      <c r="D7" s="15" t="s">
        <v>316</v>
      </c>
      <c r="E7" s="15" t="s">
        <v>305</v>
      </c>
      <c r="F7" s="15" t="s">
        <v>16010</v>
      </c>
      <c r="G7" s="15"/>
      <c r="H7" s="15"/>
      <c r="I7" s="15" t="s">
        <v>528</v>
      </c>
      <c r="J7" s="15" t="s">
        <v>15991</v>
      </c>
    </row>
    <row r="8" spans="2:10">
      <c r="B8" s="15" t="s">
        <v>16207</v>
      </c>
      <c r="C8" s="15" t="s">
        <v>16013</v>
      </c>
      <c r="D8" s="15" t="s">
        <v>371</v>
      </c>
      <c r="E8" s="15" t="s">
        <v>305</v>
      </c>
      <c r="F8" s="15" t="s">
        <v>16014</v>
      </c>
      <c r="G8" s="15"/>
      <c r="H8" s="15"/>
      <c r="I8" s="15" t="s">
        <v>528</v>
      </c>
      <c r="J8" s="15" t="s">
        <v>15991</v>
      </c>
    </row>
    <row r="9" spans="2:10">
      <c r="B9" s="15" t="s">
        <v>16207</v>
      </c>
      <c r="C9" s="15" t="s">
        <v>16017</v>
      </c>
      <c r="D9" s="15" t="s">
        <v>316</v>
      </c>
      <c r="E9" s="15" t="s">
        <v>305</v>
      </c>
      <c r="F9" s="15" t="s">
        <v>16018</v>
      </c>
      <c r="G9" s="15"/>
      <c r="H9" s="15"/>
      <c r="I9" s="15" t="s">
        <v>528</v>
      </c>
      <c r="J9" s="15" t="s">
        <v>15991</v>
      </c>
    </row>
    <row r="10" spans="2:10">
      <c r="B10" s="15" t="s">
        <v>16207</v>
      </c>
      <c r="C10" s="15" t="s">
        <v>16015</v>
      </c>
      <c r="D10" s="15" t="s">
        <v>316</v>
      </c>
      <c r="E10" s="15" t="s">
        <v>305</v>
      </c>
      <c r="F10" s="15" t="s">
        <v>16016</v>
      </c>
      <c r="G10" s="15"/>
      <c r="H10" s="15"/>
      <c r="I10" s="15" t="s">
        <v>528</v>
      </c>
      <c r="J10" s="15" t="s">
        <v>15991</v>
      </c>
    </row>
    <row r="11" spans="2:10">
      <c r="B11" s="15" t="s">
        <v>16207</v>
      </c>
      <c r="C11" s="15" t="s">
        <v>16019</v>
      </c>
      <c r="D11" s="15" t="s">
        <v>371</v>
      </c>
      <c r="E11" s="15" t="s">
        <v>305</v>
      </c>
      <c r="F11" s="15" t="s">
        <v>16020</v>
      </c>
      <c r="G11" s="15"/>
      <c r="H11" s="15"/>
      <c r="I11" s="15" t="s">
        <v>528</v>
      </c>
      <c r="J11" s="15" t="s">
        <v>15991</v>
      </c>
    </row>
  </sheetData>
  <pageMargins left="0.75" right="0.75" top="1" bottom="1" header="0.5" footer="0.5"/>
  <pageSetup paperSize="1" orientation="portrait" horizontalDpi="300" verticalDpi="300"/>
  <headerFooter alignWithMargins="0" scaleWithDoc="0"/>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1"/>
  <sheetViews>
    <sheetView zoomScaleSheetLayoutView="60" workbookViewId="0">
      <selection activeCell="F11" sqref="F11"/>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52" t="str">
        <f>HYPERLINK("#表结构清单!A1","返回")</f>
        <v>返回</v>
      </c>
      <c r="B1" t="s">
        <v>14</v>
      </c>
    </row>
    <row r="2" spans="2:10">
      <c r="B2" s="13" t="s">
        <v>15982</v>
      </c>
      <c r="C2" s="13" t="s">
        <v>297</v>
      </c>
      <c r="D2" s="13" t="s">
        <v>11870</v>
      </c>
      <c r="E2" s="13" t="s">
        <v>15983</v>
      </c>
      <c r="F2" s="13" t="s">
        <v>15984</v>
      </c>
      <c r="G2" s="13" t="s">
        <v>300</v>
      </c>
      <c r="H2" s="13" t="s">
        <v>301</v>
      </c>
      <c r="I2" s="13" t="s">
        <v>15985</v>
      </c>
      <c r="J2" s="13" t="s">
        <v>15986</v>
      </c>
    </row>
    <row r="3" spans="2:10">
      <c r="B3" s="15" t="s">
        <v>16208</v>
      </c>
      <c r="C3" s="15" t="s">
        <v>16172</v>
      </c>
      <c r="D3" s="15" t="s">
        <v>316</v>
      </c>
      <c r="E3" s="15" t="s">
        <v>15989</v>
      </c>
      <c r="F3" s="15" t="s">
        <v>16209</v>
      </c>
      <c r="G3" s="15"/>
      <c r="H3" s="15"/>
      <c r="I3" s="15" t="s">
        <v>528</v>
      </c>
      <c r="J3" s="15" t="s">
        <v>15991</v>
      </c>
    </row>
    <row r="4" spans="2:10">
      <c r="B4" s="15" t="s">
        <v>16208</v>
      </c>
      <c r="C4" s="15" t="s">
        <v>16210</v>
      </c>
      <c r="D4" s="15" t="s">
        <v>327</v>
      </c>
      <c r="E4" s="15" t="s">
        <v>305</v>
      </c>
      <c r="F4" s="15" t="s">
        <v>16211</v>
      </c>
      <c r="G4" s="15"/>
      <c r="H4" s="15"/>
      <c r="I4" s="15" t="s">
        <v>528</v>
      </c>
      <c r="J4" s="15" t="s">
        <v>15991</v>
      </c>
    </row>
    <row r="5" spans="2:10">
      <c r="B5" s="15" t="s">
        <v>16208</v>
      </c>
      <c r="C5" s="15" t="s">
        <v>16212</v>
      </c>
      <c r="D5" s="15" t="s">
        <v>327</v>
      </c>
      <c r="E5" s="15" t="s">
        <v>305</v>
      </c>
      <c r="F5" s="15" t="s">
        <v>16213</v>
      </c>
      <c r="G5" s="15"/>
      <c r="H5" s="15"/>
      <c r="I5" s="15" t="s">
        <v>528</v>
      </c>
      <c r="J5" s="15" t="s">
        <v>15991</v>
      </c>
    </row>
    <row r="6" spans="2:10">
      <c r="B6" s="15" t="s">
        <v>16208</v>
      </c>
      <c r="C6" s="15" t="s">
        <v>16214</v>
      </c>
      <c r="D6" s="15" t="s">
        <v>327</v>
      </c>
      <c r="E6" s="15" t="s">
        <v>305</v>
      </c>
      <c r="F6" s="15" t="s">
        <v>16215</v>
      </c>
      <c r="G6" s="15"/>
      <c r="H6" s="15"/>
      <c r="I6" s="15" t="s">
        <v>528</v>
      </c>
      <c r="J6" s="15" t="s">
        <v>15991</v>
      </c>
    </row>
    <row r="7" spans="2:10">
      <c r="B7" s="15" t="s">
        <v>16208</v>
      </c>
      <c r="C7" s="15" t="s">
        <v>16216</v>
      </c>
      <c r="D7" s="15" t="s">
        <v>513</v>
      </c>
      <c r="E7" s="15" t="s">
        <v>305</v>
      </c>
      <c r="F7" s="15" t="s">
        <v>16217</v>
      </c>
      <c r="G7" s="15"/>
      <c r="H7" s="15"/>
      <c r="I7" s="15" t="s">
        <v>528</v>
      </c>
      <c r="J7" s="15" t="s">
        <v>15991</v>
      </c>
    </row>
    <row r="8" spans="2:10">
      <c r="B8" s="15" t="s">
        <v>16208</v>
      </c>
      <c r="C8" s="15" t="s">
        <v>16218</v>
      </c>
      <c r="D8" s="15" t="s">
        <v>316</v>
      </c>
      <c r="E8" s="15" t="s">
        <v>305</v>
      </c>
      <c r="F8" s="15" t="s">
        <v>16219</v>
      </c>
      <c r="G8" s="15"/>
      <c r="H8" s="15"/>
      <c r="I8" s="15" t="s">
        <v>528</v>
      </c>
      <c r="J8" s="15" t="s">
        <v>15991</v>
      </c>
    </row>
    <row r="9" spans="2:10">
      <c r="B9" s="15" t="s">
        <v>16208</v>
      </c>
      <c r="C9" s="15" t="s">
        <v>16220</v>
      </c>
      <c r="D9" s="15" t="s">
        <v>16056</v>
      </c>
      <c r="E9" s="15" t="s">
        <v>305</v>
      </c>
      <c r="F9" s="15" t="s">
        <v>16221</v>
      </c>
      <c r="G9" s="15"/>
      <c r="H9" s="15"/>
      <c r="I9" s="15" t="s">
        <v>528</v>
      </c>
      <c r="J9" s="15" t="s">
        <v>15991</v>
      </c>
    </row>
    <row r="10" spans="2:10">
      <c r="B10" s="15" t="s">
        <v>16208</v>
      </c>
      <c r="C10" s="15" t="s">
        <v>16222</v>
      </c>
      <c r="D10" s="15" t="s">
        <v>316</v>
      </c>
      <c r="E10" s="15" t="s">
        <v>305</v>
      </c>
      <c r="F10" s="15" t="s">
        <v>16223</v>
      </c>
      <c r="G10" s="15"/>
      <c r="H10" s="15"/>
      <c r="I10" s="15" t="s">
        <v>528</v>
      </c>
      <c r="J10" s="15" t="s">
        <v>15991</v>
      </c>
    </row>
    <row r="11" spans="2:10">
      <c r="B11" s="15" t="s">
        <v>16208</v>
      </c>
      <c r="C11" s="15" t="s">
        <v>16224</v>
      </c>
      <c r="D11" s="15" t="s">
        <v>316</v>
      </c>
      <c r="E11" s="15" t="s">
        <v>305</v>
      </c>
      <c r="F11" s="53" t="s">
        <v>16225</v>
      </c>
      <c r="G11" s="15"/>
      <c r="H11" s="15"/>
      <c r="I11" s="15" t="s">
        <v>528</v>
      </c>
      <c r="J11" s="15" t="s">
        <v>15991</v>
      </c>
    </row>
  </sheetData>
  <pageMargins left="0.75" right="0.75" top="1" bottom="1" header="0.5" footer="0.5"/>
  <pageSetup paperSize="1" orientation="portrait" horizontalDpi="300" verticalDpi="300"/>
  <headerFooter alignWithMargins="0" scaleWithDoc="0"/>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7"/>
  <sheetViews>
    <sheetView zoomScaleSheetLayoutView="60" workbookViewId="0">
      <selection activeCell="C20" sqref="C20"/>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51" t="str">
        <f>HYPERLINK("#表结构清单!A1","返回")</f>
        <v>返回</v>
      </c>
      <c r="B1" t="s">
        <v>16226</v>
      </c>
    </row>
    <row r="2" spans="2:10">
      <c r="B2" s="13" t="s">
        <v>15982</v>
      </c>
      <c r="C2" s="13" t="s">
        <v>297</v>
      </c>
      <c r="D2" s="13" t="s">
        <v>11870</v>
      </c>
      <c r="E2" s="13" t="s">
        <v>15983</v>
      </c>
      <c r="F2" s="13" t="s">
        <v>15984</v>
      </c>
      <c r="G2" s="13" t="s">
        <v>300</v>
      </c>
      <c r="H2" s="13" t="s">
        <v>301</v>
      </c>
      <c r="I2" s="13" t="s">
        <v>15985</v>
      </c>
      <c r="J2" s="13" t="s">
        <v>15986</v>
      </c>
    </row>
    <row r="3" spans="2:10">
      <c r="B3" s="15" t="s">
        <v>16227</v>
      </c>
      <c r="C3" s="15" t="s">
        <v>16228</v>
      </c>
      <c r="D3" s="15" t="s">
        <v>316</v>
      </c>
      <c r="E3" s="15" t="s">
        <v>15989</v>
      </c>
      <c r="F3" s="15" t="s">
        <v>16229</v>
      </c>
      <c r="G3" s="15"/>
      <c r="H3" s="15"/>
      <c r="I3" s="15" t="s">
        <v>528</v>
      </c>
      <c r="J3" s="15" t="s">
        <v>15991</v>
      </c>
    </row>
    <row r="4" spans="2:10">
      <c r="B4" s="15" t="s">
        <v>16227</v>
      </c>
      <c r="C4" s="15" t="s">
        <v>16230</v>
      </c>
      <c r="D4" s="15" t="s">
        <v>513</v>
      </c>
      <c r="E4" s="15" t="s">
        <v>305</v>
      </c>
      <c r="F4" s="15" t="s">
        <v>16231</v>
      </c>
      <c r="G4" s="15"/>
      <c r="H4" s="15"/>
      <c r="I4" s="15" t="s">
        <v>528</v>
      </c>
      <c r="J4" s="15" t="s">
        <v>15991</v>
      </c>
    </row>
    <row r="5" spans="2:10">
      <c r="B5" s="15" t="s">
        <v>16227</v>
      </c>
      <c r="C5" s="15" t="s">
        <v>16232</v>
      </c>
      <c r="D5" s="15" t="s">
        <v>327</v>
      </c>
      <c r="E5" s="15" t="s">
        <v>305</v>
      </c>
      <c r="F5" s="15" t="s">
        <v>16233</v>
      </c>
      <c r="G5" s="15"/>
      <c r="H5" s="15"/>
      <c r="I5" s="15" t="s">
        <v>528</v>
      </c>
      <c r="J5" s="15" t="s">
        <v>15991</v>
      </c>
    </row>
    <row r="6" spans="2:10">
      <c r="B6" s="15" t="s">
        <v>16227</v>
      </c>
      <c r="C6" s="15" t="s">
        <v>16234</v>
      </c>
      <c r="D6" s="15" t="s">
        <v>327</v>
      </c>
      <c r="E6" s="15" t="s">
        <v>305</v>
      </c>
      <c r="F6" s="15" t="s">
        <v>16235</v>
      </c>
      <c r="G6" s="15"/>
      <c r="H6" s="15"/>
      <c r="I6" s="15" t="s">
        <v>528</v>
      </c>
      <c r="J6" s="15" t="s">
        <v>15991</v>
      </c>
    </row>
    <row r="7" spans="2:10">
      <c r="B7" s="15" t="s">
        <v>16227</v>
      </c>
      <c r="C7" s="15" t="s">
        <v>16009</v>
      </c>
      <c r="D7" s="15" t="s">
        <v>316</v>
      </c>
      <c r="E7" s="15" t="s">
        <v>305</v>
      </c>
      <c r="F7" s="15" t="s">
        <v>16010</v>
      </c>
      <c r="G7" s="15"/>
      <c r="H7" s="15"/>
      <c r="I7" s="15" t="s">
        <v>528</v>
      </c>
      <c r="J7" s="15" t="s">
        <v>15991</v>
      </c>
    </row>
    <row r="8" spans="2:10">
      <c r="B8" s="15" t="s">
        <v>16227</v>
      </c>
      <c r="C8" s="15" t="s">
        <v>16011</v>
      </c>
      <c r="D8" s="15" t="s">
        <v>316</v>
      </c>
      <c r="E8" s="15" t="s">
        <v>305</v>
      </c>
      <c r="F8" s="15" t="s">
        <v>16012</v>
      </c>
      <c r="G8" s="15"/>
      <c r="H8" s="15"/>
      <c r="I8" s="15" t="s">
        <v>528</v>
      </c>
      <c r="J8" s="15" t="s">
        <v>15991</v>
      </c>
    </row>
    <row r="9" spans="2:10">
      <c r="B9" s="15" t="s">
        <v>16227</v>
      </c>
      <c r="C9" s="15" t="s">
        <v>16013</v>
      </c>
      <c r="D9" s="15" t="s">
        <v>371</v>
      </c>
      <c r="E9" s="15" t="s">
        <v>305</v>
      </c>
      <c r="F9" s="15" t="s">
        <v>16014</v>
      </c>
      <c r="G9" s="15"/>
      <c r="H9" s="15"/>
      <c r="I9" s="15" t="s">
        <v>528</v>
      </c>
      <c r="J9" s="15" t="s">
        <v>15991</v>
      </c>
    </row>
    <row r="10" spans="2:10">
      <c r="B10" s="15" t="s">
        <v>16227</v>
      </c>
      <c r="C10" s="15" t="s">
        <v>16015</v>
      </c>
      <c r="D10" s="15" t="s">
        <v>316</v>
      </c>
      <c r="E10" s="15" t="s">
        <v>305</v>
      </c>
      <c r="F10" s="15" t="s">
        <v>16016</v>
      </c>
      <c r="G10" s="15"/>
      <c r="H10" s="15"/>
      <c r="I10" s="15" t="s">
        <v>528</v>
      </c>
      <c r="J10" s="15" t="s">
        <v>15991</v>
      </c>
    </row>
    <row r="11" spans="2:10">
      <c r="B11" s="15" t="s">
        <v>16227</v>
      </c>
      <c r="C11" s="15" t="s">
        <v>16017</v>
      </c>
      <c r="D11" s="15" t="s">
        <v>316</v>
      </c>
      <c r="E11" s="15" t="s">
        <v>305</v>
      </c>
      <c r="F11" s="15" t="s">
        <v>16018</v>
      </c>
      <c r="G11" s="15"/>
      <c r="H11" s="15"/>
      <c r="I11" s="15" t="s">
        <v>528</v>
      </c>
      <c r="J11" s="15" t="s">
        <v>15991</v>
      </c>
    </row>
    <row r="12" spans="2:10">
      <c r="B12" s="15" t="s">
        <v>16227</v>
      </c>
      <c r="C12" s="15" t="s">
        <v>16019</v>
      </c>
      <c r="D12" s="15" t="s">
        <v>371</v>
      </c>
      <c r="E12" s="15" t="s">
        <v>305</v>
      </c>
      <c r="F12" s="15" t="s">
        <v>16236</v>
      </c>
      <c r="G12" s="15"/>
      <c r="H12" s="15"/>
      <c r="I12" s="15" t="s">
        <v>528</v>
      </c>
      <c r="J12" s="15" t="s">
        <v>15991</v>
      </c>
    </row>
    <row r="13" spans="2:10">
      <c r="B13" s="15" t="s">
        <v>16227</v>
      </c>
      <c r="C13" s="15" t="s">
        <v>16237</v>
      </c>
      <c r="D13" s="15" t="s">
        <v>371</v>
      </c>
      <c r="E13" s="15" t="s">
        <v>305</v>
      </c>
      <c r="F13" s="15" t="s">
        <v>16238</v>
      </c>
      <c r="G13" s="15"/>
      <c r="H13" s="15"/>
      <c r="I13" s="15" t="s">
        <v>528</v>
      </c>
      <c r="J13" s="15" t="s">
        <v>15991</v>
      </c>
    </row>
    <row r="14" spans="2:10">
      <c r="B14" s="15" t="s">
        <v>16227</v>
      </c>
      <c r="C14" s="15" t="s">
        <v>16239</v>
      </c>
      <c r="D14" s="15" t="s">
        <v>371</v>
      </c>
      <c r="E14" s="15" t="s">
        <v>305</v>
      </c>
      <c r="F14" s="15" t="s">
        <v>16236</v>
      </c>
      <c r="G14" s="15"/>
      <c r="H14" s="15"/>
      <c r="I14" s="15" t="s">
        <v>528</v>
      </c>
      <c r="J14" s="15" t="s">
        <v>15991</v>
      </c>
    </row>
    <row r="15" spans="2:10">
      <c r="B15" s="15" t="s">
        <v>16227</v>
      </c>
      <c r="C15" s="15" t="s">
        <v>16053</v>
      </c>
      <c r="D15" s="15" t="s">
        <v>506</v>
      </c>
      <c r="E15" s="15" t="s">
        <v>305</v>
      </c>
      <c r="F15" s="15" t="s">
        <v>16240</v>
      </c>
      <c r="G15" s="15"/>
      <c r="H15" s="15"/>
      <c r="I15" s="15" t="s">
        <v>528</v>
      </c>
      <c r="J15" s="15" t="s">
        <v>15991</v>
      </c>
    </row>
    <row r="16" spans="2:10">
      <c r="B16" s="15" t="s">
        <v>16227</v>
      </c>
      <c r="C16" s="15" t="s">
        <v>16241</v>
      </c>
      <c r="D16" s="15" t="s">
        <v>506</v>
      </c>
      <c r="E16" s="15" t="s">
        <v>305</v>
      </c>
      <c r="F16" s="15" t="s">
        <v>16242</v>
      </c>
      <c r="G16" s="15"/>
      <c r="H16" s="15"/>
      <c r="I16" s="15" t="s">
        <v>528</v>
      </c>
      <c r="J16" s="15" t="s">
        <v>15991</v>
      </c>
    </row>
    <row r="17" spans="2:10">
      <c r="B17" s="15" t="s">
        <v>16227</v>
      </c>
      <c r="C17" s="15" t="s">
        <v>16243</v>
      </c>
      <c r="D17" s="15" t="s">
        <v>506</v>
      </c>
      <c r="E17" s="15" t="s">
        <v>305</v>
      </c>
      <c r="F17" s="15" t="s">
        <v>16018</v>
      </c>
      <c r="G17" s="15"/>
      <c r="H17" s="15"/>
      <c r="I17" s="15" t="s">
        <v>528</v>
      </c>
      <c r="J17" s="15" t="s">
        <v>15991</v>
      </c>
    </row>
  </sheetData>
  <pageMargins left="0.75" right="0.75" top="1" bottom="1" header="0.5" footer="0.5"/>
  <pageSetup paperSize="1" orientation="portrait" horizontalDpi="300" verticalDpi="300"/>
  <headerFooter alignWithMargins="0" scaleWithDoc="0"/>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5"/>
  <sheetViews>
    <sheetView zoomScaleSheetLayoutView="60" workbookViewId="0">
      <selection activeCell="F23" sqref="F23"/>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52" t="str">
        <f>HYPERLINK("#表结构清单!A1","返回")</f>
        <v>返回</v>
      </c>
      <c r="B1" t="s">
        <v>16244</v>
      </c>
    </row>
    <row r="2" spans="2:10">
      <c r="B2" s="13" t="s">
        <v>15982</v>
      </c>
      <c r="C2" s="13" t="s">
        <v>297</v>
      </c>
      <c r="D2" s="13" t="s">
        <v>11870</v>
      </c>
      <c r="E2" s="13" t="s">
        <v>15983</v>
      </c>
      <c r="F2" s="13" t="s">
        <v>15984</v>
      </c>
      <c r="G2" s="13" t="s">
        <v>300</v>
      </c>
      <c r="H2" s="13" t="s">
        <v>301</v>
      </c>
      <c r="I2" s="13" t="s">
        <v>15985</v>
      </c>
      <c r="J2" s="13" t="s">
        <v>15986</v>
      </c>
    </row>
    <row r="3" spans="2:10">
      <c r="B3" s="15" t="s">
        <v>16245</v>
      </c>
      <c r="C3" s="15" t="s">
        <v>16246</v>
      </c>
      <c r="D3" s="15" t="s">
        <v>506</v>
      </c>
      <c r="E3" s="15" t="s">
        <v>15989</v>
      </c>
      <c r="F3" s="15" t="s">
        <v>16247</v>
      </c>
      <c r="G3" s="15"/>
      <c r="H3" s="15"/>
      <c r="I3" s="15" t="s">
        <v>528</v>
      </c>
      <c r="J3" s="15" t="s">
        <v>15991</v>
      </c>
    </row>
    <row r="4" spans="2:10">
      <c r="B4" s="15" t="s">
        <v>16245</v>
      </c>
      <c r="C4" s="15" t="s">
        <v>16248</v>
      </c>
      <c r="D4" s="15" t="s">
        <v>506</v>
      </c>
      <c r="E4" s="15" t="s">
        <v>305</v>
      </c>
      <c r="F4" s="15" t="s">
        <v>11462</v>
      </c>
      <c r="G4" s="15"/>
      <c r="H4" s="15"/>
      <c r="I4" s="15" t="s">
        <v>528</v>
      </c>
      <c r="J4" s="15" t="s">
        <v>15991</v>
      </c>
    </row>
    <row r="5" spans="2:10">
      <c r="B5" s="15" t="s">
        <v>16245</v>
      </c>
      <c r="C5" s="15" t="s">
        <v>16249</v>
      </c>
      <c r="D5" s="15" t="s">
        <v>327</v>
      </c>
      <c r="E5" s="15" t="s">
        <v>305</v>
      </c>
      <c r="F5" s="15" t="s">
        <v>16250</v>
      </c>
      <c r="G5" s="15"/>
      <c r="H5" s="15"/>
      <c r="I5" s="15" t="s">
        <v>528</v>
      </c>
      <c r="J5" s="15" t="s">
        <v>15991</v>
      </c>
    </row>
    <row r="6" spans="2:10">
      <c r="B6" s="15" t="s">
        <v>16245</v>
      </c>
      <c r="C6" s="15" t="s">
        <v>16251</v>
      </c>
      <c r="D6" s="15" t="s">
        <v>513</v>
      </c>
      <c r="E6" s="15" t="s">
        <v>305</v>
      </c>
      <c r="F6" s="15" t="s">
        <v>16252</v>
      </c>
      <c r="G6" s="15"/>
      <c r="H6" s="15"/>
      <c r="I6" s="15" t="s">
        <v>528</v>
      </c>
      <c r="J6" s="15" t="s">
        <v>15991</v>
      </c>
    </row>
    <row r="7" spans="2:10">
      <c r="B7" s="15" t="s">
        <v>16245</v>
      </c>
      <c r="C7" s="15" t="s">
        <v>16253</v>
      </c>
      <c r="D7" s="15" t="s">
        <v>513</v>
      </c>
      <c r="E7" s="15" t="s">
        <v>305</v>
      </c>
      <c r="F7" s="15" t="s">
        <v>16254</v>
      </c>
      <c r="G7" s="15"/>
      <c r="H7" s="15"/>
      <c r="I7" s="15" t="s">
        <v>528</v>
      </c>
      <c r="J7" s="15" t="s">
        <v>15991</v>
      </c>
    </row>
    <row r="8" spans="2:10">
      <c r="B8" s="15" t="s">
        <v>16245</v>
      </c>
      <c r="C8" s="15" t="s">
        <v>16255</v>
      </c>
      <c r="D8" s="15" t="s">
        <v>321</v>
      </c>
      <c r="E8" s="15" t="s">
        <v>305</v>
      </c>
      <c r="F8" s="15" t="s">
        <v>2211</v>
      </c>
      <c r="G8" s="15"/>
      <c r="H8" s="15"/>
      <c r="I8" s="15" t="s">
        <v>528</v>
      </c>
      <c r="J8" s="15" t="s">
        <v>15991</v>
      </c>
    </row>
    <row r="9" spans="2:10">
      <c r="B9" s="15" t="s">
        <v>16245</v>
      </c>
      <c r="C9" s="15" t="s">
        <v>16256</v>
      </c>
      <c r="D9" s="15" t="s">
        <v>16072</v>
      </c>
      <c r="E9" s="15" t="s">
        <v>305</v>
      </c>
      <c r="F9" s="15" t="s">
        <v>16257</v>
      </c>
      <c r="G9" s="15"/>
      <c r="H9" s="15"/>
      <c r="I9" s="15" t="s">
        <v>528</v>
      </c>
      <c r="J9" s="15" t="s">
        <v>15991</v>
      </c>
    </row>
    <row r="10" spans="2:10">
      <c r="B10" s="15" t="s">
        <v>16245</v>
      </c>
      <c r="C10" s="15" t="s">
        <v>16258</v>
      </c>
      <c r="D10" s="15" t="s">
        <v>316</v>
      </c>
      <c r="E10" s="15" t="s">
        <v>305</v>
      </c>
      <c r="F10" s="15" t="s">
        <v>16259</v>
      </c>
      <c r="G10" s="15"/>
      <c r="H10" s="15"/>
      <c r="I10" s="15" t="s">
        <v>528</v>
      </c>
      <c r="J10" s="15" t="s">
        <v>15991</v>
      </c>
    </row>
    <row r="11" spans="2:10">
      <c r="B11" s="15" t="s">
        <v>16245</v>
      </c>
      <c r="C11" s="15" t="s">
        <v>16260</v>
      </c>
      <c r="D11" s="15" t="s">
        <v>327</v>
      </c>
      <c r="E11" s="15" t="s">
        <v>305</v>
      </c>
      <c r="F11" s="15" t="s">
        <v>16261</v>
      </c>
      <c r="G11" s="15"/>
      <c r="H11" s="15"/>
      <c r="I11" s="15" t="s">
        <v>528</v>
      </c>
      <c r="J11" s="15" t="s">
        <v>15991</v>
      </c>
    </row>
    <row r="12" spans="2:10">
      <c r="B12" s="15" t="s">
        <v>16245</v>
      </c>
      <c r="C12" s="15" t="s">
        <v>16262</v>
      </c>
      <c r="D12" s="15" t="s">
        <v>16115</v>
      </c>
      <c r="E12" s="15" t="s">
        <v>305</v>
      </c>
      <c r="F12" s="15" t="s">
        <v>16263</v>
      </c>
      <c r="G12" s="15"/>
      <c r="H12" s="15"/>
      <c r="I12" s="15" t="s">
        <v>528</v>
      </c>
      <c r="J12" s="15" t="s">
        <v>15991</v>
      </c>
    </row>
    <row r="13" spans="2:10">
      <c r="B13" s="15" t="s">
        <v>16245</v>
      </c>
      <c r="C13" s="15" t="s">
        <v>16264</v>
      </c>
      <c r="D13" s="15" t="s">
        <v>16115</v>
      </c>
      <c r="E13" s="15" t="s">
        <v>305</v>
      </c>
      <c r="F13" s="15" t="s">
        <v>16265</v>
      </c>
      <c r="G13" s="15"/>
      <c r="H13" s="15"/>
      <c r="I13" s="15" t="s">
        <v>528</v>
      </c>
      <c r="J13" s="15" t="s">
        <v>15991</v>
      </c>
    </row>
    <row r="14" spans="2:10">
      <c r="B14" s="15" t="s">
        <v>16245</v>
      </c>
      <c r="C14" s="15" t="s">
        <v>16266</v>
      </c>
      <c r="D14" s="15" t="s">
        <v>16087</v>
      </c>
      <c r="E14" s="15" t="s">
        <v>305</v>
      </c>
      <c r="F14" s="15" t="s">
        <v>16267</v>
      </c>
      <c r="G14" s="15"/>
      <c r="H14" s="15"/>
      <c r="I14" s="15" t="s">
        <v>528</v>
      </c>
      <c r="J14" s="15" t="s">
        <v>15991</v>
      </c>
    </row>
    <row r="15" spans="2:10">
      <c r="B15" s="15" t="s">
        <v>16245</v>
      </c>
      <c r="C15" s="15" t="s">
        <v>16268</v>
      </c>
      <c r="D15" s="15" t="s">
        <v>16087</v>
      </c>
      <c r="E15" s="15" t="s">
        <v>305</v>
      </c>
      <c r="F15" s="15" t="s">
        <v>16269</v>
      </c>
      <c r="G15" s="15"/>
      <c r="H15" s="15"/>
      <c r="I15" s="15" t="s">
        <v>528</v>
      </c>
      <c r="J15" s="15" t="s">
        <v>15991</v>
      </c>
    </row>
    <row r="16" spans="2:10">
      <c r="B16" s="15" t="s">
        <v>16245</v>
      </c>
      <c r="C16" s="15" t="s">
        <v>16270</v>
      </c>
      <c r="D16" s="15" t="s">
        <v>327</v>
      </c>
      <c r="E16" s="15" t="s">
        <v>305</v>
      </c>
      <c r="F16" s="15" t="s">
        <v>16271</v>
      </c>
      <c r="G16" s="15"/>
      <c r="H16" s="15"/>
      <c r="I16" s="15" t="s">
        <v>528</v>
      </c>
      <c r="J16" s="15" t="s">
        <v>15991</v>
      </c>
    </row>
    <row r="17" spans="2:10">
      <c r="B17" s="15" t="s">
        <v>16245</v>
      </c>
      <c r="C17" s="15" t="s">
        <v>16272</v>
      </c>
      <c r="D17" s="15" t="s">
        <v>16072</v>
      </c>
      <c r="E17" s="15" t="s">
        <v>305</v>
      </c>
      <c r="F17" s="15" t="s">
        <v>16273</v>
      </c>
      <c r="G17" s="15"/>
      <c r="H17" s="15"/>
      <c r="I17" s="15" t="s">
        <v>528</v>
      </c>
      <c r="J17" s="15" t="s">
        <v>15991</v>
      </c>
    </row>
    <row r="18" spans="2:10">
      <c r="B18" s="15" t="s">
        <v>16245</v>
      </c>
      <c r="C18" s="15" t="s">
        <v>16053</v>
      </c>
      <c r="D18" s="15" t="s">
        <v>316</v>
      </c>
      <c r="E18" s="15" t="s">
        <v>305</v>
      </c>
      <c r="F18" s="15" t="s">
        <v>16012</v>
      </c>
      <c r="G18" s="15"/>
      <c r="H18" s="15"/>
      <c r="I18" s="15" t="s">
        <v>528</v>
      </c>
      <c r="J18" s="15" t="s">
        <v>15991</v>
      </c>
    </row>
    <row r="19" spans="2:10">
      <c r="B19" s="15" t="s">
        <v>16245</v>
      </c>
      <c r="C19" s="15" t="s">
        <v>16237</v>
      </c>
      <c r="D19" s="15" t="s">
        <v>371</v>
      </c>
      <c r="E19" s="15" t="s">
        <v>305</v>
      </c>
      <c r="F19" s="15" t="s">
        <v>16274</v>
      </c>
      <c r="G19" s="15"/>
      <c r="H19" s="15"/>
      <c r="I19" s="15" t="s">
        <v>528</v>
      </c>
      <c r="J19" s="15" t="s">
        <v>15991</v>
      </c>
    </row>
    <row r="20" spans="2:10">
      <c r="B20" s="15" t="s">
        <v>16245</v>
      </c>
      <c r="C20" s="15" t="s">
        <v>16243</v>
      </c>
      <c r="D20" s="15" t="s">
        <v>316</v>
      </c>
      <c r="E20" s="15" t="s">
        <v>305</v>
      </c>
      <c r="F20" s="15" t="s">
        <v>16018</v>
      </c>
      <c r="G20" s="15"/>
      <c r="H20" s="15"/>
      <c r="I20" s="15" t="s">
        <v>528</v>
      </c>
      <c r="J20" s="15" t="s">
        <v>15991</v>
      </c>
    </row>
    <row r="21" spans="2:10">
      <c r="B21" s="15" t="s">
        <v>16245</v>
      </c>
      <c r="C21" s="15" t="s">
        <v>16239</v>
      </c>
      <c r="D21" s="15" t="s">
        <v>371</v>
      </c>
      <c r="E21" s="15" t="s">
        <v>305</v>
      </c>
      <c r="F21" s="15" t="s">
        <v>16236</v>
      </c>
      <c r="G21" s="15"/>
      <c r="H21" s="15"/>
      <c r="I21" s="15" t="s">
        <v>528</v>
      </c>
      <c r="J21" s="15" t="s">
        <v>15991</v>
      </c>
    </row>
    <row r="22" spans="2:10">
      <c r="B22" s="15" t="s">
        <v>16245</v>
      </c>
      <c r="C22" s="15" t="s">
        <v>16086</v>
      </c>
      <c r="D22" s="15" t="s">
        <v>327</v>
      </c>
      <c r="E22" s="15" t="s">
        <v>305</v>
      </c>
      <c r="F22" s="15" t="s">
        <v>301</v>
      </c>
      <c r="G22" s="15"/>
      <c r="H22" s="15"/>
      <c r="I22" s="15" t="s">
        <v>528</v>
      </c>
      <c r="J22" s="15" t="s">
        <v>15991</v>
      </c>
    </row>
    <row r="23" spans="2:10">
      <c r="B23" s="15" t="s">
        <v>16245</v>
      </c>
      <c r="C23" s="15" t="s">
        <v>16275</v>
      </c>
      <c r="D23" s="15" t="s">
        <v>16072</v>
      </c>
      <c r="E23" s="15" t="s">
        <v>305</v>
      </c>
      <c r="F23" s="15" t="s">
        <v>16276</v>
      </c>
      <c r="G23" s="15"/>
      <c r="H23" s="15"/>
      <c r="I23" s="15" t="s">
        <v>528</v>
      </c>
      <c r="J23" s="15" t="s">
        <v>15991</v>
      </c>
    </row>
    <row r="24" spans="2:10">
      <c r="B24" s="15" t="s">
        <v>16245</v>
      </c>
      <c r="C24" s="15" t="s">
        <v>16277</v>
      </c>
      <c r="D24" s="15" t="s">
        <v>316</v>
      </c>
      <c r="E24" s="15" t="s">
        <v>305</v>
      </c>
      <c r="F24" s="15" t="s">
        <v>16278</v>
      </c>
      <c r="G24" s="15"/>
      <c r="H24" s="15"/>
      <c r="I24" s="15" t="s">
        <v>528</v>
      </c>
      <c r="J24" s="15" t="s">
        <v>15991</v>
      </c>
    </row>
    <row r="25" spans="2:10">
      <c r="B25" s="15" t="s">
        <v>16245</v>
      </c>
      <c r="C25" s="15" t="s">
        <v>16279</v>
      </c>
      <c r="D25" s="15" t="s">
        <v>321</v>
      </c>
      <c r="E25" s="15" t="s">
        <v>305</v>
      </c>
      <c r="F25" s="15" t="s">
        <v>16280</v>
      </c>
      <c r="G25" s="15"/>
      <c r="H25" s="15"/>
      <c r="I25" s="15" t="s">
        <v>528</v>
      </c>
      <c r="J25" s="15" t="s">
        <v>15991</v>
      </c>
    </row>
  </sheetData>
  <pageMargins left="0.75" right="0.75" top="1" bottom="1" header="0.5" footer="0.5"/>
  <pageSetup paperSize="1" orientation="portrait" horizontalDpi="300" verticalDpi="300"/>
  <headerFooter alignWithMargins="0" scaleWithDoc="0"/>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8"/>
  <sheetViews>
    <sheetView zoomScaleSheetLayoutView="60" workbookViewId="0">
      <selection activeCell="F18" sqref="F18"/>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52" t="str">
        <f>HYPERLINK("#表结构清单!A1","返回")</f>
        <v>返回</v>
      </c>
      <c r="B1" t="s">
        <v>16281</v>
      </c>
    </row>
    <row r="2" spans="2:10">
      <c r="B2" s="13" t="s">
        <v>15982</v>
      </c>
      <c r="C2" s="13" t="s">
        <v>297</v>
      </c>
      <c r="D2" s="13" t="s">
        <v>11870</v>
      </c>
      <c r="E2" s="13" t="s">
        <v>15983</v>
      </c>
      <c r="F2" s="13" t="s">
        <v>15984</v>
      </c>
      <c r="G2" s="13" t="s">
        <v>300</v>
      </c>
      <c r="H2" s="13" t="s">
        <v>301</v>
      </c>
      <c r="I2" s="13" t="s">
        <v>15985</v>
      </c>
      <c r="J2" s="13" t="s">
        <v>15986</v>
      </c>
    </row>
    <row r="3" spans="2:10">
      <c r="B3" s="15" t="s">
        <v>16282</v>
      </c>
      <c r="C3" s="15" t="s">
        <v>15988</v>
      </c>
      <c r="D3" s="15" t="s">
        <v>316</v>
      </c>
      <c r="E3" s="15" t="s">
        <v>15989</v>
      </c>
      <c r="F3" s="15" t="s">
        <v>15990</v>
      </c>
      <c r="G3" s="15"/>
      <c r="H3" s="15"/>
      <c r="I3" s="15" t="s">
        <v>528</v>
      </c>
      <c r="J3" s="15" t="s">
        <v>15991</v>
      </c>
    </row>
    <row r="4" spans="2:10">
      <c r="B4" s="15" t="s">
        <v>16282</v>
      </c>
      <c r="C4" s="15" t="s">
        <v>16246</v>
      </c>
      <c r="D4" s="15" t="s">
        <v>506</v>
      </c>
      <c r="E4" s="15" t="s">
        <v>305</v>
      </c>
      <c r="F4" s="15" t="s">
        <v>16247</v>
      </c>
      <c r="G4" s="15"/>
      <c r="H4" s="15"/>
      <c r="I4" s="15" t="s">
        <v>528</v>
      </c>
      <c r="J4" s="15" t="s">
        <v>15991</v>
      </c>
    </row>
    <row r="5" spans="2:10">
      <c r="B5" s="15" t="s">
        <v>16282</v>
      </c>
      <c r="C5" s="15" t="s">
        <v>16283</v>
      </c>
      <c r="D5" s="15" t="s">
        <v>506</v>
      </c>
      <c r="E5" s="15" t="s">
        <v>305</v>
      </c>
      <c r="F5" s="15" t="s">
        <v>16284</v>
      </c>
      <c r="G5" s="15"/>
      <c r="H5" s="15"/>
      <c r="I5" s="15" t="s">
        <v>528</v>
      </c>
      <c r="J5" s="15" t="s">
        <v>15991</v>
      </c>
    </row>
    <row r="6" spans="2:10">
      <c r="B6" s="15" t="s">
        <v>16282</v>
      </c>
      <c r="C6" s="15" t="s">
        <v>16285</v>
      </c>
      <c r="D6" s="15" t="s">
        <v>506</v>
      </c>
      <c r="E6" s="15" t="s">
        <v>305</v>
      </c>
      <c r="F6" s="15" t="s">
        <v>16286</v>
      </c>
      <c r="G6" s="15"/>
      <c r="H6" s="15"/>
      <c r="I6" s="15" t="s">
        <v>528</v>
      </c>
      <c r="J6" s="15" t="s">
        <v>15991</v>
      </c>
    </row>
    <row r="7" spans="2:10">
      <c r="B7" s="15" t="s">
        <v>16282</v>
      </c>
      <c r="C7" s="15" t="s">
        <v>16287</v>
      </c>
      <c r="D7" s="15" t="s">
        <v>16115</v>
      </c>
      <c r="E7" s="15" t="s">
        <v>305</v>
      </c>
      <c r="F7" s="15" t="s">
        <v>16288</v>
      </c>
      <c r="G7" s="15"/>
      <c r="H7" s="15"/>
      <c r="I7" s="15" t="s">
        <v>528</v>
      </c>
      <c r="J7" s="15" t="s">
        <v>15991</v>
      </c>
    </row>
    <row r="8" spans="2:10">
      <c r="B8" s="15" t="s">
        <v>16282</v>
      </c>
      <c r="C8" s="15" t="s">
        <v>16289</v>
      </c>
      <c r="D8" s="15" t="s">
        <v>327</v>
      </c>
      <c r="E8" s="15" t="s">
        <v>305</v>
      </c>
      <c r="F8" s="15" t="s">
        <v>16288</v>
      </c>
      <c r="G8" s="15"/>
      <c r="H8" s="15"/>
      <c r="I8" s="15" t="s">
        <v>528</v>
      </c>
      <c r="J8" s="15" t="s">
        <v>15991</v>
      </c>
    </row>
    <row r="9" spans="2:10">
      <c r="B9" s="15" t="s">
        <v>16282</v>
      </c>
      <c r="C9" s="15" t="s">
        <v>16290</v>
      </c>
      <c r="D9" s="15" t="s">
        <v>327</v>
      </c>
      <c r="E9" s="15" t="s">
        <v>305</v>
      </c>
      <c r="F9" s="15" t="s">
        <v>16288</v>
      </c>
      <c r="G9" s="15"/>
      <c r="H9" s="15"/>
      <c r="I9" s="15" t="s">
        <v>528</v>
      </c>
      <c r="J9" s="15" t="s">
        <v>15991</v>
      </c>
    </row>
    <row r="10" spans="2:10">
      <c r="B10" s="15" t="s">
        <v>16282</v>
      </c>
      <c r="C10" s="15" t="s">
        <v>16291</v>
      </c>
      <c r="D10" s="15" t="s">
        <v>327</v>
      </c>
      <c r="E10" s="15" t="s">
        <v>305</v>
      </c>
      <c r="F10" s="15" t="s">
        <v>16288</v>
      </c>
      <c r="G10" s="15"/>
      <c r="H10" s="15"/>
      <c r="I10" s="15" t="s">
        <v>528</v>
      </c>
      <c r="J10" s="15" t="s">
        <v>15991</v>
      </c>
    </row>
    <row r="11" spans="2:10">
      <c r="B11" s="15" t="s">
        <v>16282</v>
      </c>
      <c r="C11" s="15" t="s">
        <v>16292</v>
      </c>
      <c r="D11" s="15" t="s">
        <v>316</v>
      </c>
      <c r="E11" s="15" t="s">
        <v>305</v>
      </c>
      <c r="F11" s="15" t="s">
        <v>16288</v>
      </c>
      <c r="G11" s="15"/>
      <c r="H11" s="15"/>
      <c r="I11" s="15" t="s">
        <v>528</v>
      </c>
      <c r="J11" s="15" t="s">
        <v>15991</v>
      </c>
    </row>
    <row r="12" spans="2:10">
      <c r="B12" s="15" t="s">
        <v>16282</v>
      </c>
      <c r="C12" s="15" t="s">
        <v>16293</v>
      </c>
      <c r="D12" s="15" t="s">
        <v>316</v>
      </c>
      <c r="E12" s="15" t="s">
        <v>305</v>
      </c>
      <c r="F12" s="15" t="s">
        <v>16288</v>
      </c>
      <c r="G12" s="15"/>
      <c r="H12" s="15"/>
      <c r="I12" s="15" t="s">
        <v>528</v>
      </c>
      <c r="J12" s="15" t="s">
        <v>15991</v>
      </c>
    </row>
    <row r="13" spans="2:10">
      <c r="B13" s="15" t="s">
        <v>16282</v>
      </c>
      <c r="C13" s="15" t="s">
        <v>16294</v>
      </c>
      <c r="D13" s="15" t="s">
        <v>316</v>
      </c>
      <c r="E13" s="15" t="s">
        <v>305</v>
      </c>
      <c r="F13" s="15" t="s">
        <v>16288</v>
      </c>
      <c r="G13" s="15"/>
      <c r="H13" s="15"/>
      <c r="I13" s="15" t="s">
        <v>528</v>
      </c>
      <c r="J13" s="15" t="s">
        <v>15991</v>
      </c>
    </row>
    <row r="14" spans="2:10">
      <c r="B14" s="15" t="s">
        <v>16282</v>
      </c>
      <c r="C14" s="15" t="s">
        <v>16295</v>
      </c>
      <c r="D14" s="15" t="s">
        <v>316</v>
      </c>
      <c r="E14" s="15" t="s">
        <v>305</v>
      </c>
      <c r="F14" s="15" t="s">
        <v>16288</v>
      </c>
      <c r="G14" s="15"/>
      <c r="H14" s="15"/>
      <c r="I14" s="15" t="s">
        <v>528</v>
      </c>
      <c r="J14" s="15" t="s">
        <v>15991</v>
      </c>
    </row>
    <row r="15" spans="2:10">
      <c r="B15" s="15" t="s">
        <v>16282</v>
      </c>
      <c r="C15" s="15" t="s">
        <v>16296</v>
      </c>
      <c r="D15" s="15" t="s">
        <v>316</v>
      </c>
      <c r="E15" s="15" t="s">
        <v>305</v>
      </c>
      <c r="F15" s="15" t="s">
        <v>16288</v>
      </c>
      <c r="G15" s="15"/>
      <c r="H15" s="15"/>
      <c r="I15" s="15" t="s">
        <v>528</v>
      </c>
      <c r="J15" s="15" t="s">
        <v>15991</v>
      </c>
    </row>
    <row r="16" spans="2:10">
      <c r="B16" s="15" t="s">
        <v>16282</v>
      </c>
      <c r="C16" s="15" t="s">
        <v>16297</v>
      </c>
      <c r="D16" s="15" t="s">
        <v>316</v>
      </c>
      <c r="E16" s="15" t="s">
        <v>305</v>
      </c>
      <c r="F16" s="15" t="s">
        <v>16288</v>
      </c>
      <c r="G16" s="15"/>
      <c r="H16" s="15"/>
      <c r="I16" s="15" t="s">
        <v>528</v>
      </c>
      <c r="J16" s="15" t="s">
        <v>15991</v>
      </c>
    </row>
    <row r="17" spans="2:10">
      <c r="B17" s="15" t="s">
        <v>16282</v>
      </c>
      <c r="C17" s="15" t="s">
        <v>2522</v>
      </c>
      <c r="D17" s="15" t="s">
        <v>316</v>
      </c>
      <c r="E17" s="15" t="s">
        <v>305</v>
      </c>
      <c r="F17" s="15" t="s">
        <v>16298</v>
      </c>
      <c r="G17" s="15"/>
      <c r="H17" s="15"/>
      <c r="I17" s="15" t="s">
        <v>528</v>
      </c>
      <c r="J17" s="15" t="s">
        <v>15991</v>
      </c>
    </row>
    <row r="18" spans="2:10">
      <c r="B18" s="15" t="s">
        <v>16282</v>
      </c>
      <c r="C18" s="15" t="s">
        <v>16255</v>
      </c>
      <c r="D18" s="15" t="s">
        <v>16072</v>
      </c>
      <c r="E18" s="15" t="s">
        <v>305</v>
      </c>
      <c r="F18" s="53" t="s">
        <v>16299</v>
      </c>
      <c r="G18" s="15"/>
      <c r="H18" s="15"/>
      <c r="I18" s="15" t="s">
        <v>528</v>
      </c>
      <c r="J18" s="15" t="s">
        <v>15991</v>
      </c>
    </row>
  </sheetData>
  <pageMargins left="0.75" right="0.75" top="1" bottom="1" header="0.5" footer="0.5"/>
  <pageSetup paperSize="1" orientation="portrait" horizontalDpi="300" verticalDpi="300"/>
  <headerFooter alignWithMargins="0" scaleWithDoc="0"/>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2"/>
  <sheetViews>
    <sheetView zoomScaleSheetLayoutView="60" workbookViewId="0">
      <selection activeCell="A1" sqref="A1"/>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52" t="str">
        <f>HYPERLINK("#表结构清单!A1","返回")</f>
        <v>返回</v>
      </c>
      <c r="B1" t="s">
        <v>16300</v>
      </c>
    </row>
    <row r="2" spans="2:10">
      <c r="B2" s="13" t="s">
        <v>15982</v>
      </c>
      <c r="C2" s="13" t="s">
        <v>297</v>
      </c>
      <c r="D2" s="13" t="s">
        <v>11870</v>
      </c>
      <c r="E2" s="13" t="s">
        <v>15983</v>
      </c>
      <c r="F2" s="13" t="s">
        <v>15984</v>
      </c>
      <c r="G2" s="13" t="s">
        <v>300</v>
      </c>
      <c r="H2" s="13" t="s">
        <v>301</v>
      </c>
      <c r="I2" s="13" t="s">
        <v>15985</v>
      </c>
      <c r="J2" s="13" t="s">
        <v>15986</v>
      </c>
    </row>
    <row r="3" spans="2:10">
      <c r="B3" s="15" t="s">
        <v>16301</v>
      </c>
      <c r="C3" s="15" t="s">
        <v>16246</v>
      </c>
      <c r="D3" s="15" t="s">
        <v>506</v>
      </c>
      <c r="E3" s="15" t="s">
        <v>15989</v>
      </c>
      <c r="F3" s="15" t="s">
        <v>16247</v>
      </c>
      <c r="G3" s="15"/>
      <c r="H3" s="15"/>
      <c r="I3" s="15" t="s">
        <v>528</v>
      </c>
      <c r="J3" s="15" t="s">
        <v>15991</v>
      </c>
    </row>
    <row r="4" spans="2:10">
      <c r="B4" s="15" t="s">
        <v>16301</v>
      </c>
      <c r="C4" s="15" t="s">
        <v>16283</v>
      </c>
      <c r="D4" s="15" t="s">
        <v>506</v>
      </c>
      <c r="E4" s="15" t="s">
        <v>15989</v>
      </c>
      <c r="F4" s="15" t="s">
        <v>16284</v>
      </c>
      <c r="G4" s="15"/>
      <c r="H4" s="15"/>
      <c r="I4" s="15" t="s">
        <v>528</v>
      </c>
      <c r="J4" s="15" t="s">
        <v>15991</v>
      </c>
    </row>
    <row r="5" spans="2:10">
      <c r="B5" s="15" t="s">
        <v>16301</v>
      </c>
      <c r="C5" s="15" t="s">
        <v>16302</v>
      </c>
      <c r="D5" s="15" t="s">
        <v>506</v>
      </c>
      <c r="E5" s="15" t="s">
        <v>15989</v>
      </c>
      <c r="F5" s="15" t="s">
        <v>16303</v>
      </c>
      <c r="G5" s="15"/>
      <c r="H5" s="15"/>
      <c r="I5" s="15" t="s">
        <v>528</v>
      </c>
      <c r="J5" s="15" t="s">
        <v>15991</v>
      </c>
    </row>
    <row r="6" spans="2:10">
      <c r="B6" s="15" t="s">
        <v>16301</v>
      </c>
      <c r="C6" s="15" t="s">
        <v>16304</v>
      </c>
      <c r="D6" s="15" t="s">
        <v>327</v>
      </c>
      <c r="E6" s="15" t="s">
        <v>305</v>
      </c>
      <c r="F6" s="15" t="s">
        <v>16305</v>
      </c>
      <c r="G6" s="15"/>
      <c r="H6" s="15"/>
      <c r="I6" s="15" t="s">
        <v>528</v>
      </c>
      <c r="J6" s="15" t="s">
        <v>15991</v>
      </c>
    </row>
    <row r="7" spans="2:10">
      <c r="B7" s="15" t="s">
        <v>16301</v>
      </c>
      <c r="C7" s="15" t="s">
        <v>16306</v>
      </c>
      <c r="D7" s="15" t="s">
        <v>327</v>
      </c>
      <c r="E7" s="15" t="s">
        <v>305</v>
      </c>
      <c r="F7" s="15" t="s">
        <v>16307</v>
      </c>
      <c r="G7" s="15"/>
      <c r="H7" s="15"/>
      <c r="I7" s="15" t="s">
        <v>528</v>
      </c>
      <c r="J7" s="15" t="s">
        <v>15991</v>
      </c>
    </row>
    <row r="8" spans="2:10">
      <c r="B8" s="15" t="s">
        <v>16301</v>
      </c>
      <c r="C8" s="15" t="s">
        <v>16255</v>
      </c>
      <c r="D8" s="15" t="s">
        <v>321</v>
      </c>
      <c r="E8" s="15" t="s">
        <v>305</v>
      </c>
      <c r="F8" s="15" t="s">
        <v>2211</v>
      </c>
      <c r="G8" s="15"/>
      <c r="H8" s="15"/>
      <c r="I8" s="15" t="s">
        <v>528</v>
      </c>
      <c r="J8" s="15" t="s">
        <v>15991</v>
      </c>
    </row>
    <row r="9" spans="2:10">
      <c r="B9" s="15" t="s">
        <v>16301</v>
      </c>
      <c r="C9" s="15" t="s">
        <v>16053</v>
      </c>
      <c r="D9" s="15" t="s">
        <v>316</v>
      </c>
      <c r="E9" s="15" t="s">
        <v>305</v>
      </c>
      <c r="F9" s="15" t="s">
        <v>16012</v>
      </c>
      <c r="G9" s="15"/>
      <c r="H9" s="15"/>
      <c r="I9" s="15" t="s">
        <v>528</v>
      </c>
      <c r="J9" s="15" t="s">
        <v>15991</v>
      </c>
    </row>
    <row r="10" spans="2:10">
      <c r="B10" s="15" t="s">
        <v>16301</v>
      </c>
      <c r="C10" s="15" t="s">
        <v>16237</v>
      </c>
      <c r="D10" s="15" t="s">
        <v>371</v>
      </c>
      <c r="E10" s="15" t="s">
        <v>305</v>
      </c>
      <c r="F10" s="15" t="s">
        <v>16274</v>
      </c>
      <c r="G10" s="15"/>
      <c r="H10" s="15"/>
      <c r="I10" s="15" t="s">
        <v>528</v>
      </c>
      <c r="J10" s="15" t="s">
        <v>15991</v>
      </c>
    </row>
    <row r="11" spans="2:10">
      <c r="B11" s="15" t="s">
        <v>16301</v>
      </c>
      <c r="C11" s="15" t="s">
        <v>16243</v>
      </c>
      <c r="D11" s="15" t="s">
        <v>316</v>
      </c>
      <c r="E11" s="15" t="s">
        <v>305</v>
      </c>
      <c r="F11" s="15" t="s">
        <v>16018</v>
      </c>
      <c r="G11" s="15"/>
      <c r="H11" s="15"/>
      <c r="I11" s="15" t="s">
        <v>528</v>
      </c>
      <c r="J11" s="15" t="s">
        <v>15991</v>
      </c>
    </row>
    <row r="12" spans="2:10">
      <c r="B12" s="15" t="s">
        <v>16301</v>
      </c>
      <c r="C12" s="15" t="s">
        <v>16239</v>
      </c>
      <c r="D12" s="15" t="s">
        <v>371</v>
      </c>
      <c r="E12" s="15" t="s">
        <v>305</v>
      </c>
      <c r="F12" s="15" t="s">
        <v>16236</v>
      </c>
      <c r="G12" s="15"/>
      <c r="H12" s="15"/>
      <c r="I12" s="15" t="s">
        <v>528</v>
      </c>
      <c r="J12" s="15" t="s">
        <v>15991</v>
      </c>
    </row>
  </sheetData>
  <pageMargins left="0.75" right="0.75" top="1" bottom="1" header="0.5" footer="0.5"/>
  <pageSetup paperSize="1" orientation="portrait" horizontalDpi="300" verticalDpi="300"/>
  <headerFooter alignWithMargins="0" scaleWithDoc="0"/>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2"/>
  <sheetViews>
    <sheetView zoomScaleSheetLayoutView="60" workbookViewId="0">
      <selection activeCell="F11" sqref="F11"/>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51" t="str">
        <f>HYPERLINK("#表结构清单!A1","返回")</f>
        <v>返回</v>
      </c>
      <c r="B1" t="s">
        <v>16308</v>
      </c>
    </row>
    <row r="2" spans="2:10">
      <c r="B2" s="13" t="s">
        <v>15982</v>
      </c>
      <c r="C2" s="13" t="s">
        <v>297</v>
      </c>
      <c r="D2" s="13" t="s">
        <v>11870</v>
      </c>
      <c r="E2" s="13" t="s">
        <v>15983</v>
      </c>
      <c r="F2" s="13" t="s">
        <v>15984</v>
      </c>
      <c r="G2" s="13" t="s">
        <v>300</v>
      </c>
      <c r="H2" s="13" t="s">
        <v>301</v>
      </c>
      <c r="I2" s="13" t="s">
        <v>15985</v>
      </c>
      <c r="J2" s="13" t="s">
        <v>15986</v>
      </c>
    </row>
    <row r="3" spans="2:10">
      <c r="B3" s="15" t="s">
        <v>16309</v>
      </c>
      <c r="C3" s="15" t="s">
        <v>16310</v>
      </c>
      <c r="D3" s="15" t="s">
        <v>506</v>
      </c>
      <c r="E3" s="15" t="s">
        <v>15989</v>
      </c>
      <c r="F3" s="15" t="s">
        <v>16311</v>
      </c>
      <c r="G3" s="15"/>
      <c r="H3" s="15"/>
      <c r="I3" s="15" t="s">
        <v>528</v>
      </c>
      <c r="J3" s="15" t="s">
        <v>15991</v>
      </c>
    </row>
    <row r="4" spans="2:10">
      <c r="B4" s="15" t="s">
        <v>16309</v>
      </c>
      <c r="C4" s="15" t="s">
        <v>16246</v>
      </c>
      <c r="D4" s="15" t="s">
        <v>506</v>
      </c>
      <c r="E4" s="15" t="s">
        <v>15989</v>
      </c>
      <c r="F4" s="15" t="s">
        <v>16312</v>
      </c>
      <c r="G4" s="15"/>
      <c r="H4" s="15"/>
      <c r="I4" s="15" t="s">
        <v>528</v>
      </c>
      <c r="J4" s="15" t="s">
        <v>15991</v>
      </c>
    </row>
    <row r="5" spans="2:10">
      <c r="B5" s="15" t="s">
        <v>16309</v>
      </c>
      <c r="C5" s="15" t="s">
        <v>16313</v>
      </c>
      <c r="D5" s="15" t="s">
        <v>327</v>
      </c>
      <c r="E5" s="15" t="s">
        <v>305</v>
      </c>
      <c r="F5" s="15" t="s">
        <v>16314</v>
      </c>
      <c r="G5" s="15"/>
      <c r="H5" s="15"/>
      <c r="I5" s="15" t="s">
        <v>528</v>
      </c>
      <c r="J5" s="15" t="s">
        <v>15991</v>
      </c>
    </row>
    <row r="6" spans="2:10">
      <c r="B6" s="15" t="s">
        <v>16309</v>
      </c>
      <c r="C6" s="15" t="s">
        <v>16315</v>
      </c>
      <c r="D6" s="15" t="s">
        <v>327</v>
      </c>
      <c r="E6" s="15" t="s">
        <v>305</v>
      </c>
      <c r="F6" s="15" t="s">
        <v>16316</v>
      </c>
      <c r="G6" s="15"/>
      <c r="H6" s="15"/>
      <c r="I6" s="15" t="s">
        <v>528</v>
      </c>
      <c r="J6" s="15" t="s">
        <v>15991</v>
      </c>
    </row>
    <row r="7" spans="2:10">
      <c r="B7" s="15" t="s">
        <v>16309</v>
      </c>
      <c r="C7" s="15" t="s">
        <v>16237</v>
      </c>
      <c r="D7" s="15" t="s">
        <v>371</v>
      </c>
      <c r="E7" s="15" t="s">
        <v>305</v>
      </c>
      <c r="F7" s="15" t="s">
        <v>16274</v>
      </c>
      <c r="G7" s="15"/>
      <c r="H7" s="15"/>
      <c r="I7" s="15" t="s">
        <v>528</v>
      </c>
      <c r="J7" s="15" t="s">
        <v>15991</v>
      </c>
    </row>
    <row r="8" spans="2:10">
      <c r="B8" s="15" t="s">
        <v>16309</v>
      </c>
      <c r="C8" s="15" t="s">
        <v>16053</v>
      </c>
      <c r="D8" s="15" t="s">
        <v>316</v>
      </c>
      <c r="E8" s="15" t="s">
        <v>305</v>
      </c>
      <c r="F8" s="15" t="s">
        <v>16012</v>
      </c>
      <c r="G8" s="15"/>
      <c r="H8" s="15"/>
      <c r="I8" s="15" t="s">
        <v>528</v>
      </c>
      <c r="J8" s="15" t="s">
        <v>15991</v>
      </c>
    </row>
    <row r="9" spans="2:10">
      <c r="B9" s="15" t="s">
        <v>16309</v>
      </c>
      <c r="C9" s="15" t="s">
        <v>16239</v>
      </c>
      <c r="D9" s="15" t="s">
        <v>371</v>
      </c>
      <c r="E9" s="15" t="s">
        <v>305</v>
      </c>
      <c r="F9" s="15" t="s">
        <v>16236</v>
      </c>
      <c r="G9" s="15"/>
      <c r="H9" s="15"/>
      <c r="I9" s="15" t="s">
        <v>528</v>
      </c>
      <c r="J9" s="15" t="s">
        <v>15991</v>
      </c>
    </row>
    <row r="10" spans="2:10">
      <c r="B10" s="15" t="s">
        <v>16309</v>
      </c>
      <c r="C10" s="15" t="s">
        <v>16243</v>
      </c>
      <c r="D10" s="15" t="s">
        <v>316</v>
      </c>
      <c r="E10" s="15" t="s">
        <v>305</v>
      </c>
      <c r="F10" s="15" t="s">
        <v>16018</v>
      </c>
      <c r="G10" s="15"/>
      <c r="H10" s="15"/>
      <c r="I10" s="15" t="s">
        <v>528</v>
      </c>
      <c r="J10" s="15" t="s">
        <v>15991</v>
      </c>
    </row>
    <row r="11" spans="2:10">
      <c r="B11" s="15" t="s">
        <v>16309</v>
      </c>
      <c r="C11" s="15" t="s">
        <v>16255</v>
      </c>
      <c r="D11" s="15" t="s">
        <v>16072</v>
      </c>
      <c r="E11" s="15" t="s">
        <v>305</v>
      </c>
      <c r="F11" s="53" t="s">
        <v>16299</v>
      </c>
      <c r="G11" s="15"/>
      <c r="H11" s="15"/>
      <c r="I11" s="15" t="s">
        <v>528</v>
      </c>
      <c r="J11" s="15" t="s">
        <v>15991</v>
      </c>
    </row>
    <row r="12" spans="2:10">
      <c r="B12" s="15" t="s">
        <v>16309</v>
      </c>
      <c r="C12" s="15" t="s">
        <v>16317</v>
      </c>
      <c r="D12" s="15" t="s">
        <v>16115</v>
      </c>
      <c r="E12" s="15" t="s">
        <v>305</v>
      </c>
      <c r="F12" s="15" t="s">
        <v>16318</v>
      </c>
      <c r="G12" s="15"/>
      <c r="H12" s="15"/>
      <c r="I12" s="15" t="s">
        <v>528</v>
      </c>
      <c r="J12" s="15" t="s">
        <v>15991</v>
      </c>
    </row>
  </sheetData>
  <pageMargins left="0.75" right="0.75" top="1" bottom="1" header="0.5" footer="0.5"/>
  <pageSetup paperSize="1" orientation="portrait" horizontalDpi="300" verticalDpi="300"/>
  <headerFooter alignWithMargins="0" scaleWithDoc="0"/>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9"/>
  <sheetViews>
    <sheetView zoomScaleSheetLayoutView="60" workbookViewId="0">
      <selection activeCell="F22" sqref="F22"/>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51" t="str">
        <f>HYPERLINK("#表结构清单!A1","返回")</f>
        <v>返回</v>
      </c>
      <c r="B1" t="s">
        <v>16319</v>
      </c>
    </row>
    <row r="2" spans="2:10">
      <c r="B2" s="13" t="s">
        <v>15982</v>
      </c>
      <c r="C2" s="13" t="s">
        <v>297</v>
      </c>
      <c r="D2" s="13" t="s">
        <v>11870</v>
      </c>
      <c r="E2" s="13" t="s">
        <v>15983</v>
      </c>
      <c r="F2" s="13" t="s">
        <v>15984</v>
      </c>
      <c r="G2" s="13" t="s">
        <v>300</v>
      </c>
      <c r="H2" s="13" t="s">
        <v>301</v>
      </c>
      <c r="I2" s="13" t="s">
        <v>15985</v>
      </c>
      <c r="J2" s="13" t="s">
        <v>15986</v>
      </c>
    </row>
    <row r="3" spans="2:10">
      <c r="B3" s="15" t="s">
        <v>16320</v>
      </c>
      <c r="C3" s="15" t="s">
        <v>16246</v>
      </c>
      <c r="D3" s="15" t="s">
        <v>506</v>
      </c>
      <c r="E3" s="15" t="s">
        <v>15989</v>
      </c>
      <c r="F3" s="15" t="s">
        <v>16247</v>
      </c>
      <c r="G3" s="15"/>
      <c r="H3" s="15"/>
      <c r="I3" s="15" t="s">
        <v>528</v>
      </c>
      <c r="J3" s="15" t="s">
        <v>15991</v>
      </c>
    </row>
    <row r="4" spans="2:10">
      <c r="B4" s="15" t="s">
        <v>16320</v>
      </c>
      <c r="C4" s="15" t="s">
        <v>16321</v>
      </c>
      <c r="D4" s="15" t="s">
        <v>316</v>
      </c>
      <c r="E4" s="15" t="s">
        <v>15989</v>
      </c>
      <c r="F4" s="15" t="s">
        <v>16322</v>
      </c>
      <c r="G4" s="15"/>
      <c r="H4" s="15"/>
      <c r="I4" s="15" t="s">
        <v>528</v>
      </c>
      <c r="J4" s="15" t="s">
        <v>15991</v>
      </c>
    </row>
    <row r="5" spans="2:10">
      <c r="B5" s="15" t="s">
        <v>16320</v>
      </c>
      <c r="C5" s="15" t="s">
        <v>16323</v>
      </c>
      <c r="D5" s="15" t="s">
        <v>506</v>
      </c>
      <c r="E5" s="15" t="s">
        <v>305</v>
      </c>
      <c r="F5" s="15" t="s">
        <v>16324</v>
      </c>
      <c r="G5" s="15"/>
      <c r="H5" s="15"/>
      <c r="I5" s="15" t="s">
        <v>528</v>
      </c>
      <c r="J5" s="15" t="s">
        <v>15991</v>
      </c>
    </row>
    <row r="6" spans="2:10">
      <c r="B6" s="15" t="s">
        <v>16320</v>
      </c>
      <c r="C6" s="15" t="s">
        <v>16053</v>
      </c>
      <c r="D6" s="15" t="s">
        <v>316</v>
      </c>
      <c r="E6" s="15" t="s">
        <v>305</v>
      </c>
      <c r="F6" s="15" t="s">
        <v>16240</v>
      </c>
      <c r="G6" s="15"/>
      <c r="H6" s="15"/>
      <c r="I6" s="15" t="s">
        <v>528</v>
      </c>
      <c r="J6" s="15" t="s">
        <v>15991</v>
      </c>
    </row>
    <row r="7" spans="2:10">
      <c r="B7" s="15" t="s">
        <v>16320</v>
      </c>
      <c r="C7" s="15" t="s">
        <v>16237</v>
      </c>
      <c r="D7" s="15" t="s">
        <v>371</v>
      </c>
      <c r="E7" s="15" t="s">
        <v>305</v>
      </c>
      <c r="F7" s="15" t="s">
        <v>16238</v>
      </c>
      <c r="G7" s="15"/>
      <c r="H7" s="15"/>
      <c r="I7" s="15" t="s">
        <v>528</v>
      </c>
      <c r="J7" s="15" t="s">
        <v>15991</v>
      </c>
    </row>
    <row r="8" spans="2:10">
      <c r="B8" s="15" t="s">
        <v>16320</v>
      </c>
      <c r="C8" s="15" t="s">
        <v>16243</v>
      </c>
      <c r="D8" s="15" t="s">
        <v>316</v>
      </c>
      <c r="E8" s="15" t="s">
        <v>305</v>
      </c>
      <c r="F8" s="15" t="s">
        <v>16018</v>
      </c>
      <c r="G8" s="15"/>
      <c r="H8" s="15"/>
      <c r="I8" s="15" t="s">
        <v>528</v>
      </c>
      <c r="J8" s="15" t="s">
        <v>15991</v>
      </c>
    </row>
    <row r="9" spans="2:10">
      <c r="B9" s="15" t="s">
        <v>16320</v>
      </c>
      <c r="C9" s="15" t="s">
        <v>16239</v>
      </c>
      <c r="D9" s="15" t="s">
        <v>371</v>
      </c>
      <c r="E9" s="15" t="s">
        <v>305</v>
      </c>
      <c r="F9" s="15" t="s">
        <v>16236</v>
      </c>
      <c r="G9" s="15"/>
      <c r="H9" s="15"/>
      <c r="I9" s="15" t="s">
        <v>528</v>
      </c>
      <c r="J9" s="15" t="s">
        <v>15991</v>
      </c>
    </row>
    <row r="10" spans="2:10">
      <c r="B10" s="15" t="s">
        <v>16320</v>
      </c>
      <c r="C10" s="15" t="s">
        <v>16241</v>
      </c>
      <c r="D10" s="15" t="s">
        <v>316</v>
      </c>
      <c r="E10" s="15" t="s">
        <v>305</v>
      </c>
      <c r="F10" s="15" t="s">
        <v>16242</v>
      </c>
      <c r="G10" s="15"/>
      <c r="H10" s="15"/>
      <c r="I10" s="15" t="s">
        <v>528</v>
      </c>
      <c r="J10" s="15" t="s">
        <v>15991</v>
      </c>
    </row>
    <row r="11" spans="2:10">
      <c r="B11" s="15" t="s">
        <v>16320</v>
      </c>
      <c r="C11" s="15" t="s">
        <v>16325</v>
      </c>
      <c r="D11" s="15" t="s">
        <v>316</v>
      </c>
      <c r="E11" s="15" t="s">
        <v>305</v>
      </c>
      <c r="F11" s="15" t="s">
        <v>16326</v>
      </c>
      <c r="G11" s="15"/>
      <c r="H11" s="15"/>
      <c r="I11" s="15" t="s">
        <v>528</v>
      </c>
      <c r="J11" s="15" t="s">
        <v>15991</v>
      </c>
    </row>
    <row r="12" spans="2:10">
      <c r="B12" s="15" t="s">
        <v>16320</v>
      </c>
      <c r="C12" s="15" t="s">
        <v>16256</v>
      </c>
      <c r="D12" s="15" t="s">
        <v>16056</v>
      </c>
      <c r="E12" s="15" t="s">
        <v>305</v>
      </c>
      <c r="F12" s="15" t="s">
        <v>16327</v>
      </c>
      <c r="G12" s="15"/>
      <c r="H12" s="15"/>
      <c r="I12" s="15" t="s">
        <v>528</v>
      </c>
      <c r="J12" s="15" t="s">
        <v>15991</v>
      </c>
    </row>
    <row r="13" spans="2:10">
      <c r="B13" s="15" t="s">
        <v>16320</v>
      </c>
      <c r="C13" s="15" t="s">
        <v>16328</v>
      </c>
      <c r="D13" s="15" t="s">
        <v>316</v>
      </c>
      <c r="E13" s="15" t="s">
        <v>305</v>
      </c>
      <c r="F13" s="15" t="s">
        <v>16329</v>
      </c>
      <c r="G13" s="15"/>
      <c r="H13" s="15"/>
      <c r="I13" s="15" t="s">
        <v>528</v>
      </c>
      <c r="J13" s="15" t="s">
        <v>15991</v>
      </c>
    </row>
    <row r="14" spans="2:10">
      <c r="B14" s="15" t="s">
        <v>16320</v>
      </c>
      <c r="C14" s="15" t="s">
        <v>16330</v>
      </c>
      <c r="D14" s="15" t="s">
        <v>16072</v>
      </c>
      <c r="E14" s="15" t="s">
        <v>305</v>
      </c>
      <c r="F14" s="53" t="s">
        <v>16331</v>
      </c>
      <c r="G14" s="15"/>
      <c r="H14" s="15"/>
      <c r="I14" s="15" t="s">
        <v>528</v>
      </c>
      <c r="J14" s="15" t="s">
        <v>15991</v>
      </c>
    </row>
    <row r="15" spans="2:10">
      <c r="B15" s="15" t="s">
        <v>16320</v>
      </c>
      <c r="C15" s="15" t="s">
        <v>16332</v>
      </c>
      <c r="D15" s="15" t="s">
        <v>16115</v>
      </c>
      <c r="E15" s="15" t="s">
        <v>305</v>
      </c>
      <c r="F15" s="15" t="s">
        <v>16333</v>
      </c>
      <c r="G15" s="15"/>
      <c r="H15" s="15"/>
      <c r="I15" s="15" t="s">
        <v>528</v>
      </c>
      <c r="J15" s="15" t="s">
        <v>15991</v>
      </c>
    </row>
    <row r="16" spans="2:10">
      <c r="B16" s="15" t="s">
        <v>16320</v>
      </c>
      <c r="C16" s="15" t="s">
        <v>16334</v>
      </c>
      <c r="D16" s="15" t="s">
        <v>16115</v>
      </c>
      <c r="E16" s="15" t="s">
        <v>305</v>
      </c>
      <c r="F16" s="15" t="s">
        <v>16335</v>
      </c>
      <c r="G16" s="15"/>
      <c r="H16" s="15"/>
      <c r="I16" s="15" t="s">
        <v>528</v>
      </c>
      <c r="J16" s="15" t="s">
        <v>15991</v>
      </c>
    </row>
    <row r="17" spans="2:10">
      <c r="B17" s="15" t="s">
        <v>16320</v>
      </c>
      <c r="C17" s="15" t="s">
        <v>16336</v>
      </c>
      <c r="D17" s="15" t="s">
        <v>16115</v>
      </c>
      <c r="E17" s="15" t="s">
        <v>305</v>
      </c>
      <c r="F17" s="15" t="s">
        <v>16337</v>
      </c>
      <c r="G17" s="15"/>
      <c r="H17" s="15"/>
      <c r="I17" s="15" t="s">
        <v>528</v>
      </c>
      <c r="J17" s="15" t="s">
        <v>15991</v>
      </c>
    </row>
    <row r="18" spans="2:10">
      <c r="B18" s="15" t="s">
        <v>16320</v>
      </c>
      <c r="C18" s="15" t="s">
        <v>16338</v>
      </c>
      <c r="D18" s="15" t="s">
        <v>16115</v>
      </c>
      <c r="E18" s="15" t="s">
        <v>305</v>
      </c>
      <c r="F18" s="15" t="s">
        <v>16339</v>
      </c>
      <c r="G18" s="15"/>
      <c r="H18" s="15"/>
      <c r="I18" s="15" t="s">
        <v>528</v>
      </c>
      <c r="J18" s="15" t="s">
        <v>15991</v>
      </c>
    </row>
    <row r="19" spans="2:10">
      <c r="B19" s="15" t="s">
        <v>16320</v>
      </c>
      <c r="C19" s="15" t="s">
        <v>16340</v>
      </c>
      <c r="D19" s="15" t="s">
        <v>16115</v>
      </c>
      <c r="E19" s="15" t="s">
        <v>305</v>
      </c>
      <c r="F19" s="15" t="s">
        <v>16341</v>
      </c>
      <c r="G19" s="15"/>
      <c r="H19" s="15"/>
      <c r="I19" s="15" t="s">
        <v>528</v>
      </c>
      <c r="J19" s="15" t="s">
        <v>15991</v>
      </c>
    </row>
  </sheetData>
  <pageMargins left="0.75" right="0.75" top="1" bottom="1" header="0.5" footer="0.5"/>
  <pageSetup paperSize="1" orientation="portrait" horizontalDpi="300" verticalDpi="300"/>
  <headerFooter alignWithMargins="0" scaleWithDoc="0"/>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2"/>
  <sheetViews>
    <sheetView zoomScaleSheetLayoutView="60" workbookViewId="0">
      <selection activeCell="F7" sqref="F7"/>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52" t="str">
        <f>HYPERLINK("#表结构清单!A1","返回")</f>
        <v>返回</v>
      </c>
      <c r="B1" t="s">
        <v>16342</v>
      </c>
    </row>
    <row r="2" spans="2:10">
      <c r="B2" s="13" t="s">
        <v>15982</v>
      </c>
      <c r="C2" s="13" t="s">
        <v>297</v>
      </c>
      <c r="D2" s="13" t="s">
        <v>11870</v>
      </c>
      <c r="E2" s="13" t="s">
        <v>15983</v>
      </c>
      <c r="F2" s="13" t="s">
        <v>15984</v>
      </c>
      <c r="G2" s="13" t="s">
        <v>300</v>
      </c>
      <c r="H2" s="13" t="s">
        <v>301</v>
      </c>
      <c r="I2" s="13" t="s">
        <v>15985</v>
      </c>
      <c r="J2" s="13" t="s">
        <v>15986</v>
      </c>
    </row>
    <row r="3" spans="2:10">
      <c r="B3" s="15" t="s">
        <v>16343</v>
      </c>
      <c r="C3" s="15" t="s">
        <v>16310</v>
      </c>
      <c r="D3" s="15" t="s">
        <v>506</v>
      </c>
      <c r="E3" s="15" t="s">
        <v>15989</v>
      </c>
      <c r="F3" s="15" t="s">
        <v>16344</v>
      </c>
      <c r="G3" s="15"/>
      <c r="H3" s="15"/>
      <c r="I3" s="15" t="s">
        <v>528</v>
      </c>
      <c r="J3" s="15" t="s">
        <v>15991</v>
      </c>
    </row>
    <row r="4" spans="2:10">
      <c r="B4" s="15" t="s">
        <v>16343</v>
      </c>
      <c r="C4" s="15" t="s">
        <v>16313</v>
      </c>
      <c r="D4" s="15" t="s">
        <v>327</v>
      </c>
      <c r="E4" s="15" t="s">
        <v>305</v>
      </c>
      <c r="F4" s="15" t="s">
        <v>16345</v>
      </c>
      <c r="G4" s="15"/>
      <c r="H4" s="15"/>
      <c r="I4" s="15" t="s">
        <v>528</v>
      </c>
      <c r="J4" s="15" t="s">
        <v>15991</v>
      </c>
    </row>
    <row r="5" spans="2:10">
      <c r="B5" s="15" t="s">
        <v>16343</v>
      </c>
      <c r="C5" s="15" t="s">
        <v>16346</v>
      </c>
      <c r="D5" s="15" t="s">
        <v>327</v>
      </c>
      <c r="E5" s="15" t="s">
        <v>305</v>
      </c>
      <c r="F5" s="15" t="s">
        <v>16347</v>
      </c>
      <c r="G5" s="15"/>
      <c r="H5" s="15"/>
      <c r="I5" s="15" t="s">
        <v>528</v>
      </c>
      <c r="J5" s="15" t="s">
        <v>15991</v>
      </c>
    </row>
    <row r="6" spans="2:10">
      <c r="B6" s="15" t="s">
        <v>16343</v>
      </c>
      <c r="C6" s="15" t="s">
        <v>16348</v>
      </c>
      <c r="D6" s="15" t="s">
        <v>506</v>
      </c>
      <c r="E6" s="15" t="s">
        <v>305</v>
      </c>
      <c r="F6" s="15" t="s">
        <v>16349</v>
      </c>
      <c r="G6" s="15"/>
      <c r="H6" s="15"/>
      <c r="I6" s="15" t="s">
        <v>528</v>
      </c>
      <c r="J6" s="15" t="s">
        <v>15991</v>
      </c>
    </row>
    <row r="7" spans="2:10">
      <c r="B7" s="15" t="s">
        <v>16343</v>
      </c>
      <c r="C7" s="15" t="s">
        <v>16255</v>
      </c>
      <c r="D7" s="15" t="s">
        <v>16072</v>
      </c>
      <c r="E7" s="15" t="s">
        <v>305</v>
      </c>
      <c r="F7" s="53" t="s">
        <v>16299</v>
      </c>
      <c r="G7" s="15"/>
      <c r="H7" s="15"/>
      <c r="I7" s="15" t="s">
        <v>528</v>
      </c>
      <c r="J7" s="15" t="s">
        <v>15991</v>
      </c>
    </row>
    <row r="8" spans="2:10">
      <c r="B8" s="15" t="s">
        <v>16343</v>
      </c>
      <c r="C8" s="15" t="s">
        <v>16315</v>
      </c>
      <c r="D8" s="15" t="s">
        <v>327</v>
      </c>
      <c r="E8" s="15" t="s">
        <v>305</v>
      </c>
      <c r="F8" s="15" t="s">
        <v>16350</v>
      </c>
      <c r="G8" s="15"/>
      <c r="H8" s="15"/>
      <c r="I8" s="15" t="s">
        <v>528</v>
      </c>
      <c r="J8" s="15" t="s">
        <v>15991</v>
      </c>
    </row>
    <row r="9" spans="2:10">
      <c r="B9" s="15" t="s">
        <v>16343</v>
      </c>
      <c r="C9" s="15" t="s">
        <v>16053</v>
      </c>
      <c r="D9" s="15" t="s">
        <v>316</v>
      </c>
      <c r="E9" s="15" t="s">
        <v>305</v>
      </c>
      <c r="F9" s="15" t="s">
        <v>16351</v>
      </c>
      <c r="G9" s="15"/>
      <c r="H9" s="15"/>
      <c r="I9" s="15" t="s">
        <v>528</v>
      </c>
      <c r="J9" s="15" t="s">
        <v>15991</v>
      </c>
    </row>
    <row r="10" spans="2:10">
      <c r="B10" s="15" t="s">
        <v>16343</v>
      </c>
      <c r="C10" s="15" t="s">
        <v>16237</v>
      </c>
      <c r="D10" s="15" t="s">
        <v>316</v>
      </c>
      <c r="E10" s="15" t="s">
        <v>305</v>
      </c>
      <c r="F10" s="15" t="s">
        <v>16352</v>
      </c>
      <c r="G10" s="15"/>
      <c r="H10" s="15"/>
      <c r="I10" s="15" t="s">
        <v>528</v>
      </c>
      <c r="J10" s="15" t="s">
        <v>15991</v>
      </c>
    </row>
    <row r="11" spans="2:10">
      <c r="B11" s="15" t="s">
        <v>16343</v>
      </c>
      <c r="C11" s="15" t="s">
        <v>16243</v>
      </c>
      <c r="D11" s="15" t="s">
        <v>316</v>
      </c>
      <c r="E11" s="15" t="s">
        <v>305</v>
      </c>
      <c r="F11" s="15" t="s">
        <v>16018</v>
      </c>
      <c r="G11" s="15"/>
      <c r="H11" s="15"/>
      <c r="I11" s="15" t="s">
        <v>528</v>
      </c>
      <c r="J11" s="15" t="s">
        <v>15991</v>
      </c>
    </row>
    <row r="12" spans="2:10">
      <c r="B12" s="15" t="s">
        <v>16343</v>
      </c>
      <c r="C12" s="15" t="s">
        <v>16239</v>
      </c>
      <c r="D12" s="15" t="s">
        <v>316</v>
      </c>
      <c r="E12" s="15" t="s">
        <v>305</v>
      </c>
      <c r="F12" s="15" t="s">
        <v>16236</v>
      </c>
      <c r="G12" s="15"/>
      <c r="H12" s="15"/>
      <c r="I12" s="15" t="s">
        <v>528</v>
      </c>
      <c r="J12" s="15" t="s">
        <v>15991</v>
      </c>
    </row>
  </sheetData>
  <pageMargins left="0.75" right="0.75" top="1" bottom="1" header="0.5" footer="0.5"/>
  <pageSetup paperSize="1" orientation="portrait" horizontalDpi="300" verticalDpi="300"/>
  <headerFooter alignWithMargins="0" scaleWithDoc="0"/>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3"/>
  <sheetViews>
    <sheetView zoomScaleSheetLayoutView="60" workbookViewId="0">
      <selection activeCell="D29" sqref="D29"/>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52" t="str">
        <f>HYPERLINK("#表结构清单!A1","返回")</f>
        <v>返回</v>
      </c>
      <c r="B1" t="s">
        <v>16353</v>
      </c>
    </row>
    <row r="2" spans="2:10">
      <c r="B2" s="13" t="s">
        <v>15982</v>
      </c>
      <c r="C2" s="13" t="s">
        <v>297</v>
      </c>
      <c r="D2" s="13" t="s">
        <v>11870</v>
      </c>
      <c r="E2" s="13" t="s">
        <v>15983</v>
      </c>
      <c r="F2" s="13" t="s">
        <v>15984</v>
      </c>
      <c r="G2" s="13" t="s">
        <v>300</v>
      </c>
      <c r="H2" s="13" t="s">
        <v>301</v>
      </c>
      <c r="I2" s="13" t="s">
        <v>15985</v>
      </c>
      <c r="J2" s="13" t="s">
        <v>15986</v>
      </c>
    </row>
    <row r="3" spans="2:10">
      <c r="B3" s="15" t="s">
        <v>16354</v>
      </c>
      <c r="C3" s="15" t="s">
        <v>15988</v>
      </c>
      <c r="D3" s="15" t="s">
        <v>316</v>
      </c>
      <c r="E3" s="15" t="s">
        <v>15989</v>
      </c>
      <c r="F3" s="15" t="s">
        <v>16355</v>
      </c>
      <c r="G3" s="15"/>
      <c r="H3" s="15"/>
      <c r="I3" s="15" t="s">
        <v>528</v>
      </c>
      <c r="J3" s="15" t="s">
        <v>15991</v>
      </c>
    </row>
    <row r="4" spans="2:10">
      <c r="B4" s="15" t="s">
        <v>16354</v>
      </c>
      <c r="C4" s="15" t="s">
        <v>16246</v>
      </c>
      <c r="D4" s="15" t="s">
        <v>506</v>
      </c>
      <c r="E4" s="15" t="s">
        <v>305</v>
      </c>
      <c r="F4" s="15" t="s">
        <v>16356</v>
      </c>
      <c r="G4" s="15"/>
      <c r="H4" s="15"/>
      <c r="I4" s="15" t="s">
        <v>528</v>
      </c>
      <c r="J4" s="15" t="s">
        <v>15991</v>
      </c>
    </row>
    <row r="5" spans="2:10">
      <c r="B5" s="15" t="s">
        <v>16354</v>
      </c>
      <c r="C5" s="15" t="s">
        <v>16283</v>
      </c>
      <c r="D5" s="15" t="s">
        <v>506</v>
      </c>
      <c r="E5" s="15" t="s">
        <v>305</v>
      </c>
      <c r="F5" s="15" t="s">
        <v>16357</v>
      </c>
      <c r="G5" s="15"/>
      <c r="H5" s="15"/>
      <c r="I5" s="15" t="s">
        <v>528</v>
      </c>
      <c r="J5" s="15" t="s">
        <v>15991</v>
      </c>
    </row>
    <row r="6" spans="2:10">
      <c r="B6" s="15" t="s">
        <v>16354</v>
      </c>
      <c r="C6" s="15" t="s">
        <v>16358</v>
      </c>
      <c r="D6" s="15" t="s">
        <v>506</v>
      </c>
      <c r="E6" s="15" t="s">
        <v>305</v>
      </c>
      <c r="F6" s="15" t="s">
        <v>16359</v>
      </c>
      <c r="G6" s="15"/>
      <c r="H6" s="15"/>
      <c r="I6" s="15" t="s">
        <v>528</v>
      </c>
      <c r="J6" s="15" t="s">
        <v>15991</v>
      </c>
    </row>
    <row r="7" spans="2:10">
      <c r="B7" s="15" t="s">
        <v>16354</v>
      </c>
      <c r="C7" s="15" t="s">
        <v>599</v>
      </c>
      <c r="D7" s="15" t="s">
        <v>506</v>
      </c>
      <c r="E7" s="15" t="s">
        <v>305</v>
      </c>
      <c r="F7" s="15" t="s">
        <v>16360</v>
      </c>
      <c r="G7" s="15"/>
      <c r="H7" s="15"/>
      <c r="I7" s="15" t="s">
        <v>528</v>
      </c>
      <c r="J7" s="15" t="s">
        <v>15991</v>
      </c>
    </row>
    <row r="8" spans="2:10">
      <c r="B8" s="15" t="s">
        <v>16354</v>
      </c>
      <c r="C8" s="15" t="s">
        <v>16237</v>
      </c>
      <c r="D8" s="15" t="s">
        <v>316</v>
      </c>
      <c r="E8" s="15" t="s">
        <v>305</v>
      </c>
      <c r="F8" s="15" t="s">
        <v>16238</v>
      </c>
      <c r="G8" s="15"/>
      <c r="H8" s="15"/>
      <c r="I8" s="15" t="s">
        <v>528</v>
      </c>
      <c r="J8" s="15" t="s">
        <v>15991</v>
      </c>
    </row>
    <row r="9" spans="2:10">
      <c r="B9" s="15" t="s">
        <v>16354</v>
      </c>
      <c r="C9" s="15" t="s">
        <v>16239</v>
      </c>
      <c r="D9" s="15" t="s">
        <v>316</v>
      </c>
      <c r="E9" s="15" t="s">
        <v>305</v>
      </c>
      <c r="F9" s="15" t="s">
        <v>16236</v>
      </c>
      <c r="G9" s="15"/>
      <c r="H9" s="15"/>
      <c r="I9" s="15" t="s">
        <v>528</v>
      </c>
      <c r="J9" s="15" t="s">
        <v>15991</v>
      </c>
    </row>
    <row r="10" spans="2:10">
      <c r="B10" s="15" t="s">
        <v>16354</v>
      </c>
      <c r="C10" s="15" t="s">
        <v>16053</v>
      </c>
      <c r="D10" s="15" t="s">
        <v>316</v>
      </c>
      <c r="E10" s="15" t="s">
        <v>305</v>
      </c>
      <c r="F10" s="15" t="s">
        <v>16240</v>
      </c>
      <c r="G10" s="15"/>
      <c r="H10" s="15"/>
      <c r="I10" s="15" t="s">
        <v>528</v>
      </c>
      <c r="J10" s="15" t="s">
        <v>15991</v>
      </c>
    </row>
    <row r="11" spans="2:10">
      <c r="B11" s="15" t="s">
        <v>16354</v>
      </c>
      <c r="C11" s="15" t="s">
        <v>16243</v>
      </c>
      <c r="D11" s="15" t="s">
        <v>316</v>
      </c>
      <c r="E11" s="15" t="s">
        <v>305</v>
      </c>
      <c r="F11" s="15" t="s">
        <v>16018</v>
      </c>
      <c r="G11" s="15"/>
      <c r="H11" s="15"/>
      <c r="I11" s="15" t="s">
        <v>528</v>
      </c>
      <c r="J11" s="15" t="s">
        <v>15991</v>
      </c>
    </row>
    <row r="12" spans="2:10">
      <c r="B12" s="15" t="s">
        <v>16354</v>
      </c>
      <c r="C12" s="15" t="s">
        <v>16361</v>
      </c>
      <c r="D12" s="15" t="s">
        <v>506</v>
      </c>
      <c r="E12" s="15" t="s">
        <v>305</v>
      </c>
      <c r="F12" s="15" t="s">
        <v>16362</v>
      </c>
      <c r="G12" s="15"/>
      <c r="H12" s="15"/>
      <c r="I12" s="15" t="s">
        <v>528</v>
      </c>
      <c r="J12" s="15" t="s">
        <v>15991</v>
      </c>
    </row>
    <row r="13" spans="2:10">
      <c r="B13" s="15" t="s">
        <v>16354</v>
      </c>
      <c r="C13" s="15" t="s">
        <v>16363</v>
      </c>
      <c r="D13" s="15" t="s">
        <v>513</v>
      </c>
      <c r="E13" s="15" t="s">
        <v>305</v>
      </c>
      <c r="F13" s="15" t="s">
        <v>16364</v>
      </c>
      <c r="G13" s="15"/>
      <c r="H13" s="15"/>
      <c r="I13" s="15" t="s">
        <v>528</v>
      </c>
      <c r="J13" s="15" t="s">
        <v>15991</v>
      </c>
    </row>
  </sheetData>
  <pageMargins left="0.75" right="0.75" top="1" bottom="1" header="0.5" footer="0.5"/>
  <pageSetup paperSize="1" orientation="portrait" horizontalDpi="300" verticalDpi="300"/>
  <headerFooter alignWithMargins="0" scaleWithDoc="0"/>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42"/>
  <sheetViews>
    <sheetView zoomScaleSheetLayoutView="60" topLeftCell="A11" workbookViewId="0">
      <selection activeCell="F35" sqref="F35"/>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52" t="str">
        <f>HYPERLINK("#表结构清单!A1","返回")</f>
        <v>返回</v>
      </c>
      <c r="B1" t="s">
        <v>16365</v>
      </c>
    </row>
    <row r="2" spans="2:10">
      <c r="B2" s="13" t="s">
        <v>15982</v>
      </c>
      <c r="C2" s="13" t="s">
        <v>297</v>
      </c>
      <c r="D2" s="13" t="s">
        <v>11870</v>
      </c>
      <c r="E2" s="13" t="s">
        <v>15983</v>
      </c>
      <c r="F2" s="13" t="s">
        <v>15984</v>
      </c>
      <c r="G2" s="13" t="s">
        <v>300</v>
      </c>
      <c r="H2" s="13" t="s">
        <v>301</v>
      </c>
      <c r="I2" s="13" t="s">
        <v>15985</v>
      </c>
      <c r="J2" s="13" t="s">
        <v>15986</v>
      </c>
    </row>
    <row r="3" spans="2:10">
      <c r="B3" s="15" t="s">
        <v>16366</v>
      </c>
      <c r="C3" s="15" t="s">
        <v>16246</v>
      </c>
      <c r="D3" s="15" t="s">
        <v>506</v>
      </c>
      <c r="E3" s="15" t="s">
        <v>15989</v>
      </c>
      <c r="F3" s="15" t="s">
        <v>16247</v>
      </c>
      <c r="G3" s="15"/>
      <c r="H3" s="15"/>
      <c r="I3" s="15" t="s">
        <v>528</v>
      </c>
      <c r="J3" s="15" t="s">
        <v>15991</v>
      </c>
    </row>
    <row r="4" spans="2:10">
      <c r="B4" s="15" t="s">
        <v>16366</v>
      </c>
      <c r="C4" s="15" t="s">
        <v>16367</v>
      </c>
      <c r="D4" s="15" t="s">
        <v>316</v>
      </c>
      <c r="E4" s="15" t="s">
        <v>15989</v>
      </c>
      <c r="F4" s="15" t="s">
        <v>16368</v>
      </c>
      <c r="G4" s="15"/>
      <c r="H4" s="15"/>
      <c r="I4" s="15" t="s">
        <v>528</v>
      </c>
      <c r="J4" s="15" t="s">
        <v>15991</v>
      </c>
    </row>
    <row r="5" spans="2:10">
      <c r="B5" s="15" t="s">
        <v>16366</v>
      </c>
      <c r="C5" s="15" t="s">
        <v>16325</v>
      </c>
      <c r="D5" s="15" t="s">
        <v>316</v>
      </c>
      <c r="E5" s="15" t="s">
        <v>305</v>
      </c>
      <c r="F5" s="15" t="s">
        <v>16326</v>
      </c>
      <c r="G5" s="15"/>
      <c r="H5" s="15"/>
      <c r="I5" s="15" t="s">
        <v>528</v>
      </c>
      <c r="J5" s="15" t="s">
        <v>15991</v>
      </c>
    </row>
    <row r="6" spans="2:10">
      <c r="B6" s="15" t="s">
        <v>16366</v>
      </c>
      <c r="C6" s="15" t="s">
        <v>16255</v>
      </c>
      <c r="D6" s="15" t="s">
        <v>321</v>
      </c>
      <c r="E6" s="15" t="s">
        <v>305</v>
      </c>
      <c r="F6" s="15" t="s">
        <v>4490</v>
      </c>
      <c r="G6" s="15"/>
      <c r="H6" s="15"/>
      <c r="I6" s="15" t="s">
        <v>528</v>
      </c>
      <c r="J6" s="15" t="s">
        <v>15991</v>
      </c>
    </row>
    <row r="7" spans="2:10">
      <c r="B7" s="15" t="s">
        <v>16366</v>
      </c>
      <c r="C7" s="15" t="s">
        <v>16369</v>
      </c>
      <c r="D7" s="15" t="s">
        <v>367</v>
      </c>
      <c r="E7" s="15" t="s">
        <v>305</v>
      </c>
      <c r="F7" s="15" t="s">
        <v>16370</v>
      </c>
      <c r="G7" s="15"/>
      <c r="H7" s="15"/>
      <c r="I7" s="15" t="s">
        <v>528</v>
      </c>
      <c r="J7" s="15" t="s">
        <v>15991</v>
      </c>
    </row>
    <row r="8" spans="2:10">
      <c r="B8" s="15" t="s">
        <v>16366</v>
      </c>
      <c r="C8" s="15" t="s">
        <v>16371</v>
      </c>
      <c r="D8" s="15" t="s">
        <v>367</v>
      </c>
      <c r="E8" s="15" t="s">
        <v>305</v>
      </c>
      <c r="F8" s="15" t="s">
        <v>297</v>
      </c>
      <c r="G8" s="15"/>
      <c r="H8" s="15"/>
      <c r="I8" s="15" t="s">
        <v>528</v>
      </c>
      <c r="J8" s="15" t="s">
        <v>15991</v>
      </c>
    </row>
    <row r="9" spans="2:10">
      <c r="B9" s="15" t="s">
        <v>16366</v>
      </c>
      <c r="C9" s="15" t="s">
        <v>16283</v>
      </c>
      <c r="D9" s="15" t="s">
        <v>367</v>
      </c>
      <c r="E9" s="15" t="s">
        <v>305</v>
      </c>
      <c r="F9" s="15" t="s">
        <v>16372</v>
      </c>
      <c r="G9" s="15"/>
      <c r="H9" s="15"/>
      <c r="I9" s="15" t="s">
        <v>528</v>
      </c>
      <c r="J9" s="15" t="s">
        <v>15991</v>
      </c>
    </row>
    <row r="10" spans="2:10">
      <c r="B10" s="15" t="s">
        <v>16366</v>
      </c>
      <c r="C10" s="15" t="s">
        <v>16373</v>
      </c>
      <c r="D10" s="15" t="s">
        <v>316</v>
      </c>
      <c r="E10" s="15" t="s">
        <v>305</v>
      </c>
      <c r="F10" s="15" t="s">
        <v>16374</v>
      </c>
      <c r="G10" s="15"/>
      <c r="H10" s="15"/>
      <c r="I10" s="15" t="s">
        <v>528</v>
      </c>
      <c r="J10" s="15" t="s">
        <v>15991</v>
      </c>
    </row>
    <row r="11" spans="2:10">
      <c r="B11" s="15" t="s">
        <v>16366</v>
      </c>
      <c r="C11" s="15" t="s">
        <v>16375</v>
      </c>
      <c r="D11" s="15" t="s">
        <v>506</v>
      </c>
      <c r="E11" s="15" t="s">
        <v>305</v>
      </c>
      <c r="F11" s="15" t="s">
        <v>16374</v>
      </c>
      <c r="G11" s="15"/>
      <c r="H11" s="15"/>
      <c r="I11" s="15" t="s">
        <v>528</v>
      </c>
      <c r="J11" s="15" t="s">
        <v>15991</v>
      </c>
    </row>
    <row r="12" spans="2:10">
      <c r="B12" s="15" t="s">
        <v>16366</v>
      </c>
      <c r="C12" s="15" t="s">
        <v>16376</v>
      </c>
      <c r="D12" s="15" t="s">
        <v>367</v>
      </c>
      <c r="E12" s="15" t="s">
        <v>305</v>
      </c>
      <c r="F12" s="15" t="s">
        <v>16377</v>
      </c>
      <c r="G12" s="15"/>
      <c r="H12" s="15"/>
      <c r="I12" s="15" t="s">
        <v>528</v>
      </c>
      <c r="J12" s="15" t="s">
        <v>15991</v>
      </c>
    </row>
    <row r="13" spans="2:10">
      <c r="B13" s="15" t="s">
        <v>16366</v>
      </c>
      <c r="C13" s="15" t="s">
        <v>16378</v>
      </c>
      <c r="D13" s="15" t="s">
        <v>327</v>
      </c>
      <c r="E13" s="15" t="s">
        <v>305</v>
      </c>
      <c r="F13" s="15" t="s">
        <v>16379</v>
      </c>
      <c r="G13" s="15"/>
      <c r="H13" s="15"/>
      <c r="I13" s="15" t="s">
        <v>528</v>
      </c>
      <c r="J13" s="15" t="s">
        <v>15991</v>
      </c>
    </row>
    <row r="14" spans="2:10">
      <c r="B14" s="15" t="s">
        <v>16366</v>
      </c>
      <c r="C14" s="15" t="s">
        <v>16380</v>
      </c>
      <c r="D14" s="15" t="s">
        <v>316</v>
      </c>
      <c r="E14" s="15" t="s">
        <v>305</v>
      </c>
      <c r="F14" s="15" t="s">
        <v>16381</v>
      </c>
      <c r="G14" s="15"/>
      <c r="H14" s="15"/>
      <c r="I14" s="15" t="s">
        <v>528</v>
      </c>
      <c r="J14" s="15" t="s">
        <v>15991</v>
      </c>
    </row>
    <row r="15" spans="2:10">
      <c r="B15" s="15" t="s">
        <v>16366</v>
      </c>
      <c r="C15" s="15" t="s">
        <v>16382</v>
      </c>
      <c r="D15" s="15" t="s">
        <v>316</v>
      </c>
      <c r="E15" s="15" t="s">
        <v>305</v>
      </c>
      <c r="F15" s="15" t="s">
        <v>3006</v>
      </c>
      <c r="G15" s="15"/>
      <c r="H15" s="15"/>
      <c r="I15" s="15" t="s">
        <v>528</v>
      </c>
      <c r="J15" s="15" t="s">
        <v>15991</v>
      </c>
    </row>
    <row r="16" spans="2:10">
      <c r="B16" s="15" t="s">
        <v>16366</v>
      </c>
      <c r="C16" s="15" t="s">
        <v>16383</v>
      </c>
      <c r="D16" s="15" t="s">
        <v>316</v>
      </c>
      <c r="E16" s="15" t="s">
        <v>305</v>
      </c>
      <c r="F16" s="15" t="s">
        <v>16384</v>
      </c>
      <c r="G16" s="15"/>
      <c r="H16" s="15"/>
      <c r="I16" s="15" t="s">
        <v>528</v>
      </c>
      <c r="J16" s="15" t="s">
        <v>15991</v>
      </c>
    </row>
    <row r="17" spans="2:10">
      <c r="B17" s="15" t="s">
        <v>16366</v>
      </c>
      <c r="C17" s="15" t="s">
        <v>16385</v>
      </c>
      <c r="D17" s="15" t="s">
        <v>316</v>
      </c>
      <c r="E17" s="15" t="s">
        <v>305</v>
      </c>
      <c r="F17" s="15" t="s">
        <v>16386</v>
      </c>
      <c r="G17" s="15"/>
      <c r="H17" s="15"/>
      <c r="I17" s="15" t="s">
        <v>528</v>
      </c>
      <c r="J17" s="15" t="s">
        <v>15991</v>
      </c>
    </row>
    <row r="18" spans="2:10">
      <c r="B18" s="15" t="s">
        <v>16366</v>
      </c>
      <c r="C18" s="15" t="s">
        <v>16387</v>
      </c>
      <c r="D18" s="15" t="s">
        <v>316</v>
      </c>
      <c r="E18" s="15" t="s">
        <v>305</v>
      </c>
      <c r="F18" s="15" t="s">
        <v>4437</v>
      </c>
      <c r="G18" s="15"/>
      <c r="H18" s="15"/>
      <c r="I18" s="15" t="s">
        <v>528</v>
      </c>
      <c r="J18" s="15" t="s">
        <v>15991</v>
      </c>
    </row>
    <row r="19" spans="2:10">
      <c r="B19" s="15" t="s">
        <v>16366</v>
      </c>
      <c r="C19" s="15" t="s">
        <v>16388</v>
      </c>
      <c r="D19" s="15" t="s">
        <v>327</v>
      </c>
      <c r="E19" s="15" t="s">
        <v>305</v>
      </c>
      <c r="F19" s="15" t="s">
        <v>16389</v>
      </c>
      <c r="G19" s="15"/>
      <c r="H19" s="15"/>
      <c r="I19" s="15" t="s">
        <v>528</v>
      </c>
      <c r="J19" s="15" t="s">
        <v>15991</v>
      </c>
    </row>
    <row r="20" spans="2:10">
      <c r="B20" s="15" t="s">
        <v>16366</v>
      </c>
      <c r="C20" s="15" t="s">
        <v>16390</v>
      </c>
      <c r="D20" s="15" t="s">
        <v>327</v>
      </c>
      <c r="E20" s="15" t="s">
        <v>305</v>
      </c>
      <c r="F20" s="15" t="s">
        <v>16391</v>
      </c>
      <c r="G20" s="15"/>
      <c r="H20" s="15"/>
      <c r="I20" s="15" t="s">
        <v>528</v>
      </c>
      <c r="J20" s="15" t="s">
        <v>15991</v>
      </c>
    </row>
    <row r="21" spans="2:10">
      <c r="B21" s="15" t="s">
        <v>16366</v>
      </c>
      <c r="C21" s="15" t="s">
        <v>16392</v>
      </c>
      <c r="D21" s="15" t="s">
        <v>513</v>
      </c>
      <c r="E21" s="15" t="s">
        <v>305</v>
      </c>
      <c r="F21" s="15" t="s">
        <v>298</v>
      </c>
      <c r="G21" s="15"/>
      <c r="H21" s="15"/>
      <c r="I21" s="15" t="s">
        <v>528</v>
      </c>
      <c r="J21" s="15" t="s">
        <v>15991</v>
      </c>
    </row>
    <row r="22" spans="2:10">
      <c r="B22" s="15" t="s">
        <v>16366</v>
      </c>
      <c r="C22" s="15" t="s">
        <v>16393</v>
      </c>
      <c r="D22" s="15" t="s">
        <v>16072</v>
      </c>
      <c r="E22" s="15" t="s">
        <v>305</v>
      </c>
      <c r="F22" s="15" t="s">
        <v>16394</v>
      </c>
      <c r="G22" s="15"/>
      <c r="H22" s="15"/>
      <c r="I22" s="15" t="s">
        <v>528</v>
      </c>
      <c r="J22" s="15" t="s">
        <v>15991</v>
      </c>
    </row>
    <row r="23" spans="2:10">
      <c r="B23" s="15" t="s">
        <v>16366</v>
      </c>
      <c r="C23" s="15" t="s">
        <v>16395</v>
      </c>
      <c r="D23" s="15" t="s">
        <v>16072</v>
      </c>
      <c r="E23" s="15" t="s">
        <v>305</v>
      </c>
      <c r="F23" s="53" t="s">
        <v>16396</v>
      </c>
      <c r="G23" s="15"/>
      <c r="H23" s="15"/>
      <c r="I23" s="15" t="s">
        <v>528</v>
      </c>
      <c r="J23" s="15" t="s">
        <v>15991</v>
      </c>
    </row>
    <row r="24" spans="2:10">
      <c r="B24" s="15" t="s">
        <v>16366</v>
      </c>
      <c r="C24" s="15" t="s">
        <v>16397</v>
      </c>
      <c r="D24" s="15" t="s">
        <v>16072</v>
      </c>
      <c r="E24" s="15" t="s">
        <v>305</v>
      </c>
      <c r="F24" s="15" t="s">
        <v>16398</v>
      </c>
      <c r="G24" s="15"/>
      <c r="H24" s="15"/>
      <c r="I24" s="15" t="s">
        <v>528</v>
      </c>
      <c r="J24" s="15" t="s">
        <v>15991</v>
      </c>
    </row>
    <row r="25" spans="2:10">
      <c r="B25" s="15" t="s">
        <v>16366</v>
      </c>
      <c r="C25" s="15" t="s">
        <v>16399</v>
      </c>
      <c r="D25" s="15" t="s">
        <v>16072</v>
      </c>
      <c r="E25" s="15" t="s">
        <v>305</v>
      </c>
      <c r="F25" s="15" t="s">
        <v>16400</v>
      </c>
      <c r="G25" s="15"/>
      <c r="H25" s="15"/>
      <c r="I25" s="15" t="s">
        <v>528</v>
      </c>
      <c r="J25" s="15" t="s">
        <v>15991</v>
      </c>
    </row>
    <row r="26" spans="2:10">
      <c r="B26" s="15" t="s">
        <v>16366</v>
      </c>
      <c r="C26" s="15" t="s">
        <v>16401</v>
      </c>
      <c r="D26" s="15" t="s">
        <v>16072</v>
      </c>
      <c r="E26" s="15" t="s">
        <v>305</v>
      </c>
      <c r="F26" s="15" t="s">
        <v>16402</v>
      </c>
      <c r="G26" s="15"/>
      <c r="H26" s="15"/>
      <c r="I26" s="15" t="s">
        <v>528</v>
      </c>
      <c r="J26" s="15" t="s">
        <v>15991</v>
      </c>
    </row>
    <row r="27" spans="2:10">
      <c r="B27" s="15" t="s">
        <v>16366</v>
      </c>
      <c r="C27" s="15" t="s">
        <v>16403</v>
      </c>
      <c r="D27" s="15" t="s">
        <v>16056</v>
      </c>
      <c r="E27" s="15" t="s">
        <v>305</v>
      </c>
      <c r="F27" s="15" t="s">
        <v>16404</v>
      </c>
      <c r="G27" s="15"/>
      <c r="H27" s="15"/>
      <c r="I27" s="15" t="s">
        <v>528</v>
      </c>
      <c r="J27" s="15" t="s">
        <v>15991</v>
      </c>
    </row>
    <row r="28" spans="2:10">
      <c r="B28" s="15" t="s">
        <v>16366</v>
      </c>
      <c r="C28" s="15" t="s">
        <v>16405</v>
      </c>
      <c r="D28" s="15" t="s">
        <v>16072</v>
      </c>
      <c r="E28" s="15" t="s">
        <v>305</v>
      </c>
      <c r="F28" s="15" t="s">
        <v>16406</v>
      </c>
      <c r="G28" s="15"/>
      <c r="H28" s="15"/>
      <c r="I28" s="15" t="s">
        <v>528</v>
      </c>
      <c r="J28" s="15" t="s">
        <v>15991</v>
      </c>
    </row>
    <row r="29" spans="2:10">
      <c r="B29" s="15" t="s">
        <v>16366</v>
      </c>
      <c r="C29" s="15" t="s">
        <v>16407</v>
      </c>
      <c r="D29" s="15" t="s">
        <v>316</v>
      </c>
      <c r="E29" s="15" t="s">
        <v>305</v>
      </c>
      <c r="F29" s="15" t="s">
        <v>16408</v>
      </c>
      <c r="G29" s="15"/>
      <c r="H29" s="15"/>
      <c r="I29" s="15" t="s">
        <v>528</v>
      </c>
      <c r="J29" s="15" t="s">
        <v>15991</v>
      </c>
    </row>
    <row r="30" spans="2:10">
      <c r="B30" s="15" t="s">
        <v>16366</v>
      </c>
      <c r="C30" s="15" t="s">
        <v>16409</v>
      </c>
      <c r="D30" s="15" t="s">
        <v>316</v>
      </c>
      <c r="E30" s="15" t="s">
        <v>305</v>
      </c>
      <c r="F30" s="15" t="s">
        <v>16410</v>
      </c>
      <c r="G30" s="15"/>
      <c r="H30" s="15"/>
      <c r="I30" s="15" t="s">
        <v>528</v>
      </c>
      <c r="J30" s="15" t="s">
        <v>15991</v>
      </c>
    </row>
    <row r="31" spans="2:10">
      <c r="B31" s="15" t="s">
        <v>16366</v>
      </c>
      <c r="C31" s="15" t="s">
        <v>16053</v>
      </c>
      <c r="D31" s="15" t="s">
        <v>316</v>
      </c>
      <c r="E31" s="15" t="s">
        <v>305</v>
      </c>
      <c r="F31" s="15" t="s">
        <v>16351</v>
      </c>
      <c r="G31" s="15"/>
      <c r="H31" s="15"/>
      <c r="I31" s="15" t="s">
        <v>528</v>
      </c>
      <c r="J31" s="15" t="s">
        <v>15991</v>
      </c>
    </row>
    <row r="32" spans="2:10">
      <c r="B32" s="15" t="s">
        <v>16366</v>
      </c>
      <c r="C32" s="15" t="s">
        <v>16237</v>
      </c>
      <c r="D32" s="15" t="s">
        <v>316</v>
      </c>
      <c r="E32" s="15" t="s">
        <v>305</v>
      </c>
      <c r="F32" s="15" t="s">
        <v>16352</v>
      </c>
      <c r="G32" s="15"/>
      <c r="H32" s="15"/>
      <c r="I32" s="15" t="s">
        <v>528</v>
      </c>
      <c r="J32" s="15" t="s">
        <v>15991</v>
      </c>
    </row>
    <row r="33" spans="2:10">
      <c r="B33" s="15" t="s">
        <v>16366</v>
      </c>
      <c r="C33" s="15" t="s">
        <v>16243</v>
      </c>
      <c r="D33" s="15" t="s">
        <v>316</v>
      </c>
      <c r="E33" s="15" t="s">
        <v>305</v>
      </c>
      <c r="F33" s="15" t="s">
        <v>16018</v>
      </c>
      <c r="G33" s="15"/>
      <c r="H33" s="15"/>
      <c r="I33" s="15" t="s">
        <v>528</v>
      </c>
      <c r="J33" s="15" t="s">
        <v>15991</v>
      </c>
    </row>
    <row r="34" spans="2:10">
      <c r="B34" s="15" t="s">
        <v>16366</v>
      </c>
      <c r="C34" s="15" t="s">
        <v>16239</v>
      </c>
      <c r="D34" s="15" t="s">
        <v>316</v>
      </c>
      <c r="E34" s="15" t="s">
        <v>305</v>
      </c>
      <c r="F34" s="15" t="s">
        <v>16236</v>
      </c>
      <c r="G34" s="15"/>
      <c r="H34" s="15"/>
      <c r="I34" s="15" t="s">
        <v>528</v>
      </c>
      <c r="J34" s="15" t="s">
        <v>15991</v>
      </c>
    </row>
    <row r="35" spans="2:10">
      <c r="B35" s="15" t="s">
        <v>16366</v>
      </c>
      <c r="C35" s="15" t="s">
        <v>16411</v>
      </c>
      <c r="D35" s="15" t="s">
        <v>16072</v>
      </c>
      <c r="E35" s="15" t="s">
        <v>305</v>
      </c>
      <c r="F35" s="15" t="s">
        <v>16412</v>
      </c>
      <c r="G35" s="15"/>
      <c r="H35" s="15"/>
      <c r="I35" s="15" t="s">
        <v>528</v>
      </c>
      <c r="J35" s="15" t="s">
        <v>15991</v>
      </c>
    </row>
    <row r="36" spans="2:10">
      <c r="B36" s="15" t="s">
        <v>16366</v>
      </c>
      <c r="C36" s="15" t="s">
        <v>16413</v>
      </c>
      <c r="D36" s="15" t="s">
        <v>327</v>
      </c>
      <c r="E36" s="15" t="s">
        <v>305</v>
      </c>
      <c r="F36" s="15" t="s">
        <v>16414</v>
      </c>
      <c r="G36" s="15"/>
      <c r="H36" s="15"/>
      <c r="I36" s="15" t="s">
        <v>528</v>
      </c>
      <c r="J36" s="15" t="s">
        <v>15991</v>
      </c>
    </row>
    <row r="37" spans="2:10">
      <c r="B37" s="15" t="s">
        <v>16366</v>
      </c>
      <c r="C37" s="15" t="s">
        <v>16415</v>
      </c>
      <c r="D37" s="15" t="s">
        <v>321</v>
      </c>
      <c r="E37" s="15" t="s">
        <v>305</v>
      </c>
      <c r="F37" s="15" t="s">
        <v>16416</v>
      </c>
      <c r="G37" s="15"/>
      <c r="H37" s="15"/>
      <c r="I37" s="15" t="s">
        <v>528</v>
      </c>
      <c r="J37" s="15" t="s">
        <v>15991</v>
      </c>
    </row>
    <row r="38" spans="2:10">
      <c r="B38" s="15" t="s">
        <v>16366</v>
      </c>
      <c r="C38" s="15" t="s">
        <v>16417</v>
      </c>
      <c r="D38" s="15" t="s">
        <v>316</v>
      </c>
      <c r="E38" s="15" t="s">
        <v>305</v>
      </c>
      <c r="F38" s="15" t="s">
        <v>16418</v>
      </c>
      <c r="G38" s="15"/>
      <c r="H38" s="15"/>
      <c r="I38" s="15" t="s">
        <v>528</v>
      </c>
      <c r="J38" s="15" t="s">
        <v>15991</v>
      </c>
    </row>
    <row r="39" spans="2:10">
      <c r="B39" s="15" t="s">
        <v>16366</v>
      </c>
      <c r="C39" s="15" t="s">
        <v>16419</v>
      </c>
      <c r="D39" s="15" t="s">
        <v>327</v>
      </c>
      <c r="E39" s="15" t="s">
        <v>305</v>
      </c>
      <c r="F39" s="15" t="s">
        <v>6603</v>
      </c>
      <c r="G39" s="15"/>
      <c r="H39" s="15"/>
      <c r="I39" s="15" t="s">
        <v>528</v>
      </c>
      <c r="J39" s="15" t="s">
        <v>15991</v>
      </c>
    </row>
    <row r="40" spans="2:10">
      <c r="B40" s="15" t="s">
        <v>16366</v>
      </c>
      <c r="C40" s="15" t="s">
        <v>16420</v>
      </c>
      <c r="D40" s="15" t="s">
        <v>327</v>
      </c>
      <c r="E40" s="15" t="s">
        <v>305</v>
      </c>
      <c r="F40" s="15" t="s">
        <v>16421</v>
      </c>
      <c r="G40" s="15"/>
      <c r="H40" s="15"/>
      <c r="I40" s="15" t="s">
        <v>528</v>
      </c>
      <c r="J40" s="15" t="s">
        <v>15991</v>
      </c>
    </row>
    <row r="41" spans="2:10">
      <c r="B41" s="15" t="s">
        <v>16366</v>
      </c>
      <c r="C41" s="15" t="s">
        <v>16422</v>
      </c>
      <c r="D41" s="15" t="s">
        <v>327</v>
      </c>
      <c r="E41" s="15" t="s">
        <v>305</v>
      </c>
      <c r="F41" s="15" t="s">
        <v>16423</v>
      </c>
      <c r="G41" s="15"/>
      <c r="H41" s="15"/>
      <c r="I41" s="15" t="s">
        <v>528</v>
      </c>
      <c r="J41" s="15" t="s">
        <v>15991</v>
      </c>
    </row>
    <row r="42" spans="2:10">
      <c r="B42" s="15" t="s">
        <v>16366</v>
      </c>
      <c r="C42" s="15" t="s">
        <v>16424</v>
      </c>
      <c r="D42" s="15" t="s">
        <v>367</v>
      </c>
      <c r="E42" s="15" t="s">
        <v>305</v>
      </c>
      <c r="F42" s="15" t="s">
        <v>16425</v>
      </c>
      <c r="G42" s="15"/>
      <c r="H42" s="15"/>
      <c r="I42" s="15" t="s">
        <v>528</v>
      </c>
      <c r="J42" s="15" t="s">
        <v>15991</v>
      </c>
    </row>
  </sheetData>
  <pageMargins left="0.75" right="0.75" top="1" bottom="1" header="0.5" footer="0.5"/>
  <pageSetup paperSize="1" orientation="portrait" horizontalDpi="300" verticalDpi="300"/>
  <headerFooter alignWithMargins="0" scaleWithDoc="0"/>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5"/>
  <sheetViews>
    <sheetView zoomScaleSheetLayoutView="60" workbookViewId="0">
      <selection activeCell="D27" sqref="D27"/>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52" t="str">
        <f>HYPERLINK("#表结构清单!A1","返回")</f>
        <v>返回</v>
      </c>
      <c r="B1" t="s">
        <v>16426</v>
      </c>
    </row>
    <row r="2" spans="2:10">
      <c r="B2" s="13" t="s">
        <v>15982</v>
      </c>
      <c r="C2" s="13" t="s">
        <v>297</v>
      </c>
      <c r="D2" s="13" t="s">
        <v>11870</v>
      </c>
      <c r="E2" s="13" t="s">
        <v>15983</v>
      </c>
      <c r="F2" s="13" t="s">
        <v>15984</v>
      </c>
      <c r="G2" s="13" t="s">
        <v>300</v>
      </c>
      <c r="H2" s="13" t="s">
        <v>301</v>
      </c>
      <c r="I2" s="13" t="s">
        <v>15985</v>
      </c>
      <c r="J2" s="13" t="s">
        <v>15986</v>
      </c>
    </row>
    <row r="3" spans="2:10">
      <c r="B3" s="15" t="s">
        <v>16427</v>
      </c>
      <c r="C3" s="15" t="s">
        <v>16258</v>
      </c>
      <c r="D3" s="15" t="s">
        <v>316</v>
      </c>
      <c r="E3" s="15" t="s">
        <v>15989</v>
      </c>
      <c r="F3" s="15" t="s">
        <v>16428</v>
      </c>
      <c r="G3" s="15"/>
      <c r="H3" s="15"/>
      <c r="I3" s="15" t="s">
        <v>528</v>
      </c>
      <c r="J3" s="15" t="s">
        <v>15991</v>
      </c>
    </row>
    <row r="4" spans="2:10">
      <c r="B4" s="15" t="s">
        <v>16427</v>
      </c>
      <c r="C4" s="15" t="s">
        <v>16256</v>
      </c>
      <c r="D4" s="15" t="s">
        <v>16056</v>
      </c>
      <c r="E4" s="15" t="s">
        <v>305</v>
      </c>
      <c r="F4" s="15" t="s">
        <v>16257</v>
      </c>
      <c r="G4" s="15"/>
      <c r="H4" s="15"/>
      <c r="I4" s="15" t="s">
        <v>528</v>
      </c>
      <c r="J4" s="15" t="s">
        <v>15991</v>
      </c>
    </row>
    <row r="5" spans="2:10">
      <c r="B5" s="15" t="s">
        <v>16427</v>
      </c>
      <c r="C5" s="15" t="s">
        <v>16429</v>
      </c>
      <c r="D5" s="15" t="s">
        <v>506</v>
      </c>
      <c r="E5" s="15" t="s">
        <v>305</v>
      </c>
      <c r="F5" s="15" t="s">
        <v>16430</v>
      </c>
      <c r="G5" s="15"/>
      <c r="H5" s="15"/>
      <c r="I5" s="15" t="s">
        <v>528</v>
      </c>
      <c r="J5" s="15" t="s">
        <v>15991</v>
      </c>
    </row>
    <row r="6" spans="2:10">
      <c r="B6" s="15" t="s">
        <v>16427</v>
      </c>
      <c r="C6" s="15" t="s">
        <v>16431</v>
      </c>
      <c r="D6" s="15" t="s">
        <v>327</v>
      </c>
      <c r="E6" s="15" t="s">
        <v>305</v>
      </c>
      <c r="F6" s="15" t="s">
        <v>16432</v>
      </c>
      <c r="G6" s="15"/>
      <c r="H6" s="15"/>
      <c r="I6" s="15" t="s">
        <v>528</v>
      </c>
      <c r="J6" s="15" t="s">
        <v>15991</v>
      </c>
    </row>
    <row r="7" spans="2:10">
      <c r="B7" s="15" t="s">
        <v>16427</v>
      </c>
      <c r="C7" s="15" t="s">
        <v>16433</v>
      </c>
      <c r="D7" s="15" t="s">
        <v>367</v>
      </c>
      <c r="E7" s="15" t="s">
        <v>305</v>
      </c>
      <c r="F7" s="15" t="s">
        <v>16434</v>
      </c>
      <c r="G7" s="15"/>
      <c r="H7" s="15"/>
      <c r="I7" s="15" t="s">
        <v>528</v>
      </c>
      <c r="J7" s="15" t="s">
        <v>15991</v>
      </c>
    </row>
    <row r="8" spans="2:10">
      <c r="B8" s="15" t="s">
        <v>16427</v>
      </c>
      <c r="C8" s="15" t="s">
        <v>16435</v>
      </c>
      <c r="D8" s="15" t="s">
        <v>367</v>
      </c>
      <c r="E8" s="15" t="s">
        <v>305</v>
      </c>
      <c r="F8" s="15" t="s">
        <v>16436</v>
      </c>
      <c r="G8" s="15"/>
      <c r="H8" s="15"/>
      <c r="I8" s="15" t="s">
        <v>528</v>
      </c>
      <c r="J8" s="15" t="s">
        <v>15991</v>
      </c>
    </row>
    <row r="9" spans="2:10">
      <c r="B9" s="15" t="s">
        <v>16427</v>
      </c>
      <c r="C9" s="15" t="s">
        <v>16437</v>
      </c>
      <c r="D9" s="15" t="s">
        <v>327</v>
      </c>
      <c r="E9" s="15" t="s">
        <v>305</v>
      </c>
      <c r="F9" s="15" t="s">
        <v>16438</v>
      </c>
      <c r="G9" s="15"/>
      <c r="H9" s="15"/>
      <c r="I9" s="15" t="s">
        <v>528</v>
      </c>
      <c r="J9" s="15" t="s">
        <v>15991</v>
      </c>
    </row>
    <row r="10" spans="2:10">
      <c r="B10" s="15" t="s">
        <v>16427</v>
      </c>
      <c r="C10" s="15" t="s">
        <v>16439</v>
      </c>
      <c r="D10" s="15" t="s">
        <v>16440</v>
      </c>
      <c r="E10" s="15" t="s">
        <v>305</v>
      </c>
      <c r="F10" s="15" t="s">
        <v>16441</v>
      </c>
      <c r="G10" s="15"/>
      <c r="H10" s="15"/>
      <c r="I10" s="15" t="s">
        <v>528</v>
      </c>
      <c r="J10" s="15" t="s">
        <v>15991</v>
      </c>
    </row>
    <row r="11" spans="2:10">
      <c r="B11" s="15" t="s">
        <v>16427</v>
      </c>
      <c r="C11" s="15" t="s">
        <v>16442</v>
      </c>
      <c r="D11" s="15" t="s">
        <v>16440</v>
      </c>
      <c r="E11" s="15" t="s">
        <v>305</v>
      </c>
      <c r="F11" s="15" t="s">
        <v>16443</v>
      </c>
      <c r="G11" s="15"/>
      <c r="H11" s="15"/>
      <c r="I11" s="15" t="s">
        <v>528</v>
      </c>
      <c r="J11" s="15" t="s">
        <v>15991</v>
      </c>
    </row>
    <row r="12" spans="2:10">
      <c r="B12" s="15" t="s">
        <v>16427</v>
      </c>
      <c r="C12" s="15" t="s">
        <v>16332</v>
      </c>
      <c r="D12" s="15" t="s">
        <v>16115</v>
      </c>
      <c r="E12" s="15" t="s">
        <v>305</v>
      </c>
      <c r="F12" s="15" t="s">
        <v>16333</v>
      </c>
      <c r="G12" s="15"/>
      <c r="H12" s="15"/>
      <c r="I12" s="15" t="s">
        <v>528</v>
      </c>
      <c r="J12" s="15" t="s">
        <v>15991</v>
      </c>
    </row>
    <row r="13" spans="2:10">
      <c r="B13" s="15" t="s">
        <v>16427</v>
      </c>
      <c r="C13" s="15" t="s">
        <v>16334</v>
      </c>
      <c r="D13" s="15" t="s">
        <v>16115</v>
      </c>
      <c r="E13" s="15" t="s">
        <v>305</v>
      </c>
      <c r="F13" s="15" t="s">
        <v>16335</v>
      </c>
      <c r="G13" s="15"/>
      <c r="H13" s="15"/>
      <c r="I13" s="15" t="s">
        <v>528</v>
      </c>
      <c r="J13" s="15" t="s">
        <v>15991</v>
      </c>
    </row>
    <row r="14" spans="2:10">
      <c r="B14" s="15" t="s">
        <v>16427</v>
      </c>
      <c r="C14" s="15" t="s">
        <v>16338</v>
      </c>
      <c r="D14" s="15" t="s">
        <v>16440</v>
      </c>
      <c r="E14" s="15" t="s">
        <v>305</v>
      </c>
      <c r="F14" s="15" t="s">
        <v>16444</v>
      </c>
      <c r="G14" s="15"/>
      <c r="H14" s="15"/>
      <c r="I14" s="15" t="s">
        <v>528</v>
      </c>
      <c r="J14" s="15" t="s">
        <v>15991</v>
      </c>
    </row>
    <row r="15" spans="2:10">
      <c r="B15" s="15" t="s">
        <v>16427</v>
      </c>
      <c r="C15" s="15" t="s">
        <v>16340</v>
      </c>
      <c r="D15" s="15" t="s">
        <v>16440</v>
      </c>
      <c r="E15" s="15" t="s">
        <v>305</v>
      </c>
      <c r="F15" s="15" t="s">
        <v>16445</v>
      </c>
      <c r="G15" s="15"/>
      <c r="H15" s="15"/>
      <c r="I15" s="15" t="s">
        <v>528</v>
      </c>
      <c r="J15" s="15" t="s">
        <v>15991</v>
      </c>
    </row>
  </sheetData>
  <pageMargins left="0.75" right="0.75" top="1" bottom="1" header="0.5" footer="0.5"/>
  <pageSetup paperSize="1" orientation="portrait" horizontalDpi="300" verticalDpi="300"/>
  <headerFooter alignWithMargins="0" scaleWithDoc="0"/>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6"/>
  <sheetViews>
    <sheetView zoomScaleSheetLayoutView="60" workbookViewId="0">
      <selection activeCell="F20" sqref="F20"/>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52" t="str">
        <f>HYPERLINK("#表结构清单!A1","返回")</f>
        <v>返回</v>
      </c>
      <c r="B1" t="s">
        <v>26</v>
      </c>
    </row>
    <row r="2" spans="2:10">
      <c r="B2" s="13" t="s">
        <v>15982</v>
      </c>
      <c r="C2" s="13" t="s">
        <v>297</v>
      </c>
      <c r="D2" s="13" t="s">
        <v>11870</v>
      </c>
      <c r="E2" s="13" t="s">
        <v>15983</v>
      </c>
      <c r="F2" s="13" t="s">
        <v>15984</v>
      </c>
      <c r="G2" s="13" t="s">
        <v>300</v>
      </c>
      <c r="H2" s="13" t="s">
        <v>301</v>
      </c>
      <c r="I2" s="13" t="s">
        <v>15985</v>
      </c>
      <c r="J2" s="13" t="s">
        <v>15986</v>
      </c>
    </row>
    <row r="3" spans="2:10">
      <c r="B3" s="15" t="s">
        <v>16446</v>
      </c>
      <c r="C3" s="15" t="s">
        <v>16285</v>
      </c>
      <c r="D3" s="15" t="s">
        <v>506</v>
      </c>
      <c r="E3" s="15" t="s">
        <v>15989</v>
      </c>
      <c r="F3" s="15" t="s">
        <v>16447</v>
      </c>
      <c r="G3" s="15"/>
      <c r="H3" s="15"/>
      <c r="I3" s="15" t="s">
        <v>528</v>
      </c>
      <c r="J3" s="15" t="s">
        <v>15991</v>
      </c>
    </row>
    <row r="4" spans="2:10">
      <c r="B4" s="15" t="s">
        <v>16446</v>
      </c>
      <c r="C4" s="15" t="s">
        <v>16448</v>
      </c>
      <c r="D4" s="15" t="s">
        <v>513</v>
      </c>
      <c r="E4" s="15" t="s">
        <v>305</v>
      </c>
      <c r="F4" s="15" t="s">
        <v>16356</v>
      </c>
      <c r="G4" s="15"/>
      <c r="H4" s="15"/>
      <c r="I4" s="15" t="s">
        <v>528</v>
      </c>
      <c r="J4" s="15" t="s">
        <v>15991</v>
      </c>
    </row>
    <row r="5" spans="2:10">
      <c r="B5" s="15" t="s">
        <v>16446</v>
      </c>
      <c r="C5" s="15" t="s">
        <v>16449</v>
      </c>
      <c r="D5" s="15" t="s">
        <v>367</v>
      </c>
      <c r="E5" s="15" t="s">
        <v>305</v>
      </c>
      <c r="F5" s="15" t="s">
        <v>16450</v>
      </c>
      <c r="G5" s="15"/>
      <c r="H5" s="15"/>
      <c r="I5" s="15" t="s">
        <v>528</v>
      </c>
      <c r="J5" s="15" t="s">
        <v>15991</v>
      </c>
    </row>
    <row r="6" spans="2:10">
      <c r="B6" s="15" t="s">
        <v>16446</v>
      </c>
      <c r="C6" s="15" t="s">
        <v>16451</v>
      </c>
      <c r="D6" s="15" t="s">
        <v>506</v>
      </c>
      <c r="E6" s="15" t="s">
        <v>305</v>
      </c>
      <c r="F6" s="15" t="s">
        <v>16452</v>
      </c>
      <c r="G6" s="15"/>
      <c r="H6" s="15"/>
      <c r="I6" s="15" t="s">
        <v>528</v>
      </c>
      <c r="J6" s="15" t="s">
        <v>15991</v>
      </c>
    </row>
    <row r="7" spans="2:10">
      <c r="B7" s="15" t="s">
        <v>16446</v>
      </c>
      <c r="C7" s="15" t="s">
        <v>16453</v>
      </c>
      <c r="D7" s="15" t="s">
        <v>327</v>
      </c>
      <c r="E7" s="15" t="s">
        <v>305</v>
      </c>
      <c r="F7" s="15" t="s">
        <v>16454</v>
      </c>
      <c r="G7" s="15"/>
      <c r="H7" s="15"/>
      <c r="I7" s="15" t="s">
        <v>528</v>
      </c>
      <c r="J7" s="15" t="s">
        <v>15991</v>
      </c>
    </row>
    <row r="8" spans="2:10">
      <c r="B8" s="15" t="s">
        <v>16446</v>
      </c>
      <c r="C8" s="15" t="s">
        <v>16455</v>
      </c>
      <c r="D8" s="15" t="s">
        <v>367</v>
      </c>
      <c r="E8" s="15" t="s">
        <v>305</v>
      </c>
      <c r="F8" s="15" t="s">
        <v>71</v>
      </c>
      <c r="G8" s="15"/>
      <c r="H8" s="15"/>
      <c r="I8" s="15" t="s">
        <v>528</v>
      </c>
      <c r="J8" s="15" t="s">
        <v>15991</v>
      </c>
    </row>
    <row r="9" spans="2:10">
      <c r="B9" s="15" t="s">
        <v>16446</v>
      </c>
      <c r="C9" s="15" t="s">
        <v>16456</v>
      </c>
      <c r="D9" s="15" t="s">
        <v>367</v>
      </c>
      <c r="E9" s="15" t="s">
        <v>305</v>
      </c>
      <c r="F9" s="15" t="s">
        <v>16457</v>
      </c>
      <c r="G9" s="15"/>
      <c r="H9" s="15"/>
      <c r="I9" s="15" t="s">
        <v>528</v>
      </c>
      <c r="J9" s="15" t="s">
        <v>15991</v>
      </c>
    </row>
    <row r="10" spans="2:10">
      <c r="B10" s="15" t="s">
        <v>16446</v>
      </c>
      <c r="C10" s="15" t="s">
        <v>16458</v>
      </c>
      <c r="D10" s="15" t="s">
        <v>506</v>
      </c>
      <c r="E10" s="15" t="s">
        <v>305</v>
      </c>
      <c r="F10" s="15" t="s">
        <v>5486</v>
      </c>
      <c r="G10" s="15"/>
      <c r="H10" s="15"/>
      <c r="I10" s="15" t="s">
        <v>528</v>
      </c>
      <c r="J10" s="15" t="s">
        <v>15991</v>
      </c>
    </row>
    <row r="11" spans="2:10">
      <c r="B11" s="15" t="s">
        <v>16446</v>
      </c>
      <c r="C11" s="15" t="s">
        <v>16459</v>
      </c>
      <c r="D11" s="15" t="s">
        <v>506</v>
      </c>
      <c r="E11" s="15" t="s">
        <v>305</v>
      </c>
      <c r="F11" s="15" t="s">
        <v>5484</v>
      </c>
      <c r="G11" s="15"/>
      <c r="H11" s="15"/>
      <c r="I11" s="15" t="s">
        <v>528</v>
      </c>
      <c r="J11" s="15" t="s">
        <v>15991</v>
      </c>
    </row>
    <row r="12" spans="2:10">
      <c r="B12" s="15" t="s">
        <v>16446</v>
      </c>
      <c r="C12" s="15" t="s">
        <v>16237</v>
      </c>
      <c r="D12" s="15" t="s">
        <v>371</v>
      </c>
      <c r="E12" s="15" t="s">
        <v>305</v>
      </c>
      <c r="F12" s="15" t="s">
        <v>16352</v>
      </c>
      <c r="G12" s="15"/>
      <c r="H12" s="15"/>
      <c r="I12" s="15" t="s">
        <v>528</v>
      </c>
      <c r="J12" s="15" t="s">
        <v>15991</v>
      </c>
    </row>
    <row r="13" spans="2:10">
      <c r="B13" s="15" t="s">
        <v>16446</v>
      </c>
      <c r="C13" s="15" t="s">
        <v>16460</v>
      </c>
      <c r="D13" s="15" t="s">
        <v>16072</v>
      </c>
      <c r="E13" s="15" t="s">
        <v>305</v>
      </c>
      <c r="F13" s="53" t="s">
        <v>16461</v>
      </c>
      <c r="G13" s="15"/>
      <c r="H13" s="15"/>
      <c r="I13" s="15" t="s">
        <v>528</v>
      </c>
      <c r="J13" s="15" t="s">
        <v>15991</v>
      </c>
    </row>
    <row r="14" spans="2:10">
      <c r="B14" s="15" t="s">
        <v>16446</v>
      </c>
      <c r="C14" s="15" t="s">
        <v>16462</v>
      </c>
      <c r="D14" s="15" t="s">
        <v>506</v>
      </c>
      <c r="E14" s="15" t="s">
        <v>305</v>
      </c>
      <c r="F14" s="15" t="s">
        <v>16463</v>
      </c>
      <c r="G14" s="15"/>
      <c r="H14" s="15"/>
      <c r="I14" s="15" t="s">
        <v>528</v>
      </c>
      <c r="J14" s="15" t="s">
        <v>15991</v>
      </c>
    </row>
    <row r="15" spans="2:10">
      <c r="B15" s="15" t="s">
        <v>16446</v>
      </c>
      <c r="C15" s="15" t="s">
        <v>16464</v>
      </c>
      <c r="D15" s="15" t="s">
        <v>506</v>
      </c>
      <c r="E15" s="15" t="s">
        <v>305</v>
      </c>
      <c r="F15" s="15" t="s">
        <v>16465</v>
      </c>
      <c r="G15" s="15"/>
      <c r="H15" s="15"/>
      <c r="I15" s="15" t="s">
        <v>528</v>
      </c>
      <c r="J15" s="15" t="s">
        <v>15991</v>
      </c>
    </row>
    <row r="16" spans="2:10">
      <c r="B16" s="15" t="s">
        <v>16446</v>
      </c>
      <c r="C16" s="15" t="s">
        <v>16105</v>
      </c>
      <c r="D16" s="15" t="s">
        <v>513</v>
      </c>
      <c r="E16" s="15" t="s">
        <v>305</v>
      </c>
      <c r="F16" s="15" t="s">
        <v>16466</v>
      </c>
      <c r="G16" s="15"/>
      <c r="H16" s="15"/>
      <c r="I16" s="15" t="s">
        <v>528</v>
      </c>
      <c r="J16" s="15" t="s">
        <v>15991</v>
      </c>
    </row>
  </sheetData>
  <pageMargins left="0.75" right="0.75" top="1" bottom="1" header="0.5" footer="0.5"/>
  <pageSetup paperSize="1" orientation="portrait" horizontalDpi="300" verticalDpi="300"/>
  <headerFooter alignWithMargins="0" scaleWithDoc="0"/>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4"/>
  <sheetViews>
    <sheetView zoomScaleSheetLayoutView="60" workbookViewId="0">
      <selection activeCell="F19" sqref="F19"/>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52" t="str">
        <f>HYPERLINK("#表结构清单!A1","返回")</f>
        <v>返回</v>
      </c>
      <c r="B1" t="s">
        <v>27</v>
      </c>
    </row>
    <row r="2" spans="2:10">
      <c r="B2" s="13" t="s">
        <v>15982</v>
      </c>
      <c r="C2" s="13" t="s">
        <v>297</v>
      </c>
      <c r="D2" s="13" t="s">
        <v>11870</v>
      </c>
      <c r="E2" s="13" t="s">
        <v>15983</v>
      </c>
      <c r="F2" s="13" t="s">
        <v>15984</v>
      </c>
      <c r="G2" s="13" t="s">
        <v>300</v>
      </c>
      <c r="H2" s="13" t="s">
        <v>301</v>
      </c>
      <c r="I2" s="13" t="s">
        <v>15985</v>
      </c>
      <c r="J2" s="13" t="s">
        <v>15986</v>
      </c>
    </row>
    <row r="3" spans="2:10">
      <c r="B3" s="15" t="s">
        <v>16467</v>
      </c>
      <c r="C3" s="15" t="s">
        <v>16468</v>
      </c>
      <c r="D3" s="15" t="s">
        <v>316</v>
      </c>
      <c r="E3" s="15" t="s">
        <v>15989</v>
      </c>
      <c r="F3" s="15" t="s">
        <v>16469</v>
      </c>
      <c r="G3" s="15"/>
      <c r="H3" s="15"/>
      <c r="I3" s="15" t="s">
        <v>528</v>
      </c>
      <c r="J3" s="15" t="s">
        <v>15991</v>
      </c>
    </row>
    <row r="4" spans="2:10">
      <c r="B4" s="15" t="s">
        <v>16467</v>
      </c>
      <c r="C4" s="15" t="s">
        <v>16470</v>
      </c>
      <c r="D4" s="15" t="s">
        <v>506</v>
      </c>
      <c r="E4" s="15" t="s">
        <v>305</v>
      </c>
      <c r="F4" s="15" t="s">
        <v>16471</v>
      </c>
      <c r="G4" s="15"/>
      <c r="H4" s="15"/>
      <c r="I4" s="15" t="s">
        <v>528</v>
      </c>
      <c r="J4" s="15" t="s">
        <v>15991</v>
      </c>
    </row>
    <row r="5" spans="2:10">
      <c r="B5" s="15" t="s">
        <v>16467</v>
      </c>
      <c r="C5" s="15" t="s">
        <v>16325</v>
      </c>
      <c r="D5" s="15" t="s">
        <v>316</v>
      </c>
      <c r="E5" s="15" t="s">
        <v>305</v>
      </c>
      <c r="F5" s="15" t="s">
        <v>16326</v>
      </c>
      <c r="G5" s="15"/>
      <c r="H5" s="15"/>
      <c r="I5" s="15" t="s">
        <v>528</v>
      </c>
      <c r="J5" s="15" t="s">
        <v>15991</v>
      </c>
    </row>
    <row r="6" spans="2:10">
      <c r="B6" s="15" t="s">
        <v>16467</v>
      </c>
      <c r="C6" s="15" t="s">
        <v>16255</v>
      </c>
      <c r="D6" s="15" t="s">
        <v>16072</v>
      </c>
      <c r="E6" s="15" t="s">
        <v>305</v>
      </c>
      <c r="F6" s="53" t="s">
        <v>16299</v>
      </c>
      <c r="G6" s="15"/>
      <c r="H6" s="15"/>
      <c r="I6" s="15" t="s">
        <v>528</v>
      </c>
      <c r="J6" s="15" t="s">
        <v>15991</v>
      </c>
    </row>
    <row r="7" spans="2:10">
      <c r="B7" s="15" t="s">
        <v>16467</v>
      </c>
      <c r="C7" s="15" t="s">
        <v>16179</v>
      </c>
      <c r="D7" s="15" t="s">
        <v>316</v>
      </c>
      <c r="E7" s="15" t="s">
        <v>305</v>
      </c>
      <c r="F7" s="15" t="s">
        <v>16472</v>
      </c>
      <c r="G7" s="15"/>
      <c r="H7" s="15"/>
      <c r="I7" s="15" t="s">
        <v>528</v>
      </c>
      <c r="J7" s="15" t="s">
        <v>15991</v>
      </c>
    </row>
    <row r="8" spans="2:10">
      <c r="B8" s="15" t="s">
        <v>16467</v>
      </c>
      <c r="C8" s="15" t="s">
        <v>16181</v>
      </c>
      <c r="D8" s="15" t="s">
        <v>316</v>
      </c>
      <c r="E8" s="15" t="s">
        <v>305</v>
      </c>
      <c r="F8" s="15" t="s">
        <v>16473</v>
      </c>
      <c r="G8" s="15"/>
      <c r="H8" s="15"/>
      <c r="I8" s="15" t="s">
        <v>528</v>
      </c>
      <c r="J8" s="15" t="s">
        <v>15991</v>
      </c>
    </row>
    <row r="9" spans="2:10">
      <c r="B9" s="15" t="s">
        <v>16467</v>
      </c>
      <c r="C9" s="15" t="s">
        <v>16183</v>
      </c>
      <c r="D9" s="15" t="s">
        <v>316</v>
      </c>
      <c r="E9" s="15" t="s">
        <v>305</v>
      </c>
      <c r="F9" s="15" t="s">
        <v>16474</v>
      </c>
      <c r="G9" s="15"/>
      <c r="H9" s="15"/>
      <c r="I9" s="15" t="s">
        <v>528</v>
      </c>
      <c r="J9" s="15" t="s">
        <v>15991</v>
      </c>
    </row>
    <row r="10" spans="2:10">
      <c r="B10" s="15" t="s">
        <v>16467</v>
      </c>
      <c r="C10" s="15" t="s">
        <v>16185</v>
      </c>
      <c r="D10" s="15" t="s">
        <v>316</v>
      </c>
      <c r="E10" s="15" t="s">
        <v>305</v>
      </c>
      <c r="F10" s="15" t="s">
        <v>16475</v>
      </c>
      <c r="G10" s="15"/>
      <c r="H10" s="15"/>
      <c r="I10" s="15" t="s">
        <v>528</v>
      </c>
      <c r="J10" s="15" t="s">
        <v>15991</v>
      </c>
    </row>
    <row r="11" spans="2:10">
      <c r="B11" s="15" t="s">
        <v>16467</v>
      </c>
      <c r="C11" s="15" t="s">
        <v>16192</v>
      </c>
      <c r="D11" s="15" t="s">
        <v>327</v>
      </c>
      <c r="E11" s="15" t="s">
        <v>305</v>
      </c>
      <c r="F11" s="15" t="s">
        <v>16476</v>
      </c>
      <c r="G11" s="15"/>
      <c r="H11" s="15"/>
      <c r="I11" s="15" t="s">
        <v>528</v>
      </c>
      <c r="J11" s="15" t="s">
        <v>15991</v>
      </c>
    </row>
    <row r="12" spans="2:10">
      <c r="B12" s="15" t="s">
        <v>16467</v>
      </c>
      <c r="C12" s="15" t="s">
        <v>16187</v>
      </c>
      <c r="D12" s="15" t="s">
        <v>327</v>
      </c>
      <c r="E12" s="15" t="s">
        <v>305</v>
      </c>
      <c r="F12" s="15" t="s">
        <v>16477</v>
      </c>
      <c r="G12" s="15"/>
      <c r="H12" s="15"/>
      <c r="I12" s="15" t="s">
        <v>528</v>
      </c>
      <c r="J12" s="15" t="s">
        <v>15991</v>
      </c>
    </row>
    <row r="13" spans="2:10">
      <c r="B13" s="15" t="s">
        <v>16467</v>
      </c>
      <c r="C13" s="15" t="s">
        <v>16189</v>
      </c>
      <c r="D13" s="15" t="s">
        <v>327</v>
      </c>
      <c r="E13" s="15" t="s">
        <v>305</v>
      </c>
      <c r="F13" s="15" t="s">
        <v>16478</v>
      </c>
      <c r="G13" s="15"/>
      <c r="H13" s="15"/>
      <c r="I13" s="15" t="s">
        <v>528</v>
      </c>
      <c r="J13" s="15" t="s">
        <v>15991</v>
      </c>
    </row>
    <row r="14" spans="2:10">
      <c r="B14" s="15" t="s">
        <v>16467</v>
      </c>
      <c r="C14" s="15" t="s">
        <v>16479</v>
      </c>
      <c r="D14" s="15" t="s">
        <v>327</v>
      </c>
      <c r="E14" s="15" t="s">
        <v>305</v>
      </c>
      <c r="F14" s="15" t="s">
        <v>16480</v>
      </c>
      <c r="G14" s="15"/>
      <c r="H14" s="15"/>
      <c r="I14" s="15" t="s">
        <v>528</v>
      </c>
      <c r="J14" s="15" t="s">
        <v>15991</v>
      </c>
    </row>
  </sheetData>
  <pageMargins left="0.75" right="0.75" top="1" bottom="1" header="0.5" footer="0.5"/>
  <pageSetup paperSize="1" orientation="portrait" horizontalDpi="300" verticalDpi="300"/>
  <headerFooter alignWithMargins="0" scaleWithDoc="0"/>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6"/>
  <sheetViews>
    <sheetView zoomScaleSheetLayoutView="60" workbookViewId="0">
      <selection activeCell="A1" sqref="A1"/>
    </sheetView>
  </sheetViews>
  <sheetFormatPr defaultColWidth="9.14285714285714" defaultRowHeight="15.2" outlineLevelRow="5"/>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52" t="str">
        <f>HYPERLINK("#表结构清单!A1","返回")</f>
        <v>返回</v>
      </c>
      <c r="B1" t="s">
        <v>16481</v>
      </c>
    </row>
    <row r="2" spans="2:10">
      <c r="B2" s="13" t="s">
        <v>15982</v>
      </c>
      <c r="C2" s="13" t="s">
        <v>297</v>
      </c>
      <c r="D2" s="13" t="s">
        <v>11870</v>
      </c>
      <c r="E2" s="13" t="s">
        <v>15983</v>
      </c>
      <c r="F2" s="13" t="s">
        <v>15984</v>
      </c>
      <c r="G2" s="13" t="s">
        <v>300</v>
      </c>
      <c r="H2" s="13" t="s">
        <v>301</v>
      </c>
      <c r="I2" s="13" t="s">
        <v>15985</v>
      </c>
      <c r="J2" s="13" t="s">
        <v>15986</v>
      </c>
    </row>
    <row r="3" spans="2:10">
      <c r="B3" s="15" t="s">
        <v>16482</v>
      </c>
      <c r="C3" s="15" t="s">
        <v>15988</v>
      </c>
      <c r="D3" s="15" t="s">
        <v>316</v>
      </c>
      <c r="E3" s="15" t="s">
        <v>15989</v>
      </c>
      <c r="F3" s="15" t="s">
        <v>16355</v>
      </c>
      <c r="G3" s="15"/>
      <c r="H3" s="15"/>
      <c r="I3" s="15" t="s">
        <v>528</v>
      </c>
      <c r="J3" s="15" t="s">
        <v>15991</v>
      </c>
    </row>
    <row r="4" spans="2:10">
      <c r="B4" s="15" t="s">
        <v>16482</v>
      </c>
      <c r="C4" s="15" t="s">
        <v>16483</v>
      </c>
      <c r="D4" s="15" t="s">
        <v>316</v>
      </c>
      <c r="E4" s="15" t="s">
        <v>305</v>
      </c>
      <c r="F4" s="15" t="s">
        <v>9239</v>
      </c>
      <c r="G4" s="15"/>
      <c r="H4" s="15"/>
      <c r="I4" s="15" t="s">
        <v>528</v>
      </c>
      <c r="J4" s="15" t="s">
        <v>15991</v>
      </c>
    </row>
    <row r="5" spans="2:10">
      <c r="B5" s="15" t="s">
        <v>16482</v>
      </c>
      <c r="C5" s="15" t="s">
        <v>16484</v>
      </c>
      <c r="D5" s="15" t="s">
        <v>316</v>
      </c>
      <c r="E5" s="15" t="s">
        <v>305</v>
      </c>
      <c r="F5" s="15" t="s">
        <v>16485</v>
      </c>
      <c r="G5" s="15"/>
      <c r="H5" s="15"/>
      <c r="I5" s="15" t="s">
        <v>528</v>
      </c>
      <c r="J5" s="15" t="s">
        <v>15991</v>
      </c>
    </row>
    <row r="6" spans="2:10">
      <c r="B6" s="15" t="s">
        <v>16482</v>
      </c>
      <c r="C6" s="15" t="s">
        <v>16486</v>
      </c>
      <c r="D6" s="15" t="s">
        <v>16115</v>
      </c>
      <c r="E6" s="15" t="s">
        <v>305</v>
      </c>
      <c r="F6" s="15" t="s">
        <v>16487</v>
      </c>
      <c r="G6" s="15"/>
      <c r="H6" s="15"/>
      <c r="I6" s="15" t="s">
        <v>528</v>
      </c>
      <c r="J6" s="15" t="s">
        <v>15991</v>
      </c>
    </row>
  </sheetData>
  <pageMargins left="0.75" right="0.75" top="1" bottom="1" header="0.5" footer="0.5"/>
  <pageSetup paperSize="1" orientation="portrait" horizontalDpi="300" verticalDpi="300"/>
  <headerFooter alignWithMargins="0" scaleWithDoc="0"/>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7"/>
  <sheetViews>
    <sheetView zoomScaleSheetLayoutView="60" workbookViewId="0">
      <selection activeCell="D33" sqref="D33"/>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52" t="str">
        <f>HYPERLINK("#表结构清单!A1","返回")</f>
        <v>返回</v>
      </c>
      <c r="B1" t="s">
        <v>29</v>
      </c>
    </row>
    <row r="2" spans="2:10">
      <c r="B2" s="13" t="s">
        <v>15982</v>
      </c>
      <c r="C2" s="13" t="s">
        <v>297</v>
      </c>
      <c r="D2" s="13" t="s">
        <v>11870</v>
      </c>
      <c r="E2" s="13" t="s">
        <v>15983</v>
      </c>
      <c r="F2" s="13" t="s">
        <v>15984</v>
      </c>
      <c r="G2" s="13" t="s">
        <v>300</v>
      </c>
      <c r="H2" s="13" t="s">
        <v>301</v>
      </c>
      <c r="I2" s="13" t="s">
        <v>15985</v>
      </c>
      <c r="J2" s="13" t="s">
        <v>15986</v>
      </c>
    </row>
    <row r="3" spans="2:10">
      <c r="B3" s="15" t="s">
        <v>16488</v>
      </c>
      <c r="C3" s="15" t="s">
        <v>16489</v>
      </c>
      <c r="D3" s="15" t="s">
        <v>316</v>
      </c>
      <c r="E3" s="15" t="s">
        <v>15989</v>
      </c>
      <c r="F3" s="15" t="s">
        <v>16490</v>
      </c>
      <c r="G3" s="15"/>
      <c r="H3" s="15"/>
      <c r="I3" s="15" t="s">
        <v>528</v>
      </c>
      <c r="J3" s="15" t="s">
        <v>15991</v>
      </c>
    </row>
    <row r="4" spans="2:10">
      <c r="B4" s="15" t="s">
        <v>16488</v>
      </c>
      <c r="C4" s="15" t="s">
        <v>16310</v>
      </c>
      <c r="D4" s="15" t="s">
        <v>506</v>
      </c>
      <c r="E4" s="15" t="s">
        <v>305</v>
      </c>
      <c r="F4" s="15" t="s">
        <v>16491</v>
      </c>
      <c r="G4" s="15"/>
      <c r="H4" s="15"/>
      <c r="I4" s="15" t="s">
        <v>528</v>
      </c>
      <c r="J4" s="15" t="s">
        <v>15991</v>
      </c>
    </row>
    <row r="5" spans="2:10">
      <c r="B5" s="15" t="s">
        <v>16488</v>
      </c>
      <c r="C5" s="15" t="s">
        <v>16325</v>
      </c>
      <c r="D5" s="15" t="s">
        <v>316</v>
      </c>
      <c r="E5" s="15" t="s">
        <v>305</v>
      </c>
      <c r="F5" s="15" t="s">
        <v>16326</v>
      </c>
      <c r="G5" s="15"/>
      <c r="H5" s="15"/>
      <c r="I5" s="15" t="s">
        <v>528</v>
      </c>
      <c r="J5" s="15" t="s">
        <v>15991</v>
      </c>
    </row>
    <row r="6" spans="2:10">
      <c r="B6" s="15" t="s">
        <v>16488</v>
      </c>
      <c r="C6" s="15" t="s">
        <v>16255</v>
      </c>
      <c r="D6" s="15" t="s">
        <v>321</v>
      </c>
      <c r="E6" s="15" t="s">
        <v>305</v>
      </c>
      <c r="F6" s="15" t="s">
        <v>16492</v>
      </c>
      <c r="G6" s="52" t="str">
        <f>HYPERLINK("#码值映射清单!B1110","IsInUse")</f>
        <v>IsInUse</v>
      </c>
      <c r="H6" s="15"/>
      <c r="I6" s="15" t="s">
        <v>528</v>
      </c>
      <c r="J6" s="15" t="s">
        <v>15991</v>
      </c>
    </row>
    <row r="7" spans="2:10">
      <c r="B7" s="15" t="s">
        <v>16488</v>
      </c>
      <c r="C7" s="15" t="s">
        <v>16493</v>
      </c>
      <c r="D7" s="15" t="s">
        <v>316</v>
      </c>
      <c r="E7" s="15" t="s">
        <v>305</v>
      </c>
      <c r="F7" s="15" t="s">
        <v>16494</v>
      </c>
      <c r="G7" s="15"/>
      <c r="H7" s="15"/>
      <c r="I7" s="15" t="s">
        <v>528</v>
      </c>
      <c r="J7" s="15" t="s">
        <v>15991</v>
      </c>
    </row>
    <row r="8" spans="2:10">
      <c r="B8" s="15" t="s">
        <v>16488</v>
      </c>
      <c r="C8" s="15" t="s">
        <v>16495</v>
      </c>
      <c r="D8" s="15" t="s">
        <v>316</v>
      </c>
      <c r="E8" s="15" t="s">
        <v>305</v>
      </c>
      <c r="F8" s="15" t="s">
        <v>16496</v>
      </c>
      <c r="G8" s="15"/>
      <c r="H8" s="15"/>
      <c r="I8" s="15" t="s">
        <v>528</v>
      </c>
      <c r="J8" s="15" t="s">
        <v>15991</v>
      </c>
    </row>
    <row r="9" spans="2:10">
      <c r="B9" s="15" t="s">
        <v>16488</v>
      </c>
      <c r="C9" s="15" t="s">
        <v>16497</v>
      </c>
      <c r="D9" s="15" t="s">
        <v>506</v>
      </c>
      <c r="E9" s="15" t="s">
        <v>305</v>
      </c>
      <c r="F9" s="15" t="s">
        <v>16498</v>
      </c>
      <c r="G9" s="15"/>
      <c r="H9" s="15"/>
      <c r="I9" s="15" t="s">
        <v>528</v>
      </c>
      <c r="J9" s="15" t="s">
        <v>15991</v>
      </c>
    </row>
    <row r="10" spans="2:10">
      <c r="B10" s="15" t="s">
        <v>16488</v>
      </c>
      <c r="C10" s="15" t="s">
        <v>16499</v>
      </c>
      <c r="D10" s="15" t="s">
        <v>327</v>
      </c>
      <c r="E10" s="15" t="s">
        <v>305</v>
      </c>
      <c r="F10" s="15" t="s">
        <v>16500</v>
      </c>
      <c r="G10" s="15"/>
      <c r="H10" s="15"/>
      <c r="I10" s="15" t="s">
        <v>528</v>
      </c>
      <c r="J10" s="15" t="s">
        <v>15991</v>
      </c>
    </row>
    <row r="11" spans="2:10">
      <c r="B11" s="15" t="s">
        <v>16488</v>
      </c>
      <c r="C11" s="15" t="s">
        <v>16086</v>
      </c>
      <c r="D11" s="15" t="s">
        <v>327</v>
      </c>
      <c r="E11" s="15" t="s">
        <v>305</v>
      </c>
      <c r="F11" s="15" t="s">
        <v>301</v>
      </c>
      <c r="G11" s="15"/>
      <c r="H11" s="15"/>
      <c r="I11" s="15" t="s">
        <v>528</v>
      </c>
      <c r="J11" s="15" t="s">
        <v>15991</v>
      </c>
    </row>
    <row r="12" spans="2:10">
      <c r="B12" s="15" t="s">
        <v>16488</v>
      </c>
      <c r="C12" s="15" t="s">
        <v>16009</v>
      </c>
      <c r="D12" s="15" t="s">
        <v>316</v>
      </c>
      <c r="E12" s="15" t="s">
        <v>305</v>
      </c>
      <c r="F12" s="15" t="s">
        <v>16010</v>
      </c>
      <c r="G12" s="15"/>
      <c r="H12" s="15"/>
      <c r="I12" s="15" t="s">
        <v>528</v>
      </c>
      <c r="J12" s="15" t="s">
        <v>15991</v>
      </c>
    </row>
    <row r="13" spans="2:10">
      <c r="B13" s="15" t="s">
        <v>16488</v>
      </c>
      <c r="C13" s="15" t="s">
        <v>16011</v>
      </c>
      <c r="D13" s="15" t="s">
        <v>316</v>
      </c>
      <c r="E13" s="15" t="s">
        <v>305</v>
      </c>
      <c r="F13" s="15" t="s">
        <v>16012</v>
      </c>
      <c r="G13" s="15"/>
      <c r="H13" s="15"/>
      <c r="I13" s="15" t="s">
        <v>528</v>
      </c>
      <c r="J13" s="15" t="s">
        <v>15991</v>
      </c>
    </row>
    <row r="14" spans="2:10">
      <c r="B14" s="15" t="s">
        <v>16488</v>
      </c>
      <c r="C14" s="15" t="s">
        <v>16237</v>
      </c>
      <c r="D14" s="15" t="s">
        <v>371</v>
      </c>
      <c r="E14" s="15" t="s">
        <v>305</v>
      </c>
      <c r="F14" s="15" t="s">
        <v>16274</v>
      </c>
      <c r="G14" s="15"/>
      <c r="H14" s="15"/>
      <c r="I14" s="15" t="s">
        <v>528</v>
      </c>
      <c r="J14" s="15" t="s">
        <v>15991</v>
      </c>
    </row>
    <row r="15" spans="2:10">
      <c r="B15" s="15" t="s">
        <v>16488</v>
      </c>
      <c r="C15" s="15" t="s">
        <v>16015</v>
      </c>
      <c r="D15" s="15" t="s">
        <v>316</v>
      </c>
      <c r="E15" s="15" t="s">
        <v>305</v>
      </c>
      <c r="F15" s="15" t="s">
        <v>16016</v>
      </c>
      <c r="G15" s="15"/>
      <c r="H15" s="15"/>
      <c r="I15" s="15" t="s">
        <v>528</v>
      </c>
      <c r="J15" s="15" t="s">
        <v>15991</v>
      </c>
    </row>
    <row r="16" spans="2:10">
      <c r="B16" s="15" t="s">
        <v>16488</v>
      </c>
      <c r="C16" s="15" t="s">
        <v>16017</v>
      </c>
      <c r="D16" s="15" t="s">
        <v>316</v>
      </c>
      <c r="E16" s="15" t="s">
        <v>305</v>
      </c>
      <c r="F16" s="15" t="s">
        <v>16018</v>
      </c>
      <c r="G16" s="15"/>
      <c r="H16" s="15"/>
      <c r="I16" s="15" t="s">
        <v>528</v>
      </c>
      <c r="J16" s="15" t="s">
        <v>15991</v>
      </c>
    </row>
    <row r="17" spans="2:10">
      <c r="B17" s="15" t="s">
        <v>16488</v>
      </c>
      <c r="C17" s="15" t="s">
        <v>16239</v>
      </c>
      <c r="D17" s="15" t="s">
        <v>371</v>
      </c>
      <c r="E17" s="15" t="s">
        <v>305</v>
      </c>
      <c r="F17" s="15" t="s">
        <v>16236</v>
      </c>
      <c r="G17" s="15"/>
      <c r="H17" s="15"/>
      <c r="I17" s="15" t="s">
        <v>528</v>
      </c>
      <c r="J17" s="15" t="s">
        <v>15991</v>
      </c>
    </row>
  </sheetData>
  <pageMargins left="0.75" right="0.75" top="1" bottom="1" header="0.5" footer="0.5"/>
  <pageSetup paperSize="1" orientation="portrait" horizontalDpi="300" verticalDpi="300"/>
  <headerFooter alignWithMargins="0" scaleWithDoc="0"/>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4"/>
  <sheetViews>
    <sheetView zoomScaleSheetLayoutView="60" workbookViewId="0">
      <selection activeCell="A1" sqref="A1"/>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1" t="str">
        <f>HYPERLINK("#表结构清单!A1","返回")</f>
        <v>返回</v>
      </c>
      <c r="B1" t="s">
        <v>16501</v>
      </c>
    </row>
    <row r="2" spans="2:10">
      <c r="B2" s="13" t="s">
        <v>15982</v>
      </c>
      <c r="C2" s="13" t="s">
        <v>297</v>
      </c>
      <c r="D2" s="13" t="s">
        <v>11870</v>
      </c>
      <c r="E2" s="13" t="s">
        <v>15983</v>
      </c>
      <c r="F2" s="13" t="s">
        <v>15984</v>
      </c>
      <c r="G2" s="13" t="s">
        <v>300</v>
      </c>
      <c r="H2" s="13" t="s">
        <v>301</v>
      </c>
      <c r="I2" s="13" t="s">
        <v>15985</v>
      </c>
      <c r="J2" s="13" t="s">
        <v>15986</v>
      </c>
    </row>
    <row r="3" spans="2:10">
      <c r="B3" s="15" t="s">
        <v>16502</v>
      </c>
      <c r="C3" s="15" t="s">
        <v>15988</v>
      </c>
      <c r="D3" s="15" t="s">
        <v>316</v>
      </c>
      <c r="E3" s="15" t="s">
        <v>15989</v>
      </c>
      <c r="F3" s="15" t="s">
        <v>15990</v>
      </c>
      <c r="G3" s="15"/>
      <c r="H3" s="15"/>
      <c r="I3" s="15" t="s">
        <v>528</v>
      </c>
      <c r="J3" s="15" t="s">
        <v>15991</v>
      </c>
    </row>
    <row r="4" spans="2:10">
      <c r="B4" s="15" t="s">
        <v>16502</v>
      </c>
      <c r="C4" s="15" t="s">
        <v>16489</v>
      </c>
      <c r="D4" s="15" t="s">
        <v>316</v>
      </c>
      <c r="E4" s="15" t="s">
        <v>305</v>
      </c>
      <c r="F4" s="15" t="s">
        <v>16503</v>
      </c>
      <c r="G4" s="15"/>
      <c r="H4" s="15"/>
      <c r="I4" s="15" t="s">
        <v>528</v>
      </c>
      <c r="J4" s="15" t="s">
        <v>15991</v>
      </c>
    </row>
    <row r="5" spans="2:10">
      <c r="B5" s="15" t="s">
        <v>16502</v>
      </c>
      <c r="C5" s="15" t="s">
        <v>16504</v>
      </c>
      <c r="D5" s="15" t="s">
        <v>506</v>
      </c>
      <c r="E5" s="15" t="s">
        <v>15989</v>
      </c>
      <c r="F5" s="15" t="s">
        <v>16505</v>
      </c>
      <c r="G5" s="52" t="str">
        <f>HYPERLINK("#码值映射清单!B2943","RightPointType")</f>
        <v>RightPointType</v>
      </c>
      <c r="H5" s="15"/>
      <c r="I5" s="15" t="s">
        <v>528</v>
      </c>
      <c r="J5" s="15" t="s">
        <v>15991</v>
      </c>
    </row>
    <row r="6" spans="2:10">
      <c r="B6" s="15" t="s">
        <v>16502</v>
      </c>
      <c r="C6" s="15" t="s">
        <v>16506</v>
      </c>
      <c r="D6" s="15" t="s">
        <v>506</v>
      </c>
      <c r="E6" s="15" t="s">
        <v>15989</v>
      </c>
      <c r="F6" s="15" t="s">
        <v>16507</v>
      </c>
      <c r="G6" s="15"/>
      <c r="H6" s="15"/>
      <c r="I6" s="15" t="s">
        <v>528</v>
      </c>
      <c r="J6" s="15" t="s">
        <v>15991</v>
      </c>
    </row>
    <row r="7" spans="2:10">
      <c r="B7" s="15" t="s">
        <v>16502</v>
      </c>
      <c r="C7" s="15" t="s">
        <v>16508</v>
      </c>
      <c r="D7" s="15" t="s">
        <v>327</v>
      </c>
      <c r="E7" s="15" t="s">
        <v>15989</v>
      </c>
      <c r="F7" s="15" t="s">
        <v>16508</v>
      </c>
      <c r="G7" s="15"/>
      <c r="H7" s="15"/>
      <c r="I7" s="15" t="s">
        <v>528</v>
      </c>
      <c r="J7" s="15" t="s">
        <v>15991</v>
      </c>
    </row>
    <row r="8" spans="2:10">
      <c r="B8" s="15" t="s">
        <v>16502</v>
      </c>
      <c r="C8" s="15" t="s">
        <v>16086</v>
      </c>
      <c r="D8" s="15" t="s">
        <v>327</v>
      </c>
      <c r="E8" s="15" t="s">
        <v>305</v>
      </c>
      <c r="F8" s="15" t="s">
        <v>301</v>
      </c>
      <c r="G8" s="15"/>
      <c r="H8" s="15"/>
      <c r="I8" s="15" t="s">
        <v>528</v>
      </c>
      <c r="J8" s="15" t="s">
        <v>15991</v>
      </c>
    </row>
    <row r="9" spans="2:10">
      <c r="B9" s="15" t="s">
        <v>16502</v>
      </c>
      <c r="C9" s="15" t="s">
        <v>16009</v>
      </c>
      <c r="D9" s="15" t="s">
        <v>316</v>
      </c>
      <c r="E9" s="15" t="s">
        <v>305</v>
      </c>
      <c r="F9" s="15" t="s">
        <v>16010</v>
      </c>
      <c r="G9" s="15"/>
      <c r="H9" s="15"/>
      <c r="I9" s="15" t="s">
        <v>528</v>
      </c>
      <c r="J9" s="15" t="s">
        <v>15991</v>
      </c>
    </row>
    <row r="10" spans="2:10">
      <c r="B10" s="15" t="s">
        <v>16502</v>
      </c>
      <c r="C10" s="15" t="s">
        <v>16011</v>
      </c>
      <c r="D10" s="15" t="s">
        <v>316</v>
      </c>
      <c r="E10" s="15" t="s">
        <v>305</v>
      </c>
      <c r="F10" s="15" t="s">
        <v>16509</v>
      </c>
      <c r="G10" s="15"/>
      <c r="H10" s="15"/>
      <c r="I10" s="15" t="s">
        <v>528</v>
      </c>
      <c r="J10" s="15" t="s">
        <v>15991</v>
      </c>
    </row>
    <row r="11" spans="2:10">
      <c r="B11" s="15" t="s">
        <v>16502</v>
      </c>
      <c r="C11" s="15" t="s">
        <v>16237</v>
      </c>
      <c r="D11" s="15" t="s">
        <v>316</v>
      </c>
      <c r="E11" s="15" t="s">
        <v>305</v>
      </c>
      <c r="F11" s="15" t="s">
        <v>16274</v>
      </c>
      <c r="G11" s="15"/>
      <c r="H11" s="15"/>
      <c r="I11" s="15" t="s">
        <v>528</v>
      </c>
      <c r="J11" s="15" t="s">
        <v>15991</v>
      </c>
    </row>
    <row r="12" spans="2:10">
      <c r="B12" s="15" t="s">
        <v>16502</v>
      </c>
      <c r="C12" s="15" t="s">
        <v>16015</v>
      </c>
      <c r="D12" s="15" t="s">
        <v>316</v>
      </c>
      <c r="E12" s="15" t="s">
        <v>305</v>
      </c>
      <c r="F12" s="15" t="s">
        <v>16016</v>
      </c>
      <c r="G12" s="15"/>
      <c r="H12" s="15"/>
      <c r="I12" s="15" t="s">
        <v>528</v>
      </c>
      <c r="J12" s="15" t="s">
        <v>15991</v>
      </c>
    </row>
    <row r="13" spans="2:10">
      <c r="B13" s="15" t="s">
        <v>16502</v>
      </c>
      <c r="C13" s="15" t="s">
        <v>16017</v>
      </c>
      <c r="D13" s="15" t="s">
        <v>316</v>
      </c>
      <c r="E13" s="15" t="s">
        <v>305</v>
      </c>
      <c r="F13" s="15" t="s">
        <v>16510</v>
      </c>
      <c r="G13" s="15"/>
      <c r="H13" s="15"/>
      <c r="I13" s="15" t="s">
        <v>528</v>
      </c>
      <c r="J13" s="15" t="s">
        <v>15991</v>
      </c>
    </row>
    <row r="14" spans="2:10">
      <c r="B14" s="15" t="s">
        <v>16502</v>
      </c>
      <c r="C14" s="15" t="s">
        <v>16239</v>
      </c>
      <c r="D14" s="15" t="s">
        <v>316</v>
      </c>
      <c r="E14" s="15" t="s">
        <v>305</v>
      </c>
      <c r="F14" s="15" t="s">
        <v>16236</v>
      </c>
      <c r="G14" s="15"/>
      <c r="H14" s="15"/>
      <c r="I14" s="15" t="s">
        <v>528</v>
      </c>
      <c r="J14" s="15" t="s">
        <v>15991</v>
      </c>
    </row>
  </sheetData>
  <pageMargins left="0.75" right="0.75" top="1" bottom="1" header="0.5" footer="0.5"/>
  <pageSetup paperSize="1" orientation="portrait" horizontalDpi="300" verticalDpi="300"/>
  <headerFooter alignWithMargins="0" scaleWithDoc="0"/>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0"/>
  <sheetViews>
    <sheetView zoomScaleSheetLayoutView="60" workbookViewId="0">
      <selection activeCell="D28" sqref="D28"/>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52" t="str">
        <f>HYPERLINK("#表结构清单!A1","返回")</f>
        <v>返回</v>
      </c>
      <c r="B1" t="s">
        <v>31</v>
      </c>
    </row>
    <row r="2" spans="2:10">
      <c r="B2" s="13" t="s">
        <v>15982</v>
      </c>
      <c r="C2" s="13" t="s">
        <v>297</v>
      </c>
      <c r="D2" s="13" t="s">
        <v>11870</v>
      </c>
      <c r="E2" s="13" t="s">
        <v>15983</v>
      </c>
      <c r="F2" s="13" t="s">
        <v>15984</v>
      </c>
      <c r="G2" s="13" t="s">
        <v>300</v>
      </c>
      <c r="H2" s="13" t="s">
        <v>301</v>
      </c>
      <c r="I2" s="13" t="s">
        <v>15985</v>
      </c>
      <c r="J2" s="13" t="s">
        <v>15986</v>
      </c>
    </row>
    <row r="3" spans="2:10">
      <c r="B3" s="15" t="s">
        <v>16511</v>
      </c>
      <c r="C3" s="15" t="s">
        <v>16407</v>
      </c>
      <c r="D3" s="15" t="s">
        <v>316</v>
      </c>
      <c r="E3" s="15" t="s">
        <v>15989</v>
      </c>
      <c r="F3" s="15" t="s">
        <v>16512</v>
      </c>
      <c r="G3" s="15"/>
      <c r="H3" s="15"/>
      <c r="I3" s="15" t="s">
        <v>528</v>
      </c>
      <c r="J3" s="15" t="s">
        <v>15991</v>
      </c>
    </row>
    <row r="4" spans="2:10">
      <c r="B4" s="15" t="s">
        <v>16511</v>
      </c>
      <c r="C4" s="15" t="s">
        <v>16513</v>
      </c>
      <c r="D4" s="15" t="s">
        <v>506</v>
      </c>
      <c r="E4" s="15" t="s">
        <v>305</v>
      </c>
      <c r="F4" s="15" t="s">
        <v>16514</v>
      </c>
      <c r="G4" s="15"/>
      <c r="H4" s="15"/>
      <c r="I4" s="15" t="s">
        <v>528</v>
      </c>
      <c r="J4" s="15" t="s">
        <v>15991</v>
      </c>
    </row>
    <row r="5" spans="2:10">
      <c r="B5" s="15" t="s">
        <v>16511</v>
      </c>
      <c r="C5" s="15" t="s">
        <v>16515</v>
      </c>
      <c r="D5" s="15" t="s">
        <v>367</v>
      </c>
      <c r="E5" s="15" t="s">
        <v>305</v>
      </c>
      <c r="F5" s="15" t="s">
        <v>16250</v>
      </c>
      <c r="G5" s="15"/>
      <c r="H5" s="15"/>
      <c r="I5" s="15" t="s">
        <v>528</v>
      </c>
      <c r="J5" s="15" t="s">
        <v>15991</v>
      </c>
    </row>
    <row r="6" spans="2:10">
      <c r="B6" s="15" t="s">
        <v>16511</v>
      </c>
      <c r="C6" s="15" t="s">
        <v>16516</v>
      </c>
      <c r="D6" s="15" t="s">
        <v>316</v>
      </c>
      <c r="E6" s="15" t="s">
        <v>305</v>
      </c>
      <c r="F6" s="15" t="s">
        <v>16469</v>
      </c>
      <c r="G6" s="15"/>
      <c r="H6" s="15"/>
      <c r="I6" s="15" t="s">
        <v>528</v>
      </c>
      <c r="J6" s="15" t="s">
        <v>15991</v>
      </c>
    </row>
    <row r="7" spans="2:10">
      <c r="B7" s="15" t="s">
        <v>16511</v>
      </c>
      <c r="C7" s="15" t="s">
        <v>16517</v>
      </c>
      <c r="D7" s="15" t="s">
        <v>513</v>
      </c>
      <c r="E7" s="15" t="s">
        <v>305</v>
      </c>
      <c r="F7" s="15" t="s">
        <v>16518</v>
      </c>
      <c r="G7" s="52" t="str">
        <f>HYPERLINK("#码值映射清单!B4203","DisplayType")</f>
        <v>DisplayType</v>
      </c>
      <c r="H7" s="15"/>
      <c r="I7" s="15" t="s">
        <v>528</v>
      </c>
      <c r="J7" s="15" t="s">
        <v>15991</v>
      </c>
    </row>
    <row r="8" spans="2:10">
      <c r="B8" s="15" t="s">
        <v>16511</v>
      </c>
      <c r="C8" s="15" t="s">
        <v>16519</v>
      </c>
      <c r="D8" s="15" t="s">
        <v>327</v>
      </c>
      <c r="E8" s="15" t="s">
        <v>305</v>
      </c>
      <c r="F8" s="15" t="s">
        <v>16520</v>
      </c>
      <c r="G8" s="15"/>
      <c r="H8" s="15"/>
      <c r="I8" s="15" t="s">
        <v>528</v>
      </c>
      <c r="J8" s="15" t="s">
        <v>15991</v>
      </c>
    </row>
    <row r="9" spans="2:10">
      <c r="B9" s="15" t="s">
        <v>16511</v>
      </c>
      <c r="C9" s="15" t="s">
        <v>16255</v>
      </c>
      <c r="D9" s="15" t="s">
        <v>321</v>
      </c>
      <c r="E9" s="15" t="s">
        <v>305</v>
      </c>
      <c r="F9" s="15" t="s">
        <v>16299</v>
      </c>
      <c r="G9" s="52" t="str">
        <f>HYPERLINK("#码值映射清单!B5150","YesNo")</f>
        <v>YesNo</v>
      </c>
      <c r="H9" s="15"/>
      <c r="I9" s="15" t="s">
        <v>528</v>
      </c>
      <c r="J9" s="15" t="s">
        <v>15991</v>
      </c>
    </row>
    <row r="10" spans="2:10">
      <c r="B10" s="15" t="s">
        <v>16511</v>
      </c>
      <c r="C10" s="15" t="s">
        <v>16179</v>
      </c>
      <c r="D10" s="15" t="s">
        <v>367</v>
      </c>
      <c r="E10" s="15" t="s">
        <v>305</v>
      </c>
      <c r="F10" s="15" t="s">
        <v>16521</v>
      </c>
      <c r="G10" s="52" t="str">
        <f>HYPERLINK("#码值映射清单!B10029","有无")</f>
        <v>有无</v>
      </c>
      <c r="H10" s="15"/>
      <c r="I10" s="15" t="s">
        <v>528</v>
      </c>
      <c r="J10" s="15" t="s">
        <v>15991</v>
      </c>
    </row>
    <row r="11" spans="2:10">
      <c r="B11" s="15" t="s">
        <v>16511</v>
      </c>
      <c r="C11" s="15" t="s">
        <v>16181</v>
      </c>
      <c r="D11" s="15" t="s">
        <v>367</v>
      </c>
      <c r="E11" s="15" t="s">
        <v>305</v>
      </c>
      <c r="F11" s="15" t="s">
        <v>16522</v>
      </c>
      <c r="G11" s="15"/>
      <c r="H11" s="15"/>
      <c r="I11" s="15" t="s">
        <v>528</v>
      </c>
      <c r="J11" s="15" t="s">
        <v>15991</v>
      </c>
    </row>
    <row r="12" spans="2:10">
      <c r="B12" s="15" t="s">
        <v>16511</v>
      </c>
      <c r="C12" s="15" t="s">
        <v>16183</v>
      </c>
      <c r="D12" s="15" t="s">
        <v>367</v>
      </c>
      <c r="E12" s="15" t="s">
        <v>305</v>
      </c>
      <c r="F12" s="15" t="s">
        <v>16523</v>
      </c>
      <c r="G12" s="15"/>
      <c r="H12" s="15"/>
      <c r="I12" s="15" t="s">
        <v>528</v>
      </c>
      <c r="J12" s="15" t="s">
        <v>15991</v>
      </c>
    </row>
    <row r="13" spans="2:10">
      <c r="B13" s="15" t="s">
        <v>16511</v>
      </c>
      <c r="C13" s="15" t="s">
        <v>16185</v>
      </c>
      <c r="D13" s="15" t="s">
        <v>367</v>
      </c>
      <c r="E13" s="15" t="s">
        <v>305</v>
      </c>
      <c r="F13" s="15" t="s">
        <v>16524</v>
      </c>
      <c r="G13" s="15"/>
      <c r="H13" s="15"/>
      <c r="I13" s="15" t="s">
        <v>528</v>
      </c>
      <c r="J13" s="15" t="s">
        <v>15991</v>
      </c>
    </row>
    <row r="14" spans="2:10">
      <c r="B14" s="15" t="s">
        <v>16511</v>
      </c>
      <c r="C14" s="15" t="s">
        <v>16192</v>
      </c>
      <c r="D14" s="15" t="s">
        <v>367</v>
      </c>
      <c r="E14" s="15" t="s">
        <v>305</v>
      </c>
      <c r="F14" s="15" t="s">
        <v>16525</v>
      </c>
      <c r="G14" s="15"/>
      <c r="H14" s="15"/>
      <c r="I14" s="15" t="s">
        <v>528</v>
      </c>
      <c r="J14" s="15" t="s">
        <v>15991</v>
      </c>
    </row>
    <row r="15" spans="2:10">
      <c r="B15" s="15" t="s">
        <v>16511</v>
      </c>
      <c r="C15" s="15" t="s">
        <v>16241</v>
      </c>
      <c r="D15" s="15" t="s">
        <v>316</v>
      </c>
      <c r="E15" s="15" t="s">
        <v>305</v>
      </c>
      <c r="F15" s="15" t="s">
        <v>16526</v>
      </c>
      <c r="G15" s="15"/>
      <c r="H15" s="15"/>
      <c r="I15" s="15" t="s">
        <v>528</v>
      </c>
      <c r="J15" s="15" t="s">
        <v>15991</v>
      </c>
    </row>
    <row r="16" spans="2:10">
      <c r="B16" s="15" t="s">
        <v>16511</v>
      </c>
      <c r="C16" s="15" t="s">
        <v>16053</v>
      </c>
      <c r="D16" s="15" t="s">
        <v>316</v>
      </c>
      <c r="E16" s="15" t="s">
        <v>305</v>
      </c>
      <c r="F16" s="15" t="s">
        <v>16527</v>
      </c>
      <c r="G16" s="15"/>
      <c r="H16" s="15"/>
      <c r="I16" s="15" t="s">
        <v>528</v>
      </c>
      <c r="J16" s="15" t="s">
        <v>15991</v>
      </c>
    </row>
    <row r="17" spans="2:10">
      <c r="B17" s="15" t="s">
        <v>16511</v>
      </c>
      <c r="C17" s="15" t="s">
        <v>16237</v>
      </c>
      <c r="D17" s="15" t="s">
        <v>371</v>
      </c>
      <c r="E17" s="15" t="s">
        <v>305</v>
      </c>
      <c r="F17" s="15" t="s">
        <v>16528</v>
      </c>
      <c r="G17" s="15"/>
      <c r="H17" s="15"/>
      <c r="I17" s="15" t="s">
        <v>528</v>
      </c>
      <c r="J17" s="15" t="s">
        <v>15991</v>
      </c>
    </row>
    <row r="18" spans="2:10">
      <c r="B18" s="15" t="s">
        <v>16511</v>
      </c>
      <c r="C18" s="15" t="s">
        <v>16243</v>
      </c>
      <c r="D18" s="15" t="s">
        <v>316</v>
      </c>
      <c r="E18" s="15" t="s">
        <v>305</v>
      </c>
      <c r="F18" s="15" t="s">
        <v>16018</v>
      </c>
      <c r="G18" s="15"/>
      <c r="H18" s="15"/>
      <c r="I18" s="15" t="s">
        <v>528</v>
      </c>
      <c r="J18" s="15" t="s">
        <v>15991</v>
      </c>
    </row>
    <row r="19" spans="2:10">
      <c r="B19" s="15" t="s">
        <v>16511</v>
      </c>
      <c r="C19" s="15" t="s">
        <v>16239</v>
      </c>
      <c r="D19" s="15" t="s">
        <v>371</v>
      </c>
      <c r="E19" s="15" t="s">
        <v>305</v>
      </c>
      <c r="F19" s="15" t="s">
        <v>16020</v>
      </c>
      <c r="G19" s="15"/>
      <c r="H19" s="15"/>
      <c r="I19" s="15" t="s">
        <v>528</v>
      </c>
      <c r="J19" s="15" t="s">
        <v>15991</v>
      </c>
    </row>
    <row r="20" spans="2:10">
      <c r="B20" s="15" t="s">
        <v>16511</v>
      </c>
      <c r="C20" s="15" t="s">
        <v>16086</v>
      </c>
      <c r="D20" s="15" t="s">
        <v>327</v>
      </c>
      <c r="E20" s="15" t="s">
        <v>305</v>
      </c>
      <c r="F20" s="15" t="s">
        <v>301</v>
      </c>
      <c r="G20" s="15"/>
      <c r="H20" s="15"/>
      <c r="I20" s="15" t="s">
        <v>528</v>
      </c>
      <c r="J20" s="15" t="s">
        <v>15991</v>
      </c>
    </row>
  </sheetData>
  <pageMargins left="0.75" right="0.75" top="1" bottom="1" header="0.5" footer="0.5"/>
  <pageSetup paperSize="1" orientation="portrait" horizontalDpi="300" verticalDpi="300"/>
  <headerFooter alignWithMargins="0" scaleWithDoc="0"/>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2"/>
  <sheetViews>
    <sheetView zoomScaleSheetLayoutView="60" workbookViewId="0">
      <selection activeCell="E26" sqref="E26:E27"/>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52" t="str">
        <f>HYPERLINK("#表结构清单!A1","返回")</f>
        <v>返回</v>
      </c>
      <c r="B1" t="s">
        <v>47</v>
      </c>
    </row>
    <row r="2" spans="2:10">
      <c r="B2" s="13" t="s">
        <v>15982</v>
      </c>
      <c r="C2" s="13" t="s">
        <v>297</v>
      </c>
      <c r="D2" s="13" t="s">
        <v>11870</v>
      </c>
      <c r="E2" s="13" t="s">
        <v>15983</v>
      </c>
      <c r="F2" s="13" t="s">
        <v>15984</v>
      </c>
      <c r="G2" s="13" t="s">
        <v>300</v>
      </c>
      <c r="H2" s="13" t="s">
        <v>301</v>
      </c>
      <c r="I2" s="13" t="s">
        <v>15985</v>
      </c>
      <c r="J2" s="13" t="s">
        <v>15986</v>
      </c>
    </row>
    <row r="3" spans="2:10">
      <c r="B3" s="15" t="s">
        <v>16529</v>
      </c>
      <c r="C3" s="15" t="s">
        <v>16516</v>
      </c>
      <c r="D3" s="15" t="s">
        <v>316</v>
      </c>
      <c r="E3" s="15" t="s">
        <v>15989</v>
      </c>
      <c r="F3" s="15" t="s">
        <v>16469</v>
      </c>
      <c r="G3" s="15"/>
      <c r="H3" s="15"/>
      <c r="I3" s="15" t="s">
        <v>528</v>
      </c>
      <c r="J3" s="15" t="s">
        <v>15991</v>
      </c>
    </row>
    <row r="4" spans="2:10">
      <c r="B4" s="15" t="s">
        <v>16529</v>
      </c>
      <c r="C4" s="15" t="s">
        <v>16530</v>
      </c>
      <c r="D4" s="15" t="s">
        <v>367</v>
      </c>
      <c r="E4" s="15" t="s">
        <v>305</v>
      </c>
      <c r="F4" s="15" t="s">
        <v>16531</v>
      </c>
      <c r="G4" s="15"/>
      <c r="H4" s="15"/>
      <c r="I4" s="15" t="s">
        <v>528</v>
      </c>
      <c r="J4" s="15" t="s">
        <v>15991</v>
      </c>
    </row>
    <row r="5" spans="2:10">
      <c r="B5" s="15" t="s">
        <v>16529</v>
      </c>
      <c r="C5" s="15" t="s">
        <v>16325</v>
      </c>
      <c r="D5" s="15" t="s">
        <v>316</v>
      </c>
      <c r="E5" s="15" t="s">
        <v>305</v>
      </c>
      <c r="F5" s="15" t="s">
        <v>16326</v>
      </c>
      <c r="G5" s="15"/>
      <c r="H5" s="15"/>
      <c r="I5" s="15" t="s">
        <v>528</v>
      </c>
      <c r="J5" s="15" t="s">
        <v>15991</v>
      </c>
    </row>
    <row r="6" spans="2:10">
      <c r="B6" s="15" t="s">
        <v>16529</v>
      </c>
      <c r="C6" s="15" t="s">
        <v>16255</v>
      </c>
      <c r="D6" s="15" t="s">
        <v>321</v>
      </c>
      <c r="E6" s="15" t="s">
        <v>305</v>
      </c>
      <c r="F6" s="15" t="s">
        <v>16299</v>
      </c>
      <c r="G6" s="52" t="str">
        <f>HYPERLINK("#码值映射清单!B1110","IsInUse")</f>
        <v>IsInUse</v>
      </c>
      <c r="H6" s="15"/>
      <c r="I6" s="15" t="s">
        <v>528</v>
      </c>
      <c r="J6" s="15" t="s">
        <v>15991</v>
      </c>
    </row>
    <row r="7" spans="2:10">
      <c r="B7" s="15" t="s">
        <v>16529</v>
      </c>
      <c r="C7" s="15" t="s">
        <v>16053</v>
      </c>
      <c r="D7" s="15" t="s">
        <v>506</v>
      </c>
      <c r="E7" s="15" t="s">
        <v>305</v>
      </c>
      <c r="F7" s="15" t="s">
        <v>16527</v>
      </c>
      <c r="G7" s="15"/>
      <c r="H7" s="15"/>
      <c r="I7" s="15" t="s">
        <v>528</v>
      </c>
      <c r="J7" s="15" t="s">
        <v>15991</v>
      </c>
    </row>
    <row r="8" spans="2:10">
      <c r="B8" s="15" t="s">
        <v>16529</v>
      </c>
      <c r="C8" s="15" t="s">
        <v>16241</v>
      </c>
      <c r="D8" s="15" t="s">
        <v>506</v>
      </c>
      <c r="E8" s="15" t="s">
        <v>305</v>
      </c>
      <c r="F8" s="15" t="s">
        <v>16526</v>
      </c>
      <c r="G8" s="15"/>
      <c r="H8" s="15"/>
      <c r="I8" s="15" t="s">
        <v>528</v>
      </c>
      <c r="J8" s="15" t="s">
        <v>15991</v>
      </c>
    </row>
    <row r="9" spans="2:10">
      <c r="B9" s="15" t="s">
        <v>16529</v>
      </c>
      <c r="C9" s="15" t="s">
        <v>16237</v>
      </c>
      <c r="D9" s="15" t="s">
        <v>506</v>
      </c>
      <c r="E9" s="15" t="s">
        <v>305</v>
      </c>
      <c r="F9" s="15" t="s">
        <v>16528</v>
      </c>
      <c r="G9" s="15"/>
      <c r="H9" s="15"/>
      <c r="I9" s="15" t="s">
        <v>528</v>
      </c>
      <c r="J9" s="15" t="s">
        <v>15991</v>
      </c>
    </row>
    <row r="10" spans="2:10">
      <c r="B10" s="15" t="s">
        <v>16529</v>
      </c>
      <c r="C10" s="15" t="s">
        <v>16243</v>
      </c>
      <c r="D10" s="15" t="s">
        <v>506</v>
      </c>
      <c r="E10" s="15" t="s">
        <v>305</v>
      </c>
      <c r="F10" s="15" t="s">
        <v>16016</v>
      </c>
      <c r="G10" s="15"/>
      <c r="H10" s="15"/>
      <c r="I10" s="15" t="s">
        <v>528</v>
      </c>
      <c r="J10" s="15" t="s">
        <v>15991</v>
      </c>
    </row>
    <row r="11" spans="2:10">
      <c r="B11" s="15" t="s">
        <v>16529</v>
      </c>
      <c r="C11" s="15" t="s">
        <v>16532</v>
      </c>
      <c r="D11" s="15" t="s">
        <v>506</v>
      </c>
      <c r="E11" s="15" t="s">
        <v>305</v>
      </c>
      <c r="F11" s="15" t="s">
        <v>16018</v>
      </c>
      <c r="G11" s="15"/>
      <c r="H11" s="15"/>
      <c r="I11" s="15" t="s">
        <v>528</v>
      </c>
      <c r="J11" s="15" t="s">
        <v>15991</v>
      </c>
    </row>
    <row r="12" spans="2:10">
      <c r="B12" s="15" t="s">
        <v>16529</v>
      </c>
      <c r="C12" s="15" t="s">
        <v>16239</v>
      </c>
      <c r="D12" s="15" t="s">
        <v>316</v>
      </c>
      <c r="E12" s="15" t="s">
        <v>305</v>
      </c>
      <c r="F12" s="15" t="s">
        <v>16020</v>
      </c>
      <c r="G12" s="15"/>
      <c r="H12" s="15"/>
      <c r="I12" s="15" t="s">
        <v>528</v>
      </c>
      <c r="J12" s="15" t="s">
        <v>15991</v>
      </c>
    </row>
  </sheetData>
  <pageMargins left="0.75" right="0.75" top="1" bottom="1" header="0.5" footer="0.5"/>
  <pageSetup paperSize="1" orientation="portrait" horizontalDpi="300" verticalDpi="300"/>
  <headerFooter alignWithMargins="0" scaleWithDoc="0"/>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2"/>
  <sheetViews>
    <sheetView zoomScaleSheetLayoutView="60" workbookViewId="0">
      <selection activeCell="D24" sqref="D24"/>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52" t="str">
        <f>HYPERLINK("#表结构清单!A1","返回")</f>
        <v>返回</v>
      </c>
      <c r="B1" t="s">
        <v>48</v>
      </c>
    </row>
    <row r="2" spans="2:10">
      <c r="B2" s="13" t="s">
        <v>15982</v>
      </c>
      <c r="C2" s="13" t="s">
        <v>297</v>
      </c>
      <c r="D2" s="13" t="s">
        <v>11870</v>
      </c>
      <c r="E2" s="13" t="s">
        <v>15983</v>
      </c>
      <c r="F2" s="13" t="s">
        <v>15984</v>
      </c>
      <c r="G2" s="13" t="s">
        <v>300</v>
      </c>
      <c r="H2" s="13" t="s">
        <v>301</v>
      </c>
      <c r="I2" s="13" t="s">
        <v>15985</v>
      </c>
      <c r="J2" s="13" t="s">
        <v>15986</v>
      </c>
    </row>
    <row r="3" spans="2:10">
      <c r="B3" s="15" t="s">
        <v>16533</v>
      </c>
      <c r="C3" s="15" t="s">
        <v>16407</v>
      </c>
      <c r="D3" s="15" t="s">
        <v>316</v>
      </c>
      <c r="E3" s="15" t="s">
        <v>15989</v>
      </c>
      <c r="F3" s="15" t="s">
        <v>16512</v>
      </c>
      <c r="G3" s="15"/>
      <c r="H3" s="15"/>
      <c r="I3" s="15" t="s">
        <v>528</v>
      </c>
      <c r="J3" s="15" t="s">
        <v>15991</v>
      </c>
    </row>
    <row r="4" spans="2:10">
      <c r="B4" s="15" t="s">
        <v>16533</v>
      </c>
      <c r="C4" s="15" t="s">
        <v>630</v>
      </c>
      <c r="D4" s="15" t="s">
        <v>316</v>
      </c>
      <c r="E4" s="15" t="s">
        <v>15989</v>
      </c>
      <c r="F4" s="15" t="s">
        <v>16534</v>
      </c>
      <c r="G4" s="15"/>
      <c r="H4" s="15"/>
      <c r="I4" s="15" t="s">
        <v>528</v>
      </c>
      <c r="J4" s="15" t="s">
        <v>15991</v>
      </c>
    </row>
    <row r="5" spans="2:10">
      <c r="B5" s="15" t="s">
        <v>16533</v>
      </c>
      <c r="C5" s="15" t="s">
        <v>631</v>
      </c>
      <c r="D5" s="15" t="s">
        <v>506</v>
      </c>
      <c r="E5" s="15" t="s">
        <v>305</v>
      </c>
      <c r="F5" s="15" t="s">
        <v>16535</v>
      </c>
      <c r="G5" s="15"/>
      <c r="H5" s="15"/>
      <c r="I5" s="15" t="s">
        <v>528</v>
      </c>
      <c r="J5" s="15" t="s">
        <v>15991</v>
      </c>
    </row>
    <row r="6" spans="2:10">
      <c r="B6" s="15" t="s">
        <v>16533</v>
      </c>
      <c r="C6" s="15" t="s">
        <v>16536</v>
      </c>
      <c r="D6" s="15" t="s">
        <v>367</v>
      </c>
      <c r="E6" s="15" t="s">
        <v>305</v>
      </c>
      <c r="F6" s="15" t="s">
        <v>16250</v>
      </c>
      <c r="G6" s="15"/>
      <c r="H6" s="15"/>
      <c r="I6" s="15" t="s">
        <v>528</v>
      </c>
      <c r="J6" s="15" t="s">
        <v>15991</v>
      </c>
    </row>
    <row r="7" spans="2:10">
      <c r="B7" s="15" t="s">
        <v>16533</v>
      </c>
      <c r="C7" s="15" t="s">
        <v>16325</v>
      </c>
      <c r="D7" s="15" t="s">
        <v>316</v>
      </c>
      <c r="E7" s="15" t="s">
        <v>305</v>
      </c>
      <c r="F7" s="15" t="s">
        <v>16326</v>
      </c>
      <c r="G7" s="15"/>
      <c r="H7" s="15"/>
      <c r="I7" s="15" t="s">
        <v>528</v>
      </c>
      <c r="J7" s="15" t="s">
        <v>15991</v>
      </c>
    </row>
    <row r="8" spans="2:10">
      <c r="B8" s="15" t="s">
        <v>16533</v>
      </c>
      <c r="C8" s="15" t="s">
        <v>16508</v>
      </c>
      <c r="D8" s="15" t="s">
        <v>327</v>
      </c>
      <c r="E8" s="15" t="s">
        <v>305</v>
      </c>
      <c r="F8" s="15" t="s">
        <v>16537</v>
      </c>
      <c r="G8" s="15"/>
      <c r="H8" s="15"/>
      <c r="I8" s="15" t="s">
        <v>528</v>
      </c>
      <c r="J8" s="15" t="s">
        <v>15991</v>
      </c>
    </row>
    <row r="9" spans="2:10">
      <c r="B9" s="15" t="s">
        <v>16533</v>
      </c>
      <c r="C9" s="15" t="s">
        <v>16538</v>
      </c>
      <c r="D9" s="15" t="s">
        <v>327</v>
      </c>
      <c r="E9" s="15" t="s">
        <v>305</v>
      </c>
      <c r="F9" s="15" t="s">
        <v>16288</v>
      </c>
      <c r="G9" s="15"/>
      <c r="H9" s="15"/>
      <c r="I9" s="15" t="s">
        <v>528</v>
      </c>
      <c r="J9" s="15" t="s">
        <v>15991</v>
      </c>
    </row>
    <row r="10" spans="2:10">
      <c r="B10" s="15" t="s">
        <v>16533</v>
      </c>
      <c r="C10" s="15" t="s">
        <v>16539</v>
      </c>
      <c r="D10" s="15" t="s">
        <v>327</v>
      </c>
      <c r="E10" s="15" t="s">
        <v>305</v>
      </c>
      <c r="F10" s="15" t="s">
        <v>16540</v>
      </c>
      <c r="G10" s="15"/>
      <c r="H10" s="15"/>
      <c r="I10" s="15" t="s">
        <v>528</v>
      </c>
      <c r="J10" s="15" t="s">
        <v>15991</v>
      </c>
    </row>
    <row r="11" spans="2:10">
      <c r="B11" s="15" t="s">
        <v>16533</v>
      </c>
      <c r="C11" s="15" t="s">
        <v>16255</v>
      </c>
      <c r="D11" s="15" t="s">
        <v>321</v>
      </c>
      <c r="E11" s="15" t="s">
        <v>305</v>
      </c>
      <c r="F11" s="15" t="s">
        <v>16299</v>
      </c>
      <c r="G11" s="52" t="str">
        <f>HYPERLINK("#码值映射清单!B5150","YesNo")</f>
        <v>YesNo</v>
      </c>
      <c r="H11" s="15"/>
      <c r="I11" s="15" t="s">
        <v>528</v>
      </c>
      <c r="J11" s="15" t="s">
        <v>15991</v>
      </c>
    </row>
    <row r="12" spans="2:10">
      <c r="B12" s="15" t="s">
        <v>16533</v>
      </c>
      <c r="C12" s="15" t="s">
        <v>16179</v>
      </c>
      <c r="D12" s="15" t="s">
        <v>367</v>
      </c>
      <c r="E12" s="15" t="s">
        <v>305</v>
      </c>
      <c r="F12" s="15" t="s">
        <v>16521</v>
      </c>
      <c r="G12" s="15"/>
      <c r="H12" s="15"/>
      <c r="I12" s="15" t="s">
        <v>528</v>
      </c>
      <c r="J12" s="15" t="s">
        <v>15991</v>
      </c>
    </row>
    <row r="13" spans="2:10">
      <c r="B13" s="15" t="s">
        <v>16533</v>
      </c>
      <c r="C13" s="15" t="s">
        <v>16181</v>
      </c>
      <c r="D13" s="15" t="s">
        <v>367</v>
      </c>
      <c r="E13" s="15" t="s">
        <v>305</v>
      </c>
      <c r="F13" s="15" t="s">
        <v>16522</v>
      </c>
      <c r="G13" s="15"/>
      <c r="H13" s="15"/>
      <c r="I13" s="15" t="s">
        <v>528</v>
      </c>
      <c r="J13" s="15" t="s">
        <v>15991</v>
      </c>
    </row>
    <row r="14" spans="2:10">
      <c r="B14" s="15" t="s">
        <v>16533</v>
      </c>
      <c r="C14" s="15" t="s">
        <v>16183</v>
      </c>
      <c r="D14" s="15" t="s">
        <v>367</v>
      </c>
      <c r="E14" s="15" t="s">
        <v>305</v>
      </c>
      <c r="F14" s="15" t="s">
        <v>16523</v>
      </c>
      <c r="G14" s="15"/>
      <c r="H14" s="15"/>
      <c r="I14" s="15" t="s">
        <v>528</v>
      </c>
      <c r="J14" s="15" t="s">
        <v>15991</v>
      </c>
    </row>
    <row r="15" spans="2:10">
      <c r="B15" s="15" t="s">
        <v>16533</v>
      </c>
      <c r="C15" s="15" t="s">
        <v>16185</v>
      </c>
      <c r="D15" s="15" t="s">
        <v>367</v>
      </c>
      <c r="E15" s="15" t="s">
        <v>305</v>
      </c>
      <c r="F15" s="15" t="s">
        <v>16524</v>
      </c>
      <c r="G15" s="15"/>
      <c r="H15" s="15"/>
      <c r="I15" s="15" t="s">
        <v>528</v>
      </c>
      <c r="J15" s="15" t="s">
        <v>15991</v>
      </c>
    </row>
    <row r="16" spans="2:10">
      <c r="B16" s="15" t="s">
        <v>16533</v>
      </c>
      <c r="C16" s="15" t="s">
        <v>16192</v>
      </c>
      <c r="D16" s="15" t="s">
        <v>367</v>
      </c>
      <c r="E16" s="15" t="s">
        <v>305</v>
      </c>
      <c r="F16" s="15" t="s">
        <v>16525</v>
      </c>
      <c r="G16" s="15"/>
      <c r="H16" s="15"/>
      <c r="I16" s="15" t="s">
        <v>528</v>
      </c>
      <c r="J16" s="15" t="s">
        <v>15991</v>
      </c>
    </row>
    <row r="17" spans="2:10">
      <c r="B17" s="15" t="s">
        <v>16533</v>
      </c>
      <c r="C17" s="15" t="s">
        <v>16241</v>
      </c>
      <c r="D17" s="15" t="s">
        <v>316</v>
      </c>
      <c r="E17" s="15" t="s">
        <v>305</v>
      </c>
      <c r="F17" s="15" t="s">
        <v>16526</v>
      </c>
      <c r="G17" s="15"/>
      <c r="H17" s="15"/>
      <c r="I17" s="15" t="s">
        <v>528</v>
      </c>
      <c r="J17" s="15" t="s">
        <v>15991</v>
      </c>
    </row>
    <row r="18" spans="2:10">
      <c r="B18" s="15" t="s">
        <v>16533</v>
      </c>
      <c r="C18" s="15" t="s">
        <v>16053</v>
      </c>
      <c r="D18" s="15" t="s">
        <v>316</v>
      </c>
      <c r="E18" s="15" t="s">
        <v>305</v>
      </c>
      <c r="F18" s="15" t="s">
        <v>16527</v>
      </c>
      <c r="G18" s="15"/>
      <c r="H18" s="15"/>
      <c r="I18" s="15" t="s">
        <v>528</v>
      </c>
      <c r="J18" s="15" t="s">
        <v>15991</v>
      </c>
    </row>
    <row r="19" spans="2:10">
      <c r="B19" s="15" t="s">
        <v>16533</v>
      </c>
      <c r="C19" s="15" t="s">
        <v>16237</v>
      </c>
      <c r="D19" s="15" t="s">
        <v>371</v>
      </c>
      <c r="E19" s="15" t="s">
        <v>305</v>
      </c>
      <c r="F19" s="15" t="s">
        <v>16528</v>
      </c>
      <c r="G19" s="15"/>
      <c r="H19" s="15"/>
      <c r="I19" s="15" t="s">
        <v>528</v>
      </c>
      <c r="J19" s="15" t="s">
        <v>15991</v>
      </c>
    </row>
    <row r="20" spans="2:10">
      <c r="B20" s="15" t="s">
        <v>16533</v>
      </c>
      <c r="C20" s="15" t="s">
        <v>16243</v>
      </c>
      <c r="D20" s="15" t="s">
        <v>316</v>
      </c>
      <c r="E20" s="15" t="s">
        <v>305</v>
      </c>
      <c r="F20" s="15" t="s">
        <v>16018</v>
      </c>
      <c r="G20" s="15"/>
      <c r="H20" s="15"/>
      <c r="I20" s="15" t="s">
        <v>528</v>
      </c>
      <c r="J20" s="15" t="s">
        <v>15991</v>
      </c>
    </row>
    <row r="21" spans="2:10">
      <c r="B21" s="15" t="s">
        <v>16533</v>
      </c>
      <c r="C21" s="15" t="s">
        <v>16239</v>
      </c>
      <c r="D21" s="15" t="s">
        <v>371</v>
      </c>
      <c r="E21" s="15" t="s">
        <v>305</v>
      </c>
      <c r="F21" s="15" t="s">
        <v>16020</v>
      </c>
      <c r="G21" s="15"/>
      <c r="H21" s="15"/>
      <c r="I21" s="15" t="s">
        <v>528</v>
      </c>
      <c r="J21" s="15" t="s">
        <v>15991</v>
      </c>
    </row>
    <row r="22" spans="2:10">
      <c r="B22" s="15" t="s">
        <v>16533</v>
      </c>
      <c r="C22" s="15" t="s">
        <v>16086</v>
      </c>
      <c r="D22" s="15" t="s">
        <v>327</v>
      </c>
      <c r="E22" s="15" t="s">
        <v>305</v>
      </c>
      <c r="F22" s="15" t="s">
        <v>301</v>
      </c>
      <c r="G22" s="15"/>
      <c r="H22" s="15"/>
      <c r="I22" s="15" t="s">
        <v>528</v>
      </c>
      <c r="J22" s="15" t="s">
        <v>15991</v>
      </c>
    </row>
  </sheetData>
  <pageMargins left="0.75" right="0.75" top="1" bottom="1" header="0.5" footer="0.5"/>
  <pageSetup paperSize="1" orientation="portrait" horizontalDpi="300" verticalDpi="300"/>
  <headerFooter alignWithMargins="0" scaleWithDoc="0"/>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1"/>
  <sheetViews>
    <sheetView zoomScaleSheetLayoutView="60" workbookViewId="0">
      <selection activeCell="D22" sqref="D22"/>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52" t="str">
        <f>HYPERLINK("#表结构清单!A1","返回")</f>
        <v>返回</v>
      </c>
      <c r="B1" t="s">
        <v>49</v>
      </c>
    </row>
    <row r="2" spans="2:10">
      <c r="B2" s="13" t="s">
        <v>15982</v>
      </c>
      <c r="C2" s="13" t="s">
        <v>297</v>
      </c>
      <c r="D2" s="13" t="s">
        <v>11870</v>
      </c>
      <c r="E2" s="13" t="s">
        <v>15983</v>
      </c>
      <c r="F2" s="13" t="s">
        <v>15984</v>
      </c>
      <c r="G2" s="13" t="s">
        <v>300</v>
      </c>
      <c r="H2" s="13" t="s">
        <v>301</v>
      </c>
      <c r="I2" s="13" t="s">
        <v>15985</v>
      </c>
      <c r="J2" s="13" t="s">
        <v>15986</v>
      </c>
    </row>
    <row r="3" spans="2:10">
      <c r="B3" s="15" t="s">
        <v>16541</v>
      </c>
      <c r="C3" s="15" t="s">
        <v>16542</v>
      </c>
      <c r="D3" s="15" t="s">
        <v>327</v>
      </c>
      <c r="E3" s="15" t="s">
        <v>15989</v>
      </c>
      <c r="F3" s="15" t="s">
        <v>4537</v>
      </c>
      <c r="G3" s="15"/>
      <c r="H3" s="15"/>
      <c r="I3" s="15" t="s">
        <v>528</v>
      </c>
      <c r="J3" s="15" t="s">
        <v>15991</v>
      </c>
    </row>
    <row r="4" spans="2:10">
      <c r="B4" s="15" t="s">
        <v>16541</v>
      </c>
      <c r="C4" s="15" t="s">
        <v>16543</v>
      </c>
      <c r="D4" s="15" t="s">
        <v>327</v>
      </c>
      <c r="E4" s="15" t="s">
        <v>305</v>
      </c>
      <c r="F4" s="15" t="s">
        <v>16544</v>
      </c>
      <c r="G4" s="15"/>
      <c r="H4" s="15"/>
      <c r="I4" s="15" t="s">
        <v>528</v>
      </c>
      <c r="J4" s="15" t="s">
        <v>15991</v>
      </c>
    </row>
    <row r="5" spans="2:10">
      <c r="B5" s="15" t="s">
        <v>16541</v>
      </c>
      <c r="C5" s="15" t="s">
        <v>16545</v>
      </c>
      <c r="D5" s="15" t="s">
        <v>327</v>
      </c>
      <c r="E5" s="15" t="s">
        <v>305</v>
      </c>
      <c r="F5" s="15" t="s">
        <v>16250</v>
      </c>
      <c r="G5" s="15"/>
      <c r="H5" s="15"/>
      <c r="I5" s="15" t="s">
        <v>528</v>
      </c>
      <c r="J5" s="15" t="s">
        <v>15991</v>
      </c>
    </row>
    <row r="6" spans="2:10">
      <c r="B6" s="15" t="s">
        <v>16541</v>
      </c>
      <c r="C6" s="15" t="s">
        <v>16009</v>
      </c>
      <c r="D6" s="15" t="s">
        <v>316</v>
      </c>
      <c r="E6" s="15" t="s">
        <v>305</v>
      </c>
      <c r="F6" s="15" t="s">
        <v>16010</v>
      </c>
      <c r="G6" s="15"/>
      <c r="H6" s="15"/>
      <c r="I6" s="15" t="s">
        <v>528</v>
      </c>
      <c r="J6" s="15" t="s">
        <v>15991</v>
      </c>
    </row>
    <row r="7" spans="2:10">
      <c r="B7" s="15" t="s">
        <v>16541</v>
      </c>
      <c r="C7" s="15" t="s">
        <v>16011</v>
      </c>
      <c r="D7" s="15" t="s">
        <v>316</v>
      </c>
      <c r="E7" s="15" t="s">
        <v>305</v>
      </c>
      <c r="F7" s="15" t="s">
        <v>16012</v>
      </c>
      <c r="G7" s="15"/>
      <c r="H7" s="15"/>
      <c r="I7" s="15" t="s">
        <v>528</v>
      </c>
      <c r="J7" s="15" t="s">
        <v>15991</v>
      </c>
    </row>
    <row r="8" spans="2:10">
      <c r="B8" s="15" t="s">
        <v>16541</v>
      </c>
      <c r="C8" s="15" t="s">
        <v>16237</v>
      </c>
      <c r="D8" s="15" t="s">
        <v>371</v>
      </c>
      <c r="E8" s="15" t="s">
        <v>305</v>
      </c>
      <c r="F8" s="15" t="s">
        <v>16274</v>
      </c>
      <c r="G8" s="15"/>
      <c r="H8" s="15"/>
      <c r="I8" s="15" t="s">
        <v>528</v>
      </c>
      <c r="J8" s="15" t="s">
        <v>15991</v>
      </c>
    </row>
    <row r="9" spans="2:10">
      <c r="B9" s="15" t="s">
        <v>16541</v>
      </c>
      <c r="C9" s="15" t="s">
        <v>16015</v>
      </c>
      <c r="D9" s="15" t="s">
        <v>316</v>
      </c>
      <c r="E9" s="15" t="s">
        <v>305</v>
      </c>
      <c r="F9" s="15" t="s">
        <v>16016</v>
      </c>
      <c r="G9" s="15"/>
      <c r="H9" s="15"/>
      <c r="I9" s="15" t="s">
        <v>528</v>
      </c>
      <c r="J9" s="15" t="s">
        <v>15991</v>
      </c>
    </row>
    <row r="10" spans="2:10">
      <c r="B10" s="15" t="s">
        <v>16541</v>
      </c>
      <c r="C10" s="15" t="s">
        <v>16017</v>
      </c>
      <c r="D10" s="15" t="s">
        <v>316</v>
      </c>
      <c r="E10" s="15" t="s">
        <v>305</v>
      </c>
      <c r="F10" s="15" t="s">
        <v>16018</v>
      </c>
      <c r="G10" s="15"/>
      <c r="H10" s="15"/>
      <c r="I10" s="15" t="s">
        <v>528</v>
      </c>
      <c r="J10" s="15" t="s">
        <v>15991</v>
      </c>
    </row>
    <row r="11" spans="2:10">
      <c r="B11" s="15" t="s">
        <v>16541</v>
      </c>
      <c r="C11" s="15" t="s">
        <v>16239</v>
      </c>
      <c r="D11" s="15" t="s">
        <v>371</v>
      </c>
      <c r="E11" s="15" t="s">
        <v>305</v>
      </c>
      <c r="F11" s="15" t="s">
        <v>16236</v>
      </c>
      <c r="G11" s="15"/>
      <c r="H11" s="15"/>
      <c r="I11" s="15" t="s">
        <v>528</v>
      </c>
      <c r="J11" s="15" t="s">
        <v>15991</v>
      </c>
    </row>
  </sheetData>
  <pageMargins left="0.75" right="0.75" top="1" bottom="1" header="0.5" footer="0.5"/>
  <pageSetup paperSize="1" orientation="portrait" horizontalDpi="300" verticalDpi="300"/>
  <headerFooter alignWithMargins="0" scaleWithDoc="0"/>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7"/>
  <sheetViews>
    <sheetView zoomScaleSheetLayoutView="60" workbookViewId="0">
      <selection activeCell="C9" sqref="C9"/>
    </sheetView>
  </sheetViews>
  <sheetFormatPr defaultColWidth="9.14285714285714" defaultRowHeight="15.2" outlineLevelRow="6"/>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52" t="str">
        <f>HYPERLINK("#表结构清单!A1","返回")</f>
        <v>返回</v>
      </c>
      <c r="B1" t="s">
        <v>16546</v>
      </c>
    </row>
    <row r="2" spans="2:10">
      <c r="B2" s="13" t="s">
        <v>15982</v>
      </c>
      <c r="C2" s="13" t="s">
        <v>297</v>
      </c>
      <c r="D2" s="13" t="s">
        <v>11870</v>
      </c>
      <c r="E2" s="13" t="s">
        <v>15983</v>
      </c>
      <c r="F2" s="13" t="s">
        <v>15984</v>
      </c>
      <c r="G2" s="13" t="s">
        <v>300</v>
      </c>
      <c r="H2" s="13" t="s">
        <v>301</v>
      </c>
      <c r="I2" s="13" t="s">
        <v>15985</v>
      </c>
      <c r="J2" s="13" t="s">
        <v>15986</v>
      </c>
    </row>
    <row r="3" spans="2:10">
      <c r="B3" s="15" t="s">
        <v>16547</v>
      </c>
      <c r="C3" s="15" t="s">
        <v>16548</v>
      </c>
      <c r="D3" s="15" t="s">
        <v>321</v>
      </c>
      <c r="E3" s="15" t="s">
        <v>305</v>
      </c>
      <c r="F3" s="15" t="s">
        <v>16549</v>
      </c>
      <c r="G3" s="15"/>
      <c r="H3" s="15"/>
      <c r="I3" s="15" t="s">
        <v>528</v>
      </c>
      <c r="J3" s="15" t="s">
        <v>15991</v>
      </c>
    </row>
    <row r="4" spans="2:10">
      <c r="B4" s="15" t="s">
        <v>16547</v>
      </c>
      <c r="C4" s="15" t="s">
        <v>16550</v>
      </c>
      <c r="D4" s="15" t="s">
        <v>513</v>
      </c>
      <c r="E4" s="15" t="s">
        <v>305</v>
      </c>
      <c r="F4" s="15" t="s">
        <v>16551</v>
      </c>
      <c r="G4" s="15"/>
      <c r="H4" s="15"/>
      <c r="I4" s="15" t="s">
        <v>528</v>
      </c>
      <c r="J4" s="15" t="s">
        <v>15991</v>
      </c>
    </row>
    <row r="5" spans="2:10">
      <c r="B5" s="15" t="s">
        <v>16547</v>
      </c>
      <c r="C5" s="15" t="s">
        <v>16552</v>
      </c>
      <c r="D5" s="15" t="s">
        <v>367</v>
      </c>
      <c r="E5" s="15" t="s">
        <v>305</v>
      </c>
      <c r="F5" s="15" t="s">
        <v>16553</v>
      </c>
      <c r="G5" s="15"/>
      <c r="H5" s="15"/>
      <c r="I5" s="15" t="s">
        <v>528</v>
      </c>
      <c r="J5" s="15" t="s">
        <v>15991</v>
      </c>
    </row>
    <row r="6" spans="2:10">
      <c r="B6" s="15" t="s">
        <v>16547</v>
      </c>
      <c r="C6" s="15" t="s">
        <v>16554</v>
      </c>
      <c r="D6" s="15" t="s">
        <v>16056</v>
      </c>
      <c r="E6" s="15" t="s">
        <v>305</v>
      </c>
      <c r="F6" s="15" t="s">
        <v>16555</v>
      </c>
      <c r="G6" s="15"/>
      <c r="H6" s="15"/>
      <c r="I6" s="15" t="s">
        <v>528</v>
      </c>
      <c r="J6" s="15" t="s">
        <v>15991</v>
      </c>
    </row>
    <row r="7" spans="2:10">
      <c r="B7" s="15" t="s">
        <v>16547</v>
      </c>
      <c r="C7" s="15" t="s">
        <v>16556</v>
      </c>
      <c r="D7" s="15" t="s">
        <v>16557</v>
      </c>
      <c r="E7" s="15" t="s">
        <v>305</v>
      </c>
      <c r="F7" s="15" t="s">
        <v>16558</v>
      </c>
      <c r="G7" s="15"/>
      <c r="H7" s="15"/>
      <c r="I7" s="15" t="s">
        <v>528</v>
      </c>
      <c r="J7" s="15" t="s">
        <v>15991</v>
      </c>
    </row>
  </sheetData>
  <pageMargins left="0.75" right="0.75" top="1" bottom="1" header="0.5" footer="0.5"/>
  <pageSetup paperSize="1" orientation="portrait" horizontalDpi="300" verticalDpi="300"/>
  <headerFooter alignWithMargins="0" scaleWithDoc="0"/>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5"/>
  <sheetViews>
    <sheetView zoomScaleSheetLayoutView="60" workbookViewId="0">
      <selection activeCell="D22" sqref="D22:D23"/>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52" t="str">
        <f>HYPERLINK("#表结构清单!A1","返回")</f>
        <v>返回</v>
      </c>
      <c r="B1" t="s">
        <v>16559</v>
      </c>
    </row>
    <row r="2" spans="2:10">
      <c r="B2" s="13" t="s">
        <v>15982</v>
      </c>
      <c r="C2" s="13" t="s">
        <v>297</v>
      </c>
      <c r="D2" s="13" t="s">
        <v>11870</v>
      </c>
      <c r="E2" s="13" t="s">
        <v>15983</v>
      </c>
      <c r="F2" s="13" t="s">
        <v>15984</v>
      </c>
      <c r="G2" s="13" t="s">
        <v>300</v>
      </c>
      <c r="H2" s="13" t="s">
        <v>301</v>
      </c>
      <c r="I2" s="13" t="s">
        <v>15985</v>
      </c>
      <c r="J2" s="13" t="s">
        <v>15986</v>
      </c>
    </row>
    <row r="3" spans="2:10">
      <c r="B3" s="15" t="s">
        <v>16560</v>
      </c>
      <c r="C3" s="15" t="s">
        <v>16561</v>
      </c>
      <c r="D3" s="15" t="s">
        <v>316</v>
      </c>
      <c r="E3" s="15" t="s">
        <v>15989</v>
      </c>
      <c r="F3" s="15" t="s">
        <v>16562</v>
      </c>
      <c r="G3" s="15"/>
      <c r="H3" s="15"/>
      <c r="I3" s="15" t="s">
        <v>528</v>
      </c>
      <c r="J3" s="15" t="s">
        <v>15991</v>
      </c>
    </row>
    <row r="4" spans="2:10">
      <c r="B4" s="15" t="s">
        <v>16560</v>
      </c>
      <c r="C4" s="15" t="s">
        <v>16563</v>
      </c>
      <c r="D4" s="15" t="s">
        <v>327</v>
      </c>
      <c r="E4" s="15" t="s">
        <v>305</v>
      </c>
      <c r="F4" s="15" t="s">
        <v>16564</v>
      </c>
      <c r="G4" s="15"/>
      <c r="H4" s="15"/>
      <c r="I4" s="15" t="s">
        <v>528</v>
      </c>
      <c r="J4" s="15" t="s">
        <v>15991</v>
      </c>
    </row>
    <row r="5" spans="2:10">
      <c r="B5" s="15" t="s">
        <v>16560</v>
      </c>
      <c r="C5" s="15" t="s">
        <v>16565</v>
      </c>
      <c r="D5" s="15" t="s">
        <v>316</v>
      </c>
      <c r="E5" s="15" t="s">
        <v>305</v>
      </c>
      <c r="F5" s="15" t="s">
        <v>16566</v>
      </c>
      <c r="G5" s="15"/>
      <c r="H5" s="15"/>
      <c r="I5" s="15" t="s">
        <v>528</v>
      </c>
      <c r="J5" s="15" t="s">
        <v>15991</v>
      </c>
    </row>
    <row r="6" spans="2:10">
      <c r="B6" s="15" t="s">
        <v>16560</v>
      </c>
      <c r="C6" s="15" t="s">
        <v>16325</v>
      </c>
      <c r="D6" s="15" t="s">
        <v>316</v>
      </c>
      <c r="E6" s="15" t="s">
        <v>305</v>
      </c>
      <c r="F6" s="15" t="s">
        <v>16326</v>
      </c>
      <c r="G6" s="15"/>
      <c r="H6" s="15"/>
      <c r="I6" s="15" t="s">
        <v>528</v>
      </c>
      <c r="J6" s="15" t="s">
        <v>15991</v>
      </c>
    </row>
    <row r="7" spans="2:10">
      <c r="B7" s="15" t="s">
        <v>16560</v>
      </c>
      <c r="C7" s="15" t="s">
        <v>16508</v>
      </c>
      <c r="D7" s="15" t="s">
        <v>327</v>
      </c>
      <c r="E7" s="15" t="s">
        <v>305</v>
      </c>
      <c r="F7" s="15" t="s">
        <v>16567</v>
      </c>
      <c r="G7" s="15"/>
      <c r="H7" s="15"/>
      <c r="I7" s="15" t="s">
        <v>528</v>
      </c>
      <c r="J7" s="15" t="s">
        <v>15991</v>
      </c>
    </row>
    <row r="8" spans="2:10">
      <c r="B8" s="15" t="s">
        <v>16560</v>
      </c>
      <c r="C8" s="15" t="s">
        <v>16568</v>
      </c>
      <c r="D8" s="15" t="s">
        <v>327</v>
      </c>
      <c r="E8" s="15" t="s">
        <v>305</v>
      </c>
      <c r="F8" s="15" t="s">
        <v>16288</v>
      </c>
      <c r="G8" s="15"/>
      <c r="H8" s="15"/>
      <c r="I8" s="15" t="s">
        <v>528</v>
      </c>
      <c r="J8" s="15" t="s">
        <v>15991</v>
      </c>
    </row>
    <row r="9" spans="2:10">
      <c r="B9" s="15" t="s">
        <v>16560</v>
      </c>
      <c r="C9" s="15" t="s">
        <v>16569</v>
      </c>
      <c r="D9" s="15" t="s">
        <v>316</v>
      </c>
      <c r="E9" s="15" t="s">
        <v>305</v>
      </c>
      <c r="F9" s="15" t="s">
        <v>16570</v>
      </c>
      <c r="G9" s="15"/>
      <c r="H9" s="15"/>
      <c r="I9" s="15" t="s">
        <v>528</v>
      </c>
      <c r="J9" s="15" t="s">
        <v>15991</v>
      </c>
    </row>
    <row r="10" spans="2:10">
      <c r="B10" s="15" t="s">
        <v>16560</v>
      </c>
      <c r="C10" s="15" t="s">
        <v>16571</v>
      </c>
      <c r="D10" s="15" t="s">
        <v>316</v>
      </c>
      <c r="E10" s="15" t="s">
        <v>305</v>
      </c>
      <c r="F10" s="15" t="s">
        <v>16572</v>
      </c>
      <c r="G10" s="15"/>
      <c r="H10" s="15"/>
      <c r="I10" s="15" t="s">
        <v>528</v>
      </c>
      <c r="J10" s="15" t="s">
        <v>15991</v>
      </c>
    </row>
    <row r="11" spans="2:10">
      <c r="B11" s="15" t="s">
        <v>16560</v>
      </c>
      <c r="C11" s="15" t="s">
        <v>16255</v>
      </c>
      <c r="D11" s="15" t="s">
        <v>321</v>
      </c>
      <c r="E11" s="15" t="s">
        <v>305</v>
      </c>
      <c r="F11" s="15" t="s">
        <v>16299</v>
      </c>
      <c r="G11" s="62" t="str">
        <f>HYPERLINK("#码值映射清单!B10081","MenuStatus")</f>
        <v>MenuStatus</v>
      </c>
      <c r="H11" s="15"/>
      <c r="I11" s="15" t="s">
        <v>528</v>
      </c>
      <c r="J11" s="15" t="s">
        <v>15991</v>
      </c>
    </row>
    <row r="12" spans="2:10">
      <c r="B12" s="15" t="s">
        <v>16560</v>
      </c>
      <c r="C12" s="15" t="s">
        <v>16086</v>
      </c>
      <c r="D12" s="15" t="s">
        <v>327</v>
      </c>
      <c r="E12" s="15" t="s">
        <v>305</v>
      </c>
      <c r="F12" s="15" t="s">
        <v>301</v>
      </c>
      <c r="G12" s="15"/>
      <c r="H12" s="15"/>
      <c r="I12" s="15" t="s">
        <v>528</v>
      </c>
      <c r="J12" s="15" t="s">
        <v>15991</v>
      </c>
    </row>
    <row r="13" spans="2:10">
      <c r="B13" s="15" t="s">
        <v>16560</v>
      </c>
      <c r="C13" s="15" t="s">
        <v>16009</v>
      </c>
      <c r="D13" s="15" t="s">
        <v>316</v>
      </c>
      <c r="E13" s="15" t="s">
        <v>305</v>
      </c>
      <c r="F13" s="15" t="s">
        <v>16242</v>
      </c>
      <c r="G13" s="15"/>
      <c r="H13" s="15"/>
      <c r="I13" s="15" t="s">
        <v>528</v>
      </c>
      <c r="J13" s="15" t="s">
        <v>15991</v>
      </c>
    </row>
    <row r="14" spans="2:10">
      <c r="B14" s="15" t="s">
        <v>16560</v>
      </c>
      <c r="C14" s="15" t="s">
        <v>16011</v>
      </c>
      <c r="D14" s="15" t="s">
        <v>316</v>
      </c>
      <c r="E14" s="15" t="s">
        <v>305</v>
      </c>
      <c r="F14" s="15" t="s">
        <v>16240</v>
      </c>
      <c r="G14" s="15"/>
      <c r="H14" s="15"/>
      <c r="I14" s="15" t="s">
        <v>528</v>
      </c>
      <c r="J14" s="15" t="s">
        <v>15991</v>
      </c>
    </row>
    <row r="15" spans="2:10">
      <c r="B15" s="15" t="s">
        <v>16560</v>
      </c>
      <c r="C15" s="15" t="s">
        <v>16237</v>
      </c>
      <c r="D15" s="15" t="s">
        <v>316</v>
      </c>
      <c r="E15" s="15" t="s">
        <v>305</v>
      </c>
      <c r="F15" s="15" t="s">
        <v>16238</v>
      </c>
      <c r="G15" s="15"/>
      <c r="H15" s="15"/>
      <c r="I15" s="15" t="s">
        <v>528</v>
      </c>
      <c r="J15" s="15" t="s">
        <v>15991</v>
      </c>
    </row>
    <row r="16" spans="2:10">
      <c r="B16" s="15" t="s">
        <v>16560</v>
      </c>
      <c r="C16" s="15" t="s">
        <v>16015</v>
      </c>
      <c r="D16" s="15" t="s">
        <v>316</v>
      </c>
      <c r="E16" s="15" t="s">
        <v>305</v>
      </c>
      <c r="F16" s="15" t="s">
        <v>16016</v>
      </c>
      <c r="G16" s="15"/>
      <c r="H16" s="15"/>
      <c r="I16" s="15" t="s">
        <v>528</v>
      </c>
      <c r="J16" s="15" t="s">
        <v>15991</v>
      </c>
    </row>
    <row r="17" spans="2:10">
      <c r="B17" s="15" t="s">
        <v>16560</v>
      </c>
      <c r="C17" s="15" t="s">
        <v>16017</v>
      </c>
      <c r="D17" s="15" t="s">
        <v>316</v>
      </c>
      <c r="E17" s="15" t="s">
        <v>305</v>
      </c>
      <c r="F17" s="15" t="s">
        <v>16018</v>
      </c>
      <c r="G17" s="15"/>
      <c r="H17" s="15"/>
      <c r="I17" s="15" t="s">
        <v>528</v>
      </c>
      <c r="J17" s="15" t="s">
        <v>15991</v>
      </c>
    </row>
    <row r="18" spans="2:10">
      <c r="B18" s="15" t="s">
        <v>16560</v>
      </c>
      <c r="C18" s="15" t="s">
        <v>16239</v>
      </c>
      <c r="D18" s="15" t="s">
        <v>316</v>
      </c>
      <c r="E18" s="15" t="s">
        <v>305</v>
      </c>
      <c r="F18" s="15" t="s">
        <v>16236</v>
      </c>
      <c r="G18" s="15"/>
      <c r="H18" s="15"/>
      <c r="I18" s="15" t="s">
        <v>528</v>
      </c>
      <c r="J18" s="15" t="s">
        <v>15991</v>
      </c>
    </row>
    <row r="19" spans="2:10">
      <c r="B19" s="15" t="s">
        <v>16560</v>
      </c>
      <c r="C19" s="15" t="s">
        <v>16573</v>
      </c>
      <c r="D19" s="15" t="s">
        <v>316</v>
      </c>
      <c r="E19" s="15" t="s">
        <v>305</v>
      </c>
      <c r="F19" s="15" t="s">
        <v>16574</v>
      </c>
      <c r="G19" s="62" t="str">
        <f>HYPERLINK("#码值映射清单!B10084","AccessType")</f>
        <v>AccessType</v>
      </c>
      <c r="H19" s="15"/>
      <c r="I19" s="15" t="s">
        <v>528</v>
      </c>
      <c r="J19" s="15" t="s">
        <v>15991</v>
      </c>
    </row>
    <row r="20" spans="2:10">
      <c r="B20" s="15" t="s">
        <v>16560</v>
      </c>
      <c r="C20" s="15" t="s">
        <v>16575</v>
      </c>
      <c r="D20" s="15" t="s">
        <v>506</v>
      </c>
      <c r="E20" s="15" t="s">
        <v>305</v>
      </c>
      <c r="F20" s="15" t="s">
        <v>16576</v>
      </c>
      <c r="G20" s="15"/>
      <c r="H20" s="15"/>
      <c r="I20" s="15" t="s">
        <v>528</v>
      </c>
      <c r="J20" s="15" t="s">
        <v>15991</v>
      </c>
    </row>
    <row r="21" spans="2:10">
      <c r="B21" s="15" t="s">
        <v>16560</v>
      </c>
      <c r="C21" s="15" t="s">
        <v>16577</v>
      </c>
      <c r="D21" s="15" t="s">
        <v>506</v>
      </c>
      <c r="E21" s="15" t="s">
        <v>305</v>
      </c>
      <c r="F21" s="15" t="s">
        <v>16578</v>
      </c>
      <c r="G21" s="15"/>
      <c r="H21" s="15"/>
      <c r="I21" s="15" t="s">
        <v>528</v>
      </c>
      <c r="J21" s="15" t="s">
        <v>15991</v>
      </c>
    </row>
    <row r="22" spans="2:10">
      <c r="B22" s="15" t="s">
        <v>16560</v>
      </c>
      <c r="C22" s="15" t="s">
        <v>16579</v>
      </c>
      <c r="D22" s="15" t="s">
        <v>316</v>
      </c>
      <c r="E22" s="15" t="s">
        <v>305</v>
      </c>
      <c r="F22" s="15" t="s">
        <v>16580</v>
      </c>
      <c r="G22" s="15"/>
      <c r="H22" s="15"/>
      <c r="I22" s="15" t="s">
        <v>528</v>
      </c>
      <c r="J22" s="15" t="s">
        <v>15991</v>
      </c>
    </row>
    <row r="23" spans="2:10">
      <c r="B23" s="15" t="s">
        <v>16560</v>
      </c>
      <c r="C23" s="15" t="s">
        <v>16581</v>
      </c>
      <c r="D23" s="15" t="s">
        <v>316</v>
      </c>
      <c r="E23" s="15" t="s">
        <v>305</v>
      </c>
      <c r="F23" s="15" t="s">
        <v>16582</v>
      </c>
      <c r="G23" s="15"/>
      <c r="H23" s="15"/>
      <c r="I23" s="15" t="s">
        <v>528</v>
      </c>
      <c r="J23" s="15" t="s">
        <v>15991</v>
      </c>
    </row>
    <row r="24" spans="2:10">
      <c r="B24" s="15" t="s">
        <v>16560</v>
      </c>
      <c r="C24" s="15" t="s">
        <v>16013</v>
      </c>
      <c r="D24" s="15" t="s">
        <v>371</v>
      </c>
      <c r="E24" s="15" t="s">
        <v>305</v>
      </c>
      <c r="F24" s="15" t="s">
        <v>16583</v>
      </c>
      <c r="G24" s="15"/>
      <c r="H24" s="15"/>
      <c r="I24" s="15" t="s">
        <v>528</v>
      </c>
      <c r="J24" s="15" t="s">
        <v>15991</v>
      </c>
    </row>
    <row r="25" spans="2:10">
      <c r="B25" s="15" t="s">
        <v>16560</v>
      </c>
      <c r="C25" s="15" t="s">
        <v>16019</v>
      </c>
      <c r="D25" s="15" t="s">
        <v>371</v>
      </c>
      <c r="E25" s="15" t="s">
        <v>305</v>
      </c>
      <c r="F25" s="15" t="s">
        <v>16020</v>
      </c>
      <c r="G25" s="15"/>
      <c r="H25" s="15"/>
      <c r="I25" s="15" t="s">
        <v>528</v>
      </c>
      <c r="J25" s="15" t="s">
        <v>15991</v>
      </c>
    </row>
  </sheetData>
  <pageMargins left="0.75" right="0.75" top="1" bottom="1" header="0.5" footer="0.5"/>
  <pageSetup paperSize="1" orientation="portrait" horizontalDpi="300" verticalDpi="300"/>
  <headerFooter alignWithMargins="0" scaleWithDoc="0"/>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8"/>
  <sheetViews>
    <sheetView zoomScaleSheetLayoutView="60" workbookViewId="0">
      <selection activeCell="D16" sqref="D16"/>
    </sheetView>
  </sheetViews>
  <sheetFormatPr defaultColWidth="9.14285714285714" defaultRowHeight="15.2" outlineLevelRow="7"/>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52" t="str">
        <f>HYPERLINK("#表结构清单!A1","返回")</f>
        <v>返回</v>
      </c>
      <c r="B1" t="s">
        <v>52</v>
      </c>
    </row>
    <row r="2" spans="2:10">
      <c r="B2" s="13" t="s">
        <v>15982</v>
      </c>
      <c r="C2" s="13" t="s">
        <v>297</v>
      </c>
      <c r="D2" s="13" t="s">
        <v>11870</v>
      </c>
      <c r="E2" s="13" t="s">
        <v>15983</v>
      </c>
      <c r="F2" s="13" t="s">
        <v>15984</v>
      </c>
      <c r="G2" s="13" t="s">
        <v>300</v>
      </c>
      <c r="H2" s="13" t="s">
        <v>301</v>
      </c>
      <c r="I2" s="13" t="s">
        <v>15985</v>
      </c>
      <c r="J2" s="13" t="s">
        <v>15986</v>
      </c>
    </row>
    <row r="3" spans="2:10">
      <c r="B3" s="15" t="s">
        <v>16584</v>
      </c>
      <c r="C3" s="15" t="s">
        <v>16585</v>
      </c>
      <c r="D3" s="15" t="s">
        <v>316</v>
      </c>
      <c r="E3" s="15" t="s">
        <v>15989</v>
      </c>
      <c r="F3" s="15" t="s">
        <v>16586</v>
      </c>
      <c r="G3" s="15"/>
      <c r="H3" s="15"/>
      <c r="I3" s="15" t="s">
        <v>528</v>
      </c>
      <c r="J3" s="15" t="s">
        <v>15991</v>
      </c>
    </row>
    <row r="4" spans="2:10">
      <c r="B4" s="15" t="s">
        <v>16584</v>
      </c>
      <c r="C4" s="15" t="s">
        <v>16587</v>
      </c>
      <c r="D4" s="15" t="s">
        <v>316</v>
      </c>
      <c r="E4" s="15" t="s">
        <v>305</v>
      </c>
      <c r="F4" s="15" t="s">
        <v>16588</v>
      </c>
      <c r="G4" s="15"/>
      <c r="H4" s="15"/>
      <c r="I4" s="15" t="s">
        <v>528</v>
      </c>
      <c r="J4" s="15" t="s">
        <v>15991</v>
      </c>
    </row>
    <row r="5" spans="2:10">
      <c r="B5" s="15" t="s">
        <v>16584</v>
      </c>
      <c r="C5" s="15" t="s">
        <v>16589</v>
      </c>
      <c r="D5" s="15" t="s">
        <v>367</v>
      </c>
      <c r="E5" s="15" t="s">
        <v>305</v>
      </c>
      <c r="F5" s="15" t="s">
        <v>16590</v>
      </c>
      <c r="G5" s="15"/>
      <c r="H5" s="15"/>
      <c r="I5" s="15" t="s">
        <v>528</v>
      </c>
      <c r="J5" s="15" t="s">
        <v>15991</v>
      </c>
    </row>
    <row r="6" spans="2:10">
      <c r="B6" s="15" t="s">
        <v>16584</v>
      </c>
      <c r="C6" s="15" t="s">
        <v>16591</v>
      </c>
      <c r="D6" s="15" t="s">
        <v>316</v>
      </c>
      <c r="E6" s="15" t="s">
        <v>305</v>
      </c>
      <c r="F6" s="15" t="s">
        <v>16592</v>
      </c>
      <c r="G6" s="15"/>
      <c r="H6" s="15"/>
      <c r="I6" s="15" t="s">
        <v>528</v>
      </c>
      <c r="J6" s="15" t="s">
        <v>15991</v>
      </c>
    </row>
    <row r="7" spans="2:10">
      <c r="B7" s="15" t="s">
        <v>16584</v>
      </c>
      <c r="C7" s="15" t="s">
        <v>16579</v>
      </c>
      <c r="D7" s="15" t="s">
        <v>316</v>
      </c>
      <c r="E7" s="15" t="s">
        <v>305</v>
      </c>
      <c r="F7" s="15" t="s">
        <v>16593</v>
      </c>
      <c r="G7" s="15"/>
      <c r="H7" s="15"/>
      <c r="I7" s="15" t="s">
        <v>528</v>
      </c>
      <c r="J7" s="15" t="s">
        <v>15991</v>
      </c>
    </row>
    <row r="8" spans="2:10">
      <c r="B8" s="15" t="s">
        <v>16584</v>
      </c>
      <c r="C8" s="15" t="s">
        <v>16594</v>
      </c>
      <c r="D8" s="15" t="s">
        <v>16115</v>
      </c>
      <c r="E8" s="15" t="s">
        <v>305</v>
      </c>
      <c r="F8" s="15" t="s">
        <v>16595</v>
      </c>
      <c r="G8" s="15"/>
      <c r="H8" s="15"/>
      <c r="I8" s="15" t="s">
        <v>528</v>
      </c>
      <c r="J8" s="15" t="s">
        <v>15991</v>
      </c>
    </row>
  </sheetData>
  <pageMargins left="0.75" right="0.75" top="1" bottom="1" header="0.5" footer="0.5"/>
  <pageSetup paperSize="1" orientation="portrait" horizontalDpi="300" verticalDpi="300"/>
  <headerFooter alignWithMargins="0" scaleWithDoc="0"/>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7"/>
  <sheetViews>
    <sheetView zoomScaleSheetLayoutView="60" workbookViewId="0">
      <selection activeCell="A1" sqref="A1"/>
    </sheetView>
  </sheetViews>
  <sheetFormatPr defaultColWidth="9.14285714285714" defaultRowHeight="15.2" outlineLevelRow="6"/>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52" t="str">
        <f>HYPERLINK("#表结构清单!A1","返回")</f>
        <v>返回</v>
      </c>
      <c r="B1" t="s">
        <v>16596</v>
      </c>
    </row>
    <row r="2" spans="2:10">
      <c r="B2" s="13" t="s">
        <v>15982</v>
      </c>
      <c r="C2" s="13" t="s">
        <v>297</v>
      </c>
      <c r="D2" s="13" t="s">
        <v>11870</v>
      </c>
      <c r="E2" s="13" t="s">
        <v>15983</v>
      </c>
      <c r="F2" s="13" t="s">
        <v>15984</v>
      </c>
      <c r="G2" s="13" t="s">
        <v>300</v>
      </c>
      <c r="H2" s="13" t="s">
        <v>301</v>
      </c>
      <c r="I2" s="13" t="s">
        <v>15985</v>
      </c>
      <c r="J2" s="13" t="s">
        <v>15986</v>
      </c>
    </row>
    <row r="3" spans="2:10">
      <c r="B3" s="15" t="s">
        <v>16597</v>
      </c>
      <c r="C3" s="15" t="s">
        <v>16585</v>
      </c>
      <c r="D3" s="15" t="s">
        <v>316</v>
      </c>
      <c r="E3" s="15" t="s">
        <v>15989</v>
      </c>
      <c r="F3" s="15" t="s">
        <v>16586</v>
      </c>
      <c r="G3" s="15"/>
      <c r="H3" s="15"/>
      <c r="I3" s="15" t="s">
        <v>528</v>
      </c>
      <c r="J3" s="15" t="s">
        <v>15991</v>
      </c>
    </row>
    <row r="4" spans="2:10">
      <c r="B4" s="15" t="s">
        <v>16597</v>
      </c>
      <c r="C4" s="15" t="s">
        <v>16579</v>
      </c>
      <c r="D4" s="15" t="s">
        <v>316</v>
      </c>
      <c r="E4" s="15" t="s">
        <v>15989</v>
      </c>
      <c r="F4" s="15" t="s">
        <v>16598</v>
      </c>
      <c r="G4" s="15"/>
      <c r="H4" s="15"/>
      <c r="I4" s="15" t="s">
        <v>528</v>
      </c>
      <c r="J4" s="15" t="s">
        <v>15991</v>
      </c>
    </row>
    <row r="5" spans="2:10">
      <c r="B5" s="15" t="s">
        <v>16597</v>
      </c>
      <c r="C5" s="15" t="s">
        <v>16599</v>
      </c>
      <c r="D5" s="15" t="s">
        <v>316</v>
      </c>
      <c r="E5" s="15" t="s">
        <v>305</v>
      </c>
      <c r="F5" s="15" t="s">
        <v>16600</v>
      </c>
      <c r="G5" s="15"/>
      <c r="H5" s="15"/>
      <c r="I5" s="15" t="s">
        <v>528</v>
      </c>
      <c r="J5" s="15" t="s">
        <v>15991</v>
      </c>
    </row>
    <row r="6" spans="2:10">
      <c r="B6" s="15" t="s">
        <v>16597</v>
      </c>
      <c r="C6" s="15" t="s">
        <v>16601</v>
      </c>
      <c r="D6" s="15" t="s">
        <v>316</v>
      </c>
      <c r="E6" s="15" t="s">
        <v>305</v>
      </c>
      <c r="F6" s="15" t="s">
        <v>16602</v>
      </c>
      <c r="G6" s="15"/>
      <c r="H6" s="15"/>
      <c r="I6" s="15" t="s">
        <v>528</v>
      </c>
      <c r="J6" s="15" t="s">
        <v>15991</v>
      </c>
    </row>
    <row r="7" spans="2:10">
      <c r="B7" s="15" t="s">
        <v>16597</v>
      </c>
      <c r="C7" s="15" t="s">
        <v>16603</v>
      </c>
      <c r="D7" s="15" t="s">
        <v>316</v>
      </c>
      <c r="E7" s="15" t="s">
        <v>305</v>
      </c>
      <c r="F7" s="15" t="s">
        <v>16604</v>
      </c>
      <c r="G7" s="15"/>
      <c r="H7" s="15"/>
      <c r="I7" s="15" t="s">
        <v>528</v>
      </c>
      <c r="J7" s="15" t="s">
        <v>15991</v>
      </c>
    </row>
  </sheetData>
  <pageMargins left="0.75" right="0.75" top="1" bottom="1" header="0.5" footer="0.5"/>
  <pageSetup paperSize="1" orientation="portrait" horizontalDpi="300" verticalDpi="300"/>
  <headerFooter alignWithMargins="0" scaleWithDoc="0"/>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0"/>
  <sheetViews>
    <sheetView zoomScaleSheetLayoutView="60" workbookViewId="0">
      <selection activeCell="A1" sqref="A1"/>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52" t="str">
        <f>HYPERLINK("#表结构清单!A1","返回")</f>
        <v>返回</v>
      </c>
      <c r="B1" t="s">
        <v>54</v>
      </c>
    </row>
    <row r="2" spans="2:10">
      <c r="B2" s="13" t="s">
        <v>15982</v>
      </c>
      <c r="C2" s="13" t="s">
        <v>297</v>
      </c>
      <c r="D2" s="13" t="s">
        <v>11870</v>
      </c>
      <c r="E2" s="13" t="s">
        <v>15983</v>
      </c>
      <c r="F2" s="13" t="s">
        <v>15984</v>
      </c>
      <c r="G2" s="13" t="s">
        <v>300</v>
      </c>
      <c r="H2" s="13" t="s">
        <v>301</v>
      </c>
      <c r="I2" s="13" t="s">
        <v>15985</v>
      </c>
      <c r="J2" s="13" t="s">
        <v>15986</v>
      </c>
    </row>
    <row r="3" spans="2:10">
      <c r="B3" s="15" t="s">
        <v>16605</v>
      </c>
      <c r="C3" s="15" t="s">
        <v>16606</v>
      </c>
      <c r="D3" s="15" t="s">
        <v>316</v>
      </c>
      <c r="E3" s="15" t="s">
        <v>15989</v>
      </c>
      <c r="F3" s="15" t="s">
        <v>16607</v>
      </c>
      <c r="G3" s="15"/>
      <c r="H3" s="15"/>
      <c r="I3" s="15" t="s">
        <v>528</v>
      </c>
      <c r="J3" s="15" t="s">
        <v>15991</v>
      </c>
    </row>
    <row r="4" spans="2:10">
      <c r="B4" s="15" t="s">
        <v>16605</v>
      </c>
      <c r="C4" s="15" t="s">
        <v>16608</v>
      </c>
      <c r="D4" s="15" t="s">
        <v>506</v>
      </c>
      <c r="E4" s="15" t="s">
        <v>305</v>
      </c>
      <c r="F4" s="15" t="s">
        <v>16609</v>
      </c>
      <c r="G4" s="15"/>
      <c r="H4" s="15"/>
      <c r="I4" s="15" t="s">
        <v>528</v>
      </c>
      <c r="J4" s="15" t="s">
        <v>15991</v>
      </c>
    </row>
    <row r="5" spans="2:10">
      <c r="B5" s="15" t="s">
        <v>16605</v>
      </c>
      <c r="C5" s="15" t="s">
        <v>16610</v>
      </c>
      <c r="D5" s="15" t="s">
        <v>506</v>
      </c>
      <c r="E5" s="15" t="s">
        <v>15989</v>
      </c>
      <c r="F5" s="15" t="s">
        <v>16611</v>
      </c>
      <c r="G5" s="15"/>
      <c r="H5" s="15"/>
      <c r="I5" s="15" t="s">
        <v>528</v>
      </c>
      <c r="J5" s="15" t="s">
        <v>15991</v>
      </c>
    </row>
    <row r="6" spans="2:10">
      <c r="B6" s="15" t="s">
        <v>16605</v>
      </c>
      <c r="C6" s="15" t="s">
        <v>16612</v>
      </c>
      <c r="D6" s="15" t="s">
        <v>327</v>
      </c>
      <c r="E6" s="15" t="s">
        <v>305</v>
      </c>
      <c r="F6" s="15" t="s">
        <v>16613</v>
      </c>
      <c r="G6" s="15"/>
      <c r="H6" s="15"/>
      <c r="I6" s="15" t="s">
        <v>528</v>
      </c>
      <c r="J6" s="15" t="s">
        <v>15991</v>
      </c>
    </row>
    <row r="7" spans="2:10">
      <c r="B7" s="15" t="s">
        <v>16605</v>
      </c>
      <c r="C7" s="15" t="s">
        <v>16614</v>
      </c>
      <c r="D7" s="15" t="s">
        <v>327</v>
      </c>
      <c r="E7" s="15" t="s">
        <v>305</v>
      </c>
      <c r="F7" s="15" t="s">
        <v>16615</v>
      </c>
      <c r="G7" s="15"/>
      <c r="H7" s="15"/>
      <c r="I7" s="15" t="s">
        <v>528</v>
      </c>
      <c r="J7" s="15" t="s">
        <v>15991</v>
      </c>
    </row>
    <row r="8" spans="2:10">
      <c r="B8" s="15" t="s">
        <v>16605</v>
      </c>
      <c r="C8" s="15" t="s">
        <v>16616</v>
      </c>
      <c r="D8" s="15" t="s">
        <v>327</v>
      </c>
      <c r="E8" s="15" t="s">
        <v>305</v>
      </c>
      <c r="F8" s="15" t="s">
        <v>16617</v>
      </c>
      <c r="G8" s="15"/>
      <c r="H8" s="15"/>
      <c r="I8" s="15" t="s">
        <v>528</v>
      </c>
      <c r="J8" s="15" t="s">
        <v>15991</v>
      </c>
    </row>
    <row r="9" spans="2:10">
      <c r="B9" s="15" t="s">
        <v>16605</v>
      </c>
      <c r="C9" s="15" t="s">
        <v>16618</v>
      </c>
      <c r="D9" s="15" t="s">
        <v>321</v>
      </c>
      <c r="E9" s="15" t="s">
        <v>305</v>
      </c>
      <c r="F9" s="15" t="s">
        <v>16619</v>
      </c>
      <c r="G9" s="15"/>
      <c r="H9" s="15"/>
      <c r="I9" s="15" t="s">
        <v>528</v>
      </c>
      <c r="J9" s="15" t="s">
        <v>15991</v>
      </c>
    </row>
    <row r="10" spans="2:10">
      <c r="B10" s="15" t="s">
        <v>16605</v>
      </c>
      <c r="C10" s="15" t="s">
        <v>16620</v>
      </c>
      <c r="D10" s="15" t="s">
        <v>16056</v>
      </c>
      <c r="E10" s="15" t="s">
        <v>305</v>
      </c>
      <c r="F10" s="15" t="s">
        <v>16621</v>
      </c>
      <c r="G10" s="15"/>
      <c r="H10" s="15"/>
      <c r="I10" s="15" t="s">
        <v>528</v>
      </c>
      <c r="J10" s="15" t="s">
        <v>15991</v>
      </c>
    </row>
    <row r="11" spans="2:10">
      <c r="B11" s="15" t="s">
        <v>16605</v>
      </c>
      <c r="C11" s="15" t="s">
        <v>16579</v>
      </c>
      <c r="D11" s="15" t="s">
        <v>316</v>
      </c>
      <c r="E11" s="15" t="s">
        <v>305</v>
      </c>
      <c r="F11" s="15" t="s">
        <v>16240</v>
      </c>
      <c r="G11" s="15"/>
      <c r="H11" s="15"/>
      <c r="I11" s="15" t="s">
        <v>528</v>
      </c>
      <c r="J11" s="15" t="s">
        <v>15991</v>
      </c>
    </row>
    <row r="12" spans="2:10">
      <c r="B12" s="15" t="s">
        <v>16605</v>
      </c>
      <c r="C12" s="15" t="s">
        <v>16622</v>
      </c>
      <c r="D12" s="15" t="s">
        <v>316</v>
      </c>
      <c r="E12" s="15" t="s">
        <v>305</v>
      </c>
      <c r="F12" s="15" t="s">
        <v>16242</v>
      </c>
      <c r="G12" s="15"/>
      <c r="H12" s="15"/>
      <c r="I12" s="15" t="s">
        <v>528</v>
      </c>
      <c r="J12" s="15" t="s">
        <v>15991</v>
      </c>
    </row>
    <row r="13" spans="2:10">
      <c r="B13" s="15" t="s">
        <v>16605</v>
      </c>
      <c r="C13" s="15" t="s">
        <v>16019</v>
      </c>
      <c r="D13" s="15" t="s">
        <v>371</v>
      </c>
      <c r="E13" s="15" t="s">
        <v>305</v>
      </c>
      <c r="F13" s="15" t="s">
        <v>16236</v>
      </c>
      <c r="G13" s="15"/>
      <c r="H13" s="15"/>
      <c r="I13" s="15" t="s">
        <v>528</v>
      </c>
      <c r="J13" s="15" t="s">
        <v>15991</v>
      </c>
    </row>
    <row r="14" spans="2:10">
      <c r="B14" s="15" t="s">
        <v>16605</v>
      </c>
      <c r="C14" s="15" t="s">
        <v>16623</v>
      </c>
      <c r="D14" s="15" t="s">
        <v>16440</v>
      </c>
      <c r="E14" s="15" t="s">
        <v>305</v>
      </c>
      <c r="F14" s="15" t="s">
        <v>16624</v>
      </c>
      <c r="G14" s="15"/>
      <c r="H14" s="15"/>
      <c r="I14" s="15" t="s">
        <v>528</v>
      </c>
      <c r="J14" s="15" t="s">
        <v>15991</v>
      </c>
    </row>
    <row r="15" spans="2:10">
      <c r="B15" s="15" t="s">
        <v>16605</v>
      </c>
      <c r="C15" s="15" t="s">
        <v>16625</v>
      </c>
      <c r="D15" s="15" t="s">
        <v>16440</v>
      </c>
      <c r="E15" s="15" t="s">
        <v>305</v>
      </c>
      <c r="F15" s="15" t="s">
        <v>16626</v>
      </c>
      <c r="G15" s="15"/>
      <c r="H15" s="15"/>
      <c r="I15" s="15" t="s">
        <v>528</v>
      </c>
      <c r="J15" s="15" t="s">
        <v>15991</v>
      </c>
    </row>
    <row r="16" spans="2:10">
      <c r="B16" s="15" t="s">
        <v>16605</v>
      </c>
      <c r="C16" s="15" t="s">
        <v>16627</v>
      </c>
      <c r="D16" s="15" t="s">
        <v>16440</v>
      </c>
      <c r="E16" s="15" t="s">
        <v>305</v>
      </c>
      <c r="F16" s="15" t="s">
        <v>16628</v>
      </c>
      <c r="G16" s="15"/>
      <c r="H16" s="15"/>
      <c r="I16" s="15" t="s">
        <v>528</v>
      </c>
      <c r="J16" s="15" t="s">
        <v>15991</v>
      </c>
    </row>
    <row r="17" spans="2:10">
      <c r="B17" s="15" t="s">
        <v>16605</v>
      </c>
      <c r="C17" s="15" t="s">
        <v>16629</v>
      </c>
      <c r="D17" s="15" t="s">
        <v>16115</v>
      </c>
      <c r="E17" s="15" t="s">
        <v>305</v>
      </c>
      <c r="F17" s="15" t="s">
        <v>16630</v>
      </c>
      <c r="G17" s="15"/>
      <c r="H17" s="15"/>
      <c r="I17" s="15" t="s">
        <v>528</v>
      </c>
      <c r="J17" s="15" t="s">
        <v>15991</v>
      </c>
    </row>
    <row r="18" spans="2:10">
      <c r="B18" s="15" t="s">
        <v>16605</v>
      </c>
      <c r="C18" s="15" t="s">
        <v>16631</v>
      </c>
      <c r="D18" s="15" t="s">
        <v>16115</v>
      </c>
      <c r="E18" s="15" t="s">
        <v>305</v>
      </c>
      <c r="F18" s="15" t="s">
        <v>16632</v>
      </c>
      <c r="G18" s="15"/>
      <c r="H18" s="15"/>
      <c r="I18" s="15" t="s">
        <v>528</v>
      </c>
      <c r="J18" s="15" t="s">
        <v>15991</v>
      </c>
    </row>
    <row r="19" spans="2:10">
      <c r="B19" s="15" t="s">
        <v>16605</v>
      </c>
      <c r="C19" s="15" t="s">
        <v>16633</v>
      </c>
      <c r="D19" s="15" t="s">
        <v>16440</v>
      </c>
      <c r="E19" s="15" t="s">
        <v>305</v>
      </c>
      <c r="F19" s="15" t="s">
        <v>16265</v>
      </c>
      <c r="G19" s="15"/>
      <c r="H19" s="15"/>
      <c r="I19" s="15" t="s">
        <v>528</v>
      </c>
      <c r="J19" s="15" t="s">
        <v>15991</v>
      </c>
    </row>
    <row r="20" spans="2:10">
      <c r="B20" s="15" t="s">
        <v>16605</v>
      </c>
      <c r="C20" s="15" t="s">
        <v>16634</v>
      </c>
      <c r="D20" s="15" t="s">
        <v>16440</v>
      </c>
      <c r="E20" s="15" t="s">
        <v>305</v>
      </c>
      <c r="F20" s="15" t="s">
        <v>16635</v>
      </c>
      <c r="G20" s="15"/>
      <c r="H20" s="15"/>
      <c r="I20" s="15" t="s">
        <v>528</v>
      </c>
      <c r="J20" s="15" t="s">
        <v>15991</v>
      </c>
    </row>
  </sheetData>
  <pageMargins left="0.75" right="0.75" top="1" bottom="1" header="0.5" footer="0.5"/>
  <pageSetup paperSize="1" orientation="portrait" horizontalDpi="300" verticalDpi="300"/>
  <headerFooter alignWithMargins="0" scaleWithDoc="0"/>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1"/>
  <sheetViews>
    <sheetView zoomScaleSheetLayoutView="60" workbookViewId="0">
      <selection activeCell="D16" sqref="D16"/>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52" t="str">
        <f>HYPERLINK("#表结构清单!A1","返回")</f>
        <v>返回</v>
      </c>
      <c r="B1" t="s">
        <v>16636</v>
      </c>
    </row>
    <row r="2" spans="2:10">
      <c r="B2" s="13" t="s">
        <v>15982</v>
      </c>
      <c r="C2" s="13" t="s">
        <v>297</v>
      </c>
      <c r="D2" s="13" t="s">
        <v>11870</v>
      </c>
      <c r="E2" s="13" t="s">
        <v>15983</v>
      </c>
      <c r="F2" s="13" t="s">
        <v>15984</v>
      </c>
      <c r="G2" s="13" t="s">
        <v>300</v>
      </c>
      <c r="H2" s="13" t="s">
        <v>301</v>
      </c>
      <c r="I2" s="13" t="s">
        <v>15985</v>
      </c>
      <c r="J2" s="13" t="s">
        <v>15986</v>
      </c>
    </row>
    <row r="3" spans="2:10">
      <c r="B3" s="15" t="s">
        <v>16637</v>
      </c>
      <c r="C3" s="15" t="s">
        <v>15988</v>
      </c>
      <c r="D3" s="15" t="s">
        <v>316</v>
      </c>
      <c r="E3" s="15" t="s">
        <v>15989</v>
      </c>
      <c r="F3" s="15" t="s">
        <v>16428</v>
      </c>
      <c r="G3" s="15"/>
      <c r="H3" s="15"/>
      <c r="I3" s="15" t="s">
        <v>528</v>
      </c>
      <c r="J3" s="15" t="s">
        <v>15991</v>
      </c>
    </row>
    <row r="4" spans="2:10">
      <c r="B4" s="15" t="s">
        <v>16637</v>
      </c>
      <c r="C4" s="15" t="s">
        <v>16579</v>
      </c>
      <c r="D4" s="15" t="s">
        <v>316</v>
      </c>
      <c r="E4" s="15" t="s">
        <v>305</v>
      </c>
      <c r="F4" s="15" t="s">
        <v>16638</v>
      </c>
      <c r="G4" s="15"/>
      <c r="H4" s="15"/>
      <c r="I4" s="15" t="s">
        <v>528</v>
      </c>
      <c r="J4" s="15" t="s">
        <v>15991</v>
      </c>
    </row>
    <row r="5" spans="2:10">
      <c r="B5" s="15" t="s">
        <v>16637</v>
      </c>
      <c r="C5" s="15" t="s">
        <v>16639</v>
      </c>
      <c r="D5" s="15" t="s">
        <v>316</v>
      </c>
      <c r="E5" s="15" t="s">
        <v>305</v>
      </c>
      <c r="F5" s="15" t="s">
        <v>16640</v>
      </c>
      <c r="G5" s="15"/>
      <c r="H5" s="15"/>
      <c r="I5" s="15" t="s">
        <v>528</v>
      </c>
      <c r="J5" s="15" t="s">
        <v>15991</v>
      </c>
    </row>
    <row r="6" spans="2:10">
      <c r="B6" s="15" t="s">
        <v>16637</v>
      </c>
      <c r="C6" s="15" t="s">
        <v>16126</v>
      </c>
      <c r="D6" s="15" t="s">
        <v>321</v>
      </c>
      <c r="E6" s="15" t="s">
        <v>305</v>
      </c>
      <c r="F6" s="15" t="s">
        <v>905</v>
      </c>
      <c r="G6" s="15"/>
      <c r="H6" s="15"/>
      <c r="I6" s="15" t="s">
        <v>528</v>
      </c>
      <c r="J6" s="15" t="s">
        <v>15991</v>
      </c>
    </row>
    <row r="7" spans="2:10">
      <c r="B7" s="15" t="s">
        <v>16637</v>
      </c>
      <c r="C7" s="15" t="s">
        <v>16086</v>
      </c>
      <c r="D7" s="15" t="s">
        <v>327</v>
      </c>
      <c r="E7" s="15" t="s">
        <v>305</v>
      </c>
      <c r="F7" s="15" t="s">
        <v>301</v>
      </c>
      <c r="G7" s="15"/>
      <c r="H7" s="15"/>
      <c r="I7" s="15" t="s">
        <v>528</v>
      </c>
      <c r="J7" s="15" t="s">
        <v>15991</v>
      </c>
    </row>
    <row r="8" spans="2:10">
      <c r="B8" s="15" t="s">
        <v>16637</v>
      </c>
      <c r="C8" s="15" t="s">
        <v>16641</v>
      </c>
      <c r="D8" s="15" t="s">
        <v>327</v>
      </c>
      <c r="E8" s="15" t="s">
        <v>305</v>
      </c>
      <c r="F8" s="15" t="s">
        <v>16642</v>
      </c>
      <c r="G8" s="15"/>
      <c r="H8" s="15"/>
      <c r="I8" s="15" t="s">
        <v>528</v>
      </c>
      <c r="J8" s="15" t="s">
        <v>15991</v>
      </c>
    </row>
    <row r="9" spans="2:10">
      <c r="B9" s="15" t="s">
        <v>16637</v>
      </c>
      <c r="C9" s="15" t="s">
        <v>16174</v>
      </c>
      <c r="D9" s="15" t="s">
        <v>327</v>
      </c>
      <c r="E9" s="15" t="s">
        <v>305</v>
      </c>
      <c r="F9" s="15" t="s">
        <v>16643</v>
      </c>
      <c r="G9" s="15"/>
      <c r="H9" s="15"/>
      <c r="I9" s="15" t="s">
        <v>528</v>
      </c>
      <c r="J9" s="15" t="s">
        <v>15991</v>
      </c>
    </row>
    <row r="10" spans="2:10">
      <c r="B10" s="15" t="s">
        <v>16637</v>
      </c>
      <c r="C10" s="15" t="s">
        <v>16644</v>
      </c>
      <c r="D10" s="15" t="s">
        <v>316</v>
      </c>
      <c r="E10" s="15" t="s">
        <v>305</v>
      </c>
      <c r="F10" s="15" t="s">
        <v>16645</v>
      </c>
      <c r="G10" s="15"/>
      <c r="H10" s="15"/>
      <c r="I10" s="15" t="s">
        <v>528</v>
      </c>
      <c r="J10" s="15" t="s">
        <v>15991</v>
      </c>
    </row>
    <row r="11" spans="2:10">
      <c r="B11" s="15" t="s">
        <v>16637</v>
      </c>
      <c r="C11" s="15" t="s">
        <v>16646</v>
      </c>
      <c r="D11" s="15" t="s">
        <v>316</v>
      </c>
      <c r="E11" s="15" t="s">
        <v>305</v>
      </c>
      <c r="F11" s="15" t="s">
        <v>16647</v>
      </c>
      <c r="G11" s="15"/>
      <c r="H11" s="15"/>
      <c r="I11" s="15" t="s">
        <v>528</v>
      </c>
      <c r="J11" s="15" t="s">
        <v>15991</v>
      </c>
    </row>
  </sheetData>
  <pageMargins left="0.75" right="0.75" top="1" bottom="1" header="0.5" footer="0.5"/>
  <pageSetup paperSize="1" orientation="portrait" horizontalDpi="300" verticalDpi="300"/>
  <headerFooter alignWithMargins="0" scaleWithDoc="0"/>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6"/>
  <sheetViews>
    <sheetView zoomScaleSheetLayoutView="60" workbookViewId="0">
      <selection activeCell="F19" sqref="F19"/>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52" t="str">
        <f>HYPERLINK("#表结构清单!A1","返回")</f>
        <v>返回</v>
      </c>
      <c r="B1" t="s">
        <v>56</v>
      </c>
    </row>
    <row r="2" spans="2:10">
      <c r="B2" s="13" t="s">
        <v>15982</v>
      </c>
      <c r="C2" s="13" t="s">
        <v>297</v>
      </c>
      <c r="D2" s="13" t="s">
        <v>11870</v>
      </c>
      <c r="E2" s="13" t="s">
        <v>15983</v>
      </c>
      <c r="F2" s="13" t="s">
        <v>15984</v>
      </c>
      <c r="G2" s="13" t="s">
        <v>300</v>
      </c>
      <c r="H2" s="13" t="s">
        <v>301</v>
      </c>
      <c r="I2" s="13" t="s">
        <v>15985</v>
      </c>
      <c r="J2" s="13" t="s">
        <v>15986</v>
      </c>
    </row>
    <row r="3" spans="2:10">
      <c r="B3" s="15" t="s">
        <v>16648</v>
      </c>
      <c r="C3" s="15" t="s">
        <v>16649</v>
      </c>
      <c r="D3" s="15" t="s">
        <v>316</v>
      </c>
      <c r="E3" s="15" t="s">
        <v>15989</v>
      </c>
      <c r="F3" s="15" t="s">
        <v>16428</v>
      </c>
      <c r="G3" s="15"/>
      <c r="H3" s="15"/>
      <c r="I3" s="15" t="s">
        <v>528</v>
      </c>
      <c r="J3" s="15" t="s">
        <v>15991</v>
      </c>
    </row>
    <row r="4" spans="2:10">
      <c r="B4" s="15" t="s">
        <v>16648</v>
      </c>
      <c r="C4" s="15" t="s">
        <v>16650</v>
      </c>
      <c r="D4" s="15" t="s">
        <v>506</v>
      </c>
      <c r="E4" s="15" t="s">
        <v>15989</v>
      </c>
      <c r="F4" s="15" t="s">
        <v>11462</v>
      </c>
      <c r="G4" s="15"/>
      <c r="H4" s="15"/>
      <c r="I4" s="15" t="s">
        <v>528</v>
      </c>
      <c r="J4" s="15" t="s">
        <v>15991</v>
      </c>
    </row>
    <row r="5" spans="2:10">
      <c r="B5" s="15" t="s">
        <v>16648</v>
      </c>
      <c r="C5" s="15" t="s">
        <v>16651</v>
      </c>
      <c r="D5" s="15" t="s">
        <v>506</v>
      </c>
      <c r="E5" s="15" t="s">
        <v>15989</v>
      </c>
      <c r="F5" s="15" t="s">
        <v>16652</v>
      </c>
      <c r="G5" s="15"/>
      <c r="H5" s="15"/>
      <c r="I5" s="15" t="s">
        <v>528</v>
      </c>
      <c r="J5" s="15" t="s">
        <v>15991</v>
      </c>
    </row>
    <row r="6" spans="2:10">
      <c r="B6" s="15" t="s">
        <v>16648</v>
      </c>
      <c r="C6" s="15" t="s">
        <v>16653</v>
      </c>
      <c r="D6" s="15" t="s">
        <v>327</v>
      </c>
      <c r="E6" s="15" t="s">
        <v>305</v>
      </c>
      <c r="F6" s="15" t="s">
        <v>16288</v>
      </c>
      <c r="G6" s="15"/>
      <c r="H6" s="15"/>
      <c r="I6" s="15" t="s">
        <v>528</v>
      </c>
      <c r="J6" s="15" t="s">
        <v>15991</v>
      </c>
    </row>
    <row r="7" spans="2:10">
      <c r="B7" s="15" t="s">
        <v>16648</v>
      </c>
      <c r="C7" s="15" t="s">
        <v>16086</v>
      </c>
      <c r="D7" s="15" t="s">
        <v>327</v>
      </c>
      <c r="E7" s="15" t="s">
        <v>305</v>
      </c>
      <c r="F7" s="15" t="s">
        <v>301</v>
      </c>
      <c r="G7" s="15"/>
      <c r="H7" s="15"/>
      <c r="I7" s="15" t="s">
        <v>528</v>
      </c>
      <c r="J7" s="15" t="s">
        <v>15991</v>
      </c>
    </row>
    <row r="8" spans="2:10">
      <c r="B8" s="15" t="s">
        <v>16648</v>
      </c>
      <c r="C8" s="15" t="s">
        <v>16654</v>
      </c>
      <c r="D8" s="15" t="s">
        <v>316</v>
      </c>
      <c r="E8" s="15" t="s">
        <v>15989</v>
      </c>
      <c r="F8" s="15" t="s">
        <v>16655</v>
      </c>
      <c r="G8" s="15"/>
      <c r="H8" s="15"/>
      <c r="I8" s="15" t="s">
        <v>528</v>
      </c>
      <c r="J8" s="15" t="s">
        <v>15991</v>
      </c>
    </row>
    <row r="9" spans="2:10">
      <c r="B9" s="15" t="s">
        <v>16648</v>
      </c>
      <c r="C9" s="15" t="s">
        <v>16255</v>
      </c>
      <c r="D9" s="15" t="s">
        <v>16072</v>
      </c>
      <c r="E9" s="15" t="s">
        <v>305</v>
      </c>
      <c r="F9" s="53" t="s">
        <v>16656</v>
      </c>
      <c r="G9" s="15"/>
      <c r="H9" s="15"/>
      <c r="I9" s="15" t="s">
        <v>528</v>
      </c>
      <c r="J9" s="15" t="s">
        <v>15991</v>
      </c>
    </row>
    <row r="10" spans="2:10">
      <c r="B10" s="15" t="s">
        <v>16648</v>
      </c>
      <c r="C10" s="15" t="s">
        <v>16325</v>
      </c>
      <c r="D10" s="15" t="s">
        <v>316</v>
      </c>
      <c r="E10" s="15" t="s">
        <v>305</v>
      </c>
      <c r="F10" s="15" t="s">
        <v>16269</v>
      </c>
      <c r="G10" s="15"/>
      <c r="H10" s="15"/>
      <c r="I10" s="15" t="s">
        <v>528</v>
      </c>
      <c r="J10" s="15" t="s">
        <v>15991</v>
      </c>
    </row>
    <row r="11" spans="2:10">
      <c r="B11" s="15" t="s">
        <v>16648</v>
      </c>
      <c r="C11" s="15" t="s">
        <v>16241</v>
      </c>
      <c r="D11" s="15" t="s">
        <v>316</v>
      </c>
      <c r="E11" s="15" t="s">
        <v>305</v>
      </c>
      <c r="F11" s="15" t="s">
        <v>16242</v>
      </c>
      <c r="G11" s="15"/>
      <c r="H11" s="15"/>
      <c r="I11" s="15" t="s">
        <v>528</v>
      </c>
      <c r="J11" s="15" t="s">
        <v>15991</v>
      </c>
    </row>
    <row r="12" spans="2:10">
      <c r="B12" s="15" t="s">
        <v>16648</v>
      </c>
      <c r="C12" s="15" t="s">
        <v>16053</v>
      </c>
      <c r="D12" s="15" t="s">
        <v>316</v>
      </c>
      <c r="E12" s="15" t="s">
        <v>305</v>
      </c>
      <c r="F12" s="15" t="s">
        <v>16657</v>
      </c>
      <c r="G12" s="15"/>
      <c r="H12" s="15"/>
      <c r="I12" s="15" t="s">
        <v>528</v>
      </c>
      <c r="J12" s="15" t="s">
        <v>15991</v>
      </c>
    </row>
    <row r="13" spans="2:10">
      <c r="B13" s="15" t="s">
        <v>16648</v>
      </c>
      <c r="C13" s="15" t="s">
        <v>16237</v>
      </c>
      <c r="D13" s="15" t="s">
        <v>371</v>
      </c>
      <c r="E13" s="15" t="s">
        <v>305</v>
      </c>
      <c r="F13" s="15" t="s">
        <v>16238</v>
      </c>
      <c r="G13" s="15"/>
      <c r="H13" s="15"/>
      <c r="I13" s="15" t="s">
        <v>528</v>
      </c>
      <c r="J13" s="15" t="s">
        <v>15991</v>
      </c>
    </row>
    <row r="14" spans="2:10">
      <c r="B14" s="15" t="s">
        <v>16648</v>
      </c>
      <c r="C14" s="15" t="s">
        <v>16532</v>
      </c>
      <c r="D14" s="15" t="s">
        <v>316</v>
      </c>
      <c r="E14" s="15" t="s">
        <v>305</v>
      </c>
      <c r="F14" s="15" t="s">
        <v>16016</v>
      </c>
      <c r="G14" s="15"/>
      <c r="H14" s="15"/>
      <c r="I14" s="15" t="s">
        <v>528</v>
      </c>
      <c r="J14" s="15" t="s">
        <v>15991</v>
      </c>
    </row>
    <row r="15" spans="2:10">
      <c r="B15" s="15" t="s">
        <v>16648</v>
      </c>
      <c r="C15" s="15" t="s">
        <v>16243</v>
      </c>
      <c r="D15" s="15" t="s">
        <v>316</v>
      </c>
      <c r="E15" s="15" t="s">
        <v>305</v>
      </c>
      <c r="F15" s="15" t="s">
        <v>16510</v>
      </c>
      <c r="G15" s="15"/>
      <c r="H15" s="15"/>
      <c r="I15" s="15" t="s">
        <v>528</v>
      </c>
      <c r="J15" s="15" t="s">
        <v>15991</v>
      </c>
    </row>
    <row r="16" spans="2:10">
      <c r="B16" s="15" t="s">
        <v>16648</v>
      </c>
      <c r="C16" s="15" t="s">
        <v>16239</v>
      </c>
      <c r="D16" s="15" t="s">
        <v>371</v>
      </c>
      <c r="E16" s="15" t="s">
        <v>305</v>
      </c>
      <c r="F16" s="15" t="s">
        <v>16236</v>
      </c>
      <c r="G16" s="15"/>
      <c r="H16" s="15"/>
      <c r="I16" s="15" t="s">
        <v>528</v>
      </c>
      <c r="J16" s="15" t="s">
        <v>15991</v>
      </c>
    </row>
  </sheetData>
  <pageMargins left="0.75" right="0.75" top="1" bottom="1" header="0.5" footer="0.5"/>
  <pageSetup paperSize="1" orientation="portrait" horizontalDpi="300" verticalDpi="300"/>
  <headerFooter alignWithMargins="0" scaleWithDoc="0"/>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7"/>
  <sheetViews>
    <sheetView zoomScaleSheetLayoutView="60" workbookViewId="0">
      <selection activeCell="A1" sqref="A1"/>
    </sheetView>
  </sheetViews>
  <sheetFormatPr defaultColWidth="9.14285714285714" defaultRowHeight="15.2" outlineLevelRow="6"/>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52" t="str">
        <f>HYPERLINK("#表结构清单!A1","返回")</f>
        <v>返回</v>
      </c>
      <c r="B1" t="s">
        <v>57</v>
      </c>
    </row>
    <row r="2" spans="2:10">
      <c r="B2" s="13" t="s">
        <v>15982</v>
      </c>
      <c r="C2" s="13" t="s">
        <v>297</v>
      </c>
      <c r="D2" s="13" t="s">
        <v>11870</v>
      </c>
      <c r="E2" s="13" t="s">
        <v>15983</v>
      </c>
      <c r="F2" s="13" t="s">
        <v>15984</v>
      </c>
      <c r="G2" s="13" t="s">
        <v>300</v>
      </c>
      <c r="H2" s="13" t="s">
        <v>301</v>
      </c>
      <c r="I2" s="13" t="s">
        <v>15985</v>
      </c>
      <c r="J2" s="13" t="s">
        <v>15986</v>
      </c>
    </row>
    <row r="3" spans="2:10">
      <c r="B3" s="15" t="s">
        <v>16658</v>
      </c>
      <c r="C3" s="15" t="s">
        <v>15988</v>
      </c>
      <c r="D3" s="15" t="s">
        <v>316</v>
      </c>
      <c r="E3" s="15" t="s">
        <v>15989</v>
      </c>
      <c r="F3" s="15" t="s">
        <v>15990</v>
      </c>
      <c r="G3" s="15"/>
      <c r="H3" s="15"/>
      <c r="I3" s="15" t="s">
        <v>528</v>
      </c>
      <c r="J3" s="15" t="s">
        <v>15991</v>
      </c>
    </row>
    <row r="4" spans="2:10">
      <c r="B4" s="15" t="s">
        <v>16658</v>
      </c>
      <c r="C4" s="15" t="s">
        <v>16659</v>
      </c>
      <c r="D4" s="15" t="s">
        <v>316</v>
      </c>
      <c r="E4" s="15" t="s">
        <v>305</v>
      </c>
      <c r="F4" s="15" t="s">
        <v>16660</v>
      </c>
      <c r="G4" s="15"/>
      <c r="H4" s="15"/>
      <c r="I4" s="15" t="s">
        <v>528</v>
      </c>
      <c r="J4" s="15" t="s">
        <v>15991</v>
      </c>
    </row>
    <row r="5" spans="2:10">
      <c r="B5" s="15" t="s">
        <v>16658</v>
      </c>
      <c r="C5" s="15" t="s">
        <v>16661</v>
      </c>
      <c r="D5" s="15" t="s">
        <v>316</v>
      </c>
      <c r="E5" s="15" t="s">
        <v>305</v>
      </c>
      <c r="F5" s="15" t="s">
        <v>16662</v>
      </c>
      <c r="G5" s="15"/>
      <c r="H5" s="15"/>
      <c r="I5" s="15" t="s">
        <v>528</v>
      </c>
      <c r="J5" s="15" t="s">
        <v>15991</v>
      </c>
    </row>
    <row r="6" spans="2:10">
      <c r="B6" s="15" t="s">
        <v>16658</v>
      </c>
      <c r="C6" s="15" t="s">
        <v>16663</v>
      </c>
      <c r="D6" s="15" t="s">
        <v>327</v>
      </c>
      <c r="E6" s="15" t="s">
        <v>305</v>
      </c>
      <c r="F6" s="15" t="s">
        <v>16664</v>
      </c>
      <c r="G6" s="15"/>
      <c r="H6" s="15"/>
      <c r="I6" s="15" t="s">
        <v>528</v>
      </c>
      <c r="J6" s="15" t="s">
        <v>15991</v>
      </c>
    </row>
    <row r="7" spans="2:10">
      <c r="B7" s="15" t="s">
        <v>16658</v>
      </c>
      <c r="C7" s="15" t="s">
        <v>16665</v>
      </c>
      <c r="D7" s="15" t="s">
        <v>16115</v>
      </c>
      <c r="E7" s="15" t="s">
        <v>305</v>
      </c>
      <c r="F7" s="15" t="s">
        <v>16666</v>
      </c>
      <c r="G7" s="15"/>
      <c r="H7" s="15"/>
      <c r="I7" s="15" t="s">
        <v>528</v>
      </c>
      <c r="J7" s="15" t="s">
        <v>15991</v>
      </c>
    </row>
  </sheetData>
  <pageMargins left="0.75" right="0.75" top="1" bottom="1" header="0.5" footer="0.5"/>
  <pageSetup paperSize="1" orientation="portrait" horizontalDpi="300" verticalDpi="300"/>
  <headerFooter alignWithMargins="0" scaleWithDoc="0"/>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4"/>
  <sheetViews>
    <sheetView zoomScaleSheetLayoutView="60" workbookViewId="0">
      <selection activeCell="A1" sqref="A1"/>
    </sheetView>
  </sheetViews>
  <sheetFormatPr defaultColWidth="9.14285714285714" defaultRowHeight="15.2" outlineLevelRow="3"/>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52" t="str">
        <f>HYPERLINK("#表结构清单!A1","返回")</f>
        <v>返回</v>
      </c>
      <c r="B1" t="s">
        <v>58</v>
      </c>
    </row>
    <row r="2" spans="2:10">
      <c r="B2" s="13" t="s">
        <v>15982</v>
      </c>
      <c r="C2" s="13" t="s">
        <v>297</v>
      </c>
      <c r="D2" s="13" t="s">
        <v>11870</v>
      </c>
      <c r="E2" s="13" t="s">
        <v>15983</v>
      </c>
      <c r="F2" s="13" t="s">
        <v>15984</v>
      </c>
      <c r="G2" s="13" t="s">
        <v>300</v>
      </c>
      <c r="H2" s="13" t="s">
        <v>301</v>
      </c>
      <c r="I2" s="13" t="s">
        <v>15985</v>
      </c>
      <c r="J2" s="13" t="s">
        <v>15986</v>
      </c>
    </row>
    <row r="3" spans="2:10">
      <c r="B3" s="15" t="s">
        <v>16667</v>
      </c>
      <c r="C3" s="15" t="s">
        <v>16668</v>
      </c>
      <c r="D3" s="15" t="s">
        <v>316</v>
      </c>
      <c r="E3" s="15" t="s">
        <v>15989</v>
      </c>
      <c r="F3" s="15" t="s">
        <v>16669</v>
      </c>
      <c r="G3" s="15"/>
      <c r="H3" s="15"/>
      <c r="I3" s="15" t="s">
        <v>528</v>
      </c>
      <c r="J3" s="15" t="s">
        <v>15991</v>
      </c>
    </row>
    <row r="4" spans="2:10">
      <c r="B4" s="15" t="s">
        <v>16667</v>
      </c>
      <c r="C4" s="15" t="s">
        <v>16561</v>
      </c>
      <c r="D4" s="15" t="s">
        <v>316</v>
      </c>
      <c r="E4" s="15" t="s">
        <v>15989</v>
      </c>
      <c r="F4" s="15" t="s">
        <v>16562</v>
      </c>
      <c r="G4" s="15"/>
      <c r="H4" s="15"/>
      <c r="I4" s="15" t="s">
        <v>528</v>
      </c>
      <c r="J4" s="15" t="s">
        <v>15991</v>
      </c>
    </row>
  </sheetData>
  <pageMargins left="0.75" right="0.75" top="1" bottom="1" header="0.5" footer="0.5"/>
  <pageSetup paperSize="1" orientation="portrait" horizontalDpi="300" verticalDpi="300"/>
  <headerFooter alignWithMargins="0" scaleWithDoc="0"/>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4"/>
  <sheetViews>
    <sheetView zoomScaleSheetLayoutView="60" workbookViewId="0">
      <selection activeCell="A1" sqref="A1"/>
    </sheetView>
  </sheetViews>
  <sheetFormatPr defaultColWidth="9.14285714285714" defaultRowHeight="15.2" outlineLevelRow="3"/>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52" t="str">
        <f>HYPERLINK("#表结构清单!A1","返回")</f>
        <v>返回</v>
      </c>
      <c r="B1" t="s">
        <v>59</v>
      </c>
    </row>
    <row r="2" spans="2:10">
      <c r="B2" s="13" t="s">
        <v>15982</v>
      </c>
      <c r="C2" s="13" t="s">
        <v>297</v>
      </c>
      <c r="D2" s="13" t="s">
        <v>11870</v>
      </c>
      <c r="E2" s="13" t="s">
        <v>15983</v>
      </c>
      <c r="F2" s="13" t="s">
        <v>15984</v>
      </c>
      <c r="G2" s="13" t="s">
        <v>300</v>
      </c>
      <c r="H2" s="13" t="s">
        <v>301</v>
      </c>
      <c r="I2" s="13" t="s">
        <v>15985</v>
      </c>
      <c r="J2" s="13" t="s">
        <v>15986</v>
      </c>
    </row>
    <row r="3" spans="2:10">
      <c r="B3" s="15" t="s">
        <v>16670</v>
      </c>
      <c r="C3" s="15" t="s">
        <v>16671</v>
      </c>
      <c r="D3" s="15" t="s">
        <v>316</v>
      </c>
      <c r="E3" s="15" t="s">
        <v>15989</v>
      </c>
      <c r="F3" s="15" t="s">
        <v>16672</v>
      </c>
      <c r="G3" s="15"/>
      <c r="H3" s="15"/>
      <c r="I3" s="15" t="s">
        <v>528</v>
      </c>
      <c r="J3" s="15" t="s">
        <v>15991</v>
      </c>
    </row>
    <row r="4" spans="2:10">
      <c r="B4" s="15" t="s">
        <v>16670</v>
      </c>
      <c r="C4" s="15" t="s">
        <v>16489</v>
      </c>
      <c r="D4" s="15" t="s">
        <v>316</v>
      </c>
      <c r="E4" s="15" t="s">
        <v>15989</v>
      </c>
      <c r="F4" s="15" t="s">
        <v>16673</v>
      </c>
      <c r="G4" s="15"/>
      <c r="H4" s="15"/>
      <c r="I4" s="15" t="s">
        <v>528</v>
      </c>
      <c r="J4" s="15" t="s">
        <v>15991</v>
      </c>
    </row>
  </sheetData>
  <pageMargins left="0.75" right="0.75" top="1" bottom="1" header="0.5" footer="0.5"/>
  <pageSetup paperSize="1" orientation="portrait" horizontalDpi="300" verticalDpi="300"/>
  <headerFooter alignWithMargins="0" scaleWithDoc="0"/>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4"/>
  <sheetViews>
    <sheetView zoomScaleSheetLayoutView="60" workbookViewId="0">
      <selection activeCell="A1" sqref="A1"/>
    </sheetView>
  </sheetViews>
  <sheetFormatPr defaultColWidth="9.14285714285714" defaultRowHeight="15.2" outlineLevelRow="3"/>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52" t="str">
        <f>HYPERLINK("#表结构清单!A1","返回")</f>
        <v>返回</v>
      </c>
      <c r="B1" t="s">
        <v>16674</v>
      </c>
    </row>
    <row r="2" spans="2:10">
      <c r="B2" s="13" t="s">
        <v>15982</v>
      </c>
      <c r="C2" s="13" t="s">
        <v>297</v>
      </c>
      <c r="D2" s="13" t="s">
        <v>11870</v>
      </c>
      <c r="E2" s="13" t="s">
        <v>15983</v>
      </c>
      <c r="F2" s="13" t="s">
        <v>15984</v>
      </c>
      <c r="G2" s="13" t="s">
        <v>300</v>
      </c>
      <c r="H2" s="13" t="s">
        <v>301</v>
      </c>
      <c r="I2" s="13" t="s">
        <v>15985</v>
      </c>
      <c r="J2" s="13" t="s">
        <v>15986</v>
      </c>
    </row>
    <row r="3" spans="2:10">
      <c r="B3" s="15" t="s">
        <v>16675</v>
      </c>
      <c r="C3" s="15" t="s">
        <v>16671</v>
      </c>
      <c r="D3" s="15" t="s">
        <v>316</v>
      </c>
      <c r="E3" s="15" t="s">
        <v>15989</v>
      </c>
      <c r="F3" s="15" t="s">
        <v>16672</v>
      </c>
      <c r="G3" s="15"/>
      <c r="H3" s="15"/>
      <c r="I3" s="15" t="s">
        <v>528</v>
      </c>
      <c r="J3" s="15" t="s">
        <v>15991</v>
      </c>
    </row>
    <row r="4" spans="2:10">
      <c r="B4" s="15" t="s">
        <v>16675</v>
      </c>
      <c r="C4" s="15" t="s">
        <v>16561</v>
      </c>
      <c r="D4" s="15" t="s">
        <v>316</v>
      </c>
      <c r="E4" s="15" t="s">
        <v>15989</v>
      </c>
      <c r="F4" s="15" t="s">
        <v>16562</v>
      </c>
      <c r="G4" s="15"/>
      <c r="H4" s="15"/>
      <c r="I4" s="15" t="s">
        <v>528</v>
      </c>
      <c r="J4" s="15" t="s">
        <v>15991</v>
      </c>
    </row>
  </sheetData>
  <pageMargins left="0.75" right="0.75" top="1" bottom="1" header="0.5" footer="0.5"/>
  <pageSetup paperSize="1" orientation="portrait" horizontalDpi="300" verticalDpi="300"/>
  <headerFooter alignWithMargins="0" scaleWithDoc="0"/>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0"/>
  <sheetViews>
    <sheetView zoomScaleSheetLayoutView="60" workbookViewId="0">
      <selection activeCell="A1" sqref="A1"/>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52" t="str">
        <f>HYPERLINK("#表结构清单!A1","返回")</f>
        <v>返回</v>
      </c>
      <c r="B1" t="s">
        <v>61</v>
      </c>
    </row>
    <row r="2" spans="2:10">
      <c r="B2" s="13" t="s">
        <v>15982</v>
      </c>
      <c r="C2" s="13" t="s">
        <v>297</v>
      </c>
      <c r="D2" s="13" t="s">
        <v>11870</v>
      </c>
      <c r="E2" s="13" t="s">
        <v>15983</v>
      </c>
      <c r="F2" s="13" t="s">
        <v>15984</v>
      </c>
      <c r="G2" s="13" t="s">
        <v>300</v>
      </c>
      <c r="H2" s="13" t="s">
        <v>301</v>
      </c>
      <c r="I2" s="13" t="s">
        <v>15985</v>
      </c>
      <c r="J2" s="13" t="s">
        <v>15986</v>
      </c>
    </row>
    <row r="3" spans="2:10">
      <c r="B3" s="15" t="s">
        <v>16676</v>
      </c>
      <c r="C3" s="15" t="s">
        <v>16671</v>
      </c>
      <c r="D3" s="15" t="s">
        <v>316</v>
      </c>
      <c r="E3" s="15" t="s">
        <v>15989</v>
      </c>
      <c r="F3" s="15" t="s">
        <v>16672</v>
      </c>
      <c r="G3" s="15"/>
      <c r="H3" s="15"/>
      <c r="I3" s="15" t="s">
        <v>528</v>
      </c>
      <c r="J3" s="15" t="s">
        <v>15991</v>
      </c>
    </row>
    <row r="4" spans="2:10">
      <c r="B4" s="15" t="s">
        <v>16676</v>
      </c>
      <c r="C4" s="15" t="s">
        <v>16668</v>
      </c>
      <c r="D4" s="15" t="s">
        <v>316</v>
      </c>
      <c r="E4" s="15" t="s">
        <v>15989</v>
      </c>
      <c r="F4" s="15" t="s">
        <v>16669</v>
      </c>
      <c r="G4" s="15"/>
      <c r="H4" s="15"/>
      <c r="I4" s="15" t="s">
        <v>528</v>
      </c>
      <c r="J4" s="15" t="s">
        <v>15991</v>
      </c>
    </row>
    <row r="5" spans="2:10">
      <c r="B5" s="15" t="s">
        <v>16676</v>
      </c>
      <c r="C5" s="15" t="s">
        <v>16086</v>
      </c>
      <c r="D5" s="15" t="s">
        <v>327</v>
      </c>
      <c r="E5" s="15" t="s">
        <v>305</v>
      </c>
      <c r="F5" s="15" t="s">
        <v>301</v>
      </c>
      <c r="G5" s="15"/>
      <c r="H5" s="15"/>
      <c r="I5" s="15" t="s">
        <v>528</v>
      </c>
      <c r="J5" s="15" t="s">
        <v>15991</v>
      </c>
    </row>
    <row r="6" spans="2:10">
      <c r="B6" s="15" t="s">
        <v>16676</v>
      </c>
      <c r="C6" s="15" t="s">
        <v>16241</v>
      </c>
      <c r="D6" s="15" t="s">
        <v>316</v>
      </c>
      <c r="E6" s="15" t="s">
        <v>305</v>
      </c>
      <c r="F6" s="15" t="s">
        <v>16010</v>
      </c>
      <c r="G6" s="15"/>
      <c r="H6" s="15"/>
      <c r="I6" s="15" t="s">
        <v>528</v>
      </c>
      <c r="J6" s="15" t="s">
        <v>15991</v>
      </c>
    </row>
    <row r="7" spans="2:10">
      <c r="B7" s="15" t="s">
        <v>16676</v>
      </c>
      <c r="C7" s="15" t="s">
        <v>16053</v>
      </c>
      <c r="D7" s="15" t="s">
        <v>316</v>
      </c>
      <c r="E7" s="15" t="s">
        <v>305</v>
      </c>
      <c r="F7" s="15" t="s">
        <v>16012</v>
      </c>
      <c r="G7" s="15"/>
      <c r="H7" s="15"/>
      <c r="I7" s="15" t="s">
        <v>528</v>
      </c>
      <c r="J7" s="15" t="s">
        <v>15991</v>
      </c>
    </row>
    <row r="8" spans="2:10">
      <c r="B8" s="15" t="s">
        <v>16676</v>
      </c>
      <c r="C8" s="15" t="s">
        <v>16237</v>
      </c>
      <c r="D8" s="15" t="s">
        <v>371</v>
      </c>
      <c r="E8" s="15" t="s">
        <v>305</v>
      </c>
      <c r="F8" s="15" t="s">
        <v>16274</v>
      </c>
      <c r="G8" s="15"/>
      <c r="H8" s="15"/>
      <c r="I8" s="15" t="s">
        <v>528</v>
      </c>
      <c r="J8" s="15" t="s">
        <v>15991</v>
      </c>
    </row>
    <row r="9" spans="2:10">
      <c r="B9" s="15" t="s">
        <v>16676</v>
      </c>
      <c r="C9" s="15" t="s">
        <v>16243</v>
      </c>
      <c r="D9" s="15" t="s">
        <v>316</v>
      </c>
      <c r="E9" s="15" t="s">
        <v>305</v>
      </c>
      <c r="F9" s="15" t="s">
        <v>16018</v>
      </c>
      <c r="G9" s="15"/>
      <c r="H9" s="15"/>
      <c r="I9" s="15" t="s">
        <v>528</v>
      </c>
      <c r="J9" s="15" t="s">
        <v>15991</v>
      </c>
    </row>
    <row r="10" spans="2:10">
      <c r="B10" s="15" t="s">
        <v>16676</v>
      </c>
      <c r="C10" s="15" t="s">
        <v>16239</v>
      </c>
      <c r="D10" s="15" t="s">
        <v>371</v>
      </c>
      <c r="E10" s="15" t="s">
        <v>305</v>
      </c>
      <c r="F10" s="15" t="s">
        <v>16236</v>
      </c>
      <c r="G10" s="15"/>
      <c r="H10" s="15"/>
      <c r="I10" s="15" t="s">
        <v>528</v>
      </c>
      <c r="J10" s="15" t="s">
        <v>15991</v>
      </c>
    </row>
  </sheetData>
  <pageMargins left="0.75" right="0.75" top="1" bottom="1" header="0.5" footer="0.5"/>
  <pageSetup paperSize="1" orientation="portrait" horizontalDpi="300" verticalDpi="300"/>
  <headerFooter alignWithMargins="0" scaleWithDoc="0"/>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0"/>
  <sheetViews>
    <sheetView zoomScaleSheetLayoutView="60" workbookViewId="0">
      <selection activeCell="A1" sqref="A1"/>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52" t="str">
        <f>HYPERLINK("#表结构清单!A1","返回")</f>
        <v>返回</v>
      </c>
      <c r="B1" t="s">
        <v>16677</v>
      </c>
    </row>
    <row r="2" spans="2:10">
      <c r="B2" s="13" t="s">
        <v>15982</v>
      </c>
      <c r="C2" s="13" t="s">
        <v>297</v>
      </c>
      <c r="D2" s="13" t="s">
        <v>11870</v>
      </c>
      <c r="E2" s="13" t="s">
        <v>15983</v>
      </c>
      <c r="F2" s="13" t="s">
        <v>15984</v>
      </c>
      <c r="G2" s="13" t="s">
        <v>300</v>
      </c>
      <c r="H2" s="13" t="s">
        <v>301</v>
      </c>
      <c r="I2" s="13" t="s">
        <v>15985</v>
      </c>
      <c r="J2" s="13" t="s">
        <v>15986</v>
      </c>
    </row>
    <row r="3" spans="2:10">
      <c r="B3" s="15" t="s">
        <v>16678</v>
      </c>
      <c r="C3" s="15" t="s">
        <v>16671</v>
      </c>
      <c r="D3" s="15" t="s">
        <v>316</v>
      </c>
      <c r="E3" s="15" t="s">
        <v>15989</v>
      </c>
      <c r="F3" s="15" t="s">
        <v>16672</v>
      </c>
      <c r="G3" s="15"/>
      <c r="H3" s="15"/>
      <c r="I3" s="15" t="s">
        <v>528</v>
      </c>
      <c r="J3" s="15" t="s">
        <v>15991</v>
      </c>
    </row>
    <row r="4" spans="2:10">
      <c r="B4" s="15" t="s">
        <v>16678</v>
      </c>
      <c r="C4" s="15" t="s">
        <v>16508</v>
      </c>
      <c r="D4" s="15" t="s">
        <v>327</v>
      </c>
      <c r="E4" s="15" t="s">
        <v>15989</v>
      </c>
      <c r="F4" s="15" t="s">
        <v>16567</v>
      </c>
      <c r="G4" s="15"/>
      <c r="H4" s="15"/>
      <c r="I4" s="15" t="s">
        <v>528</v>
      </c>
      <c r="J4" s="15" t="s">
        <v>15991</v>
      </c>
    </row>
    <row r="5" spans="2:10">
      <c r="B5" s="15" t="s">
        <v>16678</v>
      </c>
      <c r="C5" s="15" t="s">
        <v>16009</v>
      </c>
      <c r="D5" s="15" t="s">
        <v>316</v>
      </c>
      <c r="E5" s="15" t="s">
        <v>305</v>
      </c>
      <c r="F5" s="15" t="s">
        <v>16010</v>
      </c>
      <c r="G5" s="15"/>
      <c r="H5" s="15"/>
      <c r="I5" s="15" t="s">
        <v>528</v>
      </c>
      <c r="J5" s="15" t="s">
        <v>15991</v>
      </c>
    </row>
    <row r="6" spans="2:10">
      <c r="B6" s="15" t="s">
        <v>16678</v>
      </c>
      <c r="C6" s="15" t="s">
        <v>16011</v>
      </c>
      <c r="D6" s="15" t="s">
        <v>316</v>
      </c>
      <c r="E6" s="15" t="s">
        <v>305</v>
      </c>
      <c r="F6" s="15" t="s">
        <v>16012</v>
      </c>
      <c r="G6" s="15"/>
      <c r="H6" s="15"/>
      <c r="I6" s="15" t="s">
        <v>528</v>
      </c>
      <c r="J6" s="15" t="s">
        <v>15991</v>
      </c>
    </row>
    <row r="7" spans="2:10">
      <c r="B7" s="15" t="s">
        <v>16678</v>
      </c>
      <c r="C7" s="15" t="s">
        <v>16013</v>
      </c>
      <c r="D7" s="15" t="s">
        <v>371</v>
      </c>
      <c r="E7" s="15" t="s">
        <v>305</v>
      </c>
      <c r="F7" s="15" t="s">
        <v>16014</v>
      </c>
      <c r="G7" s="15"/>
      <c r="H7" s="15"/>
      <c r="I7" s="15" t="s">
        <v>528</v>
      </c>
      <c r="J7" s="15" t="s">
        <v>15991</v>
      </c>
    </row>
    <row r="8" spans="2:10">
      <c r="B8" s="15" t="s">
        <v>16678</v>
      </c>
      <c r="C8" s="15" t="s">
        <v>16015</v>
      </c>
      <c r="D8" s="15" t="s">
        <v>316</v>
      </c>
      <c r="E8" s="15" t="s">
        <v>305</v>
      </c>
      <c r="F8" s="15" t="s">
        <v>16016</v>
      </c>
      <c r="G8" s="15"/>
      <c r="H8" s="15"/>
      <c r="I8" s="15" t="s">
        <v>528</v>
      </c>
      <c r="J8" s="15" t="s">
        <v>15991</v>
      </c>
    </row>
    <row r="9" spans="2:10">
      <c r="B9" s="15" t="s">
        <v>16678</v>
      </c>
      <c r="C9" s="15" t="s">
        <v>16017</v>
      </c>
      <c r="D9" s="15" t="s">
        <v>316</v>
      </c>
      <c r="E9" s="15" t="s">
        <v>305</v>
      </c>
      <c r="F9" s="15" t="s">
        <v>16018</v>
      </c>
      <c r="G9" s="15"/>
      <c r="H9" s="15"/>
      <c r="I9" s="15" t="s">
        <v>528</v>
      </c>
      <c r="J9" s="15" t="s">
        <v>15991</v>
      </c>
    </row>
    <row r="10" spans="2:10">
      <c r="B10" s="15" t="s">
        <v>16678</v>
      </c>
      <c r="C10" s="15" t="s">
        <v>16019</v>
      </c>
      <c r="D10" s="15" t="s">
        <v>371</v>
      </c>
      <c r="E10" s="15" t="s">
        <v>305</v>
      </c>
      <c r="F10" s="15" t="s">
        <v>16020</v>
      </c>
      <c r="G10" s="15"/>
      <c r="H10" s="15"/>
      <c r="I10" s="15" t="s">
        <v>528</v>
      </c>
      <c r="J10" s="15" t="s">
        <v>15991</v>
      </c>
    </row>
  </sheetData>
  <pageMargins left="0.75" right="0.75" top="1" bottom="1" header="0.5" footer="0.5"/>
  <pageSetup paperSize="1" orientation="portrait" horizontalDpi="300" verticalDpi="300"/>
  <headerFooter alignWithMargins="0" scaleWithDoc="0"/>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7"/>
  <sheetViews>
    <sheetView zoomScaleSheetLayoutView="60" workbookViewId="0">
      <selection activeCell="D27" sqref="D27"/>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52" t="str">
        <f>HYPERLINK("#表结构清单!A1","返回")</f>
        <v>返回</v>
      </c>
      <c r="B1" t="s">
        <v>63</v>
      </c>
    </row>
    <row r="2" spans="2:10">
      <c r="B2" s="13" t="s">
        <v>15982</v>
      </c>
      <c r="C2" s="13" t="s">
        <v>297</v>
      </c>
      <c r="D2" s="13" t="s">
        <v>11870</v>
      </c>
      <c r="E2" s="13" t="s">
        <v>15983</v>
      </c>
      <c r="F2" s="13" t="s">
        <v>15984</v>
      </c>
      <c r="G2" s="13" t="s">
        <v>300</v>
      </c>
      <c r="H2" s="13" t="s">
        <v>301</v>
      </c>
      <c r="I2" s="13" t="s">
        <v>15985</v>
      </c>
      <c r="J2" s="13" t="s">
        <v>15986</v>
      </c>
    </row>
    <row r="3" spans="2:10">
      <c r="B3" s="15" t="s">
        <v>16679</v>
      </c>
      <c r="C3" s="15" t="s">
        <v>16680</v>
      </c>
      <c r="D3" s="15" t="s">
        <v>316</v>
      </c>
      <c r="E3" s="15" t="s">
        <v>15989</v>
      </c>
      <c r="F3" s="15" t="s">
        <v>16681</v>
      </c>
      <c r="G3" s="15"/>
      <c r="H3" s="15"/>
      <c r="I3" s="15" t="s">
        <v>528</v>
      </c>
      <c r="J3" s="15" t="s">
        <v>15991</v>
      </c>
    </row>
    <row r="4" spans="2:10">
      <c r="B4" s="15" t="s">
        <v>16679</v>
      </c>
      <c r="C4" s="15" t="s">
        <v>16682</v>
      </c>
      <c r="D4" s="15" t="s">
        <v>367</v>
      </c>
      <c r="E4" s="15" t="s">
        <v>15989</v>
      </c>
      <c r="F4" s="15" t="s">
        <v>16683</v>
      </c>
      <c r="G4" s="15"/>
      <c r="H4" s="15"/>
      <c r="I4" s="15" t="s">
        <v>528</v>
      </c>
      <c r="J4" s="15" t="s">
        <v>15991</v>
      </c>
    </row>
    <row r="5" spans="2:10">
      <c r="B5" s="15" t="s">
        <v>16679</v>
      </c>
      <c r="C5" s="15" t="s">
        <v>16325</v>
      </c>
      <c r="D5" s="15" t="s">
        <v>316</v>
      </c>
      <c r="E5" s="15" t="s">
        <v>305</v>
      </c>
      <c r="F5" s="15" t="s">
        <v>16326</v>
      </c>
      <c r="G5" s="15"/>
      <c r="H5" s="15"/>
      <c r="I5" s="15" t="s">
        <v>528</v>
      </c>
      <c r="J5" s="15" t="s">
        <v>15991</v>
      </c>
    </row>
    <row r="6" spans="2:10">
      <c r="B6" s="15" t="s">
        <v>16679</v>
      </c>
      <c r="C6" s="15" t="s">
        <v>16255</v>
      </c>
      <c r="D6" s="15" t="s">
        <v>321</v>
      </c>
      <c r="E6" s="15" t="s">
        <v>15989</v>
      </c>
      <c r="F6" s="15" t="s">
        <v>16299</v>
      </c>
      <c r="G6" s="15"/>
      <c r="H6" s="15"/>
      <c r="I6" s="15" t="s">
        <v>528</v>
      </c>
      <c r="J6" s="15" t="s">
        <v>15991</v>
      </c>
    </row>
    <row r="7" spans="2:10">
      <c r="B7" s="15" t="s">
        <v>16679</v>
      </c>
      <c r="C7" s="15" t="s">
        <v>16684</v>
      </c>
      <c r="D7" s="15" t="s">
        <v>321</v>
      </c>
      <c r="E7" s="15" t="s">
        <v>305</v>
      </c>
      <c r="F7" s="15" t="s">
        <v>16685</v>
      </c>
      <c r="G7" s="15"/>
      <c r="H7" s="15"/>
      <c r="I7" s="15" t="s">
        <v>528</v>
      </c>
      <c r="J7" s="15" t="s">
        <v>15991</v>
      </c>
    </row>
    <row r="8" spans="2:10">
      <c r="B8" s="15" t="s">
        <v>16679</v>
      </c>
      <c r="C8" s="15" t="s">
        <v>16686</v>
      </c>
      <c r="D8" s="15" t="s">
        <v>367</v>
      </c>
      <c r="E8" s="15" t="s">
        <v>15989</v>
      </c>
      <c r="F8" s="15" t="s">
        <v>16687</v>
      </c>
      <c r="G8" s="15"/>
      <c r="H8" s="15"/>
      <c r="I8" s="15" t="s">
        <v>528</v>
      </c>
      <c r="J8" s="15" t="s">
        <v>15991</v>
      </c>
    </row>
    <row r="9" spans="2:10">
      <c r="B9" s="15" t="s">
        <v>16679</v>
      </c>
      <c r="C9" s="15" t="s">
        <v>16688</v>
      </c>
      <c r="D9" s="15" t="s">
        <v>506</v>
      </c>
      <c r="E9" s="15" t="s">
        <v>305</v>
      </c>
      <c r="F9" s="15" t="s">
        <v>16689</v>
      </c>
      <c r="G9" s="15"/>
      <c r="H9" s="15"/>
      <c r="I9" s="15" t="s">
        <v>528</v>
      </c>
      <c r="J9" s="15" t="s">
        <v>15991</v>
      </c>
    </row>
    <row r="10" spans="2:10">
      <c r="B10" s="15" t="s">
        <v>16679</v>
      </c>
      <c r="C10" s="15" t="s">
        <v>16086</v>
      </c>
      <c r="D10" s="15" t="s">
        <v>327</v>
      </c>
      <c r="E10" s="15" t="s">
        <v>305</v>
      </c>
      <c r="F10" s="15" t="s">
        <v>301</v>
      </c>
      <c r="G10" s="15"/>
      <c r="H10" s="15"/>
      <c r="I10" s="15" t="s">
        <v>528</v>
      </c>
      <c r="J10" s="15" t="s">
        <v>15991</v>
      </c>
    </row>
    <row r="11" spans="2:10">
      <c r="B11" s="15" t="s">
        <v>16679</v>
      </c>
      <c r="C11" s="15" t="s">
        <v>16009</v>
      </c>
      <c r="D11" s="15" t="s">
        <v>506</v>
      </c>
      <c r="E11" s="15" t="s">
        <v>305</v>
      </c>
      <c r="F11" s="15" t="s">
        <v>16010</v>
      </c>
      <c r="G11" s="15"/>
      <c r="H11" s="15"/>
      <c r="I11" s="15" t="s">
        <v>528</v>
      </c>
      <c r="J11" s="15" t="s">
        <v>15991</v>
      </c>
    </row>
    <row r="12" spans="2:10">
      <c r="B12" s="15" t="s">
        <v>16679</v>
      </c>
      <c r="C12" s="15" t="s">
        <v>16011</v>
      </c>
      <c r="D12" s="15" t="s">
        <v>506</v>
      </c>
      <c r="E12" s="15" t="s">
        <v>305</v>
      </c>
      <c r="F12" s="15" t="s">
        <v>16012</v>
      </c>
      <c r="G12" s="15"/>
      <c r="H12" s="15"/>
      <c r="I12" s="15" t="s">
        <v>528</v>
      </c>
      <c r="J12" s="15" t="s">
        <v>15991</v>
      </c>
    </row>
    <row r="13" spans="2:10">
      <c r="B13" s="15" t="s">
        <v>16679</v>
      </c>
      <c r="C13" s="15" t="s">
        <v>16013</v>
      </c>
      <c r="D13" s="15" t="s">
        <v>371</v>
      </c>
      <c r="E13" s="15" t="s">
        <v>305</v>
      </c>
      <c r="F13" s="15" t="s">
        <v>16014</v>
      </c>
      <c r="G13" s="15"/>
      <c r="H13" s="15"/>
      <c r="I13" s="15" t="s">
        <v>528</v>
      </c>
      <c r="J13" s="15" t="s">
        <v>15991</v>
      </c>
    </row>
    <row r="14" spans="2:10">
      <c r="B14" s="15" t="s">
        <v>16679</v>
      </c>
      <c r="C14" s="15" t="s">
        <v>16015</v>
      </c>
      <c r="D14" s="15" t="s">
        <v>506</v>
      </c>
      <c r="E14" s="15" t="s">
        <v>305</v>
      </c>
      <c r="F14" s="15" t="s">
        <v>16016</v>
      </c>
      <c r="G14" s="15"/>
      <c r="H14" s="15"/>
      <c r="I14" s="15" t="s">
        <v>528</v>
      </c>
      <c r="J14" s="15" t="s">
        <v>15991</v>
      </c>
    </row>
    <row r="15" spans="2:10">
      <c r="B15" s="15" t="s">
        <v>16679</v>
      </c>
      <c r="C15" s="15" t="s">
        <v>16017</v>
      </c>
      <c r="D15" s="15" t="s">
        <v>506</v>
      </c>
      <c r="E15" s="15" t="s">
        <v>305</v>
      </c>
      <c r="F15" s="15" t="s">
        <v>16018</v>
      </c>
      <c r="G15" s="15"/>
      <c r="H15" s="15"/>
      <c r="I15" s="15" t="s">
        <v>528</v>
      </c>
      <c r="J15" s="15" t="s">
        <v>15991</v>
      </c>
    </row>
    <row r="16" spans="2:10">
      <c r="B16" s="15" t="s">
        <v>16679</v>
      </c>
      <c r="C16" s="15" t="s">
        <v>16019</v>
      </c>
      <c r="D16" s="15" t="s">
        <v>371</v>
      </c>
      <c r="E16" s="15" t="s">
        <v>305</v>
      </c>
      <c r="F16" s="15" t="s">
        <v>16020</v>
      </c>
      <c r="G16" s="15"/>
      <c r="H16" s="15"/>
      <c r="I16" s="15" t="s">
        <v>528</v>
      </c>
      <c r="J16" s="15" t="s">
        <v>15991</v>
      </c>
    </row>
    <row r="17" spans="2:10">
      <c r="B17" s="15" t="s">
        <v>16679</v>
      </c>
      <c r="C17" s="15" t="s">
        <v>16690</v>
      </c>
      <c r="D17" s="15" t="s">
        <v>16115</v>
      </c>
      <c r="E17" s="15" t="s">
        <v>305</v>
      </c>
      <c r="F17" s="15" t="s">
        <v>16250</v>
      </c>
      <c r="G17" s="15"/>
      <c r="H17" s="15"/>
      <c r="I17" s="15" t="s">
        <v>528</v>
      </c>
      <c r="J17" s="15" t="s">
        <v>15991</v>
      </c>
    </row>
  </sheetData>
  <pageMargins left="0.75" right="0.75" top="1" bottom="1" header="0.5" footer="0.5"/>
  <pageSetup paperSize="1" orientation="portrait" horizontalDpi="300" verticalDpi="300"/>
  <headerFooter alignWithMargins="0" scaleWithDoc="0"/>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8"/>
  <sheetViews>
    <sheetView zoomScaleSheetLayoutView="60" workbookViewId="0">
      <selection activeCell="D29" sqref="D29"/>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52" t="str">
        <f>HYPERLINK("#表结构清单!A1","返回")</f>
        <v>返回</v>
      </c>
      <c r="B1" t="s">
        <v>64</v>
      </c>
    </row>
    <row r="2" spans="2:10">
      <c r="B2" s="13" t="s">
        <v>15982</v>
      </c>
      <c r="C2" s="13" t="s">
        <v>297</v>
      </c>
      <c r="D2" s="13" t="s">
        <v>11870</v>
      </c>
      <c r="E2" s="13" t="s">
        <v>15983</v>
      </c>
      <c r="F2" s="13" t="s">
        <v>15984</v>
      </c>
      <c r="G2" s="13" t="s">
        <v>300</v>
      </c>
      <c r="H2" s="13" t="s">
        <v>301</v>
      </c>
      <c r="I2" s="13" t="s">
        <v>15985</v>
      </c>
      <c r="J2" s="13" t="s">
        <v>15986</v>
      </c>
    </row>
    <row r="3" spans="2:10">
      <c r="B3" s="15" t="s">
        <v>16691</v>
      </c>
      <c r="C3" s="15" t="s">
        <v>630</v>
      </c>
      <c r="D3" s="15" t="s">
        <v>316</v>
      </c>
      <c r="E3" s="15" t="s">
        <v>15989</v>
      </c>
      <c r="F3" s="15" t="s">
        <v>16534</v>
      </c>
      <c r="G3" s="15"/>
      <c r="H3" s="15"/>
      <c r="I3" s="15" t="s">
        <v>528</v>
      </c>
      <c r="J3" s="15" t="s">
        <v>15991</v>
      </c>
    </row>
    <row r="4" spans="2:10">
      <c r="B4" s="15" t="s">
        <v>16691</v>
      </c>
      <c r="C4" s="15" t="s">
        <v>631</v>
      </c>
      <c r="D4" s="15" t="s">
        <v>506</v>
      </c>
      <c r="E4" s="15" t="s">
        <v>15989</v>
      </c>
      <c r="F4" s="15" t="s">
        <v>16535</v>
      </c>
      <c r="G4" s="15"/>
      <c r="H4" s="15"/>
      <c r="I4" s="15" t="s">
        <v>528</v>
      </c>
      <c r="J4" s="15" t="s">
        <v>15991</v>
      </c>
    </row>
    <row r="5" spans="2:10">
      <c r="B5" s="15" t="s">
        <v>16691</v>
      </c>
      <c r="C5" s="15" t="s">
        <v>16692</v>
      </c>
      <c r="D5" s="15" t="s">
        <v>506</v>
      </c>
      <c r="E5" s="15" t="s">
        <v>305</v>
      </c>
      <c r="F5" s="15" t="s">
        <v>16693</v>
      </c>
      <c r="G5" s="15"/>
      <c r="H5" s="15"/>
      <c r="I5" s="15" t="s">
        <v>528</v>
      </c>
      <c r="J5" s="15" t="s">
        <v>15991</v>
      </c>
    </row>
    <row r="6" spans="2:10">
      <c r="B6" s="15" t="s">
        <v>16691</v>
      </c>
      <c r="C6" s="15" t="s">
        <v>16694</v>
      </c>
      <c r="D6" s="15" t="s">
        <v>327</v>
      </c>
      <c r="E6" s="15" t="s">
        <v>305</v>
      </c>
      <c r="F6" s="15" t="s">
        <v>16695</v>
      </c>
      <c r="G6" s="15"/>
      <c r="H6" s="15"/>
      <c r="I6" s="15" t="s">
        <v>528</v>
      </c>
      <c r="J6" s="15" t="s">
        <v>15991</v>
      </c>
    </row>
    <row r="7" spans="2:10">
      <c r="B7" s="15" t="s">
        <v>16691</v>
      </c>
      <c r="C7" s="15" t="s">
        <v>16696</v>
      </c>
      <c r="D7" s="15" t="s">
        <v>367</v>
      </c>
      <c r="E7" s="15" t="s">
        <v>305</v>
      </c>
      <c r="F7" s="15" t="s">
        <v>16697</v>
      </c>
      <c r="G7" s="15"/>
      <c r="H7" s="15"/>
      <c r="I7" s="15" t="s">
        <v>528</v>
      </c>
      <c r="J7" s="15" t="s">
        <v>15991</v>
      </c>
    </row>
    <row r="8" spans="2:10">
      <c r="B8" s="15" t="s">
        <v>16691</v>
      </c>
      <c r="C8" s="15" t="s">
        <v>16698</v>
      </c>
      <c r="D8" s="15" t="s">
        <v>506</v>
      </c>
      <c r="E8" s="15" t="s">
        <v>305</v>
      </c>
      <c r="F8" s="15" t="s">
        <v>16699</v>
      </c>
      <c r="G8" s="15"/>
      <c r="H8" s="15"/>
      <c r="I8" s="15" t="s">
        <v>528</v>
      </c>
      <c r="J8" s="15" t="s">
        <v>15991</v>
      </c>
    </row>
    <row r="9" spans="2:10">
      <c r="B9" s="15" t="s">
        <v>16691</v>
      </c>
      <c r="C9" s="15" t="s">
        <v>16684</v>
      </c>
      <c r="D9" s="15" t="s">
        <v>321</v>
      </c>
      <c r="E9" s="15" t="s">
        <v>305</v>
      </c>
      <c r="F9" s="15" t="s">
        <v>16685</v>
      </c>
      <c r="G9" s="15"/>
      <c r="H9" s="15"/>
      <c r="I9" s="15" t="s">
        <v>528</v>
      </c>
      <c r="J9" s="15" t="s">
        <v>15991</v>
      </c>
    </row>
    <row r="10" spans="2:10">
      <c r="B10" s="15" t="s">
        <v>16691</v>
      </c>
      <c r="C10" s="15" t="s">
        <v>16255</v>
      </c>
      <c r="D10" s="15" t="s">
        <v>321</v>
      </c>
      <c r="E10" s="15" t="s">
        <v>15989</v>
      </c>
      <c r="F10" s="15" t="s">
        <v>16299</v>
      </c>
      <c r="G10" s="15"/>
      <c r="H10" s="15"/>
      <c r="I10" s="15" t="s">
        <v>528</v>
      </c>
      <c r="J10" s="15" t="s">
        <v>15991</v>
      </c>
    </row>
    <row r="11" spans="2:10">
      <c r="B11" s="15" t="s">
        <v>16691</v>
      </c>
      <c r="C11" s="15" t="s">
        <v>16700</v>
      </c>
      <c r="D11" s="15" t="s">
        <v>506</v>
      </c>
      <c r="E11" s="15" t="s">
        <v>15989</v>
      </c>
      <c r="F11" s="15" t="s">
        <v>16701</v>
      </c>
      <c r="G11" s="15"/>
      <c r="H11" s="15"/>
      <c r="I11" s="15" t="s">
        <v>528</v>
      </c>
      <c r="J11" s="15" t="s">
        <v>15991</v>
      </c>
    </row>
    <row r="12" spans="2:10">
      <c r="B12" s="15" t="s">
        <v>16691</v>
      </c>
      <c r="C12" s="15" t="s">
        <v>16086</v>
      </c>
      <c r="D12" s="15" t="s">
        <v>327</v>
      </c>
      <c r="E12" s="15" t="s">
        <v>305</v>
      </c>
      <c r="F12" s="15" t="s">
        <v>301</v>
      </c>
      <c r="G12" s="15"/>
      <c r="H12" s="15"/>
      <c r="I12" s="15" t="s">
        <v>528</v>
      </c>
      <c r="J12" s="15" t="s">
        <v>15991</v>
      </c>
    </row>
    <row r="13" spans="2:10">
      <c r="B13" s="15" t="s">
        <v>16691</v>
      </c>
      <c r="C13" s="15" t="s">
        <v>16009</v>
      </c>
      <c r="D13" s="15" t="s">
        <v>316</v>
      </c>
      <c r="E13" s="15" t="s">
        <v>305</v>
      </c>
      <c r="F13" s="15" t="s">
        <v>16010</v>
      </c>
      <c r="G13" s="15"/>
      <c r="H13" s="15"/>
      <c r="I13" s="15" t="s">
        <v>528</v>
      </c>
      <c r="J13" s="15" t="s">
        <v>15991</v>
      </c>
    </row>
    <row r="14" spans="2:10">
      <c r="B14" s="15" t="s">
        <v>16691</v>
      </c>
      <c r="C14" s="15" t="s">
        <v>16011</v>
      </c>
      <c r="D14" s="15" t="s">
        <v>316</v>
      </c>
      <c r="E14" s="15" t="s">
        <v>305</v>
      </c>
      <c r="F14" s="15" t="s">
        <v>16012</v>
      </c>
      <c r="G14" s="15"/>
      <c r="H14" s="15"/>
      <c r="I14" s="15" t="s">
        <v>528</v>
      </c>
      <c r="J14" s="15" t="s">
        <v>15991</v>
      </c>
    </row>
    <row r="15" spans="2:10">
      <c r="B15" s="15" t="s">
        <v>16691</v>
      </c>
      <c r="C15" s="15" t="s">
        <v>16013</v>
      </c>
      <c r="D15" s="15" t="s">
        <v>371</v>
      </c>
      <c r="E15" s="15" t="s">
        <v>305</v>
      </c>
      <c r="F15" s="15" t="s">
        <v>16014</v>
      </c>
      <c r="G15" s="15"/>
      <c r="H15" s="15"/>
      <c r="I15" s="15" t="s">
        <v>528</v>
      </c>
      <c r="J15" s="15" t="s">
        <v>15991</v>
      </c>
    </row>
    <row r="16" spans="2:10">
      <c r="B16" s="15" t="s">
        <v>16691</v>
      </c>
      <c r="C16" s="15" t="s">
        <v>16015</v>
      </c>
      <c r="D16" s="15" t="s">
        <v>316</v>
      </c>
      <c r="E16" s="15" t="s">
        <v>305</v>
      </c>
      <c r="F16" s="15" t="s">
        <v>16016</v>
      </c>
      <c r="G16" s="15"/>
      <c r="H16" s="15"/>
      <c r="I16" s="15" t="s">
        <v>528</v>
      </c>
      <c r="J16" s="15" t="s">
        <v>15991</v>
      </c>
    </row>
    <row r="17" spans="2:10">
      <c r="B17" s="15" t="s">
        <v>16691</v>
      </c>
      <c r="C17" s="15" t="s">
        <v>16017</v>
      </c>
      <c r="D17" s="15" t="s">
        <v>316</v>
      </c>
      <c r="E17" s="15" t="s">
        <v>305</v>
      </c>
      <c r="F17" s="15" t="s">
        <v>16018</v>
      </c>
      <c r="G17" s="15"/>
      <c r="H17" s="15"/>
      <c r="I17" s="15" t="s">
        <v>528</v>
      </c>
      <c r="J17" s="15" t="s">
        <v>15991</v>
      </c>
    </row>
    <row r="18" spans="2:10">
      <c r="B18" s="15" t="s">
        <v>16691</v>
      </c>
      <c r="C18" s="15" t="s">
        <v>16019</v>
      </c>
      <c r="D18" s="15" t="s">
        <v>371</v>
      </c>
      <c r="E18" s="15" t="s">
        <v>305</v>
      </c>
      <c r="F18" s="15" t="s">
        <v>16020</v>
      </c>
      <c r="G18" s="15"/>
      <c r="H18" s="15"/>
      <c r="I18" s="15" t="s">
        <v>528</v>
      </c>
      <c r="J18" s="15" t="s">
        <v>15991</v>
      </c>
    </row>
  </sheetData>
  <pageMargins left="0.75" right="0.75" top="1" bottom="1" header="0.5" footer="0.5"/>
  <pageSetup paperSize="1" orientation="portrait" horizontalDpi="300" verticalDpi="300"/>
  <headerFooter alignWithMargins="0" scaleWithDoc="0"/>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3"/>
  <sheetViews>
    <sheetView zoomScaleSheetLayoutView="60" workbookViewId="0">
      <selection activeCell="F28" sqref="F28"/>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52" t="str">
        <f>HYPERLINK("#表结构清单!A1","返回")</f>
        <v>返回</v>
      </c>
      <c r="B1" t="s">
        <v>16702</v>
      </c>
    </row>
    <row r="2" spans="2:10">
      <c r="B2" s="13" t="s">
        <v>15982</v>
      </c>
      <c r="C2" s="13" t="s">
        <v>297</v>
      </c>
      <c r="D2" s="13" t="s">
        <v>11870</v>
      </c>
      <c r="E2" s="13" t="s">
        <v>15983</v>
      </c>
      <c r="F2" s="13" t="s">
        <v>15984</v>
      </c>
      <c r="G2" s="13" t="s">
        <v>300</v>
      </c>
      <c r="H2" s="13" t="s">
        <v>301</v>
      </c>
      <c r="I2" s="13" t="s">
        <v>15985</v>
      </c>
      <c r="J2" s="13" t="s">
        <v>15986</v>
      </c>
    </row>
    <row r="3" spans="2:10">
      <c r="B3" s="15" t="s">
        <v>16703</v>
      </c>
      <c r="C3" s="15" t="s">
        <v>15988</v>
      </c>
      <c r="D3" s="15" t="s">
        <v>316</v>
      </c>
      <c r="E3" s="15" t="s">
        <v>15989</v>
      </c>
      <c r="F3" s="15" t="s">
        <v>16704</v>
      </c>
      <c r="G3" s="15"/>
      <c r="H3" s="15"/>
      <c r="I3" s="15" t="s">
        <v>528</v>
      </c>
      <c r="J3" s="15" t="s">
        <v>15991</v>
      </c>
    </row>
    <row r="4" spans="2:10">
      <c r="B4" s="15" t="s">
        <v>16703</v>
      </c>
      <c r="C4" s="15" t="s">
        <v>16705</v>
      </c>
      <c r="D4" s="15" t="s">
        <v>367</v>
      </c>
      <c r="E4" s="15" t="s">
        <v>305</v>
      </c>
      <c r="F4" s="15" t="s">
        <v>16706</v>
      </c>
      <c r="G4" s="15"/>
      <c r="H4" s="15"/>
      <c r="I4" s="15" t="s">
        <v>528</v>
      </c>
      <c r="J4" s="15" t="s">
        <v>15991</v>
      </c>
    </row>
    <row r="5" spans="2:10">
      <c r="B5" s="15" t="s">
        <v>16703</v>
      </c>
      <c r="C5" s="15" t="s">
        <v>16707</v>
      </c>
      <c r="D5" s="15" t="s">
        <v>327</v>
      </c>
      <c r="E5" s="15" t="s">
        <v>305</v>
      </c>
      <c r="F5" s="15" t="s">
        <v>16708</v>
      </c>
      <c r="G5" s="15"/>
      <c r="H5" s="15"/>
      <c r="I5" s="15" t="s">
        <v>528</v>
      </c>
      <c r="J5" s="15" t="s">
        <v>15991</v>
      </c>
    </row>
    <row r="6" spans="2:10">
      <c r="B6" s="15" t="s">
        <v>16703</v>
      </c>
      <c r="C6" s="15" t="s">
        <v>16709</v>
      </c>
      <c r="D6" s="15" t="s">
        <v>316</v>
      </c>
      <c r="E6" s="15" t="s">
        <v>305</v>
      </c>
      <c r="F6" s="15" t="s">
        <v>16710</v>
      </c>
      <c r="G6" s="15"/>
      <c r="H6" s="15"/>
      <c r="I6" s="15" t="s">
        <v>528</v>
      </c>
      <c r="J6" s="15" t="s">
        <v>15991</v>
      </c>
    </row>
    <row r="7" spans="2:10">
      <c r="B7" s="15" t="s">
        <v>16703</v>
      </c>
      <c r="C7" s="15" t="s">
        <v>16711</v>
      </c>
      <c r="D7" s="15" t="s">
        <v>316</v>
      </c>
      <c r="E7" s="15" t="s">
        <v>305</v>
      </c>
      <c r="F7" s="15" t="s">
        <v>16712</v>
      </c>
      <c r="G7" s="15"/>
      <c r="H7" s="15"/>
      <c r="I7" s="15" t="s">
        <v>528</v>
      </c>
      <c r="J7" s="15" t="s">
        <v>15991</v>
      </c>
    </row>
    <row r="8" spans="2:10">
      <c r="B8" s="15" t="s">
        <v>16703</v>
      </c>
      <c r="C8" s="15" t="s">
        <v>16713</v>
      </c>
      <c r="D8" s="15" t="s">
        <v>316</v>
      </c>
      <c r="E8" s="15" t="s">
        <v>305</v>
      </c>
      <c r="F8" s="15" t="s">
        <v>16714</v>
      </c>
      <c r="G8" s="15"/>
      <c r="H8" s="15"/>
      <c r="I8" s="15" t="s">
        <v>528</v>
      </c>
      <c r="J8" s="15" t="s">
        <v>15991</v>
      </c>
    </row>
    <row r="9" spans="2:10">
      <c r="B9" s="15" t="s">
        <v>16703</v>
      </c>
      <c r="C9" s="15" t="s">
        <v>16715</v>
      </c>
      <c r="D9" s="15" t="s">
        <v>316</v>
      </c>
      <c r="E9" s="15" t="s">
        <v>305</v>
      </c>
      <c r="F9" s="15" t="s">
        <v>16716</v>
      </c>
      <c r="G9" s="15"/>
      <c r="H9" s="15"/>
      <c r="I9" s="15" t="s">
        <v>528</v>
      </c>
      <c r="J9" s="15" t="s">
        <v>15991</v>
      </c>
    </row>
    <row r="10" spans="2:10">
      <c r="B10" s="15" t="s">
        <v>16703</v>
      </c>
      <c r="C10" s="15" t="s">
        <v>16717</v>
      </c>
      <c r="D10" s="15" t="s">
        <v>316</v>
      </c>
      <c r="E10" s="15" t="s">
        <v>305</v>
      </c>
      <c r="F10" s="15" t="s">
        <v>16718</v>
      </c>
      <c r="G10" s="15"/>
      <c r="H10" s="15"/>
      <c r="I10" s="15" t="s">
        <v>528</v>
      </c>
      <c r="J10" s="15" t="s">
        <v>15991</v>
      </c>
    </row>
    <row r="11" spans="2:10">
      <c r="B11" s="15" t="s">
        <v>16703</v>
      </c>
      <c r="C11" s="15" t="s">
        <v>16719</v>
      </c>
      <c r="D11" s="15" t="s">
        <v>16072</v>
      </c>
      <c r="E11" s="15" t="s">
        <v>305</v>
      </c>
      <c r="F11" s="53" t="s">
        <v>16720</v>
      </c>
      <c r="G11" s="15"/>
      <c r="H11" s="15"/>
      <c r="I11" s="15" t="s">
        <v>528</v>
      </c>
      <c r="J11" s="15" t="s">
        <v>15991</v>
      </c>
    </row>
    <row r="12" spans="2:10">
      <c r="B12" s="15" t="s">
        <v>16703</v>
      </c>
      <c r="C12" s="15" t="s">
        <v>16721</v>
      </c>
      <c r="D12" s="15" t="s">
        <v>367</v>
      </c>
      <c r="E12" s="15" t="s">
        <v>305</v>
      </c>
      <c r="F12" s="15" t="s">
        <v>16722</v>
      </c>
      <c r="G12" s="15"/>
      <c r="H12" s="15"/>
      <c r="I12" s="15" t="s">
        <v>528</v>
      </c>
      <c r="J12" s="15" t="s">
        <v>15991</v>
      </c>
    </row>
    <row r="13" spans="2:10">
      <c r="B13" s="15" t="s">
        <v>16703</v>
      </c>
      <c r="C13" s="15" t="s">
        <v>16723</v>
      </c>
      <c r="D13" s="15" t="s">
        <v>327</v>
      </c>
      <c r="E13" s="15" t="s">
        <v>305</v>
      </c>
      <c r="F13" s="15" t="s">
        <v>16724</v>
      </c>
      <c r="G13" s="15"/>
      <c r="H13" s="15"/>
      <c r="I13" s="15" t="s">
        <v>528</v>
      </c>
      <c r="J13" s="15" t="s">
        <v>15991</v>
      </c>
    </row>
    <row r="14" spans="2:10">
      <c r="B14" s="15" t="s">
        <v>16703</v>
      </c>
      <c r="C14" s="15" t="s">
        <v>16725</v>
      </c>
      <c r="D14" s="15" t="s">
        <v>316</v>
      </c>
      <c r="E14" s="15" t="s">
        <v>305</v>
      </c>
      <c r="F14" s="15" t="s">
        <v>16726</v>
      </c>
      <c r="G14" s="15"/>
      <c r="H14" s="15"/>
      <c r="I14" s="15" t="s">
        <v>528</v>
      </c>
      <c r="J14" s="15" t="s">
        <v>15991</v>
      </c>
    </row>
    <row r="15" spans="2:10">
      <c r="B15" s="15" t="s">
        <v>16703</v>
      </c>
      <c r="C15" s="15" t="s">
        <v>16470</v>
      </c>
      <c r="D15" s="15" t="s">
        <v>506</v>
      </c>
      <c r="E15" s="15" t="s">
        <v>305</v>
      </c>
      <c r="F15" s="15" t="s">
        <v>16727</v>
      </c>
      <c r="G15" s="15"/>
      <c r="H15" s="15"/>
      <c r="I15" s="15" t="s">
        <v>528</v>
      </c>
      <c r="J15" s="15" t="s">
        <v>15991</v>
      </c>
    </row>
    <row r="16" spans="2:10">
      <c r="B16" s="15" t="s">
        <v>16703</v>
      </c>
      <c r="C16" s="15" t="s">
        <v>16013</v>
      </c>
      <c r="D16" s="15" t="s">
        <v>316</v>
      </c>
      <c r="E16" s="15" t="s">
        <v>305</v>
      </c>
      <c r="F16" s="15" t="s">
        <v>16014</v>
      </c>
      <c r="G16" s="15"/>
      <c r="H16" s="15"/>
      <c r="I16" s="15" t="s">
        <v>528</v>
      </c>
      <c r="J16" s="15" t="s">
        <v>15991</v>
      </c>
    </row>
    <row r="17" spans="2:10">
      <c r="B17" s="15" t="s">
        <v>16703</v>
      </c>
      <c r="C17" s="15" t="s">
        <v>16053</v>
      </c>
      <c r="D17" s="15" t="s">
        <v>316</v>
      </c>
      <c r="E17" s="15" t="s">
        <v>305</v>
      </c>
      <c r="F17" s="15" t="s">
        <v>16012</v>
      </c>
      <c r="G17" s="15"/>
      <c r="H17" s="15"/>
      <c r="I17" s="15" t="s">
        <v>528</v>
      </c>
      <c r="J17" s="15" t="s">
        <v>15991</v>
      </c>
    </row>
    <row r="18" spans="2:10">
      <c r="B18" s="15" t="s">
        <v>16703</v>
      </c>
      <c r="C18" s="15" t="s">
        <v>16019</v>
      </c>
      <c r="D18" s="15" t="s">
        <v>316</v>
      </c>
      <c r="E18" s="15" t="s">
        <v>305</v>
      </c>
      <c r="F18" s="15" t="s">
        <v>16020</v>
      </c>
      <c r="G18" s="15"/>
      <c r="H18" s="15"/>
      <c r="I18" s="15" t="s">
        <v>528</v>
      </c>
      <c r="J18" s="15" t="s">
        <v>15991</v>
      </c>
    </row>
    <row r="19" spans="2:10">
      <c r="B19" s="15" t="s">
        <v>16703</v>
      </c>
      <c r="C19" s="15" t="s">
        <v>16243</v>
      </c>
      <c r="D19" s="15" t="s">
        <v>316</v>
      </c>
      <c r="E19" s="15" t="s">
        <v>305</v>
      </c>
      <c r="F19" s="15" t="s">
        <v>16018</v>
      </c>
      <c r="G19" s="15"/>
      <c r="H19" s="15"/>
      <c r="I19" s="15" t="s">
        <v>528</v>
      </c>
      <c r="J19" s="15" t="s">
        <v>15991</v>
      </c>
    </row>
    <row r="20" spans="2:10">
      <c r="B20" s="15" t="s">
        <v>16703</v>
      </c>
      <c r="C20" s="15" t="s">
        <v>16728</v>
      </c>
      <c r="D20" s="15" t="s">
        <v>16056</v>
      </c>
      <c r="E20" s="15" t="s">
        <v>305</v>
      </c>
      <c r="F20" s="15" t="s">
        <v>16729</v>
      </c>
      <c r="G20" s="15"/>
      <c r="H20" s="15"/>
      <c r="I20" s="15" t="s">
        <v>528</v>
      </c>
      <c r="J20" s="15" t="s">
        <v>15991</v>
      </c>
    </row>
    <row r="21" spans="2:10">
      <c r="B21" s="15" t="s">
        <v>16703</v>
      </c>
      <c r="C21" s="15" t="s">
        <v>16730</v>
      </c>
      <c r="D21" s="15" t="s">
        <v>321</v>
      </c>
      <c r="E21" s="15" t="s">
        <v>305</v>
      </c>
      <c r="F21" s="15" t="s">
        <v>16731</v>
      </c>
      <c r="G21" s="15"/>
      <c r="H21" s="15"/>
      <c r="I21" s="15" t="s">
        <v>528</v>
      </c>
      <c r="J21" s="15" t="s">
        <v>15991</v>
      </c>
    </row>
    <row r="22" spans="2:10">
      <c r="B22" s="15" t="s">
        <v>16703</v>
      </c>
      <c r="C22" s="15" t="s">
        <v>16732</v>
      </c>
      <c r="D22" s="15" t="s">
        <v>367</v>
      </c>
      <c r="E22" s="15" t="s">
        <v>305</v>
      </c>
      <c r="F22" s="15" t="s">
        <v>16733</v>
      </c>
      <c r="G22" s="15"/>
      <c r="H22" s="15"/>
      <c r="I22" s="15" t="s">
        <v>528</v>
      </c>
      <c r="J22" s="15" t="s">
        <v>15991</v>
      </c>
    </row>
    <row r="23" spans="2:10">
      <c r="B23" s="15" t="s">
        <v>16703</v>
      </c>
      <c r="C23" s="15" t="s">
        <v>16734</v>
      </c>
      <c r="D23" s="15" t="s">
        <v>16115</v>
      </c>
      <c r="E23" s="15" t="s">
        <v>305</v>
      </c>
      <c r="F23" s="15" t="s">
        <v>16735</v>
      </c>
      <c r="G23" s="15"/>
      <c r="H23" s="15"/>
      <c r="I23" s="15" t="s">
        <v>528</v>
      </c>
      <c r="J23" s="15" t="s">
        <v>15991</v>
      </c>
    </row>
  </sheetData>
  <pageMargins left="0.75" right="0.75" top="1" bottom="1" header="0.5" footer="0.5"/>
  <pageSetup paperSize="1" orientation="portrait" horizontalDpi="300" verticalDpi="300"/>
  <headerFooter alignWithMargins="0" scaleWithDoc="0"/>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9"/>
  <sheetViews>
    <sheetView zoomScaleSheetLayoutView="60" workbookViewId="0">
      <selection activeCell="F9" sqref="F9"/>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52" t="str">
        <f>HYPERLINK("#表结构清单!A1","返回")</f>
        <v>返回</v>
      </c>
      <c r="B1" t="s">
        <v>66</v>
      </c>
    </row>
    <row r="2" spans="2:10">
      <c r="B2" s="13" t="s">
        <v>15982</v>
      </c>
      <c r="C2" s="13" t="s">
        <v>297</v>
      </c>
      <c r="D2" s="13" t="s">
        <v>11870</v>
      </c>
      <c r="E2" s="13" t="s">
        <v>15983</v>
      </c>
      <c r="F2" s="13" t="s">
        <v>15984</v>
      </c>
      <c r="G2" s="13" t="s">
        <v>300</v>
      </c>
      <c r="H2" s="13" t="s">
        <v>301</v>
      </c>
      <c r="I2" s="13" t="s">
        <v>15985</v>
      </c>
      <c r="J2" s="13" t="s">
        <v>15986</v>
      </c>
    </row>
    <row r="3" spans="2:10">
      <c r="B3" s="15" t="s">
        <v>16736</v>
      </c>
      <c r="C3" s="15" t="s">
        <v>16737</v>
      </c>
      <c r="D3" s="15" t="s">
        <v>316</v>
      </c>
      <c r="E3" s="15" t="s">
        <v>15989</v>
      </c>
      <c r="F3" s="15" t="s">
        <v>16704</v>
      </c>
      <c r="G3" s="15"/>
      <c r="H3" s="15"/>
      <c r="I3" s="15" t="s">
        <v>528</v>
      </c>
      <c r="J3" s="15" t="s">
        <v>15991</v>
      </c>
    </row>
    <row r="4" spans="2:10">
      <c r="B4" s="15" t="s">
        <v>16736</v>
      </c>
      <c r="C4" s="15" t="s">
        <v>16579</v>
      </c>
      <c r="D4" s="15" t="s">
        <v>316</v>
      </c>
      <c r="E4" s="15" t="s">
        <v>305</v>
      </c>
      <c r="F4" s="15" t="s">
        <v>16738</v>
      </c>
      <c r="G4" s="15"/>
      <c r="H4" s="15"/>
      <c r="I4" s="15" t="s">
        <v>528</v>
      </c>
      <c r="J4" s="15" t="s">
        <v>15991</v>
      </c>
    </row>
    <row r="5" spans="2:10">
      <c r="B5" s="15" t="s">
        <v>16736</v>
      </c>
      <c r="C5" s="15" t="s">
        <v>16739</v>
      </c>
      <c r="D5" s="15" t="s">
        <v>316</v>
      </c>
      <c r="E5" s="15" t="s">
        <v>305</v>
      </c>
      <c r="F5" s="15" t="s">
        <v>16740</v>
      </c>
      <c r="G5" s="15"/>
      <c r="H5" s="15"/>
      <c r="I5" s="15" t="s">
        <v>528</v>
      </c>
      <c r="J5" s="15" t="s">
        <v>15991</v>
      </c>
    </row>
    <row r="6" spans="2:10">
      <c r="B6" s="15" t="s">
        <v>16736</v>
      </c>
      <c r="C6" s="15" t="s">
        <v>16728</v>
      </c>
      <c r="D6" s="15" t="s">
        <v>316</v>
      </c>
      <c r="E6" s="15" t="s">
        <v>305</v>
      </c>
      <c r="F6" s="15" t="s">
        <v>16741</v>
      </c>
      <c r="G6" s="15"/>
      <c r="H6" s="15"/>
      <c r="I6" s="15" t="s">
        <v>528</v>
      </c>
      <c r="J6" s="15" t="s">
        <v>15991</v>
      </c>
    </row>
    <row r="7" spans="2:10">
      <c r="B7" s="15" t="s">
        <v>16736</v>
      </c>
      <c r="C7" s="15" t="s">
        <v>16742</v>
      </c>
      <c r="D7" s="15" t="s">
        <v>316</v>
      </c>
      <c r="E7" s="15" t="s">
        <v>305</v>
      </c>
      <c r="F7" s="15" t="s">
        <v>16743</v>
      </c>
      <c r="G7" s="15"/>
      <c r="H7" s="15"/>
      <c r="I7" s="15" t="s">
        <v>528</v>
      </c>
      <c r="J7" s="15" t="s">
        <v>15991</v>
      </c>
    </row>
    <row r="8" spans="2:10">
      <c r="B8" s="15" t="s">
        <v>16736</v>
      </c>
      <c r="C8" s="15" t="s">
        <v>16239</v>
      </c>
      <c r="D8" s="15" t="s">
        <v>316</v>
      </c>
      <c r="E8" s="15" t="s">
        <v>305</v>
      </c>
      <c r="F8" s="15" t="s">
        <v>16236</v>
      </c>
      <c r="G8" s="15"/>
      <c r="H8" s="15"/>
      <c r="I8" s="15" t="s">
        <v>528</v>
      </c>
      <c r="J8" s="15" t="s">
        <v>15991</v>
      </c>
    </row>
    <row r="9" spans="2:10">
      <c r="B9" s="15" t="s">
        <v>16736</v>
      </c>
      <c r="C9" s="15" t="s">
        <v>16744</v>
      </c>
      <c r="D9" s="15" t="s">
        <v>16072</v>
      </c>
      <c r="E9" s="15" t="s">
        <v>305</v>
      </c>
      <c r="F9" s="53" t="s">
        <v>16745</v>
      </c>
      <c r="G9" s="15"/>
      <c r="H9" s="15"/>
      <c r="I9" s="15" t="s">
        <v>528</v>
      </c>
      <c r="J9" s="15" t="s">
        <v>15991</v>
      </c>
    </row>
  </sheetData>
  <pageMargins left="0.75" right="0.75" top="1" bottom="1" header="0.5" footer="0.5"/>
  <pageSetup paperSize="1" orientation="portrait" horizontalDpi="300" verticalDpi="300"/>
  <headerFooter alignWithMargins="0" scaleWithDoc="0"/>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1"/>
  <sheetViews>
    <sheetView zoomScaleSheetLayoutView="60" workbookViewId="0">
      <selection activeCell="D17" sqref="D17"/>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52" t="str">
        <f>HYPERLINK("#表结构清单!A1","返回")</f>
        <v>返回</v>
      </c>
      <c r="B1" t="s">
        <v>67</v>
      </c>
    </row>
    <row r="2" spans="2:10">
      <c r="B2" s="13" t="s">
        <v>15982</v>
      </c>
      <c r="C2" s="13" t="s">
        <v>297</v>
      </c>
      <c r="D2" s="13" t="s">
        <v>11870</v>
      </c>
      <c r="E2" s="13" t="s">
        <v>15983</v>
      </c>
      <c r="F2" s="13" t="s">
        <v>15984</v>
      </c>
      <c r="G2" s="13" t="s">
        <v>300</v>
      </c>
      <c r="H2" s="13" t="s">
        <v>301</v>
      </c>
      <c r="I2" s="13" t="s">
        <v>15985</v>
      </c>
      <c r="J2" s="13" t="s">
        <v>15986</v>
      </c>
    </row>
    <row r="3" spans="2:10">
      <c r="B3" s="15" t="s">
        <v>16746</v>
      </c>
      <c r="C3" s="15" t="s">
        <v>16747</v>
      </c>
      <c r="D3" s="15" t="s">
        <v>316</v>
      </c>
      <c r="E3" s="15" t="s">
        <v>15989</v>
      </c>
      <c r="F3" s="15" t="s">
        <v>16748</v>
      </c>
      <c r="G3" s="15"/>
      <c r="H3" s="15"/>
      <c r="I3" s="15" t="s">
        <v>528</v>
      </c>
      <c r="J3" s="15" t="s">
        <v>15991</v>
      </c>
    </row>
    <row r="4" spans="2:10">
      <c r="B4" s="15" t="s">
        <v>16746</v>
      </c>
      <c r="C4" s="15" t="s">
        <v>16749</v>
      </c>
      <c r="D4" s="15" t="s">
        <v>506</v>
      </c>
      <c r="E4" s="15" t="s">
        <v>305</v>
      </c>
      <c r="F4" s="15" t="s">
        <v>16750</v>
      </c>
      <c r="G4" s="15"/>
      <c r="H4" s="15"/>
      <c r="I4" s="15" t="s">
        <v>528</v>
      </c>
      <c r="J4" s="15" t="s">
        <v>15991</v>
      </c>
    </row>
    <row r="5" spans="2:10">
      <c r="B5" s="15" t="s">
        <v>16746</v>
      </c>
      <c r="C5" s="15" t="s">
        <v>16086</v>
      </c>
      <c r="D5" s="15" t="s">
        <v>327</v>
      </c>
      <c r="E5" s="15" t="s">
        <v>305</v>
      </c>
      <c r="F5" s="15" t="s">
        <v>301</v>
      </c>
      <c r="G5" s="15"/>
      <c r="H5" s="15"/>
      <c r="I5" s="15" t="s">
        <v>528</v>
      </c>
      <c r="J5" s="15" t="s">
        <v>15991</v>
      </c>
    </row>
    <row r="6" spans="2:10">
      <c r="B6" s="15" t="s">
        <v>16746</v>
      </c>
      <c r="C6" s="15" t="s">
        <v>16053</v>
      </c>
      <c r="D6" s="15" t="s">
        <v>316</v>
      </c>
      <c r="E6" s="15" t="s">
        <v>305</v>
      </c>
      <c r="F6" s="15" t="s">
        <v>16657</v>
      </c>
      <c r="G6" s="15"/>
      <c r="H6" s="15"/>
      <c r="I6" s="15" t="s">
        <v>528</v>
      </c>
      <c r="J6" s="15" t="s">
        <v>15991</v>
      </c>
    </row>
    <row r="7" spans="2:10">
      <c r="B7" s="15" t="s">
        <v>16746</v>
      </c>
      <c r="C7" s="15" t="s">
        <v>16241</v>
      </c>
      <c r="D7" s="15" t="s">
        <v>316</v>
      </c>
      <c r="E7" s="15" t="s">
        <v>305</v>
      </c>
      <c r="F7" s="15" t="s">
        <v>16242</v>
      </c>
      <c r="G7" s="15"/>
      <c r="H7" s="15"/>
      <c r="I7" s="15" t="s">
        <v>528</v>
      </c>
      <c r="J7" s="15" t="s">
        <v>15991</v>
      </c>
    </row>
    <row r="8" spans="2:10">
      <c r="B8" s="15" t="s">
        <v>16746</v>
      </c>
      <c r="C8" s="15" t="s">
        <v>16013</v>
      </c>
      <c r="D8" s="15" t="s">
        <v>371</v>
      </c>
      <c r="E8" s="15" t="s">
        <v>305</v>
      </c>
      <c r="F8" s="15" t="s">
        <v>16583</v>
      </c>
      <c r="G8" s="15"/>
      <c r="H8" s="15"/>
      <c r="I8" s="15" t="s">
        <v>528</v>
      </c>
      <c r="J8" s="15" t="s">
        <v>15991</v>
      </c>
    </row>
    <row r="9" spans="2:10">
      <c r="B9" s="15" t="s">
        <v>16746</v>
      </c>
      <c r="C9" s="15" t="s">
        <v>16243</v>
      </c>
      <c r="D9" s="15" t="s">
        <v>316</v>
      </c>
      <c r="E9" s="15" t="s">
        <v>305</v>
      </c>
      <c r="F9" s="15" t="s">
        <v>16510</v>
      </c>
      <c r="G9" s="15"/>
      <c r="H9" s="15"/>
      <c r="I9" s="15" t="s">
        <v>528</v>
      </c>
      <c r="J9" s="15" t="s">
        <v>15991</v>
      </c>
    </row>
    <row r="10" spans="2:10">
      <c r="B10" s="15" t="s">
        <v>16746</v>
      </c>
      <c r="C10" s="15" t="s">
        <v>16532</v>
      </c>
      <c r="D10" s="15" t="s">
        <v>316</v>
      </c>
      <c r="E10" s="15" t="s">
        <v>305</v>
      </c>
      <c r="F10" s="15" t="s">
        <v>16016</v>
      </c>
      <c r="G10" s="15"/>
      <c r="H10" s="15"/>
      <c r="I10" s="15" t="s">
        <v>528</v>
      </c>
      <c r="J10" s="15" t="s">
        <v>15991</v>
      </c>
    </row>
    <row r="11" spans="2:10">
      <c r="B11" s="15" t="s">
        <v>16746</v>
      </c>
      <c r="C11" s="15" t="s">
        <v>16019</v>
      </c>
      <c r="D11" s="15" t="s">
        <v>371</v>
      </c>
      <c r="E11" s="15" t="s">
        <v>305</v>
      </c>
      <c r="F11" s="15" t="s">
        <v>16020</v>
      </c>
      <c r="G11" s="15"/>
      <c r="H11" s="15"/>
      <c r="I11" s="15" t="s">
        <v>528</v>
      </c>
      <c r="J11" s="15" t="s">
        <v>15991</v>
      </c>
    </row>
  </sheetData>
  <pageMargins left="0.75" right="0.75" top="1" bottom="1" header="0.5" footer="0.5"/>
  <pageSetup paperSize="1" orientation="portrait" horizontalDpi="300" verticalDpi="300"/>
  <headerFooter alignWithMargins="0" scaleWithDoc="0"/>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6"/>
  <sheetViews>
    <sheetView zoomScaleSheetLayoutView="60" workbookViewId="0">
      <selection activeCell="F21" sqref="F21"/>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52" t="str">
        <f>HYPERLINK("#表结构清单!A1","返回")</f>
        <v>返回</v>
      </c>
      <c r="B1" t="s">
        <v>16751</v>
      </c>
    </row>
    <row r="2" spans="2:10">
      <c r="B2" s="13" t="s">
        <v>15982</v>
      </c>
      <c r="C2" s="13" t="s">
        <v>297</v>
      </c>
      <c r="D2" s="13" t="s">
        <v>11870</v>
      </c>
      <c r="E2" s="13" t="s">
        <v>15983</v>
      </c>
      <c r="F2" s="13" t="s">
        <v>15984</v>
      </c>
      <c r="G2" s="13" t="s">
        <v>300</v>
      </c>
      <c r="H2" s="13" t="s">
        <v>301</v>
      </c>
      <c r="I2" s="13" t="s">
        <v>15985</v>
      </c>
      <c r="J2" s="13" t="s">
        <v>15986</v>
      </c>
    </row>
    <row r="3" spans="2:10">
      <c r="B3" s="15" t="s">
        <v>16752</v>
      </c>
      <c r="C3" s="15" t="s">
        <v>16747</v>
      </c>
      <c r="D3" s="15" t="s">
        <v>316</v>
      </c>
      <c r="E3" s="15" t="s">
        <v>15989</v>
      </c>
      <c r="F3" s="15" t="s">
        <v>16748</v>
      </c>
      <c r="G3" s="15"/>
      <c r="H3" s="15"/>
      <c r="I3" s="15" t="s">
        <v>528</v>
      </c>
      <c r="J3" s="15" t="s">
        <v>15991</v>
      </c>
    </row>
    <row r="4" spans="2:10">
      <c r="B4" s="15" t="s">
        <v>16752</v>
      </c>
      <c r="C4" s="15" t="s">
        <v>630</v>
      </c>
      <c r="D4" s="15" t="s">
        <v>506</v>
      </c>
      <c r="E4" s="15" t="s">
        <v>15989</v>
      </c>
      <c r="F4" s="15" t="s">
        <v>16534</v>
      </c>
      <c r="G4" s="15"/>
      <c r="H4" s="15"/>
      <c r="I4" s="15" t="s">
        <v>528</v>
      </c>
      <c r="J4" s="15" t="s">
        <v>15991</v>
      </c>
    </row>
    <row r="5" spans="2:10">
      <c r="B5" s="15" t="s">
        <v>16752</v>
      </c>
      <c r="C5" s="15" t="s">
        <v>631</v>
      </c>
      <c r="D5" s="15" t="s">
        <v>506</v>
      </c>
      <c r="E5" s="15" t="s">
        <v>305</v>
      </c>
      <c r="F5" s="15" t="s">
        <v>16535</v>
      </c>
      <c r="G5" s="15"/>
      <c r="H5" s="15"/>
      <c r="I5" s="15" t="s">
        <v>528</v>
      </c>
      <c r="J5" s="15" t="s">
        <v>15991</v>
      </c>
    </row>
    <row r="6" spans="2:10">
      <c r="B6" s="15" t="s">
        <v>16752</v>
      </c>
      <c r="C6" s="15" t="s">
        <v>16325</v>
      </c>
      <c r="D6" s="15" t="s">
        <v>327</v>
      </c>
      <c r="E6" s="15" t="s">
        <v>305</v>
      </c>
      <c r="F6" s="15" t="s">
        <v>16326</v>
      </c>
      <c r="G6" s="15"/>
      <c r="H6" s="15"/>
      <c r="I6" s="15" t="s">
        <v>528</v>
      </c>
      <c r="J6" s="15" t="s">
        <v>15991</v>
      </c>
    </row>
    <row r="7" spans="2:10">
      <c r="B7" s="15" t="s">
        <v>16752</v>
      </c>
      <c r="C7" s="15" t="s">
        <v>16508</v>
      </c>
      <c r="D7" s="15" t="s">
        <v>327</v>
      </c>
      <c r="E7" s="15" t="s">
        <v>305</v>
      </c>
      <c r="F7" s="15" t="s">
        <v>16753</v>
      </c>
      <c r="G7" s="15"/>
      <c r="H7" s="15"/>
      <c r="I7" s="15" t="s">
        <v>528</v>
      </c>
      <c r="J7" s="15" t="s">
        <v>15991</v>
      </c>
    </row>
    <row r="8" spans="2:10">
      <c r="B8" s="15" t="s">
        <v>16752</v>
      </c>
      <c r="C8" s="15" t="s">
        <v>16754</v>
      </c>
      <c r="D8" s="15" t="s">
        <v>327</v>
      </c>
      <c r="E8" s="15" t="s">
        <v>305</v>
      </c>
      <c r="F8" s="15" t="s">
        <v>16288</v>
      </c>
      <c r="G8" s="15"/>
      <c r="H8" s="15"/>
      <c r="I8" s="15" t="s">
        <v>528</v>
      </c>
      <c r="J8" s="15" t="s">
        <v>15991</v>
      </c>
    </row>
    <row r="9" spans="2:10">
      <c r="B9" s="15" t="s">
        <v>16752</v>
      </c>
      <c r="C9" s="15" t="s">
        <v>16255</v>
      </c>
      <c r="D9" s="15" t="s">
        <v>16072</v>
      </c>
      <c r="E9" s="15" t="s">
        <v>305</v>
      </c>
      <c r="F9" s="53" t="s">
        <v>16492</v>
      </c>
      <c r="G9" s="15"/>
      <c r="H9" s="15"/>
      <c r="I9" s="15" t="s">
        <v>528</v>
      </c>
      <c r="J9" s="15" t="s">
        <v>15991</v>
      </c>
    </row>
    <row r="10" spans="2:10">
      <c r="B10" s="15" t="s">
        <v>16752</v>
      </c>
      <c r="C10" s="15" t="s">
        <v>16086</v>
      </c>
      <c r="D10" s="15" t="s">
        <v>327</v>
      </c>
      <c r="E10" s="15" t="s">
        <v>305</v>
      </c>
      <c r="F10" s="15" t="s">
        <v>301</v>
      </c>
      <c r="G10" s="15"/>
      <c r="H10" s="15"/>
      <c r="I10" s="15" t="s">
        <v>528</v>
      </c>
      <c r="J10" s="15" t="s">
        <v>15991</v>
      </c>
    </row>
    <row r="11" spans="2:10">
      <c r="B11" s="15" t="s">
        <v>16752</v>
      </c>
      <c r="C11" s="15" t="s">
        <v>16241</v>
      </c>
      <c r="D11" s="15" t="s">
        <v>316</v>
      </c>
      <c r="E11" s="15" t="s">
        <v>305</v>
      </c>
      <c r="F11" s="15" t="s">
        <v>16010</v>
      </c>
      <c r="G11" s="15"/>
      <c r="H11" s="15"/>
      <c r="I11" s="15" t="s">
        <v>528</v>
      </c>
      <c r="J11" s="15" t="s">
        <v>15991</v>
      </c>
    </row>
    <row r="12" spans="2:10">
      <c r="B12" s="15" t="s">
        <v>16752</v>
      </c>
      <c r="C12" s="15" t="s">
        <v>16053</v>
      </c>
      <c r="D12" s="15" t="s">
        <v>316</v>
      </c>
      <c r="E12" s="15" t="s">
        <v>305</v>
      </c>
      <c r="F12" s="15" t="s">
        <v>16012</v>
      </c>
      <c r="G12" s="15"/>
      <c r="H12" s="15"/>
      <c r="I12" s="15" t="s">
        <v>528</v>
      </c>
      <c r="J12" s="15" t="s">
        <v>15991</v>
      </c>
    </row>
    <row r="13" spans="2:10">
      <c r="B13" s="15" t="s">
        <v>16752</v>
      </c>
      <c r="C13" s="15" t="s">
        <v>16013</v>
      </c>
      <c r="D13" s="15" t="s">
        <v>371</v>
      </c>
      <c r="E13" s="15" t="s">
        <v>305</v>
      </c>
      <c r="F13" s="15" t="s">
        <v>16014</v>
      </c>
      <c r="G13" s="15"/>
      <c r="H13" s="15"/>
      <c r="I13" s="15" t="s">
        <v>528</v>
      </c>
      <c r="J13" s="15" t="s">
        <v>15991</v>
      </c>
    </row>
    <row r="14" spans="2:10">
      <c r="B14" s="15" t="s">
        <v>16752</v>
      </c>
      <c r="C14" s="15" t="s">
        <v>16532</v>
      </c>
      <c r="D14" s="15" t="s">
        <v>316</v>
      </c>
      <c r="E14" s="15" t="s">
        <v>305</v>
      </c>
      <c r="F14" s="15" t="s">
        <v>16016</v>
      </c>
      <c r="G14" s="15"/>
      <c r="H14" s="15"/>
      <c r="I14" s="15" t="s">
        <v>528</v>
      </c>
      <c r="J14" s="15" t="s">
        <v>15991</v>
      </c>
    </row>
    <row r="15" spans="2:10">
      <c r="B15" s="15" t="s">
        <v>16752</v>
      </c>
      <c r="C15" s="15" t="s">
        <v>16243</v>
      </c>
      <c r="D15" s="15" t="s">
        <v>316</v>
      </c>
      <c r="E15" s="15" t="s">
        <v>305</v>
      </c>
      <c r="F15" s="15" t="s">
        <v>16018</v>
      </c>
      <c r="G15" s="15"/>
      <c r="H15" s="15"/>
      <c r="I15" s="15" t="s">
        <v>528</v>
      </c>
      <c r="J15" s="15" t="s">
        <v>15991</v>
      </c>
    </row>
    <row r="16" spans="2:10">
      <c r="B16" s="15" t="s">
        <v>16752</v>
      </c>
      <c r="C16" s="15" t="s">
        <v>16019</v>
      </c>
      <c r="D16" s="15" t="s">
        <v>371</v>
      </c>
      <c r="E16" s="15" t="s">
        <v>305</v>
      </c>
      <c r="F16" s="15" t="s">
        <v>16020</v>
      </c>
      <c r="G16" s="15"/>
      <c r="H16" s="15"/>
      <c r="I16" s="15" t="s">
        <v>528</v>
      </c>
      <c r="J16" s="15" t="s">
        <v>15991</v>
      </c>
    </row>
  </sheetData>
  <pageMargins left="0.75" right="0.75" top="1" bottom="1" header="0.5" footer="0.5"/>
  <pageSetup paperSize="1" orientation="portrait" horizontalDpi="300" verticalDpi="300"/>
  <headerFooter alignWithMargins="0" scaleWithDoc="0"/>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1"/>
  <sheetViews>
    <sheetView zoomScaleSheetLayoutView="60" workbookViewId="0">
      <selection activeCell="D19" sqref="D19"/>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52" t="str">
        <f>HYPERLINK("#表结构清单!A1","返回")</f>
        <v>返回</v>
      </c>
      <c r="B1" t="s">
        <v>69</v>
      </c>
    </row>
    <row r="2" spans="2:10">
      <c r="B2" s="13" t="s">
        <v>15982</v>
      </c>
      <c r="C2" s="13" t="s">
        <v>297</v>
      </c>
      <c r="D2" s="13" t="s">
        <v>11870</v>
      </c>
      <c r="E2" s="13" t="s">
        <v>15983</v>
      </c>
      <c r="F2" s="13" t="s">
        <v>15984</v>
      </c>
      <c r="G2" s="13" t="s">
        <v>300</v>
      </c>
      <c r="H2" s="13" t="s">
        <v>301</v>
      </c>
      <c r="I2" s="13" t="s">
        <v>15985</v>
      </c>
      <c r="J2" s="13" t="s">
        <v>15986</v>
      </c>
    </row>
    <row r="3" spans="2:10">
      <c r="B3" s="15" t="s">
        <v>16755</v>
      </c>
      <c r="C3" s="15" t="s">
        <v>16747</v>
      </c>
      <c r="D3" s="15" t="s">
        <v>316</v>
      </c>
      <c r="E3" s="15" t="s">
        <v>15989</v>
      </c>
      <c r="F3" s="15" t="s">
        <v>16748</v>
      </c>
      <c r="G3" s="15"/>
      <c r="H3" s="15"/>
      <c r="I3" s="15" t="s">
        <v>528</v>
      </c>
      <c r="J3" s="15" t="s">
        <v>15991</v>
      </c>
    </row>
    <row r="4" spans="2:10">
      <c r="B4" s="15" t="s">
        <v>16755</v>
      </c>
      <c r="C4" s="15" t="s">
        <v>16484</v>
      </c>
      <c r="D4" s="15" t="s">
        <v>316</v>
      </c>
      <c r="E4" s="15" t="s">
        <v>15989</v>
      </c>
      <c r="F4" s="15" t="s">
        <v>16756</v>
      </c>
      <c r="G4" s="15"/>
      <c r="H4" s="15"/>
      <c r="I4" s="15" t="s">
        <v>528</v>
      </c>
      <c r="J4" s="15" t="s">
        <v>15991</v>
      </c>
    </row>
    <row r="5" spans="2:10">
      <c r="B5" s="15" t="s">
        <v>16755</v>
      </c>
      <c r="C5" s="15" t="s">
        <v>16009</v>
      </c>
      <c r="D5" s="15" t="s">
        <v>316</v>
      </c>
      <c r="E5" s="15" t="s">
        <v>305</v>
      </c>
      <c r="F5" s="15" t="s">
        <v>16010</v>
      </c>
      <c r="G5" s="15"/>
      <c r="H5" s="15"/>
      <c r="I5" s="15" t="s">
        <v>528</v>
      </c>
      <c r="J5" s="15" t="s">
        <v>15991</v>
      </c>
    </row>
    <row r="6" spans="2:10">
      <c r="B6" s="15" t="s">
        <v>16755</v>
      </c>
      <c r="C6" s="15" t="s">
        <v>16011</v>
      </c>
      <c r="D6" s="15" t="s">
        <v>316</v>
      </c>
      <c r="E6" s="15" t="s">
        <v>305</v>
      </c>
      <c r="F6" s="15" t="s">
        <v>16012</v>
      </c>
      <c r="G6" s="15"/>
      <c r="H6" s="15"/>
      <c r="I6" s="15" t="s">
        <v>528</v>
      </c>
      <c r="J6" s="15" t="s">
        <v>15991</v>
      </c>
    </row>
    <row r="7" spans="2:10">
      <c r="B7" s="15" t="s">
        <v>16755</v>
      </c>
      <c r="C7" s="15" t="s">
        <v>16013</v>
      </c>
      <c r="D7" s="15" t="s">
        <v>513</v>
      </c>
      <c r="E7" s="15" t="s">
        <v>305</v>
      </c>
      <c r="F7" s="15" t="s">
        <v>16014</v>
      </c>
      <c r="G7" s="15"/>
      <c r="H7" s="15"/>
      <c r="I7" s="15" t="s">
        <v>528</v>
      </c>
      <c r="J7" s="15" t="s">
        <v>15991</v>
      </c>
    </row>
    <row r="8" spans="2:10">
      <c r="B8" s="15" t="s">
        <v>16755</v>
      </c>
      <c r="C8" s="15" t="s">
        <v>16015</v>
      </c>
      <c r="D8" s="15" t="s">
        <v>316</v>
      </c>
      <c r="E8" s="15" t="s">
        <v>305</v>
      </c>
      <c r="F8" s="15" t="s">
        <v>16016</v>
      </c>
      <c r="G8" s="15"/>
      <c r="H8" s="15"/>
      <c r="I8" s="15" t="s">
        <v>528</v>
      </c>
      <c r="J8" s="15" t="s">
        <v>15991</v>
      </c>
    </row>
    <row r="9" spans="2:10">
      <c r="B9" s="15" t="s">
        <v>16755</v>
      </c>
      <c r="C9" s="15" t="s">
        <v>16017</v>
      </c>
      <c r="D9" s="15" t="s">
        <v>316</v>
      </c>
      <c r="E9" s="15" t="s">
        <v>305</v>
      </c>
      <c r="F9" s="15" t="s">
        <v>16018</v>
      </c>
      <c r="G9" s="15"/>
      <c r="H9" s="15"/>
      <c r="I9" s="15" t="s">
        <v>528</v>
      </c>
      <c r="J9" s="15" t="s">
        <v>15991</v>
      </c>
    </row>
    <row r="10" spans="2:10">
      <c r="B10" s="15" t="s">
        <v>16755</v>
      </c>
      <c r="C10" s="15" t="s">
        <v>16019</v>
      </c>
      <c r="D10" s="15" t="s">
        <v>513</v>
      </c>
      <c r="E10" s="15" t="s">
        <v>305</v>
      </c>
      <c r="F10" s="15" t="s">
        <v>16020</v>
      </c>
      <c r="G10" s="15"/>
      <c r="H10" s="15"/>
      <c r="I10" s="15" t="s">
        <v>528</v>
      </c>
      <c r="J10" s="15" t="s">
        <v>15991</v>
      </c>
    </row>
    <row r="11" spans="2:10">
      <c r="B11" s="15" t="s">
        <v>16755</v>
      </c>
      <c r="C11" s="15" t="s">
        <v>16757</v>
      </c>
      <c r="D11" s="15" t="s">
        <v>16115</v>
      </c>
      <c r="E11" s="15" t="s">
        <v>305</v>
      </c>
      <c r="F11" s="15" t="s">
        <v>16758</v>
      </c>
      <c r="G11" s="15"/>
      <c r="H11" s="15"/>
      <c r="I11" s="15" t="s">
        <v>528</v>
      </c>
      <c r="J11" s="15" t="s">
        <v>15991</v>
      </c>
    </row>
  </sheetData>
  <pageMargins left="0.75" right="0.75" top="1" bottom="1" header="0.5" footer="0.5"/>
  <pageSetup paperSize="1" orientation="portrait" horizontalDpi="300" verticalDpi="300"/>
  <headerFooter alignWithMargins="0" scaleWithDoc="0"/>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4"/>
  <sheetViews>
    <sheetView zoomScaleSheetLayoutView="60" workbookViewId="0">
      <selection activeCell="D31" sqref="D31:D32"/>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52" t="str">
        <f>HYPERLINK("#表结构清单!A1","返回")</f>
        <v>返回</v>
      </c>
      <c r="B1" t="s">
        <v>221</v>
      </c>
    </row>
    <row r="2" spans="2:10">
      <c r="B2" s="13" t="s">
        <v>15982</v>
      </c>
      <c r="C2" s="13" t="s">
        <v>297</v>
      </c>
      <c r="D2" s="13" t="s">
        <v>11870</v>
      </c>
      <c r="E2" s="13" t="s">
        <v>15983</v>
      </c>
      <c r="F2" s="13" t="s">
        <v>15984</v>
      </c>
      <c r="G2" s="13" t="s">
        <v>300</v>
      </c>
      <c r="H2" s="13" t="s">
        <v>301</v>
      </c>
      <c r="I2" s="13" t="s">
        <v>15985</v>
      </c>
      <c r="J2" s="13" t="s">
        <v>15986</v>
      </c>
    </row>
    <row r="3" spans="2:10">
      <c r="B3" s="15" t="s">
        <v>16759</v>
      </c>
      <c r="C3" s="15" t="s">
        <v>15988</v>
      </c>
      <c r="D3" s="15" t="s">
        <v>316</v>
      </c>
      <c r="E3" s="15" t="s">
        <v>15989</v>
      </c>
      <c r="F3" s="15" t="s">
        <v>15990</v>
      </c>
      <c r="G3" s="15"/>
      <c r="H3" s="15"/>
      <c r="I3" s="15" t="s">
        <v>528</v>
      </c>
      <c r="J3" s="15" t="s">
        <v>15991</v>
      </c>
    </row>
    <row r="4" spans="2:10">
      <c r="B4" s="15" t="s">
        <v>16759</v>
      </c>
      <c r="C4" s="15" t="s">
        <v>16760</v>
      </c>
      <c r="D4" s="15" t="s">
        <v>506</v>
      </c>
      <c r="E4" s="15" t="s">
        <v>305</v>
      </c>
      <c r="F4" s="15" t="s">
        <v>16761</v>
      </c>
      <c r="G4" s="15"/>
      <c r="H4" s="15"/>
      <c r="I4" s="15" t="s">
        <v>528</v>
      </c>
      <c r="J4" s="15" t="s">
        <v>15991</v>
      </c>
    </row>
    <row r="5" spans="2:10">
      <c r="B5" s="15" t="s">
        <v>16759</v>
      </c>
      <c r="C5" s="15" t="s">
        <v>16483</v>
      </c>
      <c r="D5" s="15" t="s">
        <v>506</v>
      </c>
      <c r="E5" s="15" t="s">
        <v>305</v>
      </c>
      <c r="F5" s="15" t="s">
        <v>9239</v>
      </c>
      <c r="G5" s="15"/>
      <c r="H5" s="15"/>
      <c r="I5" s="15" t="s">
        <v>528</v>
      </c>
      <c r="J5" s="15" t="s">
        <v>15991</v>
      </c>
    </row>
    <row r="6" spans="2:10">
      <c r="B6" s="15" t="s">
        <v>16759</v>
      </c>
      <c r="C6" s="15" t="s">
        <v>16484</v>
      </c>
      <c r="D6" s="15" t="s">
        <v>316</v>
      </c>
      <c r="E6" s="15" t="s">
        <v>305</v>
      </c>
      <c r="F6" s="15" t="s">
        <v>16762</v>
      </c>
      <c r="G6" s="15"/>
      <c r="H6" s="15"/>
      <c r="I6" s="15" t="s">
        <v>528</v>
      </c>
      <c r="J6" s="15" t="s">
        <v>15991</v>
      </c>
    </row>
    <row r="7" spans="2:10">
      <c r="B7" s="15" t="s">
        <v>16759</v>
      </c>
      <c r="C7" s="15" t="s">
        <v>16763</v>
      </c>
      <c r="D7" s="15" t="s">
        <v>327</v>
      </c>
      <c r="E7" s="15" t="s">
        <v>305</v>
      </c>
      <c r="F7" s="15" t="s">
        <v>16764</v>
      </c>
      <c r="G7" s="15"/>
      <c r="H7" s="15"/>
      <c r="I7" s="15" t="s">
        <v>528</v>
      </c>
      <c r="J7" s="15" t="s">
        <v>15991</v>
      </c>
    </row>
    <row r="8" spans="2:10">
      <c r="B8" s="15" t="s">
        <v>16759</v>
      </c>
      <c r="C8" s="15" t="s">
        <v>16237</v>
      </c>
      <c r="D8" s="15" t="s">
        <v>371</v>
      </c>
      <c r="E8" s="15" t="s">
        <v>305</v>
      </c>
      <c r="F8" s="15" t="s">
        <v>16662</v>
      </c>
      <c r="G8" s="15"/>
      <c r="H8" s="15"/>
      <c r="I8" s="15" t="s">
        <v>528</v>
      </c>
      <c r="J8" s="15" t="s">
        <v>15991</v>
      </c>
    </row>
    <row r="9" spans="2:10">
      <c r="B9" s="15" t="s">
        <v>16759</v>
      </c>
      <c r="C9" s="15" t="s">
        <v>16179</v>
      </c>
      <c r="D9" s="15" t="s">
        <v>506</v>
      </c>
      <c r="E9" s="15" t="s">
        <v>305</v>
      </c>
      <c r="F9" s="15" t="s">
        <v>16472</v>
      </c>
      <c r="G9" s="15"/>
      <c r="H9" s="15"/>
      <c r="I9" s="15" t="s">
        <v>528</v>
      </c>
      <c r="J9" s="15" t="s">
        <v>15991</v>
      </c>
    </row>
    <row r="10" spans="2:10">
      <c r="B10" s="15" t="s">
        <v>16759</v>
      </c>
      <c r="C10" s="15" t="s">
        <v>16181</v>
      </c>
      <c r="D10" s="15" t="s">
        <v>506</v>
      </c>
      <c r="E10" s="15" t="s">
        <v>305</v>
      </c>
      <c r="F10" s="15" t="s">
        <v>16473</v>
      </c>
      <c r="G10" s="15"/>
      <c r="H10" s="15"/>
      <c r="I10" s="15" t="s">
        <v>528</v>
      </c>
      <c r="J10" s="15" t="s">
        <v>15991</v>
      </c>
    </row>
    <row r="11" spans="2:10">
      <c r="B11" s="15" t="s">
        <v>16759</v>
      </c>
      <c r="C11" s="15" t="s">
        <v>16183</v>
      </c>
      <c r="D11" s="15" t="s">
        <v>506</v>
      </c>
      <c r="E11" s="15" t="s">
        <v>305</v>
      </c>
      <c r="F11" s="15" t="s">
        <v>16474</v>
      </c>
      <c r="G11" s="15"/>
      <c r="H11" s="15"/>
      <c r="I11" s="15" t="s">
        <v>528</v>
      </c>
      <c r="J11" s="15" t="s">
        <v>15991</v>
      </c>
    </row>
    <row r="12" spans="2:10">
      <c r="B12" s="15" t="s">
        <v>16759</v>
      </c>
      <c r="C12" s="15" t="s">
        <v>16185</v>
      </c>
      <c r="D12" s="15" t="s">
        <v>506</v>
      </c>
      <c r="E12" s="15" t="s">
        <v>305</v>
      </c>
      <c r="F12" s="15" t="s">
        <v>16475</v>
      </c>
      <c r="G12" s="15"/>
      <c r="H12" s="15"/>
      <c r="I12" s="15" t="s">
        <v>528</v>
      </c>
      <c r="J12" s="15" t="s">
        <v>15991</v>
      </c>
    </row>
    <row r="13" spans="2:10">
      <c r="B13" s="15" t="s">
        <v>16759</v>
      </c>
      <c r="C13" s="15" t="s">
        <v>16192</v>
      </c>
      <c r="D13" s="15" t="s">
        <v>506</v>
      </c>
      <c r="E13" s="15" t="s">
        <v>305</v>
      </c>
      <c r="F13" s="15" t="s">
        <v>16476</v>
      </c>
      <c r="G13" s="15"/>
      <c r="H13" s="15"/>
      <c r="I13" s="15" t="s">
        <v>528</v>
      </c>
      <c r="J13" s="15" t="s">
        <v>15991</v>
      </c>
    </row>
    <row r="14" spans="2:10">
      <c r="B14" s="15" t="s">
        <v>16759</v>
      </c>
      <c r="C14" s="15" t="s">
        <v>16187</v>
      </c>
      <c r="D14" s="15" t="s">
        <v>350</v>
      </c>
      <c r="E14" s="15" t="s">
        <v>305</v>
      </c>
      <c r="F14" s="15" t="s">
        <v>16477</v>
      </c>
      <c r="G14" s="15"/>
      <c r="H14" s="15"/>
      <c r="I14" s="15" t="s">
        <v>528</v>
      </c>
      <c r="J14" s="15" t="s">
        <v>15991</v>
      </c>
    </row>
    <row r="15" spans="2:10">
      <c r="B15" s="15" t="s">
        <v>16759</v>
      </c>
      <c r="C15" s="15" t="s">
        <v>16189</v>
      </c>
      <c r="D15" s="15" t="s">
        <v>350</v>
      </c>
      <c r="E15" s="15" t="s">
        <v>305</v>
      </c>
      <c r="F15" s="15" t="s">
        <v>16478</v>
      </c>
      <c r="G15" s="15"/>
      <c r="H15" s="15"/>
      <c r="I15" s="15" t="s">
        <v>528</v>
      </c>
      <c r="J15" s="15" t="s">
        <v>15991</v>
      </c>
    </row>
    <row r="16" spans="2:10">
      <c r="B16" s="15" t="s">
        <v>16759</v>
      </c>
      <c r="C16" s="15" t="s">
        <v>16479</v>
      </c>
      <c r="D16" s="15" t="s">
        <v>350</v>
      </c>
      <c r="E16" s="15" t="s">
        <v>305</v>
      </c>
      <c r="F16" s="15" t="s">
        <v>16480</v>
      </c>
      <c r="G16" s="15"/>
      <c r="H16" s="15"/>
      <c r="I16" s="15" t="s">
        <v>528</v>
      </c>
      <c r="J16" s="15" t="s">
        <v>15991</v>
      </c>
    </row>
    <row r="17" spans="2:10">
      <c r="B17" s="15" t="s">
        <v>16759</v>
      </c>
      <c r="C17" s="15" t="s">
        <v>16765</v>
      </c>
      <c r="D17" s="15" t="s">
        <v>350</v>
      </c>
      <c r="E17" s="15" t="s">
        <v>305</v>
      </c>
      <c r="F17" s="15" t="s">
        <v>16766</v>
      </c>
      <c r="G17" s="15"/>
      <c r="H17" s="15"/>
      <c r="I17" s="15" t="s">
        <v>528</v>
      </c>
      <c r="J17" s="15" t="s">
        <v>15991</v>
      </c>
    </row>
    <row r="18" spans="2:10">
      <c r="B18" s="15" t="s">
        <v>16759</v>
      </c>
      <c r="C18" s="15" t="s">
        <v>16767</v>
      </c>
      <c r="D18" s="15" t="s">
        <v>350</v>
      </c>
      <c r="E18" s="15" t="s">
        <v>305</v>
      </c>
      <c r="F18" s="15" t="s">
        <v>16768</v>
      </c>
      <c r="G18" s="15"/>
      <c r="H18" s="15"/>
      <c r="I18" s="15" t="s">
        <v>528</v>
      </c>
      <c r="J18" s="15" t="s">
        <v>15991</v>
      </c>
    </row>
    <row r="19" spans="2:10">
      <c r="B19" s="15" t="s">
        <v>16759</v>
      </c>
      <c r="C19" s="15" t="s">
        <v>16009</v>
      </c>
      <c r="D19" s="15" t="s">
        <v>316</v>
      </c>
      <c r="E19" s="15" t="s">
        <v>305</v>
      </c>
      <c r="F19" s="15" t="s">
        <v>16010</v>
      </c>
      <c r="G19" s="15"/>
      <c r="H19" s="15"/>
      <c r="I19" s="15" t="s">
        <v>528</v>
      </c>
      <c r="J19" s="15" t="s">
        <v>15991</v>
      </c>
    </row>
    <row r="20" spans="2:10">
      <c r="B20" s="15" t="s">
        <v>16759</v>
      </c>
      <c r="C20" s="15" t="s">
        <v>16011</v>
      </c>
      <c r="D20" s="15" t="s">
        <v>316</v>
      </c>
      <c r="E20" s="15" t="s">
        <v>305</v>
      </c>
      <c r="F20" s="15" t="s">
        <v>16012</v>
      </c>
      <c r="G20" s="15"/>
      <c r="H20" s="15"/>
      <c r="I20" s="15" t="s">
        <v>528</v>
      </c>
      <c r="J20" s="15" t="s">
        <v>15991</v>
      </c>
    </row>
    <row r="21" spans="2:10">
      <c r="B21" s="15" t="s">
        <v>16759</v>
      </c>
      <c r="C21" s="15" t="s">
        <v>16013</v>
      </c>
      <c r="D21" s="15" t="s">
        <v>371</v>
      </c>
      <c r="E21" s="15" t="s">
        <v>305</v>
      </c>
      <c r="F21" s="15" t="s">
        <v>16014</v>
      </c>
      <c r="G21" s="15"/>
      <c r="H21" s="15"/>
      <c r="I21" s="15" t="s">
        <v>528</v>
      </c>
      <c r="J21" s="15" t="s">
        <v>15991</v>
      </c>
    </row>
    <row r="22" spans="2:10">
      <c r="B22" s="15" t="s">
        <v>16759</v>
      </c>
      <c r="C22" s="15" t="s">
        <v>16015</v>
      </c>
      <c r="D22" s="15" t="s">
        <v>316</v>
      </c>
      <c r="E22" s="15" t="s">
        <v>305</v>
      </c>
      <c r="F22" s="15" t="s">
        <v>16016</v>
      </c>
      <c r="G22" s="15"/>
      <c r="H22" s="15"/>
      <c r="I22" s="15" t="s">
        <v>528</v>
      </c>
      <c r="J22" s="15" t="s">
        <v>15991</v>
      </c>
    </row>
    <row r="23" spans="2:10">
      <c r="B23" s="15" t="s">
        <v>16759</v>
      </c>
      <c r="C23" s="15" t="s">
        <v>16017</v>
      </c>
      <c r="D23" s="15" t="s">
        <v>316</v>
      </c>
      <c r="E23" s="15" t="s">
        <v>305</v>
      </c>
      <c r="F23" s="15" t="s">
        <v>16018</v>
      </c>
      <c r="G23" s="15"/>
      <c r="H23" s="15"/>
      <c r="I23" s="15" t="s">
        <v>528</v>
      </c>
      <c r="J23" s="15" t="s">
        <v>15991</v>
      </c>
    </row>
    <row r="24" spans="2:10">
      <c r="B24" s="15" t="s">
        <v>16759</v>
      </c>
      <c r="C24" s="15" t="s">
        <v>16019</v>
      </c>
      <c r="D24" s="15" t="s">
        <v>371</v>
      </c>
      <c r="E24" s="15" t="s">
        <v>305</v>
      </c>
      <c r="F24" s="15" t="s">
        <v>16020</v>
      </c>
      <c r="G24" s="15"/>
      <c r="H24" s="15"/>
      <c r="I24" s="15" t="s">
        <v>528</v>
      </c>
      <c r="J24" s="15" t="s">
        <v>15991</v>
      </c>
    </row>
  </sheetData>
  <pageMargins left="0.75" right="0.75" top="1" bottom="1" header="0.5" footer="0.5"/>
  <pageSetup paperSize="1" orientation="portrait" horizontalDpi="300" verticalDpi="300"/>
  <headerFooter alignWithMargins="0" scaleWithDoc="0"/>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7"/>
  <sheetViews>
    <sheetView zoomScaleSheetLayoutView="60" workbookViewId="0">
      <selection activeCell="A1" sqref="A1"/>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52" t="str">
        <f>HYPERLINK("#表结构清单!A1","返回")</f>
        <v>返回</v>
      </c>
      <c r="B1" t="s">
        <v>223</v>
      </c>
    </row>
    <row r="2" spans="2:10">
      <c r="B2" s="13" t="s">
        <v>15982</v>
      </c>
      <c r="C2" s="13" t="s">
        <v>297</v>
      </c>
      <c r="D2" s="13" t="s">
        <v>11870</v>
      </c>
      <c r="E2" s="13" t="s">
        <v>15983</v>
      </c>
      <c r="F2" s="13" t="s">
        <v>15984</v>
      </c>
      <c r="G2" s="13" t="s">
        <v>300</v>
      </c>
      <c r="H2" s="13" t="s">
        <v>301</v>
      </c>
      <c r="I2" s="13" t="s">
        <v>15985</v>
      </c>
      <c r="J2" s="13" t="s">
        <v>15986</v>
      </c>
    </row>
    <row r="3" spans="2:10">
      <c r="B3" s="15" t="s">
        <v>16769</v>
      </c>
      <c r="C3" s="15" t="s">
        <v>16770</v>
      </c>
      <c r="D3" s="15" t="s">
        <v>513</v>
      </c>
      <c r="E3" s="15" t="s">
        <v>15989</v>
      </c>
      <c r="F3" s="15" t="s">
        <v>16771</v>
      </c>
      <c r="G3" s="15"/>
      <c r="H3" s="15"/>
      <c r="I3" s="15" t="s">
        <v>528</v>
      </c>
      <c r="J3" s="15" t="s">
        <v>15991</v>
      </c>
    </row>
    <row r="4" spans="2:10">
      <c r="B4" s="15" t="s">
        <v>16769</v>
      </c>
      <c r="C4" s="15" t="s">
        <v>16772</v>
      </c>
      <c r="D4" s="15" t="s">
        <v>513</v>
      </c>
      <c r="E4" s="15" t="s">
        <v>305</v>
      </c>
      <c r="F4" s="15" t="s">
        <v>16773</v>
      </c>
      <c r="G4" s="15"/>
      <c r="H4" s="15"/>
      <c r="I4" s="15" t="s">
        <v>528</v>
      </c>
      <c r="J4" s="15" t="s">
        <v>15991</v>
      </c>
    </row>
    <row r="5" spans="2:10">
      <c r="B5" s="15" t="s">
        <v>16769</v>
      </c>
      <c r="C5" s="15" t="s">
        <v>16760</v>
      </c>
      <c r="D5" s="15" t="s">
        <v>506</v>
      </c>
      <c r="E5" s="15" t="s">
        <v>15989</v>
      </c>
      <c r="F5" s="15" t="s">
        <v>16774</v>
      </c>
      <c r="G5" s="15"/>
      <c r="H5" s="15"/>
      <c r="I5" s="15" t="s">
        <v>528</v>
      </c>
      <c r="J5" s="15" t="s">
        <v>15991</v>
      </c>
    </row>
    <row r="6" spans="2:10">
      <c r="B6" s="15" t="s">
        <v>16769</v>
      </c>
      <c r="C6" s="15" t="s">
        <v>16775</v>
      </c>
      <c r="D6" s="15" t="s">
        <v>367</v>
      </c>
      <c r="E6" s="15" t="s">
        <v>305</v>
      </c>
      <c r="F6" s="15" t="s">
        <v>16776</v>
      </c>
      <c r="G6" s="15"/>
      <c r="H6" s="15"/>
      <c r="I6" s="15" t="s">
        <v>528</v>
      </c>
      <c r="J6" s="15" t="s">
        <v>15991</v>
      </c>
    </row>
    <row r="7" spans="2:10">
      <c r="B7" s="15" t="s">
        <v>16769</v>
      </c>
      <c r="C7" s="15" t="s">
        <v>16777</v>
      </c>
      <c r="D7" s="15" t="s">
        <v>506</v>
      </c>
      <c r="E7" s="15" t="s">
        <v>15989</v>
      </c>
      <c r="F7" s="15" t="s">
        <v>16778</v>
      </c>
      <c r="G7" s="15"/>
      <c r="H7" s="15"/>
      <c r="I7" s="15" t="s">
        <v>528</v>
      </c>
      <c r="J7" s="15" t="s">
        <v>15991</v>
      </c>
    </row>
    <row r="8" spans="2:10">
      <c r="B8" s="15" t="s">
        <v>16769</v>
      </c>
      <c r="C8" s="15" t="s">
        <v>16779</v>
      </c>
      <c r="D8" s="15" t="s">
        <v>367</v>
      </c>
      <c r="E8" s="15" t="s">
        <v>305</v>
      </c>
      <c r="F8" s="15" t="s">
        <v>16780</v>
      </c>
      <c r="G8" s="15"/>
      <c r="H8" s="15"/>
      <c r="I8" s="15" t="s">
        <v>528</v>
      </c>
      <c r="J8" s="15" t="s">
        <v>15991</v>
      </c>
    </row>
    <row r="9" spans="2:10">
      <c r="B9" s="15" t="s">
        <v>16769</v>
      </c>
      <c r="C9" s="15" t="s">
        <v>16781</v>
      </c>
      <c r="D9" s="15" t="s">
        <v>316</v>
      </c>
      <c r="E9" s="15" t="s">
        <v>305</v>
      </c>
      <c r="F9" s="15" t="s">
        <v>16662</v>
      </c>
      <c r="G9" s="15"/>
      <c r="H9" s="15"/>
      <c r="I9" s="15" t="s">
        <v>528</v>
      </c>
      <c r="J9" s="15" t="s">
        <v>15991</v>
      </c>
    </row>
    <row r="10" spans="2:10">
      <c r="B10" s="15" t="s">
        <v>16769</v>
      </c>
      <c r="C10" s="15" t="s">
        <v>16782</v>
      </c>
      <c r="D10" s="15" t="s">
        <v>316</v>
      </c>
      <c r="E10" s="15" t="s">
        <v>305</v>
      </c>
      <c r="F10" s="15" t="s">
        <v>16783</v>
      </c>
      <c r="G10" s="15"/>
      <c r="H10" s="15"/>
      <c r="I10" s="15" t="s">
        <v>528</v>
      </c>
      <c r="J10" s="15" t="s">
        <v>15991</v>
      </c>
    </row>
    <row r="11" spans="2:10">
      <c r="B11" s="15" t="s">
        <v>16769</v>
      </c>
      <c r="C11" s="15" t="s">
        <v>16126</v>
      </c>
      <c r="D11" s="15" t="s">
        <v>513</v>
      </c>
      <c r="E11" s="15" t="s">
        <v>305</v>
      </c>
      <c r="F11" s="15" t="s">
        <v>16784</v>
      </c>
      <c r="G11" s="15"/>
      <c r="H11" s="15"/>
      <c r="I11" s="15" t="s">
        <v>528</v>
      </c>
      <c r="J11" s="15" t="s">
        <v>15991</v>
      </c>
    </row>
    <row r="12" spans="2:10">
      <c r="B12" s="15" t="s">
        <v>16769</v>
      </c>
      <c r="C12" s="15" t="s">
        <v>16009</v>
      </c>
      <c r="D12" s="15" t="s">
        <v>316</v>
      </c>
      <c r="E12" s="15" t="s">
        <v>305</v>
      </c>
      <c r="F12" s="15" t="s">
        <v>16010</v>
      </c>
      <c r="G12" s="15"/>
      <c r="H12" s="15"/>
      <c r="I12" s="15" t="s">
        <v>528</v>
      </c>
      <c r="J12" s="15" t="s">
        <v>15991</v>
      </c>
    </row>
    <row r="13" spans="2:10">
      <c r="B13" s="15" t="s">
        <v>16769</v>
      </c>
      <c r="C13" s="15" t="s">
        <v>16011</v>
      </c>
      <c r="D13" s="15" t="s">
        <v>316</v>
      </c>
      <c r="E13" s="15" t="s">
        <v>305</v>
      </c>
      <c r="F13" s="15" t="s">
        <v>16012</v>
      </c>
      <c r="G13" s="15"/>
      <c r="H13" s="15"/>
      <c r="I13" s="15" t="s">
        <v>528</v>
      </c>
      <c r="J13" s="15" t="s">
        <v>15991</v>
      </c>
    </row>
    <row r="14" spans="2:10">
      <c r="B14" s="15" t="s">
        <v>16769</v>
      </c>
      <c r="C14" s="15" t="s">
        <v>16013</v>
      </c>
      <c r="D14" s="15" t="s">
        <v>371</v>
      </c>
      <c r="E14" s="15" t="s">
        <v>305</v>
      </c>
      <c r="F14" s="15" t="s">
        <v>16014</v>
      </c>
      <c r="G14" s="15"/>
      <c r="H14" s="15"/>
      <c r="I14" s="15" t="s">
        <v>528</v>
      </c>
      <c r="J14" s="15" t="s">
        <v>15991</v>
      </c>
    </row>
    <row r="15" spans="2:10">
      <c r="B15" s="15" t="s">
        <v>16769</v>
      </c>
      <c r="C15" s="15" t="s">
        <v>16015</v>
      </c>
      <c r="D15" s="15" t="s">
        <v>316</v>
      </c>
      <c r="E15" s="15" t="s">
        <v>305</v>
      </c>
      <c r="F15" s="15" t="s">
        <v>16016</v>
      </c>
      <c r="G15" s="15"/>
      <c r="H15" s="15"/>
      <c r="I15" s="15" t="s">
        <v>528</v>
      </c>
      <c r="J15" s="15" t="s">
        <v>15991</v>
      </c>
    </row>
    <row r="16" spans="2:10">
      <c r="B16" s="15" t="s">
        <v>16769</v>
      </c>
      <c r="C16" s="15" t="s">
        <v>16017</v>
      </c>
      <c r="D16" s="15" t="s">
        <v>316</v>
      </c>
      <c r="E16" s="15" t="s">
        <v>305</v>
      </c>
      <c r="F16" s="15" t="s">
        <v>16018</v>
      </c>
      <c r="G16" s="15"/>
      <c r="H16" s="15"/>
      <c r="I16" s="15" t="s">
        <v>528</v>
      </c>
      <c r="J16" s="15" t="s">
        <v>15991</v>
      </c>
    </row>
    <row r="17" spans="2:10">
      <c r="B17" s="15" t="s">
        <v>16769</v>
      </c>
      <c r="C17" s="15" t="s">
        <v>16019</v>
      </c>
      <c r="D17" s="15" t="s">
        <v>371</v>
      </c>
      <c r="E17" s="15" t="s">
        <v>305</v>
      </c>
      <c r="F17" s="15" t="s">
        <v>16020</v>
      </c>
      <c r="G17" s="15"/>
      <c r="H17" s="15"/>
      <c r="I17" s="15" t="s">
        <v>528</v>
      </c>
      <c r="J17" s="15" t="s">
        <v>15991</v>
      </c>
    </row>
  </sheetData>
  <pageMargins left="0.75" right="0.75" top="1" bottom="1" header="0.5" footer="0.5"/>
  <pageSetup paperSize="1" orientation="portrait" horizontalDpi="300" verticalDpi="300"/>
  <headerFooter alignWithMargins="0" scaleWithDoc="0"/>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8"/>
  <sheetViews>
    <sheetView zoomScaleSheetLayoutView="60" workbookViewId="0">
      <selection activeCell="D33" sqref="D33"/>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52" t="str">
        <f>HYPERLINK("#表结构清单!A1","返回")</f>
        <v>返回</v>
      </c>
      <c r="B1" t="s">
        <v>224</v>
      </c>
    </row>
    <row r="2" spans="2:10">
      <c r="B2" s="13" t="s">
        <v>15982</v>
      </c>
      <c r="C2" s="13" t="s">
        <v>297</v>
      </c>
      <c r="D2" s="13" t="s">
        <v>11870</v>
      </c>
      <c r="E2" s="13" t="s">
        <v>15983</v>
      </c>
      <c r="F2" s="13" t="s">
        <v>15984</v>
      </c>
      <c r="G2" s="13" t="s">
        <v>300</v>
      </c>
      <c r="H2" s="13" t="s">
        <v>301</v>
      </c>
      <c r="I2" s="13" t="s">
        <v>15985</v>
      </c>
      <c r="J2" s="13" t="s">
        <v>15986</v>
      </c>
    </row>
    <row r="3" spans="2:10">
      <c r="B3" s="15" t="s">
        <v>16785</v>
      </c>
      <c r="C3" s="15" t="s">
        <v>15988</v>
      </c>
      <c r="D3" s="15" t="s">
        <v>316</v>
      </c>
      <c r="E3" s="15" t="s">
        <v>15989</v>
      </c>
      <c r="F3" s="15" t="s">
        <v>16786</v>
      </c>
      <c r="G3" s="15"/>
      <c r="H3" s="15"/>
      <c r="I3" s="15" t="s">
        <v>528</v>
      </c>
      <c r="J3" s="15" t="s">
        <v>15991</v>
      </c>
    </row>
    <row r="4" spans="2:10">
      <c r="B4" s="15" t="s">
        <v>16785</v>
      </c>
      <c r="C4" s="15" t="s">
        <v>16787</v>
      </c>
      <c r="D4" s="15" t="s">
        <v>513</v>
      </c>
      <c r="E4" s="15" t="s">
        <v>305</v>
      </c>
      <c r="F4" s="15" t="s">
        <v>16788</v>
      </c>
      <c r="G4" s="15"/>
      <c r="H4" s="15"/>
      <c r="I4" s="15" t="s">
        <v>528</v>
      </c>
      <c r="J4" s="15" t="s">
        <v>15991</v>
      </c>
    </row>
    <row r="5" spans="2:10">
      <c r="B5" s="15" t="s">
        <v>16785</v>
      </c>
      <c r="C5" s="15" t="s">
        <v>16789</v>
      </c>
      <c r="D5" s="15" t="s">
        <v>16056</v>
      </c>
      <c r="E5" s="15" t="s">
        <v>305</v>
      </c>
      <c r="F5" s="15" t="s">
        <v>16790</v>
      </c>
      <c r="G5" s="15"/>
      <c r="H5" s="15"/>
      <c r="I5" s="15" t="s">
        <v>528</v>
      </c>
      <c r="J5" s="15" t="s">
        <v>15991</v>
      </c>
    </row>
    <row r="6" spans="2:10">
      <c r="B6" s="15" t="s">
        <v>16785</v>
      </c>
      <c r="C6" s="15" t="s">
        <v>16791</v>
      </c>
      <c r="D6" s="15" t="s">
        <v>350</v>
      </c>
      <c r="E6" s="15" t="s">
        <v>305</v>
      </c>
      <c r="F6" s="15" t="s">
        <v>16792</v>
      </c>
      <c r="G6" s="15"/>
      <c r="H6" s="15"/>
      <c r="I6" s="15" t="s">
        <v>528</v>
      </c>
      <c r="J6" s="15" t="s">
        <v>15991</v>
      </c>
    </row>
    <row r="7" spans="2:10">
      <c r="B7" s="15" t="s">
        <v>16785</v>
      </c>
      <c r="C7" s="15" t="s">
        <v>16793</v>
      </c>
      <c r="D7" s="15" t="s">
        <v>16056</v>
      </c>
      <c r="E7" s="15" t="s">
        <v>305</v>
      </c>
      <c r="F7" s="15" t="s">
        <v>16794</v>
      </c>
      <c r="G7" s="15"/>
      <c r="H7" s="15"/>
      <c r="I7" s="15" t="s">
        <v>528</v>
      </c>
      <c r="J7" s="15" t="s">
        <v>15991</v>
      </c>
    </row>
    <row r="8" spans="2:10">
      <c r="B8" s="15" t="s">
        <v>16785</v>
      </c>
      <c r="C8" s="15" t="s">
        <v>16795</v>
      </c>
      <c r="D8" s="15" t="s">
        <v>350</v>
      </c>
      <c r="E8" s="15" t="s">
        <v>305</v>
      </c>
      <c r="F8" s="15" t="s">
        <v>16796</v>
      </c>
      <c r="G8" s="15"/>
      <c r="H8" s="15"/>
      <c r="I8" s="15" t="s">
        <v>528</v>
      </c>
      <c r="J8" s="15" t="s">
        <v>15991</v>
      </c>
    </row>
    <row r="9" spans="2:10">
      <c r="B9" s="15" t="s">
        <v>16785</v>
      </c>
      <c r="C9" s="15" t="s">
        <v>16797</v>
      </c>
      <c r="D9" s="15" t="s">
        <v>16056</v>
      </c>
      <c r="E9" s="15" t="s">
        <v>305</v>
      </c>
      <c r="F9" s="15" t="s">
        <v>16798</v>
      </c>
      <c r="G9" s="15"/>
      <c r="H9" s="15"/>
      <c r="I9" s="15" t="s">
        <v>528</v>
      </c>
      <c r="J9" s="15" t="s">
        <v>15991</v>
      </c>
    </row>
    <row r="10" spans="2:10">
      <c r="B10" s="15" t="s">
        <v>16785</v>
      </c>
      <c r="C10" s="15" t="s">
        <v>16799</v>
      </c>
      <c r="D10" s="15" t="s">
        <v>350</v>
      </c>
      <c r="E10" s="15" t="s">
        <v>305</v>
      </c>
      <c r="F10" s="15" t="s">
        <v>16800</v>
      </c>
      <c r="G10" s="15"/>
      <c r="H10" s="15"/>
      <c r="I10" s="15" t="s">
        <v>528</v>
      </c>
      <c r="J10" s="15" t="s">
        <v>15991</v>
      </c>
    </row>
    <row r="11" spans="2:10">
      <c r="B11" s="15" t="s">
        <v>16785</v>
      </c>
      <c r="C11" s="15" t="s">
        <v>16801</v>
      </c>
      <c r="D11" s="15" t="s">
        <v>16056</v>
      </c>
      <c r="E11" s="15" t="s">
        <v>305</v>
      </c>
      <c r="F11" s="15" t="s">
        <v>16802</v>
      </c>
      <c r="G11" s="15"/>
      <c r="H11" s="15"/>
      <c r="I11" s="15" t="s">
        <v>528</v>
      </c>
      <c r="J11" s="15" t="s">
        <v>15991</v>
      </c>
    </row>
    <row r="12" spans="2:10">
      <c r="B12" s="15" t="s">
        <v>16785</v>
      </c>
      <c r="C12" s="15" t="s">
        <v>16803</v>
      </c>
      <c r="D12" s="15" t="s">
        <v>350</v>
      </c>
      <c r="E12" s="15" t="s">
        <v>305</v>
      </c>
      <c r="F12" s="15" t="s">
        <v>16804</v>
      </c>
      <c r="G12" s="15"/>
      <c r="H12" s="15"/>
      <c r="I12" s="15" t="s">
        <v>528</v>
      </c>
      <c r="J12" s="15" t="s">
        <v>15991</v>
      </c>
    </row>
    <row r="13" spans="2:10">
      <c r="B13" s="15" t="s">
        <v>16785</v>
      </c>
      <c r="C13" s="15" t="s">
        <v>16805</v>
      </c>
      <c r="D13" s="15" t="s">
        <v>16056</v>
      </c>
      <c r="E13" s="15" t="s">
        <v>305</v>
      </c>
      <c r="F13" s="15" t="s">
        <v>16806</v>
      </c>
      <c r="G13" s="15"/>
      <c r="H13" s="15"/>
      <c r="I13" s="15" t="s">
        <v>528</v>
      </c>
      <c r="J13" s="15" t="s">
        <v>15991</v>
      </c>
    </row>
    <row r="14" spans="2:10">
      <c r="B14" s="15" t="s">
        <v>16785</v>
      </c>
      <c r="C14" s="15" t="s">
        <v>16807</v>
      </c>
      <c r="D14" s="15" t="s">
        <v>350</v>
      </c>
      <c r="E14" s="15" t="s">
        <v>305</v>
      </c>
      <c r="F14" s="15" t="s">
        <v>16808</v>
      </c>
      <c r="G14" s="15"/>
      <c r="H14" s="15"/>
      <c r="I14" s="15" t="s">
        <v>528</v>
      </c>
      <c r="J14" s="15" t="s">
        <v>15991</v>
      </c>
    </row>
    <row r="15" spans="2:10">
      <c r="B15" s="15" t="s">
        <v>16785</v>
      </c>
      <c r="C15" s="15" t="s">
        <v>16809</v>
      </c>
      <c r="D15" s="15" t="s">
        <v>16056</v>
      </c>
      <c r="E15" s="15" t="s">
        <v>305</v>
      </c>
      <c r="F15" s="15" t="s">
        <v>16810</v>
      </c>
      <c r="G15" s="15"/>
      <c r="H15" s="15"/>
      <c r="I15" s="15" t="s">
        <v>528</v>
      </c>
      <c r="J15" s="15" t="s">
        <v>15991</v>
      </c>
    </row>
    <row r="16" spans="2:10">
      <c r="B16" s="15" t="s">
        <v>16785</v>
      </c>
      <c r="C16" s="15" t="s">
        <v>16811</v>
      </c>
      <c r="D16" s="15" t="s">
        <v>350</v>
      </c>
      <c r="E16" s="15" t="s">
        <v>305</v>
      </c>
      <c r="F16" s="15" t="s">
        <v>16812</v>
      </c>
      <c r="G16" s="15"/>
      <c r="H16" s="15"/>
      <c r="I16" s="15" t="s">
        <v>528</v>
      </c>
      <c r="J16" s="15" t="s">
        <v>15991</v>
      </c>
    </row>
    <row r="17" spans="2:10">
      <c r="B17" s="15" t="s">
        <v>16785</v>
      </c>
      <c r="C17" s="15" t="s">
        <v>16126</v>
      </c>
      <c r="D17" s="15" t="s">
        <v>513</v>
      </c>
      <c r="E17" s="15" t="s">
        <v>305</v>
      </c>
      <c r="F17" s="15" t="s">
        <v>16813</v>
      </c>
      <c r="G17" s="52" t="str">
        <f>HYPERLINK("#码值映射清单!B7618","BatUploadStatus")</f>
        <v>BatUploadStatus</v>
      </c>
      <c r="H17" s="15"/>
      <c r="I17" s="15" t="s">
        <v>528</v>
      </c>
      <c r="J17" s="15" t="s">
        <v>15991</v>
      </c>
    </row>
    <row r="18" spans="2:10">
      <c r="B18" s="15" t="s">
        <v>16785</v>
      </c>
      <c r="C18" s="15" t="s">
        <v>16011</v>
      </c>
      <c r="D18" s="15" t="s">
        <v>316</v>
      </c>
      <c r="E18" s="15" t="s">
        <v>305</v>
      </c>
      <c r="F18" s="15" t="s">
        <v>16814</v>
      </c>
      <c r="G18" s="15"/>
      <c r="H18" s="15"/>
      <c r="I18" s="15" t="s">
        <v>528</v>
      </c>
      <c r="J18" s="15" t="s">
        <v>15991</v>
      </c>
    </row>
    <row r="19" spans="2:10">
      <c r="B19" s="15" t="s">
        <v>16785</v>
      </c>
      <c r="C19" s="15" t="s">
        <v>16009</v>
      </c>
      <c r="D19" s="15" t="s">
        <v>316</v>
      </c>
      <c r="E19" s="15" t="s">
        <v>305</v>
      </c>
      <c r="F19" s="15" t="s">
        <v>16010</v>
      </c>
      <c r="G19" s="15"/>
      <c r="H19" s="15"/>
      <c r="I19" s="15" t="s">
        <v>528</v>
      </c>
      <c r="J19" s="15" t="s">
        <v>15991</v>
      </c>
    </row>
    <row r="20" spans="2:10">
      <c r="B20" s="15" t="s">
        <v>16785</v>
      </c>
      <c r="C20" s="15" t="s">
        <v>16017</v>
      </c>
      <c r="D20" s="15" t="s">
        <v>316</v>
      </c>
      <c r="E20" s="15" t="s">
        <v>305</v>
      </c>
      <c r="F20" s="15" t="s">
        <v>16018</v>
      </c>
      <c r="G20" s="15"/>
      <c r="H20" s="15"/>
      <c r="I20" s="15" t="s">
        <v>528</v>
      </c>
      <c r="J20" s="15" t="s">
        <v>15991</v>
      </c>
    </row>
    <row r="21" spans="2:10">
      <c r="B21" s="15" t="s">
        <v>16785</v>
      </c>
      <c r="C21" s="15" t="s">
        <v>16015</v>
      </c>
      <c r="D21" s="15" t="s">
        <v>316</v>
      </c>
      <c r="E21" s="15" t="s">
        <v>305</v>
      </c>
      <c r="F21" s="15" t="s">
        <v>16016</v>
      </c>
      <c r="G21" s="15"/>
      <c r="H21" s="15"/>
      <c r="I21" s="15" t="s">
        <v>528</v>
      </c>
      <c r="J21" s="15" t="s">
        <v>15991</v>
      </c>
    </row>
    <row r="22" spans="2:10">
      <c r="B22" s="15" t="s">
        <v>16785</v>
      </c>
      <c r="C22" s="15" t="s">
        <v>16815</v>
      </c>
      <c r="D22" s="15" t="s">
        <v>513</v>
      </c>
      <c r="E22" s="15" t="s">
        <v>305</v>
      </c>
      <c r="F22" s="15" t="s">
        <v>16816</v>
      </c>
      <c r="G22" s="52" t="str">
        <f>HYPERLINK("#码值映射清单!B462","BatchType")</f>
        <v>BatchType</v>
      </c>
      <c r="H22" s="15"/>
      <c r="I22" s="15" t="s">
        <v>528</v>
      </c>
      <c r="J22" s="15" t="s">
        <v>15991</v>
      </c>
    </row>
    <row r="23" spans="2:10">
      <c r="B23" s="15" t="s">
        <v>16785</v>
      </c>
      <c r="C23" s="15" t="s">
        <v>16817</v>
      </c>
      <c r="D23" s="15" t="s">
        <v>327</v>
      </c>
      <c r="E23" s="15" t="s">
        <v>305</v>
      </c>
      <c r="F23" s="15" t="s">
        <v>16818</v>
      </c>
      <c r="G23" s="15"/>
      <c r="H23" s="15"/>
      <c r="I23" s="15" t="s">
        <v>528</v>
      </c>
      <c r="J23" s="15" t="s">
        <v>15991</v>
      </c>
    </row>
    <row r="24" spans="2:10">
      <c r="B24" s="15" t="s">
        <v>16785</v>
      </c>
      <c r="C24" s="15" t="s">
        <v>16210</v>
      </c>
      <c r="D24" s="15" t="s">
        <v>367</v>
      </c>
      <c r="E24" s="15" t="s">
        <v>305</v>
      </c>
      <c r="F24" s="15" t="s">
        <v>16819</v>
      </c>
      <c r="G24" s="15"/>
      <c r="H24" s="15"/>
      <c r="I24" s="15" t="s">
        <v>528</v>
      </c>
      <c r="J24" s="15" t="s">
        <v>15991</v>
      </c>
    </row>
    <row r="25" spans="2:10">
      <c r="B25" s="15" t="s">
        <v>16785</v>
      </c>
      <c r="C25" s="15" t="s">
        <v>16174</v>
      </c>
      <c r="D25" s="15" t="s">
        <v>367</v>
      </c>
      <c r="E25" s="15" t="s">
        <v>305</v>
      </c>
      <c r="F25" s="15" t="s">
        <v>16643</v>
      </c>
      <c r="G25" s="15"/>
      <c r="H25" s="15"/>
      <c r="I25" s="15" t="s">
        <v>528</v>
      </c>
      <c r="J25" s="15" t="s">
        <v>15991</v>
      </c>
    </row>
    <row r="26" spans="2:10">
      <c r="B26" s="15" t="s">
        <v>16785</v>
      </c>
      <c r="C26" s="15" t="s">
        <v>16086</v>
      </c>
      <c r="D26" s="15" t="s">
        <v>327</v>
      </c>
      <c r="E26" s="15" t="s">
        <v>305</v>
      </c>
      <c r="F26" s="15" t="s">
        <v>301</v>
      </c>
      <c r="G26" s="15"/>
      <c r="H26" s="15"/>
      <c r="I26" s="15" t="s">
        <v>528</v>
      </c>
      <c r="J26" s="15" t="s">
        <v>15991</v>
      </c>
    </row>
    <row r="27" spans="2:10">
      <c r="B27" s="15" t="s">
        <v>16785</v>
      </c>
      <c r="C27" s="15" t="s">
        <v>16013</v>
      </c>
      <c r="D27" s="15" t="s">
        <v>371</v>
      </c>
      <c r="E27" s="15" t="s">
        <v>305</v>
      </c>
      <c r="F27" s="15" t="s">
        <v>16014</v>
      </c>
      <c r="G27" s="15"/>
      <c r="H27" s="15"/>
      <c r="I27" s="15" t="s">
        <v>528</v>
      </c>
      <c r="J27" s="15" t="s">
        <v>15991</v>
      </c>
    </row>
    <row r="28" spans="2:10">
      <c r="B28" s="15" t="s">
        <v>16785</v>
      </c>
      <c r="C28" s="15" t="s">
        <v>16019</v>
      </c>
      <c r="D28" s="15" t="s">
        <v>371</v>
      </c>
      <c r="E28" s="15" t="s">
        <v>305</v>
      </c>
      <c r="F28" s="15" t="s">
        <v>16020</v>
      </c>
      <c r="G28" s="15"/>
      <c r="H28" s="15"/>
      <c r="I28" s="15" t="s">
        <v>528</v>
      </c>
      <c r="J28" s="15" t="s">
        <v>15991</v>
      </c>
    </row>
  </sheetData>
  <pageMargins left="0.75" right="0.75" top="1" bottom="1" header="0.5" footer="0.5"/>
  <pageSetup paperSize="1" orientation="portrait" horizontalDpi="300" verticalDpi="300"/>
  <headerFooter alignWithMargins="0" scaleWithDoc="0"/>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52"/>
  <sheetViews>
    <sheetView zoomScaleSheetLayoutView="60" workbookViewId="0">
      <selection activeCell="A1" sqref="A1"/>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52"/>
      <c r="B1" t="s">
        <v>180</v>
      </c>
    </row>
    <row r="2" spans="2:10">
      <c r="B2" s="13" t="s">
        <v>15982</v>
      </c>
      <c r="C2" s="13" t="s">
        <v>297</v>
      </c>
      <c r="D2" s="13" t="s">
        <v>11870</v>
      </c>
      <c r="E2" s="13" t="s">
        <v>15983</v>
      </c>
      <c r="F2" s="13" t="s">
        <v>15984</v>
      </c>
      <c r="G2" s="13" t="s">
        <v>300</v>
      </c>
      <c r="H2" s="13" t="s">
        <v>301</v>
      </c>
      <c r="I2" s="13" t="s">
        <v>15985</v>
      </c>
      <c r="J2" s="13" t="s">
        <v>15986</v>
      </c>
    </row>
    <row r="3" spans="2:10">
      <c r="B3" s="15" t="s">
        <v>16820</v>
      </c>
      <c r="C3" s="15" t="s">
        <v>15988</v>
      </c>
      <c r="D3" s="15" t="s">
        <v>316</v>
      </c>
      <c r="E3" s="15" t="s">
        <v>15989</v>
      </c>
      <c r="F3" s="15" t="s">
        <v>15990</v>
      </c>
      <c r="G3" s="15"/>
      <c r="H3" s="15"/>
      <c r="I3" s="15" t="s">
        <v>528</v>
      </c>
      <c r="J3" s="15" t="s">
        <v>15991</v>
      </c>
    </row>
    <row r="4" spans="2:10">
      <c r="B4" s="15" t="s">
        <v>16820</v>
      </c>
      <c r="C4" s="15" t="s">
        <v>16821</v>
      </c>
      <c r="D4" s="15" t="s">
        <v>316</v>
      </c>
      <c r="E4" s="15" t="s">
        <v>305</v>
      </c>
      <c r="F4" s="15" t="s">
        <v>16822</v>
      </c>
      <c r="G4" s="15"/>
      <c r="H4" s="15"/>
      <c r="I4" s="15" t="s">
        <v>528</v>
      </c>
      <c r="J4" s="15" t="s">
        <v>15991</v>
      </c>
    </row>
    <row r="5" spans="2:10">
      <c r="B5" s="15" t="s">
        <v>16820</v>
      </c>
      <c r="C5" s="15" t="s">
        <v>16484</v>
      </c>
      <c r="D5" s="15" t="s">
        <v>316</v>
      </c>
      <c r="E5" s="15" t="s">
        <v>305</v>
      </c>
      <c r="F5" s="15" t="s">
        <v>16762</v>
      </c>
      <c r="G5" s="15"/>
      <c r="H5" s="15"/>
      <c r="I5" s="15" t="s">
        <v>528</v>
      </c>
      <c r="J5" s="15" t="s">
        <v>15991</v>
      </c>
    </row>
    <row r="6" spans="2:10">
      <c r="B6" s="15" t="s">
        <v>16820</v>
      </c>
      <c r="C6" s="15" t="s">
        <v>16483</v>
      </c>
      <c r="D6" s="15" t="s">
        <v>316</v>
      </c>
      <c r="E6" s="15" t="s">
        <v>305</v>
      </c>
      <c r="F6" s="15" t="s">
        <v>9239</v>
      </c>
      <c r="G6" s="15"/>
      <c r="H6" s="15"/>
      <c r="I6" s="15" t="s">
        <v>528</v>
      </c>
      <c r="J6" s="15" t="s">
        <v>15991</v>
      </c>
    </row>
    <row r="7" spans="2:10">
      <c r="B7" s="15" t="s">
        <v>16820</v>
      </c>
      <c r="C7" s="15" t="s">
        <v>16823</v>
      </c>
      <c r="D7" s="15" t="s">
        <v>513</v>
      </c>
      <c r="E7" s="15" t="s">
        <v>305</v>
      </c>
      <c r="F7" s="15" t="s">
        <v>16824</v>
      </c>
      <c r="G7" s="52" t="str">
        <f>HYPERLINK("#码值映射清单!B6600","BillForm")</f>
        <v>BillForm</v>
      </c>
      <c r="H7" s="15"/>
      <c r="I7" s="15" t="s">
        <v>528</v>
      </c>
      <c r="J7" s="15" t="s">
        <v>15991</v>
      </c>
    </row>
    <row r="8" spans="2:10">
      <c r="B8" s="15" t="s">
        <v>16820</v>
      </c>
      <c r="C8" s="15" t="s">
        <v>16825</v>
      </c>
      <c r="D8" s="15" t="s">
        <v>513</v>
      </c>
      <c r="E8" s="15" t="s">
        <v>305</v>
      </c>
      <c r="F8" s="15" t="s">
        <v>16826</v>
      </c>
      <c r="G8" s="15"/>
      <c r="H8" s="15"/>
      <c r="I8" s="15" t="s">
        <v>528</v>
      </c>
      <c r="J8" s="15" t="s">
        <v>15991</v>
      </c>
    </row>
    <row r="9" spans="2:10">
      <c r="B9" s="15" t="s">
        <v>16820</v>
      </c>
      <c r="C9" s="15" t="s">
        <v>512</v>
      </c>
      <c r="D9" s="15" t="s">
        <v>513</v>
      </c>
      <c r="E9" s="15" t="s">
        <v>305</v>
      </c>
      <c r="F9" s="15" t="s">
        <v>334</v>
      </c>
      <c r="G9" s="52" t="str">
        <f>HYPERLINK("#码值映射清单!B2469","Currency")</f>
        <v>Currency</v>
      </c>
      <c r="H9" s="15"/>
      <c r="I9" s="15" t="s">
        <v>528</v>
      </c>
      <c r="J9" s="15" t="s">
        <v>15991</v>
      </c>
    </row>
    <row r="10" spans="2:10">
      <c r="B10" s="15" t="s">
        <v>16820</v>
      </c>
      <c r="C10" s="15" t="s">
        <v>16827</v>
      </c>
      <c r="D10" s="15" t="s">
        <v>350</v>
      </c>
      <c r="E10" s="15" t="s">
        <v>305</v>
      </c>
      <c r="F10" s="15" t="s">
        <v>16828</v>
      </c>
      <c r="G10" s="15"/>
      <c r="H10" s="15"/>
      <c r="I10" s="15" t="s">
        <v>528</v>
      </c>
      <c r="J10" s="15" t="s">
        <v>15991</v>
      </c>
    </row>
    <row r="11" spans="2:10">
      <c r="B11" s="15" t="s">
        <v>16820</v>
      </c>
      <c r="C11" s="15" t="s">
        <v>16829</v>
      </c>
      <c r="D11" s="15" t="s">
        <v>350</v>
      </c>
      <c r="E11" s="15" t="s">
        <v>305</v>
      </c>
      <c r="F11" s="15" t="s">
        <v>16830</v>
      </c>
      <c r="G11" s="15"/>
      <c r="H11" s="15"/>
      <c r="I11" s="15" t="s">
        <v>528</v>
      </c>
      <c r="J11" s="15" t="s">
        <v>15991</v>
      </c>
    </row>
    <row r="12" spans="2:10">
      <c r="B12" s="15" t="s">
        <v>16820</v>
      </c>
      <c r="C12" s="15" t="s">
        <v>16831</v>
      </c>
      <c r="D12" s="15" t="s">
        <v>321</v>
      </c>
      <c r="E12" s="15" t="s">
        <v>305</v>
      </c>
      <c r="F12" s="15" t="s">
        <v>16832</v>
      </c>
      <c r="G12" s="15"/>
      <c r="H12" s="15"/>
      <c r="I12" s="15" t="s">
        <v>528</v>
      </c>
      <c r="J12" s="15" t="s">
        <v>15991</v>
      </c>
    </row>
    <row r="13" spans="2:10">
      <c r="B13" s="15" t="s">
        <v>16820</v>
      </c>
      <c r="C13" s="15" t="s">
        <v>16833</v>
      </c>
      <c r="D13" s="15" t="s">
        <v>321</v>
      </c>
      <c r="E13" s="15" t="s">
        <v>305</v>
      </c>
      <c r="F13" s="15" t="s">
        <v>16834</v>
      </c>
      <c r="G13" s="15"/>
      <c r="H13" s="15"/>
      <c r="I13" s="15" t="s">
        <v>528</v>
      </c>
      <c r="J13" s="15" t="s">
        <v>15991</v>
      </c>
    </row>
    <row r="14" spans="2:10">
      <c r="B14" s="15" t="s">
        <v>16820</v>
      </c>
      <c r="C14" s="15" t="s">
        <v>16835</v>
      </c>
      <c r="D14" s="15" t="s">
        <v>316</v>
      </c>
      <c r="E14" s="15" t="s">
        <v>305</v>
      </c>
      <c r="F14" s="15" t="s">
        <v>16836</v>
      </c>
      <c r="G14" s="15"/>
      <c r="H14" s="15"/>
      <c r="I14" s="15" t="s">
        <v>528</v>
      </c>
      <c r="J14" s="15" t="s">
        <v>15991</v>
      </c>
    </row>
    <row r="15" spans="2:10">
      <c r="B15" s="15" t="s">
        <v>16820</v>
      </c>
      <c r="C15" s="15" t="s">
        <v>16837</v>
      </c>
      <c r="D15" s="15" t="s">
        <v>506</v>
      </c>
      <c r="E15" s="15" t="s">
        <v>305</v>
      </c>
      <c r="F15" s="15" t="s">
        <v>16838</v>
      </c>
      <c r="G15" s="15"/>
      <c r="H15" s="15"/>
      <c r="I15" s="15" t="s">
        <v>528</v>
      </c>
      <c r="J15" s="15" t="s">
        <v>15991</v>
      </c>
    </row>
    <row r="16" spans="2:10">
      <c r="B16" s="15" t="s">
        <v>16820</v>
      </c>
      <c r="C16" s="15" t="s">
        <v>16839</v>
      </c>
      <c r="D16" s="15" t="s">
        <v>316</v>
      </c>
      <c r="E16" s="15" t="s">
        <v>305</v>
      </c>
      <c r="F16" s="15" t="s">
        <v>16840</v>
      </c>
      <c r="G16" s="15"/>
      <c r="H16" s="15"/>
      <c r="I16" s="15" t="s">
        <v>528</v>
      </c>
      <c r="J16" s="15" t="s">
        <v>15991</v>
      </c>
    </row>
    <row r="17" spans="2:10">
      <c r="B17" s="15" t="s">
        <v>16820</v>
      </c>
      <c r="C17" s="15" t="s">
        <v>16841</v>
      </c>
      <c r="D17" s="15" t="s">
        <v>506</v>
      </c>
      <c r="E17" s="15" t="s">
        <v>305</v>
      </c>
      <c r="F17" s="15" t="s">
        <v>16842</v>
      </c>
      <c r="G17" s="15"/>
      <c r="H17" s="15"/>
      <c r="I17" s="15" t="s">
        <v>528</v>
      </c>
      <c r="J17" s="15" t="s">
        <v>15991</v>
      </c>
    </row>
    <row r="18" spans="2:10">
      <c r="B18" s="15" t="s">
        <v>16820</v>
      </c>
      <c r="C18" s="15" t="s">
        <v>16843</v>
      </c>
      <c r="D18" s="15" t="s">
        <v>506</v>
      </c>
      <c r="E18" s="15" t="s">
        <v>305</v>
      </c>
      <c r="F18" s="15" t="s">
        <v>16844</v>
      </c>
      <c r="G18" s="15"/>
      <c r="H18" s="15"/>
      <c r="I18" s="15" t="s">
        <v>528</v>
      </c>
      <c r="J18" s="15" t="s">
        <v>15991</v>
      </c>
    </row>
    <row r="19" spans="2:10">
      <c r="B19" s="15" t="s">
        <v>16820</v>
      </c>
      <c r="C19" s="15" t="s">
        <v>16845</v>
      </c>
      <c r="D19" s="15" t="s">
        <v>321</v>
      </c>
      <c r="E19" s="15" t="s">
        <v>305</v>
      </c>
      <c r="F19" s="15" t="s">
        <v>16846</v>
      </c>
      <c r="G19" s="15"/>
      <c r="H19" s="15"/>
      <c r="I19" s="15" t="s">
        <v>528</v>
      </c>
      <c r="J19" s="15" t="s">
        <v>15991</v>
      </c>
    </row>
    <row r="20" spans="2:10">
      <c r="B20" s="15" t="s">
        <v>16820</v>
      </c>
      <c r="C20" s="15" t="s">
        <v>16847</v>
      </c>
      <c r="D20" s="15" t="s">
        <v>321</v>
      </c>
      <c r="E20" s="15" t="s">
        <v>305</v>
      </c>
      <c r="F20" s="15" t="s">
        <v>16848</v>
      </c>
      <c r="G20" s="15"/>
      <c r="H20" s="15"/>
      <c r="I20" s="15" t="s">
        <v>528</v>
      </c>
      <c r="J20" s="15" t="s">
        <v>15991</v>
      </c>
    </row>
    <row r="21" spans="2:10">
      <c r="B21" s="15" t="s">
        <v>16820</v>
      </c>
      <c r="C21" s="15" t="s">
        <v>16849</v>
      </c>
      <c r="D21" s="15" t="s">
        <v>371</v>
      </c>
      <c r="E21" s="15" t="s">
        <v>305</v>
      </c>
      <c r="F21" s="15" t="s">
        <v>16850</v>
      </c>
      <c r="G21" s="15"/>
      <c r="H21" s="15"/>
      <c r="I21" s="15" t="s">
        <v>528</v>
      </c>
      <c r="J21" s="15" t="s">
        <v>15991</v>
      </c>
    </row>
    <row r="22" spans="2:10">
      <c r="B22" s="15" t="s">
        <v>16820</v>
      </c>
      <c r="C22" s="15" t="s">
        <v>16851</v>
      </c>
      <c r="D22" s="15" t="s">
        <v>371</v>
      </c>
      <c r="E22" s="15" t="s">
        <v>305</v>
      </c>
      <c r="F22" s="15" t="s">
        <v>16852</v>
      </c>
      <c r="G22" s="15"/>
      <c r="H22" s="15"/>
      <c r="I22" s="15" t="s">
        <v>528</v>
      </c>
      <c r="J22" s="15" t="s">
        <v>15991</v>
      </c>
    </row>
    <row r="23" spans="2:10">
      <c r="B23" s="15" t="s">
        <v>16820</v>
      </c>
      <c r="C23" s="15" t="s">
        <v>16853</v>
      </c>
      <c r="D23" s="15" t="s">
        <v>371</v>
      </c>
      <c r="E23" s="15" t="s">
        <v>305</v>
      </c>
      <c r="F23" s="15" t="s">
        <v>16854</v>
      </c>
      <c r="G23" s="15"/>
      <c r="H23" s="15"/>
      <c r="I23" s="15" t="s">
        <v>528</v>
      </c>
      <c r="J23" s="15" t="s">
        <v>15991</v>
      </c>
    </row>
    <row r="24" spans="2:10">
      <c r="B24" s="15" t="s">
        <v>16820</v>
      </c>
      <c r="C24" s="15" t="s">
        <v>16855</v>
      </c>
      <c r="D24" s="15" t="s">
        <v>16056</v>
      </c>
      <c r="E24" s="15" t="s">
        <v>305</v>
      </c>
      <c r="F24" s="15" t="s">
        <v>16856</v>
      </c>
      <c r="G24" s="15"/>
      <c r="H24" s="15"/>
      <c r="I24" s="15" t="s">
        <v>528</v>
      </c>
      <c r="J24" s="15" t="s">
        <v>15991</v>
      </c>
    </row>
    <row r="25" spans="2:10">
      <c r="B25" s="15" t="s">
        <v>16820</v>
      </c>
      <c r="C25" s="15" t="s">
        <v>16857</v>
      </c>
      <c r="D25" s="15" t="s">
        <v>363</v>
      </c>
      <c r="E25" s="15" t="s">
        <v>305</v>
      </c>
      <c r="F25" s="15" t="s">
        <v>16858</v>
      </c>
      <c r="G25" s="15"/>
      <c r="H25" s="15"/>
      <c r="I25" s="15" t="s">
        <v>528</v>
      </c>
      <c r="J25" s="15" t="s">
        <v>15991</v>
      </c>
    </row>
    <row r="26" spans="2:10">
      <c r="B26" s="15" t="s">
        <v>16820</v>
      </c>
      <c r="C26" s="15" t="s">
        <v>16859</v>
      </c>
      <c r="D26" s="15" t="s">
        <v>363</v>
      </c>
      <c r="E26" s="15" t="s">
        <v>305</v>
      </c>
      <c r="F26" s="15" t="s">
        <v>16860</v>
      </c>
      <c r="G26" s="15"/>
      <c r="H26" s="15"/>
      <c r="I26" s="15" t="s">
        <v>528</v>
      </c>
      <c r="J26" s="15" t="s">
        <v>15991</v>
      </c>
    </row>
    <row r="27" spans="2:10">
      <c r="B27" s="15" t="s">
        <v>16820</v>
      </c>
      <c r="C27" s="15" t="s">
        <v>16861</v>
      </c>
      <c r="D27" s="15" t="s">
        <v>513</v>
      </c>
      <c r="E27" s="15" t="s">
        <v>305</v>
      </c>
      <c r="F27" s="15" t="s">
        <v>7359</v>
      </c>
      <c r="G27" s="52" t="str">
        <f>HYPERLINK("#码值映射清单!B5669","InterestPayType")</f>
        <v>InterestPayType</v>
      </c>
      <c r="H27" s="15"/>
      <c r="I27" s="15" t="s">
        <v>528</v>
      </c>
      <c r="J27" s="15" t="s">
        <v>15991</v>
      </c>
    </row>
    <row r="28" spans="2:10">
      <c r="B28" s="15" t="s">
        <v>16820</v>
      </c>
      <c r="C28" s="15" t="s">
        <v>16862</v>
      </c>
      <c r="D28" s="15" t="s">
        <v>316</v>
      </c>
      <c r="E28" s="15" t="s">
        <v>305</v>
      </c>
      <c r="F28" s="15" t="s">
        <v>16863</v>
      </c>
      <c r="G28" s="15"/>
      <c r="H28" s="15"/>
      <c r="I28" s="15" t="s">
        <v>528</v>
      </c>
      <c r="J28" s="15" t="s">
        <v>15991</v>
      </c>
    </row>
    <row r="29" spans="2:10">
      <c r="B29" s="15" t="s">
        <v>16820</v>
      </c>
      <c r="C29" s="15" t="s">
        <v>16864</v>
      </c>
      <c r="D29" s="15" t="s">
        <v>371</v>
      </c>
      <c r="E29" s="15" t="s">
        <v>305</v>
      </c>
      <c r="F29" s="15" t="s">
        <v>16865</v>
      </c>
      <c r="G29" s="15"/>
      <c r="H29" s="15"/>
      <c r="I29" s="15" t="s">
        <v>528</v>
      </c>
      <c r="J29" s="15" t="s">
        <v>15991</v>
      </c>
    </row>
    <row r="30" spans="2:10">
      <c r="B30" s="15" t="s">
        <v>16820</v>
      </c>
      <c r="C30" s="15" t="s">
        <v>16866</v>
      </c>
      <c r="D30" s="15" t="s">
        <v>506</v>
      </c>
      <c r="E30" s="15" t="s">
        <v>305</v>
      </c>
      <c r="F30" s="15" t="s">
        <v>16867</v>
      </c>
      <c r="G30" s="15"/>
      <c r="H30" s="15"/>
      <c r="I30" s="15" t="s">
        <v>528</v>
      </c>
      <c r="J30" s="15" t="s">
        <v>15991</v>
      </c>
    </row>
    <row r="31" spans="2:10">
      <c r="B31" s="15" t="s">
        <v>16820</v>
      </c>
      <c r="C31" s="15" t="s">
        <v>16868</v>
      </c>
      <c r="D31" s="15" t="s">
        <v>16056</v>
      </c>
      <c r="E31" s="15" t="s">
        <v>305</v>
      </c>
      <c r="F31" s="15" t="s">
        <v>16869</v>
      </c>
      <c r="G31" s="15"/>
      <c r="H31" s="15"/>
      <c r="I31" s="15" t="s">
        <v>528</v>
      </c>
      <c r="J31" s="15" t="s">
        <v>15991</v>
      </c>
    </row>
    <row r="32" spans="2:10">
      <c r="B32" s="15" t="s">
        <v>16820</v>
      </c>
      <c r="C32" s="15" t="s">
        <v>16870</v>
      </c>
      <c r="D32" s="15" t="s">
        <v>350</v>
      </c>
      <c r="E32" s="15" t="s">
        <v>305</v>
      </c>
      <c r="F32" s="15" t="s">
        <v>16871</v>
      </c>
      <c r="G32" s="15"/>
      <c r="H32" s="15"/>
      <c r="I32" s="15" t="s">
        <v>528</v>
      </c>
      <c r="J32" s="15" t="s">
        <v>15991</v>
      </c>
    </row>
    <row r="33" spans="2:10">
      <c r="B33" s="15" t="s">
        <v>16820</v>
      </c>
      <c r="C33" s="15" t="s">
        <v>16872</v>
      </c>
      <c r="D33" s="15" t="s">
        <v>513</v>
      </c>
      <c r="E33" s="15" t="s">
        <v>305</v>
      </c>
      <c r="F33" s="15" t="s">
        <v>10674</v>
      </c>
      <c r="G33" s="15"/>
      <c r="H33" s="15"/>
      <c r="I33" s="15" t="s">
        <v>528</v>
      </c>
      <c r="J33" s="15" t="s">
        <v>15991</v>
      </c>
    </row>
    <row r="34" spans="2:10">
      <c r="B34" s="15" t="s">
        <v>16820</v>
      </c>
      <c r="C34" s="15" t="s">
        <v>16873</v>
      </c>
      <c r="D34" s="15" t="s">
        <v>316</v>
      </c>
      <c r="E34" s="15" t="s">
        <v>305</v>
      </c>
      <c r="F34" s="15" t="s">
        <v>16874</v>
      </c>
      <c r="G34" s="15"/>
      <c r="H34" s="15"/>
      <c r="I34" s="15" t="s">
        <v>528</v>
      </c>
      <c r="J34" s="15" t="s">
        <v>15991</v>
      </c>
    </row>
    <row r="35" spans="2:10">
      <c r="B35" s="15" t="s">
        <v>16820</v>
      </c>
      <c r="C35" s="15" t="s">
        <v>16875</v>
      </c>
      <c r="D35" s="15" t="s">
        <v>506</v>
      </c>
      <c r="E35" s="15" t="s">
        <v>305</v>
      </c>
      <c r="F35" s="15" t="s">
        <v>16876</v>
      </c>
      <c r="G35" s="15"/>
      <c r="H35" s="15"/>
      <c r="I35" s="15" t="s">
        <v>528</v>
      </c>
      <c r="J35" s="15" t="s">
        <v>15991</v>
      </c>
    </row>
    <row r="36" spans="2:10">
      <c r="B36" s="15" t="s">
        <v>16820</v>
      </c>
      <c r="C36" s="15" t="s">
        <v>16877</v>
      </c>
      <c r="D36" s="15" t="s">
        <v>506</v>
      </c>
      <c r="E36" s="15" t="s">
        <v>305</v>
      </c>
      <c r="F36" s="15" t="s">
        <v>16878</v>
      </c>
      <c r="G36" s="15"/>
      <c r="H36" s="15"/>
      <c r="I36" s="15" t="s">
        <v>528</v>
      </c>
      <c r="J36" s="15" t="s">
        <v>15991</v>
      </c>
    </row>
    <row r="37" spans="2:10">
      <c r="B37" s="15" t="s">
        <v>16820</v>
      </c>
      <c r="C37" s="15" t="s">
        <v>16879</v>
      </c>
      <c r="D37" s="15" t="s">
        <v>316</v>
      </c>
      <c r="E37" s="15" t="s">
        <v>305</v>
      </c>
      <c r="F37" s="15" t="s">
        <v>16880</v>
      </c>
      <c r="G37" s="15"/>
      <c r="H37" s="15"/>
      <c r="I37" s="15" t="s">
        <v>528</v>
      </c>
      <c r="J37" s="15" t="s">
        <v>15991</v>
      </c>
    </row>
    <row r="38" spans="2:10">
      <c r="B38" s="15" t="s">
        <v>16820</v>
      </c>
      <c r="C38" s="15" t="s">
        <v>16881</v>
      </c>
      <c r="D38" s="15" t="s">
        <v>513</v>
      </c>
      <c r="E38" s="15" t="s">
        <v>305</v>
      </c>
      <c r="F38" s="15" t="s">
        <v>16882</v>
      </c>
      <c r="G38" s="15"/>
      <c r="H38" s="15"/>
      <c r="I38" s="15" t="s">
        <v>528</v>
      </c>
      <c r="J38" s="15" t="s">
        <v>15991</v>
      </c>
    </row>
    <row r="39" spans="2:10">
      <c r="B39" s="15" t="s">
        <v>16820</v>
      </c>
      <c r="C39" s="15" t="s">
        <v>16883</v>
      </c>
      <c r="D39" s="15" t="s">
        <v>371</v>
      </c>
      <c r="E39" s="15" t="s">
        <v>305</v>
      </c>
      <c r="F39" s="15" t="s">
        <v>16788</v>
      </c>
      <c r="G39" s="15"/>
      <c r="H39" s="15"/>
      <c r="I39" s="15" t="s">
        <v>528</v>
      </c>
      <c r="J39" s="15" t="s">
        <v>15991</v>
      </c>
    </row>
    <row r="40" spans="2:10">
      <c r="B40" s="15" t="s">
        <v>16820</v>
      </c>
      <c r="C40" s="15" t="s">
        <v>16884</v>
      </c>
      <c r="D40" s="15" t="s">
        <v>371</v>
      </c>
      <c r="E40" s="15" t="s">
        <v>305</v>
      </c>
      <c r="F40" s="15" t="s">
        <v>16885</v>
      </c>
      <c r="G40" s="15"/>
      <c r="H40" s="15"/>
      <c r="I40" s="15" t="s">
        <v>528</v>
      </c>
      <c r="J40" s="15" t="s">
        <v>15991</v>
      </c>
    </row>
    <row r="41" spans="2:10">
      <c r="B41" s="15" t="s">
        <v>16820</v>
      </c>
      <c r="C41" s="15" t="s">
        <v>16886</v>
      </c>
      <c r="D41" s="15" t="s">
        <v>316</v>
      </c>
      <c r="E41" s="15" t="s">
        <v>305</v>
      </c>
      <c r="F41" s="15" t="s">
        <v>16887</v>
      </c>
      <c r="G41" s="15"/>
      <c r="H41" s="15"/>
      <c r="I41" s="15" t="s">
        <v>528</v>
      </c>
      <c r="J41" s="15" t="s">
        <v>15991</v>
      </c>
    </row>
    <row r="42" spans="2:10">
      <c r="B42" s="15" t="s">
        <v>16820</v>
      </c>
      <c r="C42" s="15" t="s">
        <v>16888</v>
      </c>
      <c r="D42" s="15" t="s">
        <v>316</v>
      </c>
      <c r="E42" s="15" t="s">
        <v>305</v>
      </c>
      <c r="F42" s="15" t="s">
        <v>16889</v>
      </c>
      <c r="G42" s="15"/>
      <c r="H42" s="15"/>
      <c r="I42" s="15" t="s">
        <v>528</v>
      </c>
      <c r="J42" s="15" t="s">
        <v>15991</v>
      </c>
    </row>
    <row r="43" spans="2:10">
      <c r="B43" s="15" t="s">
        <v>16820</v>
      </c>
      <c r="C43" s="15" t="s">
        <v>16890</v>
      </c>
      <c r="D43" s="15" t="s">
        <v>513</v>
      </c>
      <c r="E43" s="15" t="s">
        <v>305</v>
      </c>
      <c r="F43" s="15" t="s">
        <v>16891</v>
      </c>
      <c r="G43" s="15"/>
      <c r="H43" s="15"/>
      <c r="I43" s="15" t="s">
        <v>528</v>
      </c>
      <c r="J43" s="15" t="s">
        <v>15991</v>
      </c>
    </row>
    <row r="44" spans="2:10">
      <c r="B44" s="15" t="s">
        <v>16820</v>
      </c>
      <c r="C44" s="15" t="s">
        <v>16892</v>
      </c>
      <c r="D44" s="15" t="s">
        <v>513</v>
      </c>
      <c r="E44" s="15" t="s">
        <v>305</v>
      </c>
      <c r="F44" s="15" t="s">
        <v>16893</v>
      </c>
      <c r="G44" s="15"/>
      <c r="H44" s="15"/>
      <c r="I44" s="15" t="s">
        <v>528</v>
      </c>
      <c r="J44" s="15" t="s">
        <v>15991</v>
      </c>
    </row>
    <row r="45" spans="2:10">
      <c r="B45" s="15" t="s">
        <v>16820</v>
      </c>
      <c r="C45" s="15" t="s">
        <v>16011</v>
      </c>
      <c r="D45" s="15" t="s">
        <v>506</v>
      </c>
      <c r="E45" s="15" t="s">
        <v>305</v>
      </c>
      <c r="F45" s="15" t="s">
        <v>16012</v>
      </c>
      <c r="G45" s="15"/>
      <c r="H45" s="15"/>
      <c r="I45" s="15" t="s">
        <v>528</v>
      </c>
      <c r="J45" s="15" t="s">
        <v>15991</v>
      </c>
    </row>
    <row r="46" spans="2:10">
      <c r="B46" s="15" t="s">
        <v>16820</v>
      </c>
      <c r="C46" s="15" t="s">
        <v>16009</v>
      </c>
      <c r="D46" s="15" t="s">
        <v>316</v>
      </c>
      <c r="E46" s="15" t="s">
        <v>305</v>
      </c>
      <c r="F46" s="15" t="s">
        <v>16010</v>
      </c>
      <c r="G46" s="15"/>
      <c r="H46" s="15"/>
      <c r="I46" s="15" t="s">
        <v>528</v>
      </c>
      <c r="J46" s="15" t="s">
        <v>15991</v>
      </c>
    </row>
    <row r="47" spans="2:10">
      <c r="B47" s="15" t="s">
        <v>16820</v>
      </c>
      <c r="C47" s="15" t="s">
        <v>16013</v>
      </c>
      <c r="D47" s="15" t="s">
        <v>371</v>
      </c>
      <c r="E47" s="15" t="s">
        <v>305</v>
      </c>
      <c r="F47" s="15" t="s">
        <v>16014</v>
      </c>
      <c r="G47" s="15"/>
      <c r="H47" s="15"/>
      <c r="I47" s="15" t="s">
        <v>528</v>
      </c>
      <c r="J47" s="15" t="s">
        <v>15991</v>
      </c>
    </row>
    <row r="48" spans="2:10">
      <c r="B48" s="15" t="s">
        <v>16820</v>
      </c>
      <c r="C48" s="15" t="s">
        <v>16017</v>
      </c>
      <c r="D48" s="15" t="s">
        <v>506</v>
      </c>
      <c r="E48" s="15" t="s">
        <v>305</v>
      </c>
      <c r="F48" s="15" t="s">
        <v>16018</v>
      </c>
      <c r="G48" s="15"/>
      <c r="H48" s="15"/>
      <c r="I48" s="15" t="s">
        <v>528</v>
      </c>
      <c r="J48" s="15" t="s">
        <v>15991</v>
      </c>
    </row>
    <row r="49" spans="2:10">
      <c r="B49" s="15" t="s">
        <v>16820</v>
      </c>
      <c r="C49" s="15" t="s">
        <v>16015</v>
      </c>
      <c r="D49" s="15" t="s">
        <v>316</v>
      </c>
      <c r="E49" s="15" t="s">
        <v>305</v>
      </c>
      <c r="F49" s="15" t="s">
        <v>16016</v>
      </c>
      <c r="G49" s="15"/>
      <c r="H49" s="15"/>
      <c r="I49" s="15" t="s">
        <v>528</v>
      </c>
      <c r="J49" s="15" t="s">
        <v>15991</v>
      </c>
    </row>
    <row r="50" spans="2:10">
      <c r="B50" s="15" t="s">
        <v>16820</v>
      </c>
      <c r="C50" s="15" t="s">
        <v>16019</v>
      </c>
      <c r="D50" s="15" t="s">
        <v>371</v>
      </c>
      <c r="E50" s="15" t="s">
        <v>305</v>
      </c>
      <c r="F50" s="15" t="s">
        <v>16020</v>
      </c>
      <c r="G50" s="15"/>
      <c r="H50" s="15"/>
      <c r="I50" s="15" t="s">
        <v>528</v>
      </c>
      <c r="J50" s="15" t="s">
        <v>15991</v>
      </c>
    </row>
    <row r="51" spans="2:10">
      <c r="B51" s="15" t="s">
        <v>16820</v>
      </c>
      <c r="C51" s="15" t="s">
        <v>16894</v>
      </c>
      <c r="D51" s="15" t="s">
        <v>316</v>
      </c>
      <c r="E51" s="15" t="s">
        <v>305</v>
      </c>
      <c r="F51" s="15" t="s">
        <v>16895</v>
      </c>
      <c r="G51" s="15"/>
      <c r="H51" s="15"/>
      <c r="I51" s="15" t="s">
        <v>528</v>
      </c>
      <c r="J51" s="15" t="s">
        <v>15991</v>
      </c>
    </row>
    <row r="52" spans="2:10">
      <c r="B52" s="15" t="s">
        <v>16820</v>
      </c>
      <c r="C52" s="15" t="s">
        <v>16088</v>
      </c>
      <c r="D52" s="15" t="s">
        <v>316</v>
      </c>
      <c r="E52" s="15" t="s">
        <v>305</v>
      </c>
      <c r="F52" s="15" t="s">
        <v>16089</v>
      </c>
      <c r="G52" s="15"/>
      <c r="H52" s="15"/>
      <c r="I52" s="15" t="s">
        <v>528</v>
      </c>
      <c r="J52" s="15" t="s">
        <v>15991</v>
      </c>
    </row>
  </sheetData>
  <pageMargins left="0.75" right="0.75" top="1" bottom="1" header="0.5" footer="0.5"/>
  <pageSetup paperSize="1" orientation="portrait" horizontalDpi="300" verticalDpi="300"/>
  <headerFooter alignWithMargins="0" scaleWithDoc="0"/>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9"/>
  <sheetViews>
    <sheetView zoomScaleSheetLayoutView="60" workbookViewId="0">
      <selection activeCell="D34" sqref="D34"/>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52" t="str">
        <f>HYPERLINK("#表结构清单!A1","返回")</f>
        <v>返回</v>
      </c>
      <c r="B1" t="s">
        <v>16896</v>
      </c>
    </row>
    <row r="2" spans="2:10">
      <c r="B2" s="13" t="s">
        <v>15982</v>
      </c>
      <c r="C2" s="13" t="s">
        <v>297</v>
      </c>
      <c r="D2" s="13" t="s">
        <v>11870</v>
      </c>
      <c r="E2" s="13" t="s">
        <v>15983</v>
      </c>
      <c r="F2" s="13" t="s">
        <v>15984</v>
      </c>
      <c r="G2" s="13" t="s">
        <v>300</v>
      </c>
      <c r="H2" s="13" t="s">
        <v>301</v>
      </c>
      <c r="I2" s="13" t="s">
        <v>15985</v>
      </c>
      <c r="J2" s="13" t="s">
        <v>15986</v>
      </c>
    </row>
    <row r="3" spans="2:10">
      <c r="B3" s="15" t="s">
        <v>16897</v>
      </c>
      <c r="C3" s="15" t="s">
        <v>16898</v>
      </c>
      <c r="D3" s="15" t="s">
        <v>316</v>
      </c>
      <c r="E3" s="15" t="s">
        <v>15989</v>
      </c>
      <c r="F3" s="15" t="s">
        <v>16899</v>
      </c>
      <c r="G3" s="15"/>
      <c r="H3" s="15"/>
      <c r="I3" s="15" t="s">
        <v>528</v>
      </c>
      <c r="J3" s="15" t="s">
        <v>15991</v>
      </c>
    </row>
    <row r="4" spans="2:10">
      <c r="B4" s="15" t="s">
        <v>16897</v>
      </c>
      <c r="C4" s="15" t="s">
        <v>16900</v>
      </c>
      <c r="D4" s="15" t="s">
        <v>506</v>
      </c>
      <c r="E4" s="15" t="s">
        <v>305</v>
      </c>
      <c r="F4" s="15" t="s">
        <v>16901</v>
      </c>
      <c r="G4" s="15"/>
      <c r="H4" s="15"/>
      <c r="I4" s="15" t="s">
        <v>528</v>
      </c>
      <c r="J4" s="15" t="s">
        <v>15991</v>
      </c>
    </row>
    <row r="5" spans="2:10">
      <c r="B5" s="15" t="s">
        <v>16897</v>
      </c>
      <c r="C5" s="15" t="s">
        <v>16902</v>
      </c>
      <c r="D5" s="15" t="s">
        <v>506</v>
      </c>
      <c r="E5" s="15" t="s">
        <v>305</v>
      </c>
      <c r="F5" s="15" t="s">
        <v>16903</v>
      </c>
      <c r="G5" s="15"/>
      <c r="H5" s="15"/>
      <c r="I5" s="15" t="s">
        <v>528</v>
      </c>
      <c r="J5" s="15" t="s">
        <v>15991</v>
      </c>
    </row>
    <row r="6" spans="2:10">
      <c r="B6" s="15" t="s">
        <v>16897</v>
      </c>
      <c r="C6" s="15" t="s">
        <v>16904</v>
      </c>
      <c r="D6" s="15" t="s">
        <v>327</v>
      </c>
      <c r="E6" s="15" t="s">
        <v>305</v>
      </c>
      <c r="F6" s="15" t="s">
        <v>16905</v>
      </c>
      <c r="G6" s="15"/>
      <c r="H6" s="15"/>
      <c r="I6" s="15" t="s">
        <v>528</v>
      </c>
      <c r="J6" s="15" t="s">
        <v>15991</v>
      </c>
    </row>
    <row r="7" spans="2:10">
      <c r="B7" s="15" t="s">
        <v>16897</v>
      </c>
      <c r="C7" s="15" t="s">
        <v>16906</v>
      </c>
      <c r="D7" s="15" t="s">
        <v>316</v>
      </c>
      <c r="E7" s="15" t="s">
        <v>305</v>
      </c>
      <c r="F7" s="15" t="s">
        <v>16907</v>
      </c>
      <c r="G7" s="52" t="str">
        <f>HYPERLINK("#码值映射清单!B5150","YesNo")</f>
        <v>YesNo</v>
      </c>
      <c r="H7" s="15"/>
      <c r="I7" s="15" t="s">
        <v>528</v>
      </c>
      <c r="J7" s="15" t="s">
        <v>15991</v>
      </c>
    </row>
    <row r="8" spans="2:10">
      <c r="B8" s="15" t="s">
        <v>16897</v>
      </c>
      <c r="C8" s="15" t="s">
        <v>16908</v>
      </c>
      <c r="D8" s="15" t="s">
        <v>316</v>
      </c>
      <c r="E8" s="15" t="s">
        <v>305</v>
      </c>
      <c r="F8" s="15" t="s">
        <v>16909</v>
      </c>
      <c r="G8" s="52" t="str">
        <f>HYPERLINK("#码值映射清单!B5150","YesNo")</f>
        <v>YesNo</v>
      </c>
      <c r="H8" s="15"/>
      <c r="I8" s="15" t="s">
        <v>528</v>
      </c>
      <c r="J8" s="15" t="s">
        <v>15991</v>
      </c>
    </row>
    <row r="9" spans="2:10">
      <c r="B9" s="15" t="s">
        <v>16897</v>
      </c>
      <c r="C9" s="15" t="s">
        <v>16910</v>
      </c>
      <c r="D9" s="15" t="s">
        <v>316</v>
      </c>
      <c r="E9" s="15" t="s">
        <v>305</v>
      </c>
      <c r="F9" s="15" t="s">
        <v>16911</v>
      </c>
      <c r="G9" s="52" t="str">
        <f>HYPERLINK("#码值映射清单!B5150","YesNo")</f>
        <v>YesNo</v>
      </c>
      <c r="H9" s="15"/>
      <c r="I9" s="15" t="s">
        <v>528</v>
      </c>
      <c r="J9" s="15" t="s">
        <v>15991</v>
      </c>
    </row>
    <row r="10" spans="2:10">
      <c r="B10" s="15" t="s">
        <v>16897</v>
      </c>
      <c r="C10" s="15" t="s">
        <v>16174</v>
      </c>
      <c r="D10" s="15" t="s">
        <v>327</v>
      </c>
      <c r="E10" s="15" t="s">
        <v>305</v>
      </c>
      <c r="F10" s="15" t="s">
        <v>16912</v>
      </c>
      <c r="G10" s="15"/>
      <c r="H10" s="15"/>
      <c r="I10" s="15" t="s">
        <v>528</v>
      </c>
      <c r="J10" s="15" t="s">
        <v>15991</v>
      </c>
    </row>
    <row r="11" spans="2:10">
      <c r="B11" s="15" t="s">
        <v>16897</v>
      </c>
      <c r="C11" s="15" t="s">
        <v>16913</v>
      </c>
      <c r="D11" s="15" t="s">
        <v>506</v>
      </c>
      <c r="E11" s="15" t="s">
        <v>305</v>
      </c>
      <c r="F11" s="15" t="s">
        <v>16914</v>
      </c>
      <c r="G11" s="15"/>
      <c r="H11" s="15"/>
      <c r="I11" s="15" t="s">
        <v>528</v>
      </c>
      <c r="J11" s="15" t="s">
        <v>15991</v>
      </c>
    </row>
    <row r="12" spans="2:10">
      <c r="B12" s="15" t="s">
        <v>16897</v>
      </c>
      <c r="C12" s="15" t="s">
        <v>16915</v>
      </c>
      <c r="D12" s="15" t="s">
        <v>316</v>
      </c>
      <c r="E12" s="15" t="s">
        <v>305</v>
      </c>
      <c r="F12" s="15" t="s">
        <v>16916</v>
      </c>
      <c r="G12" s="15"/>
      <c r="H12" s="15"/>
      <c r="I12" s="15" t="s">
        <v>528</v>
      </c>
      <c r="J12" s="15" t="s">
        <v>15991</v>
      </c>
    </row>
    <row r="13" spans="2:10">
      <c r="B13" s="15" t="s">
        <v>16897</v>
      </c>
      <c r="C13" s="15" t="s">
        <v>16917</v>
      </c>
      <c r="D13" s="15" t="s">
        <v>316</v>
      </c>
      <c r="E13" s="15" t="s">
        <v>305</v>
      </c>
      <c r="F13" s="15" t="s">
        <v>16918</v>
      </c>
      <c r="G13" s="15"/>
      <c r="H13" s="15"/>
      <c r="I13" s="15" t="s">
        <v>528</v>
      </c>
      <c r="J13" s="15" t="s">
        <v>15991</v>
      </c>
    </row>
    <row r="14" spans="2:10">
      <c r="B14" s="15" t="s">
        <v>16897</v>
      </c>
      <c r="C14" s="15" t="s">
        <v>16919</v>
      </c>
      <c r="D14" s="15" t="s">
        <v>506</v>
      </c>
      <c r="E14" s="15" t="s">
        <v>305</v>
      </c>
      <c r="F14" s="15" t="s">
        <v>16920</v>
      </c>
      <c r="G14" s="15"/>
      <c r="H14" s="15"/>
      <c r="I14" s="15" t="s">
        <v>528</v>
      </c>
      <c r="J14" s="15" t="s">
        <v>15991</v>
      </c>
    </row>
    <row r="15" spans="2:10">
      <c r="B15" s="15" t="s">
        <v>16897</v>
      </c>
      <c r="C15" s="15" t="s">
        <v>16921</v>
      </c>
      <c r="D15" s="15" t="s">
        <v>316</v>
      </c>
      <c r="E15" s="15" t="s">
        <v>305</v>
      </c>
      <c r="F15" s="15" t="s">
        <v>16922</v>
      </c>
      <c r="G15" s="15"/>
      <c r="H15" s="15"/>
      <c r="I15" s="15" t="s">
        <v>528</v>
      </c>
      <c r="J15" s="15" t="s">
        <v>15991</v>
      </c>
    </row>
    <row r="16" spans="2:10">
      <c r="B16" s="15" t="s">
        <v>16897</v>
      </c>
      <c r="C16" s="15" t="s">
        <v>16923</v>
      </c>
      <c r="D16" s="15" t="s">
        <v>316</v>
      </c>
      <c r="E16" s="15" t="s">
        <v>305</v>
      </c>
      <c r="F16" s="15" t="s">
        <v>16924</v>
      </c>
      <c r="G16" s="15"/>
      <c r="H16" s="15"/>
      <c r="I16" s="15" t="s">
        <v>528</v>
      </c>
      <c r="J16" s="15" t="s">
        <v>15991</v>
      </c>
    </row>
    <row r="17" spans="2:10">
      <c r="B17" s="15" t="s">
        <v>16897</v>
      </c>
      <c r="C17" s="15" t="s">
        <v>16210</v>
      </c>
      <c r="D17" s="15" t="s">
        <v>367</v>
      </c>
      <c r="E17" s="15" t="s">
        <v>305</v>
      </c>
      <c r="F17" s="15" t="s">
        <v>16819</v>
      </c>
      <c r="G17" s="15"/>
      <c r="H17" s="15"/>
      <c r="I17" s="15" t="s">
        <v>528</v>
      </c>
      <c r="J17" s="15" t="s">
        <v>15991</v>
      </c>
    </row>
    <row r="18" spans="2:10">
      <c r="B18" s="15" t="s">
        <v>16897</v>
      </c>
      <c r="C18" s="15" t="s">
        <v>16925</v>
      </c>
      <c r="D18" s="15" t="s">
        <v>327</v>
      </c>
      <c r="E18" s="15" t="s">
        <v>305</v>
      </c>
      <c r="F18" s="15" t="s">
        <v>16926</v>
      </c>
      <c r="G18" s="15"/>
      <c r="H18" s="15"/>
      <c r="I18" s="15" t="s">
        <v>528</v>
      </c>
      <c r="J18" s="15" t="s">
        <v>15991</v>
      </c>
    </row>
    <row r="19" spans="2:10">
      <c r="B19" s="15" t="s">
        <v>16897</v>
      </c>
      <c r="C19" s="15" t="s">
        <v>16927</v>
      </c>
      <c r="D19" s="15" t="s">
        <v>316</v>
      </c>
      <c r="E19" s="15" t="s">
        <v>305</v>
      </c>
      <c r="F19" s="15" t="s">
        <v>16928</v>
      </c>
      <c r="G19" s="15"/>
      <c r="H19" s="15"/>
      <c r="I19" s="15" t="s">
        <v>528</v>
      </c>
      <c r="J19" s="15" t="s">
        <v>15991</v>
      </c>
    </row>
    <row r="20" spans="2:10">
      <c r="B20" s="15" t="s">
        <v>16897</v>
      </c>
      <c r="C20" s="15" t="s">
        <v>16782</v>
      </c>
      <c r="D20" s="15" t="s">
        <v>316</v>
      </c>
      <c r="E20" s="15" t="s">
        <v>305</v>
      </c>
      <c r="F20" s="15" t="s">
        <v>16783</v>
      </c>
      <c r="G20" s="15"/>
      <c r="H20" s="15"/>
      <c r="I20" s="15" t="s">
        <v>528</v>
      </c>
      <c r="J20" s="15" t="s">
        <v>15991</v>
      </c>
    </row>
    <row r="21" spans="2:10">
      <c r="B21" s="15" t="s">
        <v>16897</v>
      </c>
      <c r="C21" s="15" t="s">
        <v>16929</v>
      </c>
      <c r="D21" s="15" t="s">
        <v>316</v>
      </c>
      <c r="E21" s="15" t="s">
        <v>305</v>
      </c>
      <c r="F21" s="15" t="s">
        <v>16930</v>
      </c>
      <c r="G21" s="15"/>
      <c r="H21" s="15"/>
      <c r="I21" s="15" t="s">
        <v>528</v>
      </c>
      <c r="J21" s="15" t="s">
        <v>15991</v>
      </c>
    </row>
    <row r="22" spans="2:10">
      <c r="B22" s="15" t="s">
        <v>16897</v>
      </c>
      <c r="C22" s="15" t="s">
        <v>16009</v>
      </c>
      <c r="D22" s="15" t="s">
        <v>316</v>
      </c>
      <c r="E22" s="15" t="s">
        <v>305</v>
      </c>
      <c r="F22" s="15" t="s">
        <v>16010</v>
      </c>
      <c r="G22" s="15"/>
      <c r="H22" s="15"/>
      <c r="I22" s="15" t="s">
        <v>528</v>
      </c>
      <c r="J22" s="15" t="s">
        <v>15991</v>
      </c>
    </row>
    <row r="23" spans="2:10">
      <c r="B23" s="15" t="s">
        <v>16897</v>
      </c>
      <c r="C23" s="15" t="s">
        <v>16011</v>
      </c>
      <c r="D23" s="15" t="s">
        <v>316</v>
      </c>
      <c r="E23" s="15" t="s">
        <v>305</v>
      </c>
      <c r="F23" s="15" t="s">
        <v>16012</v>
      </c>
      <c r="G23" s="15"/>
      <c r="H23" s="15"/>
      <c r="I23" s="15" t="s">
        <v>528</v>
      </c>
      <c r="J23" s="15" t="s">
        <v>15991</v>
      </c>
    </row>
    <row r="24" spans="2:10">
      <c r="B24" s="15" t="s">
        <v>16897</v>
      </c>
      <c r="C24" s="15" t="s">
        <v>16013</v>
      </c>
      <c r="D24" s="15" t="s">
        <v>371</v>
      </c>
      <c r="E24" s="15" t="s">
        <v>305</v>
      </c>
      <c r="F24" s="15" t="s">
        <v>16014</v>
      </c>
      <c r="G24" s="15"/>
      <c r="H24" s="15"/>
      <c r="I24" s="15" t="s">
        <v>528</v>
      </c>
      <c r="J24" s="15" t="s">
        <v>15991</v>
      </c>
    </row>
    <row r="25" spans="2:10">
      <c r="B25" s="15" t="s">
        <v>16897</v>
      </c>
      <c r="C25" s="15" t="s">
        <v>16015</v>
      </c>
      <c r="D25" s="15" t="s">
        <v>316</v>
      </c>
      <c r="E25" s="15" t="s">
        <v>305</v>
      </c>
      <c r="F25" s="15" t="s">
        <v>16016</v>
      </c>
      <c r="G25" s="15"/>
      <c r="H25" s="15"/>
      <c r="I25" s="15" t="s">
        <v>528</v>
      </c>
      <c r="J25" s="15" t="s">
        <v>15991</v>
      </c>
    </row>
    <row r="26" spans="2:10">
      <c r="B26" s="15" t="s">
        <v>16897</v>
      </c>
      <c r="C26" s="15" t="s">
        <v>16017</v>
      </c>
      <c r="D26" s="15" t="s">
        <v>316</v>
      </c>
      <c r="E26" s="15" t="s">
        <v>305</v>
      </c>
      <c r="F26" s="15" t="s">
        <v>16018</v>
      </c>
      <c r="G26" s="15"/>
      <c r="H26" s="15"/>
      <c r="I26" s="15" t="s">
        <v>528</v>
      </c>
      <c r="J26" s="15" t="s">
        <v>15991</v>
      </c>
    </row>
    <row r="27" spans="2:10">
      <c r="B27" s="15" t="s">
        <v>16897</v>
      </c>
      <c r="C27" s="15" t="s">
        <v>16019</v>
      </c>
      <c r="D27" s="15" t="s">
        <v>371</v>
      </c>
      <c r="E27" s="15" t="s">
        <v>305</v>
      </c>
      <c r="F27" s="15" t="s">
        <v>16020</v>
      </c>
      <c r="G27" s="15"/>
      <c r="H27" s="15"/>
      <c r="I27" s="15" t="s">
        <v>528</v>
      </c>
      <c r="J27" s="15" t="s">
        <v>15991</v>
      </c>
    </row>
    <row r="28" spans="2:10">
      <c r="B28" s="15" t="s">
        <v>16897</v>
      </c>
      <c r="C28" s="15" t="s">
        <v>16088</v>
      </c>
      <c r="D28" s="15" t="s">
        <v>316</v>
      </c>
      <c r="E28" s="15" t="s">
        <v>305</v>
      </c>
      <c r="F28" s="15" t="s">
        <v>16089</v>
      </c>
      <c r="G28" s="15"/>
      <c r="H28" s="15"/>
      <c r="I28" s="15" t="s">
        <v>528</v>
      </c>
      <c r="J28" s="15" t="s">
        <v>15991</v>
      </c>
    </row>
    <row r="29" spans="2:10">
      <c r="B29" s="15" t="s">
        <v>16897</v>
      </c>
      <c r="C29" s="15" t="s">
        <v>16931</v>
      </c>
      <c r="D29" s="15" t="s">
        <v>16440</v>
      </c>
      <c r="E29" s="15" t="s">
        <v>305</v>
      </c>
      <c r="F29" s="15" t="s">
        <v>16932</v>
      </c>
      <c r="G29" s="15"/>
      <c r="H29" s="15"/>
      <c r="I29" s="15" t="s">
        <v>528</v>
      </c>
      <c r="J29" s="15" t="s">
        <v>15991</v>
      </c>
    </row>
  </sheetData>
  <pageMargins left="0.75" right="0.75" top="1" bottom="1" header="0.5" footer="0.5"/>
  <pageSetup paperSize="1" orientation="portrait" horizontalDpi="300" verticalDpi="300"/>
  <headerFooter alignWithMargins="0" scaleWithDoc="0"/>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6"/>
  <sheetViews>
    <sheetView zoomScaleSheetLayoutView="60" workbookViewId="0">
      <selection activeCell="C49" sqref="C49"/>
    </sheetView>
  </sheetViews>
  <sheetFormatPr defaultColWidth="9.14285714285714" defaultRowHeight="15.2" outlineLevelRow="5"/>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52" t="str">
        <f>HYPERLINK("#表结构清单!A1","返回")</f>
        <v>返回</v>
      </c>
      <c r="B1" t="s">
        <v>145</v>
      </c>
    </row>
    <row r="2" spans="2:10">
      <c r="B2" s="13" t="s">
        <v>15982</v>
      </c>
      <c r="C2" s="13" t="s">
        <v>297</v>
      </c>
      <c r="D2" s="13" t="s">
        <v>11870</v>
      </c>
      <c r="E2" s="13" t="s">
        <v>15983</v>
      </c>
      <c r="F2" s="13" t="s">
        <v>15984</v>
      </c>
      <c r="G2" s="13" t="s">
        <v>300</v>
      </c>
      <c r="H2" s="13" t="s">
        <v>301</v>
      </c>
      <c r="I2" s="13" t="s">
        <v>15985</v>
      </c>
      <c r="J2" s="13" t="s">
        <v>15986</v>
      </c>
    </row>
    <row r="3" spans="2:10">
      <c r="B3" s="15" t="s">
        <v>16933</v>
      </c>
      <c r="C3" s="15" t="s">
        <v>15988</v>
      </c>
      <c r="D3" s="15" t="s">
        <v>316</v>
      </c>
      <c r="E3" s="15" t="s">
        <v>15989</v>
      </c>
      <c r="F3" s="15" t="s">
        <v>16934</v>
      </c>
      <c r="G3" s="15"/>
      <c r="H3" s="15"/>
      <c r="I3" s="15" t="s">
        <v>528</v>
      </c>
      <c r="J3" s="15" t="s">
        <v>15991</v>
      </c>
    </row>
    <row r="4" spans="2:10">
      <c r="B4" s="15" t="s">
        <v>16933</v>
      </c>
      <c r="C4" s="15" t="s">
        <v>16011</v>
      </c>
      <c r="D4" s="15" t="s">
        <v>316</v>
      </c>
      <c r="E4" s="15" t="s">
        <v>305</v>
      </c>
      <c r="F4" s="15" t="s">
        <v>16935</v>
      </c>
      <c r="G4" s="15"/>
      <c r="H4" s="15"/>
      <c r="I4" s="15" t="s">
        <v>528</v>
      </c>
      <c r="J4" s="15" t="s">
        <v>15991</v>
      </c>
    </row>
    <row r="5" spans="2:10">
      <c r="B5" s="15" t="s">
        <v>16933</v>
      </c>
      <c r="C5" s="15" t="s">
        <v>16936</v>
      </c>
      <c r="D5" s="15" t="s">
        <v>513</v>
      </c>
      <c r="E5" s="15" t="s">
        <v>305</v>
      </c>
      <c r="F5" s="15" t="s">
        <v>16937</v>
      </c>
      <c r="G5" s="15"/>
      <c r="H5" s="15"/>
      <c r="I5" s="15" t="s">
        <v>528</v>
      </c>
      <c r="J5" s="15" t="s">
        <v>15991</v>
      </c>
    </row>
    <row r="6" spans="2:10">
      <c r="B6" s="15" t="s">
        <v>16933</v>
      </c>
      <c r="C6" s="15" t="s">
        <v>16013</v>
      </c>
      <c r="D6" s="15" t="s">
        <v>371</v>
      </c>
      <c r="E6" s="15" t="s">
        <v>305</v>
      </c>
      <c r="F6" s="15" t="s">
        <v>16938</v>
      </c>
      <c r="G6" s="15"/>
      <c r="H6" s="15"/>
      <c r="I6" s="15" t="s">
        <v>528</v>
      </c>
      <c r="J6" s="15" t="s">
        <v>15991</v>
      </c>
    </row>
  </sheetData>
  <pageMargins left="0.75" right="0.75" top="1" bottom="1" header="0.5" footer="0.5"/>
  <pageSetup paperSize="1" orientation="portrait" horizontalDpi="300" verticalDpi="300"/>
  <headerFooter alignWithMargins="0" scaleWithDoc="0"/>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5"/>
  <sheetViews>
    <sheetView zoomScaleSheetLayoutView="60" workbookViewId="0">
      <selection activeCell="D33" sqref="D33"/>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52" t="str">
        <f>HYPERLINK("#表结构清单!A1","返回")</f>
        <v>返回</v>
      </c>
      <c r="B1" t="s">
        <v>182</v>
      </c>
    </row>
    <row r="2" spans="2:10">
      <c r="B2" s="13" t="s">
        <v>15982</v>
      </c>
      <c r="C2" s="13" t="s">
        <v>297</v>
      </c>
      <c r="D2" s="13" t="s">
        <v>11870</v>
      </c>
      <c r="E2" s="13" t="s">
        <v>15983</v>
      </c>
      <c r="F2" s="13" t="s">
        <v>15984</v>
      </c>
      <c r="G2" s="13" t="s">
        <v>300</v>
      </c>
      <c r="H2" s="13" t="s">
        <v>301</v>
      </c>
      <c r="I2" s="13" t="s">
        <v>15985</v>
      </c>
      <c r="J2" s="13" t="s">
        <v>15986</v>
      </c>
    </row>
    <row r="3" spans="2:10">
      <c r="B3" s="15" t="s">
        <v>16939</v>
      </c>
      <c r="C3" s="15" t="s">
        <v>15988</v>
      </c>
      <c r="D3" s="15" t="s">
        <v>316</v>
      </c>
      <c r="E3" s="15" t="s">
        <v>15989</v>
      </c>
      <c r="F3" s="15" t="s">
        <v>16940</v>
      </c>
      <c r="G3" s="15"/>
      <c r="H3" s="15"/>
      <c r="I3" s="15" t="s">
        <v>528</v>
      </c>
      <c r="J3" s="15" t="s">
        <v>15991</v>
      </c>
    </row>
    <row r="4" spans="2:10">
      <c r="B4" s="15" t="s">
        <v>16939</v>
      </c>
      <c r="C4" s="15" t="s">
        <v>16894</v>
      </c>
      <c r="D4" s="15" t="s">
        <v>316</v>
      </c>
      <c r="E4" s="15" t="s">
        <v>305</v>
      </c>
      <c r="F4" s="15" t="s">
        <v>16895</v>
      </c>
      <c r="G4" s="52" t="str">
        <f>HYPERLINK("#码值映射清单!B2469","Currency")</f>
        <v>Currency</v>
      </c>
      <c r="H4" s="15"/>
      <c r="I4" s="15" t="s">
        <v>528</v>
      </c>
      <c r="J4" s="15" t="s">
        <v>15991</v>
      </c>
    </row>
    <row r="5" spans="2:10">
      <c r="B5" s="15" t="s">
        <v>16939</v>
      </c>
      <c r="C5" s="15" t="s">
        <v>16941</v>
      </c>
      <c r="D5" s="15" t="s">
        <v>506</v>
      </c>
      <c r="E5" s="15" t="s">
        <v>305</v>
      </c>
      <c r="F5" s="15" t="s">
        <v>309</v>
      </c>
      <c r="G5" s="52" t="str">
        <f>HYPERLINK("#码值映射清单!B2469","Currency")</f>
        <v>Currency</v>
      </c>
      <c r="H5" s="15"/>
      <c r="I5" s="15" t="s">
        <v>528</v>
      </c>
      <c r="J5" s="15" t="s">
        <v>15991</v>
      </c>
    </row>
    <row r="6" spans="2:10">
      <c r="B6" s="15" t="s">
        <v>16939</v>
      </c>
      <c r="C6" s="15" t="s">
        <v>512</v>
      </c>
      <c r="D6" s="15" t="s">
        <v>513</v>
      </c>
      <c r="E6" s="15" t="s">
        <v>305</v>
      </c>
      <c r="F6" s="15" t="s">
        <v>16942</v>
      </c>
      <c r="G6" s="52" t="str">
        <f>HYPERLINK("#码值映射清单!B2469","Currency")</f>
        <v>Currency</v>
      </c>
      <c r="H6" s="15"/>
      <c r="I6" s="15" t="s">
        <v>528</v>
      </c>
      <c r="J6" s="15" t="s">
        <v>15991</v>
      </c>
    </row>
    <row r="7" spans="2:10">
      <c r="B7" s="15" t="s">
        <v>16939</v>
      </c>
      <c r="C7" s="15" t="s">
        <v>16943</v>
      </c>
      <c r="D7" s="15" t="s">
        <v>350</v>
      </c>
      <c r="E7" s="15" t="s">
        <v>305</v>
      </c>
      <c r="F7" s="15" t="s">
        <v>16944</v>
      </c>
      <c r="G7" s="15"/>
      <c r="H7" s="15"/>
      <c r="I7" s="15" t="s">
        <v>528</v>
      </c>
      <c r="J7" s="15" t="s">
        <v>15991</v>
      </c>
    </row>
    <row r="8" spans="2:10">
      <c r="B8" s="15" t="s">
        <v>16939</v>
      </c>
      <c r="C8" s="15" t="s">
        <v>16945</v>
      </c>
      <c r="D8" s="15" t="s">
        <v>316</v>
      </c>
      <c r="E8" s="15" t="s">
        <v>305</v>
      </c>
      <c r="F8" s="15" t="s">
        <v>16946</v>
      </c>
      <c r="G8" s="15"/>
      <c r="H8" s="15"/>
      <c r="I8" s="15" t="s">
        <v>528</v>
      </c>
      <c r="J8" s="15" t="s">
        <v>15991</v>
      </c>
    </row>
    <row r="9" spans="2:10">
      <c r="B9" s="15" t="s">
        <v>16939</v>
      </c>
      <c r="C9" s="15" t="s">
        <v>16947</v>
      </c>
      <c r="D9" s="15" t="s">
        <v>371</v>
      </c>
      <c r="E9" s="15" t="s">
        <v>305</v>
      </c>
      <c r="F9" s="15" t="s">
        <v>16948</v>
      </c>
      <c r="G9" s="15"/>
      <c r="H9" s="15"/>
      <c r="I9" s="15" t="s">
        <v>528</v>
      </c>
      <c r="J9" s="15" t="s">
        <v>15991</v>
      </c>
    </row>
    <row r="10" spans="2:10">
      <c r="B10" s="15" t="s">
        <v>16939</v>
      </c>
      <c r="C10" s="15" t="s">
        <v>16949</v>
      </c>
      <c r="D10" s="15" t="s">
        <v>371</v>
      </c>
      <c r="E10" s="15" t="s">
        <v>305</v>
      </c>
      <c r="F10" s="15" t="s">
        <v>16950</v>
      </c>
      <c r="G10" s="15"/>
      <c r="H10" s="15"/>
      <c r="I10" s="15" t="s">
        <v>528</v>
      </c>
      <c r="J10" s="15" t="s">
        <v>15991</v>
      </c>
    </row>
    <row r="11" spans="2:10">
      <c r="B11" s="15" t="s">
        <v>16939</v>
      </c>
      <c r="C11" s="15" t="s">
        <v>16011</v>
      </c>
      <c r="D11" s="15" t="s">
        <v>316</v>
      </c>
      <c r="E11" s="15" t="s">
        <v>305</v>
      </c>
      <c r="F11" s="15" t="s">
        <v>16012</v>
      </c>
      <c r="G11" s="15"/>
      <c r="H11" s="15"/>
      <c r="I11" s="15" t="s">
        <v>528</v>
      </c>
      <c r="J11" s="15" t="s">
        <v>15991</v>
      </c>
    </row>
    <row r="12" spans="2:10">
      <c r="B12" s="15" t="s">
        <v>16939</v>
      </c>
      <c r="C12" s="15" t="s">
        <v>16009</v>
      </c>
      <c r="D12" s="15" t="s">
        <v>316</v>
      </c>
      <c r="E12" s="15" t="s">
        <v>305</v>
      </c>
      <c r="F12" s="15" t="s">
        <v>16010</v>
      </c>
      <c r="G12" s="15"/>
      <c r="H12" s="15"/>
      <c r="I12" s="15" t="s">
        <v>528</v>
      </c>
      <c r="J12" s="15" t="s">
        <v>15991</v>
      </c>
    </row>
    <row r="13" spans="2:10">
      <c r="B13" s="15" t="s">
        <v>16939</v>
      </c>
      <c r="C13" s="15" t="s">
        <v>16013</v>
      </c>
      <c r="D13" s="15" t="s">
        <v>371</v>
      </c>
      <c r="E13" s="15" t="s">
        <v>305</v>
      </c>
      <c r="F13" s="15" t="s">
        <v>16014</v>
      </c>
      <c r="G13" s="15"/>
      <c r="H13" s="15"/>
      <c r="I13" s="15" t="s">
        <v>528</v>
      </c>
      <c r="J13" s="15" t="s">
        <v>15991</v>
      </c>
    </row>
    <row r="14" spans="2:10">
      <c r="B14" s="15" t="s">
        <v>16939</v>
      </c>
      <c r="C14" s="15" t="s">
        <v>16017</v>
      </c>
      <c r="D14" s="15" t="s">
        <v>316</v>
      </c>
      <c r="E14" s="15" t="s">
        <v>305</v>
      </c>
      <c r="F14" s="15" t="s">
        <v>16018</v>
      </c>
      <c r="G14" s="15"/>
      <c r="H14" s="15"/>
      <c r="I14" s="15" t="s">
        <v>528</v>
      </c>
      <c r="J14" s="15" t="s">
        <v>15991</v>
      </c>
    </row>
    <row r="15" spans="2:10">
      <c r="B15" s="15" t="s">
        <v>16939</v>
      </c>
      <c r="C15" s="15" t="s">
        <v>16015</v>
      </c>
      <c r="D15" s="15" t="s">
        <v>316</v>
      </c>
      <c r="E15" s="15" t="s">
        <v>305</v>
      </c>
      <c r="F15" s="15" t="s">
        <v>16016</v>
      </c>
      <c r="G15" s="15"/>
      <c r="H15" s="15"/>
      <c r="I15" s="15" t="s">
        <v>528</v>
      </c>
      <c r="J15" s="15" t="s">
        <v>15991</v>
      </c>
    </row>
    <row r="16" spans="2:10">
      <c r="B16" s="15" t="s">
        <v>16939</v>
      </c>
      <c r="C16" s="15" t="s">
        <v>16019</v>
      </c>
      <c r="D16" s="15" t="s">
        <v>371</v>
      </c>
      <c r="E16" s="15" t="s">
        <v>305</v>
      </c>
      <c r="F16" s="15" t="s">
        <v>16020</v>
      </c>
      <c r="G16" s="15"/>
      <c r="H16" s="15"/>
      <c r="I16" s="15" t="s">
        <v>528</v>
      </c>
      <c r="J16" s="15" t="s">
        <v>15991</v>
      </c>
    </row>
    <row r="17" spans="2:10">
      <c r="B17" s="15" t="s">
        <v>16939</v>
      </c>
      <c r="C17" s="15" t="s">
        <v>16088</v>
      </c>
      <c r="D17" s="15" t="s">
        <v>316</v>
      </c>
      <c r="E17" s="15" t="s">
        <v>305</v>
      </c>
      <c r="F17" s="15" t="s">
        <v>16089</v>
      </c>
      <c r="G17" s="15"/>
      <c r="H17" s="15"/>
      <c r="I17" s="15" t="s">
        <v>528</v>
      </c>
      <c r="J17" s="15" t="s">
        <v>15991</v>
      </c>
    </row>
    <row r="18" spans="2:10">
      <c r="B18" s="15" t="s">
        <v>16939</v>
      </c>
      <c r="C18" s="15" t="s">
        <v>16951</v>
      </c>
      <c r="D18" s="15" t="s">
        <v>506</v>
      </c>
      <c r="E18" s="15" t="s">
        <v>305</v>
      </c>
      <c r="F18" s="15" t="s">
        <v>16952</v>
      </c>
      <c r="G18" s="55"/>
      <c r="H18" s="15"/>
      <c r="I18" s="15" t="s">
        <v>528</v>
      </c>
      <c r="J18" s="15" t="s">
        <v>15991</v>
      </c>
    </row>
    <row r="19" spans="2:10">
      <c r="B19" s="15" t="s">
        <v>16939</v>
      </c>
      <c r="C19" s="15" t="s">
        <v>16953</v>
      </c>
      <c r="D19" s="15" t="s">
        <v>513</v>
      </c>
      <c r="E19" s="15" t="s">
        <v>305</v>
      </c>
      <c r="F19" s="15" t="s">
        <v>16954</v>
      </c>
      <c r="G19" s="15"/>
      <c r="H19" s="15"/>
      <c r="I19" s="15" t="s">
        <v>528</v>
      </c>
      <c r="J19" s="15" t="s">
        <v>15991</v>
      </c>
    </row>
    <row r="20" spans="2:10">
      <c r="B20" s="15" t="s">
        <v>16939</v>
      </c>
      <c r="C20" s="15" t="s">
        <v>16955</v>
      </c>
      <c r="D20" s="15" t="s">
        <v>321</v>
      </c>
      <c r="E20" s="15" t="s">
        <v>305</v>
      </c>
      <c r="F20" s="15" t="s">
        <v>16956</v>
      </c>
      <c r="G20" s="15"/>
      <c r="H20" s="15"/>
      <c r="I20" s="15" t="s">
        <v>528</v>
      </c>
      <c r="J20" s="15" t="s">
        <v>15991</v>
      </c>
    </row>
    <row r="21" spans="2:10">
      <c r="B21" s="15" t="s">
        <v>16939</v>
      </c>
      <c r="C21" s="15" t="s">
        <v>16126</v>
      </c>
      <c r="D21" s="15" t="s">
        <v>513</v>
      </c>
      <c r="E21" s="15" t="s">
        <v>305</v>
      </c>
      <c r="F21" s="15" t="s">
        <v>10877</v>
      </c>
      <c r="G21" s="52" t="str">
        <f>HYPERLINK("#码值映射清单!B8642","ContractStatus")</f>
        <v>ContractStatus</v>
      </c>
      <c r="H21" s="15"/>
      <c r="I21" s="15" t="s">
        <v>528</v>
      </c>
      <c r="J21" s="15" t="s">
        <v>15991</v>
      </c>
    </row>
    <row r="22" spans="2:10">
      <c r="B22" s="15" t="s">
        <v>16939</v>
      </c>
      <c r="C22" s="15" t="s">
        <v>16957</v>
      </c>
      <c r="D22" s="15" t="s">
        <v>513</v>
      </c>
      <c r="E22" s="15" t="s">
        <v>305</v>
      </c>
      <c r="F22" s="15" t="s">
        <v>3329</v>
      </c>
      <c r="G22" s="15"/>
      <c r="H22" s="15"/>
      <c r="I22" s="15" t="s">
        <v>528</v>
      </c>
      <c r="J22" s="15" t="s">
        <v>15991</v>
      </c>
    </row>
    <row r="23" spans="2:10">
      <c r="B23" s="15" t="s">
        <v>16939</v>
      </c>
      <c r="C23" s="15" t="s">
        <v>16958</v>
      </c>
      <c r="D23" s="15" t="s">
        <v>316</v>
      </c>
      <c r="E23" s="15" t="s">
        <v>305</v>
      </c>
      <c r="F23" s="15" t="s">
        <v>16959</v>
      </c>
      <c r="G23" s="52" t="str">
        <f>HYPERLINK("#码值映射清单!B5150","YesNo")</f>
        <v>YesNo</v>
      </c>
      <c r="H23" s="15"/>
      <c r="I23" s="15" t="s">
        <v>528</v>
      </c>
      <c r="J23" s="15" t="s">
        <v>15991</v>
      </c>
    </row>
    <row r="24" spans="2:10">
      <c r="B24" s="15" t="s">
        <v>16939</v>
      </c>
      <c r="C24" s="15" t="s">
        <v>16960</v>
      </c>
      <c r="D24" s="15" t="s">
        <v>316</v>
      </c>
      <c r="E24" s="15" t="s">
        <v>305</v>
      </c>
      <c r="F24" s="15" t="s">
        <v>16961</v>
      </c>
      <c r="G24" s="15"/>
      <c r="H24" s="15"/>
      <c r="I24" s="15" t="s">
        <v>528</v>
      </c>
      <c r="J24" s="15" t="s">
        <v>15991</v>
      </c>
    </row>
    <row r="25" spans="2:10">
      <c r="B25" s="15" t="s">
        <v>16939</v>
      </c>
      <c r="C25" s="15" t="s">
        <v>16962</v>
      </c>
      <c r="D25" s="15" t="s">
        <v>350</v>
      </c>
      <c r="E25" s="15" t="s">
        <v>305</v>
      </c>
      <c r="F25" s="15" t="s">
        <v>16963</v>
      </c>
      <c r="G25" s="15"/>
      <c r="H25" s="15"/>
      <c r="I25" s="15" t="s">
        <v>528</v>
      </c>
      <c r="J25" s="15" t="s">
        <v>15991</v>
      </c>
    </row>
  </sheetData>
  <pageMargins left="0.75" right="0.75" top="1" bottom="1" header="0.5" footer="0.5"/>
  <pageSetup paperSize="1" orientation="portrait" horizontalDpi="300" verticalDpi="300"/>
  <headerFooter alignWithMargins="0" scaleWithDoc="0"/>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5"/>
  <sheetViews>
    <sheetView zoomScaleSheetLayoutView="60" workbookViewId="0">
      <selection activeCell="E20" sqref="E20"/>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52" t="str">
        <f>HYPERLINK("#表结构清单!A1","返回")</f>
        <v>返回</v>
      </c>
      <c r="B1" t="s">
        <v>16964</v>
      </c>
    </row>
    <row r="2" spans="2:10">
      <c r="B2" s="13" t="s">
        <v>15982</v>
      </c>
      <c r="C2" s="13" t="s">
        <v>297</v>
      </c>
      <c r="D2" s="13" t="s">
        <v>11870</v>
      </c>
      <c r="E2" s="13" t="s">
        <v>15983</v>
      </c>
      <c r="F2" s="13" t="s">
        <v>15984</v>
      </c>
      <c r="G2" s="13" t="s">
        <v>300</v>
      </c>
      <c r="H2" s="13" t="s">
        <v>301</v>
      </c>
      <c r="I2" s="13" t="s">
        <v>15985</v>
      </c>
      <c r="J2" s="13" t="s">
        <v>15986</v>
      </c>
    </row>
    <row r="3" spans="2:10">
      <c r="B3" s="15" t="s">
        <v>16965</v>
      </c>
      <c r="C3" s="15" t="s">
        <v>16966</v>
      </c>
      <c r="D3" s="15" t="s">
        <v>367</v>
      </c>
      <c r="E3" s="15" t="s">
        <v>15989</v>
      </c>
      <c r="F3" s="15" t="s">
        <v>16967</v>
      </c>
      <c r="G3" s="15"/>
      <c r="H3" s="15"/>
      <c r="I3" s="15" t="s">
        <v>528</v>
      </c>
      <c r="J3" s="15" t="s">
        <v>15991</v>
      </c>
    </row>
    <row r="4" spans="2:10">
      <c r="B4" s="15" t="s">
        <v>16965</v>
      </c>
      <c r="C4" s="15" t="s">
        <v>16968</v>
      </c>
      <c r="D4" s="15" t="s">
        <v>316</v>
      </c>
      <c r="E4" s="15" t="s">
        <v>305</v>
      </c>
      <c r="F4" s="15" t="s">
        <v>16969</v>
      </c>
      <c r="G4" s="15"/>
      <c r="H4" s="15"/>
      <c r="I4" s="15" t="s">
        <v>528</v>
      </c>
      <c r="J4" s="15" t="s">
        <v>15991</v>
      </c>
    </row>
    <row r="5" spans="2:10">
      <c r="B5" s="15" t="s">
        <v>16965</v>
      </c>
      <c r="C5" s="15" t="s">
        <v>16970</v>
      </c>
      <c r="D5" s="15" t="s">
        <v>327</v>
      </c>
      <c r="E5" s="15" t="s">
        <v>305</v>
      </c>
      <c r="F5" s="15" t="s">
        <v>16971</v>
      </c>
      <c r="G5" s="15"/>
      <c r="H5" s="15"/>
      <c r="I5" s="15" t="s">
        <v>528</v>
      </c>
      <c r="J5" s="15" t="s">
        <v>15991</v>
      </c>
    </row>
    <row r="6" spans="2:10">
      <c r="B6" s="15" t="s">
        <v>16965</v>
      </c>
      <c r="C6" s="15" t="s">
        <v>16972</v>
      </c>
      <c r="D6" s="15" t="s">
        <v>367</v>
      </c>
      <c r="E6" s="15" t="s">
        <v>305</v>
      </c>
      <c r="F6" s="15" t="s">
        <v>16973</v>
      </c>
      <c r="G6" s="15"/>
      <c r="H6" s="15"/>
      <c r="I6" s="15" t="s">
        <v>528</v>
      </c>
      <c r="J6" s="15" t="s">
        <v>15991</v>
      </c>
    </row>
    <row r="7" spans="2:10">
      <c r="B7" s="15" t="s">
        <v>16965</v>
      </c>
      <c r="C7" s="15" t="s">
        <v>16086</v>
      </c>
      <c r="D7" s="15" t="s">
        <v>327</v>
      </c>
      <c r="E7" s="15" t="s">
        <v>305</v>
      </c>
      <c r="F7" s="15" t="s">
        <v>301</v>
      </c>
      <c r="G7" s="15"/>
      <c r="H7" s="15"/>
      <c r="I7" s="15" t="s">
        <v>528</v>
      </c>
      <c r="J7" s="15" t="s">
        <v>15991</v>
      </c>
    </row>
    <row r="8" spans="2:10">
      <c r="B8" s="15" t="s">
        <v>16965</v>
      </c>
      <c r="C8" s="15" t="s">
        <v>16241</v>
      </c>
      <c r="D8" s="15" t="s">
        <v>506</v>
      </c>
      <c r="E8" s="15" t="s">
        <v>305</v>
      </c>
      <c r="F8" s="15" t="s">
        <v>16010</v>
      </c>
      <c r="G8" s="15"/>
      <c r="H8" s="15"/>
      <c r="I8" s="15" t="s">
        <v>528</v>
      </c>
      <c r="J8" s="15" t="s">
        <v>15991</v>
      </c>
    </row>
    <row r="9" spans="2:10">
      <c r="B9" s="15" t="s">
        <v>16965</v>
      </c>
      <c r="C9" s="15" t="s">
        <v>16053</v>
      </c>
      <c r="D9" s="15" t="s">
        <v>506</v>
      </c>
      <c r="E9" s="15" t="s">
        <v>305</v>
      </c>
      <c r="F9" s="15" t="s">
        <v>16012</v>
      </c>
      <c r="G9" s="15"/>
      <c r="H9" s="15"/>
      <c r="I9" s="15" t="s">
        <v>528</v>
      </c>
      <c r="J9" s="15" t="s">
        <v>15991</v>
      </c>
    </row>
    <row r="10" spans="2:10">
      <c r="B10" s="15" t="s">
        <v>16965</v>
      </c>
      <c r="C10" s="15" t="s">
        <v>16013</v>
      </c>
      <c r="D10" s="15" t="s">
        <v>371</v>
      </c>
      <c r="E10" s="15" t="s">
        <v>305</v>
      </c>
      <c r="F10" s="15" t="s">
        <v>16014</v>
      </c>
      <c r="G10" s="15"/>
      <c r="H10" s="15"/>
      <c r="I10" s="15" t="s">
        <v>528</v>
      </c>
      <c r="J10" s="15" t="s">
        <v>15991</v>
      </c>
    </row>
    <row r="11" spans="2:10">
      <c r="B11" s="15" t="s">
        <v>16965</v>
      </c>
      <c r="C11" s="15" t="s">
        <v>16532</v>
      </c>
      <c r="D11" s="15" t="s">
        <v>506</v>
      </c>
      <c r="E11" s="15" t="s">
        <v>305</v>
      </c>
      <c r="F11" s="15" t="s">
        <v>16016</v>
      </c>
      <c r="G11" s="15"/>
      <c r="H11" s="15"/>
      <c r="I11" s="15" t="s">
        <v>528</v>
      </c>
      <c r="J11" s="15" t="s">
        <v>15991</v>
      </c>
    </row>
    <row r="12" spans="2:10">
      <c r="B12" s="15" t="s">
        <v>16965</v>
      </c>
      <c r="C12" s="15" t="s">
        <v>16243</v>
      </c>
      <c r="D12" s="15" t="s">
        <v>506</v>
      </c>
      <c r="E12" s="15" t="s">
        <v>305</v>
      </c>
      <c r="F12" s="15" t="s">
        <v>16018</v>
      </c>
      <c r="G12" s="15"/>
      <c r="H12" s="15"/>
      <c r="I12" s="15" t="s">
        <v>528</v>
      </c>
      <c r="J12" s="15" t="s">
        <v>15991</v>
      </c>
    </row>
    <row r="13" spans="2:10">
      <c r="B13" s="15" t="s">
        <v>16965</v>
      </c>
      <c r="C13" s="15" t="s">
        <v>16019</v>
      </c>
      <c r="D13" s="15" t="s">
        <v>371</v>
      </c>
      <c r="E13" s="15" t="s">
        <v>305</v>
      </c>
      <c r="F13" s="15" t="s">
        <v>16020</v>
      </c>
      <c r="G13" s="15"/>
      <c r="H13" s="15"/>
      <c r="I13" s="15" t="s">
        <v>528</v>
      </c>
      <c r="J13" s="15" t="s">
        <v>15991</v>
      </c>
    </row>
    <row r="14" spans="2:10">
      <c r="B14" s="15" t="s">
        <v>16965</v>
      </c>
      <c r="C14" s="15" t="s">
        <v>16237</v>
      </c>
      <c r="D14" s="15" t="s">
        <v>371</v>
      </c>
      <c r="E14" s="15" t="s">
        <v>305</v>
      </c>
      <c r="F14" s="15" t="s">
        <v>16014</v>
      </c>
      <c r="G14" s="15"/>
      <c r="H14" s="15"/>
      <c r="I14" s="15" t="s">
        <v>528</v>
      </c>
      <c r="J14" s="15" t="s">
        <v>15991</v>
      </c>
    </row>
    <row r="15" spans="2:10">
      <c r="B15" s="15" t="s">
        <v>16965</v>
      </c>
      <c r="C15" s="15" t="s">
        <v>16239</v>
      </c>
      <c r="D15" s="15" t="s">
        <v>371</v>
      </c>
      <c r="E15" s="15" t="s">
        <v>305</v>
      </c>
      <c r="F15" s="15" t="s">
        <v>16020</v>
      </c>
      <c r="G15" s="15"/>
      <c r="H15" s="15"/>
      <c r="I15" s="15" t="s">
        <v>528</v>
      </c>
      <c r="J15" s="15" t="s">
        <v>15991</v>
      </c>
    </row>
  </sheetData>
  <pageMargins left="0.75" right="0.75" top="1" bottom="1" header="0.5" footer="0.5"/>
  <pageSetup paperSize="1" orientation="portrait" horizontalDpi="300" verticalDpi="300"/>
  <headerFooter alignWithMargins="0" scaleWithDoc="0"/>
</worksheet>
</file>

<file path=xl/worksheets/sheet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8"/>
  <sheetViews>
    <sheetView zoomScaleSheetLayoutView="60" workbookViewId="0">
      <selection activeCell="A1" sqref="A1"/>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52" t="str">
        <f>HYPERLINK("#表结构清单!A1","返回")</f>
        <v>返回</v>
      </c>
      <c r="B1" t="s">
        <v>16974</v>
      </c>
    </row>
    <row r="2" spans="2:10">
      <c r="B2" s="13" t="s">
        <v>15982</v>
      </c>
      <c r="C2" s="13" t="s">
        <v>297</v>
      </c>
      <c r="D2" s="13" t="s">
        <v>11870</v>
      </c>
      <c r="E2" s="13" t="s">
        <v>15983</v>
      </c>
      <c r="F2" s="13" t="s">
        <v>15984</v>
      </c>
      <c r="G2" s="13" t="s">
        <v>300</v>
      </c>
      <c r="H2" s="13" t="s">
        <v>301</v>
      </c>
      <c r="I2" s="13" t="s">
        <v>15985</v>
      </c>
      <c r="J2" s="13" t="s">
        <v>15986</v>
      </c>
    </row>
    <row r="3" spans="2:10">
      <c r="B3" s="15" t="s">
        <v>16975</v>
      </c>
      <c r="C3" s="15" t="s">
        <v>16966</v>
      </c>
      <c r="D3" s="15" t="s">
        <v>506</v>
      </c>
      <c r="E3" s="15" t="s">
        <v>15989</v>
      </c>
      <c r="F3" s="15" t="s">
        <v>16967</v>
      </c>
      <c r="G3" s="15"/>
      <c r="H3" s="15"/>
      <c r="I3" s="15" t="s">
        <v>528</v>
      </c>
      <c r="J3" s="15" t="s">
        <v>15991</v>
      </c>
    </row>
    <row r="4" spans="2:10">
      <c r="B4" s="15" t="s">
        <v>16975</v>
      </c>
      <c r="C4" s="15" t="s">
        <v>16976</v>
      </c>
      <c r="D4" s="15" t="s">
        <v>506</v>
      </c>
      <c r="E4" s="15" t="s">
        <v>15989</v>
      </c>
      <c r="F4" s="15" t="s">
        <v>16977</v>
      </c>
      <c r="G4" s="15"/>
      <c r="H4" s="15"/>
      <c r="I4" s="15" t="s">
        <v>528</v>
      </c>
      <c r="J4" s="15" t="s">
        <v>15991</v>
      </c>
    </row>
    <row r="5" spans="2:10">
      <c r="B5" s="15" t="s">
        <v>16975</v>
      </c>
      <c r="C5" s="15" t="s">
        <v>16978</v>
      </c>
      <c r="D5" s="15" t="s">
        <v>513</v>
      </c>
      <c r="E5" s="15" t="s">
        <v>305</v>
      </c>
      <c r="F5" s="15" t="s">
        <v>7500</v>
      </c>
      <c r="G5" s="52" t="str">
        <f>HYPERLINK("#码值映射清单!B5641","MethodType")</f>
        <v>MethodType</v>
      </c>
      <c r="H5" s="15"/>
      <c r="I5" s="15" t="s">
        <v>528</v>
      </c>
      <c r="J5" s="15" t="s">
        <v>15991</v>
      </c>
    </row>
    <row r="6" spans="2:10">
      <c r="B6" s="15" t="s">
        <v>16975</v>
      </c>
      <c r="C6" s="15" t="s">
        <v>16979</v>
      </c>
      <c r="D6" s="15" t="s">
        <v>327</v>
      </c>
      <c r="E6" s="15" t="s">
        <v>305</v>
      </c>
      <c r="F6" s="15" t="s">
        <v>16316</v>
      </c>
      <c r="G6" s="15"/>
      <c r="H6" s="15"/>
      <c r="I6" s="15" t="s">
        <v>528</v>
      </c>
      <c r="J6" s="15" t="s">
        <v>15991</v>
      </c>
    </row>
    <row r="7" spans="2:10">
      <c r="B7" s="15" t="s">
        <v>16975</v>
      </c>
      <c r="C7" s="15" t="s">
        <v>16980</v>
      </c>
      <c r="D7" s="15" t="s">
        <v>513</v>
      </c>
      <c r="E7" s="15" t="s">
        <v>305</v>
      </c>
      <c r="F7" s="15" t="s">
        <v>16981</v>
      </c>
      <c r="G7" s="15"/>
      <c r="H7" s="15"/>
      <c r="I7" s="15" t="s">
        <v>528</v>
      </c>
      <c r="J7" s="15" t="s">
        <v>15991</v>
      </c>
    </row>
    <row r="8" spans="2:10">
      <c r="B8" s="15" t="s">
        <v>16975</v>
      </c>
      <c r="C8" s="15" t="s">
        <v>16982</v>
      </c>
      <c r="D8" s="15" t="s">
        <v>327</v>
      </c>
      <c r="E8" s="15" t="s">
        <v>305</v>
      </c>
      <c r="F8" s="15" t="s">
        <v>16314</v>
      </c>
      <c r="G8" s="15"/>
      <c r="H8" s="15"/>
      <c r="I8" s="15" t="s">
        <v>528</v>
      </c>
      <c r="J8" s="15" t="s">
        <v>15991</v>
      </c>
    </row>
    <row r="9" spans="2:10">
      <c r="B9" s="15" t="s">
        <v>16975</v>
      </c>
      <c r="C9" s="15" t="s">
        <v>16983</v>
      </c>
      <c r="D9" s="15" t="s">
        <v>16115</v>
      </c>
      <c r="E9" s="15" t="s">
        <v>305</v>
      </c>
      <c r="F9" s="15" t="s">
        <v>16984</v>
      </c>
      <c r="G9" s="15"/>
      <c r="H9" s="15"/>
      <c r="I9" s="15" t="s">
        <v>528</v>
      </c>
      <c r="J9" s="15" t="s">
        <v>15991</v>
      </c>
    </row>
    <row r="10" spans="2:10">
      <c r="B10" s="15" t="s">
        <v>16975</v>
      </c>
      <c r="C10" s="15" t="s">
        <v>16086</v>
      </c>
      <c r="D10" s="15" t="s">
        <v>327</v>
      </c>
      <c r="E10" s="15" t="s">
        <v>305</v>
      </c>
      <c r="F10" s="15" t="s">
        <v>301</v>
      </c>
      <c r="G10" s="15"/>
      <c r="H10" s="15"/>
      <c r="I10" s="15" t="s">
        <v>528</v>
      </c>
      <c r="J10" s="15" t="s">
        <v>15991</v>
      </c>
    </row>
    <row r="11" spans="2:10">
      <c r="B11" s="15" t="s">
        <v>16975</v>
      </c>
      <c r="C11" s="15" t="s">
        <v>16053</v>
      </c>
      <c r="D11" s="15" t="s">
        <v>506</v>
      </c>
      <c r="E11" s="15" t="s">
        <v>305</v>
      </c>
      <c r="F11" s="15" t="s">
        <v>16012</v>
      </c>
      <c r="G11" s="15"/>
      <c r="H11" s="15"/>
      <c r="I11" s="15" t="s">
        <v>528</v>
      </c>
      <c r="J11" s="15" t="s">
        <v>15991</v>
      </c>
    </row>
    <row r="12" spans="2:10">
      <c r="B12" s="15" t="s">
        <v>16975</v>
      </c>
      <c r="C12" s="15" t="s">
        <v>16241</v>
      </c>
      <c r="D12" s="15" t="s">
        <v>506</v>
      </c>
      <c r="E12" s="15" t="s">
        <v>305</v>
      </c>
      <c r="F12" s="15" t="s">
        <v>16010</v>
      </c>
      <c r="G12" s="15"/>
      <c r="H12" s="15"/>
      <c r="I12" s="15" t="s">
        <v>528</v>
      </c>
      <c r="J12" s="15" t="s">
        <v>15991</v>
      </c>
    </row>
    <row r="13" spans="2:10">
      <c r="B13" s="15" t="s">
        <v>16975</v>
      </c>
      <c r="C13" s="15" t="s">
        <v>16013</v>
      </c>
      <c r="D13" s="15" t="s">
        <v>371</v>
      </c>
      <c r="E13" s="15" t="s">
        <v>305</v>
      </c>
      <c r="F13" s="15" t="s">
        <v>16014</v>
      </c>
      <c r="G13" s="15"/>
      <c r="H13" s="15"/>
      <c r="I13" s="15" t="s">
        <v>528</v>
      </c>
      <c r="J13" s="15" t="s">
        <v>15991</v>
      </c>
    </row>
    <row r="14" spans="2:10">
      <c r="B14" s="15" t="s">
        <v>16975</v>
      </c>
      <c r="C14" s="15" t="s">
        <v>16243</v>
      </c>
      <c r="D14" s="15" t="s">
        <v>506</v>
      </c>
      <c r="E14" s="15" t="s">
        <v>305</v>
      </c>
      <c r="F14" s="15" t="s">
        <v>16018</v>
      </c>
      <c r="G14" s="15"/>
      <c r="H14" s="15"/>
      <c r="I14" s="15" t="s">
        <v>528</v>
      </c>
      <c r="J14" s="15" t="s">
        <v>15991</v>
      </c>
    </row>
    <row r="15" spans="2:10">
      <c r="B15" s="15" t="s">
        <v>16975</v>
      </c>
      <c r="C15" s="15" t="s">
        <v>16532</v>
      </c>
      <c r="D15" s="15" t="s">
        <v>506</v>
      </c>
      <c r="E15" s="15" t="s">
        <v>305</v>
      </c>
      <c r="F15" s="15" t="s">
        <v>16016</v>
      </c>
      <c r="G15" s="15"/>
      <c r="H15" s="15"/>
      <c r="I15" s="15" t="s">
        <v>528</v>
      </c>
      <c r="J15" s="15" t="s">
        <v>15991</v>
      </c>
    </row>
    <row r="16" spans="2:10">
      <c r="B16" s="15" t="s">
        <v>16975</v>
      </c>
      <c r="C16" s="15" t="s">
        <v>16019</v>
      </c>
      <c r="D16" s="15" t="s">
        <v>371</v>
      </c>
      <c r="E16" s="15" t="s">
        <v>305</v>
      </c>
      <c r="F16" s="15" t="s">
        <v>16014</v>
      </c>
      <c r="G16" s="15"/>
      <c r="H16" s="15"/>
      <c r="I16" s="15" t="s">
        <v>528</v>
      </c>
      <c r="J16" s="15" t="s">
        <v>15991</v>
      </c>
    </row>
    <row r="17" spans="2:10">
      <c r="B17" s="15" t="s">
        <v>16975</v>
      </c>
      <c r="C17" s="15" t="s">
        <v>16237</v>
      </c>
      <c r="D17" s="15" t="s">
        <v>371</v>
      </c>
      <c r="E17" s="15" t="s">
        <v>305</v>
      </c>
      <c r="F17" s="15" t="s">
        <v>16274</v>
      </c>
      <c r="G17" s="15"/>
      <c r="H17" s="15"/>
      <c r="I17" s="15" t="s">
        <v>528</v>
      </c>
      <c r="J17" s="15" t="s">
        <v>15991</v>
      </c>
    </row>
    <row r="18" spans="2:10">
      <c r="B18" s="15" t="s">
        <v>16975</v>
      </c>
      <c r="C18" s="15" t="s">
        <v>16239</v>
      </c>
      <c r="D18" s="15" t="s">
        <v>371</v>
      </c>
      <c r="E18" s="15" t="s">
        <v>305</v>
      </c>
      <c r="F18" s="15" t="s">
        <v>16236</v>
      </c>
      <c r="G18" s="15"/>
      <c r="H18" s="15"/>
      <c r="I18" s="15" t="s">
        <v>528</v>
      </c>
      <c r="J18" s="15" t="s">
        <v>15991</v>
      </c>
    </row>
  </sheetData>
  <pageMargins left="0.75" right="0.75" top="1" bottom="1" header="0.5" footer="0.5"/>
  <pageSetup paperSize="1" orientation="portrait" horizontalDpi="300" verticalDpi="300"/>
  <headerFooter alignWithMargins="0" scaleWithDoc="0"/>
</worksheet>
</file>

<file path=xl/worksheets/sheet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66"/>
  <sheetViews>
    <sheetView zoomScaleSheetLayoutView="60" workbookViewId="0">
      <pane ySplit="2" topLeftCell="A56" activePane="bottomLeft" state="frozen"/>
      <selection/>
      <selection pane="bottomLeft" activeCell="C56" sqref="C56:H56"/>
    </sheetView>
  </sheetViews>
  <sheetFormatPr defaultColWidth="9.14285714285714" defaultRowHeight="15.2"/>
  <cols>
    <col min="2" max="2" width="19.5357142857143" customWidth="1"/>
    <col min="3" max="3" width="28.8660714285714" customWidth="1"/>
    <col min="4" max="4" width="15.625" customWidth="1"/>
    <col min="5" max="5" width="7.80357142857143" customWidth="1"/>
    <col min="6" max="6" width="39.0625" customWidth="1"/>
    <col min="7" max="7" width="15.625" customWidth="1"/>
    <col min="10" max="10" width="11.7053571428571" customWidth="1"/>
    <col min="11" max="11" width="14.5803571428571" customWidth="1"/>
    <col min="12" max="12" width="17.1071428571429" customWidth="1"/>
  </cols>
  <sheetData>
    <row r="1" spans="1:2">
      <c r="A1" s="1" t="str">
        <f>HYPERLINK("#表结构清单!A1","返回")</f>
        <v>返回</v>
      </c>
      <c r="B1" t="s">
        <v>183</v>
      </c>
    </row>
    <row r="2" spans="2:10">
      <c r="B2" s="13" t="s">
        <v>15982</v>
      </c>
      <c r="C2" s="13" t="s">
        <v>297</v>
      </c>
      <c r="D2" s="13" t="s">
        <v>11870</v>
      </c>
      <c r="E2" s="13" t="s">
        <v>15983</v>
      </c>
      <c r="F2" s="13" t="s">
        <v>15984</v>
      </c>
      <c r="G2" s="13" t="s">
        <v>300</v>
      </c>
      <c r="H2" s="13" t="s">
        <v>301</v>
      </c>
      <c r="I2" s="13" t="s">
        <v>15985</v>
      </c>
      <c r="J2" s="13" t="s">
        <v>15986</v>
      </c>
    </row>
    <row r="3" spans="2:10">
      <c r="B3" s="15" t="s">
        <v>16985</v>
      </c>
      <c r="C3" s="15" t="s">
        <v>16103</v>
      </c>
      <c r="D3" s="15" t="s">
        <v>316</v>
      </c>
      <c r="E3" s="15" t="s">
        <v>15989</v>
      </c>
      <c r="F3" s="15" t="s">
        <v>16986</v>
      </c>
      <c r="G3" s="15"/>
      <c r="H3" s="15"/>
      <c r="I3" s="15" t="s">
        <v>528</v>
      </c>
      <c r="J3" s="15" t="s">
        <v>15991</v>
      </c>
    </row>
    <row r="4" spans="2:10">
      <c r="B4" s="15" t="s">
        <v>16985</v>
      </c>
      <c r="C4" s="15" t="s">
        <v>16987</v>
      </c>
      <c r="D4" s="15" t="s">
        <v>316</v>
      </c>
      <c r="E4" s="15" t="s">
        <v>305</v>
      </c>
      <c r="F4" s="15" t="s">
        <v>16988</v>
      </c>
      <c r="G4" s="15"/>
      <c r="H4" s="15"/>
      <c r="I4" s="15" t="s">
        <v>528</v>
      </c>
      <c r="J4" s="15" t="s">
        <v>15991</v>
      </c>
    </row>
    <row r="5" spans="2:10">
      <c r="B5" s="15" t="s">
        <v>16985</v>
      </c>
      <c r="C5" s="15" t="s">
        <v>16989</v>
      </c>
      <c r="D5" s="15" t="s">
        <v>321</v>
      </c>
      <c r="E5" s="15" t="s">
        <v>305</v>
      </c>
      <c r="F5" s="15" t="s">
        <v>16990</v>
      </c>
      <c r="G5" s="52" t="str">
        <f>HYPERLINK("#码值映射清单!B758","SavingMode")</f>
        <v>SavingMode</v>
      </c>
      <c r="H5" s="15"/>
      <c r="I5" s="15" t="s">
        <v>528</v>
      </c>
      <c r="J5" s="15" t="s">
        <v>15991</v>
      </c>
    </row>
    <row r="6" spans="2:10">
      <c r="B6" s="15" t="s">
        <v>16985</v>
      </c>
      <c r="C6" s="15" t="s">
        <v>16991</v>
      </c>
      <c r="D6" s="15" t="s">
        <v>371</v>
      </c>
      <c r="E6" s="15" t="s">
        <v>305</v>
      </c>
      <c r="F6" s="15" t="s">
        <v>16992</v>
      </c>
      <c r="G6" s="15"/>
      <c r="H6" s="15"/>
      <c r="I6" s="15" t="s">
        <v>528</v>
      </c>
      <c r="J6" s="15" t="s">
        <v>15991</v>
      </c>
    </row>
    <row r="7" spans="2:10">
      <c r="B7" s="15" t="s">
        <v>16985</v>
      </c>
      <c r="C7" s="15" t="s">
        <v>16993</v>
      </c>
      <c r="D7" s="15" t="s">
        <v>321</v>
      </c>
      <c r="E7" s="15" t="s">
        <v>305</v>
      </c>
      <c r="F7" s="15" t="s">
        <v>6170</v>
      </c>
      <c r="G7" s="15"/>
      <c r="H7" s="15"/>
      <c r="I7" s="15" t="s">
        <v>528</v>
      </c>
      <c r="J7" s="15" t="s">
        <v>15991</v>
      </c>
    </row>
    <row r="8" spans="2:10">
      <c r="B8" s="15" t="s">
        <v>16985</v>
      </c>
      <c r="C8" s="15" t="s">
        <v>16994</v>
      </c>
      <c r="D8" s="15" t="s">
        <v>316</v>
      </c>
      <c r="E8" s="15" t="s">
        <v>305</v>
      </c>
      <c r="F8" s="15" t="s">
        <v>16995</v>
      </c>
      <c r="G8" s="15"/>
      <c r="H8" s="15"/>
      <c r="I8" s="15" t="s">
        <v>528</v>
      </c>
      <c r="J8" s="15" t="s">
        <v>15991</v>
      </c>
    </row>
    <row r="9" spans="2:10">
      <c r="B9" s="15" t="s">
        <v>16985</v>
      </c>
      <c r="C9" s="15" t="s">
        <v>16996</v>
      </c>
      <c r="D9" s="15" t="s">
        <v>371</v>
      </c>
      <c r="E9" s="15" t="s">
        <v>305</v>
      </c>
      <c r="F9" s="15" t="s">
        <v>16997</v>
      </c>
      <c r="G9" s="15"/>
      <c r="H9" s="15"/>
      <c r="I9" s="15" t="s">
        <v>528</v>
      </c>
      <c r="J9" s="15" t="s">
        <v>15991</v>
      </c>
    </row>
    <row r="10" spans="2:10">
      <c r="B10" s="15" t="s">
        <v>16985</v>
      </c>
      <c r="C10" s="15" t="s">
        <v>16998</v>
      </c>
      <c r="D10" s="15" t="s">
        <v>506</v>
      </c>
      <c r="E10" s="15" t="s">
        <v>305</v>
      </c>
      <c r="F10" s="20" t="s">
        <v>16999</v>
      </c>
      <c r="G10" s="15"/>
      <c r="H10" s="15"/>
      <c r="I10" s="15" t="s">
        <v>528</v>
      </c>
      <c r="J10" s="15" t="s">
        <v>15991</v>
      </c>
    </row>
    <row r="11" spans="2:10">
      <c r="B11" s="15" t="s">
        <v>16985</v>
      </c>
      <c r="C11" s="15" t="s">
        <v>17000</v>
      </c>
      <c r="D11" s="15" t="s">
        <v>513</v>
      </c>
      <c r="E11" s="15" t="s">
        <v>305</v>
      </c>
      <c r="F11" s="20" t="s">
        <v>17001</v>
      </c>
      <c r="G11" s="52" t="str">
        <f>HYPERLINK("#码值映射清单!B6265","StockMarketType")</f>
        <v>StockMarketType</v>
      </c>
      <c r="H11" s="15"/>
      <c r="I11" s="15" t="s">
        <v>528</v>
      </c>
      <c r="J11" s="15" t="s">
        <v>15991</v>
      </c>
    </row>
    <row r="12" spans="2:10">
      <c r="B12" s="15" t="s">
        <v>16985</v>
      </c>
      <c r="C12" s="15" t="s">
        <v>17002</v>
      </c>
      <c r="D12" s="15" t="s">
        <v>316</v>
      </c>
      <c r="E12" s="15" t="s">
        <v>305</v>
      </c>
      <c r="F12" s="20" t="s">
        <v>17003</v>
      </c>
      <c r="G12" s="52" t="str">
        <f>HYPERLINK("#码值映射清单!B5150","YesNo")</f>
        <v>YesNo</v>
      </c>
      <c r="H12" s="15"/>
      <c r="I12" s="15" t="s">
        <v>528</v>
      </c>
      <c r="J12" s="15" t="s">
        <v>15991</v>
      </c>
    </row>
    <row r="13" spans="2:10">
      <c r="B13" s="15" t="s">
        <v>16985</v>
      </c>
      <c r="C13" s="15" t="s">
        <v>441</v>
      </c>
      <c r="D13" s="15" t="s">
        <v>506</v>
      </c>
      <c r="E13" s="15" t="s">
        <v>305</v>
      </c>
      <c r="F13" s="15" t="s">
        <v>17004</v>
      </c>
      <c r="G13" s="15"/>
      <c r="H13" s="15"/>
      <c r="I13" s="15" t="s">
        <v>528</v>
      </c>
      <c r="J13" s="15" t="s">
        <v>15991</v>
      </c>
    </row>
    <row r="14" spans="2:10">
      <c r="B14" s="15" t="s">
        <v>16985</v>
      </c>
      <c r="C14" s="15" t="s">
        <v>17005</v>
      </c>
      <c r="D14" s="15" t="s">
        <v>506</v>
      </c>
      <c r="E14" s="15" t="s">
        <v>305</v>
      </c>
      <c r="F14" s="20" t="s">
        <v>17006</v>
      </c>
      <c r="G14" s="15"/>
      <c r="H14" s="15"/>
      <c r="I14" s="15" t="s">
        <v>528</v>
      </c>
      <c r="J14" s="15" t="s">
        <v>15991</v>
      </c>
    </row>
    <row r="15" spans="2:10">
      <c r="B15" s="15" t="s">
        <v>16985</v>
      </c>
      <c r="C15" s="15" t="s">
        <v>17007</v>
      </c>
      <c r="D15" s="15" t="s">
        <v>506</v>
      </c>
      <c r="E15" s="15" t="s">
        <v>305</v>
      </c>
      <c r="F15" s="20" t="s">
        <v>17008</v>
      </c>
      <c r="G15" s="15"/>
      <c r="H15" s="15"/>
      <c r="I15" s="15" t="s">
        <v>528</v>
      </c>
      <c r="J15" s="15" t="s">
        <v>15991</v>
      </c>
    </row>
    <row r="16" spans="2:10">
      <c r="B16" s="15" t="s">
        <v>16985</v>
      </c>
      <c r="C16" s="15" t="s">
        <v>17009</v>
      </c>
      <c r="D16" s="15" t="s">
        <v>371</v>
      </c>
      <c r="E16" s="15" t="s">
        <v>305</v>
      </c>
      <c r="F16" s="15" t="s">
        <v>17010</v>
      </c>
      <c r="G16" s="15"/>
      <c r="H16" s="15"/>
      <c r="I16" s="15" t="s">
        <v>528</v>
      </c>
      <c r="J16" s="15" t="s">
        <v>15991</v>
      </c>
    </row>
    <row r="17" spans="2:10">
      <c r="B17" s="15" t="s">
        <v>16985</v>
      </c>
      <c r="C17" s="15" t="s">
        <v>17011</v>
      </c>
      <c r="D17" s="15" t="s">
        <v>371</v>
      </c>
      <c r="E17" s="15" t="s">
        <v>305</v>
      </c>
      <c r="F17" s="20" t="s">
        <v>17012</v>
      </c>
      <c r="G17" s="15"/>
      <c r="H17" s="15"/>
      <c r="I17" s="15" t="s">
        <v>528</v>
      </c>
      <c r="J17" s="15" t="s">
        <v>15991</v>
      </c>
    </row>
    <row r="18" spans="2:10">
      <c r="B18" s="15" t="s">
        <v>16985</v>
      </c>
      <c r="C18" s="15" t="s">
        <v>17013</v>
      </c>
      <c r="D18" s="15" t="s">
        <v>321</v>
      </c>
      <c r="E18" s="15" t="s">
        <v>305</v>
      </c>
      <c r="F18" s="15" t="s">
        <v>4952</v>
      </c>
      <c r="G18" s="52" t="str">
        <f>HYPERLINK("#码值映射清单!B4072","InsuranceType")</f>
        <v>InsuranceType</v>
      </c>
      <c r="H18" s="15"/>
      <c r="I18" s="15" t="s">
        <v>528</v>
      </c>
      <c r="J18" s="15" t="s">
        <v>15991</v>
      </c>
    </row>
    <row r="19" spans="2:10">
      <c r="B19" s="15" t="s">
        <v>16985</v>
      </c>
      <c r="C19" s="15" t="s">
        <v>17014</v>
      </c>
      <c r="D19" s="15" t="s">
        <v>321</v>
      </c>
      <c r="E19" s="15" t="s">
        <v>305</v>
      </c>
      <c r="F19" s="20" t="s">
        <v>17015</v>
      </c>
      <c r="G19" s="61" t="str">
        <f>HYPERLINK("#码值映射清单!B1934","DepositType")</f>
        <v>DepositType</v>
      </c>
      <c r="H19" s="15"/>
      <c r="I19" s="15" t="s">
        <v>528</v>
      </c>
      <c r="J19" s="15" t="s">
        <v>15991</v>
      </c>
    </row>
    <row r="20" spans="2:10">
      <c r="B20" s="15" t="s">
        <v>16985</v>
      </c>
      <c r="C20" s="15" t="s">
        <v>17016</v>
      </c>
      <c r="D20" s="15" t="s">
        <v>350</v>
      </c>
      <c r="E20" s="15" t="s">
        <v>305</v>
      </c>
      <c r="F20" s="15" t="s">
        <v>17017</v>
      </c>
      <c r="G20" s="15"/>
      <c r="H20" s="15"/>
      <c r="I20" s="15" t="s">
        <v>528</v>
      </c>
      <c r="J20" s="15" t="s">
        <v>15991</v>
      </c>
    </row>
    <row r="21" spans="2:10">
      <c r="B21" s="15" t="s">
        <v>16985</v>
      </c>
      <c r="C21" s="15" t="s">
        <v>17018</v>
      </c>
      <c r="D21" s="46" t="s">
        <v>433</v>
      </c>
      <c r="E21" s="46" t="s">
        <v>305</v>
      </c>
      <c r="F21" s="49" t="s">
        <v>17019</v>
      </c>
      <c r="G21" s="15"/>
      <c r="H21" s="15"/>
      <c r="I21" s="15" t="s">
        <v>528</v>
      </c>
      <c r="J21" s="67">
        <v>45740</v>
      </c>
    </row>
    <row r="22" spans="2:10">
      <c r="B22" s="15" t="s">
        <v>16985</v>
      </c>
      <c r="C22" s="15" t="s">
        <v>17020</v>
      </c>
      <c r="D22" s="15" t="s">
        <v>316</v>
      </c>
      <c r="E22" s="15" t="s">
        <v>305</v>
      </c>
      <c r="F22" s="15" t="s">
        <v>17021</v>
      </c>
      <c r="G22" s="15"/>
      <c r="H22" s="15"/>
      <c r="I22" s="15" t="s">
        <v>528</v>
      </c>
      <c r="J22" s="15" t="s">
        <v>15991</v>
      </c>
    </row>
    <row r="23" spans="2:10">
      <c r="B23" s="15" t="s">
        <v>16985</v>
      </c>
      <c r="C23" s="15" t="s">
        <v>17022</v>
      </c>
      <c r="D23" s="15" t="s">
        <v>316</v>
      </c>
      <c r="E23" s="15" t="s">
        <v>305</v>
      </c>
      <c r="F23" s="15" t="s">
        <v>17023</v>
      </c>
      <c r="G23" s="15"/>
      <c r="H23" s="15"/>
      <c r="I23" s="15" t="s">
        <v>528</v>
      </c>
      <c r="J23" s="15" t="s">
        <v>15991</v>
      </c>
    </row>
    <row r="24" spans="2:10">
      <c r="B24" s="15" t="s">
        <v>16985</v>
      </c>
      <c r="C24" s="15" t="s">
        <v>17024</v>
      </c>
      <c r="D24" s="15" t="s">
        <v>513</v>
      </c>
      <c r="E24" s="15" t="s">
        <v>305</v>
      </c>
      <c r="F24" s="15" t="s">
        <v>2600</v>
      </c>
      <c r="G24" s="52" t="str">
        <f>HYPERLINK("#码值映射清单!B1421","MyNobleMetalType")</f>
        <v>MyNobleMetalType</v>
      </c>
      <c r="H24" s="15"/>
      <c r="I24" s="15" t="s">
        <v>528</v>
      </c>
      <c r="J24" s="15" t="s">
        <v>15991</v>
      </c>
    </row>
    <row r="25" spans="2:10">
      <c r="B25" s="15" t="s">
        <v>16985</v>
      </c>
      <c r="C25" s="15" t="s">
        <v>17025</v>
      </c>
      <c r="D25" s="15" t="s">
        <v>506</v>
      </c>
      <c r="E25" s="15" t="s">
        <v>305</v>
      </c>
      <c r="F25" s="15" t="s">
        <v>17026</v>
      </c>
      <c r="G25" s="15"/>
      <c r="H25" s="15"/>
      <c r="I25" s="15" t="s">
        <v>528</v>
      </c>
      <c r="J25" s="15" t="s">
        <v>15991</v>
      </c>
    </row>
    <row r="26" spans="2:10">
      <c r="B26" s="15" t="s">
        <v>16985</v>
      </c>
      <c r="C26" s="15" t="s">
        <v>17027</v>
      </c>
      <c r="D26" s="15" t="s">
        <v>16056</v>
      </c>
      <c r="E26" s="15" t="s">
        <v>305</v>
      </c>
      <c r="F26" s="15" t="s">
        <v>17028</v>
      </c>
      <c r="G26" s="15"/>
      <c r="H26" s="15"/>
      <c r="I26" s="15" t="s">
        <v>528</v>
      </c>
      <c r="J26" s="15" t="s">
        <v>15991</v>
      </c>
    </row>
    <row r="27" spans="2:10">
      <c r="B27" s="15" t="s">
        <v>16985</v>
      </c>
      <c r="C27" s="15" t="s">
        <v>17029</v>
      </c>
      <c r="D27" s="15" t="s">
        <v>371</v>
      </c>
      <c r="E27" s="15" t="s">
        <v>305</v>
      </c>
      <c r="F27" s="15" t="s">
        <v>17030</v>
      </c>
      <c r="G27" s="15"/>
      <c r="H27" s="15"/>
      <c r="I27" s="15" t="s">
        <v>528</v>
      </c>
      <c r="J27" s="15" t="s">
        <v>15991</v>
      </c>
    </row>
    <row r="28" spans="2:10">
      <c r="B28" s="15" t="s">
        <v>16985</v>
      </c>
      <c r="C28" s="15" t="s">
        <v>17031</v>
      </c>
      <c r="D28" s="15" t="s">
        <v>350</v>
      </c>
      <c r="E28" s="15" t="s">
        <v>305</v>
      </c>
      <c r="F28" s="15" t="s">
        <v>17032</v>
      </c>
      <c r="G28" s="15"/>
      <c r="H28" s="15"/>
      <c r="I28" s="15" t="s">
        <v>528</v>
      </c>
      <c r="J28" s="15" t="s">
        <v>15991</v>
      </c>
    </row>
    <row r="29" spans="2:10">
      <c r="B29" s="15" t="s">
        <v>16985</v>
      </c>
      <c r="C29" s="15" t="s">
        <v>17033</v>
      </c>
      <c r="D29" s="15" t="s">
        <v>350</v>
      </c>
      <c r="E29" s="15" t="s">
        <v>305</v>
      </c>
      <c r="F29" s="20" t="s">
        <v>17034</v>
      </c>
      <c r="G29" s="15"/>
      <c r="H29" s="15"/>
      <c r="I29" s="15" t="s">
        <v>528</v>
      </c>
      <c r="J29" s="15" t="s">
        <v>15991</v>
      </c>
    </row>
    <row r="30" spans="2:10">
      <c r="B30" s="15" t="s">
        <v>16985</v>
      </c>
      <c r="C30" s="15" t="s">
        <v>17035</v>
      </c>
      <c r="D30" s="15" t="s">
        <v>17036</v>
      </c>
      <c r="E30" s="15" t="s">
        <v>305</v>
      </c>
      <c r="F30" s="15" t="s">
        <v>17037</v>
      </c>
      <c r="G30" s="15"/>
      <c r="H30" s="15"/>
      <c r="I30" s="15" t="s">
        <v>528</v>
      </c>
      <c r="J30" s="15" t="s">
        <v>15991</v>
      </c>
    </row>
    <row r="31" spans="2:10">
      <c r="B31" s="15" t="s">
        <v>16985</v>
      </c>
      <c r="C31" s="15" t="s">
        <v>16821</v>
      </c>
      <c r="D31" s="15" t="s">
        <v>316</v>
      </c>
      <c r="E31" s="15" t="s">
        <v>305</v>
      </c>
      <c r="F31" s="15" t="s">
        <v>17038</v>
      </c>
      <c r="G31" s="15"/>
      <c r="H31" s="15"/>
      <c r="I31" s="15" t="s">
        <v>528</v>
      </c>
      <c r="J31" s="24" t="s">
        <v>15991</v>
      </c>
    </row>
    <row r="32" spans="2:10">
      <c r="B32" s="15" t="s">
        <v>16985</v>
      </c>
      <c r="C32" s="15" t="s">
        <v>17039</v>
      </c>
      <c r="D32" s="15" t="s">
        <v>506</v>
      </c>
      <c r="E32" s="15" t="s">
        <v>305</v>
      </c>
      <c r="F32" s="20" t="s">
        <v>17040</v>
      </c>
      <c r="G32" s="52" t="str">
        <f>HYPERLINK("#码值映射清单!B5791","InsuranceCompany")</f>
        <v>InsuranceCompany</v>
      </c>
      <c r="H32" s="15"/>
      <c r="I32" s="15" t="s">
        <v>528</v>
      </c>
      <c r="J32" s="15" t="s">
        <v>15991</v>
      </c>
    </row>
    <row r="33" spans="2:10">
      <c r="B33" s="15" t="s">
        <v>16985</v>
      </c>
      <c r="C33" s="15" t="s">
        <v>17041</v>
      </c>
      <c r="D33" s="15" t="s">
        <v>506</v>
      </c>
      <c r="E33" s="15" t="s">
        <v>305</v>
      </c>
      <c r="F33" s="15" t="s">
        <v>17042</v>
      </c>
      <c r="G33" s="15"/>
      <c r="H33" s="15"/>
      <c r="I33" s="15" t="s">
        <v>528</v>
      </c>
      <c r="J33" s="15" t="s">
        <v>15991</v>
      </c>
    </row>
    <row r="34" spans="2:10">
      <c r="B34" s="15" t="s">
        <v>16985</v>
      </c>
      <c r="C34" s="15" t="s">
        <v>16861</v>
      </c>
      <c r="D34" s="15" t="s">
        <v>513</v>
      </c>
      <c r="E34" s="15" t="s">
        <v>305</v>
      </c>
      <c r="F34" s="15" t="s">
        <v>11478</v>
      </c>
      <c r="G34" s="52" t="str">
        <f>HYPERLINK("#码值映射清单!B2868","BondInterestType")</f>
        <v>BondInterestType</v>
      </c>
      <c r="H34" s="15"/>
      <c r="I34" s="15" t="s">
        <v>528</v>
      </c>
      <c r="J34" s="15" t="s">
        <v>15991</v>
      </c>
    </row>
    <row r="35" spans="2:10">
      <c r="B35" s="15" t="s">
        <v>16985</v>
      </c>
      <c r="C35" s="15" t="s">
        <v>17043</v>
      </c>
      <c r="D35" s="15" t="s">
        <v>363</v>
      </c>
      <c r="E35" s="15" t="s">
        <v>305</v>
      </c>
      <c r="F35" s="15" t="s">
        <v>17044</v>
      </c>
      <c r="G35" s="15"/>
      <c r="H35" s="15"/>
      <c r="I35" s="15" t="s">
        <v>528</v>
      </c>
      <c r="J35" s="15" t="s">
        <v>15991</v>
      </c>
    </row>
    <row r="36" spans="2:10">
      <c r="B36" s="15" t="s">
        <v>16985</v>
      </c>
      <c r="C36" s="15" t="s">
        <v>17045</v>
      </c>
      <c r="D36" s="15" t="s">
        <v>513</v>
      </c>
      <c r="E36" s="15" t="s">
        <v>305</v>
      </c>
      <c r="F36" s="15" t="s">
        <v>10099</v>
      </c>
      <c r="G36" s="52" t="str">
        <f>HYPERLINK("#码值映射清单!B7853","CalcCircle")</f>
        <v>CalcCircle</v>
      </c>
      <c r="H36" s="15"/>
      <c r="I36" s="15" t="s">
        <v>528</v>
      </c>
      <c r="J36" s="15" t="s">
        <v>15991</v>
      </c>
    </row>
    <row r="37" spans="2:10">
      <c r="B37" s="15" t="s">
        <v>16985</v>
      </c>
      <c r="C37" s="15" t="s">
        <v>17046</v>
      </c>
      <c r="D37" s="15" t="s">
        <v>350</v>
      </c>
      <c r="E37" s="15" t="s">
        <v>305</v>
      </c>
      <c r="F37" s="20" t="s">
        <v>17047</v>
      </c>
      <c r="G37" s="15"/>
      <c r="H37" s="15"/>
      <c r="I37" s="15" t="s">
        <v>528</v>
      </c>
      <c r="J37" s="15" t="s">
        <v>15991</v>
      </c>
    </row>
    <row r="38" spans="2:10">
      <c r="B38" s="15" t="s">
        <v>16985</v>
      </c>
      <c r="C38" s="15" t="s">
        <v>17048</v>
      </c>
      <c r="D38" s="15" t="s">
        <v>506</v>
      </c>
      <c r="E38" s="15" t="s">
        <v>305</v>
      </c>
      <c r="F38" s="20" t="s">
        <v>17049</v>
      </c>
      <c r="G38" s="15"/>
      <c r="H38" s="15"/>
      <c r="I38" s="15" t="s">
        <v>528</v>
      </c>
      <c r="J38" s="15" t="s">
        <v>15991</v>
      </c>
    </row>
    <row r="39" spans="2:10">
      <c r="B39" s="15" t="s">
        <v>16985</v>
      </c>
      <c r="C39" s="15" t="s">
        <v>17050</v>
      </c>
      <c r="D39" s="15" t="s">
        <v>16087</v>
      </c>
      <c r="E39" s="15" t="s">
        <v>305</v>
      </c>
      <c r="F39" s="15" t="s">
        <v>17051</v>
      </c>
      <c r="G39" s="15"/>
      <c r="H39" s="15"/>
      <c r="I39" s="15" t="s">
        <v>528</v>
      </c>
      <c r="J39" s="15" t="s">
        <v>15991</v>
      </c>
    </row>
    <row r="40" spans="2:10">
      <c r="B40" s="15" t="s">
        <v>16985</v>
      </c>
      <c r="C40" s="15" t="s">
        <v>17052</v>
      </c>
      <c r="D40" s="15" t="s">
        <v>506</v>
      </c>
      <c r="E40" s="15" t="s">
        <v>305</v>
      </c>
      <c r="F40" s="15" t="s">
        <v>17053</v>
      </c>
      <c r="G40" s="15"/>
      <c r="H40" s="15"/>
      <c r="I40" s="15" t="s">
        <v>528</v>
      </c>
      <c r="J40" s="15" t="s">
        <v>15991</v>
      </c>
    </row>
    <row r="41" spans="2:10">
      <c r="B41" s="15" t="s">
        <v>16985</v>
      </c>
      <c r="C41" s="15" t="s">
        <v>17054</v>
      </c>
      <c r="D41" s="15" t="s">
        <v>316</v>
      </c>
      <c r="E41" s="15" t="s">
        <v>305</v>
      </c>
      <c r="F41" s="15" t="s">
        <v>17055</v>
      </c>
      <c r="G41" s="15"/>
      <c r="H41" s="15"/>
      <c r="I41" s="15" t="s">
        <v>528</v>
      </c>
      <c r="J41" s="15" t="s">
        <v>15991</v>
      </c>
    </row>
    <row r="42" spans="2:10">
      <c r="B42" s="15" t="s">
        <v>16985</v>
      </c>
      <c r="C42" s="15" t="s">
        <v>17056</v>
      </c>
      <c r="D42" s="15" t="s">
        <v>506</v>
      </c>
      <c r="E42" s="15" t="s">
        <v>305</v>
      </c>
      <c r="F42" s="15" t="s">
        <v>16838</v>
      </c>
      <c r="G42" s="15"/>
      <c r="H42" s="15"/>
      <c r="I42" s="15" t="s">
        <v>528</v>
      </c>
      <c r="J42" s="15" t="s">
        <v>15991</v>
      </c>
    </row>
    <row r="43" spans="2:10">
      <c r="B43" s="15" t="s">
        <v>16985</v>
      </c>
      <c r="C43" s="15" t="s">
        <v>17057</v>
      </c>
      <c r="D43" s="15" t="s">
        <v>506</v>
      </c>
      <c r="E43" s="15" t="s">
        <v>305</v>
      </c>
      <c r="F43" s="15" t="s">
        <v>17058</v>
      </c>
      <c r="G43" s="15"/>
      <c r="H43" s="15"/>
      <c r="I43" s="15" t="s">
        <v>528</v>
      </c>
      <c r="J43" s="15" t="s">
        <v>15991</v>
      </c>
    </row>
    <row r="44" spans="2:10">
      <c r="B44" s="15" t="s">
        <v>16985</v>
      </c>
      <c r="C44" s="15" t="s">
        <v>17059</v>
      </c>
      <c r="D44" s="15" t="s">
        <v>316</v>
      </c>
      <c r="E44" s="15" t="s">
        <v>305</v>
      </c>
      <c r="F44" s="15" t="s">
        <v>17060</v>
      </c>
      <c r="G44" s="15"/>
      <c r="H44" s="15"/>
      <c r="I44" s="15" t="s">
        <v>528</v>
      </c>
      <c r="J44" s="15" t="s">
        <v>15991</v>
      </c>
    </row>
    <row r="45" spans="2:10">
      <c r="B45" s="15" t="s">
        <v>16985</v>
      </c>
      <c r="C45" s="15" t="s">
        <v>17061</v>
      </c>
      <c r="D45" s="15" t="s">
        <v>316</v>
      </c>
      <c r="E45" s="15" t="s">
        <v>305</v>
      </c>
      <c r="F45" s="15" t="s">
        <v>17062</v>
      </c>
      <c r="G45" s="15"/>
      <c r="H45" s="15"/>
      <c r="I45" s="15" t="s">
        <v>528</v>
      </c>
      <c r="J45" s="15" t="s">
        <v>15991</v>
      </c>
    </row>
    <row r="46" spans="2:10">
      <c r="B46" s="15" t="s">
        <v>16985</v>
      </c>
      <c r="C46" s="15" t="s">
        <v>17063</v>
      </c>
      <c r="D46" s="15" t="s">
        <v>506</v>
      </c>
      <c r="E46" s="15" t="s">
        <v>305</v>
      </c>
      <c r="F46" s="15" t="s">
        <v>17064</v>
      </c>
      <c r="G46" s="15"/>
      <c r="H46" s="15"/>
      <c r="I46" s="15" t="s">
        <v>528</v>
      </c>
      <c r="J46" s="15" t="s">
        <v>15991</v>
      </c>
    </row>
    <row r="47" spans="2:10">
      <c r="B47" s="15" t="s">
        <v>16985</v>
      </c>
      <c r="C47" s="15" t="s">
        <v>17065</v>
      </c>
      <c r="D47" s="15" t="s">
        <v>16087</v>
      </c>
      <c r="E47" s="15" t="s">
        <v>305</v>
      </c>
      <c r="F47" s="15" t="s">
        <v>5641</v>
      </c>
      <c r="G47" s="52" t="str">
        <f>HYPERLINK("#码值映射清单!B8534","BillUsageType")</f>
        <v>BillUsageType</v>
      </c>
      <c r="H47" s="15"/>
      <c r="I47" s="15" t="s">
        <v>528</v>
      </c>
      <c r="J47" s="15" t="s">
        <v>15991</v>
      </c>
    </row>
    <row r="48" spans="2:10">
      <c r="B48" s="15" t="s">
        <v>16985</v>
      </c>
      <c r="C48" s="15" t="s">
        <v>17066</v>
      </c>
      <c r="D48" s="15" t="s">
        <v>16056</v>
      </c>
      <c r="E48" s="15" t="s">
        <v>305</v>
      </c>
      <c r="F48" s="15" t="s">
        <v>17067</v>
      </c>
      <c r="G48" s="15"/>
      <c r="H48" s="15"/>
      <c r="I48" s="15" t="s">
        <v>528</v>
      </c>
      <c r="J48" s="15" t="s">
        <v>15991</v>
      </c>
    </row>
    <row r="49" spans="2:10">
      <c r="B49" s="15" t="s">
        <v>16985</v>
      </c>
      <c r="C49" s="15" t="s">
        <v>17068</v>
      </c>
      <c r="D49" s="15" t="s">
        <v>363</v>
      </c>
      <c r="E49" s="15" t="s">
        <v>305</v>
      </c>
      <c r="F49" s="15" t="s">
        <v>17069</v>
      </c>
      <c r="G49" s="15"/>
      <c r="H49" s="15"/>
      <c r="I49" s="15" t="s">
        <v>528</v>
      </c>
      <c r="J49" s="15" t="s">
        <v>15991</v>
      </c>
    </row>
    <row r="50" spans="2:10">
      <c r="B50" s="15" t="s">
        <v>16985</v>
      </c>
      <c r="C50" s="15" t="s">
        <v>17070</v>
      </c>
      <c r="D50" s="15" t="s">
        <v>513</v>
      </c>
      <c r="E50" s="15" t="s">
        <v>305</v>
      </c>
      <c r="F50" s="20" t="s">
        <v>17071</v>
      </c>
      <c r="G50" s="52" t="str">
        <f>HYPERLINK("#码值映射清单!B2895","StockHolderType")</f>
        <v>StockHolderType</v>
      </c>
      <c r="H50" s="15"/>
      <c r="I50" s="15" t="s">
        <v>528</v>
      </c>
      <c r="J50" s="15" t="s">
        <v>15991</v>
      </c>
    </row>
    <row r="51" spans="2:10">
      <c r="B51" s="15" t="s">
        <v>16985</v>
      </c>
      <c r="C51" s="15" t="s">
        <v>17072</v>
      </c>
      <c r="D51" s="15" t="s">
        <v>350</v>
      </c>
      <c r="E51" s="15" t="s">
        <v>305</v>
      </c>
      <c r="F51" s="15" t="s">
        <v>17073</v>
      </c>
      <c r="G51" s="15"/>
      <c r="H51" s="15"/>
      <c r="I51" s="15" t="s">
        <v>528</v>
      </c>
      <c r="J51" s="15" t="s">
        <v>15991</v>
      </c>
    </row>
    <row r="52" spans="2:10">
      <c r="B52" s="15" t="s">
        <v>16985</v>
      </c>
      <c r="C52" s="15" t="s">
        <v>17074</v>
      </c>
      <c r="D52" s="15" t="s">
        <v>371</v>
      </c>
      <c r="E52" s="15" t="s">
        <v>305</v>
      </c>
      <c r="F52" s="49" t="s">
        <v>17075</v>
      </c>
      <c r="G52" s="15"/>
      <c r="H52" s="15"/>
      <c r="I52" s="15" t="s">
        <v>528</v>
      </c>
      <c r="J52" s="67">
        <v>45740</v>
      </c>
    </row>
    <row r="53" spans="2:10">
      <c r="B53" s="15" t="s">
        <v>16985</v>
      </c>
      <c r="C53" s="15" t="s">
        <v>17076</v>
      </c>
      <c r="D53" s="15" t="s">
        <v>371</v>
      </c>
      <c r="E53" s="15" t="s">
        <v>305</v>
      </c>
      <c r="F53" s="49" t="s">
        <v>17077</v>
      </c>
      <c r="G53" s="15"/>
      <c r="H53" s="15"/>
      <c r="I53" s="15" t="s">
        <v>528</v>
      </c>
      <c r="J53" s="67">
        <v>45740</v>
      </c>
    </row>
    <row r="54" spans="2:10">
      <c r="B54" s="15" t="s">
        <v>16985</v>
      </c>
      <c r="C54" s="15" t="s">
        <v>17078</v>
      </c>
      <c r="D54" s="15" t="s">
        <v>16087</v>
      </c>
      <c r="E54" s="15" t="s">
        <v>305</v>
      </c>
      <c r="F54" s="15" t="s">
        <v>17079</v>
      </c>
      <c r="G54" s="15"/>
      <c r="H54" s="15"/>
      <c r="I54" s="15" t="s">
        <v>528</v>
      </c>
      <c r="J54" s="15" t="s">
        <v>15991</v>
      </c>
    </row>
    <row r="55" spans="2:10">
      <c r="B55" s="15" t="s">
        <v>16985</v>
      </c>
      <c r="C55" s="15" t="s">
        <v>17080</v>
      </c>
      <c r="D55" s="15" t="s">
        <v>363</v>
      </c>
      <c r="E55" s="15" t="s">
        <v>305</v>
      </c>
      <c r="F55" s="20" t="s">
        <v>17081</v>
      </c>
      <c r="G55" s="15"/>
      <c r="H55" s="15"/>
      <c r="I55" s="15" t="s">
        <v>528</v>
      </c>
      <c r="J55" s="15" t="s">
        <v>15991</v>
      </c>
    </row>
    <row r="56" spans="2:10">
      <c r="B56" s="15" t="s">
        <v>16985</v>
      </c>
      <c r="C56" s="15" t="s">
        <v>512</v>
      </c>
      <c r="D56" s="15" t="s">
        <v>513</v>
      </c>
      <c r="E56" s="15" t="s">
        <v>305</v>
      </c>
      <c r="F56" s="15" t="s">
        <v>334</v>
      </c>
      <c r="G56" s="52" t="str">
        <f>HYPERLINK("#码值映射清单!B2469","Currency")</f>
        <v>Currency</v>
      </c>
      <c r="H56" s="15"/>
      <c r="I56" s="15" t="s">
        <v>528</v>
      </c>
      <c r="J56" s="15" t="s">
        <v>15991</v>
      </c>
    </row>
    <row r="57" spans="2:10">
      <c r="B57" s="15" t="s">
        <v>16985</v>
      </c>
      <c r="C57" s="15" t="s">
        <v>17082</v>
      </c>
      <c r="D57" s="15" t="s">
        <v>321</v>
      </c>
      <c r="E57" s="15" t="s">
        <v>305</v>
      </c>
      <c r="F57" s="15" t="s">
        <v>17083</v>
      </c>
      <c r="G57" s="15"/>
      <c r="H57" s="15"/>
      <c r="I57" s="15" t="s">
        <v>528</v>
      </c>
      <c r="J57" s="15" t="s">
        <v>15991</v>
      </c>
    </row>
    <row r="58" spans="2:10">
      <c r="B58" s="15" t="s">
        <v>16985</v>
      </c>
      <c r="C58" s="15" t="s">
        <v>17084</v>
      </c>
      <c r="D58" s="15" t="s">
        <v>16056</v>
      </c>
      <c r="E58" s="15" t="s">
        <v>305</v>
      </c>
      <c r="F58" s="15" t="s">
        <v>17085</v>
      </c>
      <c r="G58" s="15"/>
      <c r="H58" s="15"/>
      <c r="I58" s="15" t="s">
        <v>528</v>
      </c>
      <c r="J58" s="15" t="s">
        <v>15991</v>
      </c>
    </row>
    <row r="59" spans="2:10">
      <c r="B59" s="15" t="s">
        <v>16985</v>
      </c>
      <c r="C59" s="15" t="s">
        <v>17086</v>
      </c>
      <c r="D59" s="15" t="s">
        <v>16056</v>
      </c>
      <c r="E59" s="15" t="s">
        <v>305</v>
      </c>
      <c r="F59" s="15" t="s">
        <v>17087</v>
      </c>
      <c r="G59" s="15"/>
      <c r="H59" s="15"/>
      <c r="I59" s="15" t="s">
        <v>528</v>
      </c>
      <c r="J59" s="15" t="s">
        <v>15991</v>
      </c>
    </row>
    <row r="60" spans="2:10">
      <c r="B60" s="15" t="s">
        <v>16985</v>
      </c>
      <c r="C60" s="15" t="s">
        <v>17088</v>
      </c>
      <c r="D60" s="15" t="s">
        <v>16072</v>
      </c>
      <c r="E60" s="15" t="s">
        <v>305</v>
      </c>
      <c r="F60" s="15" t="s">
        <v>17089</v>
      </c>
      <c r="G60" s="52" t="str">
        <f t="shared" ref="G60:G69" si="0">HYPERLINK("#码值映射清单!B5150","YesNo")</f>
        <v>YesNo</v>
      </c>
      <c r="H60" s="15"/>
      <c r="I60" s="15" t="s">
        <v>528</v>
      </c>
      <c r="J60" s="15" t="s">
        <v>15991</v>
      </c>
    </row>
    <row r="61" spans="2:10">
      <c r="B61" s="15" t="s">
        <v>16985</v>
      </c>
      <c r="C61" s="15" t="s">
        <v>17090</v>
      </c>
      <c r="D61" s="15" t="s">
        <v>16072</v>
      </c>
      <c r="E61" s="15" t="s">
        <v>305</v>
      </c>
      <c r="F61" s="15" t="s">
        <v>17091</v>
      </c>
      <c r="G61" s="52" t="str">
        <f t="shared" si="0"/>
        <v>YesNo</v>
      </c>
      <c r="H61" s="15"/>
      <c r="I61" s="15" t="s">
        <v>528</v>
      </c>
      <c r="J61" s="15" t="s">
        <v>15991</v>
      </c>
    </row>
    <row r="62" spans="2:10">
      <c r="B62" s="15" t="s">
        <v>16985</v>
      </c>
      <c r="C62" s="15" t="s">
        <v>17092</v>
      </c>
      <c r="D62" s="15" t="s">
        <v>16072</v>
      </c>
      <c r="E62" s="15" t="s">
        <v>305</v>
      </c>
      <c r="F62" s="15" t="s">
        <v>17093</v>
      </c>
      <c r="G62" s="52" t="str">
        <f t="shared" si="0"/>
        <v>YesNo</v>
      </c>
      <c r="H62" s="15"/>
      <c r="I62" s="15" t="s">
        <v>528</v>
      </c>
      <c r="J62" s="15" t="s">
        <v>15991</v>
      </c>
    </row>
    <row r="63" spans="2:10">
      <c r="B63" s="15" t="s">
        <v>16985</v>
      </c>
      <c r="C63" s="15" t="s">
        <v>17094</v>
      </c>
      <c r="D63" s="15" t="s">
        <v>16072</v>
      </c>
      <c r="E63" s="15" t="s">
        <v>305</v>
      </c>
      <c r="F63" s="15" t="s">
        <v>394</v>
      </c>
      <c r="G63" s="52" t="str">
        <f t="shared" si="0"/>
        <v>YesNo</v>
      </c>
      <c r="H63" s="15"/>
      <c r="I63" s="15" t="s">
        <v>528</v>
      </c>
      <c r="J63" s="15" t="s">
        <v>15991</v>
      </c>
    </row>
    <row r="64" spans="2:10">
      <c r="B64" s="15" t="s">
        <v>16985</v>
      </c>
      <c r="C64" s="15" t="s">
        <v>17095</v>
      </c>
      <c r="D64" s="15" t="s">
        <v>16072</v>
      </c>
      <c r="E64" s="15" t="s">
        <v>305</v>
      </c>
      <c r="F64" s="15" t="s">
        <v>17096</v>
      </c>
      <c r="G64" s="52" t="str">
        <f t="shared" si="0"/>
        <v>YesNo</v>
      </c>
      <c r="H64" s="15"/>
      <c r="I64" s="15" t="s">
        <v>528</v>
      </c>
      <c r="J64" s="15" t="s">
        <v>15991</v>
      </c>
    </row>
    <row r="65" spans="2:10">
      <c r="B65" s="15" t="s">
        <v>16985</v>
      </c>
      <c r="C65" s="15" t="s">
        <v>17097</v>
      </c>
      <c r="D65" s="15" t="s">
        <v>16072</v>
      </c>
      <c r="E65" s="15" t="s">
        <v>305</v>
      </c>
      <c r="F65" s="15" t="s">
        <v>17098</v>
      </c>
      <c r="G65" s="52" t="str">
        <f t="shared" si="0"/>
        <v>YesNo</v>
      </c>
      <c r="H65" s="15"/>
      <c r="I65" s="15" t="s">
        <v>528</v>
      </c>
      <c r="J65" s="15" t="s">
        <v>15991</v>
      </c>
    </row>
    <row r="66" spans="2:10">
      <c r="B66" s="15" t="s">
        <v>16985</v>
      </c>
      <c r="C66" s="15" t="s">
        <v>17099</v>
      </c>
      <c r="D66" s="15" t="s">
        <v>16072</v>
      </c>
      <c r="E66" s="15" t="s">
        <v>305</v>
      </c>
      <c r="F66" s="15" t="s">
        <v>17100</v>
      </c>
      <c r="G66" s="52" t="str">
        <f t="shared" si="0"/>
        <v>YesNo</v>
      </c>
      <c r="H66" s="15"/>
      <c r="I66" s="15" t="s">
        <v>528</v>
      </c>
      <c r="J66" s="15" t="s">
        <v>15991</v>
      </c>
    </row>
    <row r="67" spans="2:10">
      <c r="B67" s="15" t="s">
        <v>16985</v>
      </c>
      <c r="C67" s="15" t="s">
        <v>17101</v>
      </c>
      <c r="D67" s="15" t="s">
        <v>16072</v>
      </c>
      <c r="E67" s="15" t="s">
        <v>305</v>
      </c>
      <c r="F67" s="15" t="s">
        <v>17102</v>
      </c>
      <c r="G67" s="52" t="str">
        <f t="shared" si="0"/>
        <v>YesNo</v>
      </c>
      <c r="H67" s="15"/>
      <c r="I67" s="15" t="s">
        <v>528</v>
      </c>
      <c r="J67" s="15" t="s">
        <v>15991</v>
      </c>
    </row>
    <row r="68" spans="2:10">
      <c r="B68" s="15" t="s">
        <v>16985</v>
      </c>
      <c r="C68" s="15" t="s">
        <v>17103</v>
      </c>
      <c r="D68" s="15" t="s">
        <v>16072</v>
      </c>
      <c r="E68" s="15" t="s">
        <v>305</v>
      </c>
      <c r="F68" s="15" t="s">
        <v>17104</v>
      </c>
      <c r="G68" s="52" t="str">
        <f t="shared" si="0"/>
        <v>YesNo</v>
      </c>
      <c r="H68" s="15"/>
      <c r="I68" s="15" t="s">
        <v>528</v>
      </c>
      <c r="J68" s="15" t="s">
        <v>15991</v>
      </c>
    </row>
    <row r="69" spans="2:10">
      <c r="B69" s="15" t="s">
        <v>16985</v>
      </c>
      <c r="C69" s="15" t="s">
        <v>17105</v>
      </c>
      <c r="D69" s="15" t="s">
        <v>16072</v>
      </c>
      <c r="E69" s="15" t="s">
        <v>305</v>
      </c>
      <c r="F69" s="15" t="s">
        <v>17106</v>
      </c>
      <c r="G69" s="52" t="str">
        <f t="shared" si="0"/>
        <v>YesNo</v>
      </c>
      <c r="H69" s="15"/>
      <c r="I69" s="15" t="s">
        <v>528</v>
      </c>
      <c r="J69" s="15" t="s">
        <v>15991</v>
      </c>
    </row>
    <row r="70" spans="2:10">
      <c r="B70" s="15" t="s">
        <v>16985</v>
      </c>
      <c r="C70" s="15" t="s">
        <v>17107</v>
      </c>
      <c r="D70" s="15" t="s">
        <v>16072</v>
      </c>
      <c r="E70" s="15" t="s">
        <v>305</v>
      </c>
      <c r="F70" s="15" t="s">
        <v>17108</v>
      </c>
      <c r="G70" s="15"/>
      <c r="H70" s="15"/>
      <c r="I70" s="15" t="s">
        <v>528</v>
      </c>
      <c r="J70" s="15" t="s">
        <v>15991</v>
      </c>
    </row>
    <row r="71" spans="2:10">
      <c r="B71" s="15" t="s">
        <v>16985</v>
      </c>
      <c r="C71" s="15" t="s">
        <v>17109</v>
      </c>
      <c r="D71" s="15" t="s">
        <v>16072</v>
      </c>
      <c r="E71" s="15" t="s">
        <v>305</v>
      </c>
      <c r="F71" s="15" t="s">
        <v>17110</v>
      </c>
      <c r="G71" s="15"/>
      <c r="H71" s="15"/>
      <c r="I71" s="15" t="s">
        <v>528</v>
      </c>
      <c r="J71" s="15" t="s">
        <v>15991</v>
      </c>
    </row>
    <row r="72" spans="2:10">
      <c r="B72" s="15" t="s">
        <v>16985</v>
      </c>
      <c r="C72" s="15" t="s">
        <v>17111</v>
      </c>
      <c r="D72" s="15" t="s">
        <v>16072</v>
      </c>
      <c r="E72" s="15" t="s">
        <v>305</v>
      </c>
      <c r="F72" s="15" t="s">
        <v>17112</v>
      </c>
      <c r="G72" s="52" t="str">
        <f t="shared" ref="G72:G78" si="1">HYPERLINK("#码值映射清单!B5150","YesNo")</f>
        <v>YesNo</v>
      </c>
      <c r="H72" s="15"/>
      <c r="I72" s="15" t="s">
        <v>528</v>
      </c>
      <c r="J72" s="15" t="s">
        <v>15991</v>
      </c>
    </row>
    <row r="73" spans="2:10">
      <c r="B73" s="15" t="s">
        <v>16985</v>
      </c>
      <c r="C73" s="15" t="s">
        <v>17113</v>
      </c>
      <c r="D73" s="15" t="s">
        <v>16072</v>
      </c>
      <c r="E73" s="15" t="s">
        <v>305</v>
      </c>
      <c r="F73" s="15" t="s">
        <v>17114</v>
      </c>
      <c r="G73" s="52" t="str">
        <f t="shared" si="1"/>
        <v>YesNo</v>
      </c>
      <c r="H73" s="15"/>
      <c r="I73" s="15" t="s">
        <v>528</v>
      </c>
      <c r="J73" s="15" t="s">
        <v>15991</v>
      </c>
    </row>
    <row r="74" spans="2:10">
      <c r="B74" s="15" t="s">
        <v>16985</v>
      </c>
      <c r="C74" s="15" t="s">
        <v>17115</v>
      </c>
      <c r="D74" s="15" t="s">
        <v>16072</v>
      </c>
      <c r="E74" s="15" t="s">
        <v>305</v>
      </c>
      <c r="F74" s="15" t="s">
        <v>17116</v>
      </c>
      <c r="G74" s="52" t="str">
        <f t="shared" si="1"/>
        <v>YesNo</v>
      </c>
      <c r="H74" s="15"/>
      <c r="I74" s="15" t="s">
        <v>528</v>
      </c>
      <c r="J74" s="15" t="s">
        <v>15991</v>
      </c>
    </row>
    <row r="75" spans="2:10">
      <c r="B75" s="15" t="s">
        <v>16985</v>
      </c>
      <c r="C75" s="15" t="s">
        <v>17117</v>
      </c>
      <c r="D75" s="15" t="s">
        <v>16072</v>
      </c>
      <c r="E75" s="15" t="s">
        <v>305</v>
      </c>
      <c r="F75" s="15" t="s">
        <v>17118</v>
      </c>
      <c r="G75" s="52" t="str">
        <f t="shared" si="1"/>
        <v>YesNo</v>
      </c>
      <c r="H75" s="15"/>
      <c r="I75" s="15" t="s">
        <v>528</v>
      </c>
      <c r="J75" s="15" t="s">
        <v>15991</v>
      </c>
    </row>
    <row r="76" spans="2:10">
      <c r="B76" s="15" t="s">
        <v>16985</v>
      </c>
      <c r="C76" s="15" t="s">
        <v>17119</v>
      </c>
      <c r="D76" s="15" t="s">
        <v>16072</v>
      </c>
      <c r="E76" s="15" t="s">
        <v>305</v>
      </c>
      <c r="F76" s="15" t="s">
        <v>17120</v>
      </c>
      <c r="G76" s="52" t="str">
        <f t="shared" si="1"/>
        <v>YesNo</v>
      </c>
      <c r="H76" s="15"/>
      <c r="I76" s="15" t="s">
        <v>528</v>
      </c>
      <c r="J76" s="15" t="s">
        <v>15991</v>
      </c>
    </row>
    <row r="77" spans="2:10">
      <c r="B77" s="15" t="s">
        <v>16985</v>
      </c>
      <c r="C77" s="15" t="s">
        <v>17121</v>
      </c>
      <c r="D77" s="15" t="s">
        <v>16072</v>
      </c>
      <c r="E77" s="15" t="s">
        <v>305</v>
      </c>
      <c r="F77" s="15" t="s">
        <v>17122</v>
      </c>
      <c r="G77" s="52" t="str">
        <f t="shared" si="1"/>
        <v>YesNo</v>
      </c>
      <c r="H77" s="15"/>
      <c r="I77" s="15" t="s">
        <v>528</v>
      </c>
      <c r="J77" s="15" t="s">
        <v>15991</v>
      </c>
    </row>
    <row r="78" spans="2:10">
      <c r="B78" s="15" t="s">
        <v>16985</v>
      </c>
      <c r="C78" s="15" t="s">
        <v>17123</v>
      </c>
      <c r="D78" s="15" t="s">
        <v>16072</v>
      </c>
      <c r="E78" s="15" t="s">
        <v>305</v>
      </c>
      <c r="F78" s="15" t="s">
        <v>17124</v>
      </c>
      <c r="G78" s="52" t="str">
        <f t="shared" si="1"/>
        <v>YesNo</v>
      </c>
      <c r="H78" s="15"/>
      <c r="I78" s="15" t="s">
        <v>528</v>
      </c>
      <c r="J78" s="15" t="s">
        <v>15991</v>
      </c>
    </row>
    <row r="79" spans="2:10">
      <c r="B79" s="15" t="s">
        <v>16985</v>
      </c>
      <c r="C79" s="15" t="s">
        <v>17125</v>
      </c>
      <c r="D79" s="15" t="s">
        <v>16072</v>
      </c>
      <c r="E79" s="15" t="s">
        <v>305</v>
      </c>
      <c r="F79" s="15" t="s">
        <v>17126</v>
      </c>
      <c r="G79" s="15"/>
      <c r="H79" s="15"/>
      <c r="I79" s="15" t="s">
        <v>528</v>
      </c>
      <c r="J79" s="15" t="s">
        <v>15991</v>
      </c>
    </row>
    <row r="80" spans="2:10">
      <c r="B80" s="15" t="s">
        <v>16985</v>
      </c>
      <c r="C80" s="15" t="s">
        <v>17127</v>
      </c>
      <c r="D80" s="15" t="s">
        <v>316</v>
      </c>
      <c r="E80" s="15" t="s">
        <v>305</v>
      </c>
      <c r="F80" s="15" t="s">
        <v>17128</v>
      </c>
      <c r="G80" s="52" t="str">
        <f>HYPERLINK("#码值映射清单!B5150","YesNo")</f>
        <v>YesNo</v>
      </c>
      <c r="H80" s="15"/>
      <c r="I80" s="15" t="s">
        <v>528</v>
      </c>
      <c r="J80" s="15" t="s">
        <v>15991</v>
      </c>
    </row>
    <row r="81" spans="2:10">
      <c r="B81" s="15" t="s">
        <v>16985</v>
      </c>
      <c r="C81" s="15" t="s">
        <v>17129</v>
      </c>
      <c r="D81" s="15" t="s">
        <v>16072</v>
      </c>
      <c r="E81" s="15" t="s">
        <v>305</v>
      </c>
      <c r="F81" s="15" t="s">
        <v>17130</v>
      </c>
      <c r="G81" s="15"/>
      <c r="H81" s="15"/>
      <c r="I81" s="15" t="s">
        <v>528</v>
      </c>
      <c r="J81" s="15" t="s">
        <v>15991</v>
      </c>
    </row>
    <row r="82" spans="2:10">
      <c r="B82" s="15" t="s">
        <v>16985</v>
      </c>
      <c r="C82" s="15" t="s">
        <v>17131</v>
      </c>
      <c r="D82" s="15" t="s">
        <v>16072</v>
      </c>
      <c r="E82" s="15" t="s">
        <v>305</v>
      </c>
      <c r="F82" s="15" t="s">
        <v>17132</v>
      </c>
      <c r="G82" s="15"/>
      <c r="H82" s="15"/>
      <c r="I82" s="15" t="s">
        <v>528</v>
      </c>
      <c r="J82" s="15" t="s">
        <v>15991</v>
      </c>
    </row>
    <row r="83" spans="2:10">
      <c r="B83" s="15" t="s">
        <v>16985</v>
      </c>
      <c r="C83" s="15" t="s">
        <v>17133</v>
      </c>
      <c r="D83" s="15" t="s">
        <v>321</v>
      </c>
      <c r="E83" s="15" t="s">
        <v>305</v>
      </c>
      <c r="F83" s="15" t="s">
        <v>17134</v>
      </c>
      <c r="G83" s="52" t="str">
        <f>HYPERLINK("#码值映射清单!B9423","MarginLevel")</f>
        <v>MarginLevel</v>
      </c>
      <c r="H83" s="15"/>
      <c r="I83" s="15" t="s">
        <v>528</v>
      </c>
      <c r="J83" s="15" t="s">
        <v>15991</v>
      </c>
    </row>
    <row r="84" spans="2:10">
      <c r="B84" s="15" t="s">
        <v>16985</v>
      </c>
      <c r="C84" s="15" t="s">
        <v>17135</v>
      </c>
      <c r="D84" s="15" t="s">
        <v>316</v>
      </c>
      <c r="E84" s="15" t="s">
        <v>305</v>
      </c>
      <c r="F84" s="15" t="s">
        <v>17136</v>
      </c>
      <c r="G84" s="15"/>
      <c r="H84" s="15"/>
      <c r="I84" s="15" t="s">
        <v>528</v>
      </c>
      <c r="J84" s="15" t="s">
        <v>15991</v>
      </c>
    </row>
    <row r="85" spans="2:10">
      <c r="B85" s="15" t="s">
        <v>16985</v>
      </c>
      <c r="C85" s="15" t="s">
        <v>17137</v>
      </c>
      <c r="D85" s="15" t="s">
        <v>513</v>
      </c>
      <c r="E85" s="15" t="s">
        <v>305</v>
      </c>
      <c r="F85" s="15" t="s">
        <v>4089</v>
      </c>
      <c r="G85" s="52" t="str">
        <f>HYPERLINK("#码值映射清单!B2575","BondMode")</f>
        <v>BondMode</v>
      </c>
      <c r="H85" s="15"/>
      <c r="I85" s="15" t="s">
        <v>528</v>
      </c>
      <c r="J85" s="15" t="s">
        <v>15991</v>
      </c>
    </row>
    <row r="86" spans="2:10">
      <c r="B86" s="15" t="s">
        <v>16985</v>
      </c>
      <c r="C86" s="15" t="s">
        <v>17138</v>
      </c>
      <c r="D86" s="15" t="s">
        <v>350</v>
      </c>
      <c r="E86" s="15" t="s">
        <v>305</v>
      </c>
      <c r="F86" s="15" t="s">
        <v>17139</v>
      </c>
      <c r="G86" s="15"/>
      <c r="H86" s="15"/>
      <c r="I86" s="15" t="s">
        <v>528</v>
      </c>
      <c r="J86" s="15" t="s">
        <v>15991</v>
      </c>
    </row>
    <row r="87" spans="2:10">
      <c r="B87" s="15" t="s">
        <v>16985</v>
      </c>
      <c r="C87" s="15" t="s">
        <v>17140</v>
      </c>
      <c r="D87" s="15" t="s">
        <v>321</v>
      </c>
      <c r="E87" s="15" t="s">
        <v>305</v>
      </c>
      <c r="F87" s="15" t="s">
        <v>3794</v>
      </c>
      <c r="G87" s="52" t="str">
        <f>HYPERLINK("#码值映射清单!B2399","BondStockType")</f>
        <v>BondStockType</v>
      </c>
      <c r="H87" s="15"/>
      <c r="I87" s="15" t="s">
        <v>528</v>
      </c>
      <c r="J87" s="15" t="s">
        <v>15991</v>
      </c>
    </row>
    <row r="88" spans="2:10">
      <c r="B88" s="15" t="s">
        <v>16985</v>
      </c>
      <c r="C88" s="15" t="s">
        <v>17141</v>
      </c>
      <c r="D88" s="15" t="s">
        <v>513</v>
      </c>
      <c r="E88" s="15" t="s">
        <v>305</v>
      </c>
      <c r="F88" s="15" t="s">
        <v>7807</v>
      </c>
      <c r="G88" s="52" t="str">
        <f>HYPERLINK("#码值映射清单!B5914","BondRating")</f>
        <v>BondRating</v>
      </c>
      <c r="H88" s="15"/>
      <c r="I88" s="15" t="s">
        <v>528</v>
      </c>
      <c r="J88" s="15" t="s">
        <v>15991</v>
      </c>
    </row>
    <row r="89" spans="2:10">
      <c r="B89" s="15" t="s">
        <v>16985</v>
      </c>
      <c r="C89" s="15" t="s">
        <v>17142</v>
      </c>
      <c r="D89" s="15" t="s">
        <v>316</v>
      </c>
      <c r="E89" s="15" t="s">
        <v>305</v>
      </c>
      <c r="F89" s="15" t="s">
        <v>11347</v>
      </c>
      <c r="G89" s="52" t="str">
        <f>HYPERLINK("#码值映射清单!B9086","RatingAgency")</f>
        <v>RatingAgency</v>
      </c>
      <c r="H89" s="15"/>
      <c r="I89" s="15" t="s">
        <v>528</v>
      </c>
      <c r="J89" s="15" t="s">
        <v>15991</v>
      </c>
    </row>
    <row r="90" spans="2:10">
      <c r="B90" s="15" t="s">
        <v>16985</v>
      </c>
      <c r="C90" s="15" t="s">
        <v>17143</v>
      </c>
      <c r="D90" s="15" t="s">
        <v>506</v>
      </c>
      <c r="E90" s="15" t="s">
        <v>305</v>
      </c>
      <c r="F90" s="15" t="s">
        <v>17144</v>
      </c>
      <c r="G90" s="15"/>
      <c r="H90" s="15"/>
      <c r="I90" s="15" t="s">
        <v>528</v>
      </c>
      <c r="J90" s="15" t="s">
        <v>15991</v>
      </c>
    </row>
    <row r="91" spans="2:10">
      <c r="B91" s="15" t="s">
        <v>16985</v>
      </c>
      <c r="C91" s="15" t="s">
        <v>17145</v>
      </c>
      <c r="D91" s="15" t="s">
        <v>321</v>
      </c>
      <c r="E91" s="15" t="s">
        <v>305</v>
      </c>
      <c r="F91" s="15" t="s">
        <v>10414</v>
      </c>
      <c r="G91" s="52" t="str">
        <f>HYPERLINK("#码值映射清单!B8172","ShareType01")</f>
        <v>ShareType01</v>
      </c>
      <c r="H91" s="15"/>
      <c r="I91" s="15" t="s">
        <v>528</v>
      </c>
      <c r="J91" s="15" t="s">
        <v>15991</v>
      </c>
    </row>
    <row r="92" spans="2:10">
      <c r="B92" s="15" t="s">
        <v>16985</v>
      </c>
      <c r="C92" s="15" t="s">
        <v>17146</v>
      </c>
      <c r="D92" s="15" t="s">
        <v>506</v>
      </c>
      <c r="E92" s="15" t="s">
        <v>305</v>
      </c>
      <c r="F92" s="15" t="s">
        <v>17147</v>
      </c>
      <c r="G92" s="15"/>
      <c r="H92" s="15"/>
      <c r="I92" s="15" t="s">
        <v>528</v>
      </c>
      <c r="J92" s="15" t="s">
        <v>15991</v>
      </c>
    </row>
    <row r="93" spans="2:10">
      <c r="B93" s="15" t="s">
        <v>16985</v>
      </c>
      <c r="C93" s="15" t="s">
        <v>17148</v>
      </c>
      <c r="D93" s="15" t="s">
        <v>506</v>
      </c>
      <c r="E93" s="15" t="s">
        <v>305</v>
      </c>
      <c r="F93" s="15" t="s">
        <v>17149</v>
      </c>
      <c r="G93" s="15"/>
      <c r="H93" s="15"/>
      <c r="I93" s="15" t="s">
        <v>528</v>
      </c>
      <c r="J93" s="15" t="s">
        <v>15991</v>
      </c>
    </row>
    <row r="94" spans="2:10">
      <c r="B94" s="15" t="s">
        <v>16985</v>
      </c>
      <c r="C94" s="15" t="s">
        <v>17150</v>
      </c>
      <c r="D94" s="15" t="s">
        <v>506</v>
      </c>
      <c r="E94" s="15" t="s">
        <v>305</v>
      </c>
      <c r="F94" s="15" t="s">
        <v>17151</v>
      </c>
      <c r="G94" s="15"/>
      <c r="H94" s="15"/>
      <c r="I94" s="15" t="s">
        <v>528</v>
      </c>
      <c r="J94" s="15" t="s">
        <v>15991</v>
      </c>
    </row>
    <row r="95" spans="2:10">
      <c r="B95" s="15" t="s">
        <v>16985</v>
      </c>
      <c r="C95" s="15" t="s">
        <v>17152</v>
      </c>
      <c r="D95" s="15" t="s">
        <v>506</v>
      </c>
      <c r="E95" s="15" t="s">
        <v>305</v>
      </c>
      <c r="F95" s="15" t="s">
        <v>17153</v>
      </c>
      <c r="G95" s="15"/>
      <c r="H95" s="15"/>
      <c r="I95" s="15" t="s">
        <v>528</v>
      </c>
      <c r="J95" s="15" t="s">
        <v>15991</v>
      </c>
    </row>
    <row r="96" spans="2:10">
      <c r="B96" s="15" t="s">
        <v>16985</v>
      </c>
      <c r="C96" s="15" t="s">
        <v>17154</v>
      </c>
      <c r="D96" s="15" t="s">
        <v>316</v>
      </c>
      <c r="E96" s="15" t="s">
        <v>305</v>
      </c>
      <c r="F96" s="15" t="s">
        <v>17155</v>
      </c>
      <c r="G96" s="15"/>
      <c r="H96" s="15"/>
      <c r="I96" s="15" t="s">
        <v>528</v>
      </c>
      <c r="J96" s="15" t="s">
        <v>15991</v>
      </c>
    </row>
    <row r="97" spans="2:10">
      <c r="B97" s="15" t="s">
        <v>16985</v>
      </c>
      <c r="C97" s="15" t="s">
        <v>17156</v>
      </c>
      <c r="D97" s="15" t="s">
        <v>371</v>
      </c>
      <c r="E97" s="15" t="s">
        <v>305</v>
      </c>
      <c r="F97" s="15" t="s">
        <v>17157</v>
      </c>
      <c r="G97" s="15"/>
      <c r="H97" s="15"/>
      <c r="I97" s="15" t="s">
        <v>528</v>
      </c>
      <c r="J97" s="15" t="s">
        <v>15991</v>
      </c>
    </row>
    <row r="98" spans="2:10">
      <c r="B98" s="15" t="s">
        <v>16985</v>
      </c>
      <c r="C98" s="15" t="s">
        <v>17158</v>
      </c>
      <c r="D98" s="15" t="s">
        <v>350</v>
      </c>
      <c r="E98" s="15" t="s">
        <v>305</v>
      </c>
      <c r="F98" s="15" t="s">
        <v>17159</v>
      </c>
      <c r="G98" s="15"/>
      <c r="H98" s="15"/>
      <c r="I98" s="15" t="s">
        <v>528</v>
      </c>
      <c r="J98" s="15" t="s">
        <v>15991</v>
      </c>
    </row>
    <row r="99" spans="2:10">
      <c r="B99" s="15" t="s">
        <v>16985</v>
      </c>
      <c r="C99" s="15" t="s">
        <v>17160</v>
      </c>
      <c r="D99" s="15" t="s">
        <v>350</v>
      </c>
      <c r="E99" s="15" t="s">
        <v>305</v>
      </c>
      <c r="F99" s="15" t="s">
        <v>17161</v>
      </c>
      <c r="G99" s="15"/>
      <c r="H99" s="15"/>
      <c r="I99" s="15" t="s">
        <v>528</v>
      </c>
      <c r="J99" s="15" t="s">
        <v>15991</v>
      </c>
    </row>
    <row r="100" spans="2:10">
      <c r="B100" s="15" t="s">
        <v>16985</v>
      </c>
      <c r="C100" s="15" t="s">
        <v>17162</v>
      </c>
      <c r="D100" s="15" t="s">
        <v>350</v>
      </c>
      <c r="E100" s="15" t="s">
        <v>305</v>
      </c>
      <c r="F100" s="15" t="s">
        <v>17163</v>
      </c>
      <c r="G100" s="15"/>
      <c r="H100" s="15"/>
      <c r="I100" s="15" t="s">
        <v>528</v>
      </c>
      <c r="J100" s="15" t="s">
        <v>15991</v>
      </c>
    </row>
    <row r="101" spans="2:10">
      <c r="B101" s="15" t="s">
        <v>16985</v>
      </c>
      <c r="C101" s="15" t="s">
        <v>17164</v>
      </c>
      <c r="D101" s="15" t="s">
        <v>506</v>
      </c>
      <c r="E101" s="15" t="s">
        <v>305</v>
      </c>
      <c r="F101" s="20" t="s">
        <v>17165</v>
      </c>
      <c r="G101" s="15"/>
      <c r="H101" s="15"/>
      <c r="I101" s="15" t="s">
        <v>528</v>
      </c>
      <c r="J101" s="15" t="s">
        <v>15991</v>
      </c>
    </row>
    <row r="102" spans="2:10">
      <c r="B102" s="15" t="s">
        <v>16985</v>
      </c>
      <c r="C102" s="15" t="s">
        <v>17166</v>
      </c>
      <c r="D102" s="15" t="s">
        <v>316</v>
      </c>
      <c r="E102" s="15" t="s">
        <v>305</v>
      </c>
      <c r="F102" s="15" t="s">
        <v>17167</v>
      </c>
      <c r="G102" s="15"/>
      <c r="H102" s="15"/>
      <c r="I102" s="15" t="s">
        <v>528</v>
      </c>
      <c r="J102" s="15" t="s">
        <v>15991</v>
      </c>
    </row>
    <row r="103" spans="2:10">
      <c r="B103" s="15" t="s">
        <v>16985</v>
      </c>
      <c r="C103" s="15" t="s">
        <v>17168</v>
      </c>
      <c r="D103" s="15" t="s">
        <v>506</v>
      </c>
      <c r="E103" s="15" t="s">
        <v>305</v>
      </c>
      <c r="F103" s="15" t="s">
        <v>17169</v>
      </c>
      <c r="G103" s="15"/>
      <c r="H103" s="15"/>
      <c r="I103" s="15" t="s">
        <v>528</v>
      </c>
      <c r="J103" s="15" t="s">
        <v>15991</v>
      </c>
    </row>
    <row r="104" spans="2:10">
      <c r="B104" s="15" t="s">
        <v>16985</v>
      </c>
      <c r="C104" s="15" t="s">
        <v>17170</v>
      </c>
      <c r="D104" s="15" t="s">
        <v>506</v>
      </c>
      <c r="E104" s="15" t="s">
        <v>305</v>
      </c>
      <c r="F104" s="15" t="s">
        <v>17171</v>
      </c>
      <c r="G104" s="15"/>
      <c r="H104" s="15"/>
      <c r="I104" s="15" t="s">
        <v>528</v>
      </c>
      <c r="J104" s="15" t="s">
        <v>15991</v>
      </c>
    </row>
    <row r="105" spans="2:10">
      <c r="B105" s="15" t="s">
        <v>16985</v>
      </c>
      <c r="C105" s="15" t="s">
        <v>17172</v>
      </c>
      <c r="D105" s="15" t="s">
        <v>513</v>
      </c>
      <c r="E105" s="15" t="s">
        <v>305</v>
      </c>
      <c r="F105" s="15" t="s">
        <v>17173</v>
      </c>
      <c r="G105" s="15"/>
      <c r="H105" s="15"/>
      <c r="I105" s="15" t="s">
        <v>528</v>
      </c>
      <c r="J105" s="15" t="s">
        <v>15991</v>
      </c>
    </row>
    <row r="106" spans="2:10">
      <c r="B106" s="15" t="s">
        <v>16985</v>
      </c>
      <c r="C106" s="15" t="s">
        <v>17174</v>
      </c>
      <c r="D106" s="15" t="s">
        <v>506</v>
      </c>
      <c r="E106" s="15" t="s">
        <v>305</v>
      </c>
      <c r="F106" s="15" t="s">
        <v>17175</v>
      </c>
      <c r="G106" s="15"/>
      <c r="H106" s="15"/>
      <c r="I106" s="15" t="s">
        <v>528</v>
      </c>
      <c r="J106" s="15" t="s">
        <v>15991</v>
      </c>
    </row>
    <row r="107" spans="2:10">
      <c r="B107" s="15" t="s">
        <v>16985</v>
      </c>
      <c r="C107" s="15" t="s">
        <v>17176</v>
      </c>
      <c r="D107" s="15" t="s">
        <v>513</v>
      </c>
      <c r="E107" s="15" t="s">
        <v>305</v>
      </c>
      <c r="F107" s="15" t="s">
        <v>17177</v>
      </c>
      <c r="G107" s="15"/>
      <c r="H107" s="15"/>
      <c r="I107" s="15" t="s">
        <v>528</v>
      </c>
      <c r="J107" s="15" t="s">
        <v>15991</v>
      </c>
    </row>
    <row r="108" spans="2:10">
      <c r="B108" s="15" t="s">
        <v>16985</v>
      </c>
      <c r="C108" s="15" t="s">
        <v>17178</v>
      </c>
      <c r="D108" s="15" t="s">
        <v>316</v>
      </c>
      <c r="E108" s="15" t="s">
        <v>305</v>
      </c>
      <c r="F108" s="15" t="s">
        <v>17179</v>
      </c>
      <c r="G108" s="15"/>
      <c r="H108" s="15"/>
      <c r="I108" s="15" t="s">
        <v>528</v>
      </c>
      <c r="J108" s="15" t="s">
        <v>15991</v>
      </c>
    </row>
    <row r="109" spans="2:10">
      <c r="B109" s="15" t="s">
        <v>16985</v>
      </c>
      <c r="C109" s="15" t="s">
        <v>17180</v>
      </c>
      <c r="D109" s="15" t="s">
        <v>506</v>
      </c>
      <c r="E109" s="15" t="s">
        <v>305</v>
      </c>
      <c r="F109" s="15" t="s">
        <v>17181</v>
      </c>
      <c r="G109" s="15"/>
      <c r="H109" s="15"/>
      <c r="I109" s="15" t="s">
        <v>528</v>
      </c>
      <c r="J109" s="15" t="s">
        <v>15991</v>
      </c>
    </row>
    <row r="110" spans="2:10">
      <c r="B110" s="15" t="s">
        <v>16985</v>
      </c>
      <c r="C110" s="15" t="s">
        <v>17182</v>
      </c>
      <c r="D110" s="15" t="s">
        <v>513</v>
      </c>
      <c r="E110" s="15" t="s">
        <v>305</v>
      </c>
      <c r="F110" s="15" t="s">
        <v>17183</v>
      </c>
      <c r="G110" s="15"/>
      <c r="H110" s="15"/>
      <c r="I110" s="15" t="s">
        <v>528</v>
      </c>
      <c r="J110" s="15" t="s">
        <v>15991</v>
      </c>
    </row>
    <row r="111" spans="2:10">
      <c r="B111" s="15" t="s">
        <v>16985</v>
      </c>
      <c r="C111" s="15" t="s">
        <v>17184</v>
      </c>
      <c r="D111" s="15" t="s">
        <v>506</v>
      </c>
      <c r="E111" s="15" t="s">
        <v>305</v>
      </c>
      <c r="F111" s="15" t="s">
        <v>17185</v>
      </c>
      <c r="G111" s="15"/>
      <c r="H111" s="15"/>
      <c r="I111" s="15" t="s">
        <v>528</v>
      </c>
      <c r="J111" s="15" t="s">
        <v>15991</v>
      </c>
    </row>
    <row r="112" spans="2:10">
      <c r="B112" s="15" t="s">
        <v>16985</v>
      </c>
      <c r="C112" s="15" t="s">
        <v>17186</v>
      </c>
      <c r="D112" s="15" t="s">
        <v>513</v>
      </c>
      <c r="E112" s="15" t="s">
        <v>305</v>
      </c>
      <c r="F112" s="15" t="s">
        <v>17187</v>
      </c>
      <c r="G112" s="15"/>
      <c r="H112" s="15"/>
      <c r="I112" s="15" t="s">
        <v>528</v>
      </c>
      <c r="J112" s="15" t="s">
        <v>15991</v>
      </c>
    </row>
    <row r="113" spans="2:10">
      <c r="B113" s="15" t="s">
        <v>16985</v>
      </c>
      <c r="C113" s="15" t="s">
        <v>17188</v>
      </c>
      <c r="D113" s="15" t="s">
        <v>506</v>
      </c>
      <c r="E113" s="15" t="s">
        <v>305</v>
      </c>
      <c r="F113" s="15" t="s">
        <v>17189</v>
      </c>
      <c r="G113" s="15"/>
      <c r="H113" s="15"/>
      <c r="I113" s="15" t="s">
        <v>528</v>
      </c>
      <c r="J113" s="15" t="s">
        <v>15991</v>
      </c>
    </row>
    <row r="114" spans="2:10">
      <c r="B114" s="15" t="s">
        <v>16985</v>
      </c>
      <c r="C114" s="15" t="s">
        <v>17190</v>
      </c>
      <c r="D114" s="15" t="s">
        <v>16072</v>
      </c>
      <c r="E114" s="15" t="s">
        <v>305</v>
      </c>
      <c r="F114" s="20" t="s">
        <v>17191</v>
      </c>
      <c r="G114" s="15"/>
      <c r="H114" s="15"/>
      <c r="I114" s="15" t="s">
        <v>528</v>
      </c>
      <c r="J114" s="15" t="s">
        <v>15991</v>
      </c>
    </row>
    <row r="115" spans="2:10">
      <c r="B115" s="15" t="s">
        <v>16985</v>
      </c>
      <c r="C115" s="15" t="s">
        <v>17192</v>
      </c>
      <c r="D115" s="15" t="s">
        <v>16072</v>
      </c>
      <c r="E115" s="15" t="s">
        <v>305</v>
      </c>
      <c r="F115" s="15" t="s">
        <v>17193</v>
      </c>
      <c r="G115" s="15"/>
      <c r="H115" s="15"/>
      <c r="I115" s="15" t="s">
        <v>528</v>
      </c>
      <c r="J115" s="15" t="s">
        <v>15991</v>
      </c>
    </row>
    <row r="116" spans="2:10">
      <c r="B116" s="15" t="s">
        <v>16985</v>
      </c>
      <c r="C116" s="15" t="s">
        <v>17194</v>
      </c>
      <c r="D116" s="15" t="s">
        <v>16072</v>
      </c>
      <c r="E116" s="15" t="s">
        <v>305</v>
      </c>
      <c r="F116" s="15" t="s">
        <v>17195</v>
      </c>
      <c r="G116" s="15"/>
      <c r="H116" s="15"/>
      <c r="I116" s="15" t="s">
        <v>528</v>
      </c>
      <c r="J116" s="15" t="s">
        <v>15991</v>
      </c>
    </row>
    <row r="117" spans="2:10">
      <c r="B117" s="15" t="s">
        <v>16985</v>
      </c>
      <c r="C117" s="15" t="s">
        <v>17196</v>
      </c>
      <c r="D117" s="15" t="s">
        <v>16072</v>
      </c>
      <c r="E117" s="15" t="s">
        <v>305</v>
      </c>
      <c r="F117" s="15" t="s">
        <v>17197</v>
      </c>
      <c r="G117" s="15"/>
      <c r="H117" s="15"/>
      <c r="I117" s="15" t="s">
        <v>528</v>
      </c>
      <c r="J117" s="15" t="s">
        <v>15991</v>
      </c>
    </row>
    <row r="118" spans="2:10">
      <c r="B118" s="15" t="s">
        <v>16985</v>
      </c>
      <c r="C118" s="15" t="s">
        <v>17198</v>
      </c>
      <c r="D118" s="15" t="s">
        <v>506</v>
      </c>
      <c r="E118" s="15" t="s">
        <v>305</v>
      </c>
      <c r="F118" s="15" t="s">
        <v>17199</v>
      </c>
      <c r="G118" s="15"/>
      <c r="H118" s="15"/>
      <c r="I118" s="15" t="s">
        <v>528</v>
      </c>
      <c r="J118" s="15" t="s">
        <v>15991</v>
      </c>
    </row>
    <row r="119" spans="2:10">
      <c r="B119" s="15" t="s">
        <v>16985</v>
      </c>
      <c r="C119" s="15" t="s">
        <v>17200</v>
      </c>
      <c r="D119" s="15" t="s">
        <v>350</v>
      </c>
      <c r="E119" s="15" t="s">
        <v>305</v>
      </c>
      <c r="F119" s="15" t="s">
        <v>17201</v>
      </c>
      <c r="G119" s="15"/>
      <c r="H119" s="15"/>
      <c r="I119" s="15" t="s">
        <v>528</v>
      </c>
      <c r="J119" s="15" t="s">
        <v>15991</v>
      </c>
    </row>
    <row r="120" spans="2:10">
      <c r="B120" s="15" t="s">
        <v>16985</v>
      </c>
      <c r="C120" s="15" t="s">
        <v>17202</v>
      </c>
      <c r="D120" s="15" t="s">
        <v>321</v>
      </c>
      <c r="E120" s="15" t="s">
        <v>305</v>
      </c>
      <c r="F120" s="15" t="s">
        <v>17203</v>
      </c>
      <c r="G120" s="15"/>
      <c r="H120" s="15"/>
      <c r="I120" s="15" t="s">
        <v>528</v>
      </c>
      <c r="J120" s="15" t="s">
        <v>15991</v>
      </c>
    </row>
    <row r="121" spans="2:10">
      <c r="B121" s="15" t="s">
        <v>16985</v>
      </c>
      <c r="C121" s="15" t="s">
        <v>17204</v>
      </c>
      <c r="D121" s="15" t="s">
        <v>350</v>
      </c>
      <c r="E121" s="15" t="s">
        <v>305</v>
      </c>
      <c r="F121" s="15" t="s">
        <v>17205</v>
      </c>
      <c r="G121" s="15"/>
      <c r="H121" s="15"/>
      <c r="I121" s="15" t="s">
        <v>528</v>
      </c>
      <c r="J121" s="15" t="s">
        <v>15991</v>
      </c>
    </row>
    <row r="122" spans="2:10">
      <c r="B122" s="15" t="s">
        <v>16985</v>
      </c>
      <c r="C122" s="15" t="s">
        <v>17206</v>
      </c>
      <c r="D122" s="15" t="s">
        <v>321</v>
      </c>
      <c r="E122" s="15" t="s">
        <v>305</v>
      </c>
      <c r="F122" s="15" t="s">
        <v>17207</v>
      </c>
      <c r="G122" s="15"/>
      <c r="H122" s="15"/>
      <c r="I122" s="15" t="s">
        <v>528</v>
      </c>
      <c r="J122" s="15" t="s">
        <v>15991</v>
      </c>
    </row>
    <row r="123" spans="2:10">
      <c r="B123" s="15" t="s">
        <v>16985</v>
      </c>
      <c r="C123" s="15" t="s">
        <v>17208</v>
      </c>
      <c r="D123" s="15" t="s">
        <v>371</v>
      </c>
      <c r="E123" s="15" t="s">
        <v>305</v>
      </c>
      <c r="F123" s="15" t="s">
        <v>17209</v>
      </c>
      <c r="G123" s="15"/>
      <c r="H123" s="15"/>
      <c r="I123" s="15" t="s">
        <v>528</v>
      </c>
      <c r="J123" s="15" t="s">
        <v>15991</v>
      </c>
    </row>
    <row r="124" spans="2:10">
      <c r="B124" s="15" t="s">
        <v>16985</v>
      </c>
      <c r="C124" s="15" t="s">
        <v>16009</v>
      </c>
      <c r="D124" s="15" t="s">
        <v>316</v>
      </c>
      <c r="E124" s="15" t="s">
        <v>305</v>
      </c>
      <c r="F124" s="15" t="s">
        <v>16010</v>
      </c>
      <c r="G124" s="15"/>
      <c r="H124" s="15"/>
      <c r="I124" s="15" t="s">
        <v>528</v>
      </c>
      <c r="J124" s="15" t="s">
        <v>15991</v>
      </c>
    </row>
    <row r="125" spans="2:10">
      <c r="B125" s="15" t="s">
        <v>16985</v>
      </c>
      <c r="C125" s="15" t="s">
        <v>16011</v>
      </c>
      <c r="D125" s="15" t="s">
        <v>316</v>
      </c>
      <c r="E125" s="15" t="s">
        <v>305</v>
      </c>
      <c r="F125" s="15" t="s">
        <v>16012</v>
      </c>
      <c r="G125" s="15"/>
      <c r="H125" s="15"/>
      <c r="I125" s="15" t="s">
        <v>528</v>
      </c>
      <c r="J125" s="15" t="s">
        <v>15991</v>
      </c>
    </row>
    <row r="126" spans="2:10">
      <c r="B126" s="15" t="s">
        <v>16985</v>
      </c>
      <c r="C126" s="15" t="s">
        <v>16013</v>
      </c>
      <c r="D126" s="15" t="s">
        <v>371</v>
      </c>
      <c r="E126" s="15" t="s">
        <v>305</v>
      </c>
      <c r="F126" s="15" t="s">
        <v>16014</v>
      </c>
      <c r="G126" s="15"/>
      <c r="H126" s="15"/>
      <c r="I126" s="15" t="s">
        <v>528</v>
      </c>
      <c r="J126" s="15" t="s">
        <v>15991</v>
      </c>
    </row>
    <row r="127" spans="2:10">
      <c r="B127" s="15" t="s">
        <v>16985</v>
      </c>
      <c r="C127" s="15" t="s">
        <v>16015</v>
      </c>
      <c r="D127" s="15" t="s">
        <v>316</v>
      </c>
      <c r="E127" s="15" t="s">
        <v>305</v>
      </c>
      <c r="F127" s="15" t="s">
        <v>16016</v>
      </c>
      <c r="G127" s="15"/>
      <c r="H127" s="15"/>
      <c r="I127" s="15" t="s">
        <v>528</v>
      </c>
      <c r="J127" s="15" t="s">
        <v>15991</v>
      </c>
    </row>
    <row r="128" spans="2:10">
      <c r="B128" s="15" t="s">
        <v>16985</v>
      </c>
      <c r="C128" s="15" t="s">
        <v>16017</v>
      </c>
      <c r="D128" s="15" t="s">
        <v>316</v>
      </c>
      <c r="E128" s="15" t="s">
        <v>305</v>
      </c>
      <c r="F128" s="15" t="s">
        <v>16018</v>
      </c>
      <c r="G128" s="15"/>
      <c r="H128" s="15"/>
      <c r="I128" s="15" t="s">
        <v>528</v>
      </c>
      <c r="J128" s="15" t="s">
        <v>15991</v>
      </c>
    </row>
    <row r="129" spans="2:10">
      <c r="B129" s="15" t="s">
        <v>16985</v>
      </c>
      <c r="C129" s="15" t="s">
        <v>16019</v>
      </c>
      <c r="D129" s="15" t="s">
        <v>371</v>
      </c>
      <c r="E129" s="15" t="s">
        <v>305</v>
      </c>
      <c r="F129" s="15" t="s">
        <v>16020</v>
      </c>
      <c r="G129" s="15"/>
      <c r="H129" s="15"/>
      <c r="I129" s="15" t="s">
        <v>528</v>
      </c>
      <c r="J129" s="15" t="s">
        <v>15991</v>
      </c>
    </row>
    <row r="130" spans="2:10">
      <c r="B130" s="15" t="s">
        <v>16985</v>
      </c>
      <c r="C130" s="15" t="s">
        <v>16086</v>
      </c>
      <c r="D130" s="15" t="s">
        <v>16087</v>
      </c>
      <c r="E130" s="15" t="s">
        <v>305</v>
      </c>
      <c r="F130" s="15" t="s">
        <v>301</v>
      </c>
      <c r="G130" s="15"/>
      <c r="H130" s="15"/>
      <c r="I130" s="15" t="s">
        <v>528</v>
      </c>
      <c r="J130" s="15" t="s">
        <v>15991</v>
      </c>
    </row>
    <row r="131" spans="2:10">
      <c r="B131" s="15" t="s">
        <v>16985</v>
      </c>
      <c r="C131" s="15" t="s">
        <v>16088</v>
      </c>
      <c r="D131" s="15" t="s">
        <v>316</v>
      </c>
      <c r="E131" s="15" t="s">
        <v>305</v>
      </c>
      <c r="F131" s="15" t="s">
        <v>16089</v>
      </c>
      <c r="G131" s="15"/>
      <c r="H131" s="15"/>
      <c r="I131" s="15" t="s">
        <v>528</v>
      </c>
      <c r="J131" s="15" t="s">
        <v>15991</v>
      </c>
    </row>
    <row r="132" spans="2:10">
      <c r="B132" s="16" t="s">
        <v>16985</v>
      </c>
      <c r="C132" s="16" t="s">
        <v>17210</v>
      </c>
      <c r="D132" s="16" t="s">
        <v>321</v>
      </c>
      <c r="E132" s="16" t="s">
        <v>305</v>
      </c>
      <c r="F132" s="116" t="s">
        <v>15875</v>
      </c>
      <c r="G132" s="117" t="str">
        <f>HYPERLINK("#码值映射清单!B13637","Trademarket")</f>
        <v>Trademarket</v>
      </c>
      <c r="H132" s="16"/>
      <c r="I132" s="16" t="s">
        <v>528</v>
      </c>
      <c r="J132" s="16" t="s">
        <v>15991</v>
      </c>
    </row>
    <row r="133" spans="2:10">
      <c r="B133" s="37" t="s">
        <v>16985</v>
      </c>
      <c r="C133" s="37" t="s">
        <v>303</v>
      </c>
      <c r="D133" s="37" t="s">
        <v>304</v>
      </c>
      <c r="E133" s="37" t="s">
        <v>305</v>
      </c>
      <c r="F133" s="38" t="s">
        <v>302</v>
      </c>
      <c r="G133" s="37"/>
      <c r="H133" s="37"/>
      <c r="I133" s="37"/>
      <c r="J133" s="67">
        <v>45740</v>
      </c>
    </row>
    <row r="134" spans="2:10">
      <c r="B134" s="37" t="s">
        <v>16985</v>
      </c>
      <c r="C134" s="37" t="s">
        <v>311</v>
      </c>
      <c r="D134" s="37" t="s">
        <v>304</v>
      </c>
      <c r="E134" s="37" t="s">
        <v>305</v>
      </c>
      <c r="F134" s="38" t="s">
        <v>310</v>
      </c>
      <c r="G134" s="37"/>
      <c r="H134" s="37"/>
      <c r="I134" s="37"/>
      <c r="J134" s="67">
        <v>45740</v>
      </c>
    </row>
    <row r="135" spans="2:10">
      <c r="B135" s="65" t="s">
        <v>16985</v>
      </c>
      <c r="C135" s="97" t="s">
        <v>315</v>
      </c>
      <c r="D135" s="97" t="s">
        <v>316</v>
      </c>
      <c r="E135" s="118" t="s">
        <v>305</v>
      </c>
      <c r="F135" s="119" t="s">
        <v>314</v>
      </c>
      <c r="G135" s="97"/>
      <c r="H135" s="97"/>
      <c r="I135" s="97"/>
      <c r="J135" s="91">
        <v>45740</v>
      </c>
    </row>
    <row r="136" ht="16" spans="2:10">
      <c r="B136" s="65" t="s">
        <v>16985</v>
      </c>
      <c r="C136" s="57" t="s">
        <v>320</v>
      </c>
      <c r="D136" s="65" t="s">
        <v>321</v>
      </c>
      <c r="E136" s="65" t="s">
        <v>305</v>
      </c>
      <c r="F136" s="82" t="s">
        <v>319</v>
      </c>
      <c r="G136" s="57"/>
      <c r="H136" s="60" t="s">
        <v>322</v>
      </c>
      <c r="I136" s="57"/>
      <c r="J136" s="50">
        <v>45740</v>
      </c>
    </row>
    <row r="137" spans="2:10">
      <c r="B137" s="65" t="s">
        <v>16985</v>
      </c>
      <c r="C137" s="57" t="s">
        <v>326</v>
      </c>
      <c r="D137" s="57" t="s">
        <v>327</v>
      </c>
      <c r="E137" s="65" t="s">
        <v>305</v>
      </c>
      <c r="F137" s="82" t="s">
        <v>325</v>
      </c>
      <c r="G137" s="57"/>
      <c r="H137" s="57"/>
      <c r="I137" s="57"/>
      <c r="J137" s="50">
        <v>45740</v>
      </c>
    </row>
    <row r="138" ht="46" spans="2:10">
      <c r="B138" s="65" t="s">
        <v>16985</v>
      </c>
      <c r="C138" s="57" t="s">
        <v>331</v>
      </c>
      <c r="D138" s="65" t="s">
        <v>321</v>
      </c>
      <c r="E138" s="65" t="s">
        <v>305</v>
      </c>
      <c r="F138" s="82" t="s">
        <v>330</v>
      </c>
      <c r="G138" s="57"/>
      <c r="H138" s="66" t="s">
        <v>332</v>
      </c>
      <c r="I138" s="57"/>
      <c r="J138" s="50">
        <v>45740</v>
      </c>
    </row>
    <row r="139" ht="16" spans="2:10">
      <c r="B139" s="65" t="s">
        <v>16985</v>
      </c>
      <c r="C139" s="57" t="s">
        <v>336</v>
      </c>
      <c r="D139" s="65" t="s">
        <v>321</v>
      </c>
      <c r="E139" s="65" t="s">
        <v>305</v>
      </c>
      <c r="F139" s="82" t="s">
        <v>335</v>
      </c>
      <c r="G139" s="57"/>
      <c r="H139" s="60" t="s">
        <v>337</v>
      </c>
      <c r="I139" s="57"/>
      <c r="J139" s="50">
        <v>45740</v>
      </c>
    </row>
    <row r="140" spans="2:12">
      <c r="B140" s="65" t="s">
        <v>16985</v>
      </c>
      <c r="C140" s="57" t="s">
        <v>341</v>
      </c>
      <c r="D140" s="57" t="s">
        <v>316</v>
      </c>
      <c r="E140" s="65" t="s">
        <v>305</v>
      </c>
      <c r="F140" s="82" t="s">
        <v>340</v>
      </c>
      <c r="G140" s="57"/>
      <c r="H140" s="57"/>
      <c r="I140" s="57"/>
      <c r="J140" s="50">
        <v>45740</v>
      </c>
      <c r="K140" s="114"/>
      <c r="L140" s="114"/>
    </row>
    <row r="141" spans="2:12">
      <c r="B141" s="65" t="s">
        <v>16985</v>
      </c>
      <c r="C141" s="57" t="s">
        <v>345</v>
      </c>
      <c r="D141" s="57" t="s">
        <v>433</v>
      </c>
      <c r="E141" s="65" t="s">
        <v>305</v>
      </c>
      <c r="F141" s="82" t="s">
        <v>344</v>
      </c>
      <c r="G141" s="57"/>
      <c r="H141" s="57"/>
      <c r="I141" s="57"/>
      <c r="J141" s="50">
        <v>45740</v>
      </c>
      <c r="K141" s="114"/>
      <c r="L141" s="114"/>
    </row>
    <row r="142" spans="2:12">
      <c r="B142" s="65" t="s">
        <v>16985</v>
      </c>
      <c r="C142" s="57" t="s">
        <v>349</v>
      </c>
      <c r="D142" s="65" t="s">
        <v>350</v>
      </c>
      <c r="E142" s="65" t="s">
        <v>305</v>
      </c>
      <c r="F142" s="82" t="s">
        <v>348</v>
      </c>
      <c r="G142" s="57"/>
      <c r="H142" s="57"/>
      <c r="I142" s="57"/>
      <c r="J142" s="50">
        <v>45740</v>
      </c>
      <c r="K142" s="114"/>
      <c r="L142" s="114"/>
    </row>
    <row r="143" spans="2:12">
      <c r="B143" s="65" t="s">
        <v>16985</v>
      </c>
      <c r="C143" s="57" t="s">
        <v>354</v>
      </c>
      <c r="D143" s="65" t="s">
        <v>350</v>
      </c>
      <c r="E143" s="65" t="s">
        <v>305</v>
      </c>
      <c r="F143" s="82" t="s">
        <v>353</v>
      </c>
      <c r="G143" s="57"/>
      <c r="H143" s="57"/>
      <c r="I143" s="57"/>
      <c r="J143" s="50">
        <v>45740</v>
      </c>
      <c r="K143" s="114"/>
      <c r="L143" s="114"/>
    </row>
    <row r="144" spans="2:12">
      <c r="B144" s="65" t="s">
        <v>16985</v>
      </c>
      <c r="C144" s="57" t="s">
        <v>358</v>
      </c>
      <c r="D144" s="65" t="s">
        <v>321</v>
      </c>
      <c r="E144" s="65" t="s">
        <v>305</v>
      </c>
      <c r="F144" s="99" t="s">
        <v>357</v>
      </c>
      <c r="G144" s="57"/>
      <c r="H144" s="57"/>
      <c r="I144" s="57"/>
      <c r="J144" s="50">
        <v>45740</v>
      </c>
      <c r="K144" s="114"/>
      <c r="L144" s="114"/>
    </row>
    <row r="145" spans="2:12">
      <c r="B145" s="65" t="s">
        <v>16985</v>
      </c>
      <c r="C145" s="57" t="s">
        <v>362</v>
      </c>
      <c r="D145" s="65" t="s">
        <v>363</v>
      </c>
      <c r="E145" s="65" t="s">
        <v>305</v>
      </c>
      <c r="F145" s="59" t="s">
        <v>361</v>
      </c>
      <c r="G145" s="57"/>
      <c r="H145" s="57"/>
      <c r="I145" s="57"/>
      <c r="J145" s="50">
        <v>45740</v>
      </c>
      <c r="K145" s="114"/>
      <c r="L145" s="114"/>
    </row>
    <row r="146" ht="16" spans="2:12">
      <c r="B146" s="65" t="s">
        <v>16985</v>
      </c>
      <c r="C146" s="111" t="s">
        <v>366</v>
      </c>
      <c r="D146" s="57" t="s">
        <v>367</v>
      </c>
      <c r="E146" s="65" t="s">
        <v>305</v>
      </c>
      <c r="F146" s="59" t="s">
        <v>365</v>
      </c>
      <c r="G146" s="57"/>
      <c r="H146" s="57"/>
      <c r="I146" s="57"/>
      <c r="J146" s="50">
        <v>45740</v>
      </c>
      <c r="K146" s="114"/>
      <c r="L146" s="114"/>
    </row>
    <row r="147" ht="16" spans="2:12">
      <c r="B147" s="65" t="s">
        <v>16985</v>
      </c>
      <c r="C147" s="111" t="s">
        <v>370</v>
      </c>
      <c r="D147" s="65" t="s">
        <v>371</v>
      </c>
      <c r="E147" s="65" t="s">
        <v>305</v>
      </c>
      <c r="F147" s="57" t="s">
        <v>369</v>
      </c>
      <c r="G147" s="57"/>
      <c r="H147" s="57"/>
      <c r="I147" s="57"/>
      <c r="J147" s="50">
        <v>45740</v>
      </c>
      <c r="K147" s="114"/>
      <c r="L147" s="114"/>
    </row>
    <row r="148" ht="16" spans="2:12">
      <c r="B148" s="65" t="s">
        <v>16985</v>
      </c>
      <c r="C148" s="111" t="s">
        <v>375</v>
      </c>
      <c r="D148" s="57" t="s">
        <v>506</v>
      </c>
      <c r="E148" s="65" t="s">
        <v>305</v>
      </c>
      <c r="F148" s="59" t="s">
        <v>374</v>
      </c>
      <c r="G148" s="57"/>
      <c r="H148" s="57"/>
      <c r="I148" s="57"/>
      <c r="J148" s="50">
        <v>45740</v>
      </c>
      <c r="K148" s="114"/>
      <c r="L148" s="114"/>
    </row>
    <row r="149" ht="16" spans="2:12">
      <c r="B149" s="65" t="s">
        <v>16985</v>
      </c>
      <c r="C149" s="111" t="s">
        <v>379</v>
      </c>
      <c r="D149" s="57" t="s">
        <v>506</v>
      </c>
      <c r="E149" s="65" t="s">
        <v>305</v>
      </c>
      <c r="F149" s="59" t="s">
        <v>378</v>
      </c>
      <c r="G149" s="57"/>
      <c r="H149" s="57"/>
      <c r="I149" s="57"/>
      <c r="J149" s="50">
        <v>45740</v>
      </c>
      <c r="K149" s="114"/>
      <c r="L149" s="114"/>
    </row>
    <row r="150" ht="16" spans="2:12">
      <c r="B150" s="65" t="s">
        <v>16985</v>
      </c>
      <c r="C150" s="111" t="s">
        <v>383</v>
      </c>
      <c r="D150" s="57" t="s">
        <v>506</v>
      </c>
      <c r="E150" s="65" t="s">
        <v>305</v>
      </c>
      <c r="F150" s="59" t="s">
        <v>382</v>
      </c>
      <c r="G150" s="57"/>
      <c r="H150" s="57"/>
      <c r="I150" s="57"/>
      <c r="J150" s="50">
        <v>45740</v>
      </c>
      <c r="K150" s="114"/>
      <c r="L150" s="114"/>
    </row>
    <row r="151" ht="16" spans="2:12">
      <c r="B151" s="65" t="s">
        <v>16985</v>
      </c>
      <c r="C151" s="111" t="s">
        <v>387</v>
      </c>
      <c r="D151" s="57" t="s">
        <v>367</v>
      </c>
      <c r="E151" s="65" t="s">
        <v>305</v>
      </c>
      <c r="F151" s="59" t="s">
        <v>386</v>
      </c>
      <c r="G151" s="57"/>
      <c r="H151" s="57"/>
      <c r="I151" s="57"/>
      <c r="J151" s="50">
        <v>45740</v>
      </c>
      <c r="K151" s="114"/>
      <c r="L151" s="114"/>
    </row>
    <row r="152" ht="16" spans="2:12">
      <c r="B152" s="65" t="s">
        <v>16985</v>
      </c>
      <c r="C152" s="111" t="s">
        <v>391</v>
      </c>
      <c r="D152" s="57" t="s">
        <v>321</v>
      </c>
      <c r="E152" s="65" t="s">
        <v>305</v>
      </c>
      <c r="F152" s="59" t="s">
        <v>390</v>
      </c>
      <c r="G152" s="57"/>
      <c r="H152" s="57"/>
      <c r="I152" s="57"/>
      <c r="J152" s="50">
        <v>45740</v>
      </c>
      <c r="K152" s="114"/>
      <c r="L152" s="114"/>
    </row>
    <row r="153" ht="16" spans="2:12">
      <c r="B153" s="65" t="s">
        <v>16985</v>
      </c>
      <c r="C153" s="111" t="s">
        <v>395</v>
      </c>
      <c r="D153" s="57" t="s">
        <v>321</v>
      </c>
      <c r="E153" s="65" t="s">
        <v>305</v>
      </c>
      <c r="F153" s="99" t="s">
        <v>394</v>
      </c>
      <c r="G153" s="57"/>
      <c r="H153" s="57"/>
      <c r="I153" s="57"/>
      <c r="J153" s="50">
        <v>45740</v>
      </c>
      <c r="K153" s="114"/>
      <c r="L153" s="114"/>
    </row>
    <row r="154" ht="16" spans="2:12">
      <c r="B154" s="65" t="s">
        <v>16985</v>
      </c>
      <c r="C154" s="111" t="s">
        <v>399</v>
      </c>
      <c r="D154" s="57" t="s">
        <v>316</v>
      </c>
      <c r="E154" s="65" t="s">
        <v>305</v>
      </c>
      <c r="F154" s="59" t="s">
        <v>398</v>
      </c>
      <c r="G154" s="57"/>
      <c r="H154" s="57"/>
      <c r="I154" s="57"/>
      <c r="J154" s="50">
        <v>45740</v>
      </c>
      <c r="K154" s="114"/>
      <c r="L154" s="114"/>
    </row>
    <row r="155" ht="16" spans="2:12">
      <c r="B155" s="65" t="s">
        <v>16985</v>
      </c>
      <c r="C155" s="111" t="s">
        <v>403</v>
      </c>
      <c r="D155" s="57" t="s">
        <v>321</v>
      </c>
      <c r="E155" s="65" t="s">
        <v>305</v>
      </c>
      <c r="F155" s="82" t="s">
        <v>402</v>
      </c>
      <c r="G155" s="57"/>
      <c r="H155" s="57"/>
      <c r="I155" s="57"/>
      <c r="J155" s="50">
        <v>45740</v>
      </c>
      <c r="K155" s="114"/>
      <c r="L155" s="114"/>
    </row>
    <row r="156" ht="16" spans="2:12">
      <c r="B156" s="65" t="s">
        <v>16985</v>
      </c>
      <c r="C156" s="111" t="s">
        <v>407</v>
      </c>
      <c r="D156" s="57" t="s">
        <v>537</v>
      </c>
      <c r="E156" s="65" t="s">
        <v>305</v>
      </c>
      <c r="F156" s="82" t="s">
        <v>406</v>
      </c>
      <c r="G156" s="57"/>
      <c r="H156" s="57"/>
      <c r="I156" s="57"/>
      <c r="J156" s="50">
        <v>45740</v>
      </c>
      <c r="K156" s="114"/>
      <c r="L156" s="114"/>
    </row>
    <row r="157" ht="16" spans="2:12">
      <c r="B157" s="65" t="s">
        <v>16985</v>
      </c>
      <c r="C157" s="111" t="s">
        <v>411</v>
      </c>
      <c r="D157" s="57" t="s">
        <v>321</v>
      </c>
      <c r="E157" s="65" t="s">
        <v>305</v>
      </c>
      <c r="F157" s="82" t="s">
        <v>410</v>
      </c>
      <c r="G157" s="57"/>
      <c r="H157" s="57"/>
      <c r="I157" s="57"/>
      <c r="J157" s="50">
        <v>45740</v>
      </c>
      <c r="K157" s="114"/>
      <c r="L157" s="114"/>
    </row>
    <row r="158" ht="16" spans="2:12">
      <c r="B158" s="65" t="s">
        <v>16985</v>
      </c>
      <c r="C158" s="111" t="s">
        <v>415</v>
      </c>
      <c r="D158" s="57" t="s">
        <v>350</v>
      </c>
      <c r="E158" s="65" t="s">
        <v>305</v>
      </c>
      <c r="F158" s="82" t="s">
        <v>414</v>
      </c>
      <c r="G158" s="57"/>
      <c r="H158" s="57"/>
      <c r="I158" s="57"/>
      <c r="J158" s="50">
        <v>45740</v>
      </c>
      <c r="K158" s="114"/>
      <c r="L158" s="114"/>
    </row>
    <row r="159" ht="16" spans="2:12">
      <c r="B159" s="65" t="s">
        <v>16985</v>
      </c>
      <c r="C159" s="111" t="s">
        <v>419</v>
      </c>
      <c r="D159" s="57" t="s">
        <v>506</v>
      </c>
      <c r="E159" s="65" t="s">
        <v>305</v>
      </c>
      <c r="F159" s="99" t="s">
        <v>418</v>
      </c>
      <c r="G159" s="57"/>
      <c r="H159" s="57"/>
      <c r="I159" s="57"/>
      <c r="J159" s="50">
        <v>45740</v>
      </c>
      <c r="K159" s="114"/>
      <c r="L159" s="114"/>
    </row>
    <row r="160" ht="16" spans="2:12">
      <c r="B160" s="65" t="s">
        <v>16985</v>
      </c>
      <c r="C160" s="111" t="s">
        <v>423</v>
      </c>
      <c r="D160" s="57" t="s">
        <v>371</v>
      </c>
      <c r="E160" s="65" t="s">
        <v>305</v>
      </c>
      <c r="F160" s="82" t="s">
        <v>422</v>
      </c>
      <c r="G160" s="57"/>
      <c r="H160" s="57"/>
      <c r="I160" s="57"/>
      <c r="J160" s="50">
        <v>45740</v>
      </c>
      <c r="K160" s="114"/>
      <c r="L160" s="114"/>
    </row>
    <row r="161" ht="41" spans="2:12">
      <c r="B161" s="65" t="s">
        <v>16985</v>
      </c>
      <c r="C161" s="111" t="s">
        <v>427</v>
      </c>
      <c r="D161" s="57" t="s">
        <v>321</v>
      </c>
      <c r="E161" s="65" t="s">
        <v>305</v>
      </c>
      <c r="F161" s="59" t="s">
        <v>426</v>
      </c>
      <c r="G161" s="57"/>
      <c r="H161" s="100" t="s">
        <v>428</v>
      </c>
      <c r="I161" s="57"/>
      <c r="J161" s="50">
        <v>45740</v>
      </c>
      <c r="K161" s="114"/>
      <c r="L161" s="114"/>
    </row>
    <row r="162" ht="16" spans="2:10">
      <c r="B162" s="65" t="s">
        <v>16985</v>
      </c>
      <c r="C162" s="111" t="s">
        <v>432</v>
      </c>
      <c r="D162" s="57" t="s">
        <v>433</v>
      </c>
      <c r="E162" s="65" t="s">
        <v>305</v>
      </c>
      <c r="F162" s="99" t="s">
        <v>431</v>
      </c>
      <c r="G162" s="57"/>
      <c r="H162" s="57"/>
      <c r="I162" s="57"/>
      <c r="J162" s="50">
        <v>45740</v>
      </c>
    </row>
    <row r="163" ht="16" spans="2:10">
      <c r="B163" s="65" t="s">
        <v>16985</v>
      </c>
      <c r="C163" s="111" t="s">
        <v>437</v>
      </c>
      <c r="D163" s="57" t="s">
        <v>321</v>
      </c>
      <c r="E163" s="65" t="s">
        <v>305</v>
      </c>
      <c r="F163" s="99" t="s">
        <v>436</v>
      </c>
      <c r="G163" s="57"/>
      <c r="H163" s="57"/>
      <c r="I163" s="57"/>
      <c r="J163" s="50">
        <v>45740</v>
      </c>
    </row>
    <row r="164" ht="16" spans="2:10">
      <c r="B164" s="65" t="s">
        <v>16985</v>
      </c>
      <c r="C164" s="111" t="s">
        <v>441</v>
      </c>
      <c r="D164" s="57" t="s">
        <v>461</v>
      </c>
      <c r="E164" s="65" t="s">
        <v>305</v>
      </c>
      <c r="F164" s="99" t="s">
        <v>440</v>
      </c>
      <c r="G164" s="57"/>
      <c r="H164" s="57"/>
      <c r="I164" s="57"/>
      <c r="J164" s="50">
        <v>45740</v>
      </c>
    </row>
    <row r="165" ht="16" spans="2:10">
      <c r="B165" s="65" t="s">
        <v>16985</v>
      </c>
      <c r="C165" s="111" t="s">
        <v>445</v>
      </c>
      <c r="D165" s="57" t="s">
        <v>367</v>
      </c>
      <c r="E165" s="65" t="s">
        <v>305</v>
      </c>
      <c r="F165" s="99" t="s">
        <v>444</v>
      </c>
      <c r="G165" s="57"/>
      <c r="H165" s="57"/>
      <c r="I165" s="57"/>
      <c r="J165" s="50">
        <v>45740</v>
      </c>
    </row>
    <row r="166" ht="16" spans="2:10">
      <c r="B166" s="65" t="s">
        <v>16985</v>
      </c>
      <c r="C166" s="111" t="s">
        <v>447</v>
      </c>
      <c r="D166" s="57" t="s">
        <v>371</v>
      </c>
      <c r="E166" s="65" t="s">
        <v>305</v>
      </c>
      <c r="F166" s="99" t="s">
        <v>446</v>
      </c>
      <c r="G166" s="57"/>
      <c r="H166" s="57"/>
      <c r="I166" s="57"/>
      <c r="J166" s="50">
        <v>45740</v>
      </c>
    </row>
  </sheetData>
  <pageMargins left="0.75" right="0.75" top="1" bottom="1" header="0.5" footer="0.5"/>
  <pageSetup paperSize="1" orientation="portrait" horizontalDpi="300" verticalDpi="300"/>
  <headerFooter alignWithMargins="0" scaleWithDoc="0"/>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44"/>
  <sheetViews>
    <sheetView zoomScaleSheetLayoutView="60" workbookViewId="0">
      <pane ySplit="2" topLeftCell="A112" activePane="bottomLeft" state="frozen"/>
      <selection/>
      <selection pane="bottomLeft" activeCell="C141" sqref="C141"/>
    </sheetView>
  </sheetViews>
  <sheetFormatPr defaultColWidth="9.14285714285714" defaultRowHeight="15.2"/>
  <cols>
    <col min="2" max="2" width="23.9285714285714" customWidth="1"/>
    <col min="3" max="3" width="27.5714285714286" customWidth="1"/>
    <col min="4" max="4" width="15.625" customWidth="1"/>
    <col min="5" max="5" width="7.80357142857143" customWidth="1"/>
    <col min="6" max="6" width="39.0625" customWidth="1"/>
    <col min="7" max="7" width="15.625" customWidth="1"/>
    <col min="10" max="10" width="11.7053571428571" customWidth="1"/>
  </cols>
  <sheetData>
    <row r="1" spans="1:2">
      <c r="A1" s="96" t="str">
        <f>HYPERLINK("#表结构清单!A1","返回")</f>
        <v>返回</v>
      </c>
      <c r="B1" t="s">
        <v>184</v>
      </c>
    </row>
    <row r="2" spans="2:10">
      <c r="B2" s="13" t="s">
        <v>15982</v>
      </c>
      <c r="C2" s="13" t="s">
        <v>297</v>
      </c>
      <c r="D2" s="13" t="s">
        <v>11870</v>
      </c>
      <c r="E2" s="13" t="s">
        <v>15983</v>
      </c>
      <c r="F2" s="13" t="s">
        <v>15984</v>
      </c>
      <c r="G2" s="13" t="s">
        <v>300</v>
      </c>
      <c r="H2" s="13" t="s">
        <v>301</v>
      </c>
      <c r="I2" s="13" t="s">
        <v>15985</v>
      </c>
      <c r="J2" s="13" t="s">
        <v>15986</v>
      </c>
    </row>
    <row r="3" spans="2:10">
      <c r="B3" s="15" t="s">
        <v>17211</v>
      </c>
      <c r="C3" s="15" t="s">
        <v>16103</v>
      </c>
      <c r="D3" s="15" t="s">
        <v>316</v>
      </c>
      <c r="E3" s="15" t="s">
        <v>15989</v>
      </c>
      <c r="F3" s="15" t="s">
        <v>16986</v>
      </c>
      <c r="G3" s="15"/>
      <c r="H3" s="15"/>
      <c r="I3" s="15" t="s">
        <v>528</v>
      </c>
      <c r="J3" s="15" t="s">
        <v>15991</v>
      </c>
    </row>
    <row r="4" spans="2:10">
      <c r="B4" s="15" t="s">
        <v>17211</v>
      </c>
      <c r="C4" s="15" t="s">
        <v>17212</v>
      </c>
      <c r="D4" s="15" t="s">
        <v>506</v>
      </c>
      <c r="E4" s="15" t="s">
        <v>305</v>
      </c>
      <c r="F4" s="15" t="s">
        <v>17213</v>
      </c>
      <c r="G4" s="15"/>
      <c r="H4" s="15"/>
      <c r="I4" s="15" t="s">
        <v>528</v>
      </c>
      <c r="J4" s="15" t="s">
        <v>15991</v>
      </c>
    </row>
    <row r="5" spans="2:10">
      <c r="B5" s="15" t="s">
        <v>17211</v>
      </c>
      <c r="C5" s="15" t="s">
        <v>497</v>
      </c>
      <c r="D5" s="15" t="s">
        <v>513</v>
      </c>
      <c r="E5" s="15" t="s">
        <v>305</v>
      </c>
      <c r="F5" s="15" t="s">
        <v>17214</v>
      </c>
      <c r="G5" s="52" t="str">
        <f>HYPERLINK("#码值映射清单!B5645","VehicleType")</f>
        <v>VehicleType</v>
      </c>
      <c r="H5" s="15"/>
      <c r="I5" s="15" t="s">
        <v>528</v>
      </c>
      <c r="J5" s="15" t="s">
        <v>15991</v>
      </c>
    </row>
    <row r="6" spans="2:10">
      <c r="B6" s="15" t="s">
        <v>17211</v>
      </c>
      <c r="C6" s="15" t="s">
        <v>17215</v>
      </c>
      <c r="D6" s="15" t="s">
        <v>506</v>
      </c>
      <c r="E6" s="15" t="s">
        <v>305</v>
      </c>
      <c r="F6" s="20" t="s">
        <v>17216</v>
      </c>
      <c r="G6" s="15"/>
      <c r="H6" s="15"/>
      <c r="I6" s="15" t="s">
        <v>528</v>
      </c>
      <c r="J6" s="15" t="s">
        <v>15991</v>
      </c>
    </row>
    <row r="7" spans="2:10">
      <c r="B7" s="15" t="s">
        <v>17211</v>
      </c>
      <c r="C7" s="15" t="s">
        <v>17217</v>
      </c>
      <c r="D7" s="15" t="s">
        <v>506</v>
      </c>
      <c r="E7" s="15" t="s">
        <v>305</v>
      </c>
      <c r="F7" s="15" t="s">
        <v>17218</v>
      </c>
      <c r="G7" s="15"/>
      <c r="H7" s="15"/>
      <c r="I7" s="15" t="s">
        <v>528</v>
      </c>
      <c r="J7" s="15" t="s">
        <v>15991</v>
      </c>
    </row>
    <row r="8" spans="2:10">
      <c r="B8" s="15" t="s">
        <v>17211</v>
      </c>
      <c r="C8" s="15" t="s">
        <v>17219</v>
      </c>
      <c r="D8" s="15" t="s">
        <v>513</v>
      </c>
      <c r="E8" s="15" t="s">
        <v>305</v>
      </c>
      <c r="F8" s="15" t="s">
        <v>17220</v>
      </c>
      <c r="G8" s="15"/>
      <c r="H8" s="15"/>
      <c r="I8" s="15" t="s">
        <v>528</v>
      </c>
      <c r="J8" s="15" t="s">
        <v>15991</v>
      </c>
    </row>
    <row r="9" spans="2:10">
      <c r="B9" s="15" t="s">
        <v>17211</v>
      </c>
      <c r="C9" s="15" t="s">
        <v>17221</v>
      </c>
      <c r="D9" s="15" t="s">
        <v>513</v>
      </c>
      <c r="E9" s="15" t="s">
        <v>305</v>
      </c>
      <c r="F9" s="15" t="s">
        <v>17222</v>
      </c>
      <c r="G9" s="15"/>
      <c r="H9" s="15"/>
      <c r="I9" s="15" t="s">
        <v>528</v>
      </c>
      <c r="J9" s="15" t="s">
        <v>15991</v>
      </c>
    </row>
    <row r="10" spans="2:10">
      <c r="B10" s="15" t="s">
        <v>17211</v>
      </c>
      <c r="C10" s="15" t="s">
        <v>17223</v>
      </c>
      <c r="D10" s="15" t="s">
        <v>321</v>
      </c>
      <c r="E10" s="15" t="s">
        <v>305</v>
      </c>
      <c r="F10" s="15" t="s">
        <v>10848</v>
      </c>
      <c r="G10" s="52" t="str">
        <f>HYPERLINK("#码值映射清单!B8615","ShipType")</f>
        <v>ShipType</v>
      </c>
      <c r="H10" s="15"/>
      <c r="I10" s="15" t="s">
        <v>528</v>
      </c>
      <c r="J10" s="15" t="s">
        <v>15991</v>
      </c>
    </row>
    <row r="11" spans="2:10">
      <c r="B11" s="15" t="s">
        <v>17211</v>
      </c>
      <c r="C11" s="15" t="s">
        <v>17224</v>
      </c>
      <c r="D11" s="15" t="s">
        <v>506</v>
      </c>
      <c r="E11" s="15" t="s">
        <v>305</v>
      </c>
      <c r="F11" s="15" t="s">
        <v>17225</v>
      </c>
      <c r="G11" s="15"/>
      <c r="H11" s="15"/>
      <c r="I11" s="15" t="s">
        <v>528</v>
      </c>
      <c r="J11" s="15" t="s">
        <v>15991</v>
      </c>
    </row>
    <row r="12" spans="2:10">
      <c r="B12" s="15" t="s">
        <v>17211</v>
      </c>
      <c r="C12" s="15" t="s">
        <v>17226</v>
      </c>
      <c r="D12" s="15" t="s">
        <v>506</v>
      </c>
      <c r="E12" s="15" t="s">
        <v>305</v>
      </c>
      <c r="F12" s="20" t="s">
        <v>17227</v>
      </c>
      <c r="G12" s="15"/>
      <c r="H12" s="15"/>
      <c r="I12" s="15" t="s">
        <v>528</v>
      </c>
      <c r="J12" s="15" t="s">
        <v>15991</v>
      </c>
    </row>
    <row r="13" spans="2:10">
      <c r="B13" s="15" t="s">
        <v>17211</v>
      </c>
      <c r="C13" s="15" t="s">
        <v>17228</v>
      </c>
      <c r="D13" s="15" t="s">
        <v>506</v>
      </c>
      <c r="E13" s="15" t="s">
        <v>305</v>
      </c>
      <c r="F13" s="15" t="s">
        <v>17229</v>
      </c>
      <c r="G13" s="15"/>
      <c r="H13" s="15"/>
      <c r="I13" s="15" t="s">
        <v>528</v>
      </c>
      <c r="J13" s="15" t="s">
        <v>15991</v>
      </c>
    </row>
    <row r="14" spans="2:10">
      <c r="B14" s="15" t="s">
        <v>17211</v>
      </c>
      <c r="C14" s="15" t="s">
        <v>17230</v>
      </c>
      <c r="D14" s="15" t="s">
        <v>316</v>
      </c>
      <c r="E14" s="15" t="s">
        <v>305</v>
      </c>
      <c r="F14" s="15" t="s">
        <v>17231</v>
      </c>
      <c r="G14" s="15"/>
      <c r="H14" s="15"/>
      <c r="I14" s="15" t="s">
        <v>528</v>
      </c>
      <c r="J14" s="15" t="s">
        <v>15991</v>
      </c>
    </row>
    <row r="15" spans="2:10">
      <c r="B15" s="15" t="s">
        <v>17211</v>
      </c>
      <c r="C15" s="15" t="s">
        <v>17232</v>
      </c>
      <c r="D15" s="15" t="s">
        <v>513</v>
      </c>
      <c r="E15" s="15" t="s">
        <v>305</v>
      </c>
      <c r="F15" s="15" t="s">
        <v>17233</v>
      </c>
      <c r="G15" s="15"/>
      <c r="H15" s="15"/>
      <c r="I15" s="15" t="s">
        <v>528</v>
      </c>
      <c r="J15" s="15" t="s">
        <v>15991</v>
      </c>
    </row>
    <row r="16" spans="2:10">
      <c r="B16" s="15" t="s">
        <v>17211</v>
      </c>
      <c r="C16" s="15" t="s">
        <v>17234</v>
      </c>
      <c r="D16" s="15" t="s">
        <v>327</v>
      </c>
      <c r="E16" s="15" t="s">
        <v>305</v>
      </c>
      <c r="F16" s="15" t="s">
        <v>17235</v>
      </c>
      <c r="G16" s="15"/>
      <c r="H16" s="15"/>
      <c r="I16" s="15" t="s">
        <v>528</v>
      </c>
      <c r="J16" s="15" t="s">
        <v>15991</v>
      </c>
    </row>
    <row r="17" spans="2:10">
      <c r="B17" s="15" t="s">
        <v>17211</v>
      </c>
      <c r="C17" s="15" t="s">
        <v>17236</v>
      </c>
      <c r="D17" s="15" t="s">
        <v>513</v>
      </c>
      <c r="E17" s="15" t="s">
        <v>305</v>
      </c>
      <c r="F17" s="15" t="s">
        <v>17237</v>
      </c>
      <c r="G17" s="15"/>
      <c r="H17" s="15"/>
      <c r="I17" s="15" t="s">
        <v>528</v>
      </c>
      <c r="J17" s="15" t="s">
        <v>15991</v>
      </c>
    </row>
    <row r="18" spans="2:10">
      <c r="B18" s="15" t="s">
        <v>17211</v>
      </c>
      <c r="C18" s="15" t="s">
        <v>17238</v>
      </c>
      <c r="D18" s="15" t="s">
        <v>316</v>
      </c>
      <c r="E18" s="15" t="s">
        <v>305</v>
      </c>
      <c r="F18" s="15" t="s">
        <v>17239</v>
      </c>
      <c r="G18" s="15"/>
      <c r="H18" s="15"/>
      <c r="I18" s="15" t="s">
        <v>528</v>
      </c>
      <c r="J18" s="15" t="s">
        <v>15991</v>
      </c>
    </row>
    <row r="19" spans="2:10">
      <c r="B19" s="15" t="s">
        <v>17211</v>
      </c>
      <c r="C19" s="15" t="s">
        <v>17240</v>
      </c>
      <c r="D19" s="15" t="s">
        <v>316</v>
      </c>
      <c r="E19" s="15" t="s">
        <v>305</v>
      </c>
      <c r="F19" s="15" t="s">
        <v>17241</v>
      </c>
      <c r="G19" s="15"/>
      <c r="H19" s="15"/>
      <c r="I19" s="15" t="s">
        <v>528</v>
      </c>
      <c r="J19" s="15" t="s">
        <v>15991</v>
      </c>
    </row>
    <row r="20" spans="2:10">
      <c r="B20" s="15" t="s">
        <v>17211</v>
      </c>
      <c r="C20" s="15" t="s">
        <v>17242</v>
      </c>
      <c r="D20" s="15" t="s">
        <v>327</v>
      </c>
      <c r="E20" s="15" t="s">
        <v>305</v>
      </c>
      <c r="F20" s="15" t="s">
        <v>17243</v>
      </c>
      <c r="G20" s="15"/>
      <c r="H20" s="15"/>
      <c r="I20" s="15" t="s">
        <v>528</v>
      </c>
      <c r="J20" s="15" t="s">
        <v>15991</v>
      </c>
    </row>
    <row r="21" spans="2:10">
      <c r="B21" s="15" t="s">
        <v>17211</v>
      </c>
      <c r="C21" s="15" t="s">
        <v>17244</v>
      </c>
      <c r="D21" s="15" t="s">
        <v>316</v>
      </c>
      <c r="E21" s="15" t="s">
        <v>305</v>
      </c>
      <c r="F21" s="15" t="s">
        <v>17245</v>
      </c>
      <c r="G21" s="15"/>
      <c r="H21" s="15"/>
      <c r="I21" s="15" t="s">
        <v>528</v>
      </c>
      <c r="J21" s="15" t="s">
        <v>15991</v>
      </c>
    </row>
    <row r="22" spans="2:10">
      <c r="B22" s="15" t="s">
        <v>17211</v>
      </c>
      <c r="C22" s="15" t="s">
        <v>17246</v>
      </c>
      <c r="D22" s="15" t="s">
        <v>513</v>
      </c>
      <c r="E22" s="15" t="s">
        <v>305</v>
      </c>
      <c r="F22" s="15" t="s">
        <v>17247</v>
      </c>
      <c r="G22" s="15"/>
      <c r="H22" s="15"/>
      <c r="I22" s="15" t="s">
        <v>528</v>
      </c>
      <c r="J22" s="15" t="s">
        <v>15991</v>
      </c>
    </row>
    <row r="23" spans="2:10">
      <c r="B23" s="15" t="s">
        <v>17211</v>
      </c>
      <c r="C23" s="15" t="s">
        <v>17248</v>
      </c>
      <c r="D23" s="15" t="s">
        <v>506</v>
      </c>
      <c r="E23" s="15" t="s">
        <v>305</v>
      </c>
      <c r="F23" s="20" t="s">
        <v>17249</v>
      </c>
      <c r="G23" s="15"/>
      <c r="H23" s="15"/>
      <c r="I23" s="15" t="s">
        <v>528</v>
      </c>
      <c r="J23" s="15" t="s">
        <v>15991</v>
      </c>
    </row>
    <row r="24" spans="2:10">
      <c r="B24" s="15" t="s">
        <v>17211</v>
      </c>
      <c r="C24" s="15" t="s">
        <v>17250</v>
      </c>
      <c r="D24" s="15" t="s">
        <v>513</v>
      </c>
      <c r="E24" s="15" t="s">
        <v>305</v>
      </c>
      <c r="F24" s="20" t="s">
        <v>17251</v>
      </c>
      <c r="G24" s="15"/>
      <c r="H24" s="15"/>
      <c r="I24" s="15" t="s">
        <v>528</v>
      </c>
      <c r="J24" s="15" t="s">
        <v>15991</v>
      </c>
    </row>
    <row r="25" spans="2:10">
      <c r="B25" s="15" t="s">
        <v>17211</v>
      </c>
      <c r="C25" s="15" t="s">
        <v>17252</v>
      </c>
      <c r="D25" s="15" t="s">
        <v>506</v>
      </c>
      <c r="E25" s="15" t="s">
        <v>305</v>
      </c>
      <c r="F25" s="15" t="s">
        <v>17253</v>
      </c>
      <c r="G25" s="15"/>
      <c r="H25" s="15"/>
      <c r="I25" s="15" t="s">
        <v>528</v>
      </c>
      <c r="J25" s="15" t="s">
        <v>15991</v>
      </c>
    </row>
    <row r="26" spans="2:10">
      <c r="B26" s="15" t="s">
        <v>17211</v>
      </c>
      <c r="C26" s="15" t="s">
        <v>17254</v>
      </c>
      <c r="D26" s="15" t="s">
        <v>16557</v>
      </c>
      <c r="E26" s="15" t="s">
        <v>305</v>
      </c>
      <c r="F26" s="15" t="s">
        <v>17255</v>
      </c>
      <c r="G26" s="15"/>
      <c r="H26" s="15"/>
      <c r="I26" s="15" t="s">
        <v>528</v>
      </c>
      <c r="J26" s="15" t="s">
        <v>15991</v>
      </c>
    </row>
    <row r="27" spans="2:10">
      <c r="B27" s="15" t="s">
        <v>17211</v>
      </c>
      <c r="C27" s="15" t="s">
        <v>17256</v>
      </c>
      <c r="D27" s="15" t="s">
        <v>16557</v>
      </c>
      <c r="E27" s="15" t="s">
        <v>305</v>
      </c>
      <c r="F27" s="15" t="s">
        <v>17257</v>
      </c>
      <c r="G27" s="15"/>
      <c r="H27" s="15"/>
      <c r="I27" s="15" t="s">
        <v>528</v>
      </c>
      <c r="J27" s="15" t="s">
        <v>15991</v>
      </c>
    </row>
    <row r="28" spans="2:10">
      <c r="B28" s="15" t="s">
        <v>17211</v>
      </c>
      <c r="C28" s="15" t="s">
        <v>17258</v>
      </c>
      <c r="D28" s="15" t="s">
        <v>16557</v>
      </c>
      <c r="E28" s="15" t="s">
        <v>305</v>
      </c>
      <c r="F28" s="15" t="s">
        <v>17259</v>
      </c>
      <c r="G28" s="15"/>
      <c r="H28" s="15"/>
      <c r="I28" s="15" t="s">
        <v>528</v>
      </c>
      <c r="J28" s="15" t="s">
        <v>15991</v>
      </c>
    </row>
    <row r="29" spans="2:10">
      <c r="B29" s="15" t="s">
        <v>17211</v>
      </c>
      <c r="C29" s="15" t="s">
        <v>17260</v>
      </c>
      <c r="D29" s="15" t="s">
        <v>16557</v>
      </c>
      <c r="E29" s="15" t="s">
        <v>305</v>
      </c>
      <c r="F29" s="15" t="s">
        <v>17261</v>
      </c>
      <c r="G29" s="15"/>
      <c r="H29" s="15"/>
      <c r="I29" s="15" t="s">
        <v>528</v>
      </c>
      <c r="J29" s="15" t="s">
        <v>15991</v>
      </c>
    </row>
    <row r="30" spans="2:10">
      <c r="B30" s="15" t="s">
        <v>17211</v>
      </c>
      <c r="C30" s="15" t="s">
        <v>17262</v>
      </c>
      <c r="D30" s="15" t="s">
        <v>16557</v>
      </c>
      <c r="E30" s="15" t="s">
        <v>305</v>
      </c>
      <c r="F30" s="15" t="s">
        <v>17263</v>
      </c>
      <c r="G30" s="15"/>
      <c r="H30" s="15"/>
      <c r="I30" s="15" t="s">
        <v>528</v>
      </c>
      <c r="J30" s="15" t="s">
        <v>15991</v>
      </c>
    </row>
    <row r="31" spans="2:10">
      <c r="B31" s="15" t="s">
        <v>17211</v>
      </c>
      <c r="C31" s="15" t="s">
        <v>17264</v>
      </c>
      <c r="D31" s="15" t="s">
        <v>506</v>
      </c>
      <c r="E31" s="15" t="s">
        <v>305</v>
      </c>
      <c r="F31" s="15" t="s">
        <v>17265</v>
      </c>
      <c r="G31" s="15"/>
      <c r="H31" s="15"/>
      <c r="I31" s="15" t="s">
        <v>528</v>
      </c>
      <c r="J31" s="15" t="s">
        <v>15991</v>
      </c>
    </row>
    <row r="32" spans="2:10">
      <c r="B32" s="15" t="s">
        <v>17211</v>
      </c>
      <c r="C32" s="15" t="s">
        <v>17266</v>
      </c>
      <c r="D32" s="15" t="s">
        <v>506</v>
      </c>
      <c r="E32" s="15" t="s">
        <v>305</v>
      </c>
      <c r="F32" s="15" t="s">
        <v>17267</v>
      </c>
      <c r="G32" s="15"/>
      <c r="H32" s="15"/>
      <c r="I32" s="15" t="s">
        <v>528</v>
      </c>
      <c r="J32" s="15" t="s">
        <v>15991</v>
      </c>
    </row>
    <row r="33" spans="2:10">
      <c r="B33" s="15" t="s">
        <v>17211</v>
      </c>
      <c r="C33" s="15" t="s">
        <v>17268</v>
      </c>
      <c r="D33" s="15" t="s">
        <v>506</v>
      </c>
      <c r="E33" s="15" t="s">
        <v>305</v>
      </c>
      <c r="F33" s="15" t="s">
        <v>17269</v>
      </c>
      <c r="G33" s="15"/>
      <c r="H33" s="15"/>
      <c r="I33" s="15" t="s">
        <v>528</v>
      </c>
      <c r="J33" s="15" t="s">
        <v>15991</v>
      </c>
    </row>
    <row r="34" spans="2:10">
      <c r="B34" s="15" t="s">
        <v>17211</v>
      </c>
      <c r="C34" s="15" t="s">
        <v>17270</v>
      </c>
      <c r="D34" s="15" t="s">
        <v>513</v>
      </c>
      <c r="E34" s="15" t="s">
        <v>305</v>
      </c>
      <c r="F34" s="20" t="s">
        <v>17271</v>
      </c>
      <c r="G34" s="15"/>
      <c r="H34" s="15"/>
      <c r="I34" s="15" t="s">
        <v>528</v>
      </c>
      <c r="J34" s="15" t="s">
        <v>15991</v>
      </c>
    </row>
    <row r="35" spans="2:10">
      <c r="B35" s="15" t="s">
        <v>17211</v>
      </c>
      <c r="C35" s="15" t="s">
        <v>17272</v>
      </c>
      <c r="D35" s="15" t="s">
        <v>16072</v>
      </c>
      <c r="E35" s="15" t="s">
        <v>305</v>
      </c>
      <c r="F35" s="15" t="s">
        <v>17273</v>
      </c>
      <c r="G35" s="52" t="str">
        <f>HYPERLINK("#码值映射清单!B5150","YesNo")</f>
        <v>YesNo</v>
      </c>
      <c r="H35" s="15"/>
      <c r="I35" s="15" t="s">
        <v>528</v>
      </c>
      <c r="J35" s="15" t="s">
        <v>15991</v>
      </c>
    </row>
    <row r="36" spans="2:10">
      <c r="B36" s="15" t="s">
        <v>17211</v>
      </c>
      <c r="C36" s="15" t="s">
        <v>17274</v>
      </c>
      <c r="D36" s="15" t="s">
        <v>513</v>
      </c>
      <c r="E36" s="15" t="s">
        <v>305</v>
      </c>
      <c r="F36" s="15" t="s">
        <v>17275</v>
      </c>
      <c r="G36" s="15"/>
      <c r="H36" s="15"/>
      <c r="I36" s="15" t="s">
        <v>528</v>
      </c>
      <c r="J36" s="15" t="s">
        <v>15991</v>
      </c>
    </row>
    <row r="37" spans="2:10">
      <c r="B37" s="15" t="s">
        <v>17211</v>
      </c>
      <c r="C37" s="15" t="s">
        <v>17276</v>
      </c>
      <c r="D37" s="15" t="s">
        <v>513</v>
      </c>
      <c r="E37" s="15" t="s">
        <v>305</v>
      </c>
      <c r="F37" s="15" t="s">
        <v>17277</v>
      </c>
      <c r="G37" s="15"/>
      <c r="H37" s="15"/>
      <c r="I37" s="15" t="s">
        <v>528</v>
      </c>
      <c r="J37" s="15" t="s">
        <v>15991</v>
      </c>
    </row>
    <row r="38" spans="2:10">
      <c r="B38" s="15" t="s">
        <v>17211</v>
      </c>
      <c r="C38" s="15" t="s">
        <v>17278</v>
      </c>
      <c r="D38" s="15" t="s">
        <v>350</v>
      </c>
      <c r="E38" s="15" t="s">
        <v>305</v>
      </c>
      <c r="F38" s="15" t="s">
        <v>17279</v>
      </c>
      <c r="G38" s="15"/>
      <c r="H38" s="15"/>
      <c r="I38" s="15" t="s">
        <v>528</v>
      </c>
      <c r="J38" s="15" t="s">
        <v>15991</v>
      </c>
    </row>
    <row r="39" spans="2:10">
      <c r="B39" s="15" t="s">
        <v>17211</v>
      </c>
      <c r="C39" s="15" t="s">
        <v>17280</v>
      </c>
      <c r="D39" s="15" t="s">
        <v>16056</v>
      </c>
      <c r="E39" s="15" t="s">
        <v>305</v>
      </c>
      <c r="F39" s="15" t="s">
        <v>17281</v>
      </c>
      <c r="G39" s="15"/>
      <c r="H39" s="15"/>
      <c r="I39" s="15" t="s">
        <v>528</v>
      </c>
      <c r="J39" s="15" t="s">
        <v>15991</v>
      </c>
    </row>
    <row r="40" spans="2:10">
      <c r="B40" s="15" t="s">
        <v>17211</v>
      </c>
      <c r="C40" s="15" t="s">
        <v>17282</v>
      </c>
      <c r="D40" s="15" t="s">
        <v>16056</v>
      </c>
      <c r="E40" s="15" t="s">
        <v>305</v>
      </c>
      <c r="F40" s="20" t="s">
        <v>17283</v>
      </c>
      <c r="G40" s="15"/>
      <c r="H40" s="15"/>
      <c r="I40" s="15" t="s">
        <v>528</v>
      </c>
      <c r="J40" s="15" t="s">
        <v>15991</v>
      </c>
    </row>
    <row r="41" spans="2:10">
      <c r="B41" s="15" t="s">
        <v>17211</v>
      </c>
      <c r="C41" s="15" t="s">
        <v>17284</v>
      </c>
      <c r="D41" s="15" t="s">
        <v>16056</v>
      </c>
      <c r="E41" s="15" t="s">
        <v>305</v>
      </c>
      <c r="F41" s="15" t="s">
        <v>17285</v>
      </c>
      <c r="G41" s="15"/>
      <c r="H41" s="15"/>
      <c r="I41" s="15" t="s">
        <v>528</v>
      </c>
      <c r="J41" s="15" t="s">
        <v>15991</v>
      </c>
    </row>
    <row r="42" spans="2:10">
      <c r="B42" s="15" t="s">
        <v>17211</v>
      </c>
      <c r="C42" s="15" t="s">
        <v>17286</v>
      </c>
      <c r="D42" s="15" t="s">
        <v>16056</v>
      </c>
      <c r="E42" s="15" t="s">
        <v>305</v>
      </c>
      <c r="F42" s="15" t="s">
        <v>17287</v>
      </c>
      <c r="G42" s="15"/>
      <c r="H42" s="15"/>
      <c r="I42" s="15" t="s">
        <v>528</v>
      </c>
      <c r="J42" s="15" t="s">
        <v>15991</v>
      </c>
    </row>
    <row r="43" spans="2:10">
      <c r="B43" s="15" t="s">
        <v>17211</v>
      </c>
      <c r="C43" s="15" t="s">
        <v>17288</v>
      </c>
      <c r="D43" s="15" t="s">
        <v>16056</v>
      </c>
      <c r="E43" s="15" t="s">
        <v>305</v>
      </c>
      <c r="F43" s="15" t="s">
        <v>17289</v>
      </c>
      <c r="G43" s="15"/>
      <c r="H43" s="15"/>
      <c r="I43" s="15" t="s">
        <v>528</v>
      </c>
      <c r="J43" s="15" t="s">
        <v>15991</v>
      </c>
    </row>
    <row r="44" spans="2:10">
      <c r="B44" s="15" t="s">
        <v>17211</v>
      </c>
      <c r="C44" s="15" t="s">
        <v>17290</v>
      </c>
      <c r="D44" s="15" t="s">
        <v>16056</v>
      </c>
      <c r="E44" s="15" t="s">
        <v>305</v>
      </c>
      <c r="F44" s="15" t="s">
        <v>17291</v>
      </c>
      <c r="G44" s="15"/>
      <c r="H44" s="15"/>
      <c r="I44" s="15" t="s">
        <v>528</v>
      </c>
      <c r="J44" s="15" t="s">
        <v>15991</v>
      </c>
    </row>
    <row r="45" spans="2:10">
      <c r="B45" s="15" t="s">
        <v>17211</v>
      </c>
      <c r="C45" s="15" t="s">
        <v>17292</v>
      </c>
      <c r="D45" s="15" t="s">
        <v>16056</v>
      </c>
      <c r="E45" s="15" t="s">
        <v>305</v>
      </c>
      <c r="F45" s="15" t="s">
        <v>17293</v>
      </c>
      <c r="G45" s="15"/>
      <c r="H45" s="15"/>
      <c r="I45" s="15" t="s">
        <v>528</v>
      </c>
      <c r="J45" s="15" t="s">
        <v>15991</v>
      </c>
    </row>
    <row r="46" spans="2:10">
      <c r="B46" s="15" t="s">
        <v>17211</v>
      </c>
      <c r="C46" s="15" t="s">
        <v>17294</v>
      </c>
      <c r="D46" s="15" t="s">
        <v>350</v>
      </c>
      <c r="E46" s="15" t="s">
        <v>305</v>
      </c>
      <c r="F46" s="15" t="s">
        <v>17295</v>
      </c>
      <c r="G46" s="15"/>
      <c r="H46" s="15"/>
      <c r="I46" s="15" t="s">
        <v>528</v>
      </c>
      <c r="J46" s="15" t="s">
        <v>15991</v>
      </c>
    </row>
    <row r="47" spans="2:10">
      <c r="B47" s="15" t="s">
        <v>17211</v>
      </c>
      <c r="C47" s="15" t="s">
        <v>17296</v>
      </c>
      <c r="D47" s="15" t="s">
        <v>350</v>
      </c>
      <c r="E47" s="15" t="s">
        <v>305</v>
      </c>
      <c r="F47" s="15" t="s">
        <v>17297</v>
      </c>
      <c r="G47" s="15"/>
      <c r="H47" s="15"/>
      <c r="I47" s="15" t="s">
        <v>528</v>
      </c>
      <c r="J47" s="15" t="s">
        <v>15991</v>
      </c>
    </row>
    <row r="48" spans="2:10">
      <c r="B48" s="15" t="s">
        <v>17211</v>
      </c>
      <c r="C48" s="15" t="s">
        <v>17298</v>
      </c>
      <c r="D48" s="15" t="s">
        <v>363</v>
      </c>
      <c r="E48" s="15" t="s">
        <v>305</v>
      </c>
      <c r="F48" s="15" t="s">
        <v>17299</v>
      </c>
      <c r="G48" s="15"/>
      <c r="H48" s="15"/>
      <c r="I48" s="15" t="s">
        <v>528</v>
      </c>
      <c r="J48" s="15" t="s">
        <v>15991</v>
      </c>
    </row>
    <row r="49" spans="2:10">
      <c r="B49" s="15" t="s">
        <v>17211</v>
      </c>
      <c r="C49" s="15" t="s">
        <v>17300</v>
      </c>
      <c r="D49" s="15" t="s">
        <v>350</v>
      </c>
      <c r="E49" s="15" t="s">
        <v>305</v>
      </c>
      <c r="F49" s="15" t="s">
        <v>17301</v>
      </c>
      <c r="G49" s="15"/>
      <c r="H49" s="15"/>
      <c r="I49" s="15" t="s">
        <v>528</v>
      </c>
      <c r="J49" s="15" t="s">
        <v>15991</v>
      </c>
    </row>
    <row r="50" spans="2:10">
      <c r="B50" s="15" t="s">
        <v>17211</v>
      </c>
      <c r="C50" s="15" t="s">
        <v>17302</v>
      </c>
      <c r="D50" s="15" t="s">
        <v>350</v>
      </c>
      <c r="E50" s="15" t="s">
        <v>305</v>
      </c>
      <c r="F50" s="15" t="s">
        <v>17303</v>
      </c>
      <c r="G50" s="15"/>
      <c r="H50" s="15"/>
      <c r="I50" s="15" t="s">
        <v>528</v>
      </c>
      <c r="J50" s="15" t="s">
        <v>15991</v>
      </c>
    </row>
    <row r="51" spans="2:10">
      <c r="B51" s="15" t="s">
        <v>17211</v>
      </c>
      <c r="C51" s="15" t="s">
        <v>17304</v>
      </c>
      <c r="D51" s="15" t="s">
        <v>16056</v>
      </c>
      <c r="E51" s="15" t="s">
        <v>305</v>
      </c>
      <c r="F51" s="15" t="s">
        <v>17305</v>
      </c>
      <c r="G51" s="15"/>
      <c r="H51" s="15"/>
      <c r="I51" s="15" t="s">
        <v>528</v>
      </c>
      <c r="J51" s="15" t="s">
        <v>15991</v>
      </c>
    </row>
    <row r="52" spans="2:10">
      <c r="B52" s="15" t="s">
        <v>17211</v>
      </c>
      <c r="C52" s="15" t="s">
        <v>17306</v>
      </c>
      <c r="D52" s="15" t="s">
        <v>16056</v>
      </c>
      <c r="E52" s="15" t="s">
        <v>305</v>
      </c>
      <c r="F52" s="15" t="s">
        <v>17307</v>
      </c>
      <c r="G52" s="15"/>
      <c r="H52" s="15"/>
      <c r="I52" s="15" t="s">
        <v>528</v>
      </c>
      <c r="J52" s="15" t="s">
        <v>15991</v>
      </c>
    </row>
    <row r="53" spans="2:10">
      <c r="B53" s="15" t="s">
        <v>17211</v>
      </c>
      <c r="C53" s="15" t="s">
        <v>17308</v>
      </c>
      <c r="D53" s="15" t="s">
        <v>16557</v>
      </c>
      <c r="E53" s="15" t="s">
        <v>305</v>
      </c>
      <c r="F53" s="15" t="s">
        <v>17309</v>
      </c>
      <c r="G53" s="15"/>
      <c r="H53" s="15"/>
      <c r="I53" s="15" t="s">
        <v>528</v>
      </c>
      <c r="J53" s="15" t="s">
        <v>15991</v>
      </c>
    </row>
    <row r="54" spans="2:10">
      <c r="B54" s="15" t="s">
        <v>17211</v>
      </c>
      <c r="C54" s="15" t="s">
        <v>17310</v>
      </c>
      <c r="D54" s="15" t="s">
        <v>367</v>
      </c>
      <c r="E54" s="15" t="s">
        <v>305</v>
      </c>
      <c r="F54" s="15" t="s">
        <v>17311</v>
      </c>
      <c r="G54" s="15"/>
      <c r="H54" s="15"/>
      <c r="I54" s="15" t="s">
        <v>528</v>
      </c>
      <c r="J54" s="15" t="s">
        <v>15991</v>
      </c>
    </row>
    <row r="55" spans="2:10">
      <c r="B55" s="15" t="s">
        <v>17211</v>
      </c>
      <c r="C55" s="15" t="s">
        <v>17312</v>
      </c>
      <c r="D55" s="15" t="s">
        <v>367</v>
      </c>
      <c r="E55" s="15" t="s">
        <v>305</v>
      </c>
      <c r="F55" s="15" t="s">
        <v>17313</v>
      </c>
      <c r="G55" s="15"/>
      <c r="H55" s="15"/>
      <c r="I55" s="15" t="s">
        <v>528</v>
      </c>
      <c r="J55" s="15" t="s">
        <v>15991</v>
      </c>
    </row>
    <row r="56" spans="2:10">
      <c r="B56" s="15" t="s">
        <v>17211</v>
      </c>
      <c r="C56" s="15" t="s">
        <v>17314</v>
      </c>
      <c r="D56" s="15" t="s">
        <v>327</v>
      </c>
      <c r="E56" s="15" t="s">
        <v>305</v>
      </c>
      <c r="F56" s="15" t="s">
        <v>17315</v>
      </c>
      <c r="G56" s="15"/>
      <c r="H56" s="15"/>
      <c r="I56" s="15" t="s">
        <v>528</v>
      </c>
      <c r="J56" s="15" t="s">
        <v>15991</v>
      </c>
    </row>
    <row r="57" spans="2:10">
      <c r="B57" s="15" t="s">
        <v>17211</v>
      </c>
      <c r="C57" s="15" t="s">
        <v>17316</v>
      </c>
      <c r="D57" s="15" t="s">
        <v>327</v>
      </c>
      <c r="E57" s="15" t="s">
        <v>305</v>
      </c>
      <c r="F57" s="15" t="s">
        <v>17317</v>
      </c>
      <c r="G57" s="15"/>
      <c r="H57" s="15"/>
      <c r="I57" s="15" t="s">
        <v>528</v>
      </c>
      <c r="J57" s="15" t="s">
        <v>15991</v>
      </c>
    </row>
    <row r="58" spans="2:10">
      <c r="B58" s="15" t="s">
        <v>17211</v>
      </c>
      <c r="C58" s="15" t="s">
        <v>17318</v>
      </c>
      <c r="D58" s="15" t="s">
        <v>16056</v>
      </c>
      <c r="E58" s="15" t="s">
        <v>305</v>
      </c>
      <c r="F58" s="15" t="s">
        <v>17319</v>
      </c>
      <c r="G58" s="15"/>
      <c r="H58" s="15"/>
      <c r="I58" s="15" t="s">
        <v>528</v>
      </c>
      <c r="J58" s="15" t="s">
        <v>15991</v>
      </c>
    </row>
    <row r="59" spans="2:10">
      <c r="B59" s="15" t="s">
        <v>17211</v>
      </c>
      <c r="C59" s="15" t="s">
        <v>17320</v>
      </c>
      <c r="D59" s="15" t="s">
        <v>367</v>
      </c>
      <c r="E59" s="15" t="s">
        <v>305</v>
      </c>
      <c r="F59" s="15" t="s">
        <v>17321</v>
      </c>
      <c r="G59" s="15"/>
      <c r="H59" s="15"/>
      <c r="I59" s="15" t="s">
        <v>528</v>
      </c>
      <c r="J59" s="15" t="s">
        <v>15991</v>
      </c>
    </row>
    <row r="60" spans="2:10">
      <c r="B60" s="15" t="s">
        <v>17211</v>
      </c>
      <c r="C60" s="15" t="s">
        <v>17322</v>
      </c>
      <c r="D60" s="15" t="s">
        <v>506</v>
      </c>
      <c r="E60" s="15" t="s">
        <v>305</v>
      </c>
      <c r="F60" s="15" t="s">
        <v>17323</v>
      </c>
      <c r="G60" s="15"/>
      <c r="H60" s="15"/>
      <c r="I60" s="15" t="s">
        <v>528</v>
      </c>
      <c r="J60" s="15" t="s">
        <v>15991</v>
      </c>
    </row>
    <row r="61" spans="2:10">
      <c r="B61" s="15" t="s">
        <v>17211</v>
      </c>
      <c r="C61" s="15" t="s">
        <v>17324</v>
      </c>
      <c r="D61" s="15" t="s">
        <v>367</v>
      </c>
      <c r="E61" s="15" t="s">
        <v>305</v>
      </c>
      <c r="F61" s="15" t="s">
        <v>17325</v>
      </c>
      <c r="G61" s="15"/>
      <c r="H61" s="15"/>
      <c r="I61" s="15" t="s">
        <v>528</v>
      </c>
      <c r="J61" s="15" t="s">
        <v>15991</v>
      </c>
    </row>
    <row r="62" spans="2:10">
      <c r="B62" s="15" t="s">
        <v>17211</v>
      </c>
      <c r="C62" s="15" t="s">
        <v>17326</v>
      </c>
      <c r="D62" s="15" t="s">
        <v>513</v>
      </c>
      <c r="E62" s="15" t="s">
        <v>305</v>
      </c>
      <c r="F62" s="20" t="s">
        <v>17327</v>
      </c>
      <c r="G62" s="15"/>
      <c r="H62" s="15"/>
      <c r="I62" s="15" t="s">
        <v>528</v>
      </c>
      <c r="J62" s="15" t="s">
        <v>15991</v>
      </c>
    </row>
    <row r="63" spans="2:10">
      <c r="B63" s="15" t="s">
        <v>17211</v>
      </c>
      <c r="C63" s="15" t="s">
        <v>17029</v>
      </c>
      <c r="D63" s="15" t="s">
        <v>513</v>
      </c>
      <c r="E63" s="15" t="s">
        <v>305</v>
      </c>
      <c r="F63" s="20" t="s">
        <v>17328</v>
      </c>
      <c r="G63" s="15"/>
      <c r="H63" s="15"/>
      <c r="I63" s="15" t="s">
        <v>528</v>
      </c>
      <c r="J63" s="15" t="s">
        <v>15991</v>
      </c>
    </row>
    <row r="64" spans="2:10">
      <c r="B64" s="15" t="s">
        <v>17211</v>
      </c>
      <c r="C64" s="15" t="s">
        <v>17329</v>
      </c>
      <c r="D64" s="15" t="s">
        <v>321</v>
      </c>
      <c r="E64" s="15" t="s">
        <v>305</v>
      </c>
      <c r="F64" s="15" t="s">
        <v>10628</v>
      </c>
      <c r="G64" s="52" t="str">
        <f>HYPERLINK("#码值映射清单!B8382","EquipmentType")</f>
        <v>EquipmentType</v>
      </c>
      <c r="H64" s="15"/>
      <c r="I64" s="15" t="s">
        <v>528</v>
      </c>
      <c r="J64" s="15" t="s">
        <v>15991</v>
      </c>
    </row>
    <row r="65" spans="2:10">
      <c r="B65" s="15" t="s">
        <v>17211</v>
      </c>
      <c r="C65" s="15" t="s">
        <v>17330</v>
      </c>
      <c r="D65" s="15" t="s">
        <v>367</v>
      </c>
      <c r="E65" s="15" t="s">
        <v>305</v>
      </c>
      <c r="F65" s="15" t="s">
        <v>17331</v>
      </c>
      <c r="G65" s="15"/>
      <c r="H65" s="15"/>
      <c r="I65" s="15" t="s">
        <v>528</v>
      </c>
      <c r="J65" s="15" t="s">
        <v>15991</v>
      </c>
    </row>
    <row r="66" spans="2:10">
      <c r="B66" s="15" t="s">
        <v>17211</v>
      </c>
      <c r="C66" s="15" t="s">
        <v>17332</v>
      </c>
      <c r="D66" s="15" t="s">
        <v>16056</v>
      </c>
      <c r="E66" s="15" t="s">
        <v>305</v>
      </c>
      <c r="F66" s="15" t="s">
        <v>17333</v>
      </c>
      <c r="G66" s="15"/>
      <c r="H66" s="15"/>
      <c r="I66" s="15" t="s">
        <v>528</v>
      </c>
      <c r="J66" s="15" t="s">
        <v>15991</v>
      </c>
    </row>
    <row r="67" spans="2:10">
      <c r="B67" s="15" t="s">
        <v>17211</v>
      </c>
      <c r="C67" s="15" t="s">
        <v>17334</v>
      </c>
      <c r="D67" s="15" t="s">
        <v>350</v>
      </c>
      <c r="E67" s="15" t="s">
        <v>305</v>
      </c>
      <c r="F67" s="49" t="s">
        <v>17335</v>
      </c>
      <c r="G67" s="15"/>
      <c r="H67" s="15"/>
      <c r="I67" s="15" t="s">
        <v>528</v>
      </c>
      <c r="J67" s="15" t="s">
        <v>15991</v>
      </c>
    </row>
    <row r="68" spans="2:10">
      <c r="B68" s="15" t="s">
        <v>17211</v>
      </c>
      <c r="C68" s="15" t="s">
        <v>17336</v>
      </c>
      <c r="D68" s="15" t="s">
        <v>513</v>
      </c>
      <c r="E68" s="15" t="s">
        <v>305</v>
      </c>
      <c r="F68" s="15" t="s">
        <v>17337</v>
      </c>
      <c r="G68" s="52" t="str">
        <f>HYPERLINK("#码值映射清单!B2469","Currency")</f>
        <v>Currency</v>
      </c>
      <c r="H68" s="15"/>
      <c r="I68" s="15" t="s">
        <v>528</v>
      </c>
      <c r="J68" s="15" t="s">
        <v>15991</v>
      </c>
    </row>
    <row r="69" spans="2:10">
      <c r="B69" s="15" t="s">
        <v>17211</v>
      </c>
      <c r="C69" s="15" t="s">
        <v>17338</v>
      </c>
      <c r="D69" s="15" t="s">
        <v>350</v>
      </c>
      <c r="E69" s="15" t="s">
        <v>305</v>
      </c>
      <c r="F69" s="15" t="s">
        <v>17339</v>
      </c>
      <c r="G69" s="15"/>
      <c r="H69" s="15"/>
      <c r="I69" s="15" t="s">
        <v>528</v>
      </c>
      <c r="J69" s="15" t="s">
        <v>15991</v>
      </c>
    </row>
    <row r="70" spans="2:10">
      <c r="B70" s="15" t="s">
        <v>17211</v>
      </c>
      <c r="C70" s="15" t="s">
        <v>17340</v>
      </c>
      <c r="D70" s="15" t="s">
        <v>16056</v>
      </c>
      <c r="E70" s="15" t="s">
        <v>305</v>
      </c>
      <c r="F70" s="15" t="s">
        <v>17341</v>
      </c>
      <c r="G70" s="15"/>
      <c r="H70" s="15"/>
      <c r="I70" s="15" t="s">
        <v>528</v>
      </c>
      <c r="J70" s="15" t="s">
        <v>15991</v>
      </c>
    </row>
    <row r="71" spans="2:10">
      <c r="B71" s="15" t="s">
        <v>17211</v>
      </c>
      <c r="C71" s="15" t="s">
        <v>17342</v>
      </c>
      <c r="D71" s="15" t="s">
        <v>16056</v>
      </c>
      <c r="E71" s="15" t="s">
        <v>305</v>
      </c>
      <c r="F71" s="15" t="s">
        <v>17343</v>
      </c>
      <c r="G71" s="15"/>
      <c r="H71" s="15"/>
      <c r="I71" s="15" t="s">
        <v>528</v>
      </c>
      <c r="J71" s="15" t="s">
        <v>15991</v>
      </c>
    </row>
    <row r="72" spans="2:10">
      <c r="B72" s="15" t="s">
        <v>17211</v>
      </c>
      <c r="C72" s="15" t="s">
        <v>17344</v>
      </c>
      <c r="D72" s="15" t="s">
        <v>16056</v>
      </c>
      <c r="E72" s="15" t="s">
        <v>305</v>
      </c>
      <c r="F72" s="15" t="s">
        <v>17345</v>
      </c>
      <c r="G72" s="15"/>
      <c r="H72" s="15"/>
      <c r="I72" s="15" t="s">
        <v>528</v>
      </c>
      <c r="J72" s="15" t="s">
        <v>15991</v>
      </c>
    </row>
    <row r="73" spans="2:10">
      <c r="B73" s="15" t="s">
        <v>17211</v>
      </c>
      <c r="C73" s="15" t="s">
        <v>17346</v>
      </c>
      <c r="D73" s="15" t="s">
        <v>16056</v>
      </c>
      <c r="E73" s="15" t="s">
        <v>305</v>
      </c>
      <c r="F73" s="15" t="s">
        <v>17347</v>
      </c>
      <c r="G73" s="15"/>
      <c r="H73" s="15"/>
      <c r="I73" s="15" t="s">
        <v>528</v>
      </c>
      <c r="J73" s="15" t="s">
        <v>15991</v>
      </c>
    </row>
    <row r="74" spans="2:10">
      <c r="B74" s="15" t="s">
        <v>17211</v>
      </c>
      <c r="C74" s="15" t="s">
        <v>17348</v>
      </c>
      <c r="D74" s="15" t="s">
        <v>327</v>
      </c>
      <c r="E74" s="15" t="s">
        <v>305</v>
      </c>
      <c r="F74" s="15" t="s">
        <v>17349</v>
      </c>
      <c r="G74" s="15"/>
      <c r="H74" s="15"/>
      <c r="I74" s="15" t="s">
        <v>528</v>
      </c>
      <c r="J74" s="15" t="s">
        <v>15991</v>
      </c>
    </row>
    <row r="75" spans="2:10">
      <c r="B75" s="15" t="s">
        <v>17211</v>
      </c>
      <c r="C75" s="15" t="s">
        <v>17350</v>
      </c>
      <c r="D75" s="15" t="s">
        <v>16072</v>
      </c>
      <c r="E75" s="15" t="s">
        <v>305</v>
      </c>
      <c r="F75" s="15" t="s">
        <v>17351</v>
      </c>
      <c r="G75" s="52" t="str">
        <f t="shared" ref="G75:G101" si="0">HYPERLINK("#码值映射清单!B5150","YesNo")</f>
        <v>YesNo</v>
      </c>
      <c r="H75" s="15"/>
      <c r="I75" s="15" t="s">
        <v>528</v>
      </c>
      <c r="J75" s="15" t="s">
        <v>15991</v>
      </c>
    </row>
    <row r="76" spans="2:10">
      <c r="B76" s="15" t="s">
        <v>17211</v>
      </c>
      <c r="C76" s="15" t="s">
        <v>17352</v>
      </c>
      <c r="D76" s="15" t="s">
        <v>16072</v>
      </c>
      <c r="E76" s="15" t="s">
        <v>305</v>
      </c>
      <c r="F76" s="15" t="s">
        <v>17353</v>
      </c>
      <c r="G76" s="52" t="str">
        <f t="shared" si="0"/>
        <v>YesNo</v>
      </c>
      <c r="H76" s="15"/>
      <c r="I76" s="15" t="s">
        <v>528</v>
      </c>
      <c r="J76" s="15" t="s">
        <v>15991</v>
      </c>
    </row>
    <row r="77" spans="2:10">
      <c r="B77" s="15" t="s">
        <v>17211</v>
      </c>
      <c r="C77" s="15" t="s">
        <v>17354</v>
      </c>
      <c r="D77" s="15" t="s">
        <v>16072</v>
      </c>
      <c r="E77" s="15" t="s">
        <v>305</v>
      </c>
      <c r="F77" s="15" t="s">
        <v>17355</v>
      </c>
      <c r="G77" s="52" t="str">
        <f t="shared" si="0"/>
        <v>YesNo</v>
      </c>
      <c r="H77" s="15"/>
      <c r="I77" s="15" t="s">
        <v>528</v>
      </c>
      <c r="J77" s="15" t="s">
        <v>15991</v>
      </c>
    </row>
    <row r="78" spans="2:10">
      <c r="B78" s="15" t="s">
        <v>17211</v>
      </c>
      <c r="C78" s="15" t="s">
        <v>17356</v>
      </c>
      <c r="D78" s="15" t="s">
        <v>16072</v>
      </c>
      <c r="E78" s="15" t="s">
        <v>305</v>
      </c>
      <c r="F78" s="15" t="s">
        <v>17357</v>
      </c>
      <c r="G78" s="52" t="str">
        <f t="shared" si="0"/>
        <v>YesNo</v>
      </c>
      <c r="H78" s="15"/>
      <c r="I78" s="15" t="s">
        <v>528</v>
      </c>
      <c r="J78" s="15" t="s">
        <v>15991</v>
      </c>
    </row>
    <row r="79" spans="2:10">
      <c r="B79" s="15" t="s">
        <v>17211</v>
      </c>
      <c r="C79" s="15" t="s">
        <v>17358</v>
      </c>
      <c r="D79" s="15" t="s">
        <v>16072</v>
      </c>
      <c r="E79" s="15" t="s">
        <v>305</v>
      </c>
      <c r="F79" s="15" t="s">
        <v>17359</v>
      </c>
      <c r="G79" s="52" t="str">
        <f t="shared" si="0"/>
        <v>YesNo</v>
      </c>
      <c r="H79" s="15"/>
      <c r="I79" s="15" t="s">
        <v>528</v>
      </c>
      <c r="J79" s="15" t="s">
        <v>15991</v>
      </c>
    </row>
    <row r="80" spans="2:10">
      <c r="B80" s="15" t="s">
        <v>17211</v>
      </c>
      <c r="C80" s="15" t="s">
        <v>17360</v>
      </c>
      <c r="D80" s="15" t="s">
        <v>16072</v>
      </c>
      <c r="E80" s="15" t="s">
        <v>305</v>
      </c>
      <c r="F80" s="15" t="s">
        <v>17361</v>
      </c>
      <c r="G80" s="52" t="str">
        <f t="shared" si="0"/>
        <v>YesNo</v>
      </c>
      <c r="H80" s="15"/>
      <c r="I80" s="15" t="s">
        <v>528</v>
      </c>
      <c r="J80" s="15" t="s">
        <v>15991</v>
      </c>
    </row>
    <row r="81" spans="2:10">
      <c r="B81" s="15" t="s">
        <v>17211</v>
      </c>
      <c r="C81" s="15" t="s">
        <v>17362</v>
      </c>
      <c r="D81" s="15" t="s">
        <v>16072</v>
      </c>
      <c r="E81" s="15" t="s">
        <v>305</v>
      </c>
      <c r="F81" s="15" t="s">
        <v>17363</v>
      </c>
      <c r="G81" s="52" t="str">
        <f t="shared" si="0"/>
        <v>YesNo</v>
      </c>
      <c r="H81" s="15"/>
      <c r="I81" s="15" t="s">
        <v>528</v>
      </c>
      <c r="J81" s="15" t="s">
        <v>15991</v>
      </c>
    </row>
    <row r="82" spans="2:10">
      <c r="B82" s="15" t="s">
        <v>17211</v>
      </c>
      <c r="C82" s="15" t="s">
        <v>17364</v>
      </c>
      <c r="D82" s="15" t="s">
        <v>16072</v>
      </c>
      <c r="E82" s="15" t="s">
        <v>305</v>
      </c>
      <c r="F82" s="15" t="s">
        <v>17365</v>
      </c>
      <c r="G82" s="52" t="str">
        <f t="shared" si="0"/>
        <v>YesNo</v>
      </c>
      <c r="H82" s="15"/>
      <c r="I82" s="15" t="s">
        <v>528</v>
      </c>
      <c r="J82" s="15" t="s">
        <v>15991</v>
      </c>
    </row>
    <row r="83" spans="2:10">
      <c r="B83" s="15" t="s">
        <v>17211</v>
      </c>
      <c r="C83" s="15" t="s">
        <v>17366</v>
      </c>
      <c r="D83" s="15" t="s">
        <v>16072</v>
      </c>
      <c r="E83" s="15" t="s">
        <v>305</v>
      </c>
      <c r="F83" s="15" t="s">
        <v>17367</v>
      </c>
      <c r="G83" s="52" t="str">
        <f t="shared" si="0"/>
        <v>YesNo</v>
      </c>
      <c r="H83" s="15"/>
      <c r="I83" s="15" t="s">
        <v>528</v>
      </c>
      <c r="J83" s="15" t="s">
        <v>15991</v>
      </c>
    </row>
    <row r="84" spans="2:10">
      <c r="B84" s="15" t="s">
        <v>17211</v>
      </c>
      <c r="C84" s="15" t="s">
        <v>17368</v>
      </c>
      <c r="D84" s="15" t="s">
        <v>16072</v>
      </c>
      <c r="E84" s="15" t="s">
        <v>305</v>
      </c>
      <c r="F84" s="15" t="s">
        <v>17369</v>
      </c>
      <c r="G84" s="52" t="str">
        <f t="shared" si="0"/>
        <v>YesNo</v>
      </c>
      <c r="H84" s="15"/>
      <c r="I84" s="15" t="s">
        <v>528</v>
      </c>
      <c r="J84" s="15" t="s">
        <v>15991</v>
      </c>
    </row>
    <row r="85" spans="2:10">
      <c r="B85" s="15" t="s">
        <v>17211</v>
      </c>
      <c r="C85" s="15" t="s">
        <v>17370</v>
      </c>
      <c r="D85" s="15" t="s">
        <v>16072</v>
      </c>
      <c r="E85" s="15" t="s">
        <v>305</v>
      </c>
      <c r="F85" s="15" t="s">
        <v>17371</v>
      </c>
      <c r="G85" s="52" t="str">
        <f t="shared" si="0"/>
        <v>YesNo</v>
      </c>
      <c r="H85" s="15"/>
      <c r="I85" s="15" t="s">
        <v>528</v>
      </c>
      <c r="J85" s="15" t="s">
        <v>15991</v>
      </c>
    </row>
    <row r="86" spans="2:10">
      <c r="B86" s="15" t="s">
        <v>17211</v>
      </c>
      <c r="C86" s="15" t="s">
        <v>17372</v>
      </c>
      <c r="D86" s="15" t="s">
        <v>16072</v>
      </c>
      <c r="E86" s="15" t="s">
        <v>305</v>
      </c>
      <c r="F86" s="15" t="s">
        <v>17373</v>
      </c>
      <c r="G86" s="52" t="str">
        <f t="shared" si="0"/>
        <v>YesNo</v>
      </c>
      <c r="H86" s="15"/>
      <c r="I86" s="15" t="s">
        <v>528</v>
      </c>
      <c r="J86" s="15" t="s">
        <v>15991</v>
      </c>
    </row>
    <row r="87" spans="2:10">
      <c r="B87" s="15" t="s">
        <v>17211</v>
      </c>
      <c r="C87" s="15" t="s">
        <v>17374</v>
      </c>
      <c r="D87" s="15" t="s">
        <v>16072</v>
      </c>
      <c r="E87" s="15" t="s">
        <v>305</v>
      </c>
      <c r="F87" s="15" t="s">
        <v>17375</v>
      </c>
      <c r="G87" s="52" t="str">
        <f t="shared" si="0"/>
        <v>YesNo</v>
      </c>
      <c r="H87" s="15"/>
      <c r="I87" s="15" t="s">
        <v>528</v>
      </c>
      <c r="J87" s="15" t="s">
        <v>15991</v>
      </c>
    </row>
    <row r="88" spans="2:10">
      <c r="B88" s="15" t="s">
        <v>17211</v>
      </c>
      <c r="C88" s="15" t="s">
        <v>17376</v>
      </c>
      <c r="D88" s="15" t="s">
        <v>16072</v>
      </c>
      <c r="E88" s="15" t="s">
        <v>305</v>
      </c>
      <c r="F88" s="15" t="s">
        <v>17377</v>
      </c>
      <c r="G88" s="52" t="str">
        <f t="shared" si="0"/>
        <v>YesNo</v>
      </c>
      <c r="H88" s="15"/>
      <c r="I88" s="15" t="s">
        <v>528</v>
      </c>
      <c r="J88" s="15" t="s">
        <v>15991</v>
      </c>
    </row>
    <row r="89" spans="2:10">
      <c r="B89" s="15" t="s">
        <v>17211</v>
      </c>
      <c r="C89" s="15" t="s">
        <v>17378</v>
      </c>
      <c r="D89" s="15" t="s">
        <v>16072</v>
      </c>
      <c r="E89" s="15" t="s">
        <v>305</v>
      </c>
      <c r="F89" s="15" t="s">
        <v>17379</v>
      </c>
      <c r="G89" s="52" t="str">
        <f t="shared" si="0"/>
        <v>YesNo</v>
      </c>
      <c r="H89" s="15"/>
      <c r="I89" s="15" t="s">
        <v>528</v>
      </c>
      <c r="J89" s="15" t="s">
        <v>15991</v>
      </c>
    </row>
    <row r="90" spans="2:10">
      <c r="B90" s="15" t="s">
        <v>17211</v>
      </c>
      <c r="C90" s="15" t="s">
        <v>17380</v>
      </c>
      <c r="D90" s="15" t="s">
        <v>16072</v>
      </c>
      <c r="E90" s="15" t="s">
        <v>305</v>
      </c>
      <c r="F90" s="15" t="s">
        <v>17381</v>
      </c>
      <c r="G90" s="52" t="str">
        <f t="shared" si="0"/>
        <v>YesNo</v>
      </c>
      <c r="H90" s="15"/>
      <c r="I90" s="15" t="s">
        <v>528</v>
      </c>
      <c r="J90" s="15" t="s">
        <v>15991</v>
      </c>
    </row>
    <row r="91" spans="2:10">
      <c r="B91" s="15" t="s">
        <v>17211</v>
      </c>
      <c r="C91" s="15" t="s">
        <v>17382</v>
      </c>
      <c r="D91" s="15" t="s">
        <v>16072</v>
      </c>
      <c r="E91" s="15" t="s">
        <v>305</v>
      </c>
      <c r="F91" s="15" t="s">
        <v>17383</v>
      </c>
      <c r="G91" s="52" t="str">
        <f t="shared" si="0"/>
        <v>YesNo</v>
      </c>
      <c r="H91" s="15"/>
      <c r="I91" s="15" t="s">
        <v>528</v>
      </c>
      <c r="J91" s="15" t="s">
        <v>15991</v>
      </c>
    </row>
    <row r="92" spans="2:10">
      <c r="B92" s="15" t="s">
        <v>17211</v>
      </c>
      <c r="C92" s="15" t="s">
        <v>17384</v>
      </c>
      <c r="D92" s="15" t="s">
        <v>16072</v>
      </c>
      <c r="E92" s="15" t="s">
        <v>305</v>
      </c>
      <c r="F92" s="15" t="s">
        <v>17385</v>
      </c>
      <c r="G92" s="52" t="str">
        <f t="shared" si="0"/>
        <v>YesNo</v>
      </c>
      <c r="H92" s="15"/>
      <c r="I92" s="15" t="s">
        <v>528</v>
      </c>
      <c r="J92" s="15" t="s">
        <v>15991</v>
      </c>
    </row>
    <row r="93" spans="2:10">
      <c r="B93" s="15" t="s">
        <v>17211</v>
      </c>
      <c r="C93" s="15" t="s">
        <v>17386</v>
      </c>
      <c r="D93" s="15" t="s">
        <v>16072</v>
      </c>
      <c r="E93" s="15" t="s">
        <v>305</v>
      </c>
      <c r="F93" s="15" t="s">
        <v>17387</v>
      </c>
      <c r="G93" s="52" t="str">
        <f t="shared" si="0"/>
        <v>YesNo</v>
      </c>
      <c r="H93" s="15"/>
      <c r="I93" s="15" t="s">
        <v>528</v>
      </c>
      <c r="J93" s="15" t="s">
        <v>15991</v>
      </c>
    </row>
    <row r="94" spans="2:10">
      <c r="B94" s="15" t="s">
        <v>17211</v>
      </c>
      <c r="C94" s="15" t="s">
        <v>17388</v>
      </c>
      <c r="D94" s="15" t="s">
        <v>16072</v>
      </c>
      <c r="E94" s="15" t="s">
        <v>305</v>
      </c>
      <c r="F94" s="15" t="s">
        <v>17389</v>
      </c>
      <c r="G94" s="52" t="str">
        <f t="shared" si="0"/>
        <v>YesNo</v>
      </c>
      <c r="H94" s="15"/>
      <c r="I94" s="15" t="s">
        <v>528</v>
      </c>
      <c r="J94" s="15" t="s">
        <v>15991</v>
      </c>
    </row>
    <row r="95" spans="2:10">
      <c r="B95" s="15" t="s">
        <v>17211</v>
      </c>
      <c r="C95" s="15" t="s">
        <v>17390</v>
      </c>
      <c r="D95" s="15" t="s">
        <v>16072</v>
      </c>
      <c r="E95" s="15" t="s">
        <v>305</v>
      </c>
      <c r="F95" s="15" t="s">
        <v>17391</v>
      </c>
      <c r="G95" s="52" t="str">
        <f t="shared" si="0"/>
        <v>YesNo</v>
      </c>
      <c r="H95" s="15"/>
      <c r="I95" s="15" t="s">
        <v>528</v>
      </c>
      <c r="J95" s="15" t="s">
        <v>15991</v>
      </c>
    </row>
    <row r="96" spans="2:10">
      <c r="B96" s="15" t="s">
        <v>17211</v>
      </c>
      <c r="C96" s="15" t="s">
        <v>17392</v>
      </c>
      <c r="D96" s="15" t="s">
        <v>16072</v>
      </c>
      <c r="E96" s="15" t="s">
        <v>305</v>
      </c>
      <c r="F96" s="15" t="s">
        <v>462</v>
      </c>
      <c r="G96" s="52" t="str">
        <f t="shared" si="0"/>
        <v>YesNo</v>
      </c>
      <c r="H96" s="15"/>
      <c r="I96" s="15" t="s">
        <v>528</v>
      </c>
      <c r="J96" s="15" t="s">
        <v>15991</v>
      </c>
    </row>
    <row r="97" spans="2:10">
      <c r="B97" s="15" t="s">
        <v>17211</v>
      </c>
      <c r="C97" s="15" t="s">
        <v>17393</v>
      </c>
      <c r="D97" s="15" t="s">
        <v>16072</v>
      </c>
      <c r="E97" s="15" t="s">
        <v>305</v>
      </c>
      <c r="F97" s="15" t="s">
        <v>17394</v>
      </c>
      <c r="G97" s="52" t="str">
        <f t="shared" si="0"/>
        <v>YesNo</v>
      </c>
      <c r="H97" s="15"/>
      <c r="I97" s="15" t="s">
        <v>528</v>
      </c>
      <c r="J97" s="15" t="s">
        <v>15991</v>
      </c>
    </row>
    <row r="98" spans="2:10">
      <c r="B98" s="15" t="s">
        <v>17211</v>
      </c>
      <c r="C98" s="15" t="s">
        <v>17395</v>
      </c>
      <c r="D98" s="15" t="s">
        <v>16072</v>
      </c>
      <c r="E98" s="15" t="s">
        <v>305</v>
      </c>
      <c r="F98" s="15" t="s">
        <v>17396</v>
      </c>
      <c r="G98" s="52" t="str">
        <f t="shared" si="0"/>
        <v>YesNo</v>
      </c>
      <c r="H98" s="15"/>
      <c r="I98" s="15" t="s">
        <v>528</v>
      </c>
      <c r="J98" s="15" t="s">
        <v>15991</v>
      </c>
    </row>
    <row r="99" spans="2:10">
      <c r="B99" s="15" t="s">
        <v>17211</v>
      </c>
      <c r="C99" s="15" t="s">
        <v>17397</v>
      </c>
      <c r="D99" s="15" t="s">
        <v>16072</v>
      </c>
      <c r="E99" s="15" t="s">
        <v>305</v>
      </c>
      <c r="F99" s="15" t="s">
        <v>17398</v>
      </c>
      <c r="G99" s="52" t="str">
        <f t="shared" si="0"/>
        <v>YesNo</v>
      </c>
      <c r="H99" s="15"/>
      <c r="I99" s="15" t="s">
        <v>528</v>
      </c>
      <c r="J99" s="15" t="s">
        <v>15991</v>
      </c>
    </row>
    <row r="100" spans="2:10">
      <c r="B100" s="15" t="s">
        <v>17211</v>
      </c>
      <c r="C100" s="15" t="s">
        <v>17399</v>
      </c>
      <c r="D100" s="15" t="s">
        <v>16072</v>
      </c>
      <c r="E100" s="15" t="s">
        <v>305</v>
      </c>
      <c r="F100" s="15" t="s">
        <v>17400</v>
      </c>
      <c r="G100" s="52" t="str">
        <f t="shared" si="0"/>
        <v>YesNo</v>
      </c>
      <c r="H100" s="15"/>
      <c r="I100" s="15" t="s">
        <v>528</v>
      </c>
      <c r="J100" s="15" t="s">
        <v>15991</v>
      </c>
    </row>
    <row r="101" spans="2:10">
      <c r="B101" s="15" t="s">
        <v>17211</v>
      </c>
      <c r="C101" s="15" t="s">
        <v>17401</v>
      </c>
      <c r="D101" s="15" t="s">
        <v>16072</v>
      </c>
      <c r="E101" s="15" t="s">
        <v>305</v>
      </c>
      <c r="F101" s="15" t="s">
        <v>17402</v>
      </c>
      <c r="G101" s="52" t="str">
        <f t="shared" si="0"/>
        <v>YesNo</v>
      </c>
      <c r="H101" s="15"/>
      <c r="I101" s="15" t="s">
        <v>528</v>
      </c>
      <c r="J101" s="15" t="s">
        <v>15991</v>
      </c>
    </row>
    <row r="102" spans="2:10">
      <c r="B102" s="15" t="s">
        <v>17211</v>
      </c>
      <c r="C102" s="15" t="s">
        <v>16009</v>
      </c>
      <c r="D102" s="15" t="s">
        <v>316</v>
      </c>
      <c r="E102" s="15" t="s">
        <v>305</v>
      </c>
      <c r="F102" s="20" t="s">
        <v>16010</v>
      </c>
      <c r="G102" s="15"/>
      <c r="H102" s="15"/>
      <c r="I102" s="15" t="s">
        <v>528</v>
      </c>
      <c r="J102" s="15" t="s">
        <v>15991</v>
      </c>
    </row>
    <row r="103" spans="2:10">
      <c r="B103" s="15" t="s">
        <v>17211</v>
      </c>
      <c r="C103" s="15" t="s">
        <v>16011</v>
      </c>
      <c r="D103" s="15" t="s">
        <v>316</v>
      </c>
      <c r="E103" s="15" t="s">
        <v>305</v>
      </c>
      <c r="F103" s="15" t="s">
        <v>16012</v>
      </c>
      <c r="G103" s="15"/>
      <c r="H103" s="15"/>
      <c r="I103" s="15" t="s">
        <v>528</v>
      </c>
      <c r="J103" s="15" t="s">
        <v>15991</v>
      </c>
    </row>
    <row r="104" spans="2:10">
      <c r="B104" s="15" t="s">
        <v>17211</v>
      </c>
      <c r="C104" s="15" t="s">
        <v>16013</v>
      </c>
      <c r="D104" s="15" t="s">
        <v>371</v>
      </c>
      <c r="E104" s="15" t="s">
        <v>305</v>
      </c>
      <c r="F104" s="15" t="s">
        <v>16014</v>
      </c>
      <c r="G104" s="15"/>
      <c r="H104" s="15"/>
      <c r="I104" s="15" t="s">
        <v>528</v>
      </c>
      <c r="J104" s="15" t="s">
        <v>15991</v>
      </c>
    </row>
    <row r="105" spans="2:10">
      <c r="B105" s="15" t="s">
        <v>17211</v>
      </c>
      <c r="C105" s="15" t="s">
        <v>16015</v>
      </c>
      <c r="D105" s="15" t="s">
        <v>316</v>
      </c>
      <c r="E105" s="15" t="s">
        <v>305</v>
      </c>
      <c r="F105" s="15" t="s">
        <v>16016</v>
      </c>
      <c r="G105" s="15"/>
      <c r="H105" s="15"/>
      <c r="I105" s="15" t="s">
        <v>528</v>
      </c>
      <c r="J105" s="15" t="s">
        <v>15991</v>
      </c>
    </row>
    <row r="106" spans="2:10">
      <c r="B106" s="15" t="s">
        <v>17211</v>
      </c>
      <c r="C106" s="15" t="s">
        <v>16017</v>
      </c>
      <c r="D106" s="15" t="s">
        <v>316</v>
      </c>
      <c r="E106" s="15" t="s">
        <v>305</v>
      </c>
      <c r="F106" s="15" t="s">
        <v>16018</v>
      </c>
      <c r="G106" s="15"/>
      <c r="H106" s="15"/>
      <c r="I106" s="15" t="s">
        <v>528</v>
      </c>
      <c r="J106" s="15" t="s">
        <v>15991</v>
      </c>
    </row>
    <row r="107" spans="2:10">
      <c r="B107" s="15" t="s">
        <v>17211</v>
      </c>
      <c r="C107" s="15" t="s">
        <v>16019</v>
      </c>
      <c r="D107" s="15" t="s">
        <v>371</v>
      </c>
      <c r="E107" s="15" t="s">
        <v>305</v>
      </c>
      <c r="F107" s="15" t="s">
        <v>16020</v>
      </c>
      <c r="G107" s="15"/>
      <c r="H107" s="15"/>
      <c r="I107" s="15" t="s">
        <v>528</v>
      </c>
      <c r="J107" s="15" t="s">
        <v>15991</v>
      </c>
    </row>
    <row r="108" spans="2:10">
      <c r="B108" s="15" t="s">
        <v>17211</v>
      </c>
      <c r="C108" s="15" t="s">
        <v>16086</v>
      </c>
      <c r="D108" s="15" t="s">
        <v>327</v>
      </c>
      <c r="E108" s="15" t="s">
        <v>305</v>
      </c>
      <c r="F108" s="15" t="s">
        <v>301</v>
      </c>
      <c r="G108" s="15"/>
      <c r="H108" s="15"/>
      <c r="I108" s="15" t="s">
        <v>528</v>
      </c>
      <c r="J108" s="15" t="s">
        <v>15991</v>
      </c>
    </row>
    <row r="109" spans="2:10">
      <c r="B109" s="16" t="s">
        <v>17211</v>
      </c>
      <c r="C109" s="16" t="s">
        <v>16088</v>
      </c>
      <c r="D109" s="16" t="s">
        <v>316</v>
      </c>
      <c r="E109" s="16" t="s">
        <v>305</v>
      </c>
      <c r="F109" s="16" t="s">
        <v>16089</v>
      </c>
      <c r="G109" s="16"/>
      <c r="H109" s="16"/>
      <c r="I109" s="16" t="s">
        <v>528</v>
      </c>
      <c r="J109" s="16" t="s">
        <v>15991</v>
      </c>
    </row>
    <row r="110" ht="16.8" spans="2:11">
      <c r="B110" s="65" t="s">
        <v>17211</v>
      </c>
      <c r="C110" s="60" t="s">
        <v>341</v>
      </c>
      <c r="D110" s="57" t="s">
        <v>316</v>
      </c>
      <c r="E110" s="65" t="s">
        <v>305</v>
      </c>
      <c r="F110" s="100" t="s">
        <v>448</v>
      </c>
      <c r="G110" s="57"/>
      <c r="H110" s="57"/>
      <c r="I110" s="57"/>
      <c r="J110" s="50">
        <v>45740</v>
      </c>
      <c r="K110" s="113" t="s">
        <v>17403</v>
      </c>
    </row>
    <row r="111" ht="16" spans="2:10">
      <c r="B111" s="65" t="s">
        <v>17211</v>
      </c>
      <c r="C111" s="60" t="s">
        <v>450</v>
      </c>
      <c r="D111" s="57" t="s">
        <v>321</v>
      </c>
      <c r="E111" s="65" t="s">
        <v>305</v>
      </c>
      <c r="F111" s="100" t="s">
        <v>449</v>
      </c>
      <c r="G111" s="57"/>
      <c r="H111" s="60" t="s">
        <v>451</v>
      </c>
      <c r="I111" s="57"/>
      <c r="J111" s="50">
        <v>45740</v>
      </c>
    </row>
    <row r="112" spans="2:10">
      <c r="B112" s="65" t="s">
        <v>17211</v>
      </c>
      <c r="C112" s="60" t="s">
        <v>453</v>
      </c>
      <c r="D112" s="57" t="s">
        <v>454</v>
      </c>
      <c r="E112" s="65" t="s">
        <v>305</v>
      </c>
      <c r="F112" s="100" t="s">
        <v>452</v>
      </c>
      <c r="G112" s="57"/>
      <c r="H112" s="57"/>
      <c r="I112" s="57"/>
      <c r="J112" s="50">
        <v>45740</v>
      </c>
    </row>
    <row r="113" spans="2:10">
      <c r="B113" s="65" t="s">
        <v>17211</v>
      </c>
      <c r="C113" s="60" t="s">
        <v>456</v>
      </c>
      <c r="D113" s="57" t="s">
        <v>454</v>
      </c>
      <c r="E113" s="65" t="s">
        <v>305</v>
      </c>
      <c r="F113" s="99" t="s">
        <v>455</v>
      </c>
      <c r="G113" s="57"/>
      <c r="H113" s="57"/>
      <c r="I113" s="57"/>
      <c r="J113" s="50">
        <v>45740</v>
      </c>
    </row>
    <row r="114" spans="2:10">
      <c r="B114" s="65" t="s">
        <v>17211</v>
      </c>
      <c r="C114" s="60" t="s">
        <v>458</v>
      </c>
      <c r="D114" s="57" t="s">
        <v>321</v>
      </c>
      <c r="E114" s="65" t="s">
        <v>305</v>
      </c>
      <c r="F114" s="99" t="s">
        <v>457</v>
      </c>
      <c r="G114" s="57"/>
      <c r="H114" s="57"/>
      <c r="I114" s="57"/>
      <c r="J114" s="50">
        <v>45740</v>
      </c>
    </row>
    <row r="115" spans="2:13">
      <c r="B115" s="65" t="s">
        <v>17211</v>
      </c>
      <c r="C115" s="60" t="s">
        <v>349</v>
      </c>
      <c r="D115" s="57" t="s">
        <v>350</v>
      </c>
      <c r="E115" s="65" t="s">
        <v>305</v>
      </c>
      <c r="F115" s="99" t="s">
        <v>348</v>
      </c>
      <c r="G115" s="57"/>
      <c r="H115" s="57"/>
      <c r="I115" s="57"/>
      <c r="J115" s="50">
        <v>45740</v>
      </c>
      <c r="L115" s="114"/>
      <c r="M115" s="114"/>
    </row>
    <row r="116" spans="2:13">
      <c r="B116" s="65" t="s">
        <v>17211</v>
      </c>
      <c r="C116" s="60" t="s">
        <v>354</v>
      </c>
      <c r="D116" s="57" t="s">
        <v>350</v>
      </c>
      <c r="E116" s="65" t="s">
        <v>305</v>
      </c>
      <c r="F116" s="99" t="s">
        <v>353</v>
      </c>
      <c r="G116" s="57"/>
      <c r="H116" s="57"/>
      <c r="I116" s="57"/>
      <c r="J116" s="50">
        <v>45740</v>
      </c>
      <c r="L116" s="114"/>
      <c r="M116" s="114"/>
    </row>
    <row r="117" spans="2:13">
      <c r="B117" s="65" t="s">
        <v>17211</v>
      </c>
      <c r="C117" s="65" t="s">
        <v>460</v>
      </c>
      <c r="D117" s="65" t="s">
        <v>461</v>
      </c>
      <c r="E117" s="65" t="s">
        <v>305</v>
      </c>
      <c r="F117" s="99" t="s">
        <v>459</v>
      </c>
      <c r="G117" s="57"/>
      <c r="H117" s="57"/>
      <c r="I117" s="57"/>
      <c r="J117" s="50">
        <v>45740</v>
      </c>
      <c r="L117" s="114"/>
      <c r="M117" s="114"/>
    </row>
    <row r="118" ht="16" spans="2:13">
      <c r="B118" s="65" t="s">
        <v>17211</v>
      </c>
      <c r="C118" s="111" t="s">
        <v>463</v>
      </c>
      <c r="D118" s="57" t="s">
        <v>321</v>
      </c>
      <c r="E118" s="65" t="s">
        <v>305</v>
      </c>
      <c r="F118" s="100" t="s">
        <v>462</v>
      </c>
      <c r="G118" s="57"/>
      <c r="H118" s="57"/>
      <c r="I118" s="57"/>
      <c r="J118" s="50">
        <v>45740</v>
      </c>
      <c r="L118" s="114"/>
      <c r="M118" s="114"/>
    </row>
    <row r="119" ht="16" spans="2:13">
      <c r="B119" s="65" t="s">
        <v>17211</v>
      </c>
      <c r="C119" s="111" t="s">
        <v>465</v>
      </c>
      <c r="D119" s="57" t="s">
        <v>321</v>
      </c>
      <c r="E119" s="65" t="s">
        <v>305</v>
      </c>
      <c r="F119" s="100" t="s">
        <v>464</v>
      </c>
      <c r="G119" s="57"/>
      <c r="H119" s="57"/>
      <c r="I119" s="57"/>
      <c r="J119" s="50">
        <v>45740</v>
      </c>
      <c r="L119" s="114"/>
      <c r="M119" s="114"/>
    </row>
    <row r="120" spans="2:13">
      <c r="B120" s="65" t="s">
        <v>17211</v>
      </c>
      <c r="C120" s="65" t="s">
        <v>467</v>
      </c>
      <c r="D120" s="57" t="s">
        <v>371</v>
      </c>
      <c r="E120" s="65" t="s">
        <v>305</v>
      </c>
      <c r="F120" s="99" t="s">
        <v>466</v>
      </c>
      <c r="G120" s="57"/>
      <c r="H120" s="57"/>
      <c r="I120" s="57"/>
      <c r="J120" s="50">
        <v>45740</v>
      </c>
      <c r="L120" s="114"/>
      <c r="M120" s="114"/>
    </row>
    <row r="121" spans="2:13">
      <c r="B121" s="65" t="s">
        <v>17211</v>
      </c>
      <c r="C121" s="57" t="s">
        <v>326</v>
      </c>
      <c r="D121" s="57" t="s">
        <v>327</v>
      </c>
      <c r="E121" s="65" t="s">
        <v>305</v>
      </c>
      <c r="F121" s="100" t="s">
        <v>468</v>
      </c>
      <c r="G121" s="57"/>
      <c r="H121" s="57"/>
      <c r="I121" s="57"/>
      <c r="J121" s="50">
        <v>45740</v>
      </c>
      <c r="L121" s="114"/>
      <c r="M121" s="114"/>
    </row>
    <row r="122" ht="16" spans="2:13">
      <c r="B122" s="65" t="s">
        <v>17211</v>
      </c>
      <c r="C122" s="111" t="s">
        <v>470</v>
      </c>
      <c r="D122" s="57" t="s">
        <v>321</v>
      </c>
      <c r="E122" s="65" t="s">
        <v>305</v>
      </c>
      <c r="F122" s="100" t="s">
        <v>469</v>
      </c>
      <c r="G122" s="57"/>
      <c r="H122" s="57"/>
      <c r="I122" s="57"/>
      <c r="J122" s="50">
        <v>45740</v>
      </c>
      <c r="L122" s="114"/>
      <c r="M122" s="114"/>
    </row>
    <row r="123" ht="16" spans="2:13">
      <c r="B123" s="65" t="s">
        <v>17211</v>
      </c>
      <c r="C123" s="111" t="s">
        <v>472</v>
      </c>
      <c r="D123" s="57" t="s">
        <v>433</v>
      </c>
      <c r="E123" s="65" t="s">
        <v>305</v>
      </c>
      <c r="F123" s="100" t="s">
        <v>471</v>
      </c>
      <c r="G123" s="57"/>
      <c r="H123" s="57"/>
      <c r="I123" s="57"/>
      <c r="J123" s="50">
        <v>45740</v>
      </c>
      <c r="L123" s="114"/>
      <c r="M123" s="114"/>
    </row>
    <row r="124" ht="16" spans="2:13">
      <c r="B124" s="65" t="s">
        <v>17211</v>
      </c>
      <c r="C124" s="111" t="s">
        <v>474</v>
      </c>
      <c r="D124" s="57" t="s">
        <v>433</v>
      </c>
      <c r="E124" s="65" t="s">
        <v>305</v>
      </c>
      <c r="F124" s="100" t="s">
        <v>473</v>
      </c>
      <c r="G124" s="57"/>
      <c r="H124" s="57"/>
      <c r="I124" s="57"/>
      <c r="J124" s="50">
        <v>45740</v>
      </c>
      <c r="L124" s="114"/>
      <c r="M124" s="114"/>
    </row>
    <row r="125" ht="16" spans="2:13">
      <c r="B125" s="65" t="s">
        <v>17211</v>
      </c>
      <c r="C125" s="111" t="s">
        <v>476</v>
      </c>
      <c r="D125" s="57" t="s">
        <v>433</v>
      </c>
      <c r="E125" s="65" t="s">
        <v>305</v>
      </c>
      <c r="F125" s="100" t="s">
        <v>475</v>
      </c>
      <c r="G125" s="57"/>
      <c r="H125" s="57"/>
      <c r="I125" s="57"/>
      <c r="J125" s="50">
        <v>45740</v>
      </c>
      <c r="L125" s="114"/>
      <c r="M125" s="114"/>
    </row>
    <row r="126" ht="16" spans="2:13">
      <c r="B126" s="65" t="s">
        <v>17211</v>
      </c>
      <c r="C126" s="111" t="s">
        <v>478</v>
      </c>
      <c r="D126" s="112" t="s">
        <v>479</v>
      </c>
      <c r="E126" s="65" t="s">
        <v>305</v>
      </c>
      <c r="F126" s="100" t="s">
        <v>477</v>
      </c>
      <c r="G126" s="57"/>
      <c r="H126" s="57"/>
      <c r="I126" s="57"/>
      <c r="J126" s="50">
        <v>45740</v>
      </c>
      <c r="L126" s="114"/>
      <c r="M126" s="114"/>
    </row>
    <row r="127" ht="16" spans="2:13">
      <c r="B127" s="65" t="s">
        <v>17211</v>
      </c>
      <c r="C127" s="111" t="s">
        <v>481</v>
      </c>
      <c r="D127" s="57" t="s">
        <v>482</v>
      </c>
      <c r="E127" s="65" t="s">
        <v>305</v>
      </c>
      <c r="F127" s="100" t="s">
        <v>480</v>
      </c>
      <c r="G127" s="57"/>
      <c r="H127" s="57"/>
      <c r="I127" s="57"/>
      <c r="J127" s="50">
        <v>45740</v>
      </c>
      <c r="L127" s="114"/>
      <c r="M127" s="114"/>
    </row>
    <row r="128" ht="16" spans="2:13">
      <c r="B128" s="65" t="s">
        <v>17211</v>
      </c>
      <c r="C128" s="111" t="s">
        <v>484</v>
      </c>
      <c r="D128" s="57" t="s">
        <v>482</v>
      </c>
      <c r="E128" s="65" t="s">
        <v>305</v>
      </c>
      <c r="F128" s="100" t="s">
        <v>483</v>
      </c>
      <c r="G128" s="57"/>
      <c r="H128" s="57"/>
      <c r="I128" s="57"/>
      <c r="J128" s="50">
        <v>45740</v>
      </c>
      <c r="L128" s="114"/>
      <c r="M128" s="114"/>
    </row>
    <row r="129" ht="16" spans="2:13">
      <c r="B129" s="65" t="s">
        <v>17211</v>
      </c>
      <c r="C129" s="111" t="s">
        <v>486</v>
      </c>
      <c r="D129" s="57" t="s">
        <v>367</v>
      </c>
      <c r="E129" s="65" t="s">
        <v>305</v>
      </c>
      <c r="F129" s="100" t="s">
        <v>485</v>
      </c>
      <c r="G129" s="57"/>
      <c r="H129" s="57"/>
      <c r="I129" s="57"/>
      <c r="J129" s="50">
        <v>45740</v>
      </c>
      <c r="L129" s="114"/>
      <c r="M129" s="114"/>
    </row>
    <row r="130" ht="16" spans="2:13">
      <c r="B130" s="65" t="s">
        <v>17211</v>
      </c>
      <c r="C130" s="111" t="s">
        <v>488</v>
      </c>
      <c r="D130" s="57" t="s">
        <v>433</v>
      </c>
      <c r="E130" s="65" t="s">
        <v>305</v>
      </c>
      <c r="F130" s="100" t="s">
        <v>487</v>
      </c>
      <c r="G130" s="57"/>
      <c r="H130" s="57"/>
      <c r="I130" s="57"/>
      <c r="J130" s="50">
        <v>45740</v>
      </c>
      <c r="L130" s="114"/>
      <c r="M130" s="114"/>
    </row>
    <row r="131" ht="16" spans="2:13">
      <c r="B131" s="65" t="s">
        <v>17211</v>
      </c>
      <c r="C131" s="111" t="s">
        <v>490</v>
      </c>
      <c r="D131" s="57" t="s">
        <v>350</v>
      </c>
      <c r="E131" s="65" t="s">
        <v>305</v>
      </c>
      <c r="F131" s="100" t="s">
        <v>489</v>
      </c>
      <c r="G131" s="57"/>
      <c r="H131" s="57"/>
      <c r="I131" s="57"/>
      <c r="J131" s="50">
        <v>45740</v>
      </c>
      <c r="L131" s="114"/>
      <c r="M131" s="114"/>
    </row>
    <row r="132" ht="16" spans="2:13">
      <c r="B132" s="65" t="s">
        <v>17211</v>
      </c>
      <c r="C132" s="111" t="s">
        <v>492</v>
      </c>
      <c r="D132" s="57" t="s">
        <v>371</v>
      </c>
      <c r="E132" s="65" t="s">
        <v>305</v>
      </c>
      <c r="F132" s="100" t="s">
        <v>491</v>
      </c>
      <c r="G132" s="57"/>
      <c r="H132" s="57"/>
      <c r="I132" s="57"/>
      <c r="J132" s="50">
        <v>45740</v>
      </c>
      <c r="L132" s="114"/>
      <c r="M132" s="114"/>
    </row>
    <row r="133" spans="2:13">
      <c r="B133" s="65" t="s">
        <v>17211</v>
      </c>
      <c r="C133" s="60" t="s">
        <v>336</v>
      </c>
      <c r="D133" s="57" t="s">
        <v>321</v>
      </c>
      <c r="E133" s="65" t="s">
        <v>305</v>
      </c>
      <c r="F133" s="99" t="s">
        <v>335</v>
      </c>
      <c r="G133" s="57"/>
      <c r="H133" s="57" t="s">
        <v>493</v>
      </c>
      <c r="I133" s="57"/>
      <c r="J133" s="50">
        <v>45740</v>
      </c>
      <c r="L133" s="114"/>
      <c r="M133" s="114"/>
    </row>
    <row r="134" ht="16" spans="2:13">
      <c r="B134" s="65" t="s">
        <v>17211</v>
      </c>
      <c r="C134" s="111" t="s">
        <v>495</v>
      </c>
      <c r="D134" s="57" t="s">
        <v>321</v>
      </c>
      <c r="E134" s="65" t="s">
        <v>305</v>
      </c>
      <c r="F134" s="100" t="s">
        <v>494</v>
      </c>
      <c r="G134" s="57"/>
      <c r="H134" s="57"/>
      <c r="I134" s="57"/>
      <c r="J134" s="50">
        <v>45740</v>
      </c>
      <c r="L134" s="114"/>
      <c r="M134" s="114"/>
    </row>
    <row r="135" ht="16" spans="2:13">
      <c r="B135" s="65" t="s">
        <v>17211</v>
      </c>
      <c r="C135" s="111" t="s">
        <v>497</v>
      </c>
      <c r="D135" s="57" t="s">
        <v>367</v>
      </c>
      <c r="E135" s="65" t="s">
        <v>305</v>
      </c>
      <c r="F135" s="99" t="s">
        <v>496</v>
      </c>
      <c r="G135" s="57"/>
      <c r="H135" s="57"/>
      <c r="I135" s="57"/>
      <c r="J135" s="50">
        <v>45740</v>
      </c>
      <c r="L135" s="114"/>
      <c r="M135" s="114"/>
    </row>
    <row r="136" ht="16" spans="2:13">
      <c r="B136" s="65" t="s">
        <v>17211</v>
      </c>
      <c r="C136" s="111" t="s">
        <v>499</v>
      </c>
      <c r="D136" s="57" t="s">
        <v>316</v>
      </c>
      <c r="E136" s="65" t="s">
        <v>305</v>
      </c>
      <c r="F136" s="99" t="s">
        <v>498</v>
      </c>
      <c r="G136" s="57"/>
      <c r="H136" s="57"/>
      <c r="I136" s="57"/>
      <c r="J136" s="50">
        <v>45740</v>
      </c>
      <c r="L136" s="114"/>
      <c r="M136" s="114"/>
    </row>
    <row r="137" ht="16" spans="2:13">
      <c r="B137" s="65" t="s">
        <v>17211</v>
      </c>
      <c r="C137" s="111" t="s">
        <v>501</v>
      </c>
      <c r="D137" s="57" t="s">
        <v>321</v>
      </c>
      <c r="E137" s="65" t="s">
        <v>305</v>
      </c>
      <c r="F137" s="99" t="s">
        <v>500</v>
      </c>
      <c r="G137" s="57"/>
      <c r="H137" s="57"/>
      <c r="I137" s="57"/>
      <c r="J137" s="50">
        <v>45740</v>
      </c>
      <c r="L137" s="114"/>
      <c r="M137" s="114"/>
    </row>
    <row r="138" ht="16" spans="2:13">
      <c r="B138" s="65" t="s">
        <v>17211</v>
      </c>
      <c r="C138" s="111" t="s">
        <v>503</v>
      </c>
      <c r="D138" s="57" t="s">
        <v>350</v>
      </c>
      <c r="E138" s="65" t="s">
        <v>305</v>
      </c>
      <c r="F138" s="99" t="s">
        <v>502</v>
      </c>
      <c r="G138" s="57"/>
      <c r="H138" s="57"/>
      <c r="I138" s="57"/>
      <c r="J138" s="50">
        <v>45740</v>
      </c>
      <c r="L138" s="114"/>
      <c r="M138" s="114"/>
    </row>
    <row r="139" ht="16" spans="2:13">
      <c r="B139" s="65" t="s">
        <v>17211</v>
      </c>
      <c r="C139" s="111" t="s">
        <v>505</v>
      </c>
      <c r="D139" s="57" t="s">
        <v>506</v>
      </c>
      <c r="E139" s="65" t="s">
        <v>305</v>
      </c>
      <c r="F139" s="99" t="s">
        <v>504</v>
      </c>
      <c r="G139" s="57"/>
      <c r="H139" s="57"/>
      <c r="I139" s="57"/>
      <c r="J139" s="50">
        <v>45740</v>
      </c>
      <c r="L139" s="114"/>
      <c r="M139" s="114"/>
    </row>
    <row r="140" spans="12:13">
      <c r="L140" s="114"/>
      <c r="M140" s="114"/>
    </row>
    <row r="141" ht="15.6" spans="12:12">
      <c r="L141" s="115"/>
    </row>
    <row r="142" ht="15.6" spans="12:12">
      <c r="L142" s="115"/>
    </row>
    <row r="143" ht="15.6" spans="12:12">
      <c r="L143" s="115"/>
    </row>
    <row r="144" ht="15.6" spans="12:12">
      <c r="L144" s="115"/>
    </row>
  </sheetData>
  <hyperlinks>
    <hyperlink ref="K110" location="新增字段查找!A1" display="LINE"/>
  </hyperlinks>
  <pageMargins left="0.75" right="0.75" top="1" bottom="1" header="0.5" footer="0.5"/>
  <pageSetup paperSize="1" orientation="portrait" horizontalDpi="300" verticalDpi="300"/>
  <headerFooter alignWithMargins="0" scaleWithDoc="0"/>
</worksheet>
</file>

<file path=xl/worksheets/sheet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11"/>
  <sheetViews>
    <sheetView zoomScaleSheetLayoutView="60" topLeftCell="A92" workbookViewId="0">
      <selection activeCell="J98" sqref="J98:J111"/>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1" t="str">
        <f>HYPERLINK("#表结构清单!A1","返回")</f>
        <v>返回</v>
      </c>
      <c r="B1" t="s">
        <v>277</v>
      </c>
    </row>
    <row r="2" spans="2:10">
      <c r="B2" s="13" t="s">
        <v>15982</v>
      </c>
      <c r="C2" s="13" t="s">
        <v>297</v>
      </c>
      <c r="D2" s="13" t="s">
        <v>11870</v>
      </c>
      <c r="E2" s="13" t="s">
        <v>15983</v>
      </c>
      <c r="F2" s="13" t="s">
        <v>15984</v>
      </c>
      <c r="G2" s="13" t="s">
        <v>300</v>
      </c>
      <c r="H2" s="13" t="s">
        <v>301</v>
      </c>
      <c r="I2" s="13" t="s">
        <v>15985</v>
      </c>
      <c r="J2" s="13" t="s">
        <v>15986</v>
      </c>
    </row>
    <row r="3" spans="2:10">
      <c r="B3" s="15" t="s">
        <v>17404</v>
      </c>
      <c r="C3" s="15" t="s">
        <v>16103</v>
      </c>
      <c r="D3" s="15" t="s">
        <v>316</v>
      </c>
      <c r="E3" s="15" t="s">
        <v>15989</v>
      </c>
      <c r="F3" s="15" t="s">
        <v>16986</v>
      </c>
      <c r="G3" s="15"/>
      <c r="H3" s="15"/>
      <c r="I3" s="15" t="s">
        <v>528</v>
      </c>
      <c r="J3" s="15" t="s">
        <v>15991</v>
      </c>
    </row>
    <row r="4" spans="2:10">
      <c r="B4" s="15" t="s">
        <v>17404</v>
      </c>
      <c r="C4" s="15" t="s">
        <v>17405</v>
      </c>
      <c r="D4" s="15" t="s">
        <v>316</v>
      </c>
      <c r="E4" s="15" t="s">
        <v>305</v>
      </c>
      <c r="F4" s="20" t="s">
        <v>17406</v>
      </c>
      <c r="G4" s="15"/>
      <c r="H4" s="15"/>
      <c r="I4" s="15" t="s">
        <v>528</v>
      </c>
      <c r="J4" s="15" t="s">
        <v>15991</v>
      </c>
    </row>
    <row r="5" spans="2:10">
      <c r="B5" s="15" t="s">
        <v>17404</v>
      </c>
      <c r="C5" s="15" t="s">
        <v>17407</v>
      </c>
      <c r="D5" s="15" t="s">
        <v>316</v>
      </c>
      <c r="E5" s="15" t="s">
        <v>305</v>
      </c>
      <c r="F5" s="20" t="s">
        <v>17408</v>
      </c>
      <c r="G5" s="15"/>
      <c r="H5" s="15"/>
      <c r="I5" s="15" t="s">
        <v>528</v>
      </c>
      <c r="J5" s="15" t="s">
        <v>15991</v>
      </c>
    </row>
    <row r="6" spans="2:10">
      <c r="B6" s="15" t="s">
        <v>17404</v>
      </c>
      <c r="C6" s="15" t="s">
        <v>17409</v>
      </c>
      <c r="D6" s="15" t="s">
        <v>316</v>
      </c>
      <c r="E6" s="15" t="s">
        <v>305</v>
      </c>
      <c r="F6" s="20" t="s">
        <v>17410</v>
      </c>
      <c r="G6" s="15"/>
      <c r="H6" s="15"/>
      <c r="I6" s="15" t="s">
        <v>528</v>
      </c>
      <c r="J6" s="15" t="s">
        <v>15991</v>
      </c>
    </row>
    <row r="7" spans="2:10">
      <c r="B7" s="15" t="s">
        <v>17404</v>
      </c>
      <c r="C7" s="15" t="s">
        <v>441</v>
      </c>
      <c r="D7" s="15" t="s">
        <v>506</v>
      </c>
      <c r="E7" s="15" t="s">
        <v>305</v>
      </c>
      <c r="F7" s="20" t="s">
        <v>17411</v>
      </c>
      <c r="G7" s="15"/>
      <c r="H7" s="15"/>
      <c r="I7" s="15" t="s">
        <v>528</v>
      </c>
      <c r="J7" s="15" t="s">
        <v>15991</v>
      </c>
    </row>
    <row r="8" spans="2:10">
      <c r="B8" s="15" t="s">
        <v>17404</v>
      </c>
      <c r="C8" s="15" t="s">
        <v>17412</v>
      </c>
      <c r="D8" s="15" t="s">
        <v>506</v>
      </c>
      <c r="E8" s="15" t="s">
        <v>305</v>
      </c>
      <c r="F8" s="15" t="s">
        <v>17413</v>
      </c>
      <c r="G8" s="15"/>
      <c r="H8" s="15"/>
      <c r="I8" s="15" t="s">
        <v>528</v>
      </c>
      <c r="J8" s="15" t="s">
        <v>15991</v>
      </c>
    </row>
    <row r="9" spans="2:10">
      <c r="B9" s="15" t="s">
        <v>17404</v>
      </c>
      <c r="C9" s="15" t="s">
        <v>17414</v>
      </c>
      <c r="D9" s="15" t="s">
        <v>316</v>
      </c>
      <c r="E9" s="15" t="s">
        <v>305</v>
      </c>
      <c r="F9" s="15" t="s">
        <v>17415</v>
      </c>
      <c r="G9" s="15"/>
      <c r="H9" s="15"/>
      <c r="I9" s="15" t="s">
        <v>528</v>
      </c>
      <c r="J9" s="15" t="s">
        <v>15991</v>
      </c>
    </row>
    <row r="10" spans="2:10">
      <c r="B10" s="15" t="s">
        <v>17404</v>
      </c>
      <c r="C10" s="15" t="s">
        <v>17416</v>
      </c>
      <c r="D10" s="15" t="s">
        <v>506</v>
      </c>
      <c r="E10" s="15" t="s">
        <v>305</v>
      </c>
      <c r="F10" s="15" t="s">
        <v>17417</v>
      </c>
      <c r="G10" s="15"/>
      <c r="H10" s="15"/>
      <c r="I10" s="15" t="s">
        <v>528</v>
      </c>
      <c r="J10" s="15" t="s">
        <v>15991</v>
      </c>
    </row>
    <row r="11" spans="2:10">
      <c r="B11" s="15" t="s">
        <v>17404</v>
      </c>
      <c r="C11" s="15" t="s">
        <v>17418</v>
      </c>
      <c r="D11" s="15" t="s">
        <v>506</v>
      </c>
      <c r="E11" s="15" t="s">
        <v>305</v>
      </c>
      <c r="F11" s="15" t="s">
        <v>17419</v>
      </c>
      <c r="G11" s="15"/>
      <c r="H11" s="15"/>
      <c r="I11" s="15" t="s">
        <v>528</v>
      </c>
      <c r="J11" s="15" t="s">
        <v>15991</v>
      </c>
    </row>
    <row r="12" spans="2:10">
      <c r="B12" s="15" t="s">
        <v>17404</v>
      </c>
      <c r="C12" s="15" t="s">
        <v>17420</v>
      </c>
      <c r="D12" s="15" t="s">
        <v>506</v>
      </c>
      <c r="E12" s="15" t="s">
        <v>305</v>
      </c>
      <c r="F12" s="15" t="s">
        <v>17421</v>
      </c>
      <c r="G12" s="15"/>
      <c r="H12" s="15"/>
      <c r="I12" s="15" t="s">
        <v>528</v>
      </c>
      <c r="J12" s="15" t="s">
        <v>15991</v>
      </c>
    </row>
    <row r="13" spans="2:10">
      <c r="B13" s="15" t="s">
        <v>17404</v>
      </c>
      <c r="C13" s="15" t="s">
        <v>17422</v>
      </c>
      <c r="D13" s="15" t="s">
        <v>506</v>
      </c>
      <c r="E13" s="15" t="s">
        <v>305</v>
      </c>
      <c r="F13" s="15" t="s">
        <v>17423</v>
      </c>
      <c r="G13" s="15"/>
      <c r="H13" s="15"/>
      <c r="I13" s="15" t="s">
        <v>528</v>
      </c>
      <c r="J13" s="15" t="s">
        <v>15991</v>
      </c>
    </row>
    <row r="14" spans="2:10">
      <c r="B14" s="15" t="s">
        <v>17404</v>
      </c>
      <c r="C14" s="15" t="s">
        <v>17424</v>
      </c>
      <c r="D14" s="15" t="s">
        <v>327</v>
      </c>
      <c r="E14" s="15" t="s">
        <v>305</v>
      </c>
      <c r="F14" s="15" t="s">
        <v>17425</v>
      </c>
      <c r="G14" s="15"/>
      <c r="H14" s="15"/>
      <c r="I14" s="15" t="s">
        <v>528</v>
      </c>
      <c r="J14" s="15" t="s">
        <v>15991</v>
      </c>
    </row>
    <row r="15" spans="2:10">
      <c r="B15" s="15" t="s">
        <v>17404</v>
      </c>
      <c r="C15" s="15" t="s">
        <v>17426</v>
      </c>
      <c r="D15" s="15" t="s">
        <v>327</v>
      </c>
      <c r="E15" s="15" t="s">
        <v>305</v>
      </c>
      <c r="F15" s="15" t="s">
        <v>17427</v>
      </c>
      <c r="G15" s="15"/>
      <c r="H15" s="15"/>
      <c r="I15" s="15" t="s">
        <v>528</v>
      </c>
      <c r="J15" s="15" t="s">
        <v>15991</v>
      </c>
    </row>
    <row r="16" spans="2:10">
      <c r="B16" s="15" t="s">
        <v>17404</v>
      </c>
      <c r="C16" s="15" t="s">
        <v>17428</v>
      </c>
      <c r="D16" s="15" t="s">
        <v>327</v>
      </c>
      <c r="E16" s="15" t="s">
        <v>305</v>
      </c>
      <c r="F16" s="15" t="s">
        <v>17429</v>
      </c>
      <c r="G16" s="15"/>
      <c r="H16" s="15"/>
      <c r="I16" s="15" t="s">
        <v>528</v>
      </c>
      <c r="J16" s="15" t="s">
        <v>15991</v>
      </c>
    </row>
    <row r="17" spans="2:10">
      <c r="B17" s="15" t="s">
        <v>17404</v>
      </c>
      <c r="C17" s="15" t="s">
        <v>17430</v>
      </c>
      <c r="D17" s="15" t="s">
        <v>327</v>
      </c>
      <c r="E17" s="15" t="s">
        <v>305</v>
      </c>
      <c r="F17" s="15" t="s">
        <v>17431</v>
      </c>
      <c r="G17" s="15"/>
      <c r="H17" s="15"/>
      <c r="I17" s="15" t="s">
        <v>528</v>
      </c>
      <c r="J17" s="15" t="s">
        <v>15991</v>
      </c>
    </row>
    <row r="18" spans="2:10">
      <c r="B18" s="15" t="s">
        <v>17404</v>
      </c>
      <c r="C18" s="15" t="s">
        <v>17432</v>
      </c>
      <c r="D18" s="15" t="s">
        <v>16557</v>
      </c>
      <c r="E18" s="15" t="s">
        <v>305</v>
      </c>
      <c r="F18" s="15" t="s">
        <v>17433</v>
      </c>
      <c r="G18" s="15"/>
      <c r="H18" s="15"/>
      <c r="I18" s="15" t="s">
        <v>528</v>
      </c>
      <c r="J18" s="15" t="s">
        <v>15991</v>
      </c>
    </row>
    <row r="19" spans="2:10">
      <c r="B19" s="15" t="s">
        <v>17404</v>
      </c>
      <c r="C19" s="15" t="s">
        <v>17434</v>
      </c>
      <c r="D19" s="15" t="s">
        <v>16557</v>
      </c>
      <c r="E19" s="15" t="s">
        <v>305</v>
      </c>
      <c r="F19" s="15" t="s">
        <v>17435</v>
      </c>
      <c r="G19" s="15"/>
      <c r="H19" s="15"/>
      <c r="I19" s="15" t="s">
        <v>528</v>
      </c>
      <c r="J19" s="15" t="s">
        <v>15991</v>
      </c>
    </row>
    <row r="20" spans="2:10">
      <c r="B20" s="15" t="s">
        <v>17404</v>
      </c>
      <c r="C20" s="15" t="s">
        <v>17436</v>
      </c>
      <c r="D20" s="15" t="s">
        <v>327</v>
      </c>
      <c r="E20" s="15" t="s">
        <v>305</v>
      </c>
      <c r="F20" s="15" t="s">
        <v>17437</v>
      </c>
      <c r="G20" s="15"/>
      <c r="H20" s="15"/>
      <c r="I20" s="15" t="s">
        <v>528</v>
      </c>
      <c r="J20" s="15" t="s">
        <v>15991</v>
      </c>
    </row>
    <row r="21" spans="2:10">
      <c r="B21" s="15" t="s">
        <v>17404</v>
      </c>
      <c r="C21" s="15" t="s">
        <v>17438</v>
      </c>
      <c r="D21" s="15" t="s">
        <v>321</v>
      </c>
      <c r="E21" s="15" t="s">
        <v>305</v>
      </c>
      <c r="F21" s="15" t="s">
        <v>4303</v>
      </c>
      <c r="G21" s="52" t="str">
        <f>HYPERLINK("#码值映射清单!B2740","CargoType")</f>
        <v>CargoType</v>
      </c>
      <c r="H21" s="15"/>
      <c r="I21" s="15" t="s">
        <v>528</v>
      </c>
      <c r="J21" s="15" t="s">
        <v>15991</v>
      </c>
    </row>
    <row r="22" spans="2:10">
      <c r="B22" s="15" t="s">
        <v>17404</v>
      </c>
      <c r="C22" s="15" t="s">
        <v>17439</v>
      </c>
      <c r="D22" s="15" t="s">
        <v>506</v>
      </c>
      <c r="E22" s="15" t="s">
        <v>305</v>
      </c>
      <c r="F22" s="15" t="s">
        <v>17440</v>
      </c>
      <c r="G22" s="15"/>
      <c r="H22" s="15"/>
      <c r="I22" s="15" t="s">
        <v>528</v>
      </c>
      <c r="J22" s="15" t="s">
        <v>15991</v>
      </c>
    </row>
    <row r="23" spans="2:10">
      <c r="B23" s="15" t="s">
        <v>17404</v>
      </c>
      <c r="C23" s="15" t="s">
        <v>17441</v>
      </c>
      <c r="D23" s="15" t="s">
        <v>16557</v>
      </c>
      <c r="E23" s="15" t="s">
        <v>305</v>
      </c>
      <c r="F23" s="20" t="s">
        <v>17442</v>
      </c>
      <c r="G23" s="15"/>
      <c r="H23" s="15"/>
      <c r="I23" s="15" t="s">
        <v>528</v>
      </c>
      <c r="J23" s="15" t="s">
        <v>15991</v>
      </c>
    </row>
    <row r="24" spans="2:10">
      <c r="B24" s="15" t="s">
        <v>17404</v>
      </c>
      <c r="C24" s="15" t="s">
        <v>17443</v>
      </c>
      <c r="D24" s="15" t="s">
        <v>513</v>
      </c>
      <c r="E24" s="15" t="s">
        <v>305</v>
      </c>
      <c r="F24" s="15" t="s">
        <v>17444</v>
      </c>
      <c r="G24" s="15"/>
      <c r="H24" s="15"/>
      <c r="I24" s="15" t="s">
        <v>528</v>
      </c>
      <c r="J24" s="15" t="s">
        <v>15991</v>
      </c>
    </row>
    <row r="25" spans="2:10">
      <c r="B25" s="15" t="s">
        <v>17404</v>
      </c>
      <c r="C25" s="15" t="s">
        <v>17234</v>
      </c>
      <c r="D25" s="15" t="s">
        <v>327</v>
      </c>
      <c r="E25" s="15" t="s">
        <v>305</v>
      </c>
      <c r="F25" s="15" t="s">
        <v>17445</v>
      </c>
      <c r="G25" s="15"/>
      <c r="H25" s="15"/>
      <c r="I25" s="15" t="s">
        <v>528</v>
      </c>
      <c r="J25" s="15" t="s">
        <v>15991</v>
      </c>
    </row>
    <row r="26" spans="2:10">
      <c r="B26" s="15" t="s">
        <v>17404</v>
      </c>
      <c r="C26" s="15" t="s">
        <v>17230</v>
      </c>
      <c r="D26" s="15" t="s">
        <v>506</v>
      </c>
      <c r="E26" s="15" t="s">
        <v>305</v>
      </c>
      <c r="F26" s="15" t="s">
        <v>17446</v>
      </c>
      <c r="G26" s="15"/>
      <c r="H26" s="15"/>
      <c r="I26" s="15" t="s">
        <v>528</v>
      </c>
      <c r="J26" s="15" t="s">
        <v>15991</v>
      </c>
    </row>
    <row r="27" spans="2:10">
      <c r="B27" s="15" t="s">
        <v>17404</v>
      </c>
      <c r="C27" s="15" t="s">
        <v>17447</v>
      </c>
      <c r="D27" s="15" t="s">
        <v>350</v>
      </c>
      <c r="E27" s="15" t="s">
        <v>305</v>
      </c>
      <c r="F27" s="15" t="s">
        <v>17448</v>
      </c>
      <c r="G27" s="15"/>
      <c r="H27" s="15"/>
      <c r="I27" s="15" t="s">
        <v>528</v>
      </c>
      <c r="J27" s="15" t="s">
        <v>15991</v>
      </c>
    </row>
    <row r="28" spans="2:10">
      <c r="B28" s="15" t="s">
        <v>17404</v>
      </c>
      <c r="C28" s="15" t="s">
        <v>17449</v>
      </c>
      <c r="D28" s="15" t="s">
        <v>506</v>
      </c>
      <c r="E28" s="15" t="s">
        <v>305</v>
      </c>
      <c r="F28" s="15" t="s">
        <v>17450</v>
      </c>
      <c r="G28" s="15"/>
      <c r="H28" s="15"/>
      <c r="I28" s="15" t="s">
        <v>528</v>
      </c>
      <c r="J28" s="15" t="s">
        <v>15991</v>
      </c>
    </row>
    <row r="29" spans="2:10">
      <c r="B29" s="15" t="s">
        <v>17404</v>
      </c>
      <c r="C29" s="15" t="s">
        <v>17451</v>
      </c>
      <c r="D29" s="15" t="s">
        <v>371</v>
      </c>
      <c r="E29" s="15" t="s">
        <v>305</v>
      </c>
      <c r="F29" s="15" t="s">
        <v>17452</v>
      </c>
      <c r="G29" s="15"/>
      <c r="H29" s="15"/>
      <c r="I29" s="15" t="s">
        <v>528</v>
      </c>
      <c r="J29" s="15" t="s">
        <v>15991</v>
      </c>
    </row>
    <row r="30" spans="2:10">
      <c r="B30" s="15" t="s">
        <v>17404</v>
      </c>
      <c r="C30" s="15" t="s">
        <v>17453</v>
      </c>
      <c r="D30" s="15" t="s">
        <v>371</v>
      </c>
      <c r="E30" s="15" t="s">
        <v>305</v>
      </c>
      <c r="F30" s="20" t="s">
        <v>17454</v>
      </c>
      <c r="G30" s="15"/>
      <c r="H30" s="15"/>
      <c r="I30" s="15" t="s">
        <v>528</v>
      </c>
      <c r="J30" s="15" t="s">
        <v>15991</v>
      </c>
    </row>
    <row r="31" spans="2:10">
      <c r="B31" s="15" t="s">
        <v>17404</v>
      </c>
      <c r="C31" s="15" t="s">
        <v>17455</v>
      </c>
      <c r="D31" s="15" t="s">
        <v>327</v>
      </c>
      <c r="E31" s="15" t="s">
        <v>305</v>
      </c>
      <c r="F31" s="15" t="s">
        <v>17456</v>
      </c>
      <c r="G31" s="15"/>
      <c r="H31" s="15"/>
      <c r="I31" s="15" t="s">
        <v>528</v>
      </c>
      <c r="J31" s="15" t="s">
        <v>15991</v>
      </c>
    </row>
    <row r="32" spans="2:10">
      <c r="B32" s="15" t="s">
        <v>17404</v>
      </c>
      <c r="C32" s="15" t="s">
        <v>17457</v>
      </c>
      <c r="D32" s="15" t="s">
        <v>350</v>
      </c>
      <c r="E32" s="15" t="s">
        <v>305</v>
      </c>
      <c r="F32" s="15" t="s">
        <v>17301</v>
      </c>
      <c r="G32" s="15"/>
      <c r="H32" s="15"/>
      <c r="I32" s="15" t="s">
        <v>528</v>
      </c>
      <c r="J32" s="15" t="s">
        <v>15991</v>
      </c>
    </row>
    <row r="33" spans="2:10">
      <c r="B33" s="15" t="s">
        <v>17404</v>
      </c>
      <c r="C33" s="15" t="s">
        <v>17458</v>
      </c>
      <c r="D33" s="15" t="s">
        <v>506</v>
      </c>
      <c r="E33" s="15" t="s">
        <v>305</v>
      </c>
      <c r="F33" s="15" t="s">
        <v>17459</v>
      </c>
      <c r="G33" s="15"/>
      <c r="H33" s="15"/>
      <c r="I33" s="15" t="s">
        <v>528</v>
      </c>
      <c r="J33" s="15" t="s">
        <v>15991</v>
      </c>
    </row>
    <row r="34" spans="2:10">
      <c r="B34" s="15" t="s">
        <v>17404</v>
      </c>
      <c r="C34" s="15" t="s">
        <v>17460</v>
      </c>
      <c r="D34" s="15" t="s">
        <v>350</v>
      </c>
      <c r="E34" s="15" t="s">
        <v>305</v>
      </c>
      <c r="F34" s="15" t="s">
        <v>17461</v>
      </c>
      <c r="G34" s="15"/>
      <c r="H34" s="15"/>
      <c r="I34" s="15" t="s">
        <v>528</v>
      </c>
      <c r="J34" s="15" t="s">
        <v>15991</v>
      </c>
    </row>
    <row r="35" spans="2:10">
      <c r="B35" s="15" t="s">
        <v>17404</v>
      </c>
      <c r="C35" s="15" t="s">
        <v>17462</v>
      </c>
      <c r="D35" s="15" t="s">
        <v>327</v>
      </c>
      <c r="E35" s="15" t="s">
        <v>305</v>
      </c>
      <c r="F35" s="15" t="s">
        <v>17463</v>
      </c>
      <c r="G35" s="15"/>
      <c r="H35" s="15"/>
      <c r="I35" s="15" t="s">
        <v>528</v>
      </c>
      <c r="J35" s="15" t="s">
        <v>15991</v>
      </c>
    </row>
    <row r="36" spans="2:10">
      <c r="B36" s="15" t="s">
        <v>17404</v>
      </c>
      <c r="C36" s="15" t="s">
        <v>17464</v>
      </c>
      <c r="D36" s="15" t="s">
        <v>371</v>
      </c>
      <c r="E36" s="15" t="s">
        <v>305</v>
      </c>
      <c r="F36" s="15" t="s">
        <v>17465</v>
      </c>
      <c r="G36" s="15"/>
      <c r="H36" s="15"/>
      <c r="I36" s="15" t="s">
        <v>528</v>
      </c>
      <c r="J36" s="15" t="s">
        <v>15991</v>
      </c>
    </row>
    <row r="37" spans="2:10">
      <c r="B37" s="15" t="s">
        <v>17404</v>
      </c>
      <c r="C37" s="15" t="s">
        <v>17466</v>
      </c>
      <c r="D37" s="15" t="s">
        <v>350</v>
      </c>
      <c r="E37" s="15" t="s">
        <v>305</v>
      </c>
      <c r="F37" s="15" t="s">
        <v>17467</v>
      </c>
      <c r="G37" s="15"/>
      <c r="H37" s="15"/>
      <c r="I37" s="15" t="s">
        <v>528</v>
      </c>
      <c r="J37" s="15" t="s">
        <v>15991</v>
      </c>
    </row>
    <row r="38" spans="2:10">
      <c r="B38" s="15" t="s">
        <v>17404</v>
      </c>
      <c r="C38" s="15" t="s">
        <v>17468</v>
      </c>
      <c r="D38" s="15" t="s">
        <v>327</v>
      </c>
      <c r="E38" s="15" t="s">
        <v>305</v>
      </c>
      <c r="F38" s="15" t="s">
        <v>17469</v>
      </c>
      <c r="G38" s="15"/>
      <c r="H38" s="15"/>
      <c r="I38" s="15" t="s">
        <v>528</v>
      </c>
      <c r="J38" s="15" t="s">
        <v>15991</v>
      </c>
    </row>
    <row r="39" spans="2:10">
      <c r="B39" s="15" t="s">
        <v>17404</v>
      </c>
      <c r="C39" s="15" t="s">
        <v>17470</v>
      </c>
      <c r="D39" s="15" t="s">
        <v>513</v>
      </c>
      <c r="E39" s="15" t="s">
        <v>305</v>
      </c>
      <c r="F39" s="15" t="s">
        <v>17471</v>
      </c>
      <c r="G39" s="15"/>
      <c r="H39" s="15"/>
      <c r="I39" s="15" t="s">
        <v>528</v>
      </c>
      <c r="J39" s="15" t="s">
        <v>15991</v>
      </c>
    </row>
    <row r="40" spans="2:10">
      <c r="B40" s="15" t="s">
        <v>17404</v>
      </c>
      <c r="C40" s="15" t="s">
        <v>17472</v>
      </c>
      <c r="D40" s="15" t="s">
        <v>316</v>
      </c>
      <c r="E40" s="15" t="s">
        <v>305</v>
      </c>
      <c r="F40" s="15" t="s">
        <v>17473</v>
      </c>
      <c r="G40" s="15"/>
      <c r="H40" s="15"/>
      <c r="I40" s="15" t="s">
        <v>528</v>
      </c>
      <c r="J40" s="15" t="s">
        <v>15991</v>
      </c>
    </row>
    <row r="41" spans="2:10">
      <c r="B41" s="15" t="s">
        <v>17404</v>
      </c>
      <c r="C41" s="15" t="s">
        <v>17474</v>
      </c>
      <c r="D41" s="15" t="s">
        <v>316</v>
      </c>
      <c r="E41" s="15" t="s">
        <v>305</v>
      </c>
      <c r="F41" s="15" t="s">
        <v>17475</v>
      </c>
      <c r="G41" s="15"/>
      <c r="H41" s="15"/>
      <c r="I41" s="15" t="s">
        <v>528</v>
      </c>
      <c r="J41" s="15" t="s">
        <v>15991</v>
      </c>
    </row>
    <row r="42" spans="2:10">
      <c r="B42" s="15" t="s">
        <v>17404</v>
      </c>
      <c r="C42" s="15" t="s">
        <v>17476</v>
      </c>
      <c r="D42" s="15" t="s">
        <v>506</v>
      </c>
      <c r="E42" s="15" t="s">
        <v>305</v>
      </c>
      <c r="F42" s="15" t="s">
        <v>17477</v>
      </c>
      <c r="G42" s="15"/>
      <c r="H42" s="15"/>
      <c r="I42" s="15" t="s">
        <v>528</v>
      </c>
      <c r="J42" s="15" t="s">
        <v>15991</v>
      </c>
    </row>
    <row r="43" spans="2:10">
      <c r="B43" s="15" t="s">
        <v>17404</v>
      </c>
      <c r="C43" s="15" t="s">
        <v>17478</v>
      </c>
      <c r="D43" s="15" t="s">
        <v>506</v>
      </c>
      <c r="E43" s="15" t="s">
        <v>305</v>
      </c>
      <c r="F43" s="15" t="s">
        <v>17479</v>
      </c>
      <c r="G43" s="15"/>
      <c r="H43" s="15"/>
      <c r="I43" s="15" t="s">
        <v>528</v>
      </c>
      <c r="J43" s="15" t="s">
        <v>15991</v>
      </c>
    </row>
    <row r="44" spans="2:10">
      <c r="B44" s="15" t="s">
        <v>17404</v>
      </c>
      <c r="C44" s="15" t="s">
        <v>17480</v>
      </c>
      <c r="D44" s="15" t="s">
        <v>371</v>
      </c>
      <c r="E44" s="15" t="s">
        <v>305</v>
      </c>
      <c r="F44" s="15" t="s">
        <v>17481</v>
      </c>
      <c r="G44" s="15"/>
      <c r="H44" s="15"/>
      <c r="I44" s="15" t="s">
        <v>528</v>
      </c>
      <c r="J44" s="15" t="s">
        <v>15991</v>
      </c>
    </row>
    <row r="45" spans="2:10">
      <c r="B45" s="15" t="s">
        <v>17404</v>
      </c>
      <c r="C45" s="15" t="s">
        <v>17482</v>
      </c>
      <c r="D45" s="15" t="s">
        <v>371</v>
      </c>
      <c r="E45" s="15" t="s">
        <v>305</v>
      </c>
      <c r="F45" s="15" t="s">
        <v>17483</v>
      </c>
      <c r="G45" s="15"/>
      <c r="H45" s="15"/>
      <c r="I45" s="15" t="s">
        <v>528</v>
      </c>
      <c r="J45" s="15" t="s">
        <v>15991</v>
      </c>
    </row>
    <row r="46" spans="2:10">
      <c r="B46" s="15" t="s">
        <v>17404</v>
      </c>
      <c r="C46" s="15" t="s">
        <v>17484</v>
      </c>
      <c r="D46" s="15" t="s">
        <v>321</v>
      </c>
      <c r="E46" s="15" t="s">
        <v>305</v>
      </c>
      <c r="F46" s="15" t="s">
        <v>12140</v>
      </c>
      <c r="G46" s="52" t="str">
        <f>HYPERLINK("#码值映射清单!B9899","CommodityFuture")</f>
        <v>CommodityFuture</v>
      </c>
      <c r="H46" s="15"/>
      <c r="I46" s="15" t="s">
        <v>528</v>
      </c>
      <c r="J46" s="15" t="s">
        <v>15991</v>
      </c>
    </row>
    <row r="47" spans="2:10">
      <c r="B47" s="15" t="s">
        <v>17404</v>
      </c>
      <c r="C47" s="15" t="s">
        <v>17485</v>
      </c>
      <c r="D47" s="15" t="s">
        <v>327</v>
      </c>
      <c r="E47" s="15" t="s">
        <v>305</v>
      </c>
      <c r="F47" s="15" t="s">
        <v>17486</v>
      </c>
      <c r="G47" s="15"/>
      <c r="H47" s="15"/>
      <c r="I47" s="15" t="s">
        <v>528</v>
      </c>
      <c r="J47" s="15" t="s">
        <v>15991</v>
      </c>
    </row>
    <row r="48" spans="2:10">
      <c r="B48" s="15" t="s">
        <v>17404</v>
      </c>
      <c r="C48" s="15" t="s">
        <v>17487</v>
      </c>
      <c r="D48" s="15" t="s">
        <v>16056</v>
      </c>
      <c r="E48" s="15" t="s">
        <v>305</v>
      </c>
      <c r="F48" s="15" t="s">
        <v>17488</v>
      </c>
      <c r="G48" s="15"/>
      <c r="H48" s="15"/>
      <c r="I48" s="15" t="s">
        <v>528</v>
      </c>
      <c r="J48" s="15" t="s">
        <v>15991</v>
      </c>
    </row>
    <row r="49" spans="2:10">
      <c r="B49" s="15" t="s">
        <v>17404</v>
      </c>
      <c r="C49" s="15" t="s">
        <v>17489</v>
      </c>
      <c r="D49" s="15" t="s">
        <v>327</v>
      </c>
      <c r="E49" s="15" t="s">
        <v>305</v>
      </c>
      <c r="F49" s="15" t="s">
        <v>17490</v>
      </c>
      <c r="G49" s="15"/>
      <c r="H49" s="15"/>
      <c r="I49" s="15" t="s">
        <v>528</v>
      </c>
      <c r="J49" s="15" t="s">
        <v>15991</v>
      </c>
    </row>
    <row r="50" spans="2:10">
      <c r="B50" s="15" t="s">
        <v>17404</v>
      </c>
      <c r="C50" s="15" t="s">
        <v>17491</v>
      </c>
      <c r="D50" s="15" t="s">
        <v>513</v>
      </c>
      <c r="E50" s="15" t="s">
        <v>305</v>
      </c>
      <c r="F50" s="15" t="s">
        <v>2955</v>
      </c>
      <c r="G50" s="52" t="str">
        <f>HYPERLINK("#码值映射清单!B1667","CarriagePaymentType")</f>
        <v>CarriagePaymentType</v>
      </c>
      <c r="H50" s="15"/>
      <c r="I50" s="15" t="s">
        <v>528</v>
      </c>
      <c r="J50" s="15" t="s">
        <v>15991</v>
      </c>
    </row>
    <row r="51" spans="2:10">
      <c r="B51" s="15" t="s">
        <v>17404</v>
      </c>
      <c r="C51" s="15" t="s">
        <v>17492</v>
      </c>
      <c r="D51" s="15" t="s">
        <v>350</v>
      </c>
      <c r="E51" s="15" t="s">
        <v>305</v>
      </c>
      <c r="F51" s="15" t="s">
        <v>17493</v>
      </c>
      <c r="G51" s="15"/>
      <c r="H51" s="15"/>
      <c r="I51" s="15" t="s">
        <v>528</v>
      </c>
      <c r="J51" s="15" t="s">
        <v>15991</v>
      </c>
    </row>
    <row r="52" spans="2:10">
      <c r="B52" s="15" t="s">
        <v>17404</v>
      </c>
      <c r="C52" s="15" t="s">
        <v>17494</v>
      </c>
      <c r="D52" s="15" t="s">
        <v>316</v>
      </c>
      <c r="E52" s="15" t="s">
        <v>305</v>
      </c>
      <c r="F52" s="15" t="s">
        <v>17495</v>
      </c>
      <c r="G52" s="15"/>
      <c r="H52" s="15"/>
      <c r="I52" s="15" t="s">
        <v>528</v>
      </c>
      <c r="J52" s="15" t="s">
        <v>15991</v>
      </c>
    </row>
    <row r="53" spans="2:10">
      <c r="B53" s="15" t="s">
        <v>17404</v>
      </c>
      <c r="C53" s="15" t="s">
        <v>17496</v>
      </c>
      <c r="D53" s="15" t="s">
        <v>316</v>
      </c>
      <c r="E53" s="15" t="s">
        <v>305</v>
      </c>
      <c r="F53" s="20" t="s">
        <v>17497</v>
      </c>
      <c r="G53" s="15"/>
      <c r="H53" s="15"/>
      <c r="I53" s="15" t="s">
        <v>528</v>
      </c>
      <c r="J53" s="15" t="s">
        <v>15991</v>
      </c>
    </row>
    <row r="54" spans="2:10">
      <c r="B54" s="15" t="s">
        <v>17404</v>
      </c>
      <c r="C54" s="15" t="s">
        <v>17498</v>
      </c>
      <c r="D54" s="15" t="s">
        <v>321</v>
      </c>
      <c r="E54" s="15" t="s">
        <v>305</v>
      </c>
      <c r="F54" s="15" t="s">
        <v>17499</v>
      </c>
      <c r="G54" s="15"/>
      <c r="H54" s="15"/>
      <c r="I54" s="15" t="s">
        <v>528</v>
      </c>
      <c r="J54" s="15" t="s">
        <v>15991</v>
      </c>
    </row>
    <row r="55" spans="2:10">
      <c r="B55" s="15" t="s">
        <v>17404</v>
      </c>
      <c r="C55" s="15" t="s">
        <v>17500</v>
      </c>
      <c r="D55" s="15" t="s">
        <v>363</v>
      </c>
      <c r="E55" s="15" t="s">
        <v>305</v>
      </c>
      <c r="F55" s="15" t="s">
        <v>17501</v>
      </c>
      <c r="G55" s="15"/>
      <c r="H55" s="15"/>
      <c r="I55" s="15" t="s">
        <v>528</v>
      </c>
      <c r="J55" s="15" t="s">
        <v>15991</v>
      </c>
    </row>
    <row r="56" spans="2:10">
      <c r="B56" s="15" t="s">
        <v>17404</v>
      </c>
      <c r="C56" s="15" t="s">
        <v>17502</v>
      </c>
      <c r="D56" s="15" t="s">
        <v>371</v>
      </c>
      <c r="E56" s="15" t="s">
        <v>305</v>
      </c>
      <c r="F56" s="20" t="s">
        <v>17503</v>
      </c>
      <c r="G56" s="15"/>
      <c r="H56" s="15"/>
      <c r="I56" s="15" t="s">
        <v>528</v>
      </c>
      <c r="J56" s="15" t="s">
        <v>15991</v>
      </c>
    </row>
    <row r="57" spans="2:10">
      <c r="B57" s="15" t="s">
        <v>17404</v>
      </c>
      <c r="C57" s="15" t="s">
        <v>17504</v>
      </c>
      <c r="D57" s="15" t="s">
        <v>327</v>
      </c>
      <c r="E57" s="15" t="s">
        <v>305</v>
      </c>
      <c r="F57" s="15" t="s">
        <v>17505</v>
      </c>
      <c r="G57" s="15"/>
      <c r="H57" s="15"/>
      <c r="I57" s="15" t="s">
        <v>528</v>
      </c>
      <c r="J57" s="15" t="s">
        <v>15991</v>
      </c>
    </row>
    <row r="58" spans="2:10">
      <c r="B58" s="15" t="s">
        <v>17404</v>
      </c>
      <c r="C58" s="15" t="s">
        <v>17506</v>
      </c>
      <c r="D58" s="15" t="s">
        <v>506</v>
      </c>
      <c r="E58" s="15" t="s">
        <v>305</v>
      </c>
      <c r="F58" s="15" t="s">
        <v>17507</v>
      </c>
      <c r="G58" s="15"/>
      <c r="H58" s="15"/>
      <c r="I58" s="15" t="s">
        <v>528</v>
      </c>
      <c r="J58" s="15" t="s">
        <v>15991</v>
      </c>
    </row>
    <row r="59" spans="2:10">
      <c r="B59" s="15" t="s">
        <v>17404</v>
      </c>
      <c r="C59" s="15" t="s">
        <v>17508</v>
      </c>
      <c r="D59" s="15" t="s">
        <v>350</v>
      </c>
      <c r="E59" s="15" t="s">
        <v>305</v>
      </c>
      <c r="F59" s="15" t="s">
        <v>17509</v>
      </c>
      <c r="G59" s="15"/>
      <c r="H59" s="15"/>
      <c r="I59" s="15" t="s">
        <v>528</v>
      </c>
      <c r="J59" s="15" t="s">
        <v>15991</v>
      </c>
    </row>
    <row r="60" spans="2:10">
      <c r="B60" s="15" t="s">
        <v>17404</v>
      </c>
      <c r="C60" s="15" t="s">
        <v>17510</v>
      </c>
      <c r="D60" s="15" t="s">
        <v>16557</v>
      </c>
      <c r="E60" s="15" t="s">
        <v>305</v>
      </c>
      <c r="F60" s="15" t="s">
        <v>17511</v>
      </c>
      <c r="G60" s="15"/>
      <c r="H60" s="15"/>
      <c r="I60" s="15" t="s">
        <v>528</v>
      </c>
      <c r="J60" s="15" t="s">
        <v>15991</v>
      </c>
    </row>
    <row r="61" spans="2:10">
      <c r="B61" s="15" t="s">
        <v>17404</v>
      </c>
      <c r="C61" s="15" t="s">
        <v>17512</v>
      </c>
      <c r="D61" s="15" t="s">
        <v>506</v>
      </c>
      <c r="E61" s="15" t="s">
        <v>305</v>
      </c>
      <c r="F61" s="15" t="s">
        <v>17513</v>
      </c>
      <c r="G61" s="15"/>
      <c r="H61" s="15"/>
      <c r="I61" s="15" t="s">
        <v>528</v>
      </c>
      <c r="J61" s="15" t="s">
        <v>15991</v>
      </c>
    </row>
    <row r="62" spans="2:10">
      <c r="B62" s="15" t="s">
        <v>17404</v>
      </c>
      <c r="C62" s="15" t="s">
        <v>17514</v>
      </c>
      <c r="D62" s="15" t="s">
        <v>16072</v>
      </c>
      <c r="E62" s="15" t="s">
        <v>305</v>
      </c>
      <c r="F62" s="15" t="s">
        <v>17515</v>
      </c>
      <c r="G62" s="52" t="str">
        <f t="shared" ref="G62:G88" si="0">HYPERLINK("#码值映射清单!B5150","YesNo")</f>
        <v>YesNo</v>
      </c>
      <c r="H62" s="15"/>
      <c r="I62" s="15" t="s">
        <v>528</v>
      </c>
      <c r="J62" s="15" t="s">
        <v>15991</v>
      </c>
    </row>
    <row r="63" spans="2:10">
      <c r="B63" s="15" t="s">
        <v>17404</v>
      </c>
      <c r="C63" s="15" t="s">
        <v>17516</v>
      </c>
      <c r="D63" s="15" t="s">
        <v>16072</v>
      </c>
      <c r="E63" s="15" t="s">
        <v>305</v>
      </c>
      <c r="F63" s="15" t="s">
        <v>17517</v>
      </c>
      <c r="G63" s="52" t="str">
        <f t="shared" si="0"/>
        <v>YesNo</v>
      </c>
      <c r="H63" s="15"/>
      <c r="I63" s="15" t="s">
        <v>528</v>
      </c>
      <c r="J63" s="15" t="s">
        <v>15991</v>
      </c>
    </row>
    <row r="64" spans="2:10">
      <c r="B64" s="15" t="s">
        <v>17404</v>
      </c>
      <c r="C64" s="15" t="s">
        <v>17518</v>
      </c>
      <c r="D64" s="15" t="s">
        <v>16072</v>
      </c>
      <c r="E64" s="15" t="s">
        <v>305</v>
      </c>
      <c r="F64" s="15" t="s">
        <v>17519</v>
      </c>
      <c r="G64" s="52" t="str">
        <f t="shared" si="0"/>
        <v>YesNo</v>
      </c>
      <c r="H64" s="15"/>
      <c r="I64" s="15" t="s">
        <v>528</v>
      </c>
      <c r="J64" s="15" t="s">
        <v>15991</v>
      </c>
    </row>
    <row r="65" spans="2:10">
      <c r="B65" s="15" t="s">
        <v>17404</v>
      </c>
      <c r="C65" s="15" t="s">
        <v>17520</v>
      </c>
      <c r="D65" s="15" t="s">
        <v>16072</v>
      </c>
      <c r="E65" s="15" t="s">
        <v>305</v>
      </c>
      <c r="F65" s="15" t="s">
        <v>17521</v>
      </c>
      <c r="G65" s="52" t="str">
        <f t="shared" si="0"/>
        <v>YesNo</v>
      </c>
      <c r="H65" s="15"/>
      <c r="I65" s="15" t="s">
        <v>528</v>
      </c>
      <c r="J65" s="15" t="s">
        <v>15991</v>
      </c>
    </row>
    <row r="66" spans="2:10">
      <c r="B66" s="15" t="s">
        <v>17404</v>
      </c>
      <c r="C66" s="15" t="s">
        <v>17522</v>
      </c>
      <c r="D66" s="15" t="s">
        <v>16072</v>
      </c>
      <c r="E66" s="15" t="s">
        <v>305</v>
      </c>
      <c r="F66" s="15" t="s">
        <v>17523</v>
      </c>
      <c r="G66" s="52" t="str">
        <f t="shared" si="0"/>
        <v>YesNo</v>
      </c>
      <c r="H66" s="15"/>
      <c r="I66" s="15" t="s">
        <v>528</v>
      </c>
      <c r="J66" s="15" t="s">
        <v>15991</v>
      </c>
    </row>
    <row r="67" spans="2:10">
      <c r="B67" s="15" t="s">
        <v>17404</v>
      </c>
      <c r="C67" s="15" t="s">
        <v>17524</v>
      </c>
      <c r="D67" s="15" t="s">
        <v>16072</v>
      </c>
      <c r="E67" s="15" t="s">
        <v>305</v>
      </c>
      <c r="F67" s="15" t="s">
        <v>17525</v>
      </c>
      <c r="G67" s="52" t="str">
        <f t="shared" si="0"/>
        <v>YesNo</v>
      </c>
      <c r="H67" s="15"/>
      <c r="I67" s="15" t="s">
        <v>528</v>
      </c>
      <c r="J67" s="15" t="s">
        <v>15991</v>
      </c>
    </row>
    <row r="68" spans="2:10">
      <c r="B68" s="15" t="s">
        <v>17404</v>
      </c>
      <c r="C68" s="15" t="s">
        <v>17526</v>
      </c>
      <c r="D68" s="15" t="s">
        <v>16072</v>
      </c>
      <c r="E68" s="15" t="s">
        <v>305</v>
      </c>
      <c r="F68" s="15" t="s">
        <v>17527</v>
      </c>
      <c r="G68" s="52" t="str">
        <f t="shared" si="0"/>
        <v>YesNo</v>
      </c>
      <c r="H68" s="15"/>
      <c r="I68" s="15" t="s">
        <v>528</v>
      </c>
      <c r="J68" s="15" t="s">
        <v>15991</v>
      </c>
    </row>
    <row r="69" spans="2:10">
      <c r="B69" s="15" t="s">
        <v>17404</v>
      </c>
      <c r="C69" s="15" t="s">
        <v>17528</v>
      </c>
      <c r="D69" s="15" t="s">
        <v>16072</v>
      </c>
      <c r="E69" s="15" t="s">
        <v>305</v>
      </c>
      <c r="F69" s="15" t="s">
        <v>17529</v>
      </c>
      <c r="G69" s="52" t="str">
        <f t="shared" si="0"/>
        <v>YesNo</v>
      </c>
      <c r="H69" s="15"/>
      <c r="I69" s="15" t="s">
        <v>528</v>
      </c>
      <c r="J69" s="15" t="s">
        <v>15991</v>
      </c>
    </row>
    <row r="70" spans="2:10">
      <c r="B70" s="15" t="s">
        <v>17404</v>
      </c>
      <c r="C70" s="15" t="s">
        <v>17530</v>
      </c>
      <c r="D70" s="15" t="s">
        <v>16072</v>
      </c>
      <c r="E70" s="15" t="s">
        <v>305</v>
      </c>
      <c r="F70" s="15" t="s">
        <v>17531</v>
      </c>
      <c r="G70" s="52" t="str">
        <f t="shared" si="0"/>
        <v>YesNo</v>
      </c>
      <c r="H70" s="15"/>
      <c r="I70" s="15" t="s">
        <v>528</v>
      </c>
      <c r="J70" s="15" t="s">
        <v>15991</v>
      </c>
    </row>
    <row r="71" spans="2:10">
      <c r="B71" s="15" t="s">
        <v>17404</v>
      </c>
      <c r="C71" s="15" t="s">
        <v>17532</v>
      </c>
      <c r="D71" s="15" t="s">
        <v>16072</v>
      </c>
      <c r="E71" s="15" t="s">
        <v>305</v>
      </c>
      <c r="F71" s="15" t="s">
        <v>17533</v>
      </c>
      <c r="G71" s="52" t="str">
        <f t="shared" si="0"/>
        <v>YesNo</v>
      </c>
      <c r="H71" s="15"/>
      <c r="I71" s="15" t="s">
        <v>528</v>
      </c>
      <c r="J71" s="15" t="s">
        <v>15991</v>
      </c>
    </row>
    <row r="72" spans="2:10">
      <c r="B72" s="15" t="s">
        <v>17404</v>
      </c>
      <c r="C72" s="15" t="s">
        <v>17534</v>
      </c>
      <c r="D72" s="15" t="s">
        <v>16072</v>
      </c>
      <c r="E72" s="15" t="s">
        <v>305</v>
      </c>
      <c r="F72" s="15" t="s">
        <v>17535</v>
      </c>
      <c r="G72" s="52" t="str">
        <f t="shared" si="0"/>
        <v>YesNo</v>
      </c>
      <c r="H72" s="15"/>
      <c r="I72" s="15" t="s">
        <v>528</v>
      </c>
      <c r="J72" s="15" t="s">
        <v>15991</v>
      </c>
    </row>
    <row r="73" spans="2:10">
      <c r="B73" s="15" t="s">
        <v>17404</v>
      </c>
      <c r="C73" s="15" t="s">
        <v>17536</v>
      </c>
      <c r="D73" s="15" t="s">
        <v>16072</v>
      </c>
      <c r="E73" s="15" t="s">
        <v>305</v>
      </c>
      <c r="F73" s="15" t="s">
        <v>17537</v>
      </c>
      <c r="G73" s="52" t="str">
        <f t="shared" si="0"/>
        <v>YesNo</v>
      </c>
      <c r="H73" s="15"/>
      <c r="I73" s="15" t="s">
        <v>528</v>
      </c>
      <c r="J73" s="15" t="s">
        <v>15991</v>
      </c>
    </row>
    <row r="74" spans="2:10">
      <c r="B74" s="15" t="s">
        <v>17404</v>
      </c>
      <c r="C74" s="15" t="s">
        <v>17538</v>
      </c>
      <c r="D74" s="15" t="s">
        <v>16072</v>
      </c>
      <c r="E74" s="15" t="s">
        <v>305</v>
      </c>
      <c r="F74" s="15" t="s">
        <v>17539</v>
      </c>
      <c r="G74" s="52" t="str">
        <f t="shared" si="0"/>
        <v>YesNo</v>
      </c>
      <c r="H74" s="15"/>
      <c r="I74" s="15" t="s">
        <v>528</v>
      </c>
      <c r="J74" s="15" t="s">
        <v>15991</v>
      </c>
    </row>
    <row r="75" spans="2:10">
      <c r="B75" s="15" t="s">
        <v>17404</v>
      </c>
      <c r="C75" s="15" t="s">
        <v>17540</v>
      </c>
      <c r="D75" s="15" t="s">
        <v>16072</v>
      </c>
      <c r="E75" s="15" t="s">
        <v>305</v>
      </c>
      <c r="F75" s="15" t="s">
        <v>17541</v>
      </c>
      <c r="G75" s="52" t="str">
        <f t="shared" si="0"/>
        <v>YesNo</v>
      </c>
      <c r="H75" s="15"/>
      <c r="I75" s="15" t="s">
        <v>528</v>
      </c>
      <c r="J75" s="15" t="s">
        <v>15991</v>
      </c>
    </row>
    <row r="76" spans="2:10">
      <c r="B76" s="15" t="s">
        <v>17404</v>
      </c>
      <c r="C76" s="15" t="s">
        <v>17542</v>
      </c>
      <c r="D76" s="15" t="s">
        <v>16072</v>
      </c>
      <c r="E76" s="15" t="s">
        <v>305</v>
      </c>
      <c r="F76" s="15" t="s">
        <v>17543</v>
      </c>
      <c r="G76" s="52" t="str">
        <f t="shared" si="0"/>
        <v>YesNo</v>
      </c>
      <c r="H76" s="15"/>
      <c r="I76" s="15" t="s">
        <v>528</v>
      </c>
      <c r="J76" s="15" t="s">
        <v>15991</v>
      </c>
    </row>
    <row r="77" spans="2:10">
      <c r="B77" s="15" t="s">
        <v>17404</v>
      </c>
      <c r="C77" s="15" t="s">
        <v>17544</v>
      </c>
      <c r="D77" s="15" t="s">
        <v>16072</v>
      </c>
      <c r="E77" s="15" t="s">
        <v>305</v>
      </c>
      <c r="F77" s="15" t="s">
        <v>17545</v>
      </c>
      <c r="G77" s="52" t="str">
        <f t="shared" si="0"/>
        <v>YesNo</v>
      </c>
      <c r="H77" s="15"/>
      <c r="I77" s="15" t="s">
        <v>528</v>
      </c>
      <c r="J77" s="15" t="s">
        <v>15991</v>
      </c>
    </row>
    <row r="78" spans="2:10">
      <c r="B78" s="15" t="s">
        <v>17404</v>
      </c>
      <c r="C78" s="15" t="s">
        <v>17546</v>
      </c>
      <c r="D78" s="15" t="s">
        <v>16072</v>
      </c>
      <c r="E78" s="15" t="s">
        <v>305</v>
      </c>
      <c r="F78" s="15" t="s">
        <v>17547</v>
      </c>
      <c r="G78" s="52" t="str">
        <f t="shared" si="0"/>
        <v>YesNo</v>
      </c>
      <c r="H78" s="15"/>
      <c r="I78" s="15" t="s">
        <v>528</v>
      </c>
      <c r="J78" s="15" t="s">
        <v>15991</v>
      </c>
    </row>
    <row r="79" spans="2:10">
      <c r="B79" s="15" t="s">
        <v>17404</v>
      </c>
      <c r="C79" s="15" t="s">
        <v>17548</v>
      </c>
      <c r="D79" s="15" t="s">
        <v>16072</v>
      </c>
      <c r="E79" s="15" t="s">
        <v>305</v>
      </c>
      <c r="F79" s="15" t="s">
        <v>17549</v>
      </c>
      <c r="G79" s="52" t="str">
        <f t="shared" si="0"/>
        <v>YesNo</v>
      </c>
      <c r="H79" s="15"/>
      <c r="I79" s="15" t="s">
        <v>528</v>
      </c>
      <c r="J79" s="15" t="s">
        <v>15991</v>
      </c>
    </row>
    <row r="80" spans="2:10">
      <c r="B80" s="15" t="s">
        <v>17404</v>
      </c>
      <c r="C80" s="15" t="s">
        <v>17550</v>
      </c>
      <c r="D80" s="15" t="s">
        <v>16072</v>
      </c>
      <c r="E80" s="15" t="s">
        <v>305</v>
      </c>
      <c r="F80" s="15" t="s">
        <v>17551</v>
      </c>
      <c r="G80" s="52" t="str">
        <f t="shared" si="0"/>
        <v>YesNo</v>
      </c>
      <c r="H80" s="15"/>
      <c r="I80" s="15" t="s">
        <v>528</v>
      </c>
      <c r="J80" s="15" t="s">
        <v>15991</v>
      </c>
    </row>
    <row r="81" spans="2:10">
      <c r="B81" s="15" t="s">
        <v>17404</v>
      </c>
      <c r="C81" s="15" t="s">
        <v>17552</v>
      </c>
      <c r="D81" s="15" t="s">
        <v>16072</v>
      </c>
      <c r="E81" s="15" t="s">
        <v>305</v>
      </c>
      <c r="F81" s="15" t="s">
        <v>17553</v>
      </c>
      <c r="G81" s="52" t="str">
        <f t="shared" si="0"/>
        <v>YesNo</v>
      </c>
      <c r="H81" s="15"/>
      <c r="I81" s="15" t="s">
        <v>528</v>
      </c>
      <c r="J81" s="15" t="s">
        <v>15991</v>
      </c>
    </row>
    <row r="82" spans="2:10">
      <c r="B82" s="15" t="s">
        <v>17404</v>
      </c>
      <c r="C82" s="15" t="s">
        <v>17554</v>
      </c>
      <c r="D82" s="15" t="s">
        <v>16072</v>
      </c>
      <c r="E82" s="15" t="s">
        <v>305</v>
      </c>
      <c r="F82" s="15" t="s">
        <v>17555</v>
      </c>
      <c r="G82" s="52" t="str">
        <f t="shared" si="0"/>
        <v>YesNo</v>
      </c>
      <c r="H82" s="15"/>
      <c r="I82" s="15" t="s">
        <v>528</v>
      </c>
      <c r="J82" s="15" t="s">
        <v>15991</v>
      </c>
    </row>
    <row r="83" spans="2:10">
      <c r="B83" s="15" t="s">
        <v>17404</v>
      </c>
      <c r="C83" s="15" t="s">
        <v>17556</v>
      </c>
      <c r="D83" s="15" t="s">
        <v>16072</v>
      </c>
      <c r="E83" s="15" t="s">
        <v>305</v>
      </c>
      <c r="F83" s="15" t="s">
        <v>17557</v>
      </c>
      <c r="G83" s="52" t="str">
        <f t="shared" si="0"/>
        <v>YesNo</v>
      </c>
      <c r="H83" s="15"/>
      <c r="I83" s="15" t="s">
        <v>528</v>
      </c>
      <c r="J83" s="15" t="s">
        <v>15991</v>
      </c>
    </row>
    <row r="84" spans="2:10">
      <c r="B84" s="15" t="s">
        <v>17404</v>
      </c>
      <c r="C84" s="15" t="s">
        <v>17558</v>
      </c>
      <c r="D84" s="15" t="s">
        <v>16072</v>
      </c>
      <c r="E84" s="15" t="s">
        <v>305</v>
      </c>
      <c r="F84" s="15" t="s">
        <v>17559</v>
      </c>
      <c r="G84" s="52" t="str">
        <f t="shared" si="0"/>
        <v>YesNo</v>
      </c>
      <c r="H84" s="15"/>
      <c r="I84" s="15" t="s">
        <v>528</v>
      </c>
      <c r="J84" s="15" t="s">
        <v>15991</v>
      </c>
    </row>
    <row r="85" spans="2:10">
      <c r="B85" s="15" t="s">
        <v>17404</v>
      </c>
      <c r="C85" s="15" t="s">
        <v>17560</v>
      </c>
      <c r="D85" s="15" t="s">
        <v>16072</v>
      </c>
      <c r="E85" s="15" t="s">
        <v>305</v>
      </c>
      <c r="F85" s="15" t="s">
        <v>17561</v>
      </c>
      <c r="G85" s="52" t="str">
        <f t="shared" si="0"/>
        <v>YesNo</v>
      </c>
      <c r="H85" s="15"/>
      <c r="I85" s="15" t="s">
        <v>528</v>
      </c>
      <c r="J85" s="15" t="s">
        <v>15991</v>
      </c>
    </row>
    <row r="86" spans="2:10">
      <c r="B86" s="15" t="s">
        <v>17404</v>
      </c>
      <c r="C86" s="15" t="s">
        <v>17562</v>
      </c>
      <c r="D86" s="15" t="s">
        <v>16072</v>
      </c>
      <c r="E86" s="15" t="s">
        <v>305</v>
      </c>
      <c r="F86" s="15" t="s">
        <v>17563</v>
      </c>
      <c r="G86" s="52" t="str">
        <f t="shared" si="0"/>
        <v>YesNo</v>
      </c>
      <c r="H86" s="15"/>
      <c r="I86" s="15" t="s">
        <v>528</v>
      </c>
      <c r="J86" s="15" t="s">
        <v>15991</v>
      </c>
    </row>
    <row r="87" spans="2:10">
      <c r="B87" s="15" t="s">
        <v>17404</v>
      </c>
      <c r="C87" s="15" t="s">
        <v>17564</v>
      </c>
      <c r="D87" s="15" t="s">
        <v>16072</v>
      </c>
      <c r="E87" s="15" t="s">
        <v>305</v>
      </c>
      <c r="F87" s="15" t="s">
        <v>17565</v>
      </c>
      <c r="G87" s="52" t="str">
        <f t="shared" si="0"/>
        <v>YesNo</v>
      </c>
      <c r="H87" s="15"/>
      <c r="I87" s="15" t="s">
        <v>528</v>
      </c>
      <c r="J87" s="15" t="s">
        <v>15991</v>
      </c>
    </row>
    <row r="88" spans="2:10">
      <c r="B88" s="15" t="s">
        <v>17404</v>
      </c>
      <c r="C88" s="15" t="s">
        <v>17566</v>
      </c>
      <c r="D88" s="15" t="s">
        <v>16072</v>
      </c>
      <c r="E88" s="15" t="s">
        <v>305</v>
      </c>
      <c r="F88" s="15" t="s">
        <v>17567</v>
      </c>
      <c r="G88" s="52" t="str">
        <f t="shared" si="0"/>
        <v>YesNo</v>
      </c>
      <c r="H88" s="15"/>
      <c r="I88" s="15" t="s">
        <v>528</v>
      </c>
      <c r="J88" s="15" t="s">
        <v>15991</v>
      </c>
    </row>
    <row r="89" spans="2:10">
      <c r="B89" s="15" t="s">
        <v>17404</v>
      </c>
      <c r="C89" s="15" t="s">
        <v>17568</v>
      </c>
      <c r="D89" s="15" t="s">
        <v>16072</v>
      </c>
      <c r="E89" s="15" t="s">
        <v>305</v>
      </c>
      <c r="F89" s="15" t="s">
        <v>17569</v>
      </c>
      <c r="G89" s="15"/>
      <c r="H89" s="15"/>
      <c r="I89" s="15" t="s">
        <v>528</v>
      </c>
      <c r="J89" s="15" t="s">
        <v>15991</v>
      </c>
    </row>
    <row r="90" spans="2:10">
      <c r="B90" s="15" t="s">
        <v>17404</v>
      </c>
      <c r="C90" s="15" t="s">
        <v>16009</v>
      </c>
      <c r="D90" s="15" t="s">
        <v>316</v>
      </c>
      <c r="E90" s="15" t="s">
        <v>305</v>
      </c>
      <c r="F90" s="15" t="s">
        <v>16010</v>
      </c>
      <c r="G90" s="15"/>
      <c r="H90" s="15"/>
      <c r="I90" s="15" t="s">
        <v>528</v>
      </c>
      <c r="J90" s="15" t="s">
        <v>15991</v>
      </c>
    </row>
    <row r="91" spans="2:10">
      <c r="B91" s="15" t="s">
        <v>17404</v>
      </c>
      <c r="C91" s="15" t="s">
        <v>16011</v>
      </c>
      <c r="D91" s="15" t="s">
        <v>316</v>
      </c>
      <c r="E91" s="15" t="s">
        <v>305</v>
      </c>
      <c r="F91" s="15" t="s">
        <v>16012</v>
      </c>
      <c r="G91" s="15"/>
      <c r="H91" s="15"/>
      <c r="I91" s="15" t="s">
        <v>528</v>
      </c>
      <c r="J91" s="15" t="s">
        <v>15991</v>
      </c>
    </row>
    <row r="92" spans="2:10">
      <c r="B92" s="15" t="s">
        <v>17404</v>
      </c>
      <c r="C92" s="15" t="s">
        <v>16013</v>
      </c>
      <c r="D92" s="15" t="s">
        <v>371</v>
      </c>
      <c r="E92" s="15" t="s">
        <v>305</v>
      </c>
      <c r="F92" s="15" t="s">
        <v>16014</v>
      </c>
      <c r="G92" s="15"/>
      <c r="H92" s="15"/>
      <c r="I92" s="15" t="s">
        <v>528</v>
      </c>
      <c r="J92" s="15" t="s">
        <v>15991</v>
      </c>
    </row>
    <row r="93" spans="2:10">
      <c r="B93" s="15" t="s">
        <v>17404</v>
      </c>
      <c r="C93" s="15" t="s">
        <v>16015</v>
      </c>
      <c r="D93" s="15" t="s">
        <v>316</v>
      </c>
      <c r="E93" s="15" t="s">
        <v>305</v>
      </c>
      <c r="F93" s="15" t="s">
        <v>16016</v>
      </c>
      <c r="G93" s="15"/>
      <c r="H93" s="15"/>
      <c r="I93" s="15" t="s">
        <v>528</v>
      </c>
      <c r="J93" s="15" t="s">
        <v>15991</v>
      </c>
    </row>
    <row r="94" spans="2:10">
      <c r="B94" s="15" t="s">
        <v>17404</v>
      </c>
      <c r="C94" s="15" t="s">
        <v>16017</v>
      </c>
      <c r="D94" s="15" t="s">
        <v>316</v>
      </c>
      <c r="E94" s="15" t="s">
        <v>305</v>
      </c>
      <c r="F94" s="15" t="s">
        <v>16018</v>
      </c>
      <c r="G94" s="15"/>
      <c r="H94" s="15"/>
      <c r="I94" s="15" t="s">
        <v>528</v>
      </c>
      <c r="J94" s="15" t="s">
        <v>15991</v>
      </c>
    </row>
    <row r="95" spans="2:10">
      <c r="B95" s="15" t="s">
        <v>17404</v>
      </c>
      <c r="C95" s="15" t="s">
        <v>16019</v>
      </c>
      <c r="D95" s="15" t="s">
        <v>371</v>
      </c>
      <c r="E95" s="15" t="s">
        <v>305</v>
      </c>
      <c r="F95" s="15" t="s">
        <v>16020</v>
      </c>
      <c r="G95" s="15"/>
      <c r="H95" s="15"/>
      <c r="I95" s="15" t="s">
        <v>528</v>
      </c>
      <c r="J95" s="15" t="s">
        <v>15991</v>
      </c>
    </row>
    <row r="96" spans="2:10">
      <c r="B96" s="15" t="s">
        <v>17404</v>
      </c>
      <c r="C96" s="15" t="s">
        <v>16086</v>
      </c>
      <c r="D96" s="15" t="s">
        <v>327</v>
      </c>
      <c r="E96" s="15" t="s">
        <v>305</v>
      </c>
      <c r="F96" s="15" t="s">
        <v>301</v>
      </c>
      <c r="G96" s="15"/>
      <c r="H96" s="15"/>
      <c r="I96" s="15" t="s">
        <v>528</v>
      </c>
      <c r="J96" s="15" t="s">
        <v>15991</v>
      </c>
    </row>
    <row r="97" spans="2:10">
      <c r="B97" s="109" t="s">
        <v>17404</v>
      </c>
      <c r="C97" s="16" t="s">
        <v>16088</v>
      </c>
      <c r="D97" s="16" t="s">
        <v>316</v>
      </c>
      <c r="E97" s="16" t="s">
        <v>305</v>
      </c>
      <c r="F97" s="16" t="s">
        <v>16089</v>
      </c>
      <c r="G97" s="16"/>
      <c r="H97" s="16"/>
      <c r="I97" s="16" t="s">
        <v>528</v>
      </c>
      <c r="J97" s="16" t="s">
        <v>15991</v>
      </c>
    </row>
    <row r="98" spans="2:10">
      <c r="B98" s="73" t="s">
        <v>17404</v>
      </c>
      <c r="C98" s="57" t="s">
        <v>341</v>
      </c>
      <c r="D98" s="57" t="s">
        <v>316</v>
      </c>
      <c r="E98" s="57" t="s">
        <v>305</v>
      </c>
      <c r="F98" s="100" t="s">
        <v>340</v>
      </c>
      <c r="G98" s="57"/>
      <c r="H98" s="57"/>
      <c r="I98" s="57"/>
      <c r="J98" s="50">
        <v>45740</v>
      </c>
    </row>
    <row r="99" spans="2:10">
      <c r="B99" s="73" t="s">
        <v>17404</v>
      </c>
      <c r="C99" s="57" t="s">
        <v>508</v>
      </c>
      <c r="D99" s="57" t="s">
        <v>350</v>
      </c>
      <c r="E99" s="57" t="s">
        <v>305</v>
      </c>
      <c r="F99" s="100" t="s">
        <v>507</v>
      </c>
      <c r="G99" s="57"/>
      <c r="H99" s="57"/>
      <c r="I99" s="57"/>
      <c r="J99" s="50">
        <v>45740</v>
      </c>
    </row>
    <row r="100" spans="2:10">
      <c r="B100" s="73" t="s">
        <v>17404</v>
      </c>
      <c r="C100" s="57" t="s">
        <v>456</v>
      </c>
      <c r="D100" s="57" t="s">
        <v>454</v>
      </c>
      <c r="E100" s="57" t="s">
        <v>305</v>
      </c>
      <c r="F100" s="99" t="s">
        <v>455</v>
      </c>
      <c r="G100" s="57"/>
      <c r="H100" s="57"/>
      <c r="I100" s="57"/>
      <c r="J100" s="50">
        <v>45740</v>
      </c>
    </row>
    <row r="101" spans="2:10">
      <c r="B101" s="73" t="s">
        <v>17404</v>
      </c>
      <c r="C101" s="57" t="s">
        <v>510</v>
      </c>
      <c r="D101" s="57" t="s">
        <v>350</v>
      </c>
      <c r="E101" s="57" t="s">
        <v>305</v>
      </c>
      <c r="F101" s="100" t="s">
        <v>509</v>
      </c>
      <c r="G101" s="57"/>
      <c r="H101" s="57"/>
      <c r="I101" s="57"/>
      <c r="J101" s="50">
        <v>45740</v>
      </c>
    </row>
    <row r="102" spans="2:10">
      <c r="B102" s="73" t="s">
        <v>17404</v>
      </c>
      <c r="C102" s="37" t="s">
        <v>512</v>
      </c>
      <c r="D102" s="37" t="s">
        <v>513</v>
      </c>
      <c r="E102" s="37" t="s">
        <v>305</v>
      </c>
      <c r="F102" s="100" t="s">
        <v>511</v>
      </c>
      <c r="G102" s="110" t="str">
        <f>HYPERLINK("#码值映射清单!B2469","Currency")</f>
        <v>Currency</v>
      </c>
      <c r="H102" s="37"/>
      <c r="I102" s="57"/>
      <c r="J102" s="50">
        <v>45740</v>
      </c>
    </row>
    <row r="103" spans="2:10">
      <c r="B103" s="73" t="s">
        <v>17404</v>
      </c>
      <c r="C103" s="57" t="s">
        <v>515</v>
      </c>
      <c r="D103" s="57" t="s">
        <v>350</v>
      </c>
      <c r="E103" s="57" t="s">
        <v>305</v>
      </c>
      <c r="F103" s="100" t="s">
        <v>514</v>
      </c>
      <c r="G103" s="57"/>
      <c r="H103" s="57"/>
      <c r="I103" s="57"/>
      <c r="J103" s="50">
        <v>45740</v>
      </c>
    </row>
    <row r="104" spans="2:10">
      <c r="B104" s="73" t="s">
        <v>17404</v>
      </c>
      <c r="C104" s="57" t="s">
        <v>349</v>
      </c>
      <c r="D104" s="57" t="s">
        <v>350</v>
      </c>
      <c r="E104" s="57" t="s">
        <v>305</v>
      </c>
      <c r="F104" s="100" t="s">
        <v>348</v>
      </c>
      <c r="G104" s="57"/>
      <c r="H104" s="57"/>
      <c r="I104" s="57"/>
      <c r="J104" s="50">
        <v>45740</v>
      </c>
    </row>
    <row r="105" spans="2:10">
      <c r="B105" s="73" t="s">
        <v>17404</v>
      </c>
      <c r="C105" s="57" t="s">
        <v>354</v>
      </c>
      <c r="D105" s="57" t="s">
        <v>350</v>
      </c>
      <c r="E105" s="57" t="s">
        <v>305</v>
      </c>
      <c r="F105" s="99" t="s">
        <v>353</v>
      </c>
      <c r="G105" s="57"/>
      <c r="H105" s="57"/>
      <c r="I105" s="57"/>
      <c r="J105" s="50">
        <v>45740</v>
      </c>
    </row>
    <row r="106" spans="2:10">
      <c r="B106" s="73" t="s">
        <v>17404</v>
      </c>
      <c r="C106" s="57" t="s">
        <v>517</v>
      </c>
      <c r="D106" s="57" t="s">
        <v>350</v>
      </c>
      <c r="E106" s="57" t="s">
        <v>305</v>
      </c>
      <c r="F106" s="100" t="s">
        <v>516</v>
      </c>
      <c r="G106" s="57"/>
      <c r="H106" s="57"/>
      <c r="I106" s="57"/>
      <c r="J106" s="50">
        <v>45740</v>
      </c>
    </row>
    <row r="107" spans="2:10">
      <c r="B107" s="73" t="s">
        <v>17404</v>
      </c>
      <c r="C107" s="57" t="s">
        <v>519</v>
      </c>
      <c r="D107" s="57" t="s">
        <v>367</v>
      </c>
      <c r="E107" s="57" t="s">
        <v>305</v>
      </c>
      <c r="F107" s="100" t="s">
        <v>518</v>
      </c>
      <c r="G107" s="57"/>
      <c r="H107" s="57"/>
      <c r="I107" s="57"/>
      <c r="J107" s="50">
        <v>45740</v>
      </c>
    </row>
    <row r="108" spans="2:10">
      <c r="B108" s="73" t="s">
        <v>17404</v>
      </c>
      <c r="C108" s="37" t="s">
        <v>521</v>
      </c>
      <c r="D108" s="57" t="s">
        <v>506</v>
      </c>
      <c r="E108" s="57" t="s">
        <v>305</v>
      </c>
      <c r="F108" s="99" t="s">
        <v>520</v>
      </c>
      <c r="G108" s="57"/>
      <c r="H108" s="57"/>
      <c r="I108" s="57"/>
      <c r="J108" s="50">
        <v>45740</v>
      </c>
    </row>
    <row r="109" spans="2:10">
      <c r="B109" s="73" t="s">
        <v>17404</v>
      </c>
      <c r="C109" s="57" t="s">
        <v>523</v>
      </c>
      <c r="D109" s="57" t="s">
        <v>350</v>
      </c>
      <c r="E109" s="57" t="s">
        <v>305</v>
      </c>
      <c r="F109" s="99" t="s">
        <v>522</v>
      </c>
      <c r="G109" s="57"/>
      <c r="H109" s="57"/>
      <c r="I109" s="57"/>
      <c r="J109" s="50">
        <v>45740</v>
      </c>
    </row>
    <row r="110" spans="2:10">
      <c r="B110" s="73" t="s">
        <v>17404</v>
      </c>
      <c r="C110" s="57" t="s">
        <v>525</v>
      </c>
      <c r="D110" s="57" t="s">
        <v>316</v>
      </c>
      <c r="E110" s="57" t="s">
        <v>305</v>
      </c>
      <c r="F110" s="59" t="s">
        <v>524</v>
      </c>
      <c r="G110" s="57"/>
      <c r="H110" s="57"/>
      <c r="I110" s="57"/>
      <c r="J110" s="50">
        <v>45740</v>
      </c>
    </row>
    <row r="111" spans="2:10">
      <c r="B111" s="73" t="s">
        <v>17404</v>
      </c>
      <c r="C111" s="57" t="s">
        <v>505</v>
      </c>
      <c r="D111" s="57" t="s">
        <v>506</v>
      </c>
      <c r="E111" s="57" t="s">
        <v>305</v>
      </c>
      <c r="F111" s="59" t="s">
        <v>504</v>
      </c>
      <c r="G111" s="57"/>
      <c r="H111" s="57"/>
      <c r="I111" s="57"/>
      <c r="J111" s="50">
        <v>45740</v>
      </c>
    </row>
  </sheetData>
  <pageMargins left="0.75" right="0.75" top="1" bottom="1" header="0.5" footer="0.5"/>
  <pageSetup paperSize="1" orientation="portrait" horizontalDpi="300" verticalDpi="300"/>
  <headerFooter alignWithMargins="0" scaleWithDoc="0"/>
</worksheet>
</file>

<file path=xl/worksheets/sheet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42"/>
  <sheetViews>
    <sheetView zoomScaleSheetLayoutView="60" topLeftCell="A127" workbookViewId="0">
      <selection activeCell="J129" sqref="J129:J142"/>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15.625" customWidth="1"/>
    <col min="10" max="10" width="11.7053571428571" customWidth="1"/>
    <col min="11" max="11" width="76.4821428571429" customWidth="1"/>
  </cols>
  <sheetData>
    <row r="1" spans="1:2">
      <c r="A1" s="1" t="str">
        <f>HYPERLINK("#表结构清单!A1","返回")</f>
        <v>返回</v>
      </c>
      <c r="B1" t="s">
        <v>186</v>
      </c>
    </row>
    <row r="2" spans="2:10">
      <c r="B2" s="13" t="s">
        <v>15982</v>
      </c>
      <c r="C2" s="13" t="s">
        <v>297</v>
      </c>
      <c r="D2" s="13" t="s">
        <v>11870</v>
      </c>
      <c r="E2" s="13" t="s">
        <v>15983</v>
      </c>
      <c r="F2" s="13" t="s">
        <v>15984</v>
      </c>
      <c r="G2" s="13" t="s">
        <v>300</v>
      </c>
      <c r="H2" s="13" t="s">
        <v>301</v>
      </c>
      <c r="I2" s="13" t="s">
        <v>15985</v>
      </c>
      <c r="J2" s="13" t="s">
        <v>15986</v>
      </c>
    </row>
    <row r="3" spans="2:10">
      <c r="B3" s="15" t="s">
        <v>17570</v>
      </c>
      <c r="C3" s="15" t="s">
        <v>16103</v>
      </c>
      <c r="D3" s="15" t="s">
        <v>316</v>
      </c>
      <c r="E3" s="15" t="s">
        <v>15989</v>
      </c>
      <c r="F3" s="15" t="s">
        <v>16986</v>
      </c>
      <c r="G3" s="15"/>
      <c r="H3" s="15"/>
      <c r="I3" s="15" t="s">
        <v>528</v>
      </c>
      <c r="J3" s="15" t="s">
        <v>15991</v>
      </c>
    </row>
    <row r="4" spans="2:10">
      <c r="B4" s="15" t="s">
        <v>17570</v>
      </c>
      <c r="C4" s="15" t="s">
        <v>17571</v>
      </c>
      <c r="D4" s="15" t="s">
        <v>506</v>
      </c>
      <c r="E4" s="15" t="s">
        <v>305</v>
      </c>
      <c r="F4" s="20" t="s">
        <v>17572</v>
      </c>
      <c r="G4" s="15"/>
      <c r="H4" s="15"/>
      <c r="I4" s="15" t="s">
        <v>528</v>
      </c>
      <c r="J4" s="15" t="s">
        <v>15991</v>
      </c>
    </row>
    <row r="5" spans="2:10">
      <c r="B5" s="15" t="s">
        <v>17570</v>
      </c>
      <c r="C5" s="15" t="s">
        <v>17573</v>
      </c>
      <c r="D5" s="15" t="s">
        <v>321</v>
      </c>
      <c r="E5" s="15" t="s">
        <v>305</v>
      </c>
      <c r="F5" s="20" t="s">
        <v>5182</v>
      </c>
      <c r="G5" s="52" t="str">
        <f>HYPERLINK("#码值映射清单!B7213","ForestUseType")</f>
        <v>ForestUseType</v>
      </c>
      <c r="H5" s="15"/>
      <c r="I5" s="15" t="s">
        <v>528</v>
      </c>
      <c r="J5" s="15" t="s">
        <v>15991</v>
      </c>
    </row>
    <row r="6" spans="2:10">
      <c r="B6" s="15" t="s">
        <v>17570</v>
      </c>
      <c r="C6" s="15" t="s">
        <v>17574</v>
      </c>
      <c r="D6" s="15" t="s">
        <v>321</v>
      </c>
      <c r="E6" s="15" t="s">
        <v>305</v>
      </c>
      <c r="F6" s="15" t="s">
        <v>9329</v>
      </c>
      <c r="G6" s="52" t="str">
        <f>HYPERLINK("#码值映射清单!B3620","ResourceRightType")</f>
        <v>ResourceRightType</v>
      </c>
      <c r="H6" s="15"/>
      <c r="I6" s="15" t="s">
        <v>528</v>
      </c>
      <c r="J6" s="15" t="s">
        <v>15991</v>
      </c>
    </row>
    <row r="7" spans="2:10">
      <c r="B7" s="15" t="s">
        <v>17570</v>
      </c>
      <c r="C7" s="15" t="s">
        <v>17575</v>
      </c>
      <c r="D7" s="15" t="s">
        <v>367</v>
      </c>
      <c r="E7" s="15" t="s">
        <v>305</v>
      </c>
      <c r="F7" s="15" t="s">
        <v>17576</v>
      </c>
      <c r="G7" s="15"/>
      <c r="H7" s="15"/>
      <c r="I7" s="15" t="s">
        <v>528</v>
      </c>
      <c r="J7" s="15" t="s">
        <v>15991</v>
      </c>
    </row>
    <row r="8" spans="2:10">
      <c r="B8" s="15" t="s">
        <v>17570</v>
      </c>
      <c r="C8" s="15" t="s">
        <v>17577</v>
      </c>
      <c r="D8" s="15" t="s">
        <v>506</v>
      </c>
      <c r="E8" s="15" t="s">
        <v>305</v>
      </c>
      <c r="F8" s="15" t="s">
        <v>17578</v>
      </c>
      <c r="G8" s="15"/>
      <c r="H8" s="15"/>
      <c r="I8" s="15" t="s">
        <v>528</v>
      </c>
      <c r="J8" s="15" t="s">
        <v>15991</v>
      </c>
    </row>
    <row r="9" spans="2:10">
      <c r="B9" s="15" t="s">
        <v>17570</v>
      </c>
      <c r="C9" s="15" t="s">
        <v>17579</v>
      </c>
      <c r="D9" s="15" t="s">
        <v>506</v>
      </c>
      <c r="E9" s="15" t="s">
        <v>305</v>
      </c>
      <c r="F9" s="15" t="s">
        <v>17580</v>
      </c>
      <c r="G9" s="15"/>
      <c r="H9" s="15"/>
      <c r="I9" s="15" t="s">
        <v>528</v>
      </c>
      <c r="J9" s="15" t="s">
        <v>15991</v>
      </c>
    </row>
    <row r="10" spans="2:10">
      <c r="B10" s="15" t="s">
        <v>17570</v>
      </c>
      <c r="C10" s="15" t="s">
        <v>17581</v>
      </c>
      <c r="D10" s="15" t="s">
        <v>16056</v>
      </c>
      <c r="E10" s="15" t="s">
        <v>305</v>
      </c>
      <c r="F10" s="15" t="s">
        <v>17582</v>
      </c>
      <c r="G10" s="15"/>
      <c r="H10" s="15"/>
      <c r="I10" s="15" t="s">
        <v>528</v>
      </c>
      <c r="J10" s="15" t="s">
        <v>15991</v>
      </c>
    </row>
    <row r="11" spans="2:10">
      <c r="B11" s="15" t="s">
        <v>17570</v>
      </c>
      <c r="C11" s="15" t="s">
        <v>17583</v>
      </c>
      <c r="D11" s="15" t="s">
        <v>16056</v>
      </c>
      <c r="E11" s="15" t="s">
        <v>305</v>
      </c>
      <c r="F11" s="15" t="s">
        <v>17584</v>
      </c>
      <c r="G11" s="15"/>
      <c r="H11" s="15"/>
      <c r="I11" s="15" t="s">
        <v>528</v>
      </c>
      <c r="J11" s="15" t="s">
        <v>15991</v>
      </c>
    </row>
    <row r="12" spans="2:10">
      <c r="B12" s="15" t="s">
        <v>17570</v>
      </c>
      <c r="C12" s="15" t="s">
        <v>17585</v>
      </c>
      <c r="D12" s="15" t="s">
        <v>16056</v>
      </c>
      <c r="E12" s="15" t="s">
        <v>305</v>
      </c>
      <c r="F12" s="15" t="s">
        <v>17586</v>
      </c>
      <c r="G12" s="15"/>
      <c r="H12" s="15"/>
      <c r="I12" s="15" t="s">
        <v>528</v>
      </c>
      <c r="J12" s="15" t="s">
        <v>15991</v>
      </c>
    </row>
    <row r="13" spans="2:10">
      <c r="B13" s="15" t="s">
        <v>17570</v>
      </c>
      <c r="C13" s="15" t="s">
        <v>17587</v>
      </c>
      <c r="D13" s="15" t="s">
        <v>16056</v>
      </c>
      <c r="E13" s="15" t="s">
        <v>305</v>
      </c>
      <c r="F13" s="15" t="s">
        <v>17588</v>
      </c>
      <c r="G13" s="15"/>
      <c r="H13" s="15"/>
      <c r="I13" s="15" t="s">
        <v>528</v>
      </c>
      <c r="J13" s="15" t="s">
        <v>15991</v>
      </c>
    </row>
    <row r="14" spans="2:10">
      <c r="B14" s="15" t="s">
        <v>17570</v>
      </c>
      <c r="C14" s="15" t="s">
        <v>17589</v>
      </c>
      <c r="D14" s="15" t="s">
        <v>506</v>
      </c>
      <c r="E14" s="15" t="s">
        <v>305</v>
      </c>
      <c r="F14" s="15" t="s">
        <v>17590</v>
      </c>
      <c r="G14" s="15"/>
      <c r="H14" s="15"/>
      <c r="I14" s="15" t="s">
        <v>528</v>
      </c>
      <c r="J14" s="15" t="s">
        <v>15991</v>
      </c>
    </row>
    <row r="15" spans="2:10">
      <c r="B15" s="15" t="s">
        <v>17570</v>
      </c>
      <c r="C15" s="15" t="s">
        <v>17591</v>
      </c>
      <c r="D15" s="15" t="s">
        <v>506</v>
      </c>
      <c r="E15" s="15" t="s">
        <v>305</v>
      </c>
      <c r="F15" s="15" t="s">
        <v>17592</v>
      </c>
      <c r="G15" s="15"/>
      <c r="H15" s="15"/>
      <c r="I15" s="15" t="s">
        <v>528</v>
      </c>
      <c r="J15" s="15" t="s">
        <v>15991</v>
      </c>
    </row>
    <row r="16" spans="2:10">
      <c r="B16" s="15" t="s">
        <v>17570</v>
      </c>
      <c r="C16" s="15" t="s">
        <v>17593</v>
      </c>
      <c r="D16" s="15" t="s">
        <v>367</v>
      </c>
      <c r="E16" s="15" t="s">
        <v>305</v>
      </c>
      <c r="F16" s="15" t="s">
        <v>17594</v>
      </c>
      <c r="G16" s="15"/>
      <c r="H16" s="15"/>
      <c r="I16" s="15" t="s">
        <v>528</v>
      </c>
      <c r="J16" s="15" t="s">
        <v>15991</v>
      </c>
    </row>
    <row r="17" spans="2:10">
      <c r="B17" s="15" t="s">
        <v>17570</v>
      </c>
      <c r="C17" s="15" t="s">
        <v>17595</v>
      </c>
      <c r="D17" s="15" t="s">
        <v>513</v>
      </c>
      <c r="E17" s="15" t="s">
        <v>305</v>
      </c>
      <c r="F17" s="20" t="s">
        <v>17596</v>
      </c>
      <c r="G17" s="15"/>
      <c r="H17" s="15"/>
      <c r="I17" s="15" t="s">
        <v>528</v>
      </c>
      <c r="J17" s="15" t="s">
        <v>15991</v>
      </c>
    </row>
    <row r="18" spans="2:10">
      <c r="B18" s="15" t="s">
        <v>17570</v>
      </c>
      <c r="C18" s="15" t="s">
        <v>17597</v>
      </c>
      <c r="D18" s="15" t="s">
        <v>513</v>
      </c>
      <c r="E18" s="15" t="s">
        <v>305</v>
      </c>
      <c r="F18" s="20" t="s">
        <v>17598</v>
      </c>
      <c r="G18" s="15"/>
      <c r="H18" s="15"/>
      <c r="I18" s="15" t="s">
        <v>528</v>
      </c>
      <c r="J18" s="15" t="s">
        <v>15991</v>
      </c>
    </row>
    <row r="19" spans="2:10">
      <c r="B19" s="15" t="s">
        <v>17570</v>
      </c>
      <c r="C19" s="15" t="s">
        <v>17599</v>
      </c>
      <c r="D19" s="15" t="s">
        <v>506</v>
      </c>
      <c r="E19" s="15" t="s">
        <v>305</v>
      </c>
      <c r="F19" s="15" t="s">
        <v>17600</v>
      </c>
      <c r="G19" s="15"/>
      <c r="H19" s="15"/>
      <c r="I19" s="15" t="s">
        <v>528</v>
      </c>
      <c r="J19" s="15" t="s">
        <v>15991</v>
      </c>
    </row>
    <row r="20" spans="2:10">
      <c r="B20" s="15" t="s">
        <v>17570</v>
      </c>
      <c r="C20" s="15" t="s">
        <v>17601</v>
      </c>
      <c r="D20" s="15" t="s">
        <v>367</v>
      </c>
      <c r="E20" s="15" t="s">
        <v>305</v>
      </c>
      <c r="F20" s="15" t="s">
        <v>17602</v>
      </c>
      <c r="G20" s="15"/>
      <c r="H20" s="15"/>
      <c r="I20" s="15" t="s">
        <v>528</v>
      </c>
      <c r="J20" s="15" t="s">
        <v>15991</v>
      </c>
    </row>
    <row r="21" spans="2:10">
      <c r="B21" s="15" t="s">
        <v>17570</v>
      </c>
      <c r="C21" s="15" t="s">
        <v>17603</v>
      </c>
      <c r="D21" s="15" t="s">
        <v>367</v>
      </c>
      <c r="E21" s="15" t="s">
        <v>305</v>
      </c>
      <c r="F21" s="15" t="s">
        <v>17604</v>
      </c>
      <c r="G21" s="15"/>
      <c r="H21" s="15"/>
      <c r="I21" s="15" t="s">
        <v>528</v>
      </c>
      <c r="J21" s="15" t="s">
        <v>15991</v>
      </c>
    </row>
    <row r="22" spans="2:10">
      <c r="B22" s="15" t="s">
        <v>17570</v>
      </c>
      <c r="C22" s="15" t="s">
        <v>17605</v>
      </c>
      <c r="D22" s="15" t="s">
        <v>367</v>
      </c>
      <c r="E22" s="15" t="s">
        <v>305</v>
      </c>
      <c r="F22" s="15" t="s">
        <v>17606</v>
      </c>
      <c r="G22" s="15"/>
      <c r="H22" s="15"/>
      <c r="I22" s="15" t="s">
        <v>528</v>
      </c>
      <c r="J22" s="15" t="s">
        <v>15991</v>
      </c>
    </row>
    <row r="23" spans="2:10">
      <c r="B23" s="15" t="s">
        <v>17570</v>
      </c>
      <c r="C23" s="15" t="s">
        <v>17607</v>
      </c>
      <c r="D23" s="15" t="s">
        <v>367</v>
      </c>
      <c r="E23" s="15" t="s">
        <v>305</v>
      </c>
      <c r="F23" s="15" t="s">
        <v>17608</v>
      </c>
      <c r="G23" s="15"/>
      <c r="H23" s="15"/>
      <c r="I23" s="15" t="s">
        <v>528</v>
      </c>
      <c r="J23" s="15" t="s">
        <v>15991</v>
      </c>
    </row>
    <row r="24" spans="2:10">
      <c r="B24" s="15" t="s">
        <v>17570</v>
      </c>
      <c r="C24" s="15" t="s">
        <v>17609</v>
      </c>
      <c r="D24" s="15" t="s">
        <v>367</v>
      </c>
      <c r="E24" s="15" t="s">
        <v>305</v>
      </c>
      <c r="F24" s="15" t="s">
        <v>17610</v>
      </c>
      <c r="G24" s="15"/>
      <c r="H24" s="15"/>
      <c r="I24" s="15" t="s">
        <v>528</v>
      </c>
      <c r="J24" s="15" t="s">
        <v>15991</v>
      </c>
    </row>
    <row r="25" spans="2:10">
      <c r="B25" s="15" t="s">
        <v>17570</v>
      </c>
      <c r="C25" s="15" t="s">
        <v>17611</v>
      </c>
      <c r="D25" s="15" t="s">
        <v>367</v>
      </c>
      <c r="E25" s="15" t="s">
        <v>305</v>
      </c>
      <c r="F25" s="15" t="s">
        <v>17612</v>
      </c>
      <c r="G25" s="15"/>
      <c r="H25" s="15"/>
      <c r="I25" s="15" t="s">
        <v>528</v>
      </c>
      <c r="J25" s="15" t="s">
        <v>15991</v>
      </c>
    </row>
    <row r="26" spans="2:10">
      <c r="B26" s="15" t="s">
        <v>17570</v>
      </c>
      <c r="C26" s="15" t="s">
        <v>17613</v>
      </c>
      <c r="D26" s="15" t="s">
        <v>363</v>
      </c>
      <c r="E26" s="15" t="s">
        <v>305</v>
      </c>
      <c r="F26" s="15" t="s">
        <v>17614</v>
      </c>
      <c r="G26" s="15"/>
      <c r="H26" s="15"/>
      <c r="I26" s="15" t="s">
        <v>528</v>
      </c>
      <c r="J26" s="15" t="s">
        <v>15991</v>
      </c>
    </row>
    <row r="27" spans="2:10">
      <c r="B27" s="15" t="s">
        <v>17570</v>
      </c>
      <c r="C27" s="15" t="s">
        <v>17615</v>
      </c>
      <c r="D27" s="15" t="s">
        <v>367</v>
      </c>
      <c r="E27" s="15" t="s">
        <v>305</v>
      </c>
      <c r="F27" s="15" t="s">
        <v>17616</v>
      </c>
      <c r="G27" s="15"/>
      <c r="H27" s="15"/>
      <c r="I27" s="15" t="s">
        <v>528</v>
      </c>
      <c r="J27" s="15" t="s">
        <v>15991</v>
      </c>
    </row>
    <row r="28" spans="2:10">
      <c r="B28" s="15" t="s">
        <v>17570</v>
      </c>
      <c r="C28" s="15" t="s">
        <v>17617</v>
      </c>
      <c r="D28" s="15" t="s">
        <v>16557</v>
      </c>
      <c r="E28" s="15" t="s">
        <v>305</v>
      </c>
      <c r="F28" s="15" t="s">
        <v>17618</v>
      </c>
      <c r="G28" s="15"/>
      <c r="H28" s="15"/>
      <c r="I28" s="15" t="s">
        <v>528</v>
      </c>
      <c r="J28" s="15" t="s">
        <v>15991</v>
      </c>
    </row>
    <row r="29" spans="2:10">
      <c r="B29" s="15" t="s">
        <v>17570</v>
      </c>
      <c r="C29" s="15" t="s">
        <v>17619</v>
      </c>
      <c r="D29" s="15" t="s">
        <v>16557</v>
      </c>
      <c r="E29" s="15" t="s">
        <v>305</v>
      </c>
      <c r="F29" s="15" t="s">
        <v>17620</v>
      </c>
      <c r="G29" s="15"/>
      <c r="H29" s="15"/>
      <c r="I29" s="15" t="s">
        <v>528</v>
      </c>
      <c r="J29" s="15" t="s">
        <v>15991</v>
      </c>
    </row>
    <row r="30" spans="2:10">
      <c r="B30" s="15" t="s">
        <v>17570</v>
      </c>
      <c r="C30" s="15" t="s">
        <v>17621</v>
      </c>
      <c r="D30" s="15" t="s">
        <v>367</v>
      </c>
      <c r="E30" s="15" t="s">
        <v>305</v>
      </c>
      <c r="F30" s="15" t="s">
        <v>17622</v>
      </c>
      <c r="G30" s="15"/>
      <c r="H30" s="15"/>
      <c r="I30" s="15" t="s">
        <v>528</v>
      </c>
      <c r="J30" s="15" t="s">
        <v>15991</v>
      </c>
    </row>
    <row r="31" spans="2:10">
      <c r="B31" s="15" t="s">
        <v>17570</v>
      </c>
      <c r="C31" s="15" t="s">
        <v>17623</v>
      </c>
      <c r="D31" s="15" t="s">
        <v>367</v>
      </c>
      <c r="E31" s="15" t="s">
        <v>305</v>
      </c>
      <c r="F31" s="15" t="s">
        <v>17624</v>
      </c>
      <c r="G31" s="15"/>
      <c r="H31" s="15"/>
      <c r="I31" s="15" t="s">
        <v>528</v>
      </c>
      <c r="J31" s="15" t="s">
        <v>15991</v>
      </c>
    </row>
    <row r="32" spans="2:10">
      <c r="B32" s="15" t="s">
        <v>17570</v>
      </c>
      <c r="C32" s="15" t="s">
        <v>17625</v>
      </c>
      <c r="D32" s="15" t="s">
        <v>16557</v>
      </c>
      <c r="E32" s="15" t="s">
        <v>305</v>
      </c>
      <c r="F32" s="15" t="s">
        <v>17626</v>
      </c>
      <c r="G32" s="15"/>
      <c r="H32" s="15"/>
      <c r="I32" s="15" t="s">
        <v>528</v>
      </c>
      <c r="J32" s="15" t="s">
        <v>15991</v>
      </c>
    </row>
    <row r="33" spans="2:10">
      <c r="B33" s="15" t="s">
        <v>17570</v>
      </c>
      <c r="C33" s="15" t="s">
        <v>17627</v>
      </c>
      <c r="D33" s="15" t="s">
        <v>367</v>
      </c>
      <c r="E33" s="15" t="s">
        <v>305</v>
      </c>
      <c r="F33" s="15" t="s">
        <v>17628</v>
      </c>
      <c r="G33" s="15"/>
      <c r="H33" s="15"/>
      <c r="I33" s="15" t="s">
        <v>528</v>
      </c>
      <c r="J33" s="15" t="s">
        <v>15991</v>
      </c>
    </row>
    <row r="34" spans="2:10">
      <c r="B34" s="15" t="s">
        <v>17570</v>
      </c>
      <c r="C34" s="15" t="s">
        <v>17629</v>
      </c>
      <c r="D34" s="15" t="s">
        <v>367</v>
      </c>
      <c r="E34" s="15" t="s">
        <v>305</v>
      </c>
      <c r="F34" s="15" t="s">
        <v>17630</v>
      </c>
      <c r="G34" s="15"/>
      <c r="H34" s="15"/>
      <c r="I34" s="15" t="s">
        <v>528</v>
      </c>
      <c r="J34" s="15" t="s">
        <v>15991</v>
      </c>
    </row>
    <row r="35" spans="2:10">
      <c r="B35" s="15" t="s">
        <v>17570</v>
      </c>
      <c r="C35" s="15" t="s">
        <v>17631</v>
      </c>
      <c r="D35" s="15" t="s">
        <v>367</v>
      </c>
      <c r="E35" s="15" t="s">
        <v>305</v>
      </c>
      <c r="F35" s="15" t="s">
        <v>17632</v>
      </c>
      <c r="G35" s="15"/>
      <c r="H35" s="15"/>
      <c r="I35" s="15" t="s">
        <v>528</v>
      </c>
      <c r="J35" s="15" t="s">
        <v>15991</v>
      </c>
    </row>
    <row r="36" spans="2:10">
      <c r="B36" s="15" t="s">
        <v>17570</v>
      </c>
      <c r="C36" s="15" t="s">
        <v>17633</v>
      </c>
      <c r="D36" s="15" t="s">
        <v>367</v>
      </c>
      <c r="E36" s="15" t="s">
        <v>305</v>
      </c>
      <c r="F36" s="15" t="s">
        <v>17634</v>
      </c>
      <c r="G36" s="15"/>
      <c r="H36" s="15"/>
      <c r="I36" s="15" t="s">
        <v>528</v>
      </c>
      <c r="J36" s="15" t="s">
        <v>15991</v>
      </c>
    </row>
    <row r="37" spans="2:10">
      <c r="B37" s="15" t="s">
        <v>17570</v>
      </c>
      <c r="C37" s="15" t="s">
        <v>17635</v>
      </c>
      <c r="D37" s="15" t="s">
        <v>367</v>
      </c>
      <c r="E37" s="15" t="s">
        <v>305</v>
      </c>
      <c r="F37" s="15" t="s">
        <v>17636</v>
      </c>
      <c r="G37" s="15"/>
      <c r="H37" s="15"/>
      <c r="I37" s="15" t="s">
        <v>528</v>
      </c>
      <c r="J37" s="15" t="s">
        <v>15991</v>
      </c>
    </row>
    <row r="38" spans="2:10">
      <c r="B38" s="15" t="s">
        <v>17570</v>
      </c>
      <c r="C38" s="15" t="s">
        <v>17637</v>
      </c>
      <c r="D38" s="15" t="s">
        <v>367</v>
      </c>
      <c r="E38" s="15" t="s">
        <v>305</v>
      </c>
      <c r="F38" s="15" t="s">
        <v>17638</v>
      </c>
      <c r="G38" s="52" t="str">
        <f>HYPERLINK("#码值映射清单!B5150","YesNo")</f>
        <v>YesNo</v>
      </c>
      <c r="H38" s="15"/>
      <c r="I38" s="15" t="s">
        <v>528</v>
      </c>
      <c r="J38" s="15" t="s">
        <v>15991</v>
      </c>
    </row>
    <row r="39" spans="2:10">
      <c r="B39" s="15" t="s">
        <v>17570</v>
      </c>
      <c r="C39" s="15" t="s">
        <v>17639</v>
      </c>
      <c r="D39" s="15" t="s">
        <v>506</v>
      </c>
      <c r="E39" s="15" t="s">
        <v>305</v>
      </c>
      <c r="F39" s="15" t="s">
        <v>17640</v>
      </c>
      <c r="G39" s="15"/>
      <c r="H39" s="15"/>
      <c r="I39" s="15" t="s">
        <v>528</v>
      </c>
      <c r="J39" s="15" t="s">
        <v>15991</v>
      </c>
    </row>
    <row r="40" spans="2:10">
      <c r="B40" s="15" t="s">
        <v>17570</v>
      </c>
      <c r="C40" s="15" t="s">
        <v>17641</v>
      </c>
      <c r="D40" s="15" t="s">
        <v>506</v>
      </c>
      <c r="E40" s="15" t="s">
        <v>305</v>
      </c>
      <c r="F40" s="15" t="s">
        <v>17642</v>
      </c>
      <c r="G40" s="15"/>
      <c r="H40" s="15"/>
      <c r="I40" s="15" t="s">
        <v>528</v>
      </c>
      <c r="J40" s="15" t="s">
        <v>15991</v>
      </c>
    </row>
    <row r="41" spans="2:10">
      <c r="B41" s="15" t="s">
        <v>17570</v>
      </c>
      <c r="C41" s="15" t="s">
        <v>17643</v>
      </c>
      <c r="D41" s="15" t="s">
        <v>513</v>
      </c>
      <c r="E41" s="15" t="s">
        <v>305</v>
      </c>
      <c r="F41" s="15" t="s">
        <v>10208</v>
      </c>
      <c r="G41" s="52" t="str">
        <f>HYPERLINK("#码值映射清单!B7958","WoodlandSubType")</f>
        <v>WoodlandSubType</v>
      </c>
      <c r="H41" s="15"/>
      <c r="I41" s="15" t="s">
        <v>528</v>
      </c>
      <c r="J41" s="15" t="s">
        <v>15991</v>
      </c>
    </row>
    <row r="42" spans="2:10">
      <c r="B42" s="15" t="s">
        <v>17570</v>
      </c>
      <c r="C42" s="15" t="s">
        <v>17644</v>
      </c>
      <c r="D42" s="15" t="s">
        <v>367</v>
      </c>
      <c r="E42" s="15" t="s">
        <v>305</v>
      </c>
      <c r="F42" s="15" t="s">
        <v>17645</v>
      </c>
      <c r="G42" s="15"/>
      <c r="H42" s="15"/>
      <c r="I42" s="15" t="s">
        <v>528</v>
      </c>
      <c r="J42" s="15" t="s">
        <v>15991</v>
      </c>
    </row>
    <row r="43" spans="2:10">
      <c r="B43" s="15" t="s">
        <v>17570</v>
      </c>
      <c r="C43" s="15" t="s">
        <v>17646</v>
      </c>
      <c r="D43" s="15" t="s">
        <v>367</v>
      </c>
      <c r="E43" s="15" t="s">
        <v>305</v>
      </c>
      <c r="F43" s="15" t="s">
        <v>17647</v>
      </c>
      <c r="G43" s="15"/>
      <c r="H43" s="15"/>
      <c r="I43" s="15" t="s">
        <v>528</v>
      </c>
      <c r="J43" s="15" t="s">
        <v>15991</v>
      </c>
    </row>
    <row r="44" spans="2:10">
      <c r="B44" s="15" t="s">
        <v>17570</v>
      </c>
      <c r="C44" s="15" t="s">
        <v>17648</v>
      </c>
      <c r="D44" s="15" t="s">
        <v>16557</v>
      </c>
      <c r="E44" s="15" t="s">
        <v>305</v>
      </c>
      <c r="F44" s="15" t="s">
        <v>17649</v>
      </c>
      <c r="G44" s="15"/>
      <c r="H44" s="15"/>
      <c r="I44" s="15" t="s">
        <v>528</v>
      </c>
      <c r="J44" s="15" t="s">
        <v>15991</v>
      </c>
    </row>
    <row r="45" spans="2:10">
      <c r="B45" s="15" t="s">
        <v>17570</v>
      </c>
      <c r="C45" s="15" t="s">
        <v>17650</v>
      </c>
      <c r="D45" s="15" t="s">
        <v>367</v>
      </c>
      <c r="E45" s="15" t="s">
        <v>305</v>
      </c>
      <c r="F45" s="15" t="s">
        <v>17651</v>
      </c>
      <c r="G45" s="15"/>
      <c r="H45" s="15"/>
      <c r="I45" s="15" t="s">
        <v>528</v>
      </c>
      <c r="J45" s="15" t="s">
        <v>15991</v>
      </c>
    </row>
    <row r="46" spans="2:10">
      <c r="B46" s="15" t="s">
        <v>17570</v>
      </c>
      <c r="C46" s="15" t="s">
        <v>17652</v>
      </c>
      <c r="D46" s="15" t="s">
        <v>367</v>
      </c>
      <c r="E46" s="15" t="s">
        <v>305</v>
      </c>
      <c r="F46" s="15" t="s">
        <v>17653</v>
      </c>
      <c r="G46" s="15"/>
      <c r="H46" s="15"/>
      <c r="I46" s="15" t="s">
        <v>528</v>
      </c>
      <c r="J46" s="15" t="s">
        <v>15991</v>
      </c>
    </row>
    <row r="47" spans="2:10">
      <c r="B47" s="15" t="s">
        <v>17570</v>
      </c>
      <c r="C47" s="15" t="s">
        <v>17654</v>
      </c>
      <c r="D47" s="15" t="s">
        <v>367</v>
      </c>
      <c r="E47" s="15" t="s">
        <v>305</v>
      </c>
      <c r="F47" s="15" t="s">
        <v>17655</v>
      </c>
      <c r="G47" s="15"/>
      <c r="H47" s="15"/>
      <c r="I47" s="15" t="s">
        <v>528</v>
      </c>
      <c r="J47" s="15" t="s">
        <v>15991</v>
      </c>
    </row>
    <row r="48" spans="2:10">
      <c r="B48" s="15" t="s">
        <v>17570</v>
      </c>
      <c r="C48" s="15" t="s">
        <v>17656</v>
      </c>
      <c r="D48" s="15" t="s">
        <v>367</v>
      </c>
      <c r="E48" s="15" t="s">
        <v>305</v>
      </c>
      <c r="F48" s="15" t="s">
        <v>17657</v>
      </c>
      <c r="G48" s="15"/>
      <c r="H48" s="15"/>
      <c r="I48" s="15" t="s">
        <v>528</v>
      </c>
      <c r="J48" s="15" t="s">
        <v>15991</v>
      </c>
    </row>
    <row r="49" spans="2:10">
      <c r="B49" s="15" t="s">
        <v>17570</v>
      </c>
      <c r="C49" s="15" t="s">
        <v>17658</v>
      </c>
      <c r="D49" s="15" t="s">
        <v>16557</v>
      </c>
      <c r="E49" s="15" t="s">
        <v>305</v>
      </c>
      <c r="F49" s="15" t="s">
        <v>17659</v>
      </c>
      <c r="G49" s="15"/>
      <c r="H49" s="15"/>
      <c r="I49" s="15" t="s">
        <v>528</v>
      </c>
      <c r="J49" s="15" t="s">
        <v>15991</v>
      </c>
    </row>
    <row r="50" spans="2:10">
      <c r="B50" s="15" t="s">
        <v>17570</v>
      </c>
      <c r="C50" s="15" t="s">
        <v>17660</v>
      </c>
      <c r="D50" s="15" t="s">
        <v>16557</v>
      </c>
      <c r="E50" s="15" t="s">
        <v>305</v>
      </c>
      <c r="F50" s="15" t="s">
        <v>17661</v>
      </c>
      <c r="G50" s="15"/>
      <c r="H50" s="15"/>
      <c r="I50" s="15" t="s">
        <v>528</v>
      </c>
      <c r="J50" s="15" t="s">
        <v>15991</v>
      </c>
    </row>
    <row r="51" spans="2:10">
      <c r="B51" s="15" t="s">
        <v>17570</v>
      </c>
      <c r="C51" s="15" t="s">
        <v>17662</v>
      </c>
      <c r="D51" s="15" t="s">
        <v>513</v>
      </c>
      <c r="E51" s="15" t="s">
        <v>305</v>
      </c>
      <c r="F51" s="15" t="s">
        <v>17663</v>
      </c>
      <c r="G51" s="15"/>
      <c r="H51" s="15"/>
      <c r="I51" s="15" t="s">
        <v>528</v>
      </c>
      <c r="J51" s="15" t="s">
        <v>15991</v>
      </c>
    </row>
    <row r="52" spans="2:10">
      <c r="B52" s="15" t="s">
        <v>17570</v>
      </c>
      <c r="C52" s="15" t="s">
        <v>17664</v>
      </c>
      <c r="D52" s="15" t="s">
        <v>367</v>
      </c>
      <c r="E52" s="15" t="s">
        <v>305</v>
      </c>
      <c r="F52" s="15" t="s">
        <v>1888</v>
      </c>
      <c r="G52" s="15"/>
      <c r="H52" s="15"/>
      <c r="I52" s="15" t="s">
        <v>528</v>
      </c>
      <c r="J52" s="15" t="s">
        <v>15991</v>
      </c>
    </row>
    <row r="53" spans="2:10">
      <c r="B53" s="15" t="s">
        <v>17570</v>
      </c>
      <c r="C53" s="15" t="s">
        <v>17665</v>
      </c>
      <c r="D53" s="15" t="s">
        <v>367</v>
      </c>
      <c r="E53" s="15" t="s">
        <v>305</v>
      </c>
      <c r="F53" s="15" t="s">
        <v>2320</v>
      </c>
      <c r="G53" s="15"/>
      <c r="H53" s="15"/>
      <c r="I53" s="15" t="s">
        <v>528</v>
      </c>
      <c r="J53" s="15" t="s">
        <v>15991</v>
      </c>
    </row>
    <row r="54" spans="2:10">
      <c r="B54" s="15" t="s">
        <v>17570</v>
      </c>
      <c r="C54" s="15" t="s">
        <v>17666</v>
      </c>
      <c r="D54" s="15" t="s">
        <v>350</v>
      </c>
      <c r="E54" s="15" t="s">
        <v>305</v>
      </c>
      <c r="F54" s="15" t="s">
        <v>17667</v>
      </c>
      <c r="G54" s="15"/>
      <c r="H54" s="15"/>
      <c r="I54" s="15" t="s">
        <v>528</v>
      </c>
      <c r="J54" s="15" t="s">
        <v>15991</v>
      </c>
    </row>
    <row r="55" spans="2:10">
      <c r="B55" s="15" t="s">
        <v>17570</v>
      </c>
      <c r="C55" s="15" t="s">
        <v>17668</v>
      </c>
      <c r="D55" s="15" t="s">
        <v>16072</v>
      </c>
      <c r="E55" s="15" t="s">
        <v>305</v>
      </c>
      <c r="F55" s="15" t="s">
        <v>17669</v>
      </c>
      <c r="G55" s="52" t="str">
        <f>HYPERLINK("#码值映射清单!B5150","YesNo")</f>
        <v>YesNo</v>
      </c>
      <c r="H55" s="15"/>
      <c r="I55" s="15" t="s">
        <v>528</v>
      </c>
      <c r="J55" s="15" t="s">
        <v>15991</v>
      </c>
    </row>
    <row r="56" spans="2:10">
      <c r="B56" s="15" t="s">
        <v>17570</v>
      </c>
      <c r="C56" s="15" t="s">
        <v>17670</v>
      </c>
      <c r="D56" s="15" t="s">
        <v>16072</v>
      </c>
      <c r="E56" s="15" t="s">
        <v>305</v>
      </c>
      <c r="F56" s="15" t="s">
        <v>17671</v>
      </c>
      <c r="G56" s="52" t="str">
        <f>HYPERLINK("#码值映射清单!B5150","YesNo")</f>
        <v>YesNo</v>
      </c>
      <c r="H56" s="15"/>
      <c r="I56" s="15" t="s">
        <v>528</v>
      </c>
      <c r="J56" s="15" t="s">
        <v>15991</v>
      </c>
    </row>
    <row r="57" spans="2:10">
      <c r="B57" s="15" t="s">
        <v>17570</v>
      </c>
      <c r="C57" s="15" t="s">
        <v>17672</v>
      </c>
      <c r="D57" s="15" t="s">
        <v>506</v>
      </c>
      <c r="E57" s="15" t="s">
        <v>305</v>
      </c>
      <c r="F57" s="20" t="s">
        <v>17673</v>
      </c>
      <c r="G57" s="15"/>
      <c r="H57" s="15"/>
      <c r="I57" s="15" t="s">
        <v>528</v>
      </c>
      <c r="J57" s="15" t="s">
        <v>15991</v>
      </c>
    </row>
    <row r="58" spans="2:10">
      <c r="B58" s="15" t="s">
        <v>17570</v>
      </c>
      <c r="C58" s="15" t="s">
        <v>17674</v>
      </c>
      <c r="D58" s="15" t="s">
        <v>367</v>
      </c>
      <c r="E58" s="15" t="s">
        <v>305</v>
      </c>
      <c r="F58" s="15" t="s">
        <v>17675</v>
      </c>
      <c r="G58" s="15"/>
      <c r="H58" s="15"/>
      <c r="I58" s="15" t="s">
        <v>528</v>
      </c>
      <c r="J58" s="15" t="s">
        <v>15991</v>
      </c>
    </row>
    <row r="59" spans="2:10">
      <c r="B59" s="15" t="s">
        <v>17570</v>
      </c>
      <c r="C59" s="15" t="s">
        <v>17676</v>
      </c>
      <c r="D59" s="15" t="s">
        <v>16557</v>
      </c>
      <c r="E59" s="15" t="s">
        <v>305</v>
      </c>
      <c r="F59" s="15" t="s">
        <v>17677</v>
      </c>
      <c r="G59" s="15"/>
      <c r="H59" s="15"/>
      <c r="I59" s="15" t="s">
        <v>528</v>
      </c>
      <c r="J59" s="15" t="s">
        <v>15991</v>
      </c>
    </row>
    <row r="60" spans="2:10">
      <c r="B60" s="15" t="s">
        <v>17570</v>
      </c>
      <c r="C60" s="15" t="s">
        <v>17348</v>
      </c>
      <c r="D60" s="15" t="s">
        <v>367</v>
      </c>
      <c r="E60" s="15" t="s">
        <v>305</v>
      </c>
      <c r="F60" s="15" t="s">
        <v>17678</v>
      </c>
      <c r="G60" s="15"/>
      <c r="H60" s="15"/>
      <c r="I60" s="15" t="s">
        <v>528</v>
      </c>
      <c r="J60" s="15" t="s">
        <v>15991</v>
      </c>
    </row>
    <row r="61" spans="2:10">
      <c r="B61" s="15" t="s">
        <v>17570</v>
      </c>
      <c r="C61" s="15" t="s">
        <v>17679</v>
      </c>
      <c r="D61" s="15" t="s">
        <v>367</v>
      </c>
      <c r="E61" s="15" t="s">
        <v>305</v>
      </c>
      <c r="F61" s="15" t="s">
        <v>17680</v>
      </c>
      <c r="G61" s="15"/>
      <c r="H61" s="15"/>
      <c r="I61" s="15" t="s">
        <v>528</v>
      </c>
      <c r="J61" s="15" t="s">
        <v>15991</v>
      </c>
    </row>
    <row r="62" spans="2:10">
      <c r="B62" s="15" t="s">
        <v>17570</v>
      </c>
      <c r="C62" s="15" t="s">
        <v>17681</v>
      </c>
      <c r="D62" s="15" t="s">
        <v>321</v>
      </c>
      <c r="E62" s="15" t="s">
        <v>305</v>
      </c>
      <c r="F62" s="15" t="s">
        <v>9953</v>
      </c>
      <c r="G62" s="52" t="str">
        <f>HYPERLINK("#码值映射清单!B7690","WatersUsageType")</f>
        <v>WatersUsageType</v>
      </c>
      <c r="H62" s="15"/>
      <c r="I62" s="15" t="s">
        <v>528</v>
      </c>
      <c r="J62" s="15" t="s">
        <v>15991</v>
      </c>
    </row>
    <row r="63" spans="2:10">
      <c r="B63" s="15" t="s">
        <v>17570</v>
      </c>
      <c r="C63" s="15" t="s">
        <v>17682</v>
      </c>
      <c r="D63" s="15" t="s">
        <v>350</v>
      </c>
      <c r="E63" s="15" t="s">
        <v>305</v>
      </c>
      <c r="F63" s="15" t="s">
        <v>17683</v>
      </c>
      <c r="G63" s="15"/>
      <c r="H63" s="15"/>
      <c r="I63" s="15" t="s">
        <v>528</v>
      </c>
      <c r="J63" s="15" t="s">
        <v>15991</v>
      </c>
    </row>
    <row r="64" spans="2:10">
      <c r="B64" s="15" t="s">
        <v>17570</v>
      </c>
      <c r="C64" s="15" t="s">
        <v>17684</v>
      </c>
      <c r="D64" s="15" t="s">
        <v>513</v>
      </c>
      <c r="E64" s="15" t="s">
        <v>305</v>
      </c>
      <c r="F64" s="15" t="s">
        <v>17685</v>
      </c>
      <c r="G64" s="15"/>
      <c r="H64" s="15"/>
      <c r="I64" s="15" t="s">
        <v>528</v>
      </c>
      <c r="J64" s="15" t="s">
        <v>15991</v>
      </c>
    </row>
    <row r="65" spans="2:10">
      <c r="B65" s="15" t="s">
        <v>17570</v>
      </c>
      <c r="C65" s="15" t="s">
        <v>17686</v>
      </c>
      <c r="D65" s="15" t="s">
        <v>513</v>
      </c>
      <c r="E65" s="15" t="s">
        <v>305</v>
      </c>
      <c r="F65" s="15" t="s">
        <v>17687</v>
      </c>
      <c r="G65" s="15"/>
      <c r="H65" s="15"/>
      <c r="I65" s="15" t="s">
        <v>528</v>
      </c>
      <c r="J65" s="15" t="s">
        <v>15991</v>
      </c>
    </row>
    <row r="66" spans="2:10">
      <c r="B66" s="15" t="s">
        <v>17570</v>
      </c>
      <c r="C66" s="15" t="s">
        <v>17688</v>
      </c>
      <c r="D66" s="15" t="s">
        <v>316</v>
      </c>
      <c r="E66" s="15" t="s">
        <v>305</v>
      </c>
      <c r="F66" s="15" t="s">
        <v>17689</v>
      </c>
      <c r="G66" s="15"/>
      <c r="H66" s="15"/>
      <c r="I66" s="15" t="s">
        <v>528</v>
      </c>
      <c r="J66" s="15" t="s">
        <v>15991</v>
      </c>
    </row>
    <row r="67" spans="2:10">
      <c r="B67" s="15" t="s">
        <v>17570</v>
      </c>
      <c r="C67" s="15" t="s">
        <v>17690</v>
      </c>
      <c r="D67" s="15" t="s">
        <v>506</v>
      </c>
      <c r="E67" s="15" t="s">
        <v>305</v>
      </c>
      <c r="F67" s="15" t="s">
        <v>17691</v>
      </c>
      <c r="G67" s="15"/>
      <c r="H67" s="15"/>
      <c r="I67" s="15" t="s">
        <v>528</v>
      </c>
      <c r="J67" s="15" t="s">
        <v>15991</v>
      </c>
    </row>
    <row r="68" spans="2:10">
      <c r="B68" s="15" t="s">
        <v>17570</v>
      </c>
      <c r="C68" s="15" t="s">
        <v>17692</v>
      </c>
      <c r="D68" s="15" t="s">
        <v>513</v>
      </c>
      <c r="E68" s="15" t="s">
        <v>305</v>
      </c>
      <c r="F68" s="15" t="s">
        <v>17693</v>
      </c>
      <c r="G68" s="15"/>
      <c r="H68" s="15"/>
      <c r="I68" s="15" t="s">
        <v>528</v>
      </c>
      <c r="J68" s="15" t="s">
        <v>15991</v>
      </c>
    </row>
    <row r="69" spans="2:10">
      <c r="B69" s="15" t="s">
        <v>17570</v>
      </c>
      <c r="C69" s="15" t="s">
        <v>17694</v>
      </c>
      <c r="D69" s="15" t="s">
        <v>321</v>
      </c>
      <c r="E69" s="15" t="s">
        <v>305</v>
      </c>
      <c r="F69" s="15" t="s">
        <v>9450</v>
      </c>
      <c r="G69" s="52" t="str">
        <f>HYPERLINK("#码值映射清单!B7307","WasteLandUsageType")</f>
        <v>WasteLandUsageType</v>
      </c>
      <c r="H69" s="15"/>
      <c r="I69" s="15" t="s">
        <v>528</v>
      </c>
      <c r="J69" s="15" t="s">
        <v>15991</v>
      </c>
    </row>
    <row r="70" spans="2:10">
      <c r="B70" s="15" t="s">
        <v>17570</v>
      </c>
      <c r="C70" s="15" t="s">
        <v>17695</v>
      </c>
      <c r="D70" s="15" t="s">
        <v>16056</v>
      </c>
      <c r="E70" s="15" t="s">
        <v>305</v>
      </c>
      <c r="F70" s="15" t="s">
        <v>17696</v>
      </c>
      <c r="G70" s="15"/>
      <c r="H70" s="15"/>
      <c r="I70" s="15" t="s">
        <v>528</v>
      </c>
      <c r="J70" s="15" t="s">
        <v>15991</v>
      </c>
    </row>
    <row r="71" spans="2:10">
      <c r="B71" s="15" t="s">
        <v>17570</v>
      </c>
      <c r="C71" s="15" t="s">
        <v>17697</v>
      </c>
      <c r="D71" s="15" t="s">
        <v>350</v>
      </c>
      <c r="E71" s="15" t="s">
        <v>305</v>
      </c>
      <c r="F71" s="20" t="s">
        <v>17698</v>
      </c>
      <c r="G71" s="15"/>
      <c r="H71" s="15"/>
      <c r="I71" s="15" t="s">
        <v>528</v>
      </c>
      <c r="J71" s="15" t="s">
        <v>15991</v>
      </c>
    </row>
    <row r="72" spans="2:10">
      <c r="B72" s="15" t="s">
        <v>17570</v>
      </c>
      <c r="C72" s="15" t="s">
        <v>17699</v>
      </c>
      <c r="D72" s="15" t="s">
        <v>367</v>
      </c>
      <c r="E72" s="15" t="s">
        <v>305</v>
      </c>
      <c r="F72" s="15" t="s">
        <v>17700</v>
      </c>
      <c r="G72" s="15"/>
      <c r="H72" s="15"/>
      <c r="I72" s="15" t="s">
        <v>528</v>
      </c>
      <c r="J72" s="15" t="s">
        <v>15991</v>
      </c>
    </row>
    <row r="73" spans="2:10">
      <c r="B73" s="15" t="s">
        <v>17570</v>
      </c>
      <c r="C73" s="15" t="s">
        <v>17701</v>
      </c>
      <c r="D73" s="15" t="s">
        <v>367</v>
      </c>
      <c r="E73" s="15" t="s">
        <v>305</v>
      </c>
      <c r="F73" s="15" t="s">
        <v>17702</v>
      </c>
      <c r="G73" s="15"/>
      <c r="H73" s="15"/>
      <c r="I73" s="15" t="s">
        <v>528</v>
      </c>
      <c r="J73" s="15" t="s">
        <v>15991</v>
      </c>
    </row>
    <row r="74" spans="2:10">
      <c r="B74" s="15" t="s">
        <v>17570</v>
      </c>
      <c r="C74" s="15" t="s">
        <v>17703</v>
      </c>
      <c r="D74" s="15" t="s">
        <v>367</v>
      </c>
      <c r="E74" s="15" t="s">
        <v>305</v>
      </c>
      <c r="F74" s="15" t="s">
        <v>17704</v>
      </c>
      <c r="G74" s="15"/>
      <c r="H74" s="15"/>
      <c r="I74" s="15" t="s">
        <v>528</v>
      </c>
      <c r="J74" s="15" t="s">
        <v>15991</v>
      </c>
    </row>
    <row r="75" spans="2:10">
      <c r="B75" s="15" t="s">
        <v>17570</v>
      </c>
      <c r="C75" s="15" t="s">
        <v>17705</v>
      </c>
      <c r="D75" s="15" t="s">
        <v>506</v>
      </c>
      <c r="E75" s="15" t="s">
        <v>305</v>
      </c>
      <c r="F75" s="20" t="s">
        <v>17706</v>
      </c>
      <c r="G75" s="15"/>
      <c r="H75" s="15"/>
      <c r="I75" s="15" t="s">
        <v>528</v>
      </c>
      <c r="J75" s="15" t="s">
        <v>15991</v>
      </c>
    </row>
    <row r="76" spans="2:10">
      <c r="B76" s="15" t="s">
        <v>17570</v>
      </c>
      <c r="C76" s="15" t="s">
        <v>17707</v>
      </c>
      <c r="D76" s="15" t="s">
        <v>506</v>
      </c>
      <c r="E76" s="15" t="s">
        <v>305</v>
      </c>
      <c r="F76" s="15" t="s">
        <v>17708</v>
      </c>
      <c r="G76" s="15"/>
      <c r="H76" s="15"/>
      <c r="I76" s="15" t="s">
        <v>528</v>
      </c>
      <c r="J76" s="15" t="s">
        <v>15991</v>
      </c>
    </row>
    <row r="77" spans="2:10">
      <c r="B77" s="15" t="s">
        <v>17570</v>
      </c>
      <c r="C77" s="15" t="s">
        <v>17709</v>
      </c>
      <c r="D77" s="15" t="s">
        <v>16072</v>
      </c>
      <c r="E77" s="15" t="s">
        <v>305</v>
      </c>
      <c r="F77" s="15" t="s">
        <v>17710</v>
      </c>
      <c r="G77" s="52" t="str">
        <f t="shared" ref="G77:G105" si="0">HYPERLINK("#码值映射清单!B5150","YesNo")</f>
        <v>YesNo</v>
      </c>
      <c r="H77" s="15"/>
      <c r="I77" s="15" t="s">
        <v>528</v>
      </c>
      <c r="J77" s="15" t="s">
        <v>15991</v>
      </c>
    </row>
    <row r="78" spans="2:10">
      <c r="B78" s="15" t="s">
        <v>17570</v>
      </c>
      <c r="C78" s="15" t="s">
        <v>17711</v>
      </c>
      <c r="D78" s="15" t="s">
        <v>16072</v>
      </c>
      <c r="E78" s="15" t="s">
        <v>305</v>
      </c>
      <c r="F78" s="15" t="s">
        <v>17712</v>
      </c>
      <c r="G78" s="52" t="str">
        <f t="shared" si="0"/>
        <v>YesNo</v>
      </c>
      <c r="H78" s="15"/>
      <c r="I78" s="15" t="s">
        <v>528</v>
      </c>
      <c r="J78" s="15" t="s">
        <v>15991</v>
      </c>
    </row>
    <row r="79" spans="2:10">
      <c r="B79" s="15" t="s">
        <v>17570</v>
      </c>
      <c r="C79" s="15" t="s">
        <v>17713</v>
      </c>
      <c r="D79" s="15" t="s">
        <v>16072</v>
      </c>
      <c r="E79" s="15" t="s">
        <v>305</v>
      </c>
      <c r="F79" s="15" t="s">
        <v>17714</v>
      </c>
      <c r="G79" s="52" t="str">
        <f t="shared" si="0"/>
        <v>YesNo</v>
      </c>
      <c r="H79" s="15"/>
      <c r="I79" s="15" t="s">
        <v>528</v>
      </c>
      <c r="J79" s="15" t="s">
        <v>15991</v>
      </c>
    </row>
    <row r="80" spans="2:10">
      <c r="B80" s="15" t="s">
        <v>17570</v>
      </c>
      <c r="C80" s="15" t="s">
        <v>17715</v>
      </c>
      <c r="D80" s="15" t="s">
        <v>16072</v>
      </c>
      <c r="E80" s="15" t="s">
        <v>305</v>
      </c>
      <c r="F80" s="15" t="s">
        <v>17716</v>
      </c>
      <c r="G80" s="52" t="str">
        <f t="shared" si="0"/>
        <v>YesNo</v>
      </c>
      <c r="H80" s="15"/>
      <c r="I80" s="15" t="s">
        <v>528</v>
      </c>
      <c r="J80" s="15" t="s">
        <v>15991</v>
      </c>
    </row>
    <row r="81" spans="2:10">
      <c r="B81" s="15" t="s">
        <v>17570</v>
      </c>
      <c r="C81" s="15" t="s">
        <v>17717</v>
      </c>
      <c r="D81" s="15" t="s">
        <v>16072</v>
      </c>
      <c r="E81" s="15" t="s">
        <v>305</v>
      </c>
      <c r="F81" s="15" t="s">
        <v>17718</v>
      </c>
      <c r="G81" s="52" t="str">
        <f t="shared" si="0"/>
        <v>YesNo</v>
      </c>
      <c r="H81" s="15"/>
      <c r="I81" s="15" t="s">
        <v>528</v>
      </c>
      <c r="J81" s="15" t="s">
        <v>15991</v>
      </c>
    </row>
    <row r="82" spans="2:10">
      <c r="B82" s="15" t="s">
        <v>17570</v>
      </c>
      <c r="C82" s="15" t="s">
        <v>17719</v>
      </c>
      <c r="D82" s="15" t="s">
        <v>16072</v>
      </c>
      <c r="E82" s="15" t="s">
        <v>305</v>
      </c>
      <c r="F82" s="15" t="s">
        <v>17720</v>
      </c>
      <c r="G82" s="52" t="str">
        <f t="shared" si="0"/>
        <v>YesNo</v>
      </c>
      <c r="H82" s="15"/>
      <c r="I82" s="15" t="s">
        <v>528</v>
      </c>
      <c r="J82" s="15" t="s">
        <v>15991</v>
      </c>
    </row>
    <row r="83" spans="2:10">
      <c r="B83" s="15" t="s">
        <v>17570</v>
      </c>
      <c r="C83" s="15" t="s">
        <v>17721</v>
      </c>
      <c r="D83" s="15" t="s">
        <v>16072</v>
      </c>
      <c r="E83" s="15" t="s">
        <v>305</v>
      </c>
      <c r="F83" s="15" t="s">
        <v>17722</v>
      </c>
      <c r="G83" s="52" t="str">
        <f t="shared" si="0"/>
        <v>YesNo</v>
      </c>
      <c r="H83" s="15"/>
      <c r="I83" s="15" t="s">
        <v>528</v>
      </c>
      <c r="J83" s="15" t="s">
        <v>15991</v>
      </c>
    </row>
    <row r="84" spans="2:10">
      <c r="B84" s="15" t="s">
        <v>17570</v>
      </c>
      <c r="C84" s="15" t="s">
        <v>17723</v>
      </c>
      <c r="D84" s="15" t="s">
        <v>16072</v>
      </c>
      <c r="E84" s="15" t="s">
        <v>305</v>
      </c>
      <c r="F84" s="15" t="s">
        <v>17724</v>
      </c>
      <c r="G84" s="52" t="str">
        <f t="shared" si="0"/>
        <v>YesNo</v>
      </c>
      <c r="H84" s="15"/>
      <c r="I84" s="15" t="s">
        <v>528</v>
      </c>
      <c r="J84" s="15" t="s">
        <v>15991</v>
      </c>
    </row>
    <row r="85" spans="2:10">
      <c r="B85" s="15" t="s">
        <v>17570</v>
      </c>
      <c r="C85" s="15" t="s">
        <v>17725</v>
      </c>
      <c r="D85" s="15" t="s">
        <v>16072</v>
      </c>
      <c r="E85" s="15" t="s">
        <v>305</v>
      </c>
      <c r="F85" s="15" t="s">
        <v>17726</v>
      </c>
      <c r="G85" s="52" t="str">
        <f t="shared" si="0"/>
        <v>YesNo</v>
      </c>
      <c r="H85" s="15"/>
      <c r="I85" s="15" t="s">
        <v>528</v>
      </c>
      <c r="J85" s="15" t="s">
        <v>15991</v>
      </c>
    </row>
    <row r="86" spans="2:10">
      <c r="B86" s="15" t="s">
        <v>17570</v>
      </c>
      <c r="C86" s="15" t="s">
        <v>17727</v>
      </c>
      <c r="D86" s="15" t="s">
        <v>16072</v>
      </c>
      <c r="E86" s="15" t="s">
        <v>305</v>
      </c>
      <c r="F86" s="15" t="s">
        <v>17728</v>
      </c>
      <c r="G86" s="52" t="str">
        <f t="shared" si="0"/>
        <v>YesNo</v>
      </c>
      <c r="H86" s="15"/>
      <c r="I86" s="15" t="s">
        <v>528</v>
      </c>
      <c r="J86" s="15" t="s">
        <v>15991</v>
      </c>
    </row>
    <row r="87" spans="2:10">
      <c r="B87" s="15" t="s">
        <v>17570</v>
      </c>
      <c r="C87" s="15" t="s">
        <v>17729</v>
      </c>
      <c r="D87" s="15" t="s">
        <v>16072</v>
      </c>
      <c r="E87" s="15" t="s">
        <v>305</v>
      </c>
      <c r="F87" s="53" t="s">
        <v>17730</v>
      </c>
      <c r="G87" s="52" t="str">
        <f t="shared" si="0"/>
        <v>YesNo</v>
      </c>
      <c r="H87" s="15"/>
      <c r="I87" s="15" t="s">
        <v>528</v>
      </c>
      <c r="J87" s="15" t="s">
        <v>15991</v>
      </c>
    </row>
    <row r="88" spans="2:10">
      <c r="B88" s="15" t="s">
        <v>17570</v>
      </c>
      <c r="C88" s="15" t="s">
        <v>17731</v>
      </c>
      <c r="D88" s="15" t="s">
        <v>16072</v>
      </c>
      <c r="E88" s="15" t="s">
        <v>305</v>
      </c>
      <c r="F88" s="15" t="s">
        <v>17732</v>
      </c>
      <c r="G88" s="52" t="str">
        <f t="shared" si="0"/>
        <v>YesNo</v>
      </c>
      <c r="H88" s="15"/>
      <c r="I88" s="15" t="s">
        <v>528</v>
      </c>
      <c r="J88" s="15" t="s">
        <v>15991</v>
      </c>
    </row>
    <row r="89" spans="2:10">
      <c r="B89" s="15" t="s">
        <v>17570</v>
      </c>
      <c r="C89" s="15" t="s">
        <v>17733</v>
      </c>
      <c r="D89" s="15" t="s">
        <v>16072</v>
      </c>
      <c r="E89" s="15" t="s">
        <v>305</v>
      </c>
      <c r="F89" s="15" t="s">
        <v>17734</v>
      </c>
      <c r="G89" s="52" t="str">
        <f t="shared" si="0"/>
        <v>YesNo</v>
      </c>
      <c r="H89" s="15"/>
      <c r="I89" s="15" t="s">
        <v>528</v>
      </c>
      <c r="J89" s="15" t="s">
        <v>15991</v>
      </c>
    </row>
    <row r="90" spans="2:10">
      <c r="B90" s="15" t="s">
        <v>17570</v>
      </c>
      <c r="C90" s="15" t="s">
        <v>17735</v>
      </c>
      <c r="D90" s="15" t="s">
        <v>16072</v>
      </c>
      <c r="E90" s="15" t="s">
        <v>305</v>
      </c>
      <c r="F90" s="15" t="s">
        <v>17736</v>
      </c>
      <c r="G90" s="52" t="str">
        <f t="shared" si="0"/>
        <v>YesNo</v>
      </c>
      <c r="H90" s="15"/>
      <c r="I90" s="15" t="s">
        <v>528</v>
      </c>
      <c r="J90" s="15" t="s">
        <v>15991</v>
      </c>
    </row>
    <row r="91" spans="2:10">
      <c r="B91" s="15" t="s">
        <v>17570</v>
      </c>
      <c r="C91" s="15" t="s">
        <v>17737</v>
      </c>
      <c r="D91" s="15" t="s">
        <v>16072</v>
      </c>
      <c r="E91" s="15" t="s">
        <v>305</v>
      </c>
      <c r="F91" s="15" t="s">
        <v>17738</v>
      </c>
      <c r="G91" s="52" t="str">
        <f t="shared" si="0"/>
        <v>YesNo</v>
      </c>
      <c r="H91" s="15"/>
      <c r="I91" s="15" t="s">
        <v>528</v>
      </c>
      <c r="J91" s="15" t="s">
        <v>15991</v>
      </c>
    </row>
    <row r="92" spans="2:10">
      <c r="B92" s="15" t="s">
        <v>17570</v>
      </c>
      <c r="C92" s="15" t="s">
        <v>17739</v>
      </c>
      <c r="D92" s="15" t="s">
        <v>16072</v>
      </c>
      <c r="E92" s="15" t="s">
        <v>305</v>
      </c>
      <c r="F92" s="15" t="s">
        <v>17740</v>
      </c>
      <c r="G92" s="52" t="str">
        <f t="shared" si="0"/>
        <v>YesNo</v>
      </c>
      <c r="H92" s="15"/>
      <c r="I92" s="15" t="s">
        <v>528</v>
      </c>
      <c r="J92" s="15" t="s">
        <v>15991</v>
      </c>
    </row>
    <row r="93" spans="2:10">
      <c r="B93" s="15" t="s">
        <v>17570</v>
      </c>
      <c r="C93" s="15" t="s">
        <v>17741</v>
      </c>
      <c r="D93" s="15" t="s">
        <v>16072</v>
      </c>
      <c r="E93" s="15" t="s">
        <v>305</v>
      </c>
      <c r="F93" s="15" t="s">
        <v>17742</v>
      </c>
      <c r="G93" s="52" t="str">
        <f t="shared" si="0"/>
        <v>YesNo</v>
      </c>
      <c r="H93" s="15"/>
      <c r="I93" s="15" t="s">
        <v>528</v>
      </c>
      <c r="J93" s="15" t="s">
        <v>15991</v>
      </c>
    </row>
    <row r="94" spans="2:10">
      <c r="B94" s="15" t="s">
        <v>17570</v>
      </c>
      <c r="C94" s="15" t="s">
        <v>17743</v>
      </c>
      <c r="D94" s="15" t="s">
        <v>16072</v>
      </c>
      <c r="E94" s="15" t="s">
        <v>305</v>
      </c>
      <c r="F94" s="15" t="s">
        <v>17744</v>
      </c>
      <c r="G94" s="52" t="str">
        <f t="shared" si="0"/>
        <v>YesNo</v>
      </c>
      <c r="H94" s="15"/>
      <c r="I94" s="15" t="s">
        <v>528</v>
      </c>
      <c r="J94" s="15" t="s">
        <v>15991</v>
      </c>
    </row>
    <row r="95" spans="2:10">
      <c r="B95" s="15" t="s">
        <v>17570</v>
      </c>
      <c r="C95" s="15" t="s">
        <v>17745</v>
      </c>
      <c r="D95" s="15" t="s">
        <v>16072</v>
      </c>
      <c r="E95" s="15" t="s">
        <v>305</v>
      </c>
      <c r="F95" s="15" t="s">
        <v>17746</v>
      </c>
      <c r="G95" s="52" t="str">
        <f t="shared" si="0"/>
        <v>YesNo</v>
      </c>
      <c r="H95" s="15"/>
      <c r="I95" s="15" t="s">
        <v>528</v>
      </c>
      <c r="J95" s="15" t="s">
        <v>15991</v>
      </c>
    </row>
    <row r="96" spans="2:10">
      <c r="B96" s="15" t="s">
        <v>17570</v>
      </c>
      <c r="C96" s="15" t="s">
        <v>17747</v>
      </c>
      <c r="D96" s="15" t="s">
        <v>16072</v>
      </c>
      <c r="E96" s="15" t="s">
        <v>305</v>
      </c>
      <c r="F96" s="15" t="s">
        <v>17748</v>
      </c>
      <c r="G96" s="52" t="str">
        <f t="shared" si="0"/>
        <v>YesNo</v>
      </c>
      <c r="H96" s="15"/>
      <c r="I96" s="15" t="s">
        <v>528</v>
      </c>
      <c r="J96" s="15" t="s">
        <v>15991</v>
      </c>
    </row>
    <row r="97" spans="2:10">
      <c r="B97" s="15" t="s">
        <v>17570</v>
      </c>
      <c r="C97" s="15" t="s">
        <v>17749</v>
      </c>
      <c r="D97" s="15" t="s">
        <v>16072</v>
      </c>
      <c r="E97" s="15" t="s">
        <v>305</v>
      </c>
      <c r="F97" s="15" t="s">
        <v>17750</v>
      </c>
      <c r="G97" s="52" t="str">
        <f t="shared" si="0"/>
        <v>YesNo</v>
      </c>
      <c r="H97" s="15"/>
      <c r="I97" s="15" t="s">
        <v>528</v>
      </c>
      <c r="J97" s="15" t="s">
        <v>15991</v>
      </c>
    </row>
    <row r="98" spans="2:10">
      <c r="B98" s="15" t="s">
        <v>17570</v>
      </c>
      <c r="C98" s="15" t="s">
        <v>17751</v>
      </c>
      <c r="D98" s="15" t="s">
        <v>16072</v>
      </c>
      <c r="E98" s="15" t="s">
        <v>305</v>
      </c>
      <c r="F98" s="15" t="s">
        <v>17752</v>
      </c>
      <c r="G98" s="52" t="str">
        <f t="shared" si="0"/>
        <v>YesNo</v>
      </c>
      <c r="H98" s="15"/>
      <c r="I98" s="15" t="s">
        <v>528</v>
      </c>
      <c r="J98" s="15" t="s">
        <v>15991</v>
      </c>
    </row>
    <row r="99" spans="2:10">
      <c r="B99" s="15" t="s">
        <v>17570</v>
      </c>
      <c r="C99" s="15" t="s">
        <v>17753</v>
      </c>
      <c r="D99" s="15" t="s">
        <v>16072</v>
      </c>
      <c r="E99" s="15" t="s">
        <v>305</v>
      </c>
      <c r="F99" s="15" t="s">
        <v>17754</v>
      </c>
      <c r="G99" s="52" t="str">
        <f t="shared" si="0"/>
        <v>YesNo</v>
      </c>
      <c r="H99" s="15"/>
      <c r="I99" s="15" t="s">
        <v>528</v>
      </c>
      <c r="J99" s="15" t="s">
        <v>15991</v>
      </c>
    </row>
    <row r="100" spans="2:10">
      <c r="B100" s="15" t="s">
        <v>17570</v>
      </c>
      <c r="C100" s="15" t="s">
        <v>17755</v>
      </c>
      <c r="D100" s="15" t="s">
        <v>16072</v>
      </c>
      <c r="E100" s="15" t="s">
        <v>305</v>
      </c>
      <c r="F100" s="15" t="s">
        <v>17756</v>
      </c>
      <c r="G100" s="52" t="str">
        <f t="shared" si="0"/>
        <v>YesNo</v>
      </c>
      <c r="H100" s="15"/>
      <c r="I100" s="15" t="s">
        <v>528</v>
      </c>
      <c r="J100" s="15" t="s">
        <v>15991</v>
      </c>
    </row>
    <row r="101" spans="2:10">
      <c r="B101" s="15" t="s">
        <v>17570</v>
      </c>
      <c r="C101" s="15" t="s">
        <v>17757</v>
      </c>
      <c r="D101" s="15" t="s">
        <v>16072</v>
      </c>
      <c r="E101" s="15" t="s">
        <v>305</v>
      </c>
      <c r="F101" s="15" t="s">
        <v>17758</v>
      </c>
      <c r="G101" s="52" t="str">
        <f t="shared" si="0"/>
        <v>YesNo</v>
      </c>
      <c r="H101" s="15"/>
      <c r="I101" s="15" t="s">
        <v>528</v>
      </c>
      <c r="J101" s="15" t="s">
        <v>15991</v>
      </c>
    </row>
    <row r="102" spans="2:10">
      <c r="B102" s="15" t="s">
        <v>17570</v>
      </c>
      <c r="C102" s="15" t="s">
        <v>17759</v>
      </c>
      <c r="D102" s="15" t="s">
        <v>16072</v>
      </c>
      <c r="E102" s="15" t="s">
        <v>305</v>
      </c>
      <c r="F102" s="15" t="s">
        <v>17760</v>
      </c>
      <c r="G102" s="52" t="str">
        <f t="shared" si="0"/>
        <v>YesNo</v>
      </c>
      <c r="H102" s="15"/>
      <c r="I102" s="15" t="s">
        <v>528</v>
      </c>
      <c r="J102" s="15" t="s">
        <v>15991</v>
      </c>
    </row>
    <row r="103" spans="2:10">
      <c r="B103" s="15" t="s">
        <v>17570</v>
      </c>
      <c r="C103" s="15" t="s">
        <v>17761</v>
      </c>
      <c r="D103" s="15" t="s">
        <v>16072</v>
      </c>
      <c r="E103" s="15" t="s">
        <v>305</v>
      </c>
      <c r="F103" s="15" t="s">
        <v>17762</v>
      </c>
      <c r="G103" s="52" t="str">
        <f t="shared" si="0"/>
        <v>YesNo</v>
      </c>
      <c r="H103" s="15"/>
      <c r="I103" s="15" t="s">
        <v>528</v>
      </c>
      <c r="J103" s="15" t="s">
        <v>15991</v>
      </c>
    </row>
    <row r="104" spans="2:10">
      <c r="B104" s="15" t="s">
        <v>17570</v>
      </c>
      <c r="C104" s="15" t="s">
        <v>17763</v>
      </c>
      <c r="D104" s="15" t="s">
        <v>16072</v>
      </c>
      <c r="E104" s="15" t="s">
        <v>305</v>
      </c>
      <c r="F104" s="15" t="s">
        <v>17764</v>
      </c>
      <c r="G104" s="52" t="str">
        <f t="shared" si="0"/>
        <v>YesNo</v>
      </c>
      <c r="H104" s="15"/>
      <c r="I104" s="15" t="s">
        <v>528</v>
      </c>
      <c r="J104" s="15" t="s">
        <v>15991</v>
      </c>
    </row>
    <row r="105" spans="2:10">
      <c r="B105" s="15" t="s">
        <v>17570</v>
      </c>
      <c r="C105" s="15" t="s">
        <v>17765</v>
      </c>
      <c r="D105" s="15" t="s">
        <v>16072</v>
      </c>
      <c r="E105" s="15" t="s">
        <v>305</v>
      </c>
      <c r="F105" s="15" t="s">
        <v>17766</v>
      </c>
      <c r="G105" s="52" t="str">
        <f t="shared" si="0"/>
        <v>YesNo</v>
      </c>
      <c r="H105" s="15"/>
      <c r="I105" s="15" t="s">
        <v>528</v>
      </c>
      <c r="J105" s="15" t="s">
        <v>15991</v>
      </c>
    </row>
    <row r="106" spans="2:10">
      <c r="B106" s="15" t="s">
        <v>17570</v>
      </c>
      <c r="C106" s="15" t="s">
        <v>17767</v>
      </c>
      <c r="D106" s="15" t="s">
        <v>367</v>
      </c>
      <c r="E106" s="15" t="s">
        <v>305</v>
      </c>
      <c r="F106" s="20" t="s">
        <v>17768</v>
      </c>
      <c r="G106" s="15"/>
      <c r="H106" s="15"/>
      <c r="I106" s="15" t="s">
        <v>528</v>
      </c>
      <c r="J106" s="15" t="s">
        <v>15991</v>
      </c>
    </row>
    <row r="107" spans="2:10">
      <c r="B107" s="15" t="s">
        <v>17570</v>
      </c>
      <c r="C107" s="15" t="s">
        <v>17769</v>
      </c>
      <c r="D107" s="15" t="s">
        <v>16557</v>
      </c>
      <c r="E107" s="15" t="s">
        <v>305</v>
      </c>
      <c r="F107" s="49" t="s">
        <v>17770</v>
      </c>
      <c r="G107" s="15"/>
      <c r="H107" s="15"/>
      <c r="I107" s="15" t="s">
        <v>528</v>
      </c>
      <c r="J107" s="15" t="s">
        <v>15991</v>
      </c>
    </row>
    <row r="108" spans="2:10">
      <c r="B108" s="15" t="s">
        <v>17570</v>
      </c>
      <c r="C108" s="15" t="s">
        <v>16009</v>
      </c>
      <c r="D108" s="15" t="s">
        <v>316</v>
      </c>
      <c r="E108" s="15" t="s">
        <v>305</v>
      </c>
      <c r="F108" s="15" t="s">
        <v>16010</v>
      </c>
      <c r="G108" s="15"/>
      <c r="H108" s="15"/>
      <c r="I108" s="15" t="s">
        <v>528</v>
      </c>
      <c r="J108" s="15" t="s">
        <v>15991</v>
      </c>
    </row>
    <row r="109" spans="2:10">
      <c r="B109" s="15" t="s">
        <v>17570</v>
      </c>
      <c r="C109" s="15" t="s">
        <v>16011</v>
      </c>
      <c r="D109" s="15" t="s">
        <v>316</v>
      </c>
      <c r="E109" s="15" t="s">
        <v>305</v>
      </c>
      <c r="F109" s="15" t="s">
        <v>16012</v>
      </c>
      <c r="G109" s="15"/>
      <c r="H109" s="15"/>
      <c r="I109" s="15" t="s">
        <v>528</v>
      </c>
      <c r="J109" s="15" t="s">
        <v>15991</v>
      </c>
    </row>
    <row r="110" spans="2:10">
      <c r="B110" s="15" t="s">
        <v>17570</v>
      </c>
      <c r="C110" s="15" t="s">
        <v>16013</v>
      </c>
      <c r="D110" s="15" t="s">
        <v>371</v>
      </c>
      <c r="E110" s="15" t="s">
        <v>305</v>
      </c>
      <c r="F110" s="15" t="s">
        <v>16014</v>
      </c>
      <c r="G110" s="15"/>
      <c r="H110" s="15"/>
      <c r="I110" s="15" t="s">
        <v>528</v>
      </c>
      <c r="J110" s="15" t="s">
        <v>15991</v>
      </c>
    </row>
    <row r="111" spans="2:10">
      <c r="B111" s="15" t="s">
        <v>17570</v>
      </c>
      <c r="C111" s="15" t="s">
        <v>16015</v>
      </c>
      <c r="D111" s="15" t="s">
        <v>316</v>
      </c>
      <c r="E111" s="15" t="s">
        <v>305</v>
      </c>
      <c r="F111" s="15" t="s">
        <v>16016</v>
      </c>
      <c r="G111" s="15"/>
      <c r="H111" s="15"/>
      <c r="I111" s="15" t="s">
        <v>528</v>
      </c>
      <c r="J111" s="15" t="s">
        <v>15991</v>
      </c>
    </row>
    <row r="112" spans="2:10">
      <c r="B112" s="15" t="s">
        <v>17570</v>
      </c>
      <c r="C112" s="15" t="s">
        <v>16017</v>
      </c>
      <c r="D112" s="15" t="s">
        <v>316</v>
      </c>
      <c r="E112" s="15" t="s">
        <v>305</v>
      </c>
      <c r="F112" s="15" t="s">
        <v>16018</v>
      </c>
      <c r="G112" s="15"/>
      <c r="H112" s="15"/>
      <c r="I112" s="15" t="s">
        <v>528</v>
      </c>
      <c r="J112" s="15" t="s">
        <v>15991</v>
      </c>
    </row>
    <row r="113" spans="2:10">
      <c r="B113" s="15" t="s">
        <v>17570</v>
      </c>
      <c r="C113" s="15" t="s">
        <v>16019</v>
      </c>
      <c r="D113" s="15" t="s">
        <v>371</v>
      </c>
      <c r="E113" s="15" t="s">
        <v>305</v>
      </c>
      <c r="F113" s="15" t="s">
        <v>16020</v>
      </c>
      <c r="G113" s="15"/>
      <c r="H113" s="15"/>
      <c r="I113" s="15" t="s">
        <v>528</v>
      </c>
      <c r="J113" s="15" t="s">
        <v>15991</v>
      </c>
    </row>
    <row r="114" spans="2:10">
      <c r="B114" s="15" t="s">
        <v>17570</v>
      </c>
      <c r="C114" s="15" t="s">
        <v>16086</v>
      </c>
      <c r="D114" s="15" t="s">
        <v>327</v>
      </c>
      <c r="E114" s="15" t="s">
        <v>305</v>
      </c>
      <c r="F114" s="15" t="s">
        <v>301</v>
      </c>
      <c r="G114" s="15"/>
      <c r="H114" s="15"/>
      <c r="I114" s="15" t="s">
        <v>528</v>
      </c>
      <c r="J114" s="15" t="s">
        <v>15991</v>
      </c>
    </row>
    <row r="115" spans="2:10">
      <c r="B115" s="16" t="s">
        <v>17570</v>
      </c>
      <c r="C115" s="16" t="s">
        <v>16088</v>
      </c>
      <c r="D115" s="16" t="s">
        <v>316</v>
      </c>
      <c r="E115" s="16" t="s">
        <v>305</v>
      </c>
      <c r="F115" s="16" t="s">
        <v>16089</v>
      </c>
      <c r="G115" s="16"/>
      <c r="H115" s="16"/>
      <c r="I115" s="16" t="s">
        <v>528</v>
      </c>
      <c r="J115" s="16" t="s">
        <v>15991</v>
      </c>
    </row>
    <row r="116" ht="17.6" spans="2:11">
      <c r="B116" s="65" t="s">
        <v>17570</v>
      </c>
      <c r="C116" s="57" t="s">
        <v>527</v>
      </c>
      <c r="D116" s="57" t="s">
        <v>316</v>
      </c>
      <c r="E116" s="57" t="s">
        <v>305</v>
      </c>
      <c r="F116" s="59" t="s">
        <v>526</v>
      </c>
      <c r="G116" s="57" t="s">
        <v>528</v>
      </c>
      <c r="H116" s="57" t="s">
        <v>528</v>
      </c>
      <c r="I116" s="57"/>
      <c r="J116" s="50">
        <v>45740</v>
      </c>
      <c r="K116" s="107"/>
    </row>
    <row r="117" ht="17.6" spans="2:11">
      <c r="B117" s="65" t="s">
        <v>17570</v>
      </c>
      <c r="C117" s="57" t="s">
        <v>530</v>
      </c>
      <c r="D117" s="99" t="s">
        <v>479</v>
      </c>
      <c r="E117" s="57" t="s">
        <v>305</v>
      </c>
      <c r="F117" s="82" t="s">
        <v>529</v>
      </c>
      <c r="G117" s="57" t="s">
        <v>528</v>
      </c>
      <c r="H117" s="57" t="s">
        <v>528</v>
      </c>
      <c r="I117" s="57"/>
      <c r="J117" s="50">
        <v>45740</v>
      </c>
      <c r="K117" s="107"/>
    </row>
    <row r="118" ht="17.6" spans="2:11">
      <c r="B118" s="65" t="s">
        <v>17570</v>
      </c>
      <c r="C118" s="57" t="s">
        <v>341</v>
      </c>
      <c r="D118" s="57" t="s">
        <v>316</v>
      </c>
      <c r="E118" s="57" t="s">
        <v>305</v>
      </c>
      <c r="F118" s="100" t="s">
        <v>448</v>
      </c>
      <c r="G118" s="57"/>
      <c r="H118" s="57"/>
      <c r="I118" s="57"/>
      <c r="J118" s="50">
        <v>45740</v>
      </c>
      <c r="K118" s="107"/>
    </row>
    <row r="119" ht="17.6" spans="2:11">
      <c r="B119" s="65" t="s">
        <v>17570</v>
      </c>
      <c r="C119" s="57" t="s">
        <v>532</v>
      </c>
      <c r="D119" s="57" t="s">
        <v>350</v>
      </c>
      <c r="E119" s="57" t="s">
        <v>305</v>
      </c>
      <c r="F119" s="100" t="s">
        <v>531</v>
      </c>
      <c r="G119" s="57"/>
      <c r="H119" s="57"/>
      <c r="I119" s="57"/>
      <c r="J119" s="50">
        <v>45740</v>
      </c>
      <c r="K119" s="107"/>
    </row>
    <row r="120" ht="17.6" spans="2:11">
      <c r="B120" s="65" t="s">
        <v>17570</v>
      </c>
      <c r="C120" s="57" t="s">
        <v>534</v>
      </c>
      <c r="D120" s="57" t="s">
        <v>350</v>
      </c>
      <c r="E120" s="57" t="s">
        <v>305</v>
      </c>
      <c r="F120" s="100" t="s">
        <v>533</v>
      </c>
      <c r="G120" s="57"/>
      <c r="H120" s="57"/>
      <c r="I120" s="57"/>
      <c r="J120" s="50">
        <v>45740</v>
      </c>
      <c r="K120" s="107"/>
    </row>
    <row r="121" ht="17.6" spans="2:11">
      <c r="B121" s="65" t="s">
        <v>17570</v>
      </c>
      <c r="C121" s="57" t="s">
        <v>536</v>
      </c>
      <c r="D121" s="57" t="s">
        <v>537</v>
      </c>
      <c r="E121" s="57" t="s">
        <v>305</v>
      </c>
      <c r="F121" s="100" t="s">
        <v>535</v>
      </c>
      <c r="G121" s="57"/>
      <c r="H121" s="57"/>
      <c r="I121" s="57"/>
      <c r="J121" s="50">
        <v>45740</v>
      </c>
      <c r="K121" s="107"/>
    </row>
    <row r="122" ht="17.6" spans="2:11">
      <c r="B122" s="65" t="s">
        <v>17570</v>
      </c>
      <c r="C122" s="57" t="s">
        <v>539</v>
      </c>
      <c r="D122" s="57" t="s">
        <v>537</v>
      </c>
      <c r="E122" s="57" t="s">
        <v>305</v>
      </c>
      <c r="F122" s="100" t="s">
        <v>538</v>
      </c>
      <c r="G122" s="57"/>
      <c r="H122" s="57"/>
      <c r="I122" s="57"/>
      <c r="J122" s="50">
        <v>45740</v>
      </c>
      <c r="K122" s="107"/>
    </row>
    <row r="123" ht="17.6" spans="2:11">
      <c r="B123" s="65" t="s">
        <v>17570</v>
      </c>
      <c r="C123" s="57" t="s">
        <v>541</v>
      </c>
      <c r="D123" s="57" t="s">
        <v>482</v>
      </c>
      <c r="E123" s="57" t="s">
        <v>305</v>
      </c>
      <c r="F123" s="100" t="s">
        <v>540</v>
      </c>
      <c r="G123" s="57"/>
      <c r="H123" s="57"/>
      <c r="I123" s="57"/>
      <c r="J123" s="50">
        <v>45740</v>
      </c>
      <c r="K123" s="107"/>
    </row>
    <row r="124" ht="17.6" spans="2:11">
      <c r="B124" s="65" t="s">
        <v>17570</v>
      </c>
      <c r="C124" s="57" t="s">
        <v>543</v>
      </c>
      <c r="D124" s="57" t="s">
        <v>537</v>
      </c>
      <c r="E124" s="57" t="s">
        <v>305</v>
      </c>
      <c r="F124" s="100" t="s">
        <v>542</v>
      </c>
      <c r="G124" s="57"/>
      <c r="H124" s="57"/>
      <c r="I124" s="57"/>
      <c r="J124" s="50">
        <v>45740</v>
      </c>
      <c r="K124" s="107"/>
    </row>
    <row r="125" ht="17.6" spans="2:11">
      <c r="B125" s="65" t="s">
        <v>17570</v>
      </c>
      <c r="C125" s="57" t="s">
        <v>545</v>
      </c>
      <c r="D125" s="57" t="s">
        <v>482</v>
      </c>
      <c r="E125" s="57" t="s">
        <v>305</v>
      </c>
      <c r="F125" s="100" t="s">
        <v>544</v>
      </c>
      <c r="G125" s="57"/>
      <c r="H125" s="57"/>
      <c r="I125" s="57"/>
      <c r="J125" s="50">
        <v>45740</v>
      </c>
      <c r="K125" s="107"/>
    </row>
    <row r="126" ht="17.6" spans="2:11">
      <c r="B126" s="65" t="s">
        <v>17570</v>
      </c>
      <c r="C126" s="57" t="s">
        <v>547</v>
      </c>
      <c r="D126" s="57" t="s">
        <v>537</v>
      </c>
      <c r="E126" s="57" t="s">
        <v>305</v>
      </c>
      <c r="F126" s="100" t="s">
        <v>546</v>
      </c>
      <c r="G126" s="57"/>
      <c r="H126" s="57"/>
      <c r="I126" s="57"/>
      <c r="J126" s="50">
        <v>45740</v>
      </c>
      <c r="K126" s="107"/>
    </row>
    <row r="127" ht="17.6" spans="2:11">
      <c r="B127" s="65" t="s">
        <v>17570</v>
      </c>
      <c r="C127" s="57" t="s">
        <v>549</v>
      </c>
      <c r="D127" s="57" t="s">
        <v>482</v>
      </c>
      <c r="E127" s="57" t="s">
        <v>305</v>
      </c>
      <c r="F127" s="100" t="s">
        <v>548</v>
      </c>
      <c r="G127" s="57"/>
      <c r="H127" s="57"/>
      <c r="I127" s="57"/>
      <c r="J127" s="50">
        <v>45740</v>
      </c>
      <c r="K127" s="107"/>
    </row>
    <row r="128" ht="17.6" spans="2:11">
      <c r="B128" s="65" t="s">
        <v>17570</v>
      </c>
      <c r="C128" s="57" t="s">
        <v>551</v>
      </c>
      <c r="D128" s="57" t="s">
        <v>537</v>
      </c>
      <c r="E128" s="57" t="s">
        <v>305</v>
      </c>
      <c r="F128" s="100" t="s">
        <v>550</v>
      </c>
      <c r="G128" s="57"/>
      <c r="H128" s="57"/>
      <c r="I128" s="57"/>
      <c r="J128" s="50">
        <v>45740</v>
      </c>
      <c r="K128" s="107"/>
    </row>
    <row r="129" ht="17.6" spans="2:11">
      <c r="B129" s="65" t="s">
        <v>17570</v>
      </c>
      <c r="C129" s="57" t="s">
        <v>553</v>
      </c>
      <c r="D129" s="57" t="s">
        <v>482</v>
      </c>
      <c r="E129" s="57" t="s">
        <v>305</v>
      </c>
      <c r="F129" s="100" t="s">
        <v>552</v>
      </c>
      <c r="G129" s="57"/>
      <c r="H129" s="57"/>
      <c r="I129" s="57"/>
      <c r="J129" s="50">
        <v>45740</v>
      </c>
      <c r="K129" s="107"/>
    </row>
    <row r="130" ht="17.6" spans="2:11">
      <c r="B130" s="65" t="s">
        <v>17570</v>
      </c>
      <c r="C130" s="57" t="s">
        <v>555</v>
      </c>
      <c r="D130" s="57" t="s">
        <v>537</v>
      </c>
      <c r="E130" s="57" t="s">
        <v>305</v>
      </c>
      <c r="F130" s="100" t="s">
        <v>554</v>
      </c>
      <c r="G130" s="57"/>
      <c r="H130" s="57"/>
      <c r="I130" s="57"/>
      <c r="J130" s="50">
        <v>45740</v>
      </c>
      <c r="K130" s="107"/>
    </row>
    <row r="131" ht="17.6" spans="2:11">
      <c r="B131" s="65" t="s">
        <v>17570</v>
      </c>
      <c r="C131" s="57" t="s">
        <v>557</v>
      </c>
      <c r="D131" s="57" t="s">
        <v>537</v>
      </c>
      <c r="E131" s="57" t="s">
        <v>305</v>
      </c>
      <c r="F131" s="100" t="s">
        <v>556</v>
      </c>
      <c r="G131" s="57"/>
      <c r="H131" s="57"/>
      <c r="I131" s="57"/>
      <c r="J131" s="50">
        <v>45740</v>
      </c>
      <c r="K131" s="107"/>
    </row>
    <row r="132" ht="17.6" spans="2:11">
      <c r="B132" s="65" t="s">
        <v>17570</v>
      </c>
      <c r="C132" s="57" t="s">
        <v>458</v>
      </c>
      <c r="D132" s="57" t="s">
        <v>321</v>
      </c>
      <c r="E132" s="57" t="s">
        <v>305</v>
      </c>
      <c r="F132" s="99" t="s">
        <v>457</v>
      </c>
      <c r="G132" s="57"/>
      <c r="H132" s="57"/>
      <c r="I132" s="57"/>
      <c r="J132" s="50">
        <v>45740</v>
      </c>
      <c r="K132" s="107"/>
    </row>
    <row r="133" ht="17.6" spans="2:11">
      <c r="B133" s="65" t="s">
        <v>17570</v>
      </c>
      <c r="C133" s="57" t="s">
        <v>559</v>
      </c>
      <c r="D133" s="57" t="s">
        <v>367</v>
      </c>
      <c r="E133" s="57" t="s">
        <v>305</v>
      </c>
      <c r="F133" s="99" t="s">
        <v>558</v>
      </c>
      <c r="G133" s="57"/>
      <c r="H133" s="57"/>
      <c r="I133" s="57"/>
      <c r="J133" s="50">
        <v>45740</v>
      </c>
      <c r="K133" s="107"/>
    </row>
    <row r="134" ht="17.6" spans="2:11">
      <c r="B134" s="65" t="s">
        <v>17570</v>
      </c>
      <c r="C134" s="57" t="s">
        <v>349</v>
      </c>
      <c r="D134" s="57" t="s">
        <v>350</v>
      </c>
      <c r="E134" s="57" t="s">
        <v>305</v>
      </c>
      <c r="F134" s="99" t="s">
        <v>348</v>
      </c>
      <c r="G134" s="57"/>
      <c r="H134" s="57"/>
      <c r="I134" s="57"/>
      <c r="J134" s="50">
        <v>45740</v>
      </c>
      <c r="K134" s="107"/>
    </row>
    <row r="135" ht="17.6" spans="2:11">
      <c r="B135" s="65" t="s">
        <v>17570</v>
      </c>
      <c r="C135" s="57" t="s">
        <v>354</v>
      </c>
      <c r="D135" s="57" t="s">
        <v>350</v>
      </c>
      <c r="E135" s="57" t="s">
        <v>305</v>
      </c>
      <c r="F135" s="99" t="s">
        <v>353</v>
      </c>
      <c r="G135" s="57"/>
      <c r="H135" s="57"/>
      <c r="I135" s="57"/>
      <c r="J135" s="50">
        <v>45740</v>
      </c>
      <c r="K135" s="107"/>
    </row>
    <row r="136" ht="17.6" spans="2:11">
      <c r="B136" s="65" t="s">
        <v>17570</v>
      </c>
      <c r="C136" s="57" t="s">
        <v>561</v>
      </c>
      <c r="D136" s="57" t="s">
        <v>316</v>
      </c>
      <c r="E136" s="57" t="s">
        <v>305</v>
      </c>
      <c r="F136" s="59" t="s">
        <v>560</v>
      </c>
      <c r="G136" s="57" t="s">
        <v>528</v>
      </c>
      <c r="H136" s="57" t="s">
        <v>528</v>
      </c>
      <c r="I136" s="57"/>
      <c r="J136" s="50">
        <v>45740</v>
      </c>
      <c r="K136" s="107"/>
    </row>
    <row r="137" ht="17.6" spans="2:11">
      <c r="B137" s="65" t="s">
        <v>17570</v>
      </c>
      <c r="C137" s="57" t="s">
        <v>505</v>
      </c>
      <c r="D137" s="57" t="s">
        <v>506</v>
      </c>
      <c r="E137" s="57" t="s">
        <v>305</v>
      </c>
      <c r="F137" s="59" t="s">
        <v>562</v>
      </c>
      <c r="G137" s="57" t="s">
        <v>528</v>
      </c>
      <c r="H137" s="57" t="s">
        <v>528</v>
      </c>
      <c r="I137" s="57"/>
      <c r="J137" s="50">
        <v>45740</v>
      </c>
      <c r="K137" s="107"/>
    </row>
    <row r="138" ht="92" spans="2:11">
      <c r="B138" s="65" t="s">
        <v>17570</v>
      </c>
      <c r="C138" s="57" t="s">
        <v>564</v>
      </c>
      <c r="D138" s="57" t="s">
        <v>321</v>
      </c>
      <c r="E138" s="57" t="s">
        <v>305</v>
      </c>
      <c r="F138" s="59" t="s">
        <v>563</v>
      </c>
      <c r="G138" s="57" t="s">
        <v>528</v>
      </c>
      <c r="H138" s="108" t="s">
        <v>565</v>
      </c>
      <c r="I138" s="57"/>
      <c r="J138" s="50">
        <v>45740</v>
      </c>
      <c r="K138" s="107"/>
    </row>
    <row r="139" ht="17.6" spans="2:11">
      <c r="B139" s="65" t="s">
        <v>17570</v>
      </c>
      <c r="C139" s="57" t="s">
        <v>567</v>
      </c>
      <c r="D139" s="57" t="s">
        <v>316</v>
      </c>
      <c r="E139" s="57" t="s">
        <v>305</v>
      </c>
      <c r="F139" s="59" t="s">
        <v>566</v>
      </c>
      <c r="G139" s="57" t="s">
        <v>528</v>
      </c>
      <c r="H139" s="57" t="s">
        <v>528</v>
      </c>
      <c r="I139" s="57"/>
      <c r="J139" s="50">
        <v>45740</v>
      </c>
      <c r="K139" s="107"/>
    </row>
    <row r="140" ht="17.6" spans="2:11">
      <c r="B140" s="65" t="s">
        <v>17570</v>
      </c>
      <c r="C140" s="57" t="s">
        <v>569</v>
      </c>
      <c r="D140" s="57" t="s">
        <v>371</v>
      </c>
      <c r="E140" s="57" t="s">
        <v>305</v>
      </c>
      <c r="F140" s="59" t="s">
        <v>568</v>
      </c>
      <c r="G140" s="57" t="s">
        <v>528</v>
      </c>
      <c r="H140" s="57" t="s">
        <v>528</v>
      </c>
      <c r="I140" s="57"/>
      <c r="J140" s="50">
        <v>45740</v>
      </c>
      <c r="K140" s="107"/>
    </row>
    <row r="141" ht="17.6" spans="2:11">
      <c r="B141" s="65" t="s">
        <v>17570</v>
      </c>
      <c r="C141" s="57" t="s">
        <v>571</v>
      </c>
      <c r="D141" s="57" t="s">
        <v>506</v>
      </c>
      <c r="E141" s="57" t="s">
        <v>305</v>
      </c>
      <c r="F141" s="59" t="s">
        <v>570</v>
      </c>
      <c r="G141" s="57" t="s">
        <v>528</v>
      </c>
      <c r="H141" s="57" t="s">
        <v>528</v>
      </c>
      <c r="I141" s="57"/>
      <c r="J141" s="50">
        <v>45740</v>
      </c>
      <c r="K141" s="107"/>
    </row>
    <row r="142" ht="17.6" spans="2:11">
      <c r="B142" s="65" t="s">
        <v>17570</v>
      </c>
      <c r="C142" s="57" t="s">
        <v>573</v>
      </c>
      <c r="D142" s="57" t="s">
        <v>506</v>
      </c>
      <c r="E142" s="57" t="s">
        <v>305</v>
      </c>
      <c r="F142" s="59" t="s">
        <v>572</v>
      </c>
      <c r="G142" s="57" t="s">
        <v>528</v>
      </c>
      <c r="H142" s="57" t="s">
        <v>528</v>
      </c>
      <c r="I142" s="57"/>
      <c r="J142" s="50">
        <v>45740</v>
      </c>
      <c r="K142" s="107"/>
    </row>
  </sheetData>
  <pageMargins left="0.75" right="0.75" top="1" bottom="1" header="0.5" footer="0.5"/>
  <pageSetup paperSize="1" orientation="portrait" horizontalDpi="300" verticalDpi="300"/>
  <headerFooter alignWithMargins="0" scaleWithDoc="0"/>
</worksheet>
</file>

<file path=xl/worksheets/sheet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51"/>
  <sheetViews>
    <sheetView zoomScaleSheetLayoutView="60" topLeftCell="A31" workbookViewId="0">
      <selection activeCell="E49" sqref="E49:E51"/>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1" t="str">
        <f>HYPERLINK("#表结构清单!A1","返回")</f>
        <v>返回</v>
      </c>
      <c r="B1" t="s">
        <v>187</v>
      </c>
    </row>
    <row r="2" spans="2:10">
      <c r="B2" s="13" t="s">
        <v>15982</v>
      </c>
      <c r="C2" s="13" t="s">
        <v>297</v>
      </c>
      <c r="D2" s="13" t="s">
        <v>11870</v>
      </c>
      <c r="E2" s="13" t="s">
        <v>15983</v>
      </c>
      <c r="F2" s="13" t="s">
        <v>15984</v>
      </c>
      <c r="G2" s="13" t="s">
        <v>300</v>
      </c>
      <c r="H2" s="13" t="s">
        <v>301</v>
      </c>
      <c r="I2" s="13" t="s">
        <v>15985</v>
      </c>
      <c r="J2" s="13" t="s">
        <v>15986</v>
      </c>
    </row>
    <row r="3" spans="2:10">
      <c r="B3" s="15" t="s">
        <v>17771</v>
      </c>
      <c r="C3" s="15" t="s">
        <v>16103</v>
      </c>
      <c r="D3" s="15" t="s">
        <v>316</v>
      </c>
      <c r="E3" s="15" t="s">
        <v>15989</v>
      </c>
      <c r="F3" s="15" t="s">
        <v>16986</v>
      </c>
      <c r="G3" s="15"/>
      <c r="H3" s="15"/>
      <c r="I3" s="15" t="s">
        <v>528</v>
      </c>
      <c r="J3" s="15" t="s">
        <v>15991</v>
      </c>
    </row>
    <row r="4" spans="2:10">
      <c r="B4" s="15" t="s">
        <v>17771</v>
      </c>
      <c r="C4" s="15" t="s">
        <v>17772</v>
      </c>
      <c r="D4" s="15" t="s">
        <v>506</v>
      </c>
      <c r="E4" s="15" t="s">
        <v>305</v>
      </c>
      <c r="F4" s="15" t="s">
        <v>17773</v>
      </c>
      <c r="G4" s="15"/>
      <c r="H4" s="15"/>
      <c r="I4" s="15" t="s">
        <v>528</v>
      </c>
      <c r="J4" s="15" t="s">
        <v>15991</v>
      </c>
    </row>
    <row r="5" spans="2:10">
      <c r="B5" s="15" t="s">
        <v>17771</v>
      </c>
      <c r="C5" s="15" t="s">
        <v>17774</v>
      </c>
      <c r="D5" s="15" t="s">
        <v>506</v>
      </c>
      <c r="E5" s="15" t="s">
        <v>305</v>
      </c>
      <c r="F5" s="15" t="s">
        <v>17775</v>
      </c>
      <c r="G5" s="15"/>
      <c r="H5" s="15"/>
      <c r="I5" s="15" t="s">
        <v>528</v>
      </c>
      <c r="J5" s="15" t="s">
        <v>15991</v>
      </c>
    </row>
    <row r="6" spans="2:10">
      <c r="B6" s="15" t="s">
        <v>17771</v>
      </c>
      <c r="C6" s="15" t="s">
        <v>17776</v>
      </c>
      <c r="D6" s="15" t="s">
        <v>506</v>
      </c>
      <c r="E6" s="15" t="s">
        <v>305</v>
      </c>
      <c r="F6" s="15" t="s">
        <v>17777</v>
      </c>
      <c r="G6" s="15"/>
      <c r="H6" s="15"/>
      <c r="I6" s="15" t="s">
        <v>528</v>
      </c>
      <c r="J6" s="15" t="s">
        <v>15991</v>
      </c>
    </row>
    <row r="7" spans="2:10">
      <c r="B7" s="15" t="s">
        <v>17771</v>
      </c>
      <c r="C7" s="15" t="s">
        <v>17778</v>
      </c>
      <c r="D7" s="15" t="s">
        <v>327</v>
      </c>
      <c r="E7" s="15" t="s">
        <v>305</v>
      </c>
      <c r="F7" s="20" t="s">
        <v>17779</v>
      </c>
      <c r="G7" s="15"/>
      <c r="H7" s="15"/>
      <c r="I7" s="15" t="s">
        <v>528</v>
      </c>
      <c r="J7" s="15" t="s">
        <v>15991</v>
      </c>
    </row>
    <row r="8" spans="2:10">
      <c r="B8" s="15" t="s">
        <v>17771</v>
      </c>
      <c r="C8" s="15" t="s">
        <v>17780</v>
      </c>
      <c r="D8" s="15" t="s">
        <v>506</v>
      </c>
      <c r="E8" s="15" t="s">
        <v>305</v>
      </c>
      <c r="F8" s="15" t="s">
        <v>17781</v>
      </c>
      <c r="G8" s="15"/>
      <c r="H8" s="15"/>
      <c r="I8" s="15" t="s">
        <v>528</v>
      </c>
      <c r="J8" s="15" t="s">
        <v>15991</v>
      </c>
    </row>
    <row r="9" spans="2:10">
      <c r="B9" s="15" t="s">
        <v>17771</v>
      </c>
      <c r="C9" s="15" t="s">
        <v>17782</v>
      </c>
      <c r="D9" s="15" t="s">
        <v>513</v>
      </c>
      <c r="E9" s="15" t="s">
        <v>305</v>
      </c>
      <c r="F9" s="15" t="s">
        <v>17783</v>
      </c>
      <c r="G9" s="15"/>
      <c r="H9" s="15"/>
      <c r="I9" s="15" t="s">
        <v>528</v>
      </c>
      <c r="J9" s="15" t="s">
        <v>15991</v>
      </c>
    </row>
    <row r="10" spans="2:10">
      <c r="B10" s="15" t="s">
        <v>17771</v>
      </c>
      <c r="C10" s="15" t="s">
        <v>577</v>
      </c>
      <c r="D10" s="15" t="s">
        <v>316</v>
      </c>
      <c r="E10" s="15" t="s">
        <v>305</v>
      </c>
      <c r="F10" s="15" t="s">
        <v>17784</v>
      </c>
      <c r="G10" s="15"/>
      <c r="H10" s="15"/>
      <c r="I10" s="15" t="s">
        <v>528</v>
      </c>
      <c r="J10" s="15" t="s">
        <v>15991</v>
      </c>
    </row>
    <row r="11" spans="2:10">
      <c r="B11" s="15" t="s">
        <v>17771</v>
      </c>
      <c r="C11" s="15" t="s">
        <v>17785</v>
      </c>
      <c r="D11" s="15" t="s">
        <v>506</v>
      </c>
      <c r="E11" s="15" t="s">
        <v>305</v>
      </c>
      <c r="F11" s="15" t="s">
        <v>17786</v>
      </c>
      <c r="G11" s="15"/>
      <c r="H11" s="15"/>
      <c r="I11" s="15" t="s">
        <v>528</v>
      </c>
      <c r="J11" s="15" t="s">
        <v>15991</v>
      </c>
    </row>
    <row r="12" spans="2:10">
      <c r="B12" s="15" t="s">
        <v>17771</v>
      </c>
      <c r="C12" s="15" t="s">
        <v>17787</v>
      </c>
      <c r="D12" s="15" t="s">
        <v>316</v>
      </c>
      <c r="E12" s="15" t="s">
        <v>305</v>
      </c>
      <c r="F12" s="20" t="s">
        <v>17788</v>
      </c>
      <c r="G12" s="15"/>
      <c r="H12" s="15"/>
      <c r="I12" s="15" t="s">
        <v>528</v>
      </c>
      <c r="J12" s="15" t="s">
        <v>15991</v>
      </c>
    </row>
    <row r="13" spans="2:10">
      <c r="B13" s="15" t="s">
        <v>17771</v>
      </c>
      <c r="C13" s="15" t="s">
        <v>17789</v>
      </c>
      <c r="D13" s="15" t="s">
        <v>321</v>
      </c>
      <c r="E13" s="15" t="s">
        <v>305</v>
      </c>
      <c r="F13" s="15" t="s">
        <v>11190</v>
      </c>
      <c r="G13" s="52" t="str">
        <f>HYPERLINK("#码值映射清单!B8937","SpecialStructureType")</f>
        <v>SpecialStructureType</v>
      </c>
      <c r="H13" s="15"/>
      <c r="I13" s="15" t="s">
        <v>528</v>
      </c>
      <c r="J13" s="15" t="s">
        <v>15991</v>
      </c>
    </row>
    <row r="14" spans="2:10">
      <c r="B14" s="15" t="s">
        <v>17771</v>
      </c>
      <c r="C14" s="15" t="s">
        <v>17790</v>
      </c>
      <c r="D14" s="15" t="s">
        <v>321</v>
      </c>
      <c r="E14" s="15" t="s">
        <v>305</v>
      </c>
      <c r="F14" s="20" t="s">
        <v>17791</v>
      </c>
      <c r="G14" s="52" t="str">
        <f>HYPERLINK("#码值映射清单!B9119","RealtyRightSource")</f>
        <v>RealtyRightSource</v>
      </c>
      <c r="H14" s="15"/>
      <c r="I14" s="15" t="s">
        <v>528</v>
      </c>
      <c r="J14" s="15" t="s">
        <v>15991</v>
      </c>
    </row>
    <row r="15" spans="2:10">
      <c r="B15" s="15" t="s">
        <v>17771</v>
      </c>
      <c r="C15" s="15" t="s">
        <v>17792</v>
      </c>
      <c r="D15" s="15" t="s">
        <v>506</v>
      </c>
      <c r="E15" s="15" t="s">
        <v>305</v>
      </c>
      <c r="F15" s="15" t="s">
        <v>17793</v>
      </c>
      <c r="G15" s="15"/>
      <c r="H15" s="15"/>
      <c r="I15" s="15" t="s">
        <v>528</v>
      </c>
      <c r="J15" s="15" t="s">
        <v>15991</v>
      </c>
    </row>
    <row r="16" spans="2:10">
      <c r="B16" s="15" t="s">
        <v>17771</v>
      </c>
      <c r="C16" s="15" t="s">
        <v>17794</v>
      </c>
      <c r="D16" s="15" t="s">
        <v>16557</v>
      </c>
      <c r="E16" s="15" t="s">
        <v>305</v>
      </c>
      <c r="F16" s="15" t="s">
        <v>17795</v>
      </c>
      <c r="G16" s="15"/>
      <c r="H16" s="15"/>
      <c r="I16" s="15" t="s">
        <v>528</v>
      </c>
      <c r="J16" s="15" t="s">
        <v>15991</v>
      </c>
    </row>
    <row r="17" spans="2:10">
      <c r="B17" s="15" t="s">
        <v>17771</v>
      </c>
      <c r="C17" s="15" t="s">
        <v>17796</v>
      </c>
      <c r="D17" s="15" t="s">
        <v>321</v>
      </c>
      <c r="E17" s="15" t="s">
        <v>305</v>
      </c>
      <c r="F17" s="15" t="s">
        <v>17797</v>
      </c>
      <c r="G17" s="52" t="str">
        <f>HYPERLINK("#码值映射清单!B4520","LandUseType")</f>
        <v>LandUseType</v>
      </c>
      <c r="H17" s="15"/>
      <c r="I17" s="15" t="s">
        <v>528</v>
      </c>
      <c r="J17" s="15" t="s">
        <v>15991</v>
      </c>
    </row>
    <row r="18" spans="2:10">
      <c r="B18" s="15" t="s">
        <v>17771</v>
      </c>
      <c r="C18" s="15" t="s">
        <v>17798</v>
      </c>
      <c r="D18" s="15" t="s">
        <v>506</v>
      </c>
      <c r="E18" s="15" t="s">
        <v>305</v>
      </c>
      <c r="F18" s="15" t="s">
        <v>17799</v>
      </c>
      <c r="G18" s="52" t="str">
        <f>HYPERLINK("#码值映射清单!B4530","CopyrightOwnerShip")</f>
        <v>CopyrightOwnerShip</v>
      </c>
      <c r="H18" s="15"/>
      <c r="I18" s="15" t="s">
        <v>528</v>
      </c>
      <c r="J18" s="15" t="s">
        <v>15991</v>
      </c>
    </row>
    <row r="19" spans="2:10">
      <c r="B19" s="15" t="s">
        <v>17771</v>
      </c>
      <c r="C19" s="15" t="s">
        <v>17800</v>
      </c>
      <c r="D19" s="15" t="s">
        <v>350</v>
      </c>
      <c r="E19" s="15" t="s">
        <v>305</v>
      </c>
      <c r="F19" s="20" t="s">
        <v>17801</v>
      </c>
      <c r="G19" s="15"/>
      <c r="H19" s="15"/>
      <c r="I19" s="15" t="s">
        <v>528</v>
      </c>
      <c r="J19" s="15" t="s">
        <v>15991</v>
      </c>
    </row>
    <row r="20" spans="2:10">
      <c r="B20" s="15" t="s">
        <v>17771</v>
      </c>
      <c r="C20" s="15" t="s">
        <v>17270</v>
      </c>
      <c r="D20" s="15" t="s">
        <v>371</v>
      </c>
      <c r="E20" s="15" t="s">
        <v>305</v>
      </c>
      <c r="F20" s="15" t="s">
        <v>17802</v>
      </c>
      <c r="G20" s="15"/>
      <c r="H20" s="15"/>
      <c r="I20" s="15" t="s">
        <v>528</v>
      </c>
      <c r="J20" s="15" t="s">
        <v>15991</v>
      </c>
    </row>
    <row r="21" spans="2:10">
      <c r="B21" s="15" t="s">
        <v>17771</v>
      </c>
      <c r="C21" s="15" t="s">
        <v>17803</v>
      </c>
      <c r="D21" s="15" t="s">
        <v>16557</v>
      </c>
      <c r="E21" s="15" t="s">
        <v>305</v>
      </c>
      <c r="F21" s="15" t="s">
        <v>17804</v>
      </c>
      <c r="G21" s="15"/>
      <c r="H21" s="15"/>
      <c r="I21" s="15" t="s">
        <v>528</v>
      </c>
      <c r="J21" s="15" t="s">
        <v>15991</v>
      </c>
    </row>
    <row r="22" spans="2:10">
      <c r="B22" s="15" t="s">
        <v>17771</v>
      </c>
      <c r="C22" s="15" t="s">
        <v>17805</v>
      </c>
      <c r="D22" s="15" t="s">
        <v>16087</v>
      </c>
      <c r="E22" s="15" t="s">
        <v>305</v>
      </c>
      <c r="F22" s="15" t="s">
        <v>17806</v>
      </c>
      <c r="G22" s="15"/>
      <c r="H22" s="15"/>
      <c r="I22" s="15" t="s">
        <v>528</v>
      </c>
      <c r="J22" s="15" t="s">
        <v>15991</v>
      </c>
    </row>
    <row r="23" spans="2:10">
      <c r="B23" s="15" t="s">
        <v>17771</v>
      </c>
      <c r="C23" s="15" t="s">
        <v>17807</v>
      </c>
      <c r="D23" s="15" t="s">
        <v>350</v>
      </c>
      <c r="E23" s="15" t="s">
        <v>305</v>
      </c>
      <c r="F23" s="15" t="s">
        <v>17808</v>
      </c>
      <c r="G23" s="15"/>
      <c r="H23" s="15"/>
      <c r="I23" s="15" t="s">
        <v>528</v>
      </c>
      <c r="J23" s="15" t="s">
        <v>15991</v>
      </c>
    </row>
    <row r="24" spans="2:10">
      <c r="B24" s="15" t="s">
        <v>17771</v>
      </c>
      <c r="C24" s="15" t="s">
        <v>17809</v>
      </c>
      <c r="D24" s="15" t="s">
        <v>327</v>
      </c>
      <c r="E24" s="15" t="s">
        <v>305</v>
      </c>
      <c r="F24" s="20" t="s">
        <v>17810</v>
      </c>
      <c r="G24" s="15"/>
      <c r="H24" s="15"/>
      <c r="I24" s="15" t="s">
        <v>528</v>
      </c>
      <c r="J24" s="15" t="s">
        <v>15991</v>
      </c>
    </row>
    <row r="25" spans="2:10">
      <c r="B25" s="15" t="s">
        <v>17771</v>
      </c>
      <c r="C25" s="15" t="s">
        <v>17811</v>
      </c>
      <c r="D25" s="15" t="s">
        <v>327</v>
      </c>
      <c r="E25" s="15" t="s">
        <v>305</v>
      </c>
      <c r="F25" s="15" t="s">
        <v>17812</v>
      </c>
      <c r="G25" s="15"/>
      <c r="H25" s="15"/>
      <c r="I25" s="15" t="s">
        <v>528</v>
      </c>
      <c r="J25" s="15" t="s">
        <v>15991</v>
      </c>
    </row>
    <row r="26" spans="2:10">
      <c r="B26" s="15" t="s">
        <v>17771</v>
      </c>
      <c r="C26" s="15" t="s">
        <v>17813</v>
      </c>
      <c r="D26" s="15" t="s">
        <v>327</v>
      </c>
      <c r="E26" s="15" t="s">
        <v>305</v>
      </c>
      <c r="F26" s="15" t="s">
        <v>17814</v>
      </c>
      <c r="G26" s="15"/>
      <c r="H26" s="15"/>
      <c r="I26" s="15" t="s">
        <v>528</v>
      </c>
      <c r="J26" s="15" t="s">
        <v>15991</v>
      </c>
    </row>
    <row r="27" spans="2:10">
      <c r="B27" s="15" t="s">
        <v>17771</v>
      </c>
      <c r="C27" s="15" t="s">
        <v>17815</v>
      </c>
      <c r="D27" s="15" t="s">
        <v>16557</v>
      </c>
      <c r="E27" s="15" t="s">
        <v>305</v>
      </c>
      <c r="F27" s="15" t="s">
        <v>17816</v>
      </c>
      <c r="G27" s="15"/>
      <c r="H27" s="15"/>
      <c r="I27" s="15" t="s">
        <v>528</v>
      </c>
      <c r="J27" s="15" t="s">
        <v>15991</v>
      </c>
    </row>
    <row r="28" spans="2:10">
      <c r="B28" s="15" t="s">
        <v>17771</v>
      </c>
      <c r="C28" s="15" t="s">
        <v>17817</v>
      </c>
      <c r="D28" s="15" t="s">
        <v>16557</v>
      </c>
      <c r="E28" s="15" t="s">
        <v>305</v>
      </c>
      <c r="F28" s="20" t="s">
        <v>17818</v>
      </c>
      <c r="G28" s="15"/>
      <c r="H28" s="15"/>
      <c r="I28" s="15" t="s">
        <v>528</v>
      </c>
      <c r="J28" s="15" t="s">
        <v>15991</v>
      </c>
    </row>
    <row r="29" spans="2:10">
      <c r="B29" s="15" t="s">
        <v>17771</v>
      </c>
      <c r="C29" s="15" t="s">
        <v>17819</v>
      </c>
      <c r="D29" s="15" t="s">
        <v>321</v>
      </c>
      <c r="E29" s="15" t="s">
        <v>305</v>
      </c>
      <c r="F29" s="15" t="s">
        <v>17820</v>
      </c>
      <c r="G29" s="52" t="str">
        <f>HYPERLINK("#码值映射清单!B1217","RentType")</f>
        <v>RentType</v>
      </c>
      <c r="H29" s="15"/>
      <c r="I29" s="15" t="s">
        <v>528</v>
      </c>
      <c r="J29" s="15" t="s">
        <v>15991</v>
      </c>
    </row>
    <row r="30" spans="2:10">
      <c r="B30" s="15" t="s">
        <v>17771</v>
      </c>
      <c r="C30" s="15" t="s">
        <v>17821</v>
      </c>
      <c r="D30" s="15" t="s">
        <v>371</v>
      </c>
      <c r="E30" s="15" t="s">
        <v>305</v>
      </c>
      <c r="F30" s="15" t="s">
        <v>17822</v>
      </c>
      <c r="G30" s="15"/>
      <c r="H30" s="15"/>
      <c r="I30" s="15" t="s">
        <v>528</v>
      </c>
      <c r="J30" s="15" t="s">
        <v>15991</v>
      </c>
    </row>
    <row r="31" spans="2:10">
      <c r="B31" s="15" t="s">
        <v>17771</v>
      </c>
      <c r="C31" s="15" t="s">
        <v>17823</v>
      </c>
      <c r="D31" s="15" t="s">
        <v>371</v>
      </c>
      <c r="E31" s="15" t="s">
        <v>305</v>
      </c>
      <c r="F31" s="15" t="s">
        <v>17824</v>
      </c>
      <c r="G31" s="15"/>
      <c r="H31" s="15"/>
      <c r="I31" s="15" t="s">
        <v>528</v>
      </c>
      <c r="J31" s="15" t="s">
        <v>15991</v>
      </c>
    </row>
    <row r="32" spans="2:10">
      <c r="B32" s="15" t="s">
        <v>17771</v>
      </c>
      <c r="C32" s="15" t="s">
        <v>17825</v>
      </c>
      <c r="D32" s="15" t="s">
        <v>16557</v>
      </c>
      <c r="E32" s="15" t="s">
        <v>305</v>
      </c>
      <c r="F32" s="15" t="s">
        <v>17826</v>
      </c>
      <c r="G32" s="15"/>
      <c r="H32" s="15"/>
      <c r="I32" s="15" t="s">
        <v>528</v>
      </c>
      <c r="J32" s="15" t="s">
        <v>15991</v>
      </c>
    </row>
    <row r="33" spans="2:10">
      <c r="B33" s="15" t="s">
        <v>17771</v>
      </c>
      <c r="C33" s="15" t="s">
        <v>17827</v>
      </c>
      <c r="D33" s="15" t="s">
        <v>371</v>
      </c>
      <c r="E33" s="15" t="s">
        <v>305</v>
      </c>
      <c r="F33" s="15" t="s">
        <v>17828</v>
      </c>
      <c r="G33" s="15"/>
      <c r="H33" s="15"/>
      <c r="I33" s="15" t="s">
        <v>528</v>
      </c>
      <c r="J33" s="15" t="s">
        <v>15991</v>
      </c>
    </row>
    <row r="34" spans="2:10">
      <c r="B34" s="15" t="s">
        <v>17771</v>
      </c>
      <c r="C34" s="15" t="s">
        <v>17829</v>
      </c>
      <c r="D34" s="15" t="s">
        <v>327</v>
      </c>
      <c r="E34" s="15" t="s">
        <v>305</v>
      </c>
      <c r="F34" s="15" t="s">
        <v>11498</v>
      </c>
      <c r="G34" s="15"/>
      <c r="H34" s="15"/>
      <c r="I34" s="15" t="s">
        <v>528</v>
      </c>
      <c r="J34" s="15" t="s">
        <v>15991</v>
      </c>
    </row>
    <row r="35" spans="2:10">
      <c r="B35" s="15" t="s">
        <v>17771</v>
      </c>
      <c r="C35" s="15" t="s">
        <v>17830</v>
      </c>
      <c r="D35" s="15" t="s">
        <v>16072</v>
      </c>
      <c r="E35" s="15" t="s">
        <v>305</v>
      </c>
      <c r="F35" s="15" t="s">
        <v>17831</v>
      </c>
      <c r="G35" s="52" t="str">
        <f t="shared" ref="G35:G46" si="0">HYPERLINK("#码值映射清单!B5150","YesNo")</f>
        <v>YesNo</v>
      </c>
      <c r="H35" s="15"/>
      <c r="I35" s="15" t="s">
        <v>528</v>
      </c>
      <c r="J35" s="15" t="s">
        <v>15991</v>
      </c>
    </row>
    <row r="36" spans="2:10">
      <c r="B36" s="15" t="s">
        <v>17771</v>
      </c>
      <c r="C36" s="15" t="s">
        <v>17832</v>
      </c>
      <c r="D36" s="15" t="s">
        <v>16072</v>
      </c>
      <c r="E36" s="15" t="s">
        <v>305</v>
      </c>
      <c r="F36" s="15" t="s">
        <v>17833</v>
      </c>
      <c r="G36" s="52" t="str">
        <f t="shared" si="0"/>
        <v>YesNo</v>
      </c>
      <c r="H36" s="15"/>
      <c r="I36" s="15" t="s">
        <v>528</v>
      </c>
      <c r="J36" s="15" t="s">
        <v>15991</v>
      </c>
    </row>
    <row r="37" spans="2:10">
      <c r="B37" s="15" t="s">
        <v>17771</v>
      </c>
      <c r="C37" s="15" t="s">
        <v>17834</v>
      </c>
      <c r="D37" s="15" t="s">
        <v>16072</v>
      </c>
      <c r="E37" s="15" t="s">
        <v>305</v>
      </c>
      <c r="F37" s="15" t="s">
        <v>17835</v>
      </c>
      <c r="G37" s="52" t="str">
        <f t="shared" si="0"/>
        <v>YesNo</v>
      </c>
      <c r="H37" s="15"/>
      <c r="I37" s="15" t="s">
        <v>528</v>
      </c>
      <c r="J37" s="15" t="s">
        <v>15991</v>
      </c>
    </row>
    <row r="38" spans="2:10">
      <c r="B38" s="15" t="s">
        <v>17771</v>
      </c>
      <c r="C38" s="15" t="s">
        <v>17836</v>
      </c>
      <c r="D38" s="15" t="s">
        <v>16072</v>
      </c>
      <c r="E38" s="15" t="s">
        <v>305</v>
      </c>
      <c r="F38" s="15" t="s">
        <v>17837</v>
      </c>
      <c r="G38" s="52" t="str">
        <f t="shared" si="0"/>
        <v>YesNo</v>
      </c>
      <c r="H38" s="15"/>
      <c r="I38" s="15" t="s">
        <v>528</v>
      </c>
      <c r="J38" s="15" t="s">
        <v>15991</v>
      </c>
    </row>
    <row r="39" spans="2:10">
      <c r="B39" s="15" t="s">
        <v>17771</v>
      </c>
      <c r="C39" s="15" t="s">
        <v>17838</v>
      </c>
      <c r="D39" s="15" t="s">
        <v>16072</v>
      </c>
      <c r="E39" s="15" t="s">
        <v>305</v>
      </c>
      <c r="F39" s="15" t="s">
        <v>17839</v>
      </c>
      <c r="G39" s="52" t="str">
        <f t="shared" si="0"/>
        <v>YesNo</v>
      </c>
      <c r="H39" s="15"/>
      <c r="I39" s="15" t="s">
        <v>528</v>
      </c>
      <c r="J39" s="15" t="s">
        <v>15991</v>
      </c>
    </row>
    <row r="40" spans="2:10">
      <c r="B40" s="15" t="s">
        <v>17771</v>
      </c>
      <c r="C40" s="15" t="s">
        <v>17840</v>
      </c>
      <c r="D40" s="15" t="s">
        <v>16072</v>
      </c>
      <c r="E40" s="15" t="s">
        <v>305</v>
      </c>
      <c r="F40" s="15" t="s">
        <v>17841</v>
      </c>
      <c r="G40" s="52" t="str">
        <f t="shared" si="0"/>
        <v>YesNo</v>
      </c>
      <c r="H40" s="15"/>
      <c r="I40" s="15" t="s">
        <v>528</v>
      </c>
      <c r="J40" s="15" t="s">
        <v>15991</v>
      </c>
    </row>
    <row r="41" spans="2:10">
      <c r="B41" s="15" t="s">
        <v>17771</v>
      </c>
      <c r="C41" s="15" t="s">
        <v>17842</v>
      </c>
      <c r="D41" s="15" t="s">
        <v>16072</v>
      </c>
      <c r="E41" s="15" t="s">
        <v>305</v>
      </c>
      <c r="F41" s="15" t="s">
        <v>17843</v>
      </c>
      <c r="G41" s="52" t="str">
        <f t="shared" si="0"/>
        <v>YesNo</v>
      </c>
      <c r="H41" s="15"/>
      <c r="I41" s="15" t="s">
        <v>528</v>
      </c>
      <c r="J41" s="15" t="s">
        <v>15991</v>
      </c>
    </row>
    <row r="42" spans="2:10">
      <c r="B42" s="15" t="s">
        <v>17771</v>
      </c>
      <c r="C42" s="15" t="s">
        <v>17844</v>
      </c>
      <c r="D42" s="15" t="s">
        <v>16072</v>
      </c>
      <c r="E42" s="15" t="s">
        <v>305</v>
      </c>
      <c r="F42" s="15" t="s">
        <v>17845</v>
      </c>
      <c r="G42" s="52" t="str">
        <f t="shared" si="0"/>
        <v>YesNo</v>
      </c>
      <c r="H42" s="15"/>
      <c r="I42" s="15" t="s">
        <v>528</v>
      </c>
      <c r="J42" s="15" t="s">
        <v>15991</v>
      </c>
    </row>
    <row r="43" spans="2:10">
      <c r="B43" s="15" t="s">
        <v>17771</v>
      </c>
      <c r="C43" s="15" t="s">
        <v>17846</v>
      </c>
      <c r="D43" s="15" t="s">
        <v>16072</v>
      </c>
      <c r="E43" s="15" t="s">
        <v>305</v>
      </c>
      <c r="F43" s="15" t="s">
        <v>17847</v>
      </c>
      <c r="G43" s="52" t="str">
        <f t="shared" si="0"/>
        <v>YesNo</v>
      </c>
      <c r="H43" s="15"/>
      <c r="I43" s="15" t="s">
        <v>528</v>
      </c>
      <c r="J43" s="15" t="s">
        <v>15991</v>
      </c>
    </row>
    <row r="44" spans="2:10">
      <c r="B44" s="15" t="s">
        <v>17771</v>
      </c>
      <c r="C44" s="15" t="s">
        <v>17848</v>
      </c>
      <c r="D44" s="15" t="s">
        <v>16072</v>
      </c>
      <c r="E44" s="15" t="s">
        <v>305</v>
      </c>
      <c r="F44" s="15" t="s">
        <v>17849</v>
      </c>
      <c r="G44" s="52" t="str">
        <f t="shared" si="0"/>
        <v>YesNo</v>
      </c>
      <c r="H44" s="15"/>
      <c r="I44" s="15" t="s">
        <v>528</v>
      </c>
      <c r="J44" s="15" t="s">
        <v>15991</v>
      </c>
    </row>
    <row r="45" spans="2:10">
      <c r="B45" s="15" t="s">
        <v>17771</v>
      </c>
      <c r="C45" s="15" t="s">
        <v>17850</v>
      </c>
      <c r="D45" s="15" t="s">
        <v>16072</v>
      </c>
      <c r="E45" s="15" t="s">
        <v>305</v>
      </c>
      <c r="F45" s="15" t="s">
        <v>17851</v>
      </c>
      <c r="G45" s="52" t="str">
        <f t="shared" si="0"/>
        <v>YesNo</v>
      </c>
      <c r="H45" s="15"/>
      <c r="I45" s="15" t="s">
        <v>528</v>
      </c>
      <c r="J45" s="15" t="s">
        <v>15991</v>
      </c>
    </row>
    <row r="46" spans="2:10">
      <c r="B46" s="15" t="s">
        <v>17771</v>
      </c>
      <c r="C46" s="15" t="s">
        <v>17852</v>
      </c>
      <c r="D46" s="15" t="s">
        <v>16072</v>
      </c>
      <c r="E46" s="15" t="s">
        <v>305</v>
      </c>
      <c r="F46" s="15" t="s">
        <v>17853</v>
      </c>
      <c r="G46" s="52" t="str">
        <f t="shared" si="0"/>
        <v>YesNo</v>
      </c>
      <c r="H46" s="15"/>
      <c r="I46" s="15" t="s">
        <v>528</v>
      </c>
      <c r="J46" s="15" t="s">
        <v>15991</v>
      </c>
    </row>
    <row r="47" spans="2:10">
      <c r="B47" s="15" t="s">
        <v>17771</v>
      </c>
      <c r="C47" s="15" t="s">
        <v>16088</v>
      </c>
      <c r="D47" s="15" t="s">
        <v>316</v>
      </c>
      <c r="E47" s="15" t="s">
        <v>305</v>
      </c>
      <c r="F47" s="15" t="s">
        <v>16089</v>
      </c>
      <c r="G47" s="15"/>
      <c r="H47" s="15"/>
      <c r="I47" s="15" t="s">
        <v>528</v>
      </c>
      <c r="J47" s="15" t="s">
        <v>15991</v>
      </c>
    </row>
    <row r="48" spans="2:10">
      <c r="B48" s="16" t="s">
        <v>17771</v>
      </c>
      <c r="C48" s="16" t="s">
        <v>17854</v>
      </c>
      <c r="D48" s="16" t="s">
        <v>16087</v>
      </c>
      <c r="E48" s="16" t="s">
        <v>305</v>
      </c>
      <c r="F48" s="16" t="s">
        <v>17855</v>
      </c>
      <c r="G48" s="16"/>
      <c r="H48" s="16"/>
      <c r="I48" s="16" t="s">
        <v>528</v>
      </c>
      <c r="J48" s="16" t="s">
        <v>15991</v>
      </c>
    </row>
    <row r="49" spans="2:10">
      <c r="B49" s="65" t="s">
        <v>17771</v>
      </c>
      <c r="C49" s="57" t="s">
        <v>575</v>
      </c>
      <c r="D49" s="57" t="s">
        <v>321</v>
      </c>
      <c r="E49" s="73" t="s">
        <v>305</v>
      </c>
      <c r="F49" s="59" t="s">
        <v>574</v>
      </c>
      <c r="G49" s="57"/>
      <c r="H49" s="57"/>
      <c r="I49" s="57"/>
      <c r="J49" s="50">
        <v>45740</v>
      </c>
    </row>
    <row r="50" spans="2:10">
      <c r="B50" s="65" t="s">
        <v>17771</v>
      </c>
      <c r="C50" s="57" t="s">
        <v>577</v>
      </c>
      <c r="D50" s="57" t="s">
        <v>316</v>
      </c>
      <c r="E50" s="73" t="s">
        <v>305</v>
      </c>
      <c r="F50" s="59" t="s">
        <v>576</v>
      </c>
      <c r="G50" s="57"/>
      <c r="H50" s="57"/>
      <c r="I50" s="57"/>
      <c r="J50" s="50">
        <v>45740</v>
      </c>
    </row>
    <row r="51" spans="2:10">
      <c r="B51" s="65" t="s">
        <v>17771</v>
      </c>
      <c r="C51" s="57" t="s">
        <v>579</v>
      </c>
      <c r="D51" s="57" t="s">
        <v>367</v>
      </c>
      <c r="E51" s="73" t="s">
        <v>305</v>
      </c>
      <c r="F51" s="59" t="s">
        <v>578</v>
      </c>
      <c r="G51" s="57"/>
      <c r="H51" s="57"/>
      <c r="I51" s="57"/>
      <c r="J51" s="50">
        <v>45740</v>
      </c>
    </row>
  </sheetData>
  <pageMargins left="0.75" right="0.75" top="1" bottom="1" header="0.5" footer="0.5"/>
  <pageSetup paperSize="1" orientation="portrait" horizontalDpi="300" verticalDpi="300"/>
  <headerFooter alignWithMargins="0" scaleWithDoc="0"/>
</worksheet>
</file>

<file path=xl/worksheets/sheet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83"/>
  <sheetViews>
    <sheetView zoomScaleSheetLayoutView="60" workbookViewId="0">
      <pane ySplit="2" topLeftCell="A67" activePane="bottomLeft" state="frozen"/>
      <selection/>
      <selection pane="bottomLeft" activeCell="J75" sqref="J75:J83"/>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1" t="str">
        <f>HYPERLINK("#表结构清单!A1","返回")</f>
        <v>返回</v>
      </c>
      <c r="B1" t="s">
        <v>188</v>
      </c>
    </row>
    <row r="2" spans="2:10">
      <c r="B2" s="13" t="s">
        <v>15982</v>
      </c>
      <c r="C2" s="13" t="s">
        <v>297</v>
      </c>
      <c r="D2" s="13" t="s">
        <v>11870</v>
      </c>
      <c r="E2" s="13" t="s">
        <v>15983</v>
      </c>
      <c r="F2" s="13" t="s">
        <v>15984</v>
      </c>
      <c r="G2" s="13" t="s">
        <v>300</v>
      </c>
      <c r="H2" s="13" t="s">
        <v>301</v>
      </c>
      <c r="I2" s="13" t="s">
        <v>15985</v>
      </c>
      <c r="J2" s="13" t="s">
        <v>15986</v>
      </c>
    </row>
    <row r="3" spans="2:10">
      <c r="B3" s="15" t="s">
        <v>17856</v>
      </c>
      <c r="C3" s="15" t="s">
        <v>16103</v>
      </c>
      <c r="D3" s="15" t="s">
        <v>316</v>
      </c>
      <c r="E3" s="15" t="s">
        <v>15989</v>
      </c>
      <c r="F3" s="15" t="s">
        <v>16986</v>
      </c>
      <c r="G3" s="15"/>
      <c r="H3" s="15"/>
      <c r="I3" s="15" t="s">
        <v>528</v>
      </c>
      <c r="J3" s="15" t="s">
        <v>15991</v>
      </c>
    </row>
    <row r="4" spans="2:10">
      <c r="B4" s="15" t="s">
        <v>17856</v>
      </c>
      <c r="C4" s="15" t="s">
        <v>17857</v>
      </c>
      <c r="D4" s="15" t="s">
        <v>506</v>
      </c>
      <c r="E4" s="15" t="s">
        <v>305</v>
      </c>
      <c r="F4" s="20" t="s">
        <v>17858</v>
      </c>
      <c r="G4" s="15"/>
      <c r="H4" s="15"/>
      <c r="I4" s="15" t="s">
        <v>528</v>
      </c>
      <c r="J4" s="15" t="s">
        <v>15991</v>
      </c>
    </row>
    <row r="5" spans="2:10">
      <c r="B5" s="15" t="s">
        <v>17856</v>
      </c>
      <c r="C5" s="15" t="s">
        <v>17859</v>
      </c>
      <c r="D5" s="15" t="s">
        <v>506</v>
      </c>
      <c r="E5" s="15" t="s">
        <v>305</v>
      </c>
      <c r="F5" s="20" t="s">
        <v>17860</v>
      </c>
      <c r="G5" s="15"/>
      <c r="H5" s="15"/>
      <c r="I5" s="15" t="s">
        <v>528</v>
      </c>
      <c r="J5" s="15" t="s">
        <v>15991</v>
      </c>
    </row>
    <row r="6" spans="2:10">
      <c r="B6" s="15" t="s">
        <v>17856</v>
      </c>
      <c r="C6" s="15" t="s">
        <v>17861</v>
      </c>
      <c r="D6" s="15" t="s">
        <v>506</v>
      </c>
      <c r="E6" s="15" t="s">
        <v>305</v>
      </c>
      <c r="F6" s="15" t="s">
        <v>17862</v>
      </c>
      <c r="G6" s="15"/>
      <c r="H6" s="15"/>
      <c r="I6" s="15" t="s">
        <v>528</v>
      </c>
      <c r="J6" s="15" t="s">
        <v>15991</v>
      </c>
    </row>
    <row r="7" spans="2:10">
      <c r="B7" s="15" t="s">
        <v>17856</v>
      </c>
      <c r="C7" s="15" t="s">
        <v>17863</v>
      </c>
      <c r="D7" s="15" t="s">
        <v>506</v>
      </c>
      <c r="E7" s="15" t="s">
        <v>305</v>
      </c>
      <c r="F7" s="20" t="s">
        <v>17864</v>
      </c>
      <c r="G7" s="15"/>
      <c r="H7" s="15"/>
      <c r="I7" s="15" t="s">
        <v>528</v>
      </c>
      <c r="J7" s="15" t="s">
        <v>15991</v>
      </c>
    </row>
    <row r="8" spans="2:10">
      <c r="B8" s="15" t="s">
        <v>17856</v>
      </c>
      <c r="C8" s="15" t="s">
        <v>17865</v>
      </c>
      <c r="D8" s="15" t="s">
        <v>513</v>
      </c>
      <c r="E8" s="15" t="s">
        <v>305</v>
      </c>
      <c r="F8" s="15" t="s">
        <v>17866</v>
      </c>
      <c r="G8" s="15"/>
      <c r="H8" s="15"/>
      <c r="I8" s="15" t="s">
        <v>528</v>
      </c>
      <c r="J8" s="15" t="s">
        <v>15991</v>
      </c>
    </row>
    <row r="9" spans="2:10">
      <c r="B9" s="15" t="s">
        <v>17856</v>
      </c>
      <c r="C9" s="15" t="s">
        <v>17270</v>
      </c>
      <c r="D9" s="15" t="s">
        <v>513</v>
      </c>
      <c r="E9" s="15" t="s">
        <v>305</v>
      </c>
      <c r="F9" s="15" t="s">
        <v>17867</v>
      </c>
      <c r="G9" s="15"/>
      <c r="H9" s="15"/>
      <c r="I9" s="15" t="s">
        <v>528</v>
      </c>
      <c r="J9" s="15" t="s">
        <v>15991</v>
      </c>
    </row>
    <row r="10" spans="2:10">
      <c r="B10" s="15" t="s">
        <v>17856</v>
      </c>
      <c r="C10" s="15" t="s">
        <v>17868</v>
      </c>
      <c r="D10" s="15" t="s">
        <v>17036</v>
      </c>
      <c r="E10" s="15" t="s">
        <v>305</v>
      </c>
      <c r="F10" s="15" t="s">
        <v>17869</v>
      </c>
      <c r="G10" s="15"/>
      <c r="H10" s="15"/>
      <c r="I10" s="15" t="s">
        <v>528</v>
      </c>
      <c r="J10" s="15" t="s">
        <v>15991</v>
      </c>
    </row>
    <row r="11" spans="2:10">
      <c r="B11" s="15" t="s">
        <v>17856</v>
      </c>
      <c r="C11" s="15" t="s">
        <v>17870</v>
      </c>
      <c r="D11" s="15" t="s">
        <v>367</v>
      </c>
      <c r="E11" s="15" t="s">
        <v>305</v>
      </c>
      <c r="F11" s="20" t="s">
        <v>17871</v>
      </c>
      <c r="G11" s="52" t="str">
        <f>HYPERLINK("#码值映射清单!B4530","CopyrightOwnerShip")</f>
        <v>CopyrightOwnerShip</v>
      </c>
      <c r="H11" s="15"/>
      <c r="I11" s="15" t="s">
        <v>528</v>
      </c>
      <c r="J11" s="15" t="s">
        <v>15991</v>
      </c>
    </row>
    <row r="12" spans="2:10">
      <c r="B12" s="15" t="s">
        <v>17856</v>
      </c>
      <c r="C12" s="15" t="s">
        <v>17872</v>
      </c>
      <c r="D12" s="15" t="s">
        <v>321</v>
      </c>
      <c r="E12" s="15" t="s">
        <v>305</v>
      </c>
      <c r="F12" s="49" t="s">
        <v>17873</v>
      </c>
      <c r="G12" s="52" t="str">
        <f>HYPERLINK("#码值映射清单!B1792","CopyrightSource")</f>
        <v>CopyrightSource</v>
      </c>
      <c r="H12" s="15"/>
      <c r="I12" s="15" t="s">
        <v>528</v>
      </c>
      <c r="J12" s="15" t="s">
        <v>15991</v>
      </c>
    </row>
    <row r="13" spans="2:10">
      <c r="B13" s="15" t="s">
        <v>17856</v>
      </c>
      <c r="C13" s="15" t="s">
        <v>17874</v>
      </c>
      <c r="D13" s="15" t="s">
        <v>363</v>
      </c>
      <c r="E13" s="15" t="s">
        <v>305</v>
      </c>
      <c r="F13" s="15" t="s">
        <v>17875</v>
      </c>
      <c r="G13" s="15"/>
      <c r="H13" s="15"/>
      <c r="I13" s="15" t="s">
        <v>528</v>
      </c>
      <c r="J13" s="15" t="s">
        <v>15991</v>
      </c>
    </row>
    <row r="14" spans="2:10">
      <c r="B14" s="15" t="s">
        <v>17856</v>
      </c>
      <c r="C14" s="15" t="s">
        <v>17876</v>
      </c>
      <c r="D14" s="15" t="s">
        <v>367</v>
      </c>
      <c r="E14" s="15" t="s">
        <v>305</v>
      </c>
      <c r="F14" s="15" t="s">
        <v>17877</v>
      </c>
      <c r="G14" s="15"/>
      <c r="H14" s="15"/>
      <c r="I14" s="15" t="s">
        <v>528</v>
      </c>
      <c r="J14" s="15" t="s">
        <v>15991</v>
      </c>
    </row>
    <row r="15" spans="2:10">
      <c r="B15" s="15" t="s">
        <v>17856</v>
      </c>
      <c r="C15" s="15" t="s">
        <v>16486</v>
      </c>
      <c r="D15" s="15" t="s">
        <v>367</v>
      </c>
      <c r="E15" s="15" t="s">
        <v>305</v>
      </c>
      <c r="F15" s="15" t="s">
        <v>16487</v>
      </c>
      <c r="G15" s="15"/>
      <c r="H15" s="15"/>
      <c r="I15" s="15" t="s">
        <v>528</v>
      </c>
      <c r="J15" s="15" t="s">
        <v>15991</v>
      </c>
    </row>
    <row r="16" spans="2:10">
      <c r="B16" s="15" t="s">
        <v>17856</v>
      </c>
      <c r="C16" s="15" t="s">
        <v>17324</v>
      </c>
      <c r="D16" s="15" t="s">
        <v>367</v>
      </c>
      <c r="E16" s="15" t="s">
        <v>305</v>
      </c>
      <c r="F16" s="15" t="s">
        <v>17878</v>
      </c>
      <c r="G16" s="15"/>
      <c r="H16" s="15"/>
      <c r="I16" s="15" t="s">
        <v>528</v>
      </c>
      <c r="J16" s="15" t="s">
        <v>15991</v>
      </c>
    </row>
    <row r="17" spans="2:10">
      <c r="B17" s="15" t="s">
        <v>17856</v>
      </c>
      <c r="C17" s="15" t="s">
        <v>17879</v>
      </c>
      <c r="D17" s="15" t="s">
        <v>513</v>
      </c>
      <c r="E17" s="15" t="s">
        <v>305</v>
      </c>
      <c r="F17" s="15" t="s">
        <v>17880</v>
      </c>
      <c r="G17" s="52" t="str">
        <f>HYPERLINK("#码值映射清单!B3107","PatentCopyrightType")</f>
        <v>PatentCopyrightType</v>
      </c>
      <c r="H17" s="15"/>
      <c r="I17" s="15" t="s">
        <v>528</v>
      </c>
      <c r="J17" s="15" t="s">
        <v>15991</v>
      </c>
    </row>
    <row r="18" spans="2:10">
      <c r="B18" s="15" t="s">
        <v>17856</v>
      </c>
      <c r="C18" s="15" t="s">
        <v>17881</v>
      </c>
      <c r="D18" s="15" t="s">
        <v>321</v>
      </c>
      <c r="E18" s="15" t="s">
        <v>305</v>
      </c>
      <c r="F18" s="15" t="s">
        <v>7866</v>
      </c>
      <c r="G18" s="52" t="str">
        <f>HYPERLINK("#码值映射清单!B5978","WorksType")</f>
        <v>WorksType</v>
      </c>
      <c r="H18" s="15"/>
      <c r="I18" s="15" t="s">
        <v>528</v>
      </c>
      <c r="J18" s="15" t="s">
        <v>15991</v>
      </c>
    </row>
    <row r="19" spans="2:10">
      <c r="B19" s="15" t="s">
        <v>17856</v>
      </c>
      <c r="C19" s="15" t="s">
        <v>17882</v>
      </c>
      <c r="D19" s="15" t="s">
        <v>321</v>
      </c>
      <c r="E19" s="15" t="s">
        <v>305</v>
      </c>
      <c r="F19" s="15" t="s">
        <v>2463</v>
      </c>
      <c r="G19" s="52" t="str">
        <f>HYPERLINK("#码值映射清单!B1298","WorksCreationMode")</f>
        <v>WorksCreationMode</v>
      </c>
      <c r="H19" s="15"/>
      <c r="I19" s="15" t="s">
        <v>528</v>
      </c>
      <c r="J19" s="15" t="s">
        <v>15991</v>
      </c>
    </row>
    <row r="20" spans="2:10">
      <c r="B20" s="15" t="s">
        <v>17856</v>
      </c>
      <c r="C20" s="15" t="s">
        <v>17883</v>
      </c>
      <c r="D20" s="15" t="s">
        <v>367</v>
      </c>
      <c r="E20" s="15" t="s">
        <v>305</v>
      </c>
      <c r="F20" s="15" t="s">
        <v>17884</v>
      </c>
      <c r="G20" s="15"/>
      <c r="H20" s="15"/>
      <c r="I20" s="15" t="s">
        <v>528</v>
      </c>
      <c r="J20" s="15" t="s">
        <v>15991</v>
      </c>
    </row>
    <row r="21" spans="2:10">
      <c r="B21" s="15" t="s">
        <v>17856</v>
      </c>
      <c r="C21" s="15" t="s">
        <v>16122</v>
      </c>
      <c r="D21" s="15" t="s">
        <v>513</v>
      </c>
      <c r="E21" s="15" t="s">
        <v>305</v>
      </c>
      <c r="F21" s="20" t="s">
        <v>17885</v>
      </c>
      <c r="G21" s="15"/>
      <c r="H21" s="15"/>
      <c r="I21" s="15" t="s">
        <v>528</v>
      </c>
      <c r="J21" s="15" t="s">
        <v>15991</v>
      </c>
    </row>
    <row r="22" spans="2:10">
      <c r="B22" s="15" t="s">
        <v>17856</v>
      </c>
      <c r="C22" s="15" t="s">
        <v>16124</v>
      </c>
      <c r="D22" s="15" t="s">
        <v>513</v>
      </c>
      <c r="E22" s="15" t="s">
        <v>305</v>
      </c>
      <c r="F22" s="20" t="s">
        <v>17886</v>
      </c>
      <c r="G22" s="52" t="str">
        <f>HYPERLINK("#码值映射清单!B1792","CopyrightSource")</f>
        <v>CopyrightSource</v>
      </c>
      <c r="H22" s="15"/>
      <c r="I22" s="15" t="s">
        <v>528</v>
      </c>
      <c r="J22" s="15" t="s">
        <v>15991</v>
      </c>
    </row>
    <row r="23" spans="2:10">
      <c r="B23" s="15" t="s">
        <v>17856</v>
      </c>
      <c r="C23" s="15" t="s">
        <v>17887</v>
      </c>
      <c r="D23" s="15" t="s">
        <v>16557</v>
      </c>
      <c r="E23" s="15" t="s">
        <v>305</v>
      </c>
      <c r="F23" s="15" t="s">
        <v>17888</v>
      </c>
      <c r="G23" s="15"/>
      <c r="H23" s="15"/>
      <c r="I23" s="15" t="s">
        <v>528</v>
      </c>
      <c r="J23" s="15" t="s">
        <v>15991</v>
      </c>
    </row>
    <row r="24" spans="2:10">
      <c r="B24" s="15" t="s">
        <v>17856</v>
      </c>
      <c r="C24" s="15" t="s">
        <v>17889</v>
      </c>
      <c r="D24" s="15" t="s">
        <v>16557</v>
      </c>
      <c r="E24" s="15" t="s">
        <v>305</v>
      </c>
      <c r="F24" s="15" t="s">
        <v>17890</v>
      </c>
      <c r="G24" s="15"/>
      <c r="H24" s="15"/>
      <c r="I24" s="15" t="s">
        <v>528</v>
      </c>
      <c r="J24" s="15" t="s">
        <v>15991</v>
      </c>
    </row>
    <row r="25" spans="2:10">
      <c r="B25" s="15" t="s">
        <v>17856</v>
      </c>
      <c r="C25" s="15" t="s">
        <v>17891</v>
      </c>
      <c r="D25" s="15" t="s">
        <v>350</v>
      </c>
      <c r="E25" s="15" t="s">
        <v>305</v>
      </c>
      <c r="F25" s="15" t="s">
        <v>17892</v>
      </c>
      <c r="G25" s="15"/>
      <c r="H25" s="15"/>
      <c r="I25" s="15" t="s">
        <v>528</v>
      </c>
      <c r="J25" s="15" t="s">
        <v>15991</v>
      </c>
    </row>
    <row r="26" spans="2:10">
      <c r="B26" s="15" t="s">
        <v>17856</v>
      </c>
      <c r="C26" s="15" t="s">
        <v>17893</v>
      </c>
      <c r="D26" s="15" t="s">
        <v>350</v>
      </c>
      <c r="E26" s="15" t="s">
        <v>305</v>
      </c>
      <c r="F26" s="15" t="s">
        <v>17894</v>
      </c>
      <c r="G26" s="15"/>
      <c r="H26" s="15"/>
      <c r="I26" s="15" t="s">
        <v>528</v>
      </c>
      <c r="J26" s="15" t="s">
        <v>15991</v>
      </c>
    </row>
    <row r="27" spans="2:10">
      <c r="B27" s="15" t="s">
        <v>17856</v>
      </c>
      <c r="C27" s="15" t="s">
        <v>17895</v>
      </c>
      <c r="D27" s="15" t="s">
        <v>350</v>
      </c>
      <c r="E27" s="15" t="s">
        <v>305</v>
      </c>
      <c r="F27" s="15" t="s">
        <v>17896</v>
      </c>
      <c r="G27" s="15"/>
      <c r="H27" s="15"/>
      <c r="I27" s="15" t="s">
        <v>528</v>
      </c>
      <c r="J27" s="15" t="s">
        <v>15991</v>
      </c>
    </row>
    <row r="28" spans="2:10">
      <c r="B28" s="15" t="s">
        <v>17856</v>
      </c>
      <c r="C28" s="15" t="s">
        <v>17897</v>
      </c>
      <c r="D28" s="15" t="s">
        <v>506</v>
      </c>
      <c r="E28" s="15" t="s">
        <v>305</v>
      </c>
      <c r="F28" s="15" t="s">
        <v>17898</v>
      </c>
      <c r="G28" s="15"/>
      <c r="H28" s="15"/>
      <c r="I28" s="15" t="s">
        <v>528</v>
      </c>
      <c r="J28" s="15" t="s">
        <v>15991</v>
      </c>
    </row>
    <row r="29" spans="2:10">
      <c r="B29" s="15" t="s">
        <v>17856</v>
      </c>
      <c r="C29" s="15" t="s">
        <v>17899</v>
      </c>
      <c r="D29" s="15" t="s">
        <v>321</v>
      </c>
      <c r="E29" s="15" t="s">
        <v>305</v>
      </c>
      <c r="F29" s="15" t="s">
        <v>11965</v>
      </c>
      <c r="G29" s="52" t="str">
        <f>HYPERLINK("#码值映射清单!B9684","PatentApplStatus")</f>
        <v>PatentApplStatus</v>
      </c>
      <c r="H29" s="15"/>
      <c r="I29" s="15" t="s">
        <v>528</v>
      </c>
      <c r="J29" s="15" t="s">
        <v>15991</v>
      </c>
    </row>
    <row r="30" spans="2:10">
      <c r="B30" s="15" t="s">
        <v>17856</v>
      </c>
      <c r="C30" s="15" t="s">
        <v>17900</v>
      </c>
      <c r="D30" s="15" t="s">
        <v>513</v>
      </c>
      <c r="E30" s="15" t="s">
        <v>305</v>
      </c>
      <c r="F30" s="15" t="s">
        <v>17901</v>
      </c>
      <c r="G30" s="15"/>
      <c r="H30" s="15"/>
      <c r="I30" s="15" t="s">
        <v>528</v>
      </c>
      <c r="J30" s="15" t="s">
        <v>15991</v>
      </c>
    </row>
    <row r="31" spans="2:10">
      <c r="B31" s="15" t="s">
        <v>17856</v>
      </c>
      <c r="C31" s="15" t="s">
        <v>17902</v>
      </c>
      <c r="D31" s="15" t="s">
        <v>367</v>
      </c>
      <c r="E31" s="15" t="s">
        <v>305</v>
      </c>
      <c r="F31" s="15" t="s">
        <v>17903</v>
      </c>
      <c r="G31" s="15"/>
      <c r="H31" s="15"/>
      <c r="I31" s="15" t="s">
        <v>528</v>
      </c>
      <c r="J31" s="15" t="s">
        <v>15991</v>
      </c>
    </row>
    <row r="32" spans="2:10">
      <c r="B32" s="15" t="s">
        <v>17856</v>
      </c>
      <c r="C32" s="15" t="s">
        <v>17904</v>
      </c>
      <c r="D32" s="15" t="s">
        <v>367</v>
      </c>
      <c r="E32" s="15" t="s">
        <v>305</v>
      </c>
      <c r="F32" s="20" t="s">
        <v>17905</v>
      </c>
      <c r="G32" s="15"/>
      <c r="H32" s="15"/>
      <c r="I32" s="15" t="s">
        <v>528</v>
      </c>
      <c r="J32" s="15" t="s">
        <v>15991</v>
      </c>
    </row>
    <row r="33" spans="2:10">
      <c r="B33" s="15" t="s">
        <v>17856</v>
      </c>
      <c r="C33" s="15" t="s">
        <v>17906</v>
      </c>
      <c r="D33" s="15" t="s">
        <v>506</v>
      </c>
      <c r="E33" s="15" t="s">
        <v>305</v>
      </c>
      <c r="F33" s="15" t="s">
        <v>17907</v>
      </c>
      <c r="G33" s="15"/>
      <c r="H33" s="15"/>
      <c r="I33" s="15" t="s">
        <v>528</v>
      </c>
      <c r="J33" s="15" t="s">
        <v>15991</v>
      </c>
    </row>
    <row r="34" spans="2:10">
      <c r="B34" s="15" t="s">
        <v>17856</v>
      </c>
      <c r="C34" s="15" t="s">
        <v>17908</v>
      </c>
      <c r="D34" s="15" t="s">
        <v>506</v>
      </c>
      <c r="E34" s="15" t="s">
        <v>305</v>
      </c>
      <c r="F34" s="15" t="s">
        <v>17909</v>
      </c>
      <c r="G34" s="15"/>
      <c r="H34" s="15"/>
      <c r="I34" s="15" t="s">
        <v>528</v>
      </c>
      <c r="J34" s="15" t="s">
        <v>15991</v>
      </c>
    </row>
    <row r="35" spans="2:10">
      <c r="B35" s="15" t="s">
        <v>17856</v>
      </c>
      <c r="C35" s="15" t="s">
        <v>17910</v>
      </c>
      <c r="D35" s="15" t="s">
        <v>513</v>
      </c>
      <c r="E35" s="15" t="s">
        <v>305</v>
      </c>
      <c r="F35" s="20" t="s">
        <v>17911</v>
      </c>
      <c r="G35" s="52" t="str">
        <f>HYPERLINK("#码值映射清单!B9145","EnterpriseType")</f>
        <v>EnterpriseType</v>
      </c>
      <c r="H35" s="15"/>
      <c r="I35" s="15" t="s">
        <v>528</v>
      </c>
      <c r="J35" s="15" t="s">
        <v>15991</v>
      </c>
    </row>
    <row r="36" spans="2:10">
      <c r="B36" s="15" t="s">
        <v>17856</v>
      </c>
      <c r="C36" s="15" t="s">
        <v>16058</v>
      </c>
      <c r="D36" s="15" t="s">
        <v>367</v>
      </c>
      <c r="E36" s="15" t="s">
        <v>305</v>
      </c>
      <c r="F36" s="15" t="s">
        <v>17912</v>
      </c>
      <c r="G36" s="15"/>
      <c r="H36" s="15"/>
      <c r="I36" s="15" t="s">
        <v>528</v>
      </c>
      <c r="J36" s="15" t="s">
        <v>15991</v>
      </c>
    </row>
    <row r="37" spans="2:10">
      <c r="B37" s="15" t="s">
        <v>17856</v>
      </c>
      <c r="C37" s="15" t="s">
        <v>17913</v>
      </c>
      <c r="D37" s="15" t="s">
        <v>321</v>
      </c>
      <c r="E37" s="15" t="s">
        <v>305</v>
      </c>
      <c r="F37" s="15" t="s">
        <v>9404</v>
      </c>
      <c r="G37" s="52" t="str">
        <f>HYPERLINK("#码值映射清单!B7281","TrademarkType")</f>
        <v>TrademarkType</v>
      </c>
      <c r="H37" s="15"/>
      <c r="I37" s="15" t="s">
        <v>528</v>
      </c>
      <c r="J37" s="15" t="s">
        <v>15991</v>
      </c>
    </row>
    <row r="38" spans="2:10">
      <c r="B38" s="15" t="s">
        <v>17856</v>
      </c>
      <c r="C38" s="15" t="s">
        <v>17914</v>
      </c>
      <c r="D38" s="15" t="s">
        <v>321</v>
      </c>
      <c r="E38" s="15" t="s">
        <v>305</v>
      </c>
      <c r="F38" s="20" t="s">
        <v>9783</v>
      </c>
      <c r="G38" s="52" t="str">
        <f>HYPERLINK("#码值映射清单!B7531","TrademarkReputaiton")</f>
        <v>TrademarkReputaiton</v>
      </c>
      <c r="H38" s="15"/>
      <c r="I38" s="15" t="s">
        <v>528</v>
      </c>
      <c r="J38" s="15" t="s">
        <v>15991</v>
      </c>
    </row>
    <row r="39" spans="2:10">
      <c r="B39" s="15" t="s">
        <v>17856</v>
      </c>
      <c r="C39" s="15" t="s">
        <v>17915</v>
      </c>
      <c r="D39" s="15" t="s">
        <v>367</v>
      </c>
      <c r="E39" s="15" t="s">
        <v>305</v>
      </c>
      <c r="F39" s="20" t="s">
        <v>17916</v>
      </c>
      <c r="G39" s="15"/>
      <c r="H39" s="15"/>
      <c r="I39" s="15" t="s">
        <v>528</v>
      </c>
      <c r="J39" s="15" t="s">
        <v>15991</v>
      </c>
    </row>
    <row r="40" spans="2:10">
      <c r="B40" s="15" t="s">
        <v>17856</v>
      </c>
      <c r="C40" s="15" t="s">
        <v>17917</v>
      </c>
      <c r="D40" s="15" t="s">
        <v>367</v>
      </c>
      <c r="E40" s="15" t="s">
        <v>305</v>
      </c>
      <c r="F40" s="20" t="s">
        <v>17918</v>
      </c>
      <c r="G40" s="15"/>
      <c r="H40" s="15"/>
      <c r="I40" s="15" t="s">
        <v>528</v>
      </c>
      <c r="J40" s="15" t="s">
        <v>15991</v>
      </c>
    </row>
    <row r="41" spans="2:10">
      <c r="B41" s="15" t="s">
        <v>17856</v>
      </c>
      <c r="C41" s="15" t="s">
        <v>17919</v>
      </c>
      <c r="D41" s="15" t="s">
        <v>367</v>
      </c>
      <c r="E41" s="15" t="s">
        <v>305</v>
      </c>
      <c r="F41" s="20" t="s">
        <v>17920</v>
      </c>
      <c r="G41" s="15"/>
      <c r="H41" s="15"/>
      <c r="I41" s="15" t="s">
        <v>528</v>
      </c>
      <c r="J41" s="15" t="s">
        <v>15991</v>
      </c>
    </row>
    <row r="42" spans="2:10">
      <c r="B42" s="15" t="s">
        <v>17856</v>
      </c>
      <c r="C42" s="15" t="s">
        <v>17921</v>
      </c>
      <c r="D42" s="15" t="s">
        <v>367</v>
      </c>
      <c r="E42" s="15" t="s">
        <v>305</v>
      </c>
      <c r="F42" s="20" t="s">
        <v>17922</v>
      </c>
      <c r="G42" s="15"/>
      <c r="H42" s="15"/>
      <c r="I42" s="15" t="s">
        <v>528</v>
      </c>
      <c r="J42" s="15" t="s">
        <v>15991</v>
      </c>
    </row>
    <row r="43" spans="2:10">
      <c r="B43" s="15" t="s">
        <v>17856</v>
      </c>
      <c r="C43" s="15" t="s">
        <v>17923</v>
      </c>
      <c r="D43" s="15" t="s">
        <v>367</v>
      </c>
      <c r="E43" s="15" t="s">
        <v>305</v>
      </c>
      <c r="F43" s="20" t="s">
        <v>17924</v>
      </c>
      <c r="G43" s="15"/>
      <c r="H43" s="15"/>
      <c r="I43" s="15" t="s">
        <v>528</v>
      </c>
      <c r="J43" s="15" t="s">
        <v>15991</v>
      </c>
    </row>
    <row r="44" spans="2:10">
      <c r="B44" s="15" t="s">
        <v>17856</v>
      </c>
      <c r="C44" s="15" t="s">
        <v>17925</v>
      </c>
      <c r="D44" s="15" t="s">
        <v>363</v>
      </c>
      <c r="E44" s="15" t="s">
        <v>305</v>
      </c>
      <c r="F44" s="15" t="s">
        <v>17926</v>
      </c>
      <c r="G44" s="15"/>
      <c r="H44" s="15"/>
      <c r="I44" s="15" t="s">
        <v>528</v>
      </c>
      <c r="J44" s="15" t="s">
        <v>15991</v>
      </c>
    </row>
    <row r="45" spans="2:10">
      <c r="B45" s="15" t="s">
        <v>17856</v>
      </c>
      <c r="C45" s="15" t="s">
        <v>17927</v>
      </c>
      <c r="D45" s="15" t="s">
        <v>350</v>
      </c>
      <c r="E45" s="15" t="s">
        <v>305</v>
      </c>
      <c r="F45" s="15" t="s">
        <v>17928</v>
      </c>
      <c r="G45" s="15"/>
      <c r="H45" s="15"/>
      <c r="I45" s="15" t="s">
        <v>528</v>
      </c>
      <c r="J45" s="15" t="s">
        <v>15991</v>
      </c>
    </row>
    <row r="46" spans="2:10">
      <c r="B46" s="15" t="s">
        <v>17856</v>
      </c>
      <c r="C46" s="15" t="s">
        <v>17929</v>
      </c>
      <c r="D46" s="15" t="s">
        <v>16557</v>
      </c>
      <c r="E46" s="15" t="s">
        <v>305</v>
      </c>
      <c r="F46" s="15" t="s">
        <v>17930</v>
      </c>
      <c r="G46" s="15"/>
      <c r="H46" s="15"/>
      <c r="I46" s="15" t="s">
        <v>528</v>
      </c>
      <c r="J46" s="15" t="s">
        <v>15991</v>
      </c>
    </row>
    <row r="47" spans="2:10">
      <c r="B47" s="15" t="s">
        <v>17856</v>
      </c>
      <c r="C47" s="15" t="s">
        <v>17931</v>
      </c>
      <c r="D47" s="15" t="s">
        <v>321</v>
      </c>
      <c r="E47" s="15" t="s">
        <v>305</v>
      </c>
      <c r="F47" s="15" t="s">
        <v>11390</v>
      </c>
      <c r="G47" s="52" t="str">
        <f>HYPERLINK("#码值映射清单!B9116","InventionType")</f>
        <v>InventionType</v>
      </c>
      <c r="H47" s="15"/>
      <c r="I47" s="15" t="s">
        <v>528</v>
      </c>
      <c r="J47" s="15" t="s">
        <v>15991</v>
      </c>
    </row>
    <row r="48" spans="2:10">
      <c r="B48" s="15" t="s">
        <v>17856</v>
      </c>
      <c r="C48" s="15" t="s">
        <v>17932</v>
      </c>
      <c r="D48" s="15" t="s">
        <v>513</v>
      </c>
      <c r="E48" s="15" t="s">
        <v>305</v>
      </c>
      <c r="F48" s="15" t="s">
        <v>17933</v>
      </c>
      <c r="G48" s="15"/>
      <c r="H48" s="15"/>
      <c r="I48" s="15" t="s">
        <v>528</v>
      </c>
      <c r="J48" s="15" t="s">
        <v>15991</v>
      </c>
    </row>
    <row r="49" spans="2:10">
      <c r="B49" s="15" t="s">
        <v>17856</v>
      </c>
      <c r="C49" s="15" t="s">
        <v>17934</v>
      </c>
      <c r="D49" s="15" t="s">
        <v>506</v>
      </c>
      <c r="E49" s="15" t="s">
        <v>305</v>
      </c>
      <c r="F49" s="15" t="s">
        <v>17935</v>
      </c>
      <c r="G49" s="15"/>
      <c r="H49" s="15"/>
      <c r="I49" s="15" t="s">
        <v>528</v>
      </c>
      <c r="J49" s="15" t="s">
        <v>15991</v>
      </c>
    </row>
    <row r="50" spans="2:10">
      <c r="B50" s="15" t="s">
        <v>17856</v>
      </c>
      <c r="C50" s="15" t="s">
        <v>17936</v>
      </c>
      <c r="D50" s="15" t="s">
        <v>16072</v>
      </c>
      <c r="E50" s="15" t="s">
        <v>305</v>
      </c>
      <c r="F50" s="15" t="s">
        <v>17937</v>
      </c>
      <c r="G50" s="52" t="str">
        <f>HYPERLINK("#码值映射清单!B5150","YesNo")</f>
        <v>YesNo</v>
      </c>
      <c r="H50" s="15"/>
      <c r="I50" s="15" t="s">
        <v>528</v>
      </c>
      <c r="J50" s="15" t="s">
        <v>15991</v>
      </c>
    </row>
    <row r="51" spans="2:10">
      <c r="B51" s="15" t="s">
        <v>17856</v>
      </c>
      <c r="C51" s="15" t="s">
        <v>17938</v>
      </c>
      <c r="D51" s="15" t="s">
        <v>16072</v>
      </c>
      <c r="E51" s="15" t="s">
        <v>305</v>
      </c>
      <c r="F51" s="15" t="s">
        <v>17939</v>
      </c>
      <c r="G51" s="52" t="str">
        <f>HYPERLINK("#码值映射清单!B5150","YesNo")</f>
        <v>YesNo</v>
      </c>
      <c r="H51" s="15"/>
      <c r="I51" s="15" t="s">
        <v>528</v>
      </c>
      <c r="J51" s="15" t="s">
        <v>15991</v>
      </c>
    </row>
    <row r="52" spans="2:10">
      <c r="B52" s="15" t="s">
        <v>17856</v>
      </c>
      <c r="C52" s="15" t="s">
        <v>17940</v>
      </c>
      <c r="D52" s="15" t="s">
        <v>16072</v>
      </c>
      <c r="E52" s="15" t="s">
        <v>305</v>
      </c>
      <c r="F52" s="15" t="s">
        <v>17941</v>
      </c>
      <c r="G52" s="52" t="str">
        <f>HYPERLINK("#码值映射清单!B5150","YesNo")</f>
        <v>YesNo</v>
      </c>
      <c r="H52" s="15"/>
      <c r="I52" s="15" t="s">
        <v>528</v>
      </c>
      <c r="J52" s="15" t="s">
        <v>15991</v>
      </c>
    </row>
    <row r="53" spans="2:10">
      <c r="B53" s="15" t="s">
        <v>17856</v>
      </c>
      <c r="C53" s="15" t="s">
        <v>17942</v>
      </c>
      <c r="D53" s="15" t="s">
        <v>16072</v>
      </c>
      <c r="E53" s="15" t="s">
        <v>305</v>
      </c>
      <c r="F53" s="15" t="s">
        <v>17943</v>
      </c>
      <c r="G53" s="52" t="str">
        <f>HYPERLINK("#码值映射清单!B5150","YesNo")</f>
        <v>YesNo</v>
      </c>
      <c r="H53" s="15"/>
      <c r="I53" s="15" t="s">
        <v>528</v>
      </c>
      <c r="J53" s="15" t="s">
        <v>15991</v>
      </c>
    </row>
    <row r="54" spans="2:10">
      <c r="B54" s="15" t="s">
        <v>17856</v>
      </c>
      <c r="C54" s="15" t="s">
        <v>17944</v>
      </c>
      <c r="D54" s="15" t="s">
        <v>16072</v>
      </c>
      <c r="E54" s="15" t="s">
        <v>305</v>
      </c>
      <c r="F54" s="15" t="s">
        <v>17945</v>
      </c>
      <c r="G54" s="15"/>
      <c r="H54" s="15"/>
      <c r="I54" s="15" t="s">
        <v>528</v>
      </c>
      <c r="J54" s="15" t="s">
        <v>15991</v>
      </c>
    </row>
    <row r="55" spans="2:10">
      <c r="B55" s="15" t="s">
        <v>17856</v>
      </c>
      <c r="C55" s="15" t="s">
        <v>17946</v>
      </c>
      <c r="D55" s="15" t="s">
        <v>16072</v>
      </c>
      <c r="E55" s="15" t="s">
        <v>305</v>
      </c>
      <c r="F55" s="15" t="s">
        <v>17947</v>
      </c>
      <c r="G55" s="52" t="str">
        <f>HYPERLINK("#码值映射清单!B5150","YesNo")</f>
        <v>YesNo</v>
      </c>
      <c r="H55" s="15"/>
      <c r="I55" s="15" t="s">
        <v>528</v>
      </c>
      <c r="J55" s="15" t="s">
        <v>15991</v>
      </c>
    </row>
    <row r="56" spans="2:10">
      <c r="B56" s="15" t="s">
        <v>17856</v>
      </c>
      <c r="C56" s="15" t="s">
        <v>17948</v>
      </c>
      <c r="D56" s="15" t="s">
        <v>16072</v>
      </c>
      <c r="E56" s="15" t="s">
        <v>305</v>
      </c>
      <c r="F56" s="15" t="s">
        <v>17949</v>
      </c>
      <c r="G56" s="52" t="str">
        <f>HYPERLINK("#码值映射清单!B5150","YesNo")</f>
        <v>YesNo</v>
      </c>
      <c r="H56" s="15"/>
      <c r="I56" s="15" t="s">
        <v>528</v>
      </c>
      <c r="J56" s="15" t="s">
        <v>15991</v>
      </c>
    </row>
    <row r="57" spans="2:10">
      <c r="B57" s="15" t="s">
        <v>17856</v>
      </c>
      <c r="C57" s="15" t="s">
        <v>17950</v>
      </c>
      <c r="D57" s="15" t="s">
        <v>16072</v>
      </c>
      <c r="E57" s="15" t="s">
        <v>305</v>
      </c>
      <c r="F57" s="15" t="s">
        <v>17951</v>
      </c>
      <c r="G57" s="52" t="str">
        <f>HYPERLINK("#码值映射清单!B5150","YesNo")</f>
        <v>YesNo</v>
      </c>
      <c r="H57" s="15"/>
      <c r="I57" s="15" t="s">
        <v>528</v>
      </c>
      <c r="J57" s="15" t="s">
        <v>15991</v>
      </c>
    </row>
    <row r="58" spans="2:10">
      <c r="B58" s="15" t="s">
        <v>17856</v>
      </c>
      <c r="C58" s="15" t="s">
        <v>17952</v>
      </c>
      <c r="D58" s="15" t="s">
        <v>16072</v>
      </c>
      <c r="E58" s="15" t="s">
        <v>305</v>
      </c>
      <c r="F58" s="15" t="s">
        <v>17953</v>
      </c>
      <c r="G58" s="52" t="str">
        <f>HYPERLINK("#码值映射清单!B5150","YesNo")</f>
        <v>YesNo</v>
      </c>
      <c r="H58" s="15"/>
      <c r="I58" s="15" t="s">
        <v>528</v>
      </c>
      <c r="J58" s="15" t="s">
        <v>15991</v>
      </c>
    </row>
    <row r="59" spans="2:10">
      <c r="B59" s="15" t="s">
        <v>17856</v>
      </c>
      <c r="C59" s="15" t="s">
        <v>17954</v>
      </c>
      <c r="D59" s="15" t="s">
        <v>16072</v>
      </c>
      <c r="E59" s="15" t="s">
        <v>305</v>
      </c>
      <c r="F59" s="15" t="s">
        <v>17955</v>
      </c>
      <c r="G59" s="15"/>
      <c r="H59" s="15"/>
      <c r="I59" s="15" t="s">
        <v>528</v>
      </c>
      <c r="J59" s="15" t="s">
        <v>15991</v>
      </c>
    </row>
    <row r="60" spans="2:10">
      <c r="B60" s="15" t="s">
        <v>17856</v>
      </c>
      <c r="C60" s="15" t="s">
        <v>17956</v>
      </c>
      <c r="D60" s="15" t="s">
        <v>16072</v>
      </c>
      <c r="E60" s="15" t="s">
        <v>305</v>
      </c>
      <c r="F60" s="15" t="s">
        <v>17957</v>
      </c>
      <c r="G60" s="52" t="str">
        <f>HYPERLINK("#码值映射清单!B5150","YesNo")</f>
        <v>YesNo</v>
      </c>
      <c r="H60" s="15"/>
      <c r="I60" s="15" t="s">
        <v>528</v>
      </c>
      <c r="J60" s="15" t="s">
        <v>15991</v>
      </c>
    </row>
    <row r="61" spans="2:10">
      <c r="B61" s="15" t="s">
        <v>17856</v>
      </c>
      <c r="C61" s="15" t="s">
        <v>17958</v>
      </c>
      <c r="D61" s="15" t="s">
        <v>16072</v>
      </c>
      <c r="E61" s="15" t="s">
        <v>305</v>
      </c>
      <c r="F61" s="15" t="s">
        <v>17959</v>
      </c>
      <c r="G61" s="52" t="str">
        <f>HYPERLINK("#码值映射清单!B5150","YesNo")</f>
        <v>YesNo</v>
      </c>
      <c r="H61" s="15"/>
      <c r="I61" s="15" t="s">
        <v>528</v>
      </c>
      <c r="J61" s="15" t="s">
        <v>15991</v>
      </c>
    </row>
    <row r="62" spans="2:10">
      <c r="B62" s="15" t="s">
        <v>17856</v>
      </c>
      <c r="C62" s="15" t="s">
        <v>17960</v>
      </c>
      <c r="D62" s="15" t="s">
        <v>16072</v>
      </c>
      <c r="E62" s="15" t="s">
        <v>305</v>
      </c>
      <c r="F62" s="15" t="s">
        <v>17961</v>
      </c>
      <c r="G62" s="52" t="str">
        <f>HYPERLINK("#码值映射清单!B5150","YesNo")</f>
        <v>YesNo</v>
      </c>
      <c r="H62" s="15"/>
      <c r="I62" s="15" t="s">
        <v>528</v>
      </c>
      <c r="J62" s="15" t="s">
        <v>15991</v>
      </c>
    </row>
    <row r="63" spans="2:10">
      <c r="B63" s="15" t="s">
        <v>17856</v>
      </c>
      <c r="C63" s="15" t="s">
        <v>17962</v>
      </c>
      <c r="D63" s="15" t="s">
        <v>16072</v>
      </c>
      <c r="E63" s="15" t="s">
        <v>305</v>
      </c>
      <c r="F63" s="15" t="s">
        <v>17963</v>
      </c>
      <c r="G63" s="52" t="str">
        <f>HYPERLINK("#码值映射清单!B5150","YesNo")</f>
        <v>YesNo</v>
      </c>
      <c r="H63" s="15"/>
      <c r="I63" s="15" t="s">
        <v>528</v>
      </c>
      <c r="J63" s="15" t="s">
        <v>15991</v>
      </c>
    </row>
    <row r="64" spans="2:10">
      <c r="B64" s="15" t="s">
        <v>17856</v>
      </c>
      <c r="C64" s="15" t="s">
        <v>17964</v>
      </c>
      <c r="D64" s="15" t="s">
        <v>16072</v>
      </c>
      <c r="E64" s="15" t="s">
        <v>305</v>
      </c>
      <c r="F64" s="15" t="s">
        <v>17965</v>
      </c>
      <c r="G64" s="52" t="str">
        <f>HYPERLINK("#码值映射清单!B5150","YesNo")</f>
        <v>YesNo</v>
      </c>
      <c r="H64" s="15"/>
      <c r="I64" s="15" t="s">
        <v>528</v>
      </c>
      <c r="J64" s="15" t="s">
        <v>15991</v>
      </c>
    </row>
    <row r="65" spans="2:10">
      <c r="B65" s="15" t="s">
        <v>17856</v>
      </c>
      <c r="C65" s="15" t="s">
        <v>17966</v>
      </c>
      <c r="D65" s="15" t="s">
        <v>367</v>
      </c>
      <c r="E65" s="15" t="s">
        <v>305</v>
      </c>
      <c r="F65" s="15" t="s">
        <v>17967</v>
      </c>
      <c r="G65" s="15"/>
      <c r="H65" s="15"/>
      <c r="I65" s="15" t="s">
        <v>528</v>
      </c>
      <c r="J65" s="15" t="s">
        <v>15991</v>
      </c>
    </row>
    <row r="66" spans="2:10">
      <c r="B66" s="15" t="s">
        <v>17856</v>
      </c>
      <c r="C66" s="15" t="s">
        <v>16009</v>
      </c>
      <c r="D66" s="15" t="s">
        <v>316</v>
      </c>
      <c r="E66" s="15" t="s">
        <v>305</v>
      </c>
      <c r="F66" s="15" t="s">
        <v>16010</v>
      </c>
      <c r="G66" s="15"/>
      <c r="H66" s="15"/>
      <c r="I66" s="15" t="s">
        <v>528</v>
      </c>
      <c r="J66" s="15" t="s">
        <v>15991</v>
      </c>
    </row>
    <row r="67" spans="2:10">
      <c r="B67" s="15" t="s">
        <v>17856</v>
      </c>
      <c r="C67" s="15" t="s">
        <v>16011</v>
      </c>
      <c r="D67" s="15" t="s">
        <v>316</v>
      </c>
      <c r="E67" s="15" t="s">
        <v>305</v>
      </c>
      <c r="F67" s="15" t="s">
        <v>16012</v>
      </c>
      <c r="G67" s="15"/>
      <c r="H67" s="15"/>
      <c r="I67" s="15" t="s">
        <v>528</v>
      </c>
      <c r="J67" s="15" t="s">
        <v>15991</v>
      </c>
    </row>
    <row r="68" spans="2:10">
      <c r="B68" s="15" t="s">
        <v>17856</v>
      </c>
      <c r="C68" s="15" t="s">
        <v>16013</v>
      </c>
      <c r="D68" s="15" t="s">
        <v>371</v>
      </c>
      <c r="E68" s="15" t="s">
        <v>305</v>
      </c>
      <c r="F68" s="15" t="s">
        <v>16014</v>
      </c>
      <c r="G68" s="15"/>
      <c r="H68" s="15"/>
      <c r="I68" s="15" t="s">
        <v>528</v>
      </c>
      <c r="J68" s="15" t="s">
        <v>15991</v>
      </c>
    </row>
    <row r="69" spans="2:10">
      <c r="B69" s="15" t="s">
        <v>17856</v>
      </c>
      <c r="C69" s="15" t="s">
        <v>16015</v>
      </c>
      <c r="D69" s="15" t="s">
        <v>316</v>
      </c>
      <c r="E69" s="15" t="s">
        <v>305</v>
      </c>
      <c r="F69" s="15" t="s">
        <v>16016</v>
      </c>
      <c r="G69" s="15"/>
      <c r="H69" s="15"/>
      <c r="I69" s="15" t="s">
        <v>528</v>
      </c>
      <c r="J69" s="15" t="s">
        <v>15991</v>
      </c>
    </row>
    <row r="70" spans="2:10">
      <c r="B70" s="15" t="s">
        <v>17856</v>
      </c>
      <c r="C70" s="15" t="s">
        <v>16017</v>
      </c>
      <c r="D70" s="15" t="s">
        <v>316</v>
      </c>
      <c r="E70" s="15" t="s">
        <v>305</v>
      </c>
      <c r="F70" s="15" t="s">
        <v>16018</v>
      </c>
      <c r="G70" s="15"/>
      <c r="H70" s="15"/>
      <c r="I70" s="15" t="s">
        <v>528</v>
      </c>
      <c r="J70" s="15" t="s">
        <v>15991</v>
      </c>
    </row>
    <row r="71" spans="2:10">
      <c r="B71" s="15" t="s">
        <v>17856</v>
      </c>
      <c r="C71" s="15" t="s">
        <v>16019</v>
      </c>
      <c r="D71" s="15" t="s">
        <v>371</v>
      </c>
      <c r="E71" s="15" t="s">
        <v>305</v>
      </c>
      <c r="F71" s="15" t="s">
        <v>16020</v>
      </c>
      <c r="G71" s="15"/>
      <c r="H71" s="15"/>
      <c r="I71" s="15" t="s">
        <v>528</v>
      </c>
      <c r="J71" s="15" t="s">
        <v>15991</v>
      </c>
    </row>
    <row r="72" spans="2:10">
      <c r="B72" s="15" t="s">
        <v>17856</v>
      </c>
      <c r="C72" s="15" t="s">
        <v>16086</v>
      </c>
      <c r="D72" s="15" t="s">
        <v>327</v>
      </c>
      <c r="E72" s="15" t="s">
        <v>305</v>
      </c>
      <c r="F72" s="15" t="s">
        <v>301</v>
      </c>
      <c r="G72" s="15"/>
      <c r="H72" s="15"/>
      <c r="I72" s="15" t="s">
        <v>528</v>
      </c>
      <c r="J72" s="15" t="s">
        <v>15991</v>
      </c>
    </row>
    <row r="73" spans="2:10">
      <c r="B73" s="15" t="s">
        <v>17856</v>
      </c>
      <c r="C73" s="15" t="s">
        <v>16088</v>
      </c>
      <c r="D73" s="15" t="s">
        <v>316</v>
      </c>
      <c r="E73" s="15" t="s">
        <v>305</v>
      </c>
      <c r="F73" s="15" t="s">
        <v>16089</v>
      </c>
      <c r="G73" s="15"/>
      <c r="H73" s="15"/>
      <c r="I73" s="15" t="s">
        <v>528</v>
      </c>
      <c r="J73" s="15" t="s">
        <v>15991</v>
      </c>
    </row>
    <row r="74" spans="2:10">
      <c r="B74" s="16" t="s">
        <v>17856</v>
      </c>
      <c r="C74" s="16" t="s">
        <v>17968</v>
      </c>
      <c r="D74" s="16" t="s">
        <v>16087</v>
      </c>
      <c r="E74" s="16" t="s">
        <v>305</v>
      </c>
      <c r="F74" s="16" t="s">
        <v>17969</v>
      </c>
      <c r="G74" s="16"/>
      <c r="H74" s="16"/>
      <c r="I74" s="16" t="s">
        <v>528</v>
      </c>
      <c r="J74" s="16" t="s">
        <v>15991</v>
      </c>
    </row>
    <row r="75" spans="2:10">
      <c r="B75" s="65" t="s">
        <v>17856</v>
      </c>
      <c r="C75" s="69" t="s">
        <v>581</v>
      </c>
      <c r="D75" s="57" t="s">
        <v>461</v>
      </c>
      <c r="E75" s="57" t="s">
        <v>305</v>
      </c>
      <c r="F75" s="59" t="s">
        <v>580</v>
      </c>
      <c r="G75" s="57" t="s">
        <v>528</v>
      </c>
      <c r="H75" s="57" t="s">
        <v>528</v>
      </c>
      <c r="I75" s="57"/>
      <c r="J75" s="50">
        <v>45740</v>
      </c>
    </row>
    <row r="76" spans="2:10">
      <c r="B76" s="65" t="s">
        <v>17856</v>
      </c>
      <c r="C76" s="57" t="s">
        <v>341</v>
      </c>
      <c r="D76" s="57" t="s">
        <v>316</v>
      </c>
      <c r="E76" s="57" t="s">
        <v>305</v>
      </c>
      <c r="F76" s="100" t="s">
        <v>340</v>
      </c>
      <c r="G76" s="57"/>
      <c r="H76" s="57"/>
      <c r="I76" s="57"/>
      <c r="J76" s="50">
        <v>45740</v>
      </c>
    </row>
    <row r="77" ht="16" spans="2:10">
      <c r="B77" s="65" t="s">
        <v>17856</v>
      </c>
      <c r="C77" s="57" t="s">
        <v>583</v>
      </c>
      <c r="D77" s="57" t="s">
        <v>321</v>
      </c>
      <c r="E77" s="57" t="s">
        <v>305</v>
      </c>
      <c r="F77" s="100" t="s">
        <v>582</v>
      </c>
      <c r="G77" s="57"/>
      <c r="H77" s="60" t="s">
        <v>584</v>
      </c>
      <c r="I77" s="57"/>
      <c r="J77" s="50">
        <v>45740</v>
      </c>
    </row>
    <row r="78" spans="2:10">
      <c r="B78" s="65" t="s">
        <v>17856</v>
      </c>
      <c r="C78" s="57" t="s">
        <v>512</v>
      </c>
      <c r="D78" s="57" t="s">
        <v>513</v>
      </c>
      <c r="E78" s="57" t="s">
        <v>305</v>
      </c>
      <c r="F78" s="100" t="s">
        <v>334</v>
      </c>
      <c r="G78" s="106" t="str">
        <f>HYPERLINK("#码值映射清单!B2469","Currency")</f>
        <v>Currency</v>
      </c>
      <c r="H78" s="57"/>
      <c r="I78" s="57"/>
      <c r="J78" s="50">
        <v>45740</v>
      </c>
    </row>
    <row r="79" spans="2:10">
      <c r="B79" s="65" t="s">
        <v>17856</v>
      </c>
      <c r="C79" s="57" t="s">
        <v>586</v>
      </c>
      <c r="D79" s="57" t="s">
        <v>367</v>
      </c>
      <c r="E79" s="57" t="s">
        <v>305</v>
      </c>
      <c r="F79" s="99" t="s">
        <v>585</v>
      </c>
      <c r="G79" s="57"/>
      <c r="H79" s="57"/>
      <c r="I79" s="57"/>
      <c r="J79" s="50">
        <v>45740</v>
      </c>
    </row>
    <row r="80" spans="2:10">
      <c r="B80" s="65" t="s">
        <v>17856</v>
      </c>
      <c r="C80" s="57" t="s">
        <v>349</v>
      </c>
      <c r="D80" s="57" t="s">
        <v>350</v>
      </c>
      <c r="E80" s="57" t="s">
        <v>305</v>
      </c>
      <c r="F80" s="99" t="s">
        <v>348</v>
      </c>
      <c r="G80" s="57"/>
      <c r="H80" s="57"/>
      <c r="I80" s="57"/>
      <c r="J80" s="50">
        <v>45740</v>
      </c>
    </row>
    <row r="81" spans="2:10">
      <c r="B81" s="65" t="s">
        <v>17856</v>
      </c>
      <c r="C81" s="57" t="s">
        <v>354</v>
      </c>
      <c r="D81" s="57" t="s">
        <v>350</v>
      </c>
      <c r="E81" s="57" t="s">
        <v>305</v>
      </c>
      <c r="F81" s="99" t="s">
        <v>353</v>
      </c>
      <c r="G81" s="57"/>
      <c r="H81" s="57"/>
      <c r="I81" s="57"/>
      <c r="J81" s="50">
        <v>45740</v>
      </c>
    </row>
    <row r="82" spans="2:10">
      <c r="B82" s="65" t="s">
        <v>17856</v>
      </c>
      <c r="C82" s="57" t="s">
        <v>588</v>
      </c>
      <c r="D82" s="57" t="s">
        <v>589</v>
      </c>
      <c r="E82" s="57" t="s">
        <v>305</v>
      </c>
      <c r="F82" s="59" t="s">
        <v>587</v>
      </c>
      <c r="G82" s="57" t="s">
        <v>528</v>
      </c>
      <c r="H82" s="57" t="s">
        <v>528</v>
      </c>
      <c r="I82" s="57"/>
      <c r="J82" s="50">
        <v>45740</v>
      </c>
    </row>
    <row r="83" spans="2:10">
      <c r="B83" s="65" t="s">
        <v>17856</v>
      </c>
      <c r="C83" s="57" t="s">
        <v>591</v>
      </c>
      <c r="D83" s="57" t="s">
        <v>367</v>
      </c>
      <c r="E83" s="57" t="s">
        <v>305</v>
      </c>
      <c r="F83" s="59" t="s">
        <v>590</v>
      </c>
      <c r="G83" s="57" t="s">
        <v>528</v>
      </c>
      <c r="H83" s="57" t="s">
        <v>528</v>
      </c>
      <c r="I83" s="57"/>
      <c r="J83" s="50">
        <v>45740</v>
      </c>
    </row>
  </sheetData>
  <pageMargins left="0.75" right="0.75" top="1" bottom="1" header="0.5" footer="0.5"/>
  <pageSetup paperSize="1" orientation="portrait" horizontalDpi="300" verticalDpi="300"/>
  <headerFooter alignWithMargins="0" scaleWithDoc="0"/>
</worksheet>
</file>

<file path=xl/worksheets/sheet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63"/>
  <sheetViews>
    <sheetView zoomScaleSheetLayoutView="60" workbookViewId="0">
      <pane ySplit="2" topLeftCell="A134" activePane="bottomLeft" state="frozen"/>
      <selection/>
      <selection pane="bottomLeft" activeCell="J137" sqref="J137:J163"/>
    </sheetView>
  </sheetViews>
  <sheetFormatPr defaultColWidth="9.14285714285714" defaultRowHeight="15.2"/>
  <cols>
    <col min="2" max="2" width="19.5357142857143" customWidth="1"/>
    <col min="3" max="3" width="30.9464285714286" customWidth="1"/>
    <col min="4" max="4" width="15.625" customWidth="1"/>
    <col min="5" max="5" width="7.80357142857143" customWidth="1"/>
    <col min="6" max="6" width="39.0625" customWidth="1"/>
    <col min="7" max="7" width="15.625" customWidth="1"/>
    <col min="10" max="10" width="11.7053571428571" customWidth="1"/>
    <col min="11" max="11" width="22.4642857142857" customWidth="1"/>
  </cols>
  <sheetData>
    <row r="1" spans="1:2">
      <c r="A1" s="1" t="str">
        <f>HYPERLINK("#表结构清单!A1","返回")</f>
        <v>返回</v>
      </c>
      <c r="B1" t="s">
        <v>282</v>
      </c>
    </row>
    <row r="2" spans="2:10">
      <c r="B2" s="13" t="s">
        <v>15982</v>
      </c>
      <c r="C2" s="13" t="s">
        <v>297</v>
      </c>
      <c r="D2" s="13" t="s">
        <v>11870</v>
      </c>
      <c r="E2" s="13" t="s">
        <v>15983</v>
      </c>
      <c r="F2" s="13" t="s">
        <v>15984</v>
      </c>
      <c r="G2" s="13" t="s">
        <v>300</v>
      </c>
      <c r="H2" s="13" t="s">
        <v>301</v>
      </c>
      <c r="I2" s="13" t="s">
        <v>15985</v>
      </c>
      <c r="J2" s="13" t="s">
        <v>15986</v>
      </c>
    </row>
    <row r="3" spans="2:10">
      <c r="B3" s="15" t="s">
        <v>17970</v>
      </c>
      <c r="C3" s="15" t="s">
        <v>16103</v>
      </c>
      <c r="D3" s="15" t="s">
        <v>316</v>
      </c>
      <c r="E3" s="15" t="s">
        <v>15989</v>
      </c>
      <c r="F3" s="15" t="s">
        <v>16986</v>
      </c>
      <c r="G3" s="15"/>
      <c r="H3" s="15"/>
      <c r="I3" s="15" t="s">
        <v>528</v>
      </c>
      <c r="J3" s="15" t="s">
        <v>15991</v>
      </c>
    </row>
    <row r="4" ht="16.8" spans="2:12">
      <c r="B4" s="15" t="s">
        <v>17970</v>
      </c>
      <c r="C4" s="15" t="s">
        <v>17971</v>
      </c>
      <c r="D4" s="15" t="s">
        <v>316</v>
      </c>
      <c r="E4" s="15" t="s">
        <v>305</v>
      </c>
      <c r="F4" s="15" t="s">
        <v>17972</v>
      </c>
      <c r="G4" s="15"/>
      <c r="H4" s="15"/>
      <c r="I4" s="15" t="s">
        <v>528</v>
      </c>
      <c r="J4" s="15" t="s">
        <v>15991</v>
      </c>
      <c r="L4" s="79" t="str">
        <f>HYPERLINK("#CLR_INFO!A1","CLR_INFO")</f>
        <v>CLR_INFO</v>
      </c>
    </row>
    <row r="5" spans="2:10">
      <c r="B5" s="15" t="s">
        <v>17970</v>
      </c>
      <c r="C5" s="15" t="s">
        <v>17973</v>
      </c>
      <c r="D5" s="15" t="s">
        <v>321</v>
      </c>
      <c r="E5" s="15" t="s">
        <v>305</v>
      </c>
      <c r="F5" s="15" t="s">
        <v>6573</v>
      </c>
      <c r="G5" s="52" t="str">
        <f>HYPERLINK("#码值映射清单!B4837","LandingLevel")</f>
        <v>LandingLevel</v>
      </c>
      <c r="H5" s="15"/>
      <c r="I5" s="15" t="s">
        <v>528</v>
      </c>
      <c r="J5" s="15" t="s">
        <v>15991</v>
      </c>
    </row>
    <row r="6" spans="2:10">
      <c r="B6" s="15" t="s">
        <v>17970</v>
      </c>
      <c r="C6" s="15" t="s">
        <v>17974</v>
      </c>
      <c r="D6" s="15" t="s">
        <v>506</v>
      </c>
      <c r="E6" s="15" t="s">
        <v>305</v>
      </c>
      <c r="F6" s="15" t="s">
        <v>17975</v>
      </c>
      <c r="G6" s="15"/>
      <c r="H6" s="15"/>
      <c r="I6" s="15" t="s">
        <v>528</v>
      </c>
      <c r="J6" s="15" t="s">
        <v>15991</v>
      </c>
    </row>
    <row r="7" spans="2:10">
      <c r="B7" s="15" t="s">
        <v>17970</v>
      </c>
      <c r="C7" s="15" t="s">
        <v>17976</v>
      </c>
      <c r="D7" s="15" t="s">
        <v>321</v>
      </c>
      <c r="E7" s="15" t="s">
        <v>305</v>
      </c>
      <c r="F7" s="15" t="s">
        <v>5149</v>
      </c>
      <c r="G7" s="52" t="str">
        <f>HYPERLINK("#码值映射清单!B9755","LandPurpose")</f>
        <v>LandPurpose</v>
      </c>
      <c r="H7" s="15"/>
      <c r="I7" s="15" t="s">
        <v>528</v>
      </c>
      <c r="J7" s="15" t="s">
        <v>15991</v>
      </c>
    </row>
    <row r="8" spans="2:10">
      <c r="B8" s="15" t="s">
        <v>17970</v>
      </c>
      <c r="C8" s="15" t="s">
        <v>17977</v>
      </c>
      <c r="D8" s="15" t="s">
        <v>316</v>
      </c>
      <c r="E8" s="15" t="s">
        <v>305</v>
      </c>
      <c r="F8" s="20" t="s">
        <v>17978</v>
      </c>
      <c r="G8" s="15"/>
      <c r="H8" s="15"/>
      <c r="I8" s="15" t="s">
        <v>528</v>
      </c>
      <c r="J8" s="15" t="s">
        <v>15991</v>
      </c>
    </row>
    <row r="9" spans="2:10">
      <c r="B9" s="15" t="s">
        <v>17970</v>
      </c>
      <c r="C9" s="15" t="s">
        <v>17979</v>
      </c>
      <c r="D9" s="15" t="s">
        <v>316</v>
      </c>
      <c r="E9" s="15" t="s">
        <v>305</v>
      </c>
      <c r="F9" s="20" t="s">
        <v>17980</v>
      </c>
      <c r="G9" s="15"/>
      <c r="H9" s="15"/>
      <c r="I9" s="15" t="s">
        <v>528</v>
      </c>
      <c r="J9" s="15" t="s">
        <v>15991</v>
      </c>
    </row>
    <row r="10" spans="2:10">
      <c r="B10" s="15" t="s">
        <v>17970</v>
      </c>
      <c r="C10" s="15" t="s">
        <v>17981</v>
      </c>
      <c r="D10" s="15" t="s">
        <v>327</v>
      </c>
      <c r="E10" s="15" t="s">
        <v>305</v>
      </c>
      <c r="F10" s="15" t="s">
        <v>17982</v>
      </c>
      <c r="G10" s="15"/>
      <c r="H10" s="15"/>
      <c r="I10" s="15" t="s">
        <v>528</v>
      </c>
      <c r="J10" s="15" t="s">
        <v>15991</v>
      </c>
    </row>
    <row r="11" spans="2:10">
      <c r="B11" s="15" t="s">
        <v>17970</v>
      </c>
      <c r="C11" s="15" t="s">
        <v>17983</v>
      </c>
      <c r="D11" s="15" t="s">
        <v>316</v>
      </c>
      <c r="E11" s="15" t="s">
        <v>305</v>
      </c>
      <c r="F11" s="15" t="s">
        <v>17984</v>
      </c>
      <c r="G11" s="15"/>
      <c r="H11" s="15"/>
      <c r="I11" s="15" t="s">
        <v>528</v>
      </c>
      <c r="J11" s="15" t="s">
        <v>15991</v>
      </c>
    </row>
    <row r="12" spans="2:10">
      <c r="B12" s="15" t="s">
        <v>17970</v>
      </c>
      <c r="C12" s="15" t="s">
        <v>17985</v>
      </c>
      <c r="D12" s="15" t="s">
        <v>506</v>
      </c>
      <c r="E12" s="15" t="s">
        <v>305</v>
      </c>
      <c r="F12" s="15" t="s">
        <v>17986</v>
      </c>
      <c r="G12" s="15"/>
      <c r="H12" s="15"/>
      <c r="I12" s="15" t="s">
        <v>528</v>
      </c>
      <c r="J12" s="15" t="s">
        <v>15991</v>
      </c>
    </row>
    <row r="13" spans="2:10">
      <c r="B13" s="15" t="s">
        <v>17970</v>
      </c>
      <c r="C13" s="15" t="s">
        <v>17987</v>
      </c>
      <c r="D13" s="15" t="s">
        <v>506</v>
      </c>
      <c r="E13" s="15" t="s">
        <v>305</v>
      </c>
      <c r="F13" s="15" t="s">
        <v>17988</v>
      </c>
      <c r="G13" s="15"/>
      <c r="H13" s="15"/>
      <c r="I13" s="15" t="s">
        <v>528</v>
      </c>
      <c r="J13" s="15" t="s">
        <v>15991</v>
      </c>
    </row>
    <row r="14" spans="2:10">
      <c r="B14" s="15" t="s">
        <v>17970</v>
      </c>
      <c r="C14" s="15" t="s">
        <v>17785</v>
      </c>
      <c r="D14" s="15" t="s">
        <v>506</v>
      </c>
      <c r="E14" s="15" t="s">
        <v>305</v>
      </c>
      <c r="F14" s="20" t="s">
        <v>17989</v>
      </c>
      <c r="G14" s="15"/>
      <c r="H14" s="15"/>
      <c r="I14" s="15" t="s">
        <v>528</v>
      </c>
      <c r="J14" s="15" t="s">
        <v>15991</v>
      </c>
    </row>
    <row r="15" spans="2:10">
      <c r="B15" s="15" t="s">
        <v>17970</v>
      </c>
      <c r="C15" s="15" t="s">
        <v>17787</v>
      </c>
      <c r="D15" s="15" t="s">
        <v>316</v>
      </c>
      <c r="E15" s="15" t="s">
        <v>305</v>
      </c>
      <c r="F15" s="15" t="s">
        <v>17990</v>
      </c>
      <c r="G15" s="15"/>
      <c r="H15" s="15"/>
      <c r="I15" s="15" t="s">
        <v>528</v>
      </c>
      <c r="J15" s="15" t="s">
        <v>15991</v>
      </c>
    </row>
    <row r="16" spans="2:10">
      <c r="B16" s="15" t="s">
        <v>17970</v>
      </c>
      <c r="C16" s="15" t="s">
        <v>17991</v>
      </c>
      <c r="D16" s="15" t="s">
        <v>367</v>
      </c>
      <c r="E16" s="15" t="s">
        <v>305</v>
      </c>
      <c r="F16" s="15" t="s">
        <v>17992</v>
      </c>
      <c r="G16" s="15"/>
      <c r="H16" s="15"/>
      <c r="I16" s="15" t="s">
        <v>528</v>
      </c>
      <c r="J16" s="15" t="s">
        <v>15991</v>
      </c>
    </row>
    <row r="17" spans="2:10">
      <c r="B17" s="15" t="s">
        <v>17970</v>
      </c>
      <c r="C17" s="15" t="s">
        <v>17993</v>
      </c>
      <c r="D17" s="15" t="s">
        <v>321</v>
      </c>
      <c r="E17" s="15" t="s">
        <v>305</v>
      </c>
      <c r="F17" s="20" t="s">
        <v>17994</v>
      </c>
      <c r="G17" s="52" t="str">
        <f>HYPERLINK("#码值映射清单!B6008","LandRightSource")</f>
        <v>LandRightSource</v>
      </c>
      <c r="H17" s="15"/>
      <c r="I17" s="15" t="s">
        <v>528</v>
      </c>
      <c r="J17" s="15" t="s">
        <v>15991</v>
      </c>
    </row>
    <row r="18" spans="2:10">
      <c r="B18" s="15" t="s">
        <v>17970</v>
      </c>
      <c r="C18" s="15" t="s">
        <v>17995</v>
      </c>
      <c r="D18" s="15" t="s">
        <v>363</v>
      </c>
      <c r="E18" s="15" t="s">
        <v>305</v>
      </c>
      <c r="F18" s="15" t="s">
        <v>17996</v>
      </c>
      <c r="G18" s="15"/>
      <c r="H18" s="15"/>
      <c r="I18" s="15" t="s">
        <v>528</v>
      </c>
      <c r="J18" s="15" t="s">
        <v>15991</v>
      </c>
    </row>
    <row r="19" spans="2:10">
      <c r="B19" s="15" t="s">
        <v>17970</v>
      </c>
      <c r="C19" s="15" t="s">
        <v>17997</v>
      </c>
      <c r="D19" s="15" t="s">
        <v>16557</v>
      </c>
      <c r="E19" s="15" t="s">
        <v>305</v>
      </c>
      <c r="F19" s="15" t="s">
        <v>17998</v>
      </c>
      <c r="G19" s="15"/>
      <c r="H19" s="15"/>
      <c r="I19" s="15" t="s">
        <v>528</v>
      </c>
      <c r="J19" s="15" t="s">
        <v>15991</v>
      </c>
    </row>
    <row r="20" spans="2:10">
      <c r="B20" s="15" t="s">
        <v>17970</v>
      </c>
      <c r="C20" s="15" t="s">
        <v>17999</v>
      </c>
      <c r="D20" s="15" t="s">
        <v>16557</v>
      </c>
      <c r="E20" s="15" t="s">
        <v>305</v>
      </c>
      <c r="F20" s="15" t="s">
        <v>18000</v>
      </c>
      <c r="G20" s="15"/>
      <c r="H20" s="15"/>
      <c r="I20" s="15" t="s">
        <v>528</v>
      </c>
      <c r="J20" s="15" t="s">
        <v>15991</v>
      </c>
    </row>
    <row r="21" spans="2:10">
      <c r="B21" s="15" t="s">
        <v>17970</v>
      </c>
      <c r="C21" s="15" t="s">
        <v>18001</v>
      </c>
      <c r="D21" s="15" t="s">
        <v>16557</v>
      </c>
      <c r="E21" s="15" t="s">
        <v>305</v>
      </c>
      <c r="F21" s="15" t="s">
        <v>18002</v>
      </c>
      <c r="G21" s="15"/>
      <c r="H21" s="15"/>
      <c r="I21" s="15" t="s">
        <v>528</v>
      </c>
      <c r="J21" s="15" t="s">
        <v>15991</v>
      </c>
    </row>
    <row r="22" spans="2:10">
      <c r="B22" s="15" t="s">
        <v>17970</v>
      </c>
      <c r="C22" s="15" t="s">
        <v>18003</v>
      </c>
      <c r="D22" s="15" t="s">
        <v>16557</v>
      </c>
      <c r="E22" s="15" t="s">
        <v>305</v>
      </c>
      <c r="F22" s="15" t="s">
        <v>18004</v>
      </c>
      <c r="G22" s="15"/>
      <c r="H22" s="15"/>
      <c r="I22" s="15" t="s">
        <v>528</v>
      </c>
      <c r="J22" s="15" t="s">
        <v>15991</v>
      </c>
    </row>
    <row r="23" spans="2:10">
      <c r="B23" s="15" t="s">
        <v>17970</v>
      </c>
      <c r="C23" s="15" t="s">
        <v>18005</v>
      </c>
      <c r="D23" s="15" t="s">
        <v>16557</v>
      </c>
      <c r="E23" s="15" t="s">
        <v>305</v>
      </c>
      <c r="F23" s="20" t="s">
        <v>18006</v>
      </c>
      <c r="G23" s="15"/>
      <c r="H23" s="15"/>
      <c r="I23" s="15" t="s">
        <v>528</v>
      </c>
      <c r="J23" s="15" t="s">
        <v>15991</v>
      </c>
    </row>
    <row r="24" spans="2:10">
      <c r="B24" s="15" t="s">
        <v>17970</v>
      </c>
      <c r="C24" s="15" t="s">
        <v>18007</v>
      </c>
      <c r="D24" s="15" t="s">
        <v>321</v>
      </c>
      <c r="E24" s="15" t="s">
        <v>305</v>
      </c>
      <c r="F24" s="20" t="s">
        <v>18008</v>
      </c>
      <c r="G24" s="61" t="str">
        <f>HYPERLINK("#码值映射清单!B5003","LandRightNature")</f>
        <v>LandRightNature</v>
      </c>
      <c r="H24" s="15"/>
      <c r="I24" s="15" t="s">
        <v>528</v>
      </c>
      <c r="J24" s="15" t="s">
        <v>15991</v>
      </c>
    </row>
    <row r="25" spans="2:10">
      <c r="B25" s="15" t="s">
        <v>17970</v>
      </c>
      <c r="C25" s="15" t="s">
        <v>18009</v>
      </c>
      <c r="D25" s="15" t="s">
        <v>321</v>
      </c>
      <c r="E25" s="15" t="s">
        <v>305</v>
      </c>
      <c r="F25" s="15" t="s">
        <v>18010</v>
      </c>
      <c r="G25" s="52" t="str">
        <f>HYPERLINK("#码值映射清单!B1772","CommercialRealtyType")</f>
        <v>CommercialRealtyType</v>
      </c>
      <c r="H25" s="15"/>
      <c r="I25" s="15" t="s">
        <v>528</v>
      </c>
      <c r="J25" s="15" t="s">
        <v>15991</v>
      </c>
    </row>
    <row r="26" spans="2:10">
      <c r="B26" s="15" t="s">
        <v>17970</v>
      </c>
      <c r="C26" s="15" t="s">
        <v>18011</v>
      </c>
      <c r="D26" s="15" t="s">
        <v>16056</v>
      </c>
      <c r="E26" s="15" t="s">
        <v>305</v>
      </c>
      <c r="F26" s="15" t="s">
        <v>18012</v>
      </c>
      <c r="G26" s="15"/>
      <c r="H26" s="15"/>
      <c r="I26" s="15" t="s">
        <v>528</v>
      </c>
      <c r="J26" s="15" t="s">
        <v>15991</v>
      </c>
    </row>
    <row r="27" spans="2:10">
      <c r="B27" s="15" t="s">
        <v>17970</v>
      </c>
      <c r="C27" s="15" t="s">
        <v>18013</v>
      </c>
      <c r="D27" s="15" t="s">
        <v>16056</v>
      </c>
      <c r="E27" s="15" t="s">
        <v>305</v>
      </c>
      <c r="F27" s="15" t="s">
        <v>18014</v>
      </c>
      <c r="G27" s="15"/>
      <c r="H27" s="15"/>
      <c r="I27" s="15" t="s">
        <v>528</v>
      </c>
      <c r="J27" s="15" t="s">
        <v>15991</v>
      </c>
    </row>
    <row r="28" spans="2:10">
      <c r="B28" s="15" t="s">
        <v>17970</v>
      </c>
      <c r="C28" s="15" t="s">
        <v>18015</v>
      </c>
      <c r="D28" s="15" t="s">
        <v>17036</v>
      </c>
      <c r="E28" s="15" t="s">
        <v>305</v>
      </c>
      <c r="F28" s="15" t="s">
        <v>18016</v>
      </c>
      <c r="G28" s="15"/>
      <c r="H28" s="15"/>
      <c r="I28" s="15" t="s">
        <v>528</v>
      </c>
      <c r="J28" s="15" t="s">
        <v>15991</v>
      </c>
    </row>
    <row r="29" spans="2:10">
      <c r="B29" s="15" t="s">
        <v>17970</v>
      </c>
      <c r="C29" s="15" t="s">
        <v>18017</v>
      </c>
      <c r="D29" s="15" t="s">
        <v>16056</v>
      </c>
      <c r="E29" s="15" t="s">
        <v>305</v>
      </c>
      <c r="F29" s="15" t="s">
        <v>18018</v>
      </c>
      <c r="G29" s="15"/>
      <c r="H29" s="15"/>
      <c r="I29" s="15" t="s">
        <v>528</v>
      </c>
      <c r="J29" s="15" t="s">
        <v>15991</v>
      </c>
    </row>
    <row r="30" spans="2:10">
      <c r="B30" s="15" t="s">
        <v>17970</v>
      </c>
      <c r="C30" s="15" t="s">
        <v>17270</v>
      </c>
      <c r="D30" s="15" t="s">
        <v>371</v>
      </c>
      <c r="E30" s="15" t="s">
        <v>305</v>
      </c>
      <c r="F30" s="20" t="s">
        <v>18019</v>
      </c>
      <c r="G30" s="15"/>
      <c r="H30" s="15"/>
      <c r="I30" s="15" t="s">
        <v>528</v>
      </c>
      <c r="J30" s="15" t="s">
        <v>15991</v>
      </c>
    </row>
    <row r="31" spans="2:10">
      <c r="B31" s="15" t="s">
        <v>17970</v>
      </c>
      <c r="C31" s="15" t="s">
        <v>18020</v>
      </c>
      <c r="D31" s="15" t="s">
        <v>371</v>
      </c>
      <c r="E31" s="15" t="s">
        <v>305</v>
      </c>
      <c r="F31" s="20" t="s">
        <v>18021</v>
      </c>
      <c r="G31" s="15"/>
      <c r="H31" s="15"/>
      <c r="I31" s="15" t="s">
        <v>528</v>
      </c>
      <c r="J31" s="15" t="s">
        <v>15991</v>
      </c>
    </row>
    <row r="32" spans="2:10">
      <c r="B32" s="15" t="s">
        <v>17970</v>
      </c>
      <c r="C32" s="15" t="s">
        <v>18022</v>
      </c>
      <c r="D32" s="15" t="s">
        <v>363</v>
      </c>
      <c r="E32" s="15" t="s">
        <v>305</v>
      </c>
      <c r="F32" s="15" t="s">
        <v>18023</v>
      </c>
      <c r="G32" s="15"/>
      <c r="H32" s="15"/>
      <c r="I32" s="15" t="s">
        <v>528</v>
      </c>
      <c r="J32" s="15" t="s">
        <v>15991</v>
      </c>
    </row>
    <row r="33" spans="2:10">
      <c r="B33" s="15" t="s">
        <v>17970</v>
      </c>
      <c r="C33" s="15" t="s">
        <v>18024</v>
      </c>
      <c r="D33" s="15" t="s">
        <v>363</v>
      </c>
      <c r="E33" s="15" t="s">
        <v>305</v>
      </c>
      <c r="F33" s="15" t="s">
        <v>18025</v>
      </c>
      <c r="G33" s="15"/>
      <c r="H33" s="15"/>
      <c r="I33" s="15" t="s">
        <v>528</v>
      </c>
      <c r="J33" s="15" t="s">
        <v>15991</v>
      </c>
    </row>
    <row r="34" spans="2:10">
      <c r="B34" s="15" t="s">
        <v>17970</v>
      </c>
      <c r="C34" s="15" t="s">
        <v>18026</v>
      </c>
      <c r="D34" s="15" t="s">
        <v>327</v>
      </c>
      <c r="E34" s="15" t="s">
        <v>305</v>
      </c>
      <c r="F34" s="15" t="s">
        <v>18027</v>
      </c>
      <c r="G34" s="15"/>
      <c r="H34" s="15"/>
      <c r="I34" s="15" t="s">
        <v>528</v>
      </c>
      <c r="J34" s="15" t="s">
        <v>15991</v>
      </c>
    </row>
    <row r="35" spans="2:10">
      <c r="B35" s="15" t="s">
        <v>17970</v>
      </c>
      <c r="C35" s="15" t="s">
        <v>18028</v>
      </c>
      <c r="D35" s="15" t="s">
        <v>16056</v>
      </c>
      <c r="E35" s="15" t="s">
        <v>305</v>
      </c>
      <c r="F35" s="15" t="s">
        <v>18029</v>
      </c>
      <c r="G35" s="15"/>
      <c r="H35" s="15"/>
      <c r="I35" s="15" t="s">
        <v>528</v>
      </c>
      <c r="J35" s="15" t="s">
        <v>15991</v>
      </c>
    </row>
    <row r="36" spans="2:10">
      <c r="B36" s="15" t="s">
        <v>17970</v>
      </c>
      <c r="C36" s="15" t="s">
        <v>17854</v>
      </c>
      <c r="D36" s="15" t="s">
        <v>327</v>
      </c>
      <c r="E36" s="15" t="s">
        <v>305</v>
      </c>
      <c r="F36" s="15" t="s">
        <v>18030</v>
      </c>
      <c r="G36" s="15"/>
      <c r="H36" s="15"/>
      <c r="I36" s="15" t="s">
        <v>528</v>
      </c>
      <c r="J36" s="15" t="s">
        <v>15991</v>
      </c>
    </row>
    <row r="37" spans="2:10">
      <c r="B37" s="15" t="s">
        <v>17970</v>
      </c>
      <c r="C37" s="15" t="s">
        <v>18031</v>
      </c>
      <c r="D37" s="15" t="s">
        <v>16557</v>
      </c>
      <c r="E37" s="15" t="s">
        <v>305</v>
      </c>
      <c r="F37" s="20" t="s">
        <v>18032</v>
      </c>
      <c r="G37" s="15"/>
      <c r="H37" s="15"/>
      <c r="I37" s="15" t="s">
        <v>528</v>
      </c>
      <c r="J37" s="15" t="s">
        <v>15991</v>
      </c>
    </row>
    <row r="38" spans="2:10">
      <c r="B38" s="15" t="s">
        <v>17970</v>
      </c>
      <c r="C38" s="15" t="s">
        <v>18033</v>
      </c>
      <c r="D38" s="15" t="s">
        <v>350</v>
      </c>
      <c r="E38" s="15" t="s">
        <v>305</v>
      </c>
      <c r="F38" s="15" t="s">
        <v>18034</v>
      </c>
      <c r="G38" s="15"/>
      <c r="H38" s="15"/>
      <c r="I38" s="15" t="s">
        <v>528</v>
      </c>
      <c r="J38" s="15" t="s">
        <v>15991</v>
      </c>
    </row>
    <row r="39" spans="2:10">
      <c r="B39" s="15" t="s">
        <v>17970</v>
      </c>
      <c r="C39" s="15" t="s">
        <v>18035</v>
      </c>
      <c r="D39" s="15" t="s">
        <v>350</v>
      </c>
      <c r="E39" s="15" t="s">
        <v>305</v>
      </c>
      <c r="F39" s="20" t="s">
        <v>18036</v>
      </c>
      <c r="G39" s="15"/>
      <c r="H39" s="15"/>
      <c r="I39" s="15" t="s">
        <v>528</v>
      </c>
      <c r="J39" s="15" t="s">
        <v>15991</v>
      </c>
    </row>
    <row r="40" spans="2:10">
      <c r="B40" s="15" t="s">
        <v>17970</v>
      </c>
      <c r="C40" s="15" t="s">
        <v>18037</v>
      </c>
      <c r="D40" s="15" t="s">
        <v>363</v>
      </c>
      <c r="E40" s="15" t="s">
        <v>305</v>
      </c>
      <c r="F40" s="15" t="s">
        <v>18038</v>
      </c>
      <c r="G40" s="15"/>
      <c r="H40" s="15"/>
      <c r="I40" s="15" t="s">
        <v>528</v>
      </c>
      <c r="J40" s="15" t="s">
        <v>15991</v>
      </c>
    </row>
    <row r="41" spans="2:10">
      <c r="B41" s="15" t="s">
        <v>17970</v>
      </c>
      <c r="C41" s="15" t="s">
        <v>18039</v>
      </c>
      <c r="D41" s="15" t="s">
        <v>363</v>
      </c>
      <c r="E41" s="15" t="s">
        <v>305</v>
      </c>
      <c r="F41" s="15" t="s">
        <v>18040</v>
      </c>
      <c r="G41" s="15"/>
      <c r="H41" s="15"/>
      <c r="I41" s="15" t="s">
        <v>528</v>
      </c>
      <c r="J41" s="15" t="s">
        <v>15991</v>
      </c>
    </row>
    <row r="42" spans="2:10">
      <c r="B42" s="15" t="s">
        <v>17970</v>
      </c>
      <c r="C42" s="15" t="s">
        <v>18041</v>
      </c>
      <c r="D42" s="15" t="s">
        <v>327</v>
      </c>
      <c r="E42" s="15" t="s">
        <v>305</v>
      </c>
      <c r="F42" s="15" t="s">
        <v>18042</v>
      </c>
      <c r="G42" s="15"/>
      <c r="H42" s="15"/>
      <c r="I42" s="15" t="s">
        <v>528</v>
      </c>
      <c r="J42" s="15" t="s">
        <v>15991</v>
      </c>
    </row>
    <row r="43" spans="2:10">
      <c r="B43" s="15" t="s">
        <v>17970</v>
      </c>
      <c r="C43" s="15" t="s">
        <v>17819</v>
      </c>
      <c r="D43" s="15" t="s">
        <v>321</v>
      </c>
      <c r="E43" s="15" t="s">
        <v>305</v>
      </c>
      <c r="F43" s="15" t="s">
        <v>18043</v>
      </c>
      <c r="G43" s="52" t="str">
        <f>HYPERLINK("#码值映射清单!B1217","RentType")</f>
        <v>RentType</v>
      </c>
      <c r="H43" s="15"/>
      <c r="I43" s="15" t="s">
        <v>528</v>
      </c>
      <c r="J43" s="15" t="s">
        <v>15991</v>
      </c>
    </row>
    <row r="44" spans="2:10">
      <c r="B44" s="15" t="s">
        <v>17970</v>
      </c>
      <c r="C44" s="15" t="s">
        <v>18044</v>
      </c>
      <c r="D44" s="15" t="s">
        <v>371</v>
      </c>
      <c r="E44" s="15" t="s">
        <v>305</v>
      </c>
      <c r="F44" s="15" t="s">
        <v>18045</v>
      </c>
      <c r="G44" s="15"/>
      <c r="H44" s="15"/>
      <c r="I44" s="15" t="s">
        <v>528</v>
      </c>
      <c r="J44" s="15" t="s">
        <v>15991</v>
      </c>
    </row>
    <row r="45" spans="2:10">
      <c r="B45" s="15" t="s">
        <v>17970</v>
      </c>
      <c r="C45" s="15" t="s">
        <v>18046</v>
      </c>
      <c r="D45" s="15" t="s">
        <v>371</v>
      </c>
      <c r="E45" s="15" t="s">
        <v>305</v>
      </c>
      <c r="F45" s="15" t="s">
        <v>18047</v>
      </c>
      <c r="G45" s="15"/>
      <c r="H45" s="15"/>
      <c r="I45" s="15" t="s">
        <v>528</v>
      </c>
      <c r="J45" s="15" t="s">
        <v>15991</v>
      </c>
    </row>
    <row r="46" spans="2:10">
      <c r="B46" s="15" t="s">
        <v>17970</v>
      </c>
      <c r="C46" s="15" t="s">
        <v>18048</v>
      </c>
      <c r="D46" s="15" t="s">
        <v>513</v>
      </c>
      <c r="E46" s="15" t="s">
        <v>305</v>
      </c>
      <c r="F46" s="15" t="s">
        <v>18049</v>
      </c>
      <c r="G46" s="15"/>
      <c r="H46" s="15"/>
      <c r="I46" s="15" t="s">
        <v>528</v>
      </c>
      <c r="J46" s="15" t="s">
        <v>15991</v>
      </c>
    </row>
    <row r="47" spans="2:10">
      <c r="B47" s="15" t="s">
        <v>17970</v>
      </c>
      <c r="C47" s="15" t="s">
        <v>18050</v>
      </c>
      <c r="D47" s="15" t="s">
        <v>327</v>
      </c>
      <c r="E47" s="15" t="s">
        <v>305</v>
      </c>
      <c r="F47" s="15" t="s">
        <v>18051</v>
      </c>
      <c r="G47" s="15"/>
      <c r="H47" s="15"/>
      <c r="I47" s="15" t="s">
        <v>528</v>
      </c>
      <c r="J47" s="15" t="s">
        <v>15991</v>
      </c>
    </row>
    <row r="48" spans="2:10">
      <c r="B48" s="15" t="s">
        <v>17970</v>
      </c>
      <c r="C48" s="15" t="s">
        <v>18052</v>
      </c>
      <c r="D48" s="15" t="s">
        <v>513</v>
      </c>
      <c r="E48" s="15" t="s">
        <v>305</v>
      </c>
      <c r="F48" s="20" t="s">
        <v>18053</v>
      </c>
      <c r="G48" s="52" t="str">
        <f>HYPERLINK("#码值映射清单!B5462","DevModel")</f>
        <v>DevModel</v>
      </c>
      <c r="H48" s="15"/>
      <c r="I48" s="15" t="s">
        <v>528</v>
      </c>
      <c r="J48" s="15" t="s">
        <v>15991</v>
      </c>
    </row>
    <row r="49" spans="2:10">
      <c r="B49" s="15" t="s">
        <v>17970</v>
      </c>
      <c r="C49" s="15" t="s">
        <v>18054</v>
      </c>
      <c r="D49" s="15" t="s">
        <v>513</v>
      </c>
      <c r="E49" s="15" t="s">
        <v>305</v>
      </c>
      <c r="F49" s="15" t="s">
        <v>8579</v>
      </c>
      <c r="G49" s="52" t="str">
        <f>HYPERLINK("#码值映射清单!B6571","ProfitModel")</f>
        <v>ProfitModel</v>
      </c>
      <c r="H49" s="15"/>
      <c r="I49" s="15" t="s">
        <v>528</v>
      </c>
      <c r="J49" s="15" t="s">
        <v>15991</v>
      </c>
    </row>
    <row r="50" spans="2:10">
      <c r="B50" s="15" t="s">
        <v>17970</v>
      </c>
      <c r="C50" s="15" t="s">
        <v>18055</v>
      </c>
      <c r="D50" s="15" t="s">
        <v>513</v>
      </c>
      <c r="E50" s="15" t="s">
        <v>305</v>
      </c>
      <c r="F50" s="15" t="s">
        <v>18056</v>
      </c>
      <c r="G50" s="52" t="str">
        <f>HYPERLINK("#码值映射清单!B3397","IndustrialRealtyIndependence")</f>
        <v>IndustrialRealtyIndependence</v>
      </c>
      <c r="H50" s="15"/>
      <c r="I50" s="15" t="s">
        <v>528</v>
      </c>
      <c r="J50" s="15" t="s">
        <v>15991</v>
      </c>
    </row>
    <row r="51" spans="2:10">
      <c r="B51" s="15" t="s">
        <v>17970</v>
      </c>
      <c r="C51" s="15" t="s">
        <v>18057</v>
      </c>
      <c r="D51" s="15" t="s">
        <v>16072</v>
      </c>
      <c r="E51" s="15" t="s">
        <v>305</v>
      </c>
      <c r="F51" s="15" t="s">
        <v>18058</v>
      </c>
      <c r="G51" s="52" t="str">
        <f>HYPERLINK("#码值映射清单!B5150","YesNo")</f>
        <v>YesNo</v>
      </c>
      <c r="H51" s="15"/>
      <c r="I51" s="15" t="s">
        <v>528</v>
      </c>
      <c r="J51" s="15" t="s">
        <v>15991</v>
      </c>
    </row>
    <row r="52" spans="2:10">
      <c r="B52" s="15" t="s">
        <v>17970</v>
      </c>
      <c r="C52" s="15" t="s">
        <v>18059</v>
      </c>
      <c r="D52" s="15" t="s">
        <v>16056</v>
      </c>
      <c r="E52" s="15" t="s">
        <v>305</v>
      </c>
      <c r="F52" s="15" t="s">
        <v>18060</v>
      </c>
      <c r="G52" s="15"/>
      <c r="H52" s="15"/>
      <c r="I52" s="15" t="s">
        <v>528</v>
      </c>
      <c r="J52" s="15" t="s">
        <v>15991</v>
      </c>
    </row>
    <row r="53" spans="2:10">
      <c r="B53" s="15" t="s">
        <v>17970</v>
      </c>
      <c r="C53" s="15" t="s">
        <v>18061</v>
      </c>
      <c r="D53" s="15" t="s">
        <v>350</v>
      </c>
      <c r="E53" s="15" t="s">
        <v>305</v>
      </c>
      <c r="F53" s="15" t="s">
        <v>18062</v>
      </c>
      <c r="G53" s="15"/>
      <c r="H53" s="15"/>
      <c r="I53" s="15" t="s">
        <v>528</v>
      </c>
      <c r="J53" s="15" t="s">
        <v>15991</v>
      </c>
    </row>
    <row r="54" spans="2:10">
      <c r="B54" s="15" t="s">
        <v>17970</v>
      </c>
      <c r="C54" s="15" t="s">
        <v>18063</v>
      </c>
      <c r="D54" s="15" t="s">
        <v>321</v>
      </c>
      <c r="E54" s="15" t="s">
        <v>305</v>
      </c>
      <c r="F54" s="15" t="s">
        <v>18064</v>
      </c>
      <c r="G54" s="52" t="str">
        <f>HYPERLINK("#码值映射清单!B896","FloorHeight")</f>
        <v>FloorHeight</v>
      </c>
      <c r="H54" s="15"/>
      <c r="I54" s="15" t="s">
        <v>528</v>
      </c>
      <c r="J54" s="15" t="s">
        <v>15991</v>
      </c>
    </row>
    <row r="55" spans="2:10">
      <c r="B55" s="15" t="s">
        <v>17970</v>
      </c>
      <c r="C55" s="15" t="s">
        <v>18065</v>
      </c>
      <c r="D55" s="15" t="s">
        <v>16056</v>
      </c>
      <c r="E55" s="15" t="s">
        <v>305</v>
      </c>
      <c r="F55" s="15" t="s">
        <v>18066</v>
      </c>
      <c r="G55" s="15"/>
      <c r="H55" s="15"/>
      <c r="I55" s="15" t="s">
        <v>528</v>
      </c>
      <c r="J55" s="15" t="s">
        <v>15991</v>
      </c>
    </row>
    <row r="56" spans="2:10">
      <c r="B56" s="15" t="s">
        <v>17970</v>
      </c>
      <c r="C56" s="15" t="s">
        <v>18067</v>
      </c>
      <c r="D56" s="15" t="s">
        <v>350</v>
      </c>
      <c r="E56" s="15" t="s">
        <v>305</v>
      </c>
      <c r="F56" s="20" t="s">
        <v>18068</v>
      </c>
      <c r="G56" s="15"/>
      <c r="H56" s="15"/>
      <c r="I56" s="15" t="s">
        <v>528</v>
      </c>
      <c r="J56" s="15" t="s">
        <v>15991</v>
      </c>
    </row>
    <row r="57" spans="2:10">
      <c r="B57" s="15" t="s">
        <v>17970</v>
      </c>
      <c r="C57" s="15" t="s">
        <v>18069</v>
      </c>
      <c r="D57" s="15" t="s">
        <v>363</v>
      </c>
      <c r="E57" s="15" t="s">
        <v>305</v>
      </c>
      <c r="F57" s="15" t="s">
        <v>18070</v>
      </c>
      <c r="G57" s="15"/>
      <c r="H57" s="15"/>
      <c r="I57" s="15" t="s">
        <v>528</v>
      </c>
      <c r="J57" s="15" t="s">
        <v>15991</v>
      </c>
    </row>
    <row r="58" spans="2:10">
      <c r="B58" s="15" t="s">
        <v>17970</v>
      </c>
      <c r="C58" s="15" t="s">
        <v>18071</v>
      </c>
      <c r="D58" s="15" t="s">
        <v>327</v>
      </c>
      <c r="E58" s="15" t="s">
        <v>305</v>
      </c>
      <c r="F58" s="20" t="s">
        <v>18072</v>
      </c>
      <c r="G58" s="15"/>
      <c r="H58" s="15"/>
      <c r="I58" s="15" t="s">
        <v>528</v>
      </c>
      <c r="J58" s="15" t="s">
        <v>15991</v>
      </c>
    </row>
    <row r="59" spans="2:10">
      <c r="B59" s="15" t="s">
        <v>17970</v>
      </c>
      <c r="C59" s="15" t="s">
        <v>18073</v>
      </c>
      <c r="D59" s="15" t="s">
        <v>321</v>
      </c>
      <c r="E59" s="15" t="s">
        <v>305</v>
      </c>
      <c r="F59" s="15" t="s">
        <v>18074</v>
      </c>
      <c r="G59" s="52" t="str">
        <f>HYPERLINK("#码值映射清单!B428","GroundStatus")</f>
        <v>GroundStatus</v>
      </c>
      <c r="H59" s="15"/>
      <c r="I59" s="15" t="s">
        <v>528</v>
      </c>
      <c r="J59" s="15" t="s">
        <v>15991</v>
      </c>
    </row>
    <row r="60" spans="2:10">
      <c r="B60" s="15" t="s">
        <v>17970</v>
      </c>
      <c r="C60" s="15" t="s">
        <v>18075</v>
      </c>
      <c r="D60" s="15" t="s">
        <v>350</v>
      </c>
      <c r="E60" s="15" t="s">
        <v>305</v>
      </c>
      <c r="F60" s="15" t="s">
        <v>18076</v>
      </c>
      <c r="G60" s="15"/>
      <c r="H60" s="15"/>
      <c r="I60" s="15" t="s">
        <v>528</v>
      </c>
      <c r="J60" s="15" t="s">
        <v>15991</v>
      </c>
    </row>
    <row r="61" spans="2:10">
      <c r="B61" s="15" t="s">
        <v>17970</v>
      </c>
      <c r="C61" s="15" t="s">
        <v>18077</v>
      </c>
      <c r="D61" s="15" t="s">
        <v>321</v>
      </c>
      <c r="E61" s="15" t="s">
        <v>305</v>
      </c>
      <c r="F61" s="15" t="s">
        <v>7219</v>
      </c>
      <c r="G61" s="61" t="str">
        <f>HYPERLINK("#码值映射清单!B5368","FitmentLevel")</f>
        <v>FitmentLevel</v>
      </c>
      <c r="H61" s="15"/>
      <c r="I61" s="15" t="s">
        <v>528</v>
      </c>
      <c r="J61" s="15" t="s">
        <v>15991</v>
      </c>
    </row>
    <row r="62" spans="2:10">
      <c r="B62" s="15" t="s">
        <v>17970</v>
      </c>
      <c r="C62" s="15" t="s">
        <v>18078</v>
      </c>
      <c r="D62" s="15" t="s">
        <v>327</v>
      </c>
      <c r="E62" s="15" t="s">
        <v>305</v>
      </c>
      <c r="F62" s="15" t="s">
        <v>8941</v>
      </c>
      <c r="G62" s="15"/>
      <c r="H62" s="15"/>
      <c r="I62" s="15" t="s">
        <v>528</v>
      </c>
      <c r="J62" s="15" t="s">
        <v>15991</v>
      </c>
    </row>
    <row r="63" spans="2:10">
      <c r="B63" s="15" t="s">
        <v>17970</v>
      </c>
      <c r="C63" s="15" t="s">
        <v>18079</v>
      </c>
      <c r="D63" s="15" t="s">
        <v>350</v>
      </c>
      <c r="E63" s="15" t="s">
        <v>305</v>
      </c>
      <c r="F63" s="15" t="s">
        <v>18080</v>
      </c>
      <c r="G63" s="15"/>
      <c r="H63" s="15"/>
      <c r="I63" s="15" t="s">
        <v>528</v>
      </c>
      <c r="J63" s="15" t="s">
        <v>15991</v>
      </c>
    </row>
    <row r="64" spans="2:10">
      <c r="B64" s="15" t="s">
        <v>17970</v>
      </c>
      <c r="C64" s="15" t="s">
        <v>18081</v>
      </c>
      <c r="D64" s="15" t="s">
        <v>371</v>
      </c>
      <c r="E64" s="15" t="s">
        <v>305</v>
      </c>
      <c r="F64" s="15" t="s">
        <v>18082</v>
      </c>
      <c r="G64" s="15"/>
      <c r="H64" s="15"/>
      <c r="I64" s="15" t="s">
        <v>528</v>
      </c>
      <c r="J64" s="15" t="s">
        <v>15991</v>
      </c>
    </row>
    <row r="65" spans="2:10">
      <c r="B65" s="15" t="s">
        <v>17970</v>
      </c>
      <c r="C65" s="15" t="s">
        <v>18083</v>
      </c>
      <c r="D65" s="15" t="s">
        <v>506</v>
      </c>
      <c r="E65" s="15" t="s">
        <v>305</v>
      </c>
      <c r="F65" s="15" t="s">
        <v>18084</v>
      </c>
      <c r="G65" s="15"/>
      <c r="H65" s="15"/>
      <c r="I65" s="15" t="s">
        <v>528</v>
      </c>
      <c r="J65" s="15" t="s">
        <v>15991</v>
      </c>
    </row>
    <row r="66" spans="2:10">
      <c r="B66" s="15" t="s">
        <v>17970</v>
      </c>
      <c r="C66" s="15" t="s">
        <v>17789</v>
      </c>
      <c r="D66" s="15" t="s">
        <v>321</v>
      </c>
      <c r="E66" s="15" t="s">
        <v>305</v>
      </c>
      <c r="F66" s="15" t="s">
        <v>18085</v>
      </c>
      <c r="G66" s="52" t="str">
        <f>HYPERLINK("#码值映射清单!B6885","StructureType")</f>
        <v>StructureType</v>
      </c>
      <c r="H66" s="15"/>
      <c r="I66" s="15" t="s">
        <v>528</v>
      </c>
      <c r="J66" s="15" t="s">
        <v>15991</v>
      </c>
    </row>
    <row r="67" spans="2:10">
      <c r="B67" s="15" t="s">
        <v>17970</v>
      </c>
      <c r="C67" s="15" t="s">
        <v>18086</v>
      </c>
      <c r="D67" s="15" t="s">
        <v>321</v>
      </c>
      <c r="E67" s="15" t="s">
        <v>305</v>
      </c>
      <c r="F67" s="15" t="s">
        <v>18087</v>
      </c>
      <c r="G67" s="62" t="str">
        <f>HYPERLINK("#码值映射清单!B10098","PlaneLayout")</f>
        <v>PlaneLayout</v>
      </c>
      <c r="H67" s="15"/>
      <c r="I67" s="15" t="s">
        <v>528</v>
      </c>
      <c r="J67" s="15" t="s">
        <v>15991</v>
      </c>
    </row>
    <row r="68" spans="2:10">
      <c r="B68" s="15" t="s">
        <v>17970</v>
      </c>
      <c r="C68" s="15" t="s">
        <v>18088</v>
      </c>
      <c r="D68" s="15" t="s">
        <v>16056</v>
      </c>
      <c r="E68" s="15" t="s">
        <v>305</v>
      </c>
      <c r="F68" s="15" t="s">
        <v>18089</v>
      </c>
      <c r="G68" s="15"/>
      <c r="H68" s="15"/>
      <c r="I68" s="15" t="s">
        <v>528</v>
      </c>
      <c r="J68" s="15" t="s">
        <v>15991</v>
      </c>
    </row>
    <row r="69" spans="2:10">
      <c r="B69" s="15" t="s">
        <v>17970</v>
      </c>
      <c r="C69" s="15" t="s">
        <v>18090</v>
      </c>
      <c r="D69" s="15" t="s">
        <v>16056</v>
      </c>
      <c r="E69" s="15" t="s">
        <v>305</v>
      </c>
      <c r="F69" s="15" t="s">
        <v>17341</v>
      </c>
      <c r="G69" s="15"/>
      <c r="H69" s="15"/>
      <c r="I69" s="15" t="s">
        <v>528</v>
      </c>
      <c r="J69" s="15" t="s">
        <v>15991</v>
      </c>
    </row>
    <row r="70" spans="2:10">
      <c r="B70" s="15" t="s">
        <v>17970</v>
      </c>
      <c r="C70" s="15" t="s">
        <v>18091</v>
      </c>
      <c r="D70" s="15" t="s">
        <v>513</v>
      </c>
      <c r="E70" s="15" t="s">
        <v>305</v>
      </c>
      <c r="F70" s="15" t="s">
        <v>17878</v>
      </c>
      <c r="G70" s="62" t="str">
        <f>HYPERLINK("#码值映射清单!B10102","UserStatus")</f>
        <v>UserStatus</v>
      </c>
      <c r="H70" s="15"/>
      <c r="I70" s="15" t="s">
        <v>528</v>
      </c>
      <c r="J70" s="15" t="s">
        <v>15991</v>
      </c>
    </row>
    <row r="71" spans="2:10">
      <c r="B71" s="15" t="s">
        <v>17970</v>
      </c>
      <c r="C71" s="15" t="s">
        <v>18092</v>
      </c>
      <c r="D71" s="15" t="s">
        <v>321</v>
      </c>
      <c r="E71" s="15" t="s">
        <v>305</v>
      </c>
      <c r="F71" s="15" t="s">
        <v>12146</v>
      </c>
      <c r="G71" s="52" t="str">
        <f>HYPERLINK("#码值映射清单!B9904","ParkCondition")</f>
        <v>ParkCondition</v>
      </c>
      <c r="H71" s="15"/>
      <c r="I71" s="15" t="s">
        <v>528</v>
      </c>
      <c r="J71" s="15" t="s">
        <v>15991</v>
      </c>
    </row>
    <row r="72" spans="2:10">
      <c r="B72" s="15" t="s">
        <v>17970</v>
      </c>
      <c r="C72" s="15" t="s">
        <v>18093</v>
      </c>
      <c r="D72" s="15" t="s">
        <v>321</v>
      </c>
      <c r="E72" s="15" t="s">
        <v>305</v>
      </c>
      <c r="F72" s="15" t="s">
        <v>18094</v>
      </c>
      <c r="G72" s="52" t="str">
        <f>HYPERLINK("#码值映射清单!B4429","Frontage")</f>
        <v>Frontage</v>
      </c>
      <c r="H72" s="15"/>
      <c r="I72" s="15" t="s">
        <v>528</v>
      </c>
      <c r="J72" s="15" t="s">
        <v>15991</v>
      </c>
    </row>
    <row r="73" spans="2:10">
      <c r="B73" s="15" t="s">
        <v>17970</v>
      </c>
      <c r="C73" s="15" t="s">
        <v>18095</v>
      </c>
      <c r="D73" s="15" t="s">
        <v>327</v>
      </c>
      <c r="E73" s="15" t="s">
        <v>305</v>
      </c>
      <c r="F73" s="15" t="s">
        <v>18096</v>
      </c>
      <c r="G73" s="15"/>
      <c r="H73" s="15"/>
      <c r="I73" s="15" t="s">
        <v>528</v>
      </c>
      <c r="J73" s="15" t="s">
        <v>15991</v>
      </c>
    </row>
    <row r="74" spans="2:10">
      <c r="B74" s="15" t="s">
        <v>17970</v>
      </c>
      <c r="C74" s="15" t="s">
        <v>18097</v>
      </c>
      <c r="D74" s="15" t="s">
        <v>327</v>
      </c>
      <c r="E74" s="15" t="s">
        <v>305</v>
      </c>
      <c r="F74" s="15" t="s">
        <v>6753</v>
      </c>
      <c r="G74" s="15"/>
      <c r="H74" s="15"/>
      <c r="I74" s="15" t="s">
        <v>528</v>
      </c>
      <c r="J74" s="15" t="s">
        <v>15991</v>
      </c>
    </row>
    <row r="75" spans="2:10">
      <c r="B75" s="15" t="s">
        <v>17970</v>
      </c>
      <c r="C75" s="15" t="s">
        <v>17314</v>
      </c>
      <c r="D75" s="15" t="s">
        <v>327</v>
      </c>
      <c r="E75" s="15" t="s">
        <v>305</v>
      </c>
      <c r="F75" s="15" t="s">
        <v>18098</v>
      </c>
      <c r="G75" s="15"/>
      <c r="H75" s="15"/>
      <c r="I75" s="15" t="s">
        <v>528</v>
      </c>
      <c r="J75" s="15" t="s">
        <v>15991</v>
      </c>
    </row>
    <row r="76" spans="2:10">
      <c r="B76" s="15" t="s">
        <v>17970</v>
      </c>
      <c r="C76" s="15" t="s">
        <v>18099</v>
      </c>
      <c r="D76" s="15" t="s">
        <v>327</v>
      </c>
      <c r="E76" s="15" t="s">
        <v>305</v>
      </c>
      <c r="F76" s="15" t="s">
        <v>18100</v>
      </c>
      <c r="G76" s="15"/>
      <c r="H76" s="15"/>
      <c r="I76" s="15" t="s">
        <v>528</v>
      </c>
      <c r="J76" s="15" t="s">
        <v>15991</v>
      </c>
    </row>
    <row r="77" spans="2:10">
      <c r="B77" s="15" t="s">
        <v>17970</v>
      </c>
      <c r="C77" s="15" t="s">
        <v>18101</v>
      </c>
      <c r="D77" s="15" t="s">
        <v>367</v>
      </c>
      <c r="E77" s="15" t="s">
        <v>305</v>
      </c>
      <c r="F77" s="15" t="s">
        <v>18102</v>
      </c>
      <c r="G77" s="15"/>
      <c r="H77" s="15"/>
      <c r="I77" s="15" t="s">
        <v>528</v>
      </c>
      <c r="J77" s="15" t="s">
        <v>15991</v>
      </c>
    </row>
    <row r="78" spans="2:10">
      <c r="B78" s="15" t="s">
        <v>17970</v>
      </c>
      <c r="C78" s="15" t="s">
        <v>18103</v>
      </c>
      <c r="D78" s="15" t="s">
        <v>363</v>
      </c>
      <c r="E78" s="15" t="s">
        <v>305</v>
      </c>
      <c r="F78" s="15" t="s">
        <v>18104</v>
      </c>
      <c r="G78" s="15"/>
      <c r="H78" s="15"/>
      <c r="I78" s="15" t="s">
        <v>528</v>
      </c>
      <c r="J78" s="15" t="s">
        <v>15991</v>
      </c>
    </row>
    <row r="79" spans="2:10">
      <c r="B79" s="15" t="s">
        <v>17970</v>
      </c>
      <c r="C79" s="15" t="s">
        <v>18105</v>
      </c>
      <c r="D79" s="15" t="s">
        <v>327</v>
      </c>
      <c r="E79" s="15" t="s">
        <v>305</v>
      </c>
      <c r="F79" s="15" t="s">
        <v>18106</v>
      </c>
      <c r="G79" s="15"/>
      <c r="H79" s="15"/>
      <c r="I79" s="15" t="s">
        <v>528</v>
      </c>
      <c r="J79" s="15" t="s">
        <v>15991</v>
      </c>
    </row>
    <row r="80" spans="2:10">
      <c r="B80" s="15" t="s">
        <v>17970</v>
      </c>
      <c r="C80" s="15" t="s">
        <v>18107</v>
      </c>
      <c r="D80" s="15" t="s">
        <v>506</v>
      </c>
      <c r="E80" s="15" t="s">
        <v>305</v>
      </c>
      <c r="F80" s="15" t="s">
        <v>18108</v>
      </c>
      <c r="G80" s="15"/>
      <c r="H80" s="15"/>
      <c r="I80" s="15" t="s">
        <v>528</v>
      </c>
      <c r="J80" s="15" t="s">
        <v>15991</v>
      </c>
    </row>
    <row r="81" spans="2:10">
      <c r="B81" s="15" t="s">
        <v>17970</v>
      </c>
      <c r="C81" s="15" t="s">
        <v>18109</v>
      </c>
      <c r="D81" s="15" t="s">
        <v>327</v>
      </c>
      <c r="E81" s="15" t="s">
        <v>305</v>
      </c>
      <c r="F81" s="15" t="s">
        <v>18110</v>
      </c>
      <c r="G81" s="15"/>
      <c r="H81" s="15"/>
      <c r="I81" s="15" t="s">
        <v>528</v>
      </c>
      <c r="J81" s="15" t="s">
        <v>15991</v>
      </c>
    </row>
    <row r="82" spans="2:10">
      <c r="B82" s="15" t="s">
        <v>17970</v>
      </c>
      <c r="C82" s="15" t="s">
        <v>18111</v>
      </c>
      <c r="D82" s="15" t="s">
        <v>327</v>
      </c>
      <c r="E82" s="15" t="s">
        <v>305</v>
      </c>
      <c r="F82" s="15" t="s">
        <v>18112</v>
      </c>
      <c r="G82" s="15"/>
      <c r="H82" s="15"/>
      <c r="I82" s="15" t="s">
        <v>528</v>
      </c>
      <c r="J82" s="15" t="s">
        <v>15991</v>
      </c>
    </row>
    <row r="83" spans="2:10">
      <c r="B83" s="15" t="s">
        <v>17970</v>
      </c>
      <c r="C83" s="15" t="s">
        <v>18113</v>
      </c>
      <c r="D83" s="15" t="s">
        <v>327</v>
      </c>
      <c r="E83" s="15" t="s">
        <v>305</v>
      </c>
      <c r="F83" s="15" t="s">
        <v>18114</v>
      </c>
      <c r="G83" s="15"/>
      <c r="H83" s="15"/>
      <c r="I83" s="15" t="s">
        <v>528</v>
      </c>
      <c r="J83" s="15" t="s">
        <v>15991</v>
      </c>
    </row>
    <row r="84" spans="2:10">
      <c r="B84" s="15" t="s">
        <v>17970</v>
      </c>
      <c r="C84" s="15" t="s">
        <v>18115</v>
      </c>
      <c r="D84" s="15" t="s">
        <v>350</v>
      </c>
      <c r="E84" s="15" t="s">
        <v>305</v>
      </c>
      <c r="F84" s="20" t="s">
        <v>18116</v>
      </c>
      <c r="G84" s="15"/>
      <c r="H84" s="15"/>
      <c r="I84" s="15" t="s">
        <v>528</v>
      </c>
      <c r="J84" s="15" t="s">
        <v>15991</v>
      </c>
    </row>
    <row r="85" spans="2:10">
      <c r="B85" s="15" t="s">
        <v>17970</v>
      </c>
      <c r="C85" s="15" t="s">
        <v>18117</v>
      </c>
      <c r="D85" s="15" t="s">
        <v>321</v>
      </c>
      <c r="E85" s="15" t="s">
        <v>305</v>
      </c>
      <c r="F85" s="15" t="s">
        <v>2741</v>
      </c>
      <c r="G85" s="52" t="str">
        <f>HYPERLINK("#码值映射清单!B1530","RealtyProjectType")</f>
        <v>RealtyProjectType</v>
      </c>
      <c r="H85" s="15"/>
      <c r="I85" s="15" t="s">
        <v>528</v>
      </c>
      <c r="J85" s="15" t="s">
        <v>15991</v>
      </c>
    </row>
    <row r="86" spans="2:10">
      <c r="B86" s="15" t="s">
        <v>17970</v>
      </c>
      <c r="C86" s="15" t="s">
        <v>18118</v>
      </c>
      <c r="D86" s="15" t="s">
        <v>513</v>
      </c>
      <c r="E86" s="15" t="s">
        <v>305</v>
      </c>
      <c r="F86" s="15" t="s">
        <v>18119</v>
      </c>
      <c r="G86" s="52" t="str">
        <f>HYPERLINK("#码值映射清单!B6121","LandTransFeesStatus")</f>
        <v>LandTransFeesStatus</v>
      </c>
      <c r="H86" s="15"/>
      <c r="I86" s="15" t="s">
        <v>528</v>
      </c>
      <c r="J86" s="15" t="s">
        <v>15991</v>
      </c>
    </row>
    <row r="87" spans="2:10">
      <c r="B87" s="15" t="s">
        <v>17970</v>
      </c>
      <c r="C87" s="15" t="s">
        <v>18120</v>
      </c>
      <c r="D87" s="15" t="s">
        <v>316</v>
      </c>
      <c r="E87" s="15" t="s">
        <v>305</v>
      </c>
      <c r="F87" s="20" t="s">
        <v>18121</v>
      </c>
      <c r="G87" s="15"/>
      <c r="H87" s="15"/>
      <c r="I87" s="15" t="s">
        <v>528</v>
      </c>
      <c r="J87" s="15" t="s">
        <v>15991</v>
      </c>
    </row>
    <row r="88" spans="2:10">
      <c r="B88" s="15" t="s">
        <v>17970</v>
      </c>
      <c r="C88" s="15" t="s">
        <v>18122</v>
      </c>
      <c r="D88" s="15" t="s">
        <v>316</v>
      </c>
      <c r="E88" s="15" t="s">
        <v>305</v>
      </c>
      <c r="F88" s="15" t="s">
        <v>18123</v>
      </c>
      <c r="G88" s="15"/>
      <c r="H88" s="15"/>
      <c r="I88" s="15" t="s">
        <v>528</v>
      </c>
      <c r="J88" s="15" t="s">
        <v>15991</v>
      </c>
    </row>
    <row r="89" spans="2:10">
      <c r="B89" s="15" t="s">
        <v>17970</v>
      </c>
      <c r="C89" s="15" t="s">
        <v>18124</v>
      </c>
      <c r="D89" s="15" t="s">
        <v>316</v>
      </c>
      <c r="E89" s="15" t="s">
        <v>305</v>
      </c>
      <c r="F89" s="15" t="s">
        <v>18125</v>
      </c>
      <c r="G89" s="15"/>
      <c r="H89" s="15"/>
      <c r="I89" s="15" t="s">
        <v>528</v>
      </c>
      <c r="J89" s="15" t="s">
        <v>15991</v>
      </c>
    </row>
    <row r="90" spans="2:10">
      <c r="B90" s="15" t="s">
        <v>17970</v>
      </c>
      <c r="C90" s="15" t="s">
        <v>18126</v>
      </c>
      <c r="D90" s="15" t="s">
        <v>327</v>
      </c>
      <c r="E90" s="15" t="s">
        <v>305</v>
      </c>
      <c r="F90" s="15" t="s">
        <v>11498</v>
      </c>
      <c r="G90" s="15"/>
      <c r="H90" s="15"/>
      <c r="I90" s="15" t="s">
        <v>528</v>
      </c>
      <c r="J90" s="15" t="s">
        <v>15991</v>
      </c>
    </row>
    <row r="91" spans="2:10">
      <c r="B91" s="15" t="s">
        <v>17970</v>
      </c>
      <c r="C91" s="15" t="s">
        <v>18127</v>
      </c>
      <c r="D91" s="15" t="s">
        <v>327</v>
      </c>
      <c r="E91" s="15" t="s">
        <v>305</v>
      </c>
      <c r="F91" s="15" t="s">
        <v>18128</v>
      </c>
      <c r="G91" s="15"/>
      <c r="H91" s="15"/>
      <c r="I91" s="15" t="s">
        <v>528</v>
      </c>
      <c r="J91" s="15" t="s">
        <v>15991</v>
      </c>
    </row>
    <row r="92" spans="2:10">
      <c r="B92" s="15" t="s">
        <v>17970</v>
      </c>
      <c r="C92" s="15" t="s">
        <v>18129</v>
      </c>
      <c r="D92" s="15" t="s">
        <v>16072</v>
      </c>
      <c r="E92" s="15" t="s">
        <v>305</v>
      </c>
      <c r="F92" s="15" t="s">
        <v>18130</v>
      </c>
      <c r="G92" s="52" t="str">
        <f t="shared" ref="G92:G123" si="0">HYPERLINK("#码值映射清单!B5150","YesNo")</f>
        <v>YesNo</v>
      </c>
      <c r="H92" s="15"/>
      <c r="I92" s="15" t="s">
        <v>528</v>
      </c>
      <c r="J92" s="15" t="s">
        <v>15991</v>
      </c>
    </row>
    <row r="93" spans="2:10">
      <c r="B93" s="15" t="s">
        <v>17970</v>
      </c>
      <c r="C93" s="15" t="s">
        <v>18131</v>
      </c>
      <c r="D93" s="15" t="s">
        <v>16072</v>
      </c>
      <c r="E93" s="15" t="s">
        <v>305</v>
      </c>
      <c r="F93" s="15" t="s">
        <v>18132</v>
      </c>
      <c r="G93" s="52" t="str">
        <f t="shared" si="0"/>
        <v>YesNo</v>
      </c>
      <c r="H93" s="15"/>
      <c r="I93" s="15" t="s">
        <v>528</v>
      </c>
      <c r="J93" s="15" t="s">
        <v>15991</v>
      </c>
    </row>
    <row r="94" spans="2:10">
      <c r="B94" s="15" t="s">
        <v>17970</v>
      </c>
      <c r="C94" s="15" t="s">
        <v>18133</v>
      </c>
      <c r="D94" s="15" t="s">
        <v>16072</v>
      </c>
      <c r="E94" s="15" t="s">
        <v>305</v>
      </c>
      <c r="F94" s="15" t="s">
        <v>18134</v>
      </c>
      <c r="G94" s="52" t="str">
        <f t="shared" si="0"/>
        <v>YesNo</v>
      </c>
      <c r="H94" s="15"/>
      <c r="I94" s="15" t="s">
        <v>528</v>
      </c>
      <c r="J94" s="15" t="s">
        <v>15991</v>
      </c>
    </row>
    <row r="95" spans="2:10">
      <c r="B95" s="15" t="s">
        <v>17970</v>
      </c>
      <c r="C95" s="15" t="s">
        <v>18135</v>
      </c>
      <c r="D95" s="15" t="s">
        <v>16072</v>
      </c>
      <c r="E95" s="15" t="s">
        <v>305</v>
      </c>
      <c r="F95" s="15" t="s">
        <v>18136</v>
      </c>
      <c r="G95" s="52" t="str">
        <f t="shared" si="0"/>
        <v>YesNo</v>
      </c>
      <c r="H95" s="15"/>
      <c r="I95" s="15" t="s">
        <v>528</v>
      </c>
      <c r="J95" s="15" t="s">
        <v>15991</v>
      </c>
    </row>
    <row r="96" spans="2:10">
      <c r="B96" s="15" t="s">
        <v>17970</v>
      </c>
      <c r="C96" s="15" t="s">
        <v>18137</v>
      </c>
      <c r="D96" s="15" t="s">
        <v>16072</v>
      </c>
      <c r="E96" s="15" t="s">
        <v>305</v>
      </c>
      <c r="F96" s="15" t="s">
        <v>18138</v>
      </c>
      <c r="G96" s="52" t="str">
        <f t="shared" si="0"/>
        <v>YesNo</v>
      </c>
      <c r="H96" s="15"/>
      <c r="I96" s="15" t="s">
        <v>528</v>
      </c>
      <c r="J96" s="15" t="s">
        <v>15991</v>
      </c>
    </row>
    <row r="97" spans="2:10">
      <c r="B97" s="15" t="s">
        <v>17970</v>
      </c>
      <c r="C97" s="15" t="s">
        <v>18139</v>
      </c>
      <c r="D97" s="15" t="s">
        <v>16072</v>
      </c>
      <c r="E97" s="15" t="s">
        <v>305</v>
      </c>
      <c r="F97" s="15" t="s">
        <v>18140</v>
      </c>
      <c r="G97" s="52" t="str">
        <f t="shared" si="0"/>
        <v>YesNo</v>
      </c>
      <c r="H97" s="15"/>
      <c r="I97" s="15" t="s">
        <v>528</v>
      </c>
      <c r="J97" s="15" t="s">
        <v>15991</v>
      </c>
    </row>
    <row r="98" spans="2:10">
      <c r="B98" s="15" t="s">
        <v>17970</v>
      </c>
      <c r="C98" s="15" t="s">
        <v>18141</v>
      </c>
      <c r="D98" s="15" t="s">
        <v>16072</v>
      </c>
      <c r="E98" s="15" t="s">
        <v>305</v>
      </c>
      <c r="F98" s="15" t="s">
        <v>18142</v>
      </c>
      <c r="G98" s="52" t="str">
        <f t="shared" si="0"/>
        <v>YesNo</v>
      </c>
      <c r="H98" s="15"/>
      <c r="I98" s="15" t="s">
        <v>528</v>
      </c>
      <c r="J98" s="15" t="s">
        <v>15991</v>
      </c>
    </row>
    <row r="99" spans="2:10">
      <c r="B99" s="15" t="s">
        <v>17970</v>
      </c>
      <c r="C99" s="15" t="s">
        <v>18143</v>
      </c>
      <c r="D99" s="15" t="s">
        <v>16072</v>
      </c>
      <c r="E99" s="15" t="s">
        <v>305</v>
      </c>
      <c r="F99" s="15" t="s">
        <v>18144</v>
      </c>
      <c r="G99" s="52" t="str">
        <f t="shared" si="0"/>
        <v>YesNo</v>
      </c>
      <c r="H99" s="15"/>
      <c r="I99" s="15" t="s">
        <v>528</v>
      </c>
      <c r="J99" s="15" t="s">
        <v>15991</v>
      </c>
    </row>
    <row r="100" spans="2:10">
      <c r="B100" s="15" t="s">
        <v>17970</v>
      </c>
      <c r="C100" s="15" t="s">
        <v>18145</v>
      </c>
      <c r="D100" s="15" t="s">
        <v>16072</v>
      </c>
      <c r="E100" s="15" t="s">
        <v>305</v>
      </c>
      <c r="F100" s="15" t="s">
        <v>18146</v>
      </c>
      <c r="G100" s="52" t="str">
        <f t="shared" si="0"/>
        <v>YesNo</v>
      </c>
      <c r="H100" s="15"/>
      <c r="I100" s="15" t="s">
        <v>528</v>
      </c>
      <c r="J100" s="15" t="s">
        <v>15991</v>
      </c>
    </row>
    <row r="101" spans="2:10">
      <c r="B101" s="15" t="s">
        <v>17970</v>
      </c>
      <c r="C101" s="15" t="s">
        <v>18147</v>
      </c>
      <c r="D101" s="15" t="s">
        <v>16072</v>
      </c>
      <c r="E101" s="15" t="s">
        <v>305</v>
      </c>
      <c r="F101" s="15" t="s">
        <v>18148</v>
      </c>
      <c r="G101" s="52" t="str">
        <f t="shared" si="0"/>
        <v>YesNo</v>
      </c>
      <c r="H101" s="15"/>
      <c r="I101" s="15" t="s">
        <v>528</v>
      </c>
      <c r="J101" s="15" t="s">
        <v>15991</v>
      </c>
    </row>
    <row r="102" spans="2:10">
      <c r="B102" s="15" t="s">
        <v>17970</v>
      </c>
      <c r="C102" s="15" t="s">
        <v>18149</v>
      </c>
      <c r="D102" s="15" t="s">
        <v>16072</v>
      </c>
      <c r="E102" s="15" t="s">
        <v>305</v>
      </c>
      <c r="F102" s="15" t="s">
        <v>18150</v>
      </c>
      <c r="G102" s="52" t="str">
        <f t="shared" si="0"/>
        <v>YesNo</v>
      </c>
      <c r="H102" s="15"/>
      <c r="I102" s="15" t="s">
        <v>528</v>
      </c>
      <c r="J102" s="15" t="s">
        <v>15991</v>
      </c>
    </row>
    <row r="103" spans="2:10">
      <c r="B103" s="15" t="s">
        <v>17970</v>
      </c>
      <c r="C103" s="15" t="s">
        <v>18151</v>
      </c>
      <c r="D103" s="15" t="s">
        <v>16072</v>
      </c>
      <c r="E103" s="15" t="s">
        <v>305</v>
      </c>
      <c r="F103" s="15" t="s">
        <v>18152</v>
      </c>
      <c r="G103" s="52" t="str">
        <f t="shared" si="0"/>
        <v>YesNo</v>
      </c>
      <c r="H103" s="15"/>
      <c r="I103" s="15" t="s">
        <v>528</v>
      </c>
      <c r="J103" s="15" t="s">
        <v>15991</v>
      </c>
    </row>
    <row r="104" spans="2:10">
      <c r="B104" s="15" t="s">
        <v>17970</v>
      </c>
      <c r="C104" s="15" t="s">
        <v>18153</v>
      </c>
      <c r="D104" s="15" t="s">
        <v>16072</v>
      </c>
      <c r="E104" s="15" t="s">
        <v>305</v>
      </c>
      <c r="F104" s="15" t="s">
        <v>18154</v>
      </c>
      <c r="G104" s="52" t="str">
        <f t="shared" si="0"/>
        <v>YesNo</v>
      </c>
      <c r="H104" s="15"/>
      <c r="I104" s="15" t="s">
        <v>528</v>
      </c>
      <c r="J104" s="15" t="s">
        <v>15991</v>
      </c>
    </row>
    <row r="105" spans="2:10">
      <c r="B105" s="15" t="s">
        <v>17970</v>
      </c>
      <c r="C105" s="15" t="s">
        <v>18155</v>
      </c>
      <c r="D105" s="15" t="s">
        <v>16072</v>
      </c>
      <c r="E105" s="15" t="s">
        <v>305</v>
      </c>
      <c r="F105" s="15" t="s">
        <v>18156</v>
      </c>
      <c r="G105" s="52" t="str">
        <f t="shared" si="0"/>
        <v>YesNo</v>
      </c>
      <c r="H105" s="15"/>
      <c r="I105" s="15" t="s">
        <v>528</v>
      </c>
      <c r="J105" s="15" t="s">
        <v>15991</v>
      </c>
    </row>
    <row r="106" spans="2:10">
      <c r="B106" s="15" t="s">
        <v>17970</v>
      </c>
      <c r="C106" s="15" t="s">
        <v>18157</v>
      </c>
      <c r="D106" s="15" t="s">
        <v>16072</v>
      </c>
      <c r="E106" s="15" t="s">
        <v>305</v>
      </c>
      <c r="F106" s="15" t="s">
        <v>18158</v>
      </c>
      <c r="G106" s="52" t="str">
        <f t="shared" si="0"/>
        <v>YesNo</v>
      </c>
      <c r="H106" s="15"/>
      <c r="I106" s="15" t="s">
        <v>528</v>
      </c>
      <c r="J106" s="15" t="s">
        <v>15991</v>
      </c>
    </row>
    <row r="107" spans="2:10">
      <c r="B107" s="15" t="s">
        <v>17970</v>
      </c>
      <c r="C107" s="15" t="s">
        <v>18159</v>
      </c>
      <c r="D107" s="15" t="s">
        <v>16072</v>
      </c>
      <c r="E107" s="15" t="s">
        <v>305</v>
      </c>
      <c r="F107" s="15" t="s">
        <v>18160</v>
      </c>
      <c r="G107" s="52" t="str">
        <f t="shared" si="0"/>
        <v>YesNo</v>
      </c>
      <c r="H107" s="15"/>
      <c r="I107" s="15" t="s">
        <v>528</v>
      </c>
      <c r="J107" s="15" t="s">
        <v>15991</v>
      </c>
    </row>
    <row r="108" spans="2:10">
      <c r="B108" s="15" t="s">
        <v>17970</v>
      </c>
      <c r="C108" s="15" t="s">
        <v>18161</v>
      </c>
      <c r="D108" s="15" t="s">
        <v>16072</v>
      </c>
      <c r="E108" s="15" t="s">
        <v>305</v>
      </c>
      <c r="F108" s="15" t="s">
        <v>18162</v>
      </c>
      <c r="G108" s="52" t="str">
        <f t="shared" si="0"/>
        <v>YesNo</v>
      </c>
      <c r="H108" s="15"/>
      <c r="I108" s="15" t="s">
        <v>528</v>
      </c>
      <c r="J108" s="15" t="s">
        <v>15991</v>
      </c>
    </row>
    <row r="109" spans="2:10">
      <c r="B109" s="15" t="s">
        <v>17970</v>
      </c>
      <c r="C109" s="15" t="s">
        <v>18163</v>
      </c>
      <c r="D109" s="15" t="s">
        <v>16072</v>
      </c>
      <c r="E109" s="15" t="s">
        <v>305</v>
      </c>
      <c r="F109" s="15" t="s">
        <v>18164</v>
      </c>
      <c r="G109" s="52" t="str">
        <f t="shared" si="0"/>
        <v>YesNo</v>
      </c>
      <c r="H109" s="15"/>
      <c r="I109" s="15" t="s">
        <v>528</v>
      </c>
      <c r="J109" s="15" t="s">
        <v>15991</v>
      </c>
    </row>
    <row r="110" spans="2:10">
      <c r="B110" s="15" t="s">
        <v>17970</v>
      </c>
      <c r="C110" s="15" t="s">
        <v>18165</v>
      </c>
      <c r="D110" s="15" t="s">
        <v>16072</v>
      </c>
      <c r="E110" s="15" t="s">
        <v>305</v>
      </c>
      <c r="F110" s="15" t="s">
        <v>18166</v>
      </c>
      <c r="G110" s="52" t="str">
        <f t="shared" si="0"/>
        <v>YesNo</v>
      </c>
      <c r="H110" s="15"/>
      <c r="I110" s="15" t="s">
        <v>528</v>
      </c>
      <c r="J110" s="15" t="s">
        <v>15991</v>
      </c>
    </row>
    <row r="111" spans="2:10">
      <c r="B111" s="15" t="s">
        <v>17970</v>
      </c>
      <c r="C111" s="15" t="s">
        <v>18167</v>
      </c>
      <c r="D111" s="15" t="s">
        <v>16072</v>
      </c>
      <c r="E111" s="15" t="s">
        <v>305</v>
      </c>
      <c r="F111" s="15" t="s">
        <v>18168</v>
      </c>
      <c r="G111" s="52" t="str">
        <f t="shared" si="0"/>
        <v>YesNo</v>
      </c>
      <c r="H111" s="15"/>
      <c r="I111" s="15" t="s">
        <v>528</v>
      </c>
      <c r="J111" s="15" t="s">
        <v>15991</v>
      </c>
    </row>
    <row r="112" spans="2:10">
      <c r="B112" s="15" t="s">
        <v>17970</v>
      </c>
      <c r="C112" s="15" t="s">
        <v>18169</v>
      </c>
      <c r="D112" s="15" t="s">
        <v>16072</v>
      </c>
      <c r="E112" s="15" t="s">
        <v>305</v>
      </c>
      <c r="F112" s="15" t="s">
        <v>18170</v>
      </c>
      <c r="G112" s="52" t="str">
        <f t="shared" si="0"/>
        <v>YesNo</v>
      </c>
      <c r="H112" s="15"/>
      <c r="I112" s="15" t="s">
        <v>528</v>
      </c>
      <c r="J112" s="15" t="s">
        <v>15991</v>
      </c>
    </row>
    <row r="113" spans="2:10">
      <c r="B113" s="15" t="s">
        <v>17970</v>
      </c>
      <c r="C113" s="15" t="s">
        <v>18171</v>
      </c>
      <c r="D113" s="15" t="s">
        <v>16072</v>
      </c>
      <c r="E113" s="15" t="s">
        <v>305</v>
      </c>
      <c r="F113" s="15" t="s">
        <v>18172</v>
      </c>
      <c r="G113" s="52" t="str">
        <f t="shared" si="0"/>
        <v>YesNo</v>
      </c>
      <c r="H113" s="15"/>
      <c r="I113" s="15" t="s">
        <v>528</v>
      </c>
      <c r="J113" s="15" t="s">
        <v>15991</v>
      </c>
    </row>
    <row r="114" spans="2:10">
      <c r="B114" s="15" t="s">
        <v>17970</v>
      </c>
      <c r="C114" s="15" t="s">
        <v>18173</v>
      </c>
      <c r="D114" s="15" t="s">
        <v>16072</v>
      </c>
      <c r="E114" s="15" t="s">
        <v>305</v>
      </c>
      <c r="F114" s="15" t="s">
        <v>18174</v>
      </c>
      <c r="G114" s="52" t="str">
        <f t="shared" si="0"/>
        <v>YesNo</v>
      </c>
      <c r="H114" s="15"/>
      <c r="I114" s="15" t="s">
        <v>528</v>
      </c>
      <c r="J114" s="15" t="s">
        <v>15991</v>
      </c>
    </row>
    <row r="115" spans="2:10">
      <c r="B115" s="15" t="s">
        <v>17970</v>
      </c>
      <c r="C115" s="15" t="s">
        <v>18175</v>
      </c>
      <c r="D115" s="15" t="s">
        <v>16072</v>
      </c>
      <c r="E115" s="15" t="s">
        <v>305</v>
      </c>
      <c r="F115" s="15" t="s">
        <v>18176</v>
      </c>
      <c r="G115" s="52" t="str">
        <f t="shared" si="0"/>
        <v>YesNo</v>
      </c>
      <c r="H115" s="15"/>
      <c r="I115" s="15" t="s">
        <v>528</v>
      </c>
      <c r="J115" s="15" t="s">
        <v>15991</v>
      </c>
    </row>
    <row r="116" spans="2:10">
      <c r="B116" s="15" t="s">
        <v>17970</v>
      </c>
      <c r="C116" s="15" t="s">
        <v>18177</v>
      </c>
      <c r="D116" s="15" t="s">
        <v>16072</v>
      </c>
      <c r="E116" s="15" t="s">
        <v>305</v>
      </c>
      <c r="F116" s="15" t="s">
        <v>18178</v>
      </c>
      <c r="G116" s="52" t="str">
        <f t="shared" si="0"/>
        <v>YesNo</v>
      </c>
      <c r="H116" s="15"/>
      <c r="I116" s="15" t="s">
        <v>528</v>
      </c>
      <c r="J116" s="15" t="s">
        <v>15991</v>
      </c>
    </row>
    <row r="117" spans="2:10">
      <c r="B117" s="15" t="s">
        <v>17970</v>
      </c>
      <c r="C117" s="15" t="s">
        <v>18179</v>
      </c>
      <c r="D117" s="15" t="s">
        <v>16072</v>
      </c>
      <c r="E117" s="15" t="s">
        <v>305</v>
      </c>
      <c r="F117" s="15" t="s">
        <v>18180</v>
      </c>
      <c r="G117" s="52" t="str">
        <f t="shared" si="0"/>
        <v>YesNo</v>
      </c>
      <c r="H117" s="15"/>
      <c r="I117" s="15" t="s">
        <v>528</v>
      </c>
      <c r="J117" s="15" t="s">
        <v>15991</v>
      </c>
    </row>
    <row r="118" spans="2:10">
      <c r="B118" s="15" t="s">
        <v>17970</v>
      </c>
      <c r="C118" s="15" t="s">
        <v>18181</v>
      </c>
      <c r="D118" s="15" t="s">
        <v>16072</v>
      </c>
      <c r="E118" s="15" t="s">
        <v>305</v>
      </c>
      <c r="F118" s="15" t="s">
        <v>18182</v>
      </c>
      <c r="G118" s="52" t="str">
        <f t="shared" si="0"/>
        <v>YesNo</v>
      </c>
      <c r="H118" s="15"/>
      <c r="I118" s="15" t="s">
        <v>528</v>
      </c>
      <c r="J118" s="15" t="s">
        <v>15991</v>
      </c>
    </row>
    <row r="119" spans="2:10">
      <c r="B119" s="15" t="s">
        <v>17970</v>
      </c>
      <c r="C119" s="15" t="s">
        <v>18183</v>
      </c>
      <c r="D119" s="15" t="s">
        <v>16072</v>
      </c>
      <c r="E119" s="15" t="s">
        <v>305</v>
      </c>
      <c r="F119" s="15" t="s">
        <v>18184</v>
      </c>
      <c r="G119" s="52" t="str">
        <f t="shared" si="0"/>
        <v>YesNo</v>
      </c>
      <c r="H119" s="15"/>
      <c r="I119" s="15" t="s">
        <v>528</v>
      </c>
      <c r="J119" s="15" t="s">
        <v>15991</v>
      </c>
    </row>
    <row r="120" spans="2:10">
      <c r="B120" s="15" t="s">
        <v>17970</v>
      </c>
      <c r="C120" s="15" t="s">
        <v>18185</v>
      </c>
      <c r="D120" s="15" t="s">
        <v>16072</v>
      </c>
      <c r="E120" s="15" t="s">
        <v>305</v>
      </c>
      <c r="F120" s="53" t="s">
        <v>18186</v>
      </c>
      <c r="G120" s="52" t="str">
        <f t="shared" si="0"/>
        <v>YesNo</v>
      </c>
      <c r="H120" s="15"/>
      <c r="I120" s="15" t="s">
        <v>528</v>
      </c>
      <c r="J120" s="15" t="s">
        <v>15991</v>
      </c>
    </row>
    <row r="121" spans="2:10">
      <c r="B121" s="15" t="s">
        <v>17970</v>
      </c>
      <c r="C121" s="15" t="s">
        <v>18187</v>
      </c>
      <c r="D121" s="15" t="s">
        <v>16072</v>
      </c>
      <c r="E121" s="15" t="s">
        <v>305</v>
      </c>
      <c r="F121" s="15" t="s">
        <v>18188</v>
      </c>
      <c r="G121" s="52" t="str">
        <f t="shared" si="0"/>
        <v>YesNo</v>
      </c>
      <c r="H121" s="15"/>
      <c r="I121" s="15" t="s">
        <v>528</v>
      </c>
      <c r="J121" s="15" t="s">
        <v>15991</v>
      </c>
    </row>
    <row r="122" spans="2:10">
      <c r="B122" s="15" t="s">
        <v>17970</v>
      </c>
      <c r="C122" s="15" t="s">
        <v>18189</v>
      </c>
      <c r="D122" s="15" t="s">
        <v>16072</v>
      </c>
      <c r="E122" s="15" t="s">
        <v>305</v>
      </c>
      <c r="F122" s="15" t="s">
        <v>18190</v>
      </c>
      <c r="G122" s="52" t="str">
        <f t="shared" si="0"/>
        <v>YesNo</v>
      </c>
      <c r="H122" s="15"/>
      <c r="I122" s="15" t="s">
        <v>528</v>
      </c>
      <c r="J122" s="15" t="s">
        <v>15991</v>
      </c>
    </row>
    <row r="123" spans="2:10">
      <c r="B123" s="15" t="s">
        <v>17970</v>
      </c>
      <c r="C123" s="15" t="s">
        <v>18191</v>
      </c>
      <c r="D123" s="15" t="s">
        <v>16072</v>
      </c>
      <c r="E123" s="15" t="s">
        <v>305</v>
      </c>
      <c r="F123" s="15" t="s">
        <v>18192</v>
      </c>
      <c r="G123" s="52" t="str">
        <f t="shared" si="0"/>
        <v>YesNo</v>
      </c>
      <c r="H123" s="15"/>
      <c r="I123" s="15" t="s">
        <v>528</v>
      </c>
      <c r="J123" s="15" t="s">
        <v>15991</v>
      </c>
    </row>
    <row r="124" spans="2:10">
      <c r="B124" s="15" t="s">
        <v>17970</v>
      </c>
      <c r="C124" s="15" t="s">
        <v>18193</v>
      </c>
      <c r="D124" s="15" t="s">
        <v>316</v>
      </c>
      <c r="E124" s="15" t="s">
        <v>305</v>
      </c>
      <c r="F124" s="15" t="s">
        <v>18121</v>
      </c>
      <c r="G124" s="15"/>
      <c r="H124" s="15"/>
      <c r="I124" s="15" t="s">
        <v>528</v>
      </c>
      <c r="J124" s="15" t="s">
        <v>15991</v>
      </c>
    </row>
    <row r="125" spans="2:10">
      <c r="B125" s="15" t="s">
        <v>17970</v>
      </c>
      <c r="C125" s="15" t="s">
        <v>18194</v>
      </c>
      <c r="D125" s="15" t="s">
        <v>16056</v>
      </c>
      <c r="E125" s="15" t="s">
        <v>305</v>
      </c>
      <c r="F125" s="15" t="s">
        <v>18195</v>
      </c>
      <c r="G125" s="15"/>
      <c r="H125" s="15"/>
      <c r="I125" s="15" t="s">
        <v>528</v>
      </c>
      <c r="J125" s="15" t="s">
        <v>15991</v>
      </c>
    </row>
    <row r="126" spans="2:10">
      <c r="B126" s="15" t="s">
        <v>17970</v>
      </c>
      <c r="C126" s="15" t="s">
        <v>16009</v>
      </c>
      <c r="D126" s="15" t="s">
        <v>316</v>
      </c>
      <c r="E126" s="15" t="s">
        <v>305</v>
      </c>
      <c r="F126" s="15" t="s">
        <v>16010</v>
      </c>
      <c r="G126" s="15"/>
      <c r="H126" s="15"/>
      <c r="I126" s="15" t="s">
        <v>528</v>
      </c>
      <c r="J126" s="15" t="s">
        <v>15991</v>
      </c>
    </row>
    <row r="127" spans="2:10">
      <c r="B127" s="15" t="s">
        <v>17970</v>
      </c>
      <c r="C127" s="15" t="s">
        <v>16011</v>
      </c>
      <c r="D127" s="15" t="s">
        <v>316</v>
      </c>
      <c r="E127" s="15" t="s">
        <v>305</v>
      </c>
      <c r="F127" s="15" t="s">
        <v>16012</v>
      </c>
      <c r="G127" s="15"/>
      <c r="H127" s="15"/>
      <c r="I127" s="15" t="s">
        <v>528</v>
      </c>
      <c r="J127" s="15" t="s">
        <v>15991</v>
      </c>
    </row>
    <row r="128" spans="2:10">
      <c r="B128" s="15" t="s">
        <v>17970</v>
      </c>
      <c r="C128" s="15" t="s">
        <v>16013</v>
      </c>
      <c r="D128" s="15" t="s">
        <v>371</v>
      </c>
      <c r="E128" s="15" t="s">
        <v>305</v>
      </c>
      <c r="F128" s="15" t="s">
        <v>16014</v>
      </c>
      <c r="G128" s="15"/>
      <c r="H128" s="15"/>
      <c r="I128" s="15" t="s">
        <v>528</v>
      </c>
      <c r="J128" s="15" t="s">
        <v>15991</v>
      </c>
    </row>
    <row r="129" spans="2:10">
      <c r="B129" s="15" t="s">
        <v>17970</v>
      </c>
      <c r="C129" s="15" t="s">
        <v>16015</v>
      </c>
      <c r="D129" s="15" t="s">
        <v>316</v>
      </c>
      <c r="E129" s="15" t="s">
        <v>305</v>
      </c>
      <c r="F129" s="15" t="s">
        <v>16016</v>
      </c>
      <c r="G129" s="15"/>
      <c r="H129" s="15"/>
      <c r="I129" s="15" t="s">
        <v>528</v>
      </c>
      <c r="J129" s="15" t="s">
        <v>15991</v>
      </c>
    </row>
    <row r="130" spans="2:10">
      <c r="B130" s="15" t="s">
        <v>17970</v>
      </c>
      <c r="C130" s="15" t="s">
        <v>16017</v>
      </c>
      <c r="D130" s="15" t="s">
        <v>316</v>
      </c>
      <c r="E130" s="15" t="s">
        <v>305</v>
      </c>
      <c r="F130" s="15" t="s">
        <v>16018</v>
      </c>
      <c r="G130" s="15"/>
      <c r="H130" s="15"/>
      <c r="I130" s="15" t="s">
        <v>528</v>
      </c>
      <c r="J130" s="15" t="s">
        <v>15991</v>
      </c>
    </row>
    <row r="131" spans="2:10">
      <c r="B131" s="15" t="s">
        <v>17970</v>
      </c>
      <c r="C131" s="15" t="s">
        <v>16019</v>
      </c>
      <c r="D131" s="15" t="s">
        <v>371</v>
      </c>
      <c r="E131" s="15" t="s">
        <v>305</v>
      </c>
      <c r="F131" s="15" t="s">
        <v>16020</v>
      </c>
      <c r="G131" s="15"/>
      <c r="H131" s="15"/>
      <c r="I131" s="15" t="s">
        <v>528</v>
      </c>
      <c r="J131" s="15" t="s">
        <v>15991</v>
      </c>
    </row>
    <row r="132" spans="2:10">
      <c r="B132" s="15" t="s">
        <v>17970</v>
      </c>
      <c r="C132" s="15" t="s">
        <v>16086</v>
      </c>
      <c r="D132" s="15" t="s">
        <v>327</v>
      </c>
      <c r="E132" s="15" t="s">
        <v>305</v>
      </c>
      <c r="F132" s="15" t="s">
        <v>301</v>
      </c>
      <c r="G132" s="15"/>
      <c r="H132" s="15"/>
      <c r="I132" s="15" t="s">
        <v>528</v>
      </c>
      <c r="J132" s="15" t="s">
        <v>15991</v>
      </c>
    </row>
    <row r="133" spans="2:10">
      <c r="B133" s="15" t="s">
        <v>17970</v>
      </c>
      <c r="C133" s="15" t="s">
        <v>18196</v>
      </c>
      <c r="D133" s="15" t="s">
        <v>316</v>
      </c>
      <c r="E133" s="15" t="s">
        <v>305</v>
      </c>
      <c r="F133" s="15" t="s">
        <v>18121</v>
      </c>
      <c r="G133" s="15"/>
      <c r="H133" s="15"/>
      <c r="I133" s="15" t="s">
        <v>528</v>
      </c>
      <c r="J133" s="15" t="s">
        <v>15991</v>
      </c>
    </row>
    <row r="134" spans="2:10">
      <c r="B134" s="15" t="s">
        <v>17970</v>
      </c>
      <c r="C134" s="15" t="s">
        <v>16088</v>
      </c>
      <c r="D134" s="15" t="s">
        <v>316</v>
      </c>
      <c r="E134" s="15" t="s">
        <v>305</v>
      </c>
      <c r="F134" s="15" t="s">
        <v>16089</v>
      </c>
      <c r="G134" s="15"/>
      <c r="H134" s="15"/>
      <c r="I134" s="15" t="s">
        <v>528</v>
      </c>
      <c r="J134" s="15" t="s">
        <v>15991</v>
      </c>
    </row>
    <row r="135" spans="2:10">
      <c r="B135" s="15" t="s">
        <v>17970</v>
      </c>
      <c r="C135" s="15" t="s">
        <v>18197</v>
      </c>
      <c r="D135" s="15" t="s">
        <v>16087</v>
      </c>
      <c r="E135" s="15" t="s">
        <v>305</v>
      </c>
      <c r="F135" s="20" t="s">
        <v>18198</v>
      </c>
      <c r="G135" s="15"/>
      <c r="H135" s="15"/>
      <c r="I135" s="15" t="s">
        <v>528</v>
      </c>
      <c r="J135" s="15" t="s">
        <v>15991</v>
      </c>
    </row>
    <row r="136" spans="2:10">
      <c r="B136" s="16" t="s">
        <v>17970</v>
      </c>
      <c r="C136" s="16" t="s">
        <v>18199</v>
      </c>
      <c r="D136" s="16" t="s">
        <v>16087</v>
      </c>
      <c r="E136" s="16" t="s">
        <v>305</v>
      </c>
      <c r="F136" s="16" t="s">
        <v>18200</v>
      </c>
      <c r="G136" s="16"/>
      <c r="H136" s="16"/>
      <c r="I136" s="16" t="s">
        <v>528</v>
      </c>
      <c r="J136" s="16" t="s">
        <v>15991</v>
      </c>
    </row>
    <row r="137" spans="2:11">
      <c r="B137" s="73" t="s">
        <v>17970</v>
      </c>
      <c r="C137" s="57" t="s">
        <v>593</v>
      </c>
      <c r="D137" s="57" t="s">
        <v>321</v>
      </c>
      <c r="E137" s="57" t="s">
        <v>305</v>
      </c>
      <c r="F137" s="59" t="s">
        <v>592</v>
      </c>
      <c r="G137" s="57" t="s">
        <v>528</v>
      </c>
      <c r="H137" s="57" t="s">
        <v>528</v>
      </c>
      <c r="I137" s="57"/>
      <c r="J137" s="50">
        <v>45740</v>
      </c>
      <c r="K137" s="102"/>
    </row>
    <row r="138" spans="2:11">
      <c r="B138" s="73" t="s">
        <v>17970</v>
      </c>
      <c r="C138" s="57" t="s">
        <v>595</v>
      </c>
      <c r="D138" s="57" t="s">
        <v>321</v>
      </c>
      <c r="E138" s="57" t="s">
        <v>305</v>
      </c>
      <c r="F138" s="59" t="s">
        <v>594</v>
      </c>
      <c r="G138" s="57" t="s">
        <v>528</v>
      </c>
      <c r="H138" s="57" t="s">
        <v>528</v>
      </c>
      <c r="I138" s="57"/>
      <c r="J138" s="50">
        <v>45740</v>
      </c>
      <c r="K138" s="102"/>
    </row>
    <row r="139" spans="2:11">
      <c r="B139" s="73" t="s">
        <v>17970</v>
      </c>
      <c r="C139" s="57" t="s">
        <v>597</v>
      </c>
      <c r="D139" s="104" t="s">
        <v>371</v>
      </c>
      <c r="E139" s="57" t="s">
        <v>305</v>
      </c>
      <c r="F139" s="100" t="s">
        <v>596</v>
      </c>
      <c r="G139" s="57" t="s">
        <v>528</v>
      </c>
      <c r="H139" s="57" t="s">
        <v>528</v>
      </c>
      <c r="I139" s="57"/>
      <c r="J139" s="50">
        <v>45740</v>
      </c>
      <c r="K139" s="102"/>
    </row>
    <row r="140" spans="2:11">
      <c r="B140" s="73" t="s">
        <v>17970</v>
      </c>
      <c r="C140" s="57" t="s">
        <v>599</v>
      </c>
      <c r="D140" s="57" t="s">
        <v>350</v>
      </c>
      <c r="E140" s="57" t="s">
        <v>305</v>
      </c>
      <c r="F140" s="100" t="s">
        <v>598</v>
      </c>
      <c r="G140" s="57" t="s">
        <v>528</v>
      </c>
      <c r="H140" s="57" t="s">
        <v>528</v>
      </c>
      <c r="I140" s="57"/>
      <c r="J140" s="50">
        <v>45740</v>
      </c>
      <c r="K140" s="102"/>
    </row>
    <row r="141" spans="2:11">
      <c r="B141" s="73" t="s">
        <v>17970</v>
      </c>
      <c r="C141" s="57" t="s">
        <v>512</v>
      </c>
      <c r="D141" s="57" t="s">
        <v>513</v>
      </c>
      <c r="E141" s="57" t="s">
        <v>305</v>
      </c>
      <c r="F141" s="100" t="s">
        <v>334</v>
      </c>
      <c r="G141" s="106" t="str">
        <f>HYPERLINK("#码值映射清单!B2469","Currency")</f>
        <v>Currency</v>
      </c>
      <c r="H141" s="57"/>
      <c r="I141" s="57"/>
      <c r="J141" s="50">
        <v>45740</v>
      </c>
      <c r="K141" s="102"/>
    </row>
    <row r="142" spans="2:11">
      <c r="B142" s="73" t="s">
        <v>17970</v>
      </c>
      <c r="C142" s="57" t="s">
        <v>601</v>
      </c>
      <c r="D142" s="57" t="s">
        <v>350</v>
      </c>
      <c r="E142" s="57" t="s">
        <v>305</v>
      </c>
      <c r="F142" s="100" t="s">
        <v>600</v>
      </c>
      <c r="G142" s="57" t="s">
        <v>528</v>
      </c>
      <c r="H142" s="57"/>
      <c r="I142" s="57"/>
      <c r="J142" s="50">
        <v>45740</v>
      </c>
      <c r="K142" s="102"/>
    </row>
    <row r="143" spans="2:11">
      <c r="B143" s="73" t="s">
        <v>17970</v>
      </c>
      <c r="C143" s="57" t="s">
        <v>341</v>
      </c>
      <c r="D143" s="57" t="s">
        <v>316</v>
      </c>
      <c r="E143" s="57" t="s">
        <v>305</v>
      </c>
      <c r="F143" s="100" t="s">
        <v>602</v>
      </c>
      <c r="G143" s="57" t="s">
        <v>528</v>
      </c>
      <c r="H143" s="57"/>
      <c r="I143" s="57"/>
      <c r="J143" s="50">
        <v>45740</v>
      </c>
      <c r="K143" s="102"/>
    </row>
    <row r="144" spans="2:11">
      <c r="B144" s="73" t="s">
        <v>17970</v>
      </c>
      <c r="C144" s="57" t="s">
        <v>326</v>
      </c>
      <c r="D144" s="57" t="s">
        <v>327</v>
      </c>
      <c r="E144" s="57" t="s">
        <v>305</v>
      </c>
      <c r="F144" s="100" t="s">
        <v>468</v>
      </c>
      <c r="G144" s="57"/>
      <c r="H144" s="57"/>
      <c r="I144" s="57"/>
      <c r="J144" s="50">
        <v>45740</v>
      </c>
      <c r="K144" s="102"/>
    </row>
    <row r="145" spans="2:11">
      <c r="B145" s="73" t="s">
        <v>17970</v>
      </c>
      <c r="C145" s="57" t="s">
        <v>470</v>
      </c>
      <c r="D145" s="105" t="s">
        <v>321</v>
      </c>
      <c r="E145" s="57" t="s">
        <v>305</v>
      </c>
      <c r="F145" s="100" t="s">
        <v>469</v>
      </c>
      <c r="G145" s="57"/>
      <c r="H145" s="57"/>
      <c r="I145" s="57"/>
      <c r="J145" s="50">
        <v>45740</v>
      </c>
      <c r="K145" s="102"/>
    </row>
    <row r="146" spans="2:11">
      <c r="B146" s="73" t="s">
        <v>17970</v>
      </c>
      <c r="C146" s="57" t="s">
        <v>604</v>
      </c>
      <c r="D146" s="105" t="s">
        <v>321</v>
      </c>
      <c r="E146" s="57" t="s">
        <v>305</v>
      </c>
      <c r="F146" s="100" t="s">
        <v>603</v>
      </c>
      <c r="G146" s="57"/>
      <c r="H146" s="57"/>
      <c r="I146" s="57"/>
      <c r="J146" s="50">
        <v>45740</v>
      </c>
      <c r="K146" s="102"/>
    </row>
    <row r="147" spans="2:11">
      <c r="B147" s="73" t="s">
        <v>17970</v>
      </c>
      <c r="C147" s="57" t="s">
        <v>606</v>
      </c>
      <c r="D147" s="105" t="s">
        <v>321</v>
      </c>
      <c r="E147" s="57" t="s">
        <v>305</v>
      </c>
      <c r="F147" s="100" t="s">
        <v>605</v>
      </c>
      <c r="G147" s="57"/>
      <c r="H147" s="57"/>
      <c r="I147" s="57"/>
      <c r="J147" s="50">
        <v>45740</v>
      </c>
      <c r="K147" s="102"/>
    </row>
    <row r="148" spans="2:11">
      <c r="B148" s="73" t="s">
        <v>17970</v>
      </c>
      <c r="C148" s="57" t="s">
        <v>608</v>
      </c>
      <c r="D148" s="105" t="s">
        <v>321</v>
      </c>
      <c r="E148" s="57" t="s">
        <v>305</v>
      </c>
      <c r="F148" s="100" t="s">
        <v>607</v>
      </c>
      <c r="G148" s="57"/>
      <c r="H148" s="57"/>
      <c r="I148" s="57"/>
      <c r="J148" s="50">
        <v>45740</v>
      </c>
      <c r="K148" s="102"/>
    </row>
    <row r="149" spans="2:11">
      <c r="B149" s="73" t="s">
        <v>17970</v>
      </c>
      <c r="C149" s="57" t="s">
        <v>610</v>
      </c>
      <c r="D149" s="105" t="s">
        <v>367</v>
      </c>
      <c r="E149" s="57" t="s">
        <v>305</v>
      </c>
      <c r="F149" s="100" t="s">
        <v>609</v>
      </c>
      <c r="G149" s="57"/>
      <c r="H149" s="57"/>
      <c r="I149" s="57"/>
      <c r="J149" s="50">
        <v>45740</v>
      </c>
      <c r="K149" s="102"/>
    </row>
    <row r="150" spans="2:11">
      <c r="B150" s="73" t="s">
        <v>17970</v>
      </c>
      <c r="C150" s="57" t="s">
        <v>612</v>
      </c>
      <c r="D150" s="105" t="s">
        <v>506</v>
      </c>
      <c r="E150" s="57" t="s">
        <v>305</v>
      </c>
      <c r="F150" s="100" t="s">
        <v>611</v>
      </c>
      <c r="G150" s="57"/>
      <c r="H150" s="57"/>
      <c r="I150" s="57"/>
      <c r="J150" s="50">
        <v>45740</v>
      </c>
      <c r="K150" s="102"/>
    </row>
    <row r="151" spans="2:11">
      <c r="B151" s="73" t="s">
        <v>17970</v>
      </c>
      <c r="C151" s="57" t="s">
        <v>614</v>
      </c>
      <c r="D151" s="105" t="s">
        <v>367</v>
      </c>
      <c r="E151" s="57" t="s">
        <v>305</v>
      </c>
      <c r="F151" s="100" t="s">
        <v>613</v>
      </c>
      <c r="G151" s="57"/>
      <c r="H151" s="57"/>
      <c r="I151" s="57"/>
      <c r="J151" s="50">
        <v>45740</v>
      </c>
      <c r="K151" s="102"/>
    </row>
    <row r="152" spans="2:11">
      <c r="B152" s="73" t="s">
        <v>17970</v>
      </c>
      <c r="C152" s="57" t="s">
        <v>616</v>
      </c>
      <c r="D152" s="105" t="s">
        <v>461</v>
      </c>
      <c r="E152" s="57" t="s">
        <v>305</v>
      </c>
      <c r="F152" s="100" t="s">
        <v>615</v>
      </c>
      <c r="G152" s="57"/>
      <c r="H152" s="57"/>
      <c r="I152" s="57"/>
      <c r="J152" s="50">
        <v>45740</v>
      </c>
      <c r="K152" s="102"/>
    </row>
    <row r="153" spans="2:11">
      <c r="B153" s="73" t="s">
        <v>17970</v>
      </c>
      <c r="C153" s="57" t="s">
        <v>618</v>
      </c>
      <c r="D153" s="105" t="s">
        <v>537</v>
      </c>
      <c r="E153" s="57" t="s">
        <v>305</v>
      </c>
      <c r="F153" s="100" t="s">
        <v>617</v>
      </c>
      <c r="G153" s="57"/>
      <c r="H153" s="57"/>
      <c r="I153" s="57"/>
      <c r="J153" s="50">
        <v>45740</v>
      </c>
      <c r="K153" s="102"/>
    </row>
    <row r="154" spans="2:11">
      <c r="B154" s="73" t="s">
        <v>17970</v>
      </c>
      <c r="C154" s="57" t="s">
        <v>467</v>
      </c>
      <c r="D154" s="57" t="s">
        <v>371</v>
      </c>
      <c r="E154" s="57" t="s">
        <v>305</v>
      </c>
      <c r="F154" s="100" t="s">
        <v>466</v>
      </c>
      <c r="G154" s="57"/>
      <c r="H154" s="57"/>
      <c r="I154" s="57"/>
      <c r="J154" s="50">
        <v>45740</v>
      </c>
      <c r="K154" s="102"/>
    </row>
    <row r="155" spans="2:11">
      <c r="B155" s="73" t="s">
        <v>17970</v>
      </c>
      <c r="C155" s="57" t="s">
        <v>458</v>
      </c>
      <c r="D155" s="57" t="s">
        <v>321</v>
      </c>
      <c r="E155" s="57" t="s">
        <v>305</v>
      </c>
      <c r="F155" s="100" t="s">
        <v>457</v>
      </c>
      <c r="G155" s="57"/>
      <c r="H155" s="57"/>
      <c r="I155" s="57"/>
      <c r="J155" s="50">
        <v>45740</v>
      </c>
      <c r="K155" s="102"/>
    </row>
    <row r="156" spans="2:11">
      <c r="B156" s="73" t="s">
        <v>17970</v>
      </c>
      <c r="C156" s="57" t="s">
        <v>453</v>
      </c>
      <c r="D156" s="57" t="s">
        <v>454</v>
      </c>
      <c r="E156" s="57" t="s">
        <v>305</v>
      </c>
      <c r="F156" s="100" t="s">
        <v>452</v>
      </c>
      <c r="G156" s="57"/>
      <c r="H156" s="57"/>
      <c r="I156" s="57"/>
      <c r="J156" s="50">
        <v>45740</v>
      </c>
      <c r="K156" s="102"/>
    </row>
    <row r="157" spans="2:11">
      <c r="B157" s="73" t="s">
        <v>17970</v>
      </c>
      <c r="C157" s="57" t="s">
        <v>349</v>
      </c>
      <c r="D157" s="57" t="s">
        <v>350</v>
      </c>
      <c r="E157" s="57" t="s">
        <v>305</v>
      </c>
      <c r="F157" s="100" t="s">
        <v>348</v>
      </c>
      <c r="G157" s="57"/>
      <c r="H157" s="57"/>
      <c r="I157" s="57"/>
      <c r="J157" s="50">
        <v>45740</v>
      </c>
      <c r="K157" s="102"/>
    </row>
    <row r="158" spans="2:11">
      <c r="B158" s="73" t="s">
        <v>17970</v>
      </c>
      <c r="C158" s="57" t="s">
        <v>354</v>
      </c>
      <c r="D158" s="57" t="s">
        <v>350</v>
      </c>
      <c r="E158" s="57" t="s">
        <v>305</v>
      </c>
      <c r="F158" s="100" t="s">
        <v>353</v>
      </c>
      <c r="G158" s="57"/>
      <c r="H158" s="57"/>
      <c r="I158" s="57"/>
      <c r="J158" s="50">
        <v>45740</v>
      </c>
      <c r="K158" s="102"/>
    </row>
    <row r="159" spans="2:11">
      <c r="B159" s="73" t="s">
        <v>17970</v>
      </c>
      <c r="C159" s="57" t="s">
        <v>577</v>
      </c>
      <c r="D159" s="57" t="s">
        <v>316</v>
      </c>
      <c r="E159" s="57" t="s">
        <v>305</v>
      </c>
      <c r="F159" s="59" t="s">
        <v>576</v>
      </c>
      <c r="G159" s="57"/>
      <c r="H159" s="57"/>
      <c r="I159" s="57"/>
      <c r="J159" s="50">
        <v>45740</v>
      </c>
      <c r="K159" s="102"/>
    </row>
    <row r="160" spans="2:11">
      <c r="B160" s="73" t="s">
        <v>17970</v>
      </c>
      <c r="C160" s="57" t="s">
        <v>620</v>
      </c>
      <c r="D160" s="57" t="s">
        <v>321</v>
      </c>
      <c r="E160" s="57" t="s">
        <v>305</v>
      </c>
      <c r="F160" s="59" t="s">
        <v>619</v>
      </c>
      <c r="G160" s="57" t="s">
        <v>528</v>
      </c>
      <c r="H160" s="57" t="s">
        <v>528</v>
      </c>
      <c r="I160" s="57"/>
      <c r="J160" s="50">
        <v>45740</v>
      </c>
      <c r="K160" s="102"/>
    </row>
    <row r="161" spans="2:11">
      <c r="B161" s="73" t="s">
        <v>17970</v>
      </c>
      <c r="C161" s="57" t="s">
        <v>622</v>
      </c>
      <c r="D161" s="57" t="s">
        <v>321</v>
      </c>
      <c r="E161" s="57" t="s">
        <v>305</v>
      </c>
      <c r="F161" s="99" t="s">
        <v>621</v>
      </c>
      <c r="G161" s="57" t="s">
        <v>528</v>
      </c>
      <c r="H161" s="57" t="s">
        <v>528</v>
      </c>
      <c r="I161" s="57"/>
      <c r="J161" s="50">
        <v>45740</v>
      </c>
      <c r="K161" s="102"/>
    </row>
    <row r="162" ht="16" spans="2:11">
      <c r="B162" s="73" t="s">
        <v>17970</v>
      </c>
      <c r="C162" s="57" t="s">
        <v>624</v>
      </c>
      <c r="D162" s="57" t="s">
        <v>321</v>
      </c>
      <c r="E162" s="57" t="s">
        <v>305</v>
      </c>
      <c r="F162" s="59" t="s">
        <v>623</v>
      </c>
      <c r="G162" s="57" t="s">
        <v>528</v>
      </c>
      <c r="H162" s="60" t="s">
        <v>625</v>
      </c>
      <c r="I162" s="57"/>
      <c r="J162" s="50">
        <v>45740</v>
      </c>
      <c r="K162" s="102"/>
    </row>
    <row r="163" spans="2:11">
      <c r="B163" s="73" t="s">
        <v>17970</v>
      </c>
      <c r="C163" s="57" t="s">
        <v>627</v>
      </c>
      <c r="D163" s="59" t="s">
        <v>367</v>
      </c>
      <c r="E163" s="57" t="s">
        <v>305</v>
      </c>
      <c r="F163" s="59" t="s">
        <v>626</v>
      </c>
      <c r="G163" s="57" t="s">
        <v>528</v>
      </c>
      <c r="H163" s="57" t="s">
        <v>528</v>
      </c>
      <c r="I163" s="57"/>
      <c r="J163" s="50">
        <v>45740</v>
      </c>
      <c r="K163" s="102"/>
    </row>
  </sheetData>
  <pageMargins left="0.75" right="0.75" top="1" bottom="1" header="0.5" footer="0.5"/>
  <pageSetup paperSize="1" orientation="portrait" horizontalDpi="300" verticalDpi="300"/>
  <headerFooter alignWithMargins="0" scaleWithDoc="0"/>
</worksheet>
</file>

<file path=xl/worksheets/sheet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18"/>
  <sheetViews>
    <sheetView zoomScaleSheetLayoutView="60" workbookViewId="0">
      <pane ySplit="2" topLeftCell="A80" activePane="bottomLeft" state="frozen"/>
      <selection/>
      <selection pane="bottomLeft" activeCell="A1" sqref="A1"/>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96" t="str">
        <f>HYPERLINK("#表结构清单!A1","返回")</f>
        <v>返回</v>
      </c>
      <c r="B1" t="s">
        <v>284</v>
      </c>
    </row>
    <row r="2" spans="2:10">
      <c r="B2" s="13" t="s">
        <v>15982</v>
      </c>
      <c r="C2" s="13" t="s">
        <v>297</v>
      </c>
      <c r="D2" s="13" t="s">
        <v>11870</v>
      </c>
      <c r="E2" s="13" t="s">
        <v>15983</v>
      </c>
      <c r="F2" s="13" t="s">
        <v>15984</v>
      </c>
      <c r="G2" s="13" t="s">
        <v>300</v>
      </c>
      <c r="H2" s="13" t="s">
        <v>301</v>
      </c>
      <c r="I2" s="13" t="s">
        <v>15985</v>
      </c>
      <c r="J2" s="13" t="s">
        <v>15986</v>
      </c>
    </row>
    <row r="3" spans="2:10">
      <c r="B3" s="15" t="s">
        <v>18201</v>
      </c>
      <c r="C3" s="15" t="s">
        <v>16103</v>
      </c>
      <c r="D3" s="15" t="s">
        <v>316</v>
      </c>
      <c r="E3" s="15" t="s">
        <v>15989</v>
      </c>
      <c r="F3" s="15" t="s">
        <v>16986</v>
      </c>
      <c r="G3" s="15"/>
      <c r="H3" s="15"/>
      <c r="I3" s="15" t="s">
        <v>528</v>
      </c>
      <c r="J3" s="15" t="s">
        <v>15991</v>
      </c>
    </row>
    <row r="4" spans="2:10">
      <c r="B4" s="15" t="s">
        <v>18201</v>
      </c>
      <c r="C4" s="15" t="s">
        <v>18202</v>
      </c>
      <c r="D4" s="15" t="s">
        <v>316</v>
      </c>
      <c r="E4" s="15" t="s">
        <v>305</v>
      </c>
      <c r="F4" s="20" t="s">
        <v>18203</v>
      </c>
      <c r="G4" s="15"/>
      <c r="H4" s="15"/>
      <c r="I4" s="15" t="s">
        <v>528</v>
      </c>
      <c r="J4" s="15" t="s">
        <v>15991</v>
      </c>
    </row>
    <row r="5" ht="16.8" spans="2:12">
      <c r="B5" s="15" t="s">
        <v>18201</v>
      </c>
      <c r="C5" s="15" t="s">
        <v>18204</v>
      </c>
      <c r="D5" s="15" t="s">
        <v>316</v>
      </c>
      <c r="E5" s="15" t="s">
        <v>305</v>
      </c>
      <c r="F5" s="15" t="s">
        <v>18205</v>
      </c>
      <c r="G5" s="15"/>
      <c r="H5" s="15"/>
      <c r="I5" s="15" t="s">
        <v>528</v>
      </c>
      <c r="J5" s="15" t="s">
        <v>15991</v>
      </c>
      <c r="L5" s="79" t="str">
        <f>HYPERLINK("#CLR_INFO!A1","CLR_INFO")</f>
        <v>CLR_INFO</v>
      </c>
    </row>
    <row r="6" spans="2:10">
      <c r="B6" s="15" t="s">
        <v>18201</v>
      </c>
      <c r="C6" s="15" t="s">
        <v>18206</v>
      </c>
      <c r="D6" s="15" t="s">
        <v>316</v>
      </c>
      <c r="E6" s="15" t="s">
        <v>305</v>
      </c>
      <c r="F6" s="15" t="s">
        <v>18207</v>
      </c>
      <c r="G6" s="15"/>
      <c r="H6" s="15"/>
      <c r="I6" s="15" t="s">
        <v>528</v>
      </c>
      <c r="J6" s="15" t="s">
        <v>15991</v>
      </c>
    </row>
    <row r="7" spans="2:10">
      <c r="B7" s="15" t="s">
        <v>18201</v>
      </c>
      <c r="C7" s="15" t="s">
        <v>18208</v>
      </c>
      <c r="D7" s="15" t="s">
        <v>506</v>
      </c>
      <c r="E7" s="15" t="s">
        <v>305</v>
      </c>
      <c r="F7" s="15" t="s">
        <v>18209</v>
      </c>
      <c r="G7" s="15"/>
      <c r="H7" s="15"/>
      <c r="I7" s="15" t="s">
        <v>528</v>
      </c>
      <c r="J7" s="15" t="s">
        <v>15991</v>
      </c>
    </row>
    <row r="8" spans="2:10">
      <c r="B8" s="15" t="s">
        <v>18201</v>
      </c>
      <c r="C8" s="15" t="s">
        <v>18210</v>
      </c>
      <c r="D8" s="15" t="s">
        <v>506</v>
      </c>
      <c r="E8" s="15" t="s">
        <v>305</v>
      </c>
      <c r="F8" s="15" t="s">
        <v>18211</v>
      </c>
      <c r="G8" s="15"/>
      <c r="H8" s="15"/>
      <c r="I8" s="15" t="s">
        <v>528</v>
      </c>
      <c r="J8" s="15" t="s">
        <v>15991</v>
      </c>
    </row>
    <row r="9" spans="2:10">
      <c r="B9" s="15" t="s">
        <v>18201</v>
      </c>
      <c r="C9" s="15" t="s">
        <v>18212</v>
      </c>
      <c r="D9" s="15" t="s">
        <v>506</v>
      </c>
      <c r="E9" s="15" t="s">
        <v>305</v>
      </c>
      <c r="F9" s="15" t="s">
        <v>18213</v>
      </c>
      <c r="G9" s="15"/>
      <c r="H9" s="15"/>
      <c r="I9" s="15" t="s">
        <v>528</v>
      </c>
      <c r="J9" s="15" t="s">
        <v>15991</v>
      </c>
    </row>
    <row r="10" spans="2:10">
      <c r="B10" s="15" t="s">
        <v>18201</v>
      </c>
      <c r="C10" s="15" t="s">
        <v>18214</v>
      </c>
      <c r="D10" s="15" t="s">
        <v>327</v>
      </c>
      <c r="E10" s="15" t="s">
        <v>305</v>
      </c>
      <c r="F10" s="15" t="s">
        <v>18215</v>
      </c>
      <c r="G10" s="15"/>
      <c r="H10" s="15"/>
      <c r="I10" s="15" t="s">
        <v>528</v>
      </c>
      <c r="J10" s="15" t="s">
        <v>15991</v>
      </c>
    </row>
    <row r="11" spans="2:10">
      <c r="B11" s="15" t="s">
        <v>18201</v>
      </c>
      <c r="C11" s="15" t="s">
        <v>18216</v>
      </c>
      <c r="D11" s="15" t="s">
        <v>327</v>
      </c>
      <c r="E11" s="15" t="s">
        <v>305</v>
      </c>
      <c r="F11" s="15" t="s">
        <v>18217</v>
      </c>
      <c r="G11" s="15"/>
      <c r="H11" s="15"/>
      <c r="I11" s="15" t="s">
        <v>528</v>
      </c>
      <c r="J11" s="15" t="s">
        <v>15991</v>
      </c>
    </row>
    <row r="12" spans="2:10">
      <c r="B12" s="15" t="s">
        <v>18201</v>
      </c>
      <c r="C12" s="15" t="s">
        <v>18218</v>
      </c>
      <c r="D12" s="15" t="s">
        <v>321</v>
      </c>
      <c r="E12" s="15" t="s">
        <v>305</v>
      </c>
      <c r="F12" s="15" t="s">
        <v>582</v>
      </c>
      <c r="G12" s="61" t="str">
        <f>HYPERLINK("#码值映射清单!B7953","TelecomScope")</f>
        <v>TelecomScope</v>
      </c>
      <c r="H12" s="15"/>
      <c r="I12" s="15" t="s">
        <v>528</v>
      </c>
      <c r="J12" s="15" t="s">
        <v>15991</v>
      </c>
    </row>
    <row r="13" spans="2:10">
      <c r="B13" s="15" t="s">
        <v>18201</v>
      </c>
      <c r="C13" s="15" t="s">
        <v>18219</v>
      </c>
      <c r="D13" s="15" t="s">
        <v>506</v>
      </c>
      <c r="E13" s="15" t="s">
        <v>305</v>
      </c>
      <c r="F13" s="15" t="s">
        <v>18220</v>
      </c>
      <c r="G13" s="15"/>
      <c r="H13" s="15"/>
      <c r="I13" s="15" t="s">
        <v>528</v>
      </c>
      <c r="J13" s="15" t="s">
        <v>15991</v>
      </c>
    </row>
    <row r="14" spans="2:10">
      <c r="B14" s="15" t="s">
        <v>18201</v>
      </c>
      <c r="C14" s="15" t="s">
        <v>18221</v>
      </c>
      <c r="D14" s="15" t="s">
        <v>316</v>
      </c>
      <c r="E14" s="15" t="s">
        <v>305</v>
      </c>
      <c r="F14" s="20" t="s">
        <v>18222</v>
      </c>
      <c r="G14" s="15"/>
      <c r="H14" s="15"/>
      <c r="I14" s="15" t="s">
        <v>528</v>
      </c>
      <c r="J14" s="15" t="s">
        <v>15991</v>
      </c>
    </row>
    <row r="15" spans="2:10">
      <c r="B15" s="15" t="s">
        <v>18201</v>
      </c>
      <c r="C15" s="15" t="s">
        <v>18223</v>
      </c>
      <c r="D15" s="15" t="s">
        <v>506</v>
      </c>
      <c r="E15" s="15" t="s">
        <v>305</v>
      </c>
      <c r="F15" s="20" t="s">
        <v>18224</v>
      </c>
      <c r="G15" s="15"/>
      <c r="H15" s="15"/>
      <c r="I15" s="15" t="s">
        <v>528</v>
      </c>
      <c r="J15" s="15" t="s">
        <v>15991</v>
      </c>
    </row>
    <row r="16" spans="2:10">
      <c r="B16" s="15" t="s">
        <v>18201</v>
      </c>
      <c r="C16" s="15" t="s">
        <v>512</v>
      </c>
      <c r="D16" s="15" t="s">
        <v>513</v>
      </c>
      <c r="E16" s="15" t="s">
        <v>305</v>
      </c>
      <c r="F16" s="15" t="s">
        <v>334</v>
      </c>
      <c r="G16" s="52" t="str">
        <f>HYPERLINK("#码值映射清单!B2469","Currency")</f>
        <v>Currency</v>
      </c>
      <c r="H16" s="15"/>
      <c r="I16" s="15" t="s">
        <v>528</v>
      </c>
      <c r="J16" s="15" t="s">
        <v>15991</v>
      </c>
    </row>
    <row r="17" spans="2:10">
      <c r="B17" s="15" t="s">
        <v>18201</v>
      </c>
      <c r="C17" s="15" t="s">
        <v>18225</v>
      </c>
      <c r="D17" s="15" t="s">
        <v>350</v>
      </c>
      <c r="E17" s="15" t="s">
        <v>305</v>
      </c>
      <c r="F17" s="20" t="s">
        <v>18226</v>
      </c>
      <c r="G17" s="15"/>
      <c r="H17" s="15"/>
      <c r="I17" s="15" t="s">
        <v>528</v>
      </c>
      <c r="J17" s="15" t="s">
        <v>15991</v>
      </c>
    </row>
    <row r="18" spans="2:10">
      <c r="B18" s="15" t="s">
        <v>18201</v>
      </c>
      <c r="C18" s="15" t="s">
        <v>18227</v>
      </c>
      <c r="D18" s="15" t="s">
        <v>16557</v>
      </c>
      <c r="E18" s="15" t="s">
        <v>305</v>
      </c>
      <c r="F18" s="15" t="s">
        <v>18228</v>
      </c>
      <c r="G18" s="15"/>
      <c r="H18" s="15"/>
      <c r="I18" s="15" t="s">
        <v>528</v>
      </c>
      <c r="J18" s="15" t="s">
        <v>15991</v>
      </c>
    </row>
    <row r="19" spans="2:10">
      <c r="B19" s="15" t="s">
        <v>18201</v>
      </c>
      <c r="C19" s="15" t="s">
        <v>18229</v>
      </c>
      <c r="D19" s="15" t="s">
        <v>327</v>
      </c>
      <c r="E19" s="15" t="s">
        <v>305</v>
      </c>
      <c r="F19" s="15" t="s">
        <v>18230</v>
      </c>
      <c r="G19" s="15"/>
      <c r="H19" s="15"/>
      <c r="I19" s="15" t="s">
        <v>528</v>
      </c>
      <c r="J19" s="15" t="s">
        <v>15991</v>
      </c>
    </row>
    <row r="20" spans="2:10">
      <c r="B20" s="15" t="s">
        <v>18201</v>
      </c>
      <c r="C20" s="15" t="s">
        <v>18231</v>
      </c>
      <c r="D20" s="15" t="s">
        <v>327</v>
      </c>
      <c r="E20" s="15" t="s">
        <v>305</v>
      </c>
      <c r="F20" s="15" t="s">
        <v>18232</v>
      </c>
      <c r="G20" s="15"/>
      <c r="H20" s="15"/>
      <c r="I20" s="15" t="s">
        <v>528</v>
      </c>
      <c r="J20" s="15" t="s">
        <v>15991</v>
      </c>
    </row>
    <row r="21" spans="2:10">
      <c r="B21" s="15" t="s">
        <v>18201</v>
      </c>
      <c r="C21" s="15" t="s">
        <v>18233</v>
      </c>
      <c r="D21" s="15" t="s">
        <v>506</v>
      </c>
      <c r="E21" s="15" t="s">
        <v>305</v>
      </c>
      <c r="F21" s="20" t="s">
        <v>18234</v>
      </c>
      <c r="G21" s="15"/>
      <c r="H21" s="15"/>
      <c r="I21" s="15" t="s">
        <v>528</v>
      </c>
      <c r="J21" s="15" t="s">
        <v>15991</v>
      </c>
    </row>
    <row r="22" spans="2:10">
      <c r="B22" s="15" t="s">
        <v>18201</v>
      </c>
      <c r="C22" s="15" t="s">
        <v>18235</v>
      </c>
      <c r="D22" s="15" t="s">
        <v>506</v>
      </c>
      <c r="E22" s="15" t="s">
        <v>305</v>
      </c>
      <c r="F22" s="20" t="s">
        <v>18236</v>
      </c>
      <c r="G22" s="15"/>
      <c r="H22" s="15"/>
      <c r="I22" s="15" t="s">
        <v>528</v>
      </c>
      <c r="J22" s="15" t="s">
        <v>15991</v>
      </c>
    </row>
    <row r="23" spans="2:10">
      <c r="B23" s="15" t="s">
        <v>18201</v>
      </c>
      <c r="C23" s="15" t="s">
        <v>18237</v>
      </c>
      <c r="D23" s="15" t="s">
        <v>17036</v>
      </c>
      <c r="E23" s="15" t="s">
        <v>305</v>
      </c>
      <c r="F23" s="43" t="s">
        <v>18238</v>
      </c>
      <c r="G23" s="15"/>
      <c r="H23" s="20" t="s">
        <v>18239</v>
      </c>
      <c r="I23" s="15" t="s">
        <v>528</v>
      </c>
      <c r="J23" s="15" t="s">
        <v>15991</v>
      </c>
    </row>
    <row r="24" spans="2:10">
      <c r="B24" s="15" t="s">
        <v>18201</v>
      </c>
      <c r="C24" s="15" t="s">
        <v>18240</v>
      </c>
      <c r="D24" s="15" t="s">
        <v>321</v>
      </c>
      <c r="E24" s="15" t="s">
        <v>305</v>
      </c>
      <c r="F24" s="15" t="s">
        <v>18241</v>
      </c>
      <c r="G24" s="15"/>
      <c r="H24" s="15"/>
      <c r="I24" s="15" t="s">
        <v>528</v>
      </c>
      <c r="J24" s="15" t="s">
        <v>15991</v>
      </c>
    </row>
    <row r="25" spans="2:10">
      <c r="B25" s="15" t="s">
        <v>18201</v>
      </c>
      <c r="C25" s="15" t="s">
        <v>18242</v>
      </c>
      <c r="D25" s="15" t="s">
        <v>321</v>
      </c>
      <c r="E25" s="15" t="s">
        <v>305</v>
      </c>
      <c r="F25" s="15" t="s">
        <v>18243</v>
      </c>
      <c r="G25" s="52" t="str">
        <f>HYPERLINK("#码值映射清单!B9764","RoadType")</f>
        <v>RoadType</v>
      </c>
      <c r="H25" s="15"/>
      <c r="I25" s="15" t="s">
        <v>528</v>
      </c>
      <c r="J25" s="15" t="s">
        <v>15991</v>
      </c>
    </row>
    <row r="26" spans="2:10">
      <c r="B26" s="15" t="s">
        <v>18201</v>
      </c>
      <c r="C26" s="15" t="s">
        <v>16058</v>
      </c>
      <c r="D26" s="15" t="s">
        <v>327</v>
      </c>
      <c r="E26" s="15" t="s">
        <v>305</v>
      </c>
      <c r="F26" s="20" t="s">
        <v>18244</v>
      </c>
      <c r="G26" s="52" t="str">
        <f>HYPERLINK("#码值映射清单!B2635","BusinessScope")</f>
        <v>BusinessScope</v>
      </c>
      <c r="H26" s="15"/>
      <c r="I26" s="15" t="s">
        <v>528</v>
      </c>
      <c r="J26" s="15" t="s">
        <v>15991</v>
      </c>
    </row>
    <row r="27" spans="2:10">
      <c r="B27" s="15" t="s">
        <v>18201</v>
      </c>
      <c r="C27" s="15" t="s">
        <v>18245</v>
      </c>
      <c r="D27" s="15" t="s">
        <v>16557</v>
      </c>
      <c r="E27" s="15" t="s">
        <v>305</v>
      </c>
      <c r="F27" s="15" t="s">
        <v>18246</v>
      </c>
      <c r="G27" s="15"/>
      <c r="H27" s="15"/>
      <c r="I27" s="15" t="s">
        <v>528</v>
      </c>
      <c r="J27" s="15" t="s">
        <v>15991</v>
      </c>
    </row>
    <row r="28" spans="2:10">
      <c r="B28" s="15" t="s">
        <v>18201</v>
      </c>
      <c r="C28" s="15" t="s">
        <v>18247</v>
      </c>
      <c r="D28" s="15" t="s">
        <v>16557</v>
      </c>
      <c r="E28" s="15" t="s">
        <v>305</v>
      </c>
      <c r="F28" s="15" t="s">
        <v>18248</v>
      </c>
      <c r="G28" s="15"/>
      <c r="H28" s="15"/>
      <c r="I28" s="15" t="s">
        <v>528</v>
      </c>
      <c r="J28" s="15" t="s">
        <v>15991</v>
      </c>
    </row>
    <row r="29" spans="2:10">
      <c r="B29" s="15" t="s">
        <v>18201</v>
      </c>
      <c r="C29" s="15" t="s">
        <v>18249</v>
      </c>
      <c r="D29" s="15" t="s">
        <v>321</v>
      </c>
      <c r="E29" s="15" t="s">
        <v>305</v>
      </c>
      <c r="F29" s="15" t="s">
        <v>18250</v>
      </c>
      <c r="G29" s="52" t="str">
        <f>HYPERLINK("#码值映射清单!B3599","RoadLevel")</f>
        <v>RoadLevel</v>
      </c>
      <c r="H29" s="15"/>
      <c r="I29" s="15" t="s">
        <v>528</v>
      </c>
      <c r="J29" s="15" t="s">
        <v>15991</v>
      </c>
    </row>
    <row r="30" spans="2:10">
      <c r="B30" s="15" t="s">
        <v>18201</v>
      </c>
      <c r="C30" s="15" t="s">
        <v>18251</v>
      </c>
      <c r="D30" s="15" t="s">
        <v>327</v>
      </c>
      <c r="E30" s="15" t="s">
        <v>305</v>
      </c>
      <c r="F30" s="20" t="s">
        <v>18252</v>
      </c>
      <c r="G30" s="15"/>
      <c r="H30" s="15"/>
      <c r="I30" s="15" t="s">
        <v>528</v>
      </c>
      <c r="J30" s="15" t="s">
        <v>15991</v>
      </c>
    </row>
    <row r="31" spans="2:10">
      <c r="B31" s="15" t="s">
        <v>18201</v>
      </c>
      <c r="C31" s="15" t="s">
        <v>18253</v>
      </c>
      <c r="D31" s="15" t="s">
        <v>327</v>
      </c>
      <c r="E31" s="15" t="s">
        <v>305</v>
      </c>
      <c r="F31" s="20" t="s">
        <v>18254</v>
      </c>
      <c r="G31" s="15"/>
      <c r="H31" s="15"/>
      <c r="I31" s="15" t="s">
        <v>528</v>
      </c>
      <c r="J31" s="15" t="s">
        <v>15991</v>
      </c>
    </row>
    <row r="32" spans="2:10">
      <c r="B32" s="15" t="s">
        <v>18201</v>
      </c>
      <c r="C32" s="15" t="s">
        <v>18255</v>
      </c>
      <c r="D32" s="15" t="s">
        <v>327</v>
      </c>
      <c r="E32" s="15" t="s">
        <v>305</v>
      </c>
      <c r="F32" s="15" t="s">
        <v>18256</v>
      </c>
      <c r="G32" s="15"/>
      <c r="H32" s="15"/>
      <c r="I32" s="15" t="s">
        <v>528</v>
      </c>
      <c r="J32" s="15" t="s">
        <v>15991</v>
      </c>
    </row>
    <row r="33" spans="2:10">
      <c r="B33" s="15" t="s">
        <v>18201</v>
      </c>
      <c r="C33" s="15" t="s">
        <v>18257</v>
      </c>
      <c r="D33" s="15" t="s">
        <v>327</v>
      </c>
      <c r="E33" s="15" t="s">
        <v>305</v>
      </c>
      <c r="F33" s="15" t="s">
        <v>10863</v>
      </c>
      <c r="G33" s="15"/>
      <c r="H33" s="15"/>
      <c r="I33" s="15" t="s">
        <v>528</v>
      </c>
      <c r="J33" s="15" t="s">
        <v>15991</v>
      </c>
    </row>
    <row r="34" spans="2:10">
      <c r="B34" s="15" t="s">
        <v>18201</v>
      </c>
      <c r="C34" s="15" t="s">
        <v>18258</v>
      </c>
      <c r="D34" s="15" t="s">
        <v>506</v>
      </c>
      <c r="E34" s="15" t="s">
        <v>305</v>
      </c>
      <c r="F34" s="20" t="s">
        <v>18259</v>
      </c>
      <c r="G34" s="15"/>
      <c r="H34" s="15"/>
      <c r="I34" s="15" t="s">
        <v>528</v>
      </c>
      <c r="J34" s="15" t="s">
        <v>15991</v>
      </c>
    </row>
    <row r="35" spans="2:10">
      <c r="B35" s="15" t="s">
        <v>18201</v>
      </c>
      <c r="C35" s="15" t="s">
        <v>18260</v>
      </c>
      <c r="D35" s="15" t="s">
        <v>506</v>
      </c>
      <c r="E35" s="15" t="s">
        <v>305</v>
      </c>
      <c r="F35" s="20" t="s">
        <v>18261</v>
      </c>
      <c r="G35" s="15"/>
      <c r="H35" s="15"/>
      <c r="I35" s="15" t="s">
        <v>528</v>
      </c>
      <c r="J35" s="15" t="s">
        <v>15991</v>
      </c>
    </row>
    <row r="36" spans="2:10">
      <c r="B36" s="15" t="s">
        <v>18201</v>
      </c>
      <c r="C36" s="15" t="s">
        <v>18262</v>
      </c>
      <c r="D36" s="15" t="s">
        <v>506</v>
      </c>
      <c r="E36" s="15" t="s">
        <v>305</v>
      </c>
      <c r="F36" s="20" t="s">
        <v>18263</v>
      </c>
      <c r="G36" s="15"/>
      <c r="H36" s="15"/>
      <c r="I36" s="15" t="s">
        <v>528</v>
      </c>
      <c r="J36" s="15" t="s">
        <v>15991</v>
      </c>
    </row>
    <row r="37" spans="2:10">
      <c r="B37" s="15" t="s">
        <v>18201</v>
      </c>
      <c r="C37" s="15" t="s">
        <v>18264</v>
      </c>
      <c r="D37" s="15" t="s">
        <v>506</v>
      </c>
      <c r="E37" s="15" t="s">
        <v>305</v>
      </c>
      <c r="F37" s="20" t="s">
        <v>18265</v>
      </c>
      <c r="G37" s="15"/>
      <c r="H37" s="15"/>
      <c r="I37" s="15" t="s">
        <v>528</v>
      </c>
      <c r="J37" s="15" t="s">
        <v>15991</v>
      </c>
    </row>
    <row r="38" spans="2:10">
      <c r="B38" s="15" t="s">
        <v>18201</v>
      </c>
      <c r="C38" s="15" t="s">
        <v>18266</v>
      </c>
      <c r="D38" s="15" t="s">
        <v>506</v>
      </c>
      <c r="E38" s="15" t="s">
        <v>305</v>
      </c>
      <c r="F38" s="15" t="s">
        <v>18267</v>
      </c>
      <c r="G38" s="15"/>
      <c r="H38" s="15"/>
      <c r="I38" s="15" t="s">
        <v>528</v>
      </c>
      <c r="J38" s="15" t="s">
        <v>15991</v>
      </c>
    </row>
    <row r="39" spans="2:10">
      <c r="B39" s="15" t="s">
        <v>18201</v>
      </c>
      <c r="C39" s="15" t="s">
        <v>18268</v>
      </c>
      <c r="D39" s="15" t="s">
        <v>327</v>
      </c>
      <c r="E39" s="15" t="s">
        <v>305</v>
      </c>
      <c r="F39" s="20" t="s">
        <v>18269</v>
      </c>
      <c r="G39" s="15"/>
      <c r="H39" s="15"/>
      <c r="I39" s="15" t="s">
        <v>528</v>
      </c>
      <c r="J39" s="15" t="s">
        <v>15991</v>
      </c>
    </row>
    <row r="40" spans="2:10">
      <c r="B40" s="15" t="s">
        <v>18201</v>
      </c>
      <c r="C40" s="15" t="s">
        <v>18270</v>
      </c>
      <c r="D40" s="15" t="s">
        <v>16557</v>
      </c>
      <c r="E40" s="15" t="s">
        <v>305</v>
      </c>
      <c r="F40" s="15" t="s">
        <v>18271</v>
      </c>
      <c r="G40" s="15"/>
      <c r="H40" s="15"/>
      <c r="I40" s="15" t="s">
        <v>528</v>
      </c>
      <c r="J40" s="15" t="s">
        <v>15991</v>
      </c>
    </row>
    <row r="41" spans="2:10">
      <c r="B41" s="15" t="s">
        <v>18201</v>
      </c>
      <c r="C41" s="15" t="s">
        <v>18272</v>
      </c>
      <c r="D41" s="15" t="s">
        <v>16557</v>
      </c>
      <c r="E41" s="15" t="s">
        <v>305</v>
      </c>
      <c r="F41" s="15" t="s">
        <v>18273</v>
      </c>
      <c r="G41" s="15"/>
      <c r="H41" s="15"/>
      <c r="I41" s="15" t="s">
        <v>528</v>
      </c>
      <c r="J41" s="15" t="s">
        <v>15991</v>
      </c>
    </row>
    <row r="42" spans="2:10">
      <c r="B42" s="15" t="s">
        <v>18201</v>
      </c>
      <c r="C42" s="15" t="s">
        <v>18274</v>
      </c>
      <c r="D42" s="15" t="s">
        <v>371</v>
      </c>
      <c r="E42" s="15" t="s">
        <v>305</v>
      </c>
      <c r="F42" s="15" t="s">
        <v>18275</v>
      </c>
      <c r="G42" s="15"/>
      <c r="H42" s="15"/>
      <c r="I42" s="15" t="s">
        <v>528</v>
      </c>
      <c r="J42" s="15" t="s">
        <v>15991</v>
      </c>
    </row>
    <row r="43" spans="2:10">
      <c r="B43" s="15" t="s">
        <v>18201</v>
      </c>
      <c r="C43" s="15" t="s">
        <v>18276</v>
      </c>
      <c r="D43" s="15" t="s">
        <v>327</v>
      </c>
      <c r="E43" s="15" t="s">
        <v>305</v>
      </c>
      <c r="F43" s="15" t="s">
        <v>18277</v>
      </c>
      <c r="G43" s="15"/>
      <c r="H43" s="15"/>
      <c r="I43" s="15" t="s">
        <v>528</v>
      </c>
      <c r="J43" s="15" t="s">
        <v>15991</v>
      </c>
    </row>
    <row r="44" spans="2:10">
      <c r="B44" s="15" t="s">
        <v>18201</v>
      </c>
      <c r="C44" s="15" t="s">
        <v>16947</v>
      </c>
      <c r="D44" s="15" t="s">
        <v>371</v>
      </c>
      <c r="E44" s="15" t="s">
        <v>305</v>
      </c>
      <c r="F44" s="49" t="s">
        <v>18278</v>
      </c>
      <c r="G44" s="15"/>
      <c r="H44" s="15"/>
      <c r="I44" s="15" t="s">
        <v>528</v>
      </c>
      <c r="J44" s="15" t="s">
        <v>15991</v>
      </c>
    </row>
    <row r="45" spans="2:10">
      <c r="B45" s="15" t="s">
        <v>18201</v>
      </c>
      <c r="C45" s="15" t="s">
        <v>18279</v>
      </c>
      <c r="D45" s="15" t="s">
        <v>371</v>
      </c>
      <c r="E45" s="15" t="s">
        <v>305</v>
      </c>
      <c r="F45" s="20" t="s">
        <v>18280</v>
      </c>
      <c r="G45" s="15"/>
      <c r="H45" s="15"/>
      <c r="I45" s="15" t="s">
        <v>528</v>
      </c>
      <c r="J45" s="15" t="s">
        <v>15991</v>
      </c>
    </row>
    <row r="46" spans="2:10">
      <c r="B46" s="15" t="s">
        <v>18201</v>
      </c>
      <c r="C46" s="15" t="s">
        <v>18281</v>
      </c>
      <c r="D46" s="15" t="s">
        <v>316</v>
      </c>
      <c r="E46" s="15" t="s">
        <v>305</v>
      </c>
      <c r="F46" s="15" t="s">
        <v>18282</v>
      </c>
      <c r="G46" s="15"/>
      <c r="H46" s="15"/>
      <c r="I46" s="15" t="s">
        <v>528</v>
      </c>
      <c r="J46" s="15" t="s">
        <v>15991</v>
      </c>
    </row>
    <row r="47" spans="2:10">
      <c r="B47" s="15" t="s">
        <v>18201</v>
      </c>
      <c r="C47" s="15" t="s">
        <v>18283</v>
      </c>
      <c r="D47" s="15" t="s">
        <v>371</v>
      </c>
      <c r="E47" s="15" t="s">
        <v>305</v>
      </c>
      <c r="F47" s="15" t="s">
        <v>18284</v>
      </c>
      <c r="G47" s="15"/>
      <c r="H47" s="15"/>
      <c r="I47" s="15" t="s">
        <v>528</v>
      </c>
      <c r="J47" s="15" t="s">
        <v>15991</v>
      </c>
    </row>
    <row r="48" spans="2:10">
      <c r="B48" s="15" t="s">
        <v>18201</v>
      </c>
      <c r="C48" s="15" t="s">
        <v>18285</v>
      </c>
      <c r="D48" s="15" t="s">
        <v>371</v>
      </c>
      <c r="E48" s="15" t="s">
        <v>305</v>
      </c>
      <c r="F48" s="15" t="s">
        <v>18286</v>
      </c>
      <c r="G48" s="15"/>
      <c r="H48" s="15"/>
      <c r="I48" s="15" t="s">
        <v>528</v>
      </c>
      <c r="J48" s="15" t="s">
        <v>15991</v>
      </c>
    </row>
    <row r="49" spans="2:10">
      <c r="B49" s="15" t="s">
        <v>18201</v>
      </c>
      <c r="C49" s="15" t="s">
        <v>18287</v>
      </c>
      <c r="D49" s="15" t="s">
        <v>327</v>
      </c>
      <c r="E49" s="15" t="s">
        <v>305</v>
      </c>
      <c r="F49" s="15" t="s">
        <v>18288</v>
      </c>
      <c r="G49" s="15"/>
      <c r="H49" s="15"/>
      <c r="I49" s="15" t="s">
        <v>528</v>
      </c>
      <c r="J49" s="15" t="s">
        <v>15991</v>
      </c>
    </row>
    <row r="50" spans="2:10">
      <c r="B50" s="15" t="s">
        <v>18201</v>
      </c>
      <c r="C50" s="15" t="s">
        <v>18289</v>
      </c>
      <c r="D50" s="15" t="s">
        <v>16072</v>
      </c>
      <c r="E50" s="15" t="s">
        <v>305</v>
      </c>
      <c r="F50" s="15" t="s">
        <v>18290</v>
      </c>
      <c r="G50" s="52" t="str">
        <f t="shared" ref="G50:G69" si="0">HYPERLINK("#码值映射清单!B5150","YesNo")</f>
        <v>YesNo</v>
      </c>
      <c r="H50" s="15"/>
      <c r="I50" s="15" t="s">
        <v>528</v>
      </c>
      <c r="J50" s="15" t="s">
        <v>15991</v>
      </c>
    </row>
    <row r="51" spans="2:10">
      <c r="B51" s="15" t="s">
        <v>18201</v>
      </c>
      <c r="C51" s="15" t="s">
        <v>18291</v>
      </c>
      <c r="D51" s="15" t="s">
        <v>16072</v>
      </c>
      <c r="E51" s="15" t="s">
        <v>305</v>
      </c>
      <c r="F51" s="15" t="s">
        <v>18292</v>
      </c>
      <c r="G51" s="52" t="str">
        <f t="shared" si="0"/>
        <v>YesNo</v>
      </c>
      <c r="H51" s="15"/>
      <c r="I51" s="15" t="s">
        <v>528</v>
      </c>
      <c r="J51" s="15" t="s">
        <v>15991</v>
      </c>
    </row>
    <row r="52" spans="2:10">
      <c r="B52" s="15" t="s">
        <v>18201</v>
      </c>
      <c r="C52" s="15" t="s">
        <v>18293</v>
      </c>
      <c r="D52" s="15" t="s">
        <v>16072</v>
      </c>
      <c r="E52" s="15" t="s">
        <v>305</v>
      </c>
      <c r="F52" s="15" t="s">
        <v>18294</v>
      </c>
      <c r="G52" s="52" t="str">
        <f t="shared" si="0"/>
        <v>YesNo</v>
      </c>
      <c r="H52" s="15"/>
      <c r="I52" s="15" t="s">
        <v>528</v>
      </c>
      <c r="J52" s="15" t="s">
        <v>15991</v>
      </c>
    </row>
    <row r="53" spans="2:10">
      <c r="B53" s="15" t="s">
        <v>18201</v>
      </c>
      <c r="C53" s="15" t="s">
        <v>18295</v>
      </c>
      <c r="D53" s="15" t="s">
        <v>16072</v>
      </c>
      <c r="E53" s="15" t="s">
        <v>305</v>
      </c>
      <c r="F53" s="15" t="s">
        <v>18296</v>
      </c>
      <c r="G53" s="52" t="str">
        <f t="shared" si="0"/>
        <v>YesNo</v>
      </c>
      <c r="H53" s="15"/>
      <c r="I53" s="15" t="s">
        <v>528</v>
      </c>
      <c r="J53" s="15" t="s">
        <v>15991</v>
      </c>
    </row>
    <row r="54" spans="2:10">
      <c r="B54" s="15" t="s">
        <v>18201</v>
      </c>
      <c r="C54" s="15" t="s">
        <v>18297</v>
      </c>
      <c r="D54" s="15" t="s">
        <v>16072</v>
      </c>
      <c r="E54" s="15" t="s">
        <v>305</v>
      </c>
      <c r="F54" s="15" t="s">
        <v>18298</v>
      </c>
      <c r="G54" s="52" t="str">
        <f t="shared" si="0"/>
        <v>YesNo</v>
      </c>
      <c r="H54" s="15"/>
      <c r="I54" s="15" t="s">
        <v>528</v>
      </c>
      <c r="J54" s="15" t="s">
        <v>15991</v>
      </c>
    </row>
    <row r="55" spans="2:10">
      <c r="B55" s="15" t="s">
        <v>18201</v>
      </c>
      <c r="C55" s="15" t="s">
        <v>18299</v>
      </c>
      <c r="D55" s="15" t="s">
        <v>16072</v>
      </c>
      <c r="E55" s="15" t="s">
        <v>305</v>
      </c>
      <c r="F55" s="15" t="s">
        <v>18300</v>
      </c>
      <c r="G55" s="52" t="str">
        <f t="shared" si="0"/>
        <v>YesNo</v>
      </c>
      <c r="H55" s="15"/>
      <c r="I55" s="15" t="s">
        <v>528</v>
      </c>
      <c r="J55" s="15" t="s">
        <v>15991</v>
      </c>
    </row>
    <row r="56" spans="2:10">
      <c r="B56" s="15" t="s">
        <v>18201</v>
      </c>
      <c r="C56" s="15" t="s">
        <v>18301</v>
      </c>
      <c r="D56" s="15" t="s">
        <v>16072</v>
      </c>
      <c r="E56" s="15" t="s">
        <v>305</v>
      </c>
      <c r="F56" s="15" t="s">
        <v>18302</v>
      </c>
      <c r="G56" s="52" t="str">
        <f t="shared" si="0"/>
        <v>YesNo</v>
      </c>
      <c r="H56" s="15"/>
      <c r="I56" s="15" t="s">
        <v>528</v>
      </c>
      <c r="J56" s="15" t="s">
        <v>15991</v>
      </c>
    </row>
    <row r="57" spans="2:10">
      <c r="B57" s="15" t="s">
        <v>18201</v>
      </c>
      <c r="C57" s="15" t="s">
        <v>18303</v>
      </c>
      <c r="D57" s="15" t="s">
        <v>16072</v>
      </c>
      <c r="E57" s="15" t="s">
        <v>305</v>
      </c>
      <c r="F57" s="15" t="s">
        <v>18304</v>
      </c>
      <c r="G57" s="52" t="str">
        <f t="shared" si="0"/>
        <v>YesNo</v>
      </c>
      <c r="H57" s="15"/>
      <c r="I57" s="15" t="s">
        <v>528</v>
      </c>
      <c r="J57" s="15" t="s">
        <v>15991</v>
      </c>
    </row>
    <row r="58" spans="2:10">
      <c r="B58" s="15" t="s">
        <v>18201</v>
      </c>
      <c r="C58" s="15" t="s">
        <v>18305</v>
      </c>
      <c r="D58" s="15" t="s">
        <v>16072</v>
      </c>
      <c r="E58" s="15" t="s">
        <v>305</v>
      </c>
      <c r="F58" s="15" t="s">
        <v>18306</v>
      </c>
      <c r="G58" s="52" t="str">
        <f t="shared" si="0"/>
        <v>YesNo</v>
      </c>
      <c r="H58" s="15"/>
      <c r="I58" s="15" t="s">
        <v>528</v>
      </c>
      <c r="J58" s="15" t="s">
        <v>15991</v>
      </c>
    </row>
    <row r="59" spans="2:10">
      <c r="B59" s="15" t="s">
        <v>18201</v>
      </c>
      <c r="C59" s="15" t="s">
        <v>18307</v>
      </c>
      <c r="D59" s="15" t="s">
        <v>16072</v>
      </c>
      <c r="E59" s="15" t="s">
        <v>305</v>
      </c>
      <c r="F59" s="15" t="s">
        <v>18308</v>
      </c>
      <c r="G59" s="52" t="str">
        <f t="shared" si="0"/>
        <v>YesNo</v>
      </c>
      <c r="H59" s="15"/>
      <c r="I59" s="15" t="s">
        <v>528</v>
      </c>
      <c r="J59" s="15" t="s">
        <v>15991</v>
      </c>
    </row>
    <row r="60" spans="2:10">
      <c r="B60" s="15" t="s">
        <v>18201</v>
      </c>
      <c r="C60" s="15" t="s">
        <v>18309</v>
      </c>
      <c r="D60" s="15" t="s">
        <v>16072</v>
      </c>
      <c r="E60" s="15" t="s">
        <v>305</v>
      </c>
      <c r="F60" s="15" t="s">
        <v>18310</v>
      </c>
      <c r="G60" s="52" t="str">
        <f t="shared" si="0"/>
        <v>YesNo</v>
      </c>
      <c r="H60" s="15"/>
      <c r="I60" s="15" t="s">
        <v>528</v>
      </c>
      <c r="J60" s="15" t="s">
        <v>15991</v>
      </c>
    </row>
    <row r="61" spans="2:10">
      <c r="B61" s="15" t="s">
        <v>18201</v>
      </c>
      <c r="C61" s="15" t="s">
        <v>18311</v>
      </c>
      <c r="D61" s="15" t="s">
        <v>16072</v>
      </c>
      <c r="E61" s="15" t="s">
        <v>305</v>
      </c>
      <c r="F61" s="15" t="s">
        <v>18312</v>
      </c>
      <c r="G61" s="52" t="str">
        <f t="shared" si="0"/>
        <v>YesNo</v>
      </c>
      <c r="H61" s="15"/>
      <c r="I61" s="15" t="s">
        <v>528</v>
      </c>
      <c r="J61" s="15" t="s">
        <v>15991</v>
      </c>
    </row>
    <row r="62" spans="2:10">
      <c r="B62" s="15" t="s">
        <v>18201</v>
      </c>
      <c r="C62" s="15" t="s">
        <v>18313</v>
      </c>
      <c r="D62" s="15" t="s">
        <v>16072</v>
      </c>
      <c r="E62" s="15" t="s">
        <v>305</v>
      </c>
      <c r="F62" s="15" t="s">
        <v>18314</v>
      </c>
      <c r="G62" s="52" t="str">
        <f t="shared" si="0"/>
        <v>YesNo</v>
      </c>
      <c r="H62" s="15"/>
      <c r="I62" s="15" t="s">
        <v>528</v>
      </c>
      <c r="J62" s="15" t="s">
        <v>15991</v>
      </c>
    </row>
    <row r="63" spans="2:10">
      <c r="B63" s="15" t="s">
        <v>18201</v>
      </c>
      <c r="C63" s="15" t="s">
        <v>18315</v>
      </c>
      <c r="D63" s="15" t="s">
        <v>16072</v>
      </c>
      <c r="E63" s="15" t="s">
        <v>305</v>
      </c>
      <c r="F63" s="15" t="s">
        <v>18316</v>
      </c>
      <c r="G63" s="52" t="str">
        <f t="shared" si="0"/>
        <v>YesNo</v>
      </c>
      <c r="H63" s="15"/>
      <c r="I63" s="15" t="s">
        <v>528</v>
      </c>
      <c r="J63" s="15" t="s">
        <v>15991</v>
      </c>
    </row>
    <row r="64" spans="2:10">
      <c r="B64" s="15" t="s">
        <v>18201</v>
      </c>
      <c r="C64" s="15" t="s">
        <v>18317</v>
      </c>
      <c r="D64" s="15" t="s">
        <v>16072</v>
      </c>
      <c r="E64" s="15" t="s">
        <v>305</v>
      </c>
      <c r="F64" s="15" t="s">
        <v>18318</v>
      </c>
      <c r="G64" s="52" t="str">
        <f t="shared" si="0"/>
        <v>YesNo</v>
      </c>
      <c r="H64" s="15"/>
      <c r="I64" s="15" t="s">
        <v>528</v>
      </c>
      <c r="J64" s="15" t="s">
        <v>15991</v>
      </c>
    </row>
    <row r="65" spans="2:10">
      <c r="B65" s="15" t="s">
        <v>18201</v>
      </c>
      <c r="C65" s="15" t="s">
        <v>18319</v>
      </c>
      <c r="D65" s="15" t="s">
        <v>16072</v>
      </c>
      <c r="E65" s="15" t="s">
        <v>305</v>
      </c>
      <c r="F65" s="15" t="s">
        <v>18320</v>
      </c>
      <c r="G65" s="52" t="str">
        <f t="shared" si="0"/>
        <v>YesNo</v>
      </c>
      <c r="H65" s="15"/>
      <c r="I65" s="15" t="s">
        <v>528</v>
      </c>
      <c r="J65" s="15" t="s">
        <v>15991</v>
      </c>
    </row>
    <row r="66" spans="2:10">
      <c r="B66" s="15" t="s">
        <v>18201</v>
      </c>
      <c r="C66" s="15" t="s">
        <v>18321</v>
      </c>
      <c r="D66" s="15" t="s">
        <v>16072</v>
      </c>
      <c r="E66" s="15" t="s">
        <v>305</v>
      </c>
      <c r="F66" s="15" t="s">
        <v>18322</v>
      </c>
      <c r="G66" s="52" t="str">
        <f t="shared" si="0"/>
        <v>YesNo</v>
      </c>
      <c r="H66" s="15"/>
      <c r="I66" s="15" t="s">
        <v>528</v>
      </c>
      <c r="J66" s="15" t="s">
        <v>15991</v>
      </c>
    </row>
    <row r="67" spans="2:10">
      <c r="B67" s="15" t="s">
        <v>18201</v>
      </c>
      <c r="C67" s="15" t="s">
        <v>18323</v>
      </c>
      <c r="D67" s="15" t="s">
        <v>16072</v>
      </c>
      <c r="E67" s="15" t="s">
        <v>305</v>
      </c>
      <c r="F67" s="15" t="s">
        <v>18324</v>
      </c>
      <c r="G67" s="52" t="str">
        <f t="shared" si="0"/>
        <v>YesNo</v>
      </c>
      <c r="H67" s="15"/>
      <c r="I67" s="15" t="s">
        <v>528</v>
      </c>
      <c r="J67" s="15" t="s">
        <v>15991</v>
      </c>
    </row>
    <row r="68" spans="2:10">
      <c r="B68" s="15" t="s">
        <v>18201</v>
      </c>
      <c r="C68" s="15" t="s">
        <v>18325</v>
      </c>
      <c r="D68" s="15" t="s">
        <v>16072</v>
      </c>
      <c r="E68" s="15" t="s">
        <v>305</v>
      </c>
      <c r="F68" s="15" t="s">
        <v>18326</v>
      </c>
      <c r="G68" s="52" t="str">
        <f t="shared" si="0"/>
        <v>YesNo</v>
      </c>
      <c r="H68" s="15"/>
      <c r="I68" s="15" t="s">
        <v>528</v>
      </c>
      <c r="J68" s="15" t="s">
        <v>15991</v>
      </c>
    </row>
    <row r="69" spans="2:10">
      <c r="B69" s="15" t="s">
        <v>18201</v>
      </c>
      <c r="C69" s="15" t="s">
        <v>18327</v>
      </c>
      <c r="D69" s="15" t="s">
        <v>16072</v>
      </c>
      <c r="E69" s="15" t="s">
        <v>305</v>
      </c>
      <c r="F69" s="15" t="s">
        <v>18328</v>
      </c>
      <c r="G69" s="52" t="str">
        <f t="shared" si="0"/>
        <v>YesNo</v>
      </c>
      <c r="H69" s="15"/>
      <c r="I69" s="15" t="s">
        <v>528</v>
      </c>
      <c r="J69" s="15" t="s">
        <v>15991</v>
      </c>
    </row>
    <row r="70" spans="2:10">
      <c r="B70" s="15" t="s">
        <v>18201</v>
      </c>
      <c r="C70" s="15" t="s">
        <v>18329</v>
      </c>
      <c r="D70" s="15" t="s">
        <v>16072</v>
      </c>
      <c r="E70" s="15" t="s">
        <v>305</v>
      </c>
      <c r="F70" s="15" t="s">
        <v>18330</v>
      </c>
      <c r="G70" s="15"/>
      <c r="H70" s="15"/>
      <c r="I70" s="15" t="s">
        <v>528</v>
      </c>
      <c r="J70" s="15" t="s">
        <v>15991</v>
      </c>
    </row>
    <row r="71" spans="2:10">
      <c r="B71" s="15" t="s">
        <v>18201</v>
      </c>
      <c r="C71" s="15" t="s">
        <v>18331</v>
      </c>
      <c r="D71" s="15" t="s">
        <v>16072</v>
      </c>
      <c r="E71" s="15" t="s">
        <v>305</v>
      </c>
      <c r="F71" s="15" t="s">
        <v>18332</v>
      </c>
      <c r="G71" s="52" t="str">
        <f>HYPERLINK("#码值映射清单!B5150","YesNo")</f>
        <v>YesNo</v>
      </c>
      <c r="H71" s="15"/>
      <c r="I71" s="15" t="s">
        <v>528</v>
      </c>
      <c r="J71" s="15" t="s">
        <v>15991</v>
      </c>
    </row>
    <row r="72" spans="2:10">
      <c r="B72" s="15" t="s">
        <v>18201</v>
      </c>
      <c r="C72" s="15" t="s">
        <v>18333</v>
      </c>
      <c r="D72" s="15" t="s">
        <v>16072</v>
      </c>
      <c r="E72" s="15" t="s">
        <v>305</v>
      </c>
      <c r="F72" s="15" t="s">
        <v>18334</v>
      </c>
      <c r="G72" s="52" t="str">
        <f>HYPERLINK("#码值映射清单!B5150","YesNo")</f>
        <v>YesNo</v>
      </c>
      <c r="H72" s="15"/>
      <c r="I72" s="15" t="s">
        <v>528</v>
      </c>
      <c r="J72" s="15" t="s">
        <v>15991</v>
      </c>
    </row>
    <row r="73" spans="2:10">
      <c r="B73" s="15" t="s">
        <v>18201</v>
      </c>
      <c r="C73" s="15" t="s">
        <v>18335</v>
      </c>
      <c r="D73" s="15" t="s">
        <v>16072</v>
      </c>
      <c r="E73" s="15" t="s">
        <v>305</v>
      </c>
      <c r="F73" s="15" t="s">
        <v>18336</v>
      </c>
      <c r="G73" s="52" t="str">
        <f>HYPERLINK("#码值映射清单!B5150","YesNo")</f>
        <v>YesNo</v>
      </c>
      <c r="H73" s="15"/>
      <c r="I73" s="15" t="s">
        <v>528</v>
      </c>
      <c r="J73" s="15" t="s">
        <v>15991</v>
      </c>
    </row>
    <row r="74" spans="2:10">
      <c r="B74" s="15" t="s">
        <v>18201</v>
      </c>
      <c r="C74" s="15" t="s">
        <v>18337</v>
      </c>
      <c r="D74" s="15" t="s">
        <v>16072</v>
      </c>
      <c r="E74" s="15" t="s">
        <v>305</v>
      </c>
      <c r="F74" s="15" t="s">
        <v>18338</v>
      </c>
      <c r="G74" s="52" t="str">
        <f>HYPERLINK("#码值映射清单!B5150","YesNo")</f>
        <v>YesNo</v>
      </c>
      <c r="H74" s="15"/>
      <c r="I74" s="15" t="s">
        <v>528</v>
      </c>
      <c r="J74" s="15" t="s">
        <v>15991</v>
      </c>
    </row>
    <row r="75" spans="2:10">
      <c r="B75" s="15" t="s">
        <v>18201</v>
      </c>
      <c r="C75" s="15" t="s">
        <v>18339</v>
      </c>
      <c r="D75" s="15" t="s">
        <v>16072</v>
      </c>
      <c r="E75" s="15" t="s">
        <v>305</v>
      </c>
      <c r="F75" s="15" t="s">
        <v>18340</v>
      </c>
      <c r="G75" s="52" t="str">
        <f>HYPERLINK("#码值映射清单!B5150","YesNo")</f>
        <v>YesNo</v>
      </c>
      <c r="H75" s="15"/>
      <c r="I75" s="15" t="s">
        <v>528</v>
      </c>
      <c r="J75" s="15" t="s">
        <v>15991</v>
      </c>
    </row>
    <row r="76" spans="2:10">
      <c r="B76" s="15" t="s">
        <v>18201</v>
      </c>
      <c r="C76" s="15" t="s">
        <v>18341</v>
      </c>
      <c r="D76" s="15" t="s">
        <v>16072</v>
      </c>
      <c r="E76" s="15" t="s">
        <v>305</v>
      </c>
      <c r="F76" s="15" t="s">
        <v>18342</v>
      </c>
      <c r="G76" s="15"/>
      <c r="H76" s="15"/>
      <c r="I76" s="15" t="s">
        <v>528</v>
      </c>
      <c r="J76" s="15" t="s">
        <v>15991</v>
      </c>
    </row>
    <row r="77" spans="2:10">
      <c r="B77" s="15" t="s">
        <v>18201</v>
      </c>
      <c r="C77" s="15" t="s">
        <v>16088</v>
      </c>
      <c r="D77" s="15" t="s">
        <v>316</v>
      </c>
      <c r="E77" s="15" t="s">
        <v>305</v>
      </c>
      <c r="F77" s="15" t="s">
        <v>16089</v>
      </c>
      <c r="G77" s="15"/>
      <c r="H77" s="15"/>
      <c r="I77" s="15" t="s">
        <v>528</v>
      </c>
      <c r="J77" s="15" t="s">
        <v>15991</v>
      </c>
    </row>
    <row r="78" spans="2:10">
      <c r="B78" s="15" t="s">
        <v>18201</v>
      </c>
      <c r="C78" s="15" t="s">
        <v>18343</v>
      </c>
      <c r="D78" s="15" t="s">
        <v>316</v>
      </c>
      <c r="E78" s="15" t="s">
        <v>305</v>
      </c>
      <c r="F78" s="15" t="s">
        <v>18344</v>
      </c>
      <c r="G78" s="15"/>
      <c r="H78" s="15"/>
      <c r="I78" s="15" t="s">
        <v>528</v>
      </c>
      <c r="J78" s="15" t="s">
        <v>15991</v>
      </c>
    </row>
    <row r="79" spans="2:10">
      <c r="B79" s="16" t="s">
        <v>18201</v>
      </c>
      <c r="C79" s="16" t="s">
        <v>18345</v>
      </c>
      <c r="D79" s="16" t="s">
        <v>327</v>
      </c>
      <c r="E79" s="16" t="s">
        <v>305</v>
      </c>
      <c r="F79" s="16" t="s">
        <v>18346</v>
      </c>
      <c r="G79" s="16"/>
      <c r="H79" s="16"/>
      <c r="I79" s="16" t="s">
        <v>528</v>
      </c>
      <c r="J79" s="16" t="s">
        <v>15991</v>
      </c>
    </row>
    <row r="80" ht="46" spans="2:10">
      <c r="B80" s="73" t="s">
        <v>18201</v>
      </c>
      <c r="C80" s="57" t="s">
        <v>18347</v>
      </c>
      <c r="D80" s="57" t="s">
        <v>321</v>
      </c>
      <c r="E80" s="57" t="s">
        <v>305</v>
      </c>
      <c r="F80" s="59" t="s">
        <v>18348</v>
      </c>
      <c r="G80" s="57" t="s">
        <v>528</v>
      </c>
      <c r="H80" s="98" t="s">
        <v>18349</v>
      </c>
      <c r="I80" s="57"/>
      <c r="J80" s="50">
        <v>45740</v>
      </c>
    </row>
    <row r="81" spans="2:10">
      <c r="B81" s="73" t="s">
        <v>18201</v>
      </c>
      <c r="C81" s="57" t="s">
        <v>18350</v>
      </c>
      <c r="D81" s="57" t="s">
        <v>327</v>
      </c>
      <c r="E81" s="57" t="s">
        <v>305</v>
      </c>
      <c r="F81" s="59" t="s">
        <v>18351</v>
      </c>
      <c r="G81" s="57" t="s">
        <v>528</v>
      </c>
      <c r="H81" s="57" t="s">
        <v>528</v>
      </c>
      <c r="I81" s="57"/>
      <c r="J81" s="50">
        <v>45740</v>
      </c>
    </row>
    <row r="82" spans="2:10">
      <c r="B82" s="73" t="s">
        <v>18201</v>
      </c>
      <c r="C82" s="57" t="s">
        <v>326</v>
      </c>
      <c r="D82" s="57" t="s">
        <v>327</v>
      </c>
      <c r="E82" s="57" t="s">
        <v>305</v>
      </c>
      <c r="F82" s="59" t="s">
        <v>325</v>
      </c>
      <c r="G82" s="57"/>
      <c r="H82" s="57"/>
      <c r="I82" s="57"/>
      <c r="J82" s="50">
        <v>45740</v>
      </c>
    </row>
    <row r="83" ht="46" spans="2:17">
      <c r="B83" s="73" t="s">
        <v>18201</v>
      </c>
      <c r="C83" s="57" t="s">
        <v>331</v>
      </c>
      <c r="D83" s="65" t="s">
        <v>321</v>
      </c>
      <c r="E83" s="65" t="s">
        <v>305</v>
      </c>
      <c r="F83" s="59" t="s">
        <v>18352</v>
      </c>
      <c r="G83" s="99"/>
      <c r="H83" s="66" t="s">
        <v>332</v>
      </c>
      <c r="I83" s="99"/>
      <c r="J83" s="50">
        <v>45740</v>
      </c>
      <c r="K83" s="102"/>
      <c r="L83" s="102"/>
      <c r="M83" s="103"/>
      <c r="N83" s="102"/>
      <c r="O83" s="103"/>
      <c r="P83" s="103"/>
      <c r="Q83" s="103"/>
    </row>
    <row r="84" spans="2:17">
      <c r="B84" s="73" t="s">
        <v>18201</v>
      </c>
      <c r="C84" s="57" t="s">
        <v>17000</v>
      </c>
      <c r="D84" s="57" t="s">
        <v>482</v>
      </c>
      <c r="E84" s="57" t="s">
        <v>305</v>
      </c>
      <c r="F84" s="59" t="s">
        <v>18353</v>
      </c>
      <c r="G84" s="99"/>
      <c r="H84" s="99"/>
      <c r="I84" s="99"/>
      <c r="J84" s="50">
        <v>45740</v>
      </c>
      <c r="K84" s="102"/>
      <c r="L84" s="102"/>
      <c r="M84" s="103"/>
      <c r="N84" s="102"/>
      <c r="O84" s="103"/>
      <c r="P84" s="103"/>
      <c r="Q84" s="103"/>
    </row>
    <row r="85" spans="2:17">
      <c r="B85" s="73" t="s">
        <v>18201</v>
      </c>
      <c r="C85" s="57" t="s">
        <v>441</v>
      </c>
      <c r="D85" s="57" t="s">
        <v>316</v>
      </c>
      <c r="E85" s="57" t="s">
        <v>305</v>
      </c>
      <c r="F85" s="59" t="s">
        <v>440</v>
      </c>
      <c r="G85" s="99"/>
      <c r="H85" s="99"/>
      <c r="I85" s="99"/>
      <c r="J85" s="50">
        <v>45740</v>
      </c>
      <c r="K85" s="102"/>
      <c r="L85" s="102"/>
      <c r="M85" s="103"/>
      <c r="N85" s="102"/>
      <c r="O85" s="103"/>
      <c r="P85" s="103"/>
      <c r="Q85" s="103"/>
    </row>
    <row r="86" spans="2:17">
      <c r="B86" s="73" t="s">
        <v>18201</v>
      </c>
      <c r="C86" s="57" t="s">
        <v>336</v>
      </c>
      <c r="D86" s="57" t="s">
        <v>321</v>
      </c>
      <c r="E86" s="57" t="s">
        <v>305</v>
      </c>
      <c r="F86" s="82" t="s">
        <v>335</v>
      </c>
      <c r="G86" s="99">
        <v>0</v>
      </c>
      <c r="H86" s="99" t="s">
        <v>493</v>
      </c>
      <c r="I86" s="99"/>
      <c r="J86" s="50">
        <v>45740</v>
      </c>
      <c r="K86" s="102"/>
      <c r="L86" s="102"/>
      <c r="M86" s="103"/>
      <c r="N86" s="102"/>
      <c r="O86" s="103"/>
      <c r="P86" s="103"/>
      <c r="Q86" s="103"/>
    </row>
    <row r="87" spans="2:10">
      <c r="B87" s="73" t="s">
        <v>18201</v>
      </c>
      <c r="C87" s="57" t="s">
        <v>18354</v>
      </c>
      <c r="D87" s="57" t="s">
        <v>321</v>
      </c>
      <c r="E87" s="57" t="s">
        <v>305</v>
      </c>
      <c r="F87" s="82" t="s">
        <v>343</v>
      </c>
      <c r="G87" s="57" t="s">
        <v>528</v>
      </c>
      <c r="H87" s="57" t="s">
        <v>528</v>
      </c>
      <c r="I87" s="57"/>
      <c r="J87" s="50">
        <v>45740</v>
      </c>
    </row>
    <row r="88" spans="2:10">
      <c r="B88" s="73" t="s">
        <v>18201</v>
      </c>
      <c r="C88" s="57" t="s">
        <v>341</v>
      </c>
      <c r="D88" s="57" t="s">
        <v>316</v>
      </c>
      <c r="E88" s="65" t="s">
        <v>305</v>
      </c>
      <c r="F88" s="82" t="s">
        <v>347</v>
      </c>
      <c r="G88" s="57" t="s">
        <v>528</v>
      </c>
      <c r="H88" s="57" t="s">
        <v>528</v>
      </c>
      <c r="I88" s="57"/>
      <c r="J88" s="50">
        <v>45740</v>
      </c>
    </row>
    <row r="89" spans="2:10">
      <c r="B89" s="73" t="s">
        <v>18201</v>
      </c>
      <c r="C89" s="57" t="s">
        <v>18355</v>
      </c>
      <c r="D89" s="57" t="s">
        <v>321</v>
      </c>
      <c r="E89" s="57" t="s">
        <v>305</v>
      </c>
      <c r="F89" s="82" t="s">
        <v>352</v>
      </c>
      <c r="G89" s="57" t="s">
        <v>528</v>
      </c>
      <c r="H89" s="57" t="s">
        <v>528</v>
      </c>
      <c r="I89" s="57"/>
      <c r="J89" s="50">
        <v>45740</v>
      </c>
    </row>
    <row r="90" spans="2:10">
      <c r="B90" s="73" t="s">
        <v>18201</v>
      </c>
      <c r="C90" s="69" t="s">
        <v>18356</v>
      </c>
      <c r="D90" s="57" t="s">
        <v>18357</v>
      </c>
      <c r="E90" s="57" t="s">
        <v>305</v>
      </c>
      <c r="F90" s="82" t="s">
        <v>356</v>
      </c>
      <c r="G90" s="57" t="s">
        <v>528</v>
      </c>
      <c r="H90" s="57" t="s">
        <v>528</v>
      </c>
      <c r="I90" s="57"/>
      <c r="J90" s="50">
        <v>45740</v>
      </c>
    </row>
    <row r="91" spans="2:10">
      <c r="B91" s="73" t="s">
        <v>18201</v>
      </c>
      <c r="C91" s="57" t="s">
        <v>18358</v>
      </c>
      <c r="D91" s="57" t="s">
        <v>482</v>
      </c>
      <c r="E91" s="57" t="s">
        <v>305</v>
      </c>
      <c r="F91" s="99" t="s">
        <v>360</v>
      </c>
      <c r="G91" s="57" t="s">
        <v>528</v>
      </c>
      <c r="H91" s="57" t="s">
        <v>528</v>
      </c>
      <c r="I91" s="57"/>
      <c r="J91" s="50">
        <v>45740</v>
      </c>
    </row>
    <row r="92" spans="2:10">
      <c r="B92" s="73" t="s">
        <v>18201</v>
      </c>
      <c r="C92" s="57" t="s">
        <v>349</v>
      </c>
      <c r="D92" s="57" t="s">
        <v>350</v>
      </c>
      <c r="E92" s="57" t="s">
        <v>305</v>
      </c>
      <c r="F92" s="99" t="s">
        <v>348</v>
      </c>
      <c r="G92" s="57"/>
      <c r="H92" s="57"/>
      <c r="I92" s="57"/>
      <c r="J92" s="50">
        <v>45740</v>
      </c>
    </row>
    <row r="93" spans="2:10">
      <c r="B93" s="73" t="s">
        <v>18201</v>
      </c>
      <c r="C93" s="57" t="s">
        <v>354</v>
      </c>
      <c r="D93" s="57" t="s">
        <v>350</v>
      </c>
      <c r="E93" s="57" t="s">
        <v>305</v>
      </c>
      <c r="F93" s="99" t="s">
        <v>353</v>
      </c>
      <c r="G93" s="57"/>
      <c r="H93" s="57"/>
      <c r="I93" s="57"/>
      <c r="J93" s="50">
        <v>45740</v>
      </c>
    </row>
    <row r="94" spans="2:10">
      <c r="B94" s="73" t="s">
        <v>18201</v>
      </c>
      <c r="C94" s="57" t="s">
        <v>445</v>
      </c>
      <c r="D94" s="57" t="s">
        <v>454</v>
      </c>
      <c r="E94" s="57" t="s">
        <v>305</v>
      </c>
      <c r="F94" s="99" t="s">
        <v>373</v>
      </c>
      <c r="G94" s="57" t="s">
        <v>528</v>
      </c>
      <c r="H94" s="57" t="s">
        <v>528</v>
      </c>
      <c r="I94" s="57"/>
      <c r="J94" s="50">
        <v>45740</v>
      </c>
    </row>
    <row r="95" spans="2:10">
      <c r="B95" s="73" t="s">
        <v>18201</v>
      </c>
      <c r="C95" s="57" t="s">
        <v>18359</v>
      </c>
      <c r="D95" s="57" t="s">
        <v>316</v>
      </c>
      <c r="E95" s="57" t="s">
        <v>305</v>
      </c>
      <c r="F95" s="99" t="s">
        <v>377</v>
      </c>
      <c r="G95" s="57" t="s">
        <v>528</v>
      </c>
      <c r="H95" s="57" t="s">
        <v>528</v>
      </c>
      <c r="I95" s="57"/>
      <c r="J95" s="50">
        <v>45740</v>
      </c>
    </row>
    <row r="96" spans="2:10">
      <c r="B96" s="73" t="s">
        <v>18201</v>
      </c>
      <c r="C96" s="57" t="s">
        <v>18360</v>
      </c>
      <c r="D96" s="57" t="s">
        <v>316</v>
      </c>
      <c r="E96" s="57" t="s">
        <v>305</v>
      </c>
      <c r="F96" s="99" t="s">
        <v>381</v>
      </c>
      <c r="G96" s="57" t="s">
        <v>528</v>
      </c>
      <c r="H96" s="57" t="s">
        <v>528</v>
      </c>
      <c r="I96" s="57"/>
      <c r="J96" s="50">
        <v>45740</v>
      </c>
    </row>
    <row r="97" spans="2:10">
      <c r="B97" s="73" t="s">
        <v>18201</v>
      </c>
      <c r="C97" s="57" t="s">
        <v>18361</v>
      </c>
      <c r="D97" s="57" t="s">
        <v>316</v>
      </c>
      <c r="E97" s="57" t="s">
        <v>305</v>
      </c>
      <c r="F97" s="99" t="s">
        <v>385</v>
      </c>
      <c r="G97" s="57" t="s">
        <v>528</v>
      </c>
      <c r="H97" s="57" t="s">
        <v>528</v>
      </c>
      <c r="I97" s="57"/>
      <c r="J97" s="50">
        <v>45740</v>
      </c>
    </row>
    <row r="98" spans="2:10">
      <c r="B98" s="73" t="s">
        <v>18201</v>
      </c>
      <c r="C98" s="57" t="s">
        <v>18362</v>
      </c>
      <c r="D98" s="57" t="s">
        <v>350</v>
      </c>
      <c r="E98" s="57" t="s">
        <v>305</v>
      </c>
      <c r="F98" s="99" t="s">
        <v>389</v>
      </c>
      <c r="G98" s="57" t="s">
        <v>528</v>
      </c>
      <c r="H98" s="57" t="s">
        <v>528</v>
      </c>
      <c r="I98" s="57"/>
      <c r="J98" s="50">
        <v>45740</v>
      </c>
    </row>
    <row r="99" spans="2:10">
      <c r="B99" s="73" t="s">
        <v>18201</v>
      </c>
      <c r="C99" s="57" t="s">
        <v>18363</v>
      </c>
      <c r="D99" s="57" t="s">
        <v>316</v>
      </c>
      <c r="E99" s="57" t="s">
        <v>305</v>
      </c>
      <c r="F99" s="99" t="s">
        <v>393</v>
      </c>
      <c r="G99" s="57" t="s">
        <v>528</v>
      </c>
      <c r="H99" s="57" t="s">
        <v>528</v>
      </c>
      <c r="I99" s="57"/>
      <c r="J99" s="50">
        <v>45740</v>
      </c>
    </row>
    <row r="100" spans="2:10">
      <c r="B100" s="73" t="s">
        <v>18201</v>
      </c>
      <c r="C100" s="57" t="s">
        <v>18364</v>
      </c>
      <c r="D100" s="57" t="s">
        <v>371</v>
      </c>
      <c r="E100" s="57" t="s">
        <v>305</v>
      </c>
      <c r="F100" s="99" t="s">
        <v>397</v>
      </c>
      <c r="G100" s="57" t="s">
        <v>528</v>
      </c>
      <c r="H100" s="57" t="s">
        <v>528</v>
      </c>
      <c r="I100" s="57"/>
      <c r="J100" s="50">
        <v>45740</v>
      </c>
    </row>
    <row r="101" spans="2:10">
      <c r="B101" s="73" t="s">
        <v>18201</v>
      </c>
      <c r="C101" s="57" t="s">
        <v>18365</v>
      </c>
      <c r="D101" s="57" t="s">
        <v>316</v>
      </c>
      <c r="E101" s="57" t="s">
        <v>305</v>
      </c>
      <c r="F101" s="99" t="s">
        <v>401</v>
      </c>
      <c r="G101" s="57" t="s">
        <v>528</v>
      </c>
      <c r="H101" s="57" t="s">
        <v>528</v>
      </c>
      <c r="I101" s="57"/>
      <c r="J101" s="50">
        <v>45740</v>
      </c>
    </row>
    <row r="102" spans="2:10">
      <c r="B102" s="73" t="s">
        <v>18201</v>
      </c>
      <c r="C102" s="57" t="s">
        <v>18366</v>
      </c>
      <c r="D102" s="57" t="s">
        <v>316</v>
      </c>
      <c r="E102" s="57" t="s">
        <v>305</v>
      </c>
      <c r="F102" s="99" t="s">
        <v>405</v>
      </c>
      <c r="G102" s="57" t="s">
        <v>528</v>
      </c>
      <c r="H102" s="57" t="s">
        <v>528</v>
      </c>
      <c r="I102" s="57"/>
      <c r="J102" s="50">
        <v>45740</v>
      </c>
    </row>
    <row r="103" spans="2:10">
      <c r="B103" s="73" t="s">
        <v>18201</v>
      </c>
      <c r="C103" s="57" t="s">
        <v>18367</v>
      </c>
      <c r="D103" s="57" t="s">
        <v>316</v>
      </c>
      <c r="E103" s="57" t="s">
        <v>305</v>
      </c>
      <c r="F103" s="99" t="s">
        <v>409</v>
      </c>
      <c r="G103" s="57" t="s">
        <v>528</v>
      </c>
      <c r="H103" s="57" t="s">
        <v>528</v>
      </c>
      <c r="I103" s="57"/>
      <c r="J103" s="50">
        <v>45740</v>
      </c>
    </row>
    <row r="104" spans="2:10">
      <c r="B104" s="73" t="s">
        <v>18201</v>
      </c>
      <c r="C104" s="57" t="s">
        <v>18368</v>
      </c>
      <c r="D104" s="57" t="s">
        <v>18357</v>
      </c>
      <c r="E104" s="57" t="s">
        <v>305</v>
      </c>
      <c r="F104" s="99" t="s">
        <v>413</v>
      </c>
      <c r="G104" s="57" t="s">
        <v>528</v>
      </c>
      <c r="H104" s="57" t="s">
        <v>528</v>
      </c>
      <c r="I104" s="57"/>
      <c r="J104" s="50">
        <v>45740</v>
      </c>
    </row>
    <row r="105" spans="2:10">
      <c r="B105" s="73" t="s">
        <v>18201</v>
      </c>
      <c r="C105" s="57" t="s">
        <v>18369</v>
      </c>
      <c r="D105" s="57" t="s">
        <v>506</v>
      </c>
      <c r="E105" s="57" t="s">
        <v>305</v>
      </c>
      <c r="F105" s="99" t="s">
        <v>417</v>
      </c>
      <c r="G105" s="57" t="s">
        <v>528</v>
      </c>
      <c r="H105" s="57" t="s">
        <v>528</v>
      </c>
      <c r="I105" s="57"/>
      <c r="J105" s="50">
        <v>45740</v>
      </c>
    </row>
    <row r="106" spans="2:10">
      <c r="B106" s="73" t="s">
        <v>18201</v>
      </c>
      <c r="C106" s="57" t="s">
        <v>18370</v>
      </c>
      <c r="D106" s="57" t="s">
        <v>506</v>
      </c>
      <c r="E106" s="57" t="s">
        <v>305</v>
      </c>
      <c r="F106" s="99" t="s">
        <v>421</v>
      </c>
      <c r="G106" s="57" t="s">
        <v>528</v>
      </c>
      <c r="H106" s="57" t="s">
        <v>528</v>
      </c>
      <c r="I106" s="57"/>
      <c r="J106" s="50">
        <v>45740</v>
      </c>
    </row>
    <row r="107" spans="2:10">
      <c r="B107" s="73" t="s">
        <v>18201</v>
      </c>
      <c r="C107" s="57" t="s">
        <v>18371</v>
      </c>
      <c r="D107" s="57" t="s">
        <v>316</v>
      </c>
      <c r="E107" s="57" t="s">
        <v>305</v>
      </c>
      <c r="F107" s="99" t="s">
        <v>425</v>
      </c>
      <c r="G107" s="57" t="s">
        <v>528</v>
      </c>
      <c r="H107" s="57" t="s">
        <v>528</v>
      </c>
      <c r="I107" s="57"/>
      <c r="J107" s="50">
        <v>45740</v>
      </c>
    </row>
    <row r="108" spans="2:10">
      <c r="B108" s="73" t="s">
        <v>18201</v>
      </c>
      <c r="C108" s="57" t="s">
        <v>18372</v>
      </c>
      <c r="D108" s="57" t="s">
        <v>506</v>
      </c>
      <c r="E108" s="57" t="s">
        <v>305</v>
      </c>
      <c r="F108" s="99" t="s">
        <v>430</v>
      </c>
      <c r="G108" s="57" t="s">
        <v>528</v>
      </c>
      <c r="H108" s="57" t="s">
        <v>528</v>
      </c>
      <c r="I108" s="57"/>
      <c r="J108" s="50">
        <v>45740</v>
      </c>
    </row>
    <row r="109" spans="2:10">
      <c r="B109" s="73" t="s">
        <v>18201</v>
      </c>
      <c r="C109" s="57" t="s">
        <v>18373</v>
      </c>
      <c r="D109" s="57" t="s">
        <v>506</v>
      </c>
      <c r="E109" s="57" t="s">
        <v>305</v>
      </c>
      <c r="F109" s="99" t="s">
        <v>435</v>
      </c>
      <c r="G109" s="57" t="s">
        <v>528</v>
      </c>
      <c r="H109" s="57" t="s">
        <v>528</v>
      </c>
      <c r="I109" s="57"/>
      <c r="J109" s="50">
        <v>45740</v>
      </c>
    </row>
    <row r="110" spans="2:10">
      <c r="B110" s="73" t="s">
        <v>18201</v>
      </c>
      <c r="C110" s="57" t="s">
        <v>18374</v>
      </c>
      <c r="D110" s="57" t="s">
        <v>506</v>
      </c>
      <c r="E110" s="57" t="s">
        <v>305</v>
      </c>
      <c r="F110" s="99" t="s">
        <v>439</v>
      </c>
      <c r="G110" s="57" t="s">
        <v>528</v>
      </c>
      <c r="H110" s="57" t="s">
        <v>528</v>
      </c>
      <c r="I110" s="57"/>
      <c r="J110" s="50">
        <v>45740</v>
      </c>
    </row>
    <row r="111" spans="2:10">
      <c r="B111" s="73" t="s">
        <v>18201</v>
      </c>
      <c r="C111" s="57" t="s">
        <v>18375</v>
      </c>
      <c r="D111" s="57" t="s">
        <v>371</v>
      </c>
      <c r="E111" s="57" t="s">
        <v>305</v>
      </c>
      <c r="F111" s="99" t="s">
        <v>443</v>
      </c>
      <c r="G111" s="57" t="s">
        <v>528</v>
      </c>
      <c r="H111" s="57" t="s">
        <v>528</v>
      </c>
      <c r="I111" s="57"/>
      <c r="J111" s="50">
        <v>45740</v>
      </c>
    </row>
    <row r="112" spans="2:10">
      <c r="B112" s="73" t="s">
        <v>18201</v>
      </c>
      <c r="C112" s="57" t="s">
        <v>18376</v>
      </c>
      <c r="D112" s="57" t="s">
        <v>506</v>
      </c>
      <c r="E112" s="57" t="s">
        <v>305</v>
      </c>
      <c r="F112" s="99" t="s">
        <v>309</v>
      </c>
      <c r="G112" s="57" t="s">
        <v>528</v>
      </c>
      <c r="H112" s="57" t="s">
        <v>528</v>
      </c>
      <c r="I112" s="57"/>
      <c r="J112" s="50">
        <v>45740</v>
      </c>
    </row>
    <row r="113" spans="2:10">
      <c r="B113" s="73" t="s">
        <v>18201</v>
      </c>
      <c r="C113" s="57" t="s">
        <v>18377</v>
      </c>
      <c r="D113" s="57" t="s">
        <v>316</v>
      </c>
      <c r="E113" s="57" t="s">
        <v>305</v>
      </c>
      <c r="F113" s="99" t="s">
        <v>313</v>
      </c>
      <c r="G113" s="57" t="s">
        <v>528</v>
      </c>
      <c r="H113" s="57" t="s">
        <v>528</v>
      </c>
      <c r="I113" s="57"/>
      <c r="J113" s="50">
        <v>45740</v>
      </c>
    </row>
    <row r="114" spans="2:10">
      <c r="B114" s="73" t="s">
        <v>18201</v>
      </c>
      <c r="C114" s="57" t="s">
        <v>18378</v>
      </c>
      <c r="D114" s="57" t="s">
        <v>316</v>
      </c>
      <c r="E114" s="57" t="s">
        <v>305</v>
      </c>
      <c r="F114" s="100" t="s">
        <v>318</v>
      </c>
      <c r="G114" s="57" t="s">
        <v>528</v>
      </c>
      <c r="H114" s="57" t="s">
        <v>528</v>
      </c>
      <c r="I114" s="57"/>
      <c r="J114" s="50">
        <v>45740</v>
      </c>
    </row>
    <row r="115" spans="2:10">
      <c r="B115" s="73" t="s">
        <v>18201</v>
      </c>
      <c r="C115" s="57" t="s">
        <v>18379</v>
      </c>
      <c r="D115" s="57" t="s">
        <v>316</v>
      </c>
      <c r="E115" s="57" t="s">
        <v>305</v>
      </c>
      <c r="F115" s="100" t="s">
        <v>324</v>
      </c>
      <c r="G115" s="57" t="s">
        <v>528</v>
      </c>
      <c r="H115" s="57" t="s">
        <v>528</v>
      </c>
      <c r="I115" s="57"/>
      <c r="J115" s="50">
        <v>45740</v>
      </c>
    </row>
    <row r="116" spans="2:10">
      <c r="B116" s="73" t="s">
        <v>18201</v>
      </c>
      <c r="C116" s="57" t="s">
        <v>18380</v>
      </c>
      <c r="D116" s="57" t="s">
        <v>316</v>
      </c>
      <c r="E116" s="57" t="s">
        <v>305</v>
      </c>
      <c r="F116" s="100" t="s">
        <v>329</v>
      </c>
      <c r="G116" s="57" t="s">
        <v>528</v>
      </c>
      <c r="H116" s="57" t="s">
        <v>528</v>
      </c>
      <c r="I116" s="57"/>
      <c r="J116" s="50">
        <v>45740</v>
      </c>
    </row>
    <row r="117" spans="2:10">
      <c r="B117" s="73" t="s">
        <v>18201</v>
      </c>
      <c r="C117" s="97" t="s">
        <v>512</v>
      </c>
      <c r="D117" s="97" t="s">
        <v>513</v>
      </c>
      <c r="E117" s="97" t="s">
        <v>305</v>
      </c>
      <c r="F117" s="101" t="s">
        <v>334</v>
      </c>
      <c r="G117" s="97" t="s">
        <v>3875</v>
      </c>
      <c r="H117" s="97"/>
      <c r="I117" s="97"/>
      <c r="J117" s="50">
        <v>45740</v>
      </c>
    </row>
    <row r="118" spans="2:10">
      <c r="B118" s="65" t="s">
        <v>18201</v>
      </c>
      <c r="C118" s="57" t="s">
        <v>18381</v>
      </c>
      <c r="D118" s="57" t="s">
        <v>350</v>
      </c>
      <c r="E118" s="57" t="s">
        <v>305</v>
      </c>
      <c r="F118" s="100" t="s">
        <v>339</v>
      </c>
      <c r="G118" s="57" t="s">
        <v>528</v>
      </c>
      <c r="H118" s="57"/>
      <c r="I118" s="57"/>
      <c r="J118" s="50">
        <v>45740</v>
      </c>
    </row>
  </sheetData>
  <pageMargins left="0.75" right="0.75" top="1" bottom="1" header="0.5" footer="0.5"/>
  <pageSetup paperSize="1" orientation="portrait" horizontalDpi="300" verticalDpi="300"/>
  <headerFooter alignWithMargins="0" scaleWithDoc="0"/>
</worksheet>
</file>

<file path=xl/worksheets/sheet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52"/>
  <sheetViews>
    <sheetView zoomScaleSheetLayoutView="60" topLeftCell="A3" workbookViewId="0">
      <selection activeCell="A1" sqref="A1"/>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52" t="str">
        <f>HYPERLINK("#表结构清单!A1","返回")</f>
        <v>返回</v>
      </c>
      <c r="B1" t="s">
        <v>191</v>
      </c>
    </row>
    <row r="2" spans="2:10">
      <c r="B2" s="13" t="s">
        <v>15982</v>
      </c>
      <c r="C2" s="13" t="s">
        <v>297</v>
      </c>
      <c r="D2" s="13" t="s">
        <v>11870</v>
      </c>
      <c r="E2" s="13" t="s">
        <v>15983</v>
      </c>
      <c r="F2" s="13" t="s">
        <v>15984</v>
      </c>
      <c r="G2" s="13" t="s">
        <v>300</v>
      </c>
      <c r="H2" s="13" t="s">
        <v>301</v>
      </c>
      <c r="I2" s="13" t="s">
        <v>15985</v>
      </c>
      <c r="J2" s="13" t="s">
        <v>15986</v>
      </c>
    </row>
    <row r="3" spans="2:10">
      <c r="B3" s="15" t="s">
        <v>18382</v>
      </c>
      <c r="C3" s="15" t="s">
        <v>15988</v>
      </c>
      <c r="D3" s="15" t="s">
        <v>316</v>
      </c>
      <c r="E3" s="15" t="s">
        <v>15989</v>
      </c>
      <c r="F3" s="15" t="s">
        <v>15990</v>
      </c>
      <c r="G3" s="15"/>
      <c r="H3" s="15"/>
      <c r="I3" s="15" t="s">
        <v>528</v>
      </c>
      <c r="J3" s="15" t="s">
        <v>15991</v>
      </c>
    </row>
    <row r="4" spans="2:10">
      <c r="B4" s="15" t="s">
        <v>18382</v>
      </c>
      <c r="C4" s="15" t="s">
        <v>16103</v>
      </c>
      <c r="D4" s="15" t="s">
        <v>316</v>
      </c>
      <c r="E4" s="15" t="s">
        <v>305</v>
      </c>
      <c r="F4" s="15" t="s">
        <v>16986</v>
      </c>
      <c r="G4" s="15"/>
      <c r="H4" s="15"/>
      <c r="I4" s="15" t="s">
        <v>528</v>
      </c>
      <c r="J4" s="15" t="s">
        <v>15991</v>
      </c>
    </row>
    <row r="5" spans="2:10">
      <c r="B5" s="15" t="s">
        <v>18382</v>
      </c>
      <c r="C5" s="15" t="s">
        <v>18383</v>
      </c>
      <c r="D5" s="15" t="s">
        <v>316</v>
      </c>
      <c r="E5" s="15" t="s">
        <v>305</v>
      </c>
      <c r="F5" s="15" t="s">
        <v>18384</v>
      </c>
      <c r="G5" s="15"/>
      <c r="H5" s="15"/>
      <c r="I5" s="15" t="s">
        <v>528</v>
      </c>
      <c r="J5" s="15" t="s">
        <v>15991</v>
      </c>
    </row>
    <row r="6" spans="2:10">
      <c r="B6" s="15" t="s">
        <v>18382</v>
      </c>
      <c r="C6" s="15" t="s">
        <v>17439</v>
      </c>
      <c r="D6" s="15" t="s">
        <v>506</v>
      </c>
      <c r="E6" s="15" t="s">
        <v>305</v>
      </c>
      <c r="F6" s="15" t="s">
        <v>17507</v>
      </c>
      <c r="G6" s="15"/>
      <c r="H6" s="15"/>
      <c r="I6" s="15" t="s">
        <v>528</v>
      </c>
      <c r="J6" s="15" t="s">
        <v>15991</v>
      </c>
    </row>
    <row r="7" spans="2:10">
      <c r="B7" s="15" t="s">
        <v>18382</v>
      </c>
      <c r="C7" s="15" t="s">
        <v>18385</v>
      </c>
      <c r="D7" s="15" t="s">
        <v>316</v>
      </c>
      <c r="E7" s="15" t="s">
        <v>305</v>
      </c>
      <c r="F7" s="15" t="s">
        <v>18386</v>
      </c>
      <c r="G7" s="15"/>
      <c r="H7" s="15"/>
      <c r="I7" s="15" t="s">
        <v>528</v>
      </c>
      <c r="J7" s="15" t="s">
        <v>15991</v>
      </c>
    </row>
    <row r="8" spans="2:10">
      <c r="B8" s="15" t="s">
        <v>18382</v>
      </c>
      <c r="C8" s="15" t="s">
        <v>18387</v>
      </c>
      <c r="D8" s="15" t="s">
        <v>506</v>
      </c>
      <c r="E8" s="15" t="s">
        <v>305</v>
      </c>
      <c r="F8" s="15" t="s">
        <v>18388</v>
      </c>
      <c r="G8" s="15"/>
      <c r="H8" s="15"/>
      <c r="I8" s="15" t="s">
        <v>528</v>
      </c>
      <c r="J8" s="15" t="s">
        <v>15991</v>
      </c>
    </row>
    <row r="9" spans="2:10">
      <c r="B9" s="15" t="s">
        <v>18382</v>
      </c>
      <c r="C9" s="15" t="s">
        <v>18389</v>
      </c>
      <c r="D9" s="15" t="s">
        <v>316</v>
      </c>
      <c r="E9" s="15" t="s">
        <v>305</v>
      </c>
      <c r="F9" s="15" t="s">
        <v>18390</v>
      </c>
      <c r="G9" s="15"/>
      <c r="H9" s="15"/>
      <c r="I9" s="15" t="s">
        <v>528</v>
      </c>
      <c r="J9" s="15" t="s">
        <v>15991</v>
      </c>
    </row>
    <row r="10" spans="2:10">
      <c r="B10" s="15" t="s">
        <v>18382</v>
      </c>
      <c r="C10" s="15" t="s">
        <v>18391</v>
      </c>
      <c r="D10" s="15" t="s">
        <v>506</v>
      </c>
      <c r="E10" s="15" t="s">
        <v>305</v>
      </c>
      <c r="F10" s="15" t="s">
        <v>18392</v>
      </c>
      <c r="G10" s="15"/>
      <c r="H10" s="15"/>
      <c r="I10" s="15" t="s">
        <v>528</v>
      </c>
      <c r="J10" s="15" t="s">
        <v>15991</v>
      </c>
    </row>
    <row r="11" spans="2:10">
      <c r="B11" s="15" t="s">
        <v>18382</v>
      </c>
      <c r="C11" s="15" t="s">
        <v>18393</v>
      </c>
      <c r="D11" s="15" t="s">
        <v>506</v>
      </c>
      <c r="E11" s="15" t="s">
        <v>305</v>
      </c>
      <c r="F11" s="15" t="s">
        <v>18394</v>
      </c>
      <c r="G11" s="15"/>
      <c r="H11" s="15"/>
      <c r="I11" s="15" t="s">
        <v>528</v>
      </c>
      <c r="J11" s="15" t="s">
        <v>15991</v>
      </c>
    </row>
    <row r="12" spans="2:10">
      <c r="B12" s="15" t="s">
        <v>18382</v>
      </c>
      <c r="C12" s="15" t="s">
        <v>17226</v>
      </c>
      <c r="D12" s="15" t="s">
        <v>506</v>
      </c>
      <c r="E12" s="15" t="s">
        <v>305</v>
      </c>
      <c r="F12" s="15" t="s">
        <v>9222</v>
      </c>
      <c r="G12" s="15"/>
      <c r="H12" s="15"/>
      <c r="I12" s="15" t="s">
        <v>528</v>
      </c>
      <c r="J12" s="15" t="s">
        <v>15991</v>
      </c>
    </row>
    <row r="13" spans="2:10">
      <c r="B13" s="15" t="s">
        <v>18382</v>
      </c>
      <c r="C13" s="15" t="s">
        <v>18395</v>
      </c>
      <c r="D13" s="15" t="s">
        <v>513</v>
      </c>
      <c r="E13" s="15" t="s">
        <v>305</v>
      </c>
      <c r="F13" s="15" t="s">
        <v>18396</v>
      </c>
      <c r="G13" s="15"/>
      <c r="H13" s="15"/>
      <c r="I13" s="15" t="s">
        <v>528</v>
      </c>
      <c r="J13" s="15" t="s">
        <v>15991</v>
      </c>
    </row>
    <row r="14" spans="2:10">
      <c r="B14" s="15" t="s">
        <v>18382</v>
      </c>
      <c r="C14" s="15" t="s">
        <v>18397</v>
      </c>
      <c r="D14" s="15" t="s">
        <v>506</v>
      </c>
      <c r="E14" s="15" t="s">
        <v>305</v>
      </c>
      <c r="F14" s="15" t="s">
        <v>18398</v>
      </c>
      <c r="G14" s="15"/>
      <c r="H14" s="15"/>
      <c r="I14" s="15" t="s">
        <v>528</v>
      </c>
      <c r="J14" s="15" t="s">
        <v>15991</v>
      </c>
    </row>
    <row r="15" spans="2:10">
      <c r="B15" s="15" t="s">
        <v>18382</v>
      </c>
      <c r="C15" s="15" t="s">
        <v>512</v>
      </c>
      <c r="D15" s="15" t="s">
        <v>513</v>
      </c>
      <c r="E15" s="15" t="s">
        <v>305</v>
      </c>
      <c r="F15" s="15" t="s">
        <v>334</v>
      </c>
      <c r="G15" s="15"/>
      <c r="H15" s="15"/>
      <c r="I15" s="15" t="s">
        <v>528</v>
      </c>
      <c r="J15" s="15" t="s">
        <v>15991</v>
      </c>
    </row>
    <row r="16" spans="2:10">
      <c r="B16" s="15" t="s">
        <v>18382</v>
      </c>
      <c r="C16" s="15" t="s">
        <v>18399</v>
      </c>
      <c r="D16" s="15" t="s">
        <v>350</v>
      </c>
      <c r="E16" s="15" t="s">
        <v>305</v>
      </c>
      <c r="F16" s="15" t="s">
        <v>18400</v>
      </c>
      <c r="G16" s="15"/>
      <c r="H16" s="15"/>
      <c r="I16" s="15" t="s">
        <v>528</v>
      </c>
      <c r="J16" s="15" t="s">
        <v>15991</v>
      </c>
    </row>
    <row r="17" spans="2:10">
      <c r="B17" s="15" t="s">
        <v>18382</v>
      </c>
      <c r="C17" s="15" t="s">
        <v>18401</v>
      </c>
      <c r="D17" s="15" t="s">
        <v>16557</v>
      </c>
      <c r="E17" s="15" t="s">
        <v>305</v>
      </c>
      <c r="F17" s="15" t="s">
        <v>18402</v>
      </c>
      <c r="G17" s="15"/>
      <c r="H17" s="15"/>
      <c r="I17" s="15" t="s">
        <v>528</v>
      </c>
      <c r="J17" s="15" t="s">
        <v>15991</v>
      </c>
    </row>
    <row r="18" spans="2:10">
      <c r="B18" s="15" t="s">
        <v>18382</v>
      </c>
      <c r="C18" s="15" t="s">
        <v>18403</v>
      </c>
      <c r="D18" s="15" t="s">
        <v>350</v>
      </c>
      <c r="E18" s="15" t="s">
        <v>305</v>
      </c>
      <c r="F18" s="15" t="s">
        <v>18404</v>
      </c>
      <c r="G18" s="15"/>
      <c r="H18" s="15"/>
      <c r="I18" s="15" t="s">
        <v>528</v>
      </c>
      <c r="J18" s="15" t="s">
        <v>15991</v>
      </c>
    </row>
    <row r="19" spans="2:10">
      <c r="B19" s="15" t="s">
        <v>18382</v>
      </c>
      <c r="C19" s="15" t="s">
        <v>18405</v>
      </c>
      <c r="D19" s="15" t="s">
        <v>350</v>
      </c>
      <c r="E19" s="15" t="s">
        <v>305</v>
      </c>
      <c r="F19" s="15" t="s">
        <v>18406</v>
      </c>
      <c r="G19" s="15"/>
      <c r="H19" s="15"/>
      <c r="I19" s="15" t="s">
        <v>528</v>
      </c>
      <c r="J19" s="15" t="s">
        <v>15991</v>
      </c>
    </row>
    <row r="20" spans="2:10">
      <c r="B20" s="15" t="s">
        <v>18382</v>
      </c>
      <c r="C20" s="15" t="s">
        <v>18407</v>
      </c>
      <c r="D20" s="15" t="s">
        <v>350</v>
      </c>
      <c r="E20" s="15" t="s">
        <v>305</v>
      </c>
      <c r="F20" s="15" t="s">
        <v>18408</v>
      </c>
      <c r="G20" s="15"/>
      <c r="H20" s="15"/>
      <c r="I20" s="15" t="s">
        <v>528</v>
      </c>
      <c r="J20" s="15" t="s">
        <v>15991</v>
      </c>
    </row>
    <row r="21" spans="2:10">
      <c r="B21" s="15" t="s">
        <v>18382</v>
      </c>
      <c r="C21" s="15" t="s">
        <v>18409</v>
      </c>
      <c r="D21" s="15" t="s">
        <v>363</v>
      </c>
      <c r="E21" s="15" t="s">
        <v>305</v>
      </c>
      <c r="F21" s="53" t="s">
        <v>18410</v>
      </c>
      <c r="G21" s="15"/>
      <c r="H21" s="15"/>
      <c r="I21" s="15" t="s">
        <v>528</v>
      </c>
      <c r="J21" s="15" t="s">
        <v>15991</v>
      </c>
    </row>
    <row r="22" spans="2:10">
      <c r="B22" s="15" t="s">
        <v>18382</v>
      </c>
      <c r="C22" s="15" t="s">
        <v>18411</v>
      </c>
      <c r="D22" s="15" t="s">
        <v>506</v>
      </c>
      <c r="E22" s="15" t="s">
        <v>305</v>
      </c>
      <c r="F22" s="15" t="s">
        <v>18412</v>
      </c>
      <c r="G22" s="15"/>
      <c r="H22" s="15"/>
      <c r="I22" s="15" t="s">
        <v>528</v>
      </c>
      <c r="J22" s="15" t="s">
        <v>15991</v>
      </c>
    </row>
    <row r="23" spans="2:10">
      <c r="B23" s="15" t="s">
        <v>18382</v>
      </c>
      <c r="C23" s="15" t="s">
        <v>18413</v>
      </c>
      <c r="D23" s="15" t="s">
        <v>316</v>
      </c>
      <c r="E23" s="15" t="s">
        <v>305</v>
      </c>
      <c r="F23" s="15" t="s">
        <v>18414</v>
      </c>
      <c r="G23" s="15"/>
      <c r="H23" s="15"/>
      <c r="I23" s="15" t="s">
        <v>528</v>
      </c>
      <c r="J23" s="15" t="s">
        <v>15991</v>
      </c>
    </row>
    <row r="24" spans="2:10">
      <c r="B24" s="15" t="s">
        <v>18382</v>
      </c>
      <c r="C24" s="15" t="s">
        <v>18415</v>
      </c>
      <c r="D24" s="15" t="s">
        <v>506</v>
      </c>
      <c r="E24" s="15" t="s">
        <v>305</v>
      </c>
      <c r="F24" s="15" t="s">
        <v>18416</v>
      </c>
      <c r="G24" s="15"/>
      <c r="H24" s="15"/>
      <c r="I24" s="15" t="s">
        <v>528</v>
      </c>
      <c r="J24" s="15" t="s">
        <v>15991</v>
      </c>
    </row>
    <row r="25" spans="2:10">
      <c r="B25" s="15" t="s">
        <v>18382</v>
      </c>
      <c r="C25" s="15" t="s">
        <v>18417</v>
      </c>
      <c r="D25" s="15" t="s">
        <v>316</v>
      </c>
      <c r="E25" s="15" t="s">
        <v>305</v>
      </c>
      <c r="F25" s="15" t="s">
        <v>18418</v>
      </c>
      <c r="G25" s="15"/>
      <c r="H25" s="15"/>
      <c r="I25" s="15" t="s">
        <v>528</v>
      </c>
      <c r="J25" s="15" t="s">
        <v>15991</v>
      </c>
    </row>
    <row r="26" spans="2:10">
      <c r="B26" s="15" t="s">
        <v>18382</v>
      </c>
      <c r="C26" s="15" t="s">
        <v>16126</v>
      </c>
      <c r="D26" s="15" t="s">
        <v>321</v>
      </c>
      <c r="E26" s="15" t="s">
        <v>305</v>
      </c>
      <c r="F26" s="15" t="s">
        <v>905</v>
      </c>
      <c r="G26" s="15"/>
      <c r="H26" s="15"/>
      <c r="I26" s="15" t="s">
        <v>528</v>
      </c>
      <c r="J26" s="15" t="s">
        <v>15991</v>
      </c>
    </row>
    <row r="27" spans="2:10">
      <c r="B27" s="15" t="s">
        <v>18382</v>
      </c>
      <c r="C27" s="15" t="s">
        <v>18419</v>
      </c>
      <c r="D27" s="15" t="s">
        <v>16557</v>
      </c>
      <c r="E27" s="15" t="s">
        <v>305</v>
      </c>
      <c r="F27" s="15" t="s">
        <v>18420</v>
      </c>
      <c r="G27" s="15"/>
      <c r="H27" s="15"/>
      <c r="I27" s="15" t="s">
        <v>528</v>
      </c>
      <c r="J27" s="15" t="s">
        <v>15991</v>
      </c>
    </row>
    <row r="28" spans="2:10">
      <c r="B28" s="15" t="s">
        <v>18382</v>
      </c>
      <c r="C28" s="15" t="s">
        <v>18421</v>
      </c>
      <c r="D28" s="15" t="s">
        <v>16557</v>
      </c>
      <c r="E28" s="15" t="s">
        <v>305</v>
      </c>
      <c r="F28" s="15" t="s">
        <v>18422</v>
      </c>
      <c r="G28" s="15"/>
      <c r="H28" s="15"/>
      <c r="I28" s="15" t="s">
        <v>528</v>
      </c>
      <c r="J28" s="15" t="s">
        <v>15991</v>
      </c>
    </row>
    <row r="29" spans="2:10">
      <c r="B29" s="15" t="s">
        <v>18382</v>
      </c>
      <c r="C29" s="15" t="s">
        <v>18423</v>
      </c>
      <c r="D29" s="15" t="s">
        <v>371</v>
      </c>
      <c r="E29" s="15" t="s">
        <v>305</v>
      </c>
      <c r="F29" s="15" t="s">
        <v>18424</v>
      </c>
      <c r="G29" s="15"/>
      <c r="H29" s="15"/>
      <c r="I29" s="15" t="s">
        <v>528</v>
      </c>
      <c r="J29" s="15" t="s">
        <v>15991</v>
      </c>
    </row>
    <row r="30" spans="2:10">
      <c r="B30" s="15" t="s">
        <v>18382</v>
      </c>
      <c r="C30" s="15" t="s">
        <v>18425</v>
      </c>
      <c r="D30" s="15" t="s">
        <v>371</v>
      </c>
      <c r="E30" s="15" t="s">
        <v>305</v>
      </c>
      <c r="F30" s="15" t="s">
        <v>18426</v>
      </c>
      <c r="G30" s="15"/>
      <c r="H30" s="15"/>
      <c r="I30" s="15" t="s">
        <v>528</v>
      </c>
      <c r="J30" s="15" t="s">
        <v>15991</v>
      </c>
    </row>
    <row r="31" spans="2:10">
      <c r="B31" s="15" t="s">
        <v>18382</v>
      </c>
      <c r="C31" s="15" t="s">
        <v>18427</v>
      </c>
      <c r="D31" s="15" t="s">
        <v>371</v>
      </c>
      <c r="E31" s="15" t="s">
        <v>305</v>
      </c>
      <c r="F31" s="15" t="s">
        <v>18428</v>
      </c>
      <c r="G31" s="15"/>
      <c r="H31" s="15"/>
      <c r="I31" s="15" t="s">
        <v>528</v>
      </c>
      <c r="J31" s="15" t="s">
        <v>15991</v>
      </c>
    </row>
    <row r="32" spans="2:10">
      <c r="B32" s="15" t="s">
        <v>18382</v>
      </c>
      <c r="C32" s="15" t="s">
        <v>18429</v>
      </c>
      <c r="D32" s="15" t="s">
        <v>327</v>
      </c>
      <c r="E32" s="15" t="s">
        <v>305</v>
      </c>
      <c r="F32" s="15" t="s">
        <v>16521</v>
      </c>
      <c r="G32" s="15"/>
      <c r="H32" s="15"/>
      <c r="I32" s="15" t="s">
        <v>528</v>
      </c>
      <c r="J32" s="15" t="s">
        <v>15991</v>
      </c>
    </row>
    <row r="33" spans="2:10">
      <c r="B33" s="15" t="s">
        <v>18382</v>
      </c>
      <c r="C33" s="15" t="s">
        <v>18430</v>
      </c>
      <c r="D33" s="15" t="s">
        <v>327</v>
      </c>
      <c r="E33" s="15" t="s">
        <v>305</v>
      </c>
      <c r="F33" s="15" t="s">
        <v>16522</v>
      </c>
      <c r="G33" s="15"/>
      <c r="H33" s="15"/>
      <c r="I33" s="15" t="s">
        <v>528</v>
      </c>
      <c r="J33" s="15" t="s">
        <v>15991</v>
      </c>
    </row>
    <row r="34" spans="2:10">
      <c r="B34" s="15" t="s">
        <v>18382</v>
      </c>
      <c r="C34" s="15" t="s">
        <v>18431</v>
      </c>
      <c r="D34" s="15" t="s">
        <v>327</v>
      </c>
      <c r="E34" s="15" t="s">
        <v>305</v>
      </c>
      <c r="F34" s="15" t="s">
        <v>16523</v>
      </c>
      <c r="G34" s="15"/>
      <c r="H34" s="15"/>
      <c r="I34" s="15" t="s">
        <v>528</v>
      </c>
      <c r="J34" s="15" t="s">
        <v>15991</v>
      </c>
    </row>
    <row r="35" spans="2:10">
      <c r="B35" s="15" t="s">
        <v>18382</v>
      </c>
      <c r="C35" s="15" t="s">
        <v>18432</v>
      </c>
      <c r="D35" s="15" t="s">
        <v>327</v>
      </c>
      <c r="E35" s="15" t="s">
        <v>305</v>
      </c>
      <c r="F35" s="15" t="s">
        <v>16524</v>
      </c>
      <c r="G35" s="15"/>
      <c r="H35" s="15"/>
      <c r="I35" s="15" t="s">
        <v>528</v>
      </c>
      <c r="J35" s="15" t="s">
        <v>15991</v>
      </c>
    </row>
    <row r="36" spans="2:10">
      <c r="B36" s="15" t="s">
        <v>18382</v>
      </c>
      <c r="C36" s="15" t="s">
        <v>18433</v>
      </c>
      <c r="D36" s="15" t="s">
        <v>327</v>
      </c>
      <c r="E36" s="15" t="s">
        <v>305</v>
      </c>
      <c r="F36" s="15" t="s">
        <v>16525</v>
      </c>
      <c r="G36" s="15"/>
      <c r="H36" s="15"/>
      <c r="I36" s="15" t="s">
        <v>528</v>
      </c>
      <c r="J36" s="15" t="s">
        <v>15991</v>
      </c>
    </row>
    <row r="37" spans="2:10">
      <c r="B37" s="15" t="s">
        <v>18382</v>
      </c>
      <c r="C37" s="15" t="s">
        <v>18434</v>
      </c>
      <c r="D37" s="15" t="s">
        <v>327</v>
      </c>
      <c r="E37" s="15" t="s">
        <v>305</v>
      </c>
      <c r="F37" s="15" t="s">
        <v>18435</v>
      </c>
      <c r="G37" s="15"/>
      <c r="H37" s="15"/>
      <c r="I37" s="15" t="s">
        <v>528</v>
      </c>
      <c r="J37" s="15" t="s">
        <v>15991</v>
      </c>
    </row>
    <row r="38" spans="2:10">
      <c r="B38" s="15" t="s">
        <v>18382</v>
      </c>
      <c r="C38" s="15" t="s">
        <v>18436</v>
      </c>
      <c r="D38" s="15" t="s">
        <v>327</v>
      </c>
      <c r="E38" s="15" t="s">
        <v>305</v>
      </c>
      <c r="F38" s="15" t="s">
        <v>18437</v>
      </c>
      <c r="G38" s="15"/>
      <c r="H38" s="15"/>
      <c r="I38" s="15" t="s">
        <v>528</v>
      </c>
      <c r="J38" s="15" t="s">
        <v>15991</v>
      </c>
    </row>
    <row r="39" spans="2:10">
      <c r="B39" s="15" t="s">
        <v>18382</v>
      </c>
      <c r="C39" s="15" t="s">
        <v>18438</v>
      </c>
      <c r="D39" s="15" t="s">
        <v>327</v>
      </c>
      <c r="E39" s="15" t="s">
        <v>305</v>
      </c>
      <c r="F39" s="15" t="s">
        <v>18439</v>
      </c>
      <c r="G39" s="15"/>
      <c r="H39" s="15"/>
      <c r="I39" s="15" t="s">
        <v>528</v>
      </c>
      <c r="J39" s="15" t="s">
        <v>15991</v>
      </c>
    </row>
    <row r="40" spans="2:10">
      <c r="B40" s="15" t="s">
        <v>18382</v>
      </c>
      <c r="C40" s="15" t="s">
        <v>18440</v>
      </c>
      <c r="D40" s="15" t="s">
        <v>327</v>
      </c>
      <c r="E40" s="15" t="s">
        <v>305</v>
      </c>
      <c r="F40" s="15" t="s">
        <v>18441</v>
      </c>
      <c r="G40" s="15"/>
      <c r="H40" s="15"/>
      <c r="I40" s="15" t="s">
        <v>528</v>
      </c>
      <c r="J40" s="15" t="s">
        <v>15991</v>
      </c>
    </row>
    <row r="41" spans="2:10">
      <c r="B41" s="15" t="s">
        <v>18382</v>
      </c>
      <c r="C41" s="15" t="s">
        <v>18442</v>
      </c>
      <c r="D41" s="15" t="s">
        <v>327</v>
      </c>
      <c r="E41" s="15" t="s">
        <v>305</v>
      </c>
      <c r="F41" s="15" t="s">
        <v>18443</v>
      </c>
      <c r="G41" s="15"/>
      <c r="H41" s="15"/>
      <c r="I41" s="15" t="s">
        <v>528</v>
      </c>
      <c r="J41" s="15" t="s">
        <v>15991</v>
      </c>
    </row>
    <row r="42" spans="2:10">
      <c r="B42" s="15" t="s">
        <v>18382</v>
      </c>
      <c r="C42" s="15" t="s">
        <v>18444</v>
      </c>
      <c r="D42" s="15" t="s">
        <v>327</v>
      </c>
      <c r="E42" s="15" t="s">
        <v>305</v>
      </c>
      <c r="F42" s="15" t="s">
        <v>18445</v>
      </c>
      <c r="G42" s="15"/>
      <c r="H42" s="15"/>
      <c r="I42" s="15" t="s">
        <v>528</v>
      </c>
      <c r="J42" s="15" t="s">
        <v>15991</v>
      </c>
    </row>
    <row r="43" spans="2:10">
      <c r="B43" s="15" t="s">
        <v>18382</v>
      </c>
      <c r="C43" s="15" t="s">
        <v>18446</v>
      </c>
      <c r="D43" s="15" t="s">
        <v>327</v>
      </c>
      <c r="E43" s="15" t="s">
        <v>305</v>
      </c>
      <c r="F43" s="15" t="s">
        <v>18447</v>
      </c>
      <c r="G43" s="15"/>
      <c r="H43" s="15"/>
      <c r="I43" s="15" t="s">
        <v>528</v>
      </c>
      <c r="J43" s="15" t="s">
        <v>15991</v>
      </c>
    </row>
    <row r="44" spans="2:10">
      <c r="B44" s="15" t="s">
        <v>18382</v>
      </c>
      <c r="C44" s="15" t="s">
        <v>18448</v>
      </c>
      <c r="D44" s="15" t="s">
        <v>327</v>
      </c>
      <c r="E44" s="15" t="s">
        <v>305</v>
      </c>
      <c r="F44" s="15" t="s">
        <v>18449</v>
      </c>
      <c r="G44" s="15"/>
      <c r="H44" s="15"/>
      <c r="I44" s="15" t="s">
        <v>528</v>
      </c>
      <c r="J44" s="15" t="s">
        <v>15991</v>
      </c>
    </row>
    <row r="45" spans="2:10">
      <c r="B45" s="15" t="s">
        <v>18382</v>
      </c>
      <c r="C45" s="15" t="s">
        <v>16011</v>
      </c>
      <c r="D45" s="15" t="s">
        <v>316</v>
      </c>
      <c r="E45" s="15" t="s">
        <v>305</v>
      </c>
      <c r="F45" s="15" t="s">
        <v>16012</v>
      </c>
      <c r="G45" s="15"/>
      <c r="H45" s="15"/>
      <c r="I45" s="15" t="s">
        <v>528</v>
      </c>
      <c r="J45" s="15" t="s">
        <v>15991</v>
      </c>
    </row>
    <row r="46" spans="2:10">
      <c r="B46" s="15" t="s">
        <v>18382</v>
      </c>
      <c r="C46" s="15" t="s">
        <v>16009</v>
      </c>
      <c r="D46" s="15" t="s">
        <v>316</v>
      </c>
      <c r="E46" s="15" t="s">
        <v>305</v>
      </c>
      <c r="F46" s="15" t="s">
        <v>16010</v>
      </c>
      <c r="G46" s="15"/>
      <c r="H46" s="15"/>
      <c r="I46" s="15" t="s">
        <v>528</v>
      </c>
      <c r="J46" s="15" t="s">
        <v>15991</v>
      </c>
    </row>
    <row r="47" spans="2:10">
      <c r="B47" s="15" t="s">
        <v>18382</v>
      </c>
      <c r="C47" s="15" t="s">
        <v>16013</v>
      </c>
      <c r="D47" s="15" t="s">
        <v>371</v>
      </c>
      <c r="E47" s="15" t="s">
        <v>305</v>
      </c>
      <c r="F47" s="15" t="s">
        <v>16014</v>
      </c>
      <c r="G47" s="15"/>
      <c r="H47" s="15"/>
      <c r="I47" s="15" t="s">
        <v>528</v>
      </c>
      <c r="J47" s="15" t="s">
        <v>15991</v>
      </c>
    </row>
    <row r="48" spans="2:10">
      <c r="B48" s="15" t="s">
        <v>18382</v>
      </c>
      <c r="C48" s="15" t="s">
        <v>16017</v>
      </c>
      <c r="D48" s="15" t="s">
        <v>316</v>
      </c>
      <c r="E48" s="15" t="s">
        <v>305</v>
      </c>
      <c r="F48" s="15" t="s">
        <v>16018</v>
      </c>
      <c r="G48" s="15"/>
      <c r="H48" s="15"/>
      <c r="I48" s="15" t="s">
        <v>528</v>
      </c>
      <c r="J48" s="15" t="s">
        <v>15991</v>
      </c>
    </row>
    <row r="49" spans="2:10">
      <c r="B49" s="15" t="s">
        <v>18382</v>
      </c>
      <c r="C49" s="15" t="s">
        <v>16015</v>
      </c>
      <c r="D49" s="15" t="s">
        <v>316</v>
      </c>
      <c r="E49" s="15" t="s">
        <v>305</v>
      </c>
      <c r="F49" s="15" t="s">
        <v>16016</v>
      </c>
      <c r="G49" s="15"/>
      <c r="H49" s="15"/>
      <c r="I49" s="15" t="s">
        <v>528</v>
      </c>
      <c r="J49" s="15" t="s">
        <v>15991</v>
      </c>
    </row>
    <row r="50" spans="2:10">
      <c r="B50" s="15" t="s">
        <v>18382</v>
      </c>
      <c r="C50" s="15" t="s">
        <v>16019</v>
      </c>
      <c r="D50" s="15" t="s">
        <v>371</v>
      </c>
      <c r="E50" s="15" t="s">
        <v>305</v>
      </c>
      <c r="F50" s="15" t="s">
        <v>16020</v>
      </c>
      <c r="G50" s="15"/>
      <c r="H50" s="15"/>
      <c r="I50" s="15" t="s">
        <v>528</v>
      </c>
      <c r="J50" s="15" t="s">
        <v>15991</v>
      </c>
    </row>
    <row r="51" spans="2:10">
      <c r="B51" s="15" t="s">
        <v>18382</v>
      </c>
      <c r="C51" s="15" t="s">
        <v>16088</v>
      </c>
      <c r="D51" s="15" t="s">
        <v>316</v>
      </c>
      <c r="E51" s="15" t="s">
        <v>305</v>
      </c>
      <c r="F51" s="15" t="s">
        <v>16089</v>
      </c>
      <c r="G51" s="15"/>
      <c r="H51" s="15"/>
      <c r="I51" s="15" t="s">
        <v>528</v>
      </c>
      <c r="J51" s="15" t="s">
        <v>15991</v>
      </c>
    </row>
    <row r="52" spans="2:10">
      <c r="B52" s="15" t="s">
        <v>18382</v>
      </c>
      <c r="C52" s="15" t="s">
        <v>16086</v>
      </c>
      <c r="D52" s="15" t="s">
        <v>16087</v>
      </c>
      <c r="E52" s="15" t="s">
        <v>305</v>
      </c>
      <c r="F52" s="15" t="s">
        <v>301</v>
      </c>
      <c r="G52" s="15"/>
      <c r="H52" s="15"/>
      <c r="I52" s="15" t="s">
        <v>528</v>
      </c>
      <c r="J52" s="15" t="s">
        <v>15991</v>
      </c>
    </row>
  </sheetData>
  <pageMargins left="0.75" right="0.75" top="1" bottom="1" header="0.5" footer="0.5"/>
  <pageSetup paperSize="1" orientation="portrait" horizontalDpi="300" verticalDpi="300"/>
  <headerFooter alignWithMargins="0" scaleWithDoc="0"/>
</worksheet>
</file>

<file path=xl/worksheets/sheet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4"/>
  <sheetViews>
    <sheetView zoomScaleSheetLayoutView="60" workbookViewId="0">
      <selection activeCell="A1" sqref="A1"/>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1" t="str">
        <f>HYPERLINK("#表结构清单!A1","返回")</f>
        <v>返回</v>
      </c>
      <c r="B1" t="s">
        <v>165</v>
      </c>
    </row>
    <row r="2" spans="2:10">
      <c r="B2" s="13" t="s">
        <v>15982</v>
      </c>
      <c r="C2" s="13" t="s">
        <v>297</v>
      </c>
      <c r="D2" s="13" t="s">
        <v>11870</v>
      </c>
      <c r="E2" s="13" t="s">
        <v>15983</v>
      </c>
      <c r="F2" s="13" t="s">
        <v>15984</v>
      </c>
      <c r="G2" s="13" t="s">
        <v>300</v>
      </c>
      <c r="H2" s="13" t="s">
        <v>301</v>
      </c>
      <c r="I2" s="13" t="s">
        <v>15985</v>
      </c>
      <c r="J2" s="13" t="s">
        <v>15986</v>
      </c>
    </row>
    <row r="3" spans="2:10">
      <c r="B3" s="15" t="s">
        <v>18450</v>
      </c>
      <c r="C3" s="15" t="s">
        <v>18451</v>
      </c>
      <c r="D3" s="15" t="s">
        <v>316</v>
      </c>
      <c r="E3" s="15" t="s">
        <v>15989</v>
      </c>
      <c r="F3" s="15" t="s">
        <v>18452</v>
      </c>
      <c r="G3" s="15"/>
      <c r="H3" s="15"/>
      <c r="I3" s="15" t="s">
        <v>528</v>
      </c>
      <c r="J3" s="15" t="s">
        <v>15991</v>
      </c>
    </row>
    <row r="4" spans="2:10">
      <c r="B4" s="15" t="s">
        <v>18450</v>
      </c>
      <c r="C4" s="15" t="s">
        <v>18453</v>
      </c>
      <c r="D4" s="15" t="s">
        <v>506</v>
      </c>
      <c r="E4" s="15" t="s">
        <v>305</v>
      </c>
      <c r="F4" s="15" t="s">
        <v>18454</v>
      </c>
      <c r="G4" s="15"/>
      <c r="H4" s="15"/>
      <c r="I4" s="15" t="s">
        <v>528</v>
      </c>
      <c r="J4" s="15" t="s">
        <v>15991</v>
      </c>
    </row>
    <row r="5" spans="2:10">
      <c r="B5" s="15" t="s">
        <v>18450</v>
      </c>
      <c r="C5" s="15" t="s">
        <v>18455</v>
      </c>
      <c r="D5" s="15" t="s">
        <v>316</v>
      </c>
      <c r="E5" s="15" t="s">
        <v>305</v>
      </c>
      <c r="F5" s="15" t="s">
        <v>18456</v>
      </c>
      <c r="G5" s="15"/>
      <c r="H5" s="15"/>
      <c r="I5" s="15" t="s">
        <v>528</v>
      </c>
      <c r="J5" s="15" t="s">
        <v>15991</v>
      </c>
    </row>
    <row r="6" spans="2:10">
      <c r="B6" s="15" t="s">
        <v>18450</v>
      </c>
      <c r="C6" s="15" t="s">
        <v>18457</v>
      </c>
      <c r="D6" s="15" t="s">
        <v>16072</v>
      </c>
      <c r="E6" s="15" t="s">
        <v>305</v>
      </c>
      <c r="F6" s="15" t="s">
        <v>18458</v>
      </c>
      <c r="G6" s="52" t="str">
        <f>HYPERLINK("#码值映射清单!B5150","YesNo")</f>
        <v>YesNo</v>
      </c>
      <c r="H6" s="15"/>
      <c r="I6" s="15" t="s">
        <v>528</v>
      </c>
      <c r="J6" s="15" t="s">
        <v>15991</v>
      </c>
    </row>
    <row r="7" spans="2:10">
      <c r="B7" s="15" t="s">
        <v>18450</v>
      </c>
      <c r="C7" s="15" t="s">
        <v>18459</v>
      </c>
      <c r="D7" s="15" t="s">
        <v>506</v>
      </c>
      <c r="E7" s="15" t="s">
        <v>305</v>
      </c>
      <c r="F7" s="15" t="s">
        <v>3603</v>
      </c>
      <c r="G7" s="52" t="str">
        <f>HYPERLINK("#码值映射清单!B2259","ClrTableName")</f>
        <v>ClrTableName</v>
      </c>
      <c r="H7" s="15"/>
      <c r="I7" s="15" t="s">
        <v>528</v>
      </c>
      <c r="J7" s="15" t="s">
        <v>15991</v>
      </c>
    </row>
    <row r="8" spans="2:10">
      <c r="B8" s="15" t="s">
        <v>18450</v>
      </c>
      <c r="C8" s="15" t="s">
        <v>18460</v>
      </c>
      <c r="D8" s="15" t="s">
        <v>316</v>
      </c>
      <c r="E8" s="15" t="s">
        <v>305</v>
      </c>
      <c r="F8" s="15" t="s">
        <v>18461</v>
      </c>
      <c r="G8" s="15"/>
      <c r="H8" s="15"/>
      <c r="I8" s="15" t="s">
        <v>528</v>
      </c>
      <c r="J8" s="15" t="s">
        <v>15991</v>
      </c>
    </row>
    <row r="9" spans="2:10">
      <c r="B9" s="15" t="s">
        <v>18450</v>
      </c>
      <c r="C9" s="15" t="s">
        <v>18462</v>
      </c>
      <c r="D9" s="15" t="s">
        <v>327</v>
      </c>
      <c r="E9" s="15" t="s">
        <v>305</v>
      </c>
      <c r="F9" s="15" t="s">
        <v>18463</v>
      </c>
      <c r="G9" s="15"/>
      <c r="H9" s="15"/>
      <c r="I9" s="15" t="s">
        <v>528</v>
      </c>
      <c r="J9" s="15" t="s">
        <v>15991</v>
      </c>
    </row>
    <row r="10" spans="2:10">
      <c r="B10" s="15" t="s">
        <v>18450</v>
      </c>
      <c r="C10" s="15" t="s">
        <v>18464</v>
      </c>
      <c r="D10" s="15" t="s">
        <v>327</v>
      </c>
      <c r="E10" s="15" t="s">
        <v>305</v>
      </c>
      <c r="F10" s="15" t="s">
        <v>18465</v>
      </c>
      <c r="G10" s="15"/>
      <c r="H10" s="15"/>
      <c r="I10" s="15" t="s">
        <v>528</v>
      </c>
      <c r="J10" s="15" t="s">
        <v>15991</v>
      </c>
    </row>
    <row r="11" spans="2:10">
      <c r="B11" s="15" t="s">
        <v>18450</v>
      </c>
      <c r="C11" s="15" t="s">
        <v>18466</v>
      </c>
      <c r="D11" s="15" t="s">
        <v>327</v>
      </c>
      <c r="E11" s="15" t="s">
        <v>305</v>
      </c>
      <c r="F11" s="15" t="s">
        <v>18467</v>
      </c>
      <c r="G11" s="15"/>
      <c r="H11" s="15"/>
      <c r="I11" s="15" t="s">
        <v>528</v>
      </c>
      <c r="J11" s="15" t="s">
        <v>15991</v>
      </c>
    </row>
    <row r="12" spans="2:10">
      <c r="B12" s="15" t="s">
        <v>18450</v>
      </c>
      <c r="C12" s="15" t="s">
        <v>16122</v>
      </c>
      <c r="D12" s="15" t="s">
        <v>371</v>
      </c>
      <c r="E12" s="15" t="s">
        <v>305</v>
      </c>
      <c r="F12" s="15" t="s">
        <v>16123</v>
      </c>
      <c r="G12" s="15"/>
      <c r="H12" s="15"/>
      <c r="I12" s="15" t="s">
        <v>528</v>
      </c>
      <c r="J12" s="15" t="s">
        <v>15991</v>
      </c>
    </row>
    <row r="13" spans="2:10">
      <c r="B13" s="15" t="s">
        <v>18450</v>
      </c>
      <c r="C13" s="15" t="s">
        <v>16124</v>
      </c>
      <c r="D13" s="15" t="s">
        <v>371</v>
      </c>
      <c r="E13" s="15" t="s">
        <v>305</v>
      </c>
      <c r="F13" s="15" t="s">
        <v>16125</v>
      </c>
      <c r="G13" s="15"/>
      <c r="H13" s="15"/>
      <c r="I13" s="15" t="s">
        <v>528</v>
      </c>
      <c r="J13" s="15" t="s">
        <v>15991</v>
      </c>
    </row>
    <row r="14" spans="2:10">
      <c r="B14" s="15" t="s">
        <v>18450</v>
      </c>
      <c r="C14" s="15" t="s">
        <v>16126</v>
      </c>
      <c r="D14" s="15" t="s">
        <v>16072</v>
      </c>
      <c r="E14" s="15" t="s">
        <v>305</v>
      </c>
      <c r="F14" s="15" t="s">
        <v>905</v>
      </c>
      <c r="G14" s="52" t="str">
        <f>HYPERLINK("#码值映射清单!B8509","ClrTypeStatus")</f>
        <v>ClrTypeStatus</v>
      </c>
      <c r="H14" s="15"/>
      <c r="I14" s="15" t="s">
        <v>528</v>
      </c>
      <c r="J14" s="15" t="s">
        <v>15991</v>
      </c>
    </row>
    <row r="15" spans="2:10">
      <c r="B15" s="15" t="s">
        <v>18450</v>
      </c>
      <c r="C15" s="15" t="s">
        <v>16009</v>
      </c>
      <c r="D15" s="15" t="s">
        <v>316</v>
      </c>
      <c r="E15" s="15" t="s">
        <v>305</v>
      </c>
      <c r="F15" s="15" t="s">
        <v>16010</v>
      </c>
      <c r="G15" s="15"/>
      <c r="H15" s="15"/>
      <c r="I15" s="15" t="s">
        <v>528</v>
      </c>
      <c r="J15" s="15" t="s">
        <v>15991</v>
      </c>
    </row>
    <row r="16" spans="2:10">
      <c r="B16" s="15" t="s">
        <v>18450</v>
      </c>
      <c r="C16" s="15" t="s">
        <v>16011</v>
      </c>
      <c r="D16" s="15" t="s">
        <v>316</v>
      </c>
      <c r="E16" s="15" t="s">
        <v>305</v>
      </c>
      <c r="F16" s="15" t="s">
        <v>16012</v>
      </c>
      <c r="G16" s="15"/>
      <c r="H16" s="15"/>
      <c r="I16" s="15" t="s">
        <v>528</v>
      </c>
      <c r="J16" s="15" t="s">
        <v>15991</v>
      </c>
    </row>
    <row r="17" spans="2:10">
      <c r="B17" s="15" t="s">
        <v>18450</v>
      </c>
      <c r="C17" s="15" t="s">
        <v>16013</v>
      </c>
      <c r="D17" s="15" t="s">
        <v>371</v>
      </c>
      <c r="E17" s="15" t="s">
        <v>305</v>
      </c>
      <c r="F17" s="15" t="s">
        <v>16014</v>
      </c>
      <c r="G17" s="15"/>
      <c r="H17" s="15"/>
      <c r="I17" s="15" t="s">
        <v>528</v>
      </c>
      <c r="J17" s="15" t="s">
        <v>15991</v>
      </c>
    </row>
    <row r="18" spans="2:10">
      <c r="B18" s="15" t="s">
        <v>18450</v>
      </c>
      <c r="C18" s="15" t="s">
        <v>16015</v>
      </c>
      <c r="D18" s="15" t="s">
        <v>316</v>
      </c>
      <c r="E18" s="15" t="s">
        <v>305</v>
      </c>
      <c r="F18" s="15" t="s">
        <v>16016</v>
      </c>
      <c r="G18" s="15"/>
      <c r="H18" s="15"/>
      <c r="I18" s="15" t="s">
        <v>528</v>
      </c>
      <c r="J18" s="15" t="s">
        <v>15991</v>
      </c>
    </row>
    <row r="19" spans="2:10">
      <c r="B19" s="15" t="s">
        <v>18450</v>
      </c>
      <c r="C19" s="15" t="s">
        <v>16017</v>
      </c>
      <c r="D19" s="15" t="s">
        <v>316</v>
      </c>
      <c r="E19" s="15" t="s">
        <v>305</v>
      </c>
      <c r="F19" s="15" t="s">
        <v>16018</v>
      </c>
      <c r="G19" s="15"/>
      <c r="H19" s="15"/>
      <c r="I19" s="15" t="s">
        <v>528</v>
      </c>
      <c r="J19" s="15" t="s">
        <v>15991</v>
      </c>
    </row>
    <row r="20" spans="2:10">
      <c r="B20" s="15" t="s">
        <v>18450</v>
      </c>
      <c r="C20" s="15" t="s">
        <v>16019</v>
      </c>
      <c r="D20" s="15" t="s">
        <v>371</v>
      </c>
      <c r="E20" s="15" t="s">
        <v>305</v>
      </c>
      <c r="F20" s="15" t="s">
        <v>16020</v>
      </c>
      <c r="G20" s="15"/>
      <c r="H20" s="15"/>
      <c r="I20" s="15" t="s">
        <v>528</v>
      </c>
      <c r="J20" s="15" t="s">
        <v>15991</v>
      </c>
    </row>
    <row r="21" spans="2:10">
      <c r="B21" s="15" t="s">
        <v>18450</v>
      </c>
      <c r="C21" s="15" t="s">
        <v>16086</v>
      </c>
      <c r="D21" s="15" t="s">
        <v>327</v>
      </c>
      <c r="E21" s="15" t="s">
        <v>305</v>
      </c>
      <c r="F21" s="15" t="s">
        <v>301</v>
      </c>
      <c r="G21" s="15"/>
      <c r="H21" s="15"/>
      <c r="I21" s="15" t="s">
        <v>528</v>
      </c>
      <c r="J21" s="15" t="s">
        <v>15991</v>
      </c>
    </row>
    <row r="22" spans="2:10">
      <c r="B22" s="15" t="s">
        <v>18450</v>
      </c>
      <c r="C22" s="15" t="s">
        <v>18468</v>
      </c>
      <c r="D22" s="15" t="s">
        <v>367</v>
      </c>
      <c r="E22" s="15" t="s">
        <v>305</v>
      </c>
      <c r="F22" s="15" t="s">
        <v>18469</v>
      </c>
      <c r="G22" s="15"/>
      <c r="H22" s="15"/>
      <c r="I22" s="15" t="s">
        <v>528</v>
      </c>
      <c r="J22" s="15" t="s">
        <v>15991</v>
      </c>
    </row>
    <row r="23" spans="2:10">
      <c r="B23" s="15" t="s">
        <v>18450</v>
      </c>
      <c r="C23" s="15" t="s">
        <v>18470</v>
      </c>
      <c r="D23" s="15" t="s">
        <v>367</v>
      </c>
      <c r="E23" s="15" t="s">
        <v>305</v>
      </c>
      <c r="F23" s="15" t="s">
        <v>18471</v>
      </c>
      <c r="G23" s="15"/>
      <c r="H23" s="15"/>
      <c r="I23" s="15" t="s">
        <v>528</v>
      </c>
      <c r="J23" s="15" t="s">
        <v>15991</v>
      </c>
    </row>
    <row r="24" spans="2:10">
      <c r="B24" s="15" t="s">
        <v>18450</v>
      </c>
      <c r="C24" s="15" t="s">
        <v>16088</v>
      </c>
      <c r="D24" s="15" t="s">
        <v>316</v>
      </c>
      <c r="E24" s="15" t="s">
        <v>305</v>
      </c>
      <c r="F24" s="15" t="s">
        <v>16089</v>
      </c>
      <c r="G24" s="15"/>
      <c r="H24" s="15"/>
      <c r="I24" s="15" t="s">
        <v>528</v>
      </c>
      <c r="J24" s="15" t="s">
        <v>15991</v>
      </c>
    </row>
  </sheetData>
  <pageMargins left="0.75" right="0.75" top="1" bottom="1" header="0.5" footer="0.5"/>
  <pageSetup paperSize="1" orientation="portrait" horizontalDpi="300" verticalDpi="300"/>
  <headerFooter alignWithMargins="0" scaleWithDoc="0"/>
</worksheet>
</file>

<file path=xl/worksheets/sheet7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2"/>
  <sheetViews>
    <sheetView zoomScaleSheetLayoutView="60" workbookViewId="0">
      <selection activeCell="D19" sqref="D19"/>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51" t="str">
        <f>HYPERLINK("#表结构清单!A1","返回")</f>
        <v>返回</v>
      </c>
      <c r="B1" t="s">
        <v>74</v>
      </c>
    </row>
    <row r="2" spans="2:10">
      <c r="B2" s="13" t="s">
        <v>15982</v>
      </c>
      <c r="C2" s="13" t="s">
        <v>297</v>
      </c>
      <c r="D2" s="13" t="s">
        <v>11870</v>
      </c>
      <c r="E2" s="13" t="s">
        <v>15983</v>
      </c>
      <c r="F2" s="13" t="s">
        <v>15984</v>
      </c>
      <c r="G2" s="13" t="s">
        <v>300</v>
      </c>
      <c r="H2" s="13" t="s">
        <v>301</v>
      </c>
      <c r="I2" s="13" t="s">
        <v>15985</v>
      </c>
      <c r="J2" s="13" t="s">
        <v>15986</v>
      </c>
    </row>
    <row r="3" spans="2:10">
      <c r="B3" s="15" t="s">
        <v>18472</v>
      </c>
      <c r="C3" s="15" t="s">
        <v>15988</v>
      </c>
      <c r="D3" s="15" t="s">
        <v>316</v>
      </c>
      <c r="E3" s="15" t="s">
        <v>15989</v>
      </c>
      <c r="F3" s="15" t="s">
        <v>15990</v>
      </c>
      <c r="G3" s="15"/>
      <c r="H3" s="15"/>
      <c r="I3" s="15" t="s">
        <v>528</v>
      </c>
      <c r="J3" s="15" t="s">
        <v>15991</v>
      </c>
    </row>
    <row r="4" spans="2:10">
      <c r="B4" s="15" t="s">
        <v>18472</v>
      </c>
      <c r="C4" s="15" t="s">
        <v>18473</v>
      </c>
      <c r="D4" s="15" t="s">
        <v>316</v>
      </c>
      <c r="E4" s="15" t="s">
        <v>305</v>
      </c>
      <c r="F4" s="15" t="s">
        <v>18384</v>
      </c>
      <c r="G4" s="15"/>
      <c r="H4" s="15"/>
      <c r="I4" s="15" t="s">
        <v>528</v>
      </c>
      <c r="J4" s="15" t="s">
        <v>15991</v>
      </c>
    </row>
    <row r="5" spans="2:10">
      <c r="B5" s="15" t="s">
        <v>18472</v>
      </c>
      <c r="C5" s="15" t="s">
        <v>18474</v>
      </c>
      <c r="D5" s="15" t="s">
        <v>506</v>
      </c>
      <c r="E5" s="15" t="s">
        <v>305</v>
      </c>
      <c r="F5" s="15" t="s">
        <v>18475</v>
      </c>
      <c r="G5" s="61" t="str">
        <f>HYPERLINK("#码值映射清单!B2740","CargoType")</f>
        <v>CargoType</v>
      </c>
      <c r="H5" s="15"/>
      <c r="I5" s="15" t="s">
        <v>528</v>
      </c>
      <c r="J5" s="15" t="s">
        <v>15991</v>
      </c>
    </row>
    <row r="6" spans="2:10">
      <c r="B6" s="15" t="s">
        <v>18472</v>
      </c>
      <c r="C6" s="15" t="s">
        <v>18476</v>
      </c>
      <c r="D6" s="15" t="s">
        <v>506</v>
      </c>
      <c r="E6" s="15" t="s">
        <v>305</v>
      </c>
      <c r="F6" s="15" t="s">
        <v>17507</v>
      </c>
      <c r="G6" s="61" t="str">
        <f>HYPERLINK("#码值映射清单!B9936","MaterialName")</f>
        <v>MaterialName</v>
      </c>
      <c r="H6" s="15"/>
      <c r="I6" s="15" t="s">
        <v>528</v>
      </c>
      <c r="J6" s="15" t="s">
        <v>15991</v>
      </c>
    </row>
    <row r="7" spans="2:10">
      <c r="B7" s="15" t="s">
        <v>18472</v>
      </c>
      <c r="C7" s="15" t="s">
        <v>18477</v>
      </c>
      <c r="D7" s="15" t="s">
        <v>367</v>
      </c>
      <c r="E7" s="15" t="s">
        <v>305</v>
      </c>
      <c r="F7" s="15" t="s">
        <v>17445</v>
      </c>
      <c r="G7" s="15"/>
      <c r="H7" s="15"/>
      <c r="I7" s="15" t="s">
        <v>528</v>
      </c>
      <c r="J7" s="15" t="s">
        <v>15991</v>
      </c>
    </row>
    <row r="8" spans="2:10">
      <c r="B8" s="15" t="s">
        <v>18472</v>
      </c>
      <c r="C8" s="15" t="s">
        <v>18478</v>
      </c>
      <c r="D8" s="15" t="s">
        <v>371</v>
      </c>
      <c r="E8" s="15" t="s">
        <v>305</v>
      </c>
      <c r="F8" s="15" t="s">
        <v>16788</v>
      </c>
      <c r="G8" s="15"/>
      <c r="H8" s="15"/>
      <c r="I8" s="15" t="s">
        <v>528</v>
      </c>
      <c r="J8" s="15" t="s">
        <v>15991</v>
      </c>
    </row>
    <row r="9" spans="2:10">
      <c r="B9" s="15" t="s">
        <v>18472</v>
      </c>
      <c r="C9" s="15" t="s">
        <v>18479</v>
      </c>
      <c r="D9" s="15" t="s">
        <v>350</v>
      </c>
      <c r="E9" s="15" t="s">
        <v>305</v>
      </c>
      <c r="F9" s="15" t="s">
        <v>18480</v>
      </c>
      <c r="G9" s="15"/>
      <c r="H9" s="15"/>
      <c r="I9" s="15" t="s">
        <v>528</v>
      </c>
      <c r="J9" s="15" t="s">
        <v>15991</v>
      </c>
    </row>
    <row r="10" spans="2:10">
      <c r="B10" s="15" t="s">
        <v>18472</v>
      </c>
      <c r="C10" s="15" t="s">
        <v>18481</v>
      </c>
      <c r="D10" s="15" t="s">
        <v>506</v>
      </c>
      <c r="E10" s="15" t="s">
        <v>305</v>
      </c>
      <c r="F10" s="15" t="s">
        <v>6583</v>
      </c>
      <c r="G10" s="15"/>
      <c r="H10" s="15"/>
      <c r="I10" s="15" t="s">
        <v>528</v>
      </c>
      <c r="J10" s="15" t="s">
        <v>15991</v>
      </c>
    </row>
    <row r="11" spans="2:10">
      <c r="B11" s="15" t="s">
        <v>18472</v>
      </c>
      <c r="C11" s="15" t="s">
        <v>18482</v>
      </c>
      <c r="D11" s="15" t="s">
        <v>350</v>
      </c>
      <c r="E11" s="15" t="s">
        <v>305</v>
      </c>
      <c r="F11" s="15" t="s">
        <v>18483</v>
      </c>
      <c r="G11" s="15"/>
      <c r="H11" s="15"/>
      <c r="I11" s="15" t="s">
        <v>528</v>
      </c>
      <c r="J11" s="15" t="s">
        <v>15991</v>
      </c>
    </row>
    <row r="12" spans="2:10">
      <c r="B12" s="15" t="s">
        <v>18472</v>
      </c>
      <c r="C12" s="15" t="s">
        <v>18484</v>
      </c>
      <c r="D12" s="15" t="s">
        <v>350</v>
      </c>
      <c r="E12" s="15" t="s">
        <v>305</v>
      </c>
      <c r="F12" s="15" t="s">
        <v>18485</v>
      </c>
      <c r="G12" s="15"/>
      <c r="H12" s="15"/>
      <c r="I12" s="15" t="s">
        <v>528</v>
      </c>
      <c r="J12" s="15" t="s">
        <v>15991</v>
      </c>
    </row>
    <row r="13" spans="2:10">
      <c r="B13" s="15" t="s">
        <v>18472</v>
      </c>
      <c r="C13" s="15" t="s">
        <v>18486</v>
      </c>
      <c r="D13" s="15" t="s">
        <v>350</v>
      </c>
      <c r="E13" s="15" t="s">
        <v>305</v>
      </c>
      <c r="F13" s="15" t="s">
        <v>18487</v>
      </c>
      <c r="G13" s="15"/>
      <c r="H13" s="15"/>
      <c r="I13" s="15" t="s">
        <v>528</v>
      </c>
      <c r="J13" s="15" t="s">
        <v>15991</v>
      </c>
    </row>
    <row r="14" spans="2:10">
      <c r="B14" s="15" t="s">
        <v>18472</v>
      </c>
      <c r="C14" s="15" t="s">
        <v>18488</v>
      </c>
      <c r="D14" s="15" t="s">
        <v>350</v>
      </c>
      <c r="E14" s="15" t="s">
        <v>305</v>
      </c>
      <c r="F14" s="15" t="s">
        <v>18489</v>
      </c>
      <c r="G14" s="15"/>
      <c r="H14" s="15"/>
      <c r="I14" s="15" t="s">
        <v>528</v>
      </c>
      <c r="J14" s="15" t="s">
        <v>15991</v>
      </c>
    </row>
    <row r="15" spans="2:10">
      <c r="B15" s="15" t="s">
        <v>18472</v>
      </c>
      <c r="C15" s="15" t="s">
        <v>16088</v>
      </c>
      <c r="D15" s="15" t="s">
        <v>316</v>
      </c>
      <c r="E15" s="15" t="s">
        <v>305</v>
      </c>
      <c r="F15" s="15" t="s">
        <v>18490</v>
      </c>
      <c r="G15" s="15"/>
      <c r="H15" s="15"/>
      <c r="I15" s="15" t="s">
        <v>528</v>
      </c>
      <c r="J15" s="15" t="s">
        <v>15991</v>
      </c>
    </row>
    <row r="16" spans="2:10">
      <c r="B16" s="15" t="s">
        <v>18472</v>
      </c>
      <c r="C16" s="15" t="s">
        <v>18491</v>
      </c>
      <c r="D16" s="15" t="s">
        <v>321</v>
      </c>
      <c r="E16" s="15" t="s">
        <v>305</v>
      </c>
      <c r="F16" s="15" t="s">
        <v>18492</v>
      </c>
      <c r="G16" s="15"/>
      <c r="H16" s="15"/>
      <c r="I16" s="15" t="s">
        <v>528</v>
      </c>
      <c r="J16" s="15" t="s">
        <v>15991</v>
      </c>
    </row>
    <row r="17" spans="2:10">
      <c r="B17" s="15" t="s">
        <v>18472</v>
      </c>
      <c r="C17" s="15" t="s">
        <v>16011</v>
      </c>
      <c r="D17" s="15" t="s">
        <v>316</v>
      </c>
      <c r="E17" s="15" t="s">
        <v>305</v>
      </c>
      <c r="F17" s="15" t="s">
        <v>16012</v>
      </c>
      <c r="G17" s="15"/>
      <c r="H17" s="15"/>
      <c r="I17" s="15" t="s">
        <v>528</v>
      </c>
      <c r="J17" s="15" t="s">
        <v>15991</v>
      </c>
    </row>
    <row r="18" spans="2:10">
      <c r="B18" s="15" t="s">
        <v>18472</v>
      </c>
      <c r="C18" s="15" t="s">
        <v>16009</v>
      </c>
      <c r="D18" s="15" t="s">
        <v>316</v>
      </c>
      <c r="E18" s="15" t="s">
        <v>305</v>
      </c>
      <c r="F18" s="15" t="s">
        <v>16010</v>
      </c>
      <c r="G18" s="15"/>
      <c r="H18" s="15"/>
      <c r="I18" s="15" t="s">
        <v>528</v>
      </c>
      <c r="J18" s="15" t="s">
        <v>15991</v>
      </c>
    </row>
    <row r="19" spans="2:10">
      <c r="B19" s="15" t="s">
        <v>18472</v>
      </c>
      <c r="C19" s="15" t="s">
        <v>16013</v>
      </c>
      <c r="D19" s="15" t="s">
        <v>371</v>
      </c>
      <c r="E19" s="15" t="s">
        <v>305</v>
      </c>
      <c r="F19" s="15" t="s">
        <v>16014</v>
      </c>
      <c r="G19" s="15"/>
      <c r="H19" s="15"/>
      <c r="I19" s="15" t="s">
        <v>528</v>
      </c>
      <c r="J19" s="15" t="s">
        <v>15991</v>
      </c>
    </row>
    <row r="20" spans="2:10">
      <c r="B20" s="15" t="s">
        <v>18472</v>
      </c>
      <c r="C20" s="15" t="s">
        <v>16017</v>
      </c>
      <c r="D20" s="15" t="s">
        <v>316</v>
      </c>
      <c r="E20" s="15" t="s">
        <v>305</v>
      </c>
      <c r="F20" s="15" t="s">
        <v>16018</v>
      </c>
      <c r="G20" s="15"/>
      <c r="H20" s="15"/>
      <c r="I20" s="15" t="s">
        <v>528</v>
      </c>
      <c r="J20" s="15" t="s">
        <v>15991</v>
      </c>
    </row>
    <row r="21" spans="2:10">
      <c r="B21" s="15" t="s">
        <v>18472</v>
      </c>
      <c r="C21" s="15" t="s">
        <v>16015</v>
      </c>
      <c r="D21" s="15" t="s">
        <v>316</v>
      </c>
      <c r="E21" s="15" t="s">
        <v>305</v>
      </c>
      <c r="F21" s="15" t="s">
        <v>16016</v>
      </c>
      <c r="G21" s="15"/>
      <c r="H21" s="15"/>
      <c r="I21" s="15" t="s">
        <v>528</v>
      </c>
      <c r="J21" s="15" t="s">
        <v>15991</v>
      </c>
    </row>
    <row r="22" spans="2:10">
      <c r="B22" s="15" t="s">
        <v>18472</v>
      </c>
      <c r="C22" s="15" t="s">
        <v>16019</v>
      </c>
      <c r="D22" s="15" t="s">
        <v>371</v>
      </c>
      <c r="E22" s="15" t="s">
        <v>305</v>
      </c>
      <c r="F22" s="15" t="s">
        <v>16020</v>
      </c>
      <c r="G22" s="15"/>
      <c r="H22" s="15"/>
      <c r="I22" s="15" t="s">
        <v>528</v>
      </c>
      <c r="J22" s="15" t="s">
        <v>15991</v>
      </c>
    </row>
  </sheetData>
  <pageMargins left="0.75" right="0.75" top="1" bottom="1" header="0.5" footer="0.5"/>
  <pageSetup paperSize="1" orientation="portrait" horizontalDpi="300" verticalDpi="300"/>
  <headerFooter alignWithMargins="0" scaleWithDoc="0"/>
</worksheet>
</file>

<file path=xl/worksheets/sheet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70"/>
  <sheetViews>
    <sheetView zoomScale="116" zoomScaleNormal="116" zoomScaleSheetLayoutView="60" workbookViewId="0">
      <selection activeCell="B2" sqref="B2"/>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1" t="str">
        <f>HYPERLINK("#表结构清单!A1","返回")</f>
        <v>返回</v>
      </c>
      <c r="B1" t="s">
        <v>169</v>
      </c>
    </row>
    <row r="2" spans="2:10">
      <c r="B2" s="13" t="s">
        <v>15982</v>
      </c>
      <c r="C2" s="13" t="s">
        <v>297</v>
      </c>
      <c r="D2" s="13" t="s">
        <v>11870</v>
      </c>
      <c r="E2" s="13" t="s">
        <v>15983</v>
      </c>
      <c r="F2" s="13" t="s">
        <v>15984</v>
      </c>
      <c r="G2" s="13" t="s">
        <v>300</v>
      </c>
      <c r="H2" s="13" t="s">
        <v>301</v>
      </c>
      <c r="I2" s="13" t="s">
        <v>15985</v>
      </c>
      <c r="J2" s="13" t="s">
        <v>15986</v>
      </c>
    </row>
    <row r="3" spans="1:10">
      <c r="A3" s="84"/>
      <c r="B3" s="15" t="s">
        <v>18493</v>
      </c>
      <c r="C3" s="15" t="s">
        <v>18494</v>
      </c>
      <c r="D3" s="15" t="s">
        <v>316</v>
      </c>
      <c r="E3" s="15" t="s">
        <v>15989</v>
      </c>
      <c r="F3" s="15" t="s">
        <v>18495</v>
      </c>
      <c r="G3" s="15"/>
      <c r="H3" s="15"/>
      <c r="I3" s="15" t="s">
        <v>528</v>
      </c>
      <c r="J3" s="15" t="s">
        <v>15991</v>
      </c>
    </row>
    <row r="4" spans="2:10">
      <c r="B4" s="15" t="s">
        <v>18493</v>
      </c>
      <c r="C4" s="15" t="s">
        <v>16953</v>
      </c>
      <c r="D4" s="15" t="s">
        <v>316</v>
      </c>
      <c r="E4" s="15" t="s">
        <v>305</v>
      </c>
      <c r="F4" s="15" t="s">
        <v>18496</v>
      </c>
      <c r="G4" s="15"/>
      <c r="H4" s="15"/>
      <c r="I4" s="15" t="s">
        <v>528</v>
      </c>
      <c r="J4" s="15" t="s">
        <v>15991</v>
      </c>
    </row>
    <row r="5" spans="2:10">
      <c r="B5" s="15" t="s">
        <v>18493</v>
      </c>
      <c r="C5" s="15" t="s">
        <v>16096</v>
      </c>
      <c r="D5" s="15" t="s">
        <v>316</v>
      </c>
      <c r="E5" s="15" t="s">
        <v>305</v>
      </c>
      <c r="F5" s="15" t="s">
        <v>16097</v>
      </c>
      <c r="G5" s="15"/>
      <c r="H5" s="15"/>
      <c r="I5" s="15" t="s">
        <v>528</v>
      </c>
      <c r="J5" s="15" t="s">
        <v>15991</v>
      </c>
    </row>
    <row r="6" spans="2:10">
      <c r="B6" s="15" t="s">
        <v>18493</v>
      </c>
      <c r="C6" s="15" t="s">
        <v>16103</v>
      </c>
      <c r="D6" s="15" t="s">
        <v>316</v>
      </c>
      <c r="E6" s="15" t="s">
        <v>305</v>
      </c>
      <c r="F6" s="15" t="s">
        <v>16986</v>
      </c>
      <c r="G6" s="15"/>
      <c r="H6" s="15"/>
      <c r="I6" s="15" t="s">
        <v>528</v>
      </c>
      <c r="J6" s="15" t="s">
        <v>15991</v>
      </c>
    </row>
    <row r="7" spans="2:10">
      <c r="B7" s="15" t="s">
        <v>18493</v>
      </c>
      <c r="C7" s="15" t="s">
        <v>18497</v>
      </c>
      <c r="D7" s="15" t="s">
        <v>513</v>
      </c>
      <c r="E7" s="15" t="s">
        <v>305</v>
      </c>
      <c r="F7" s="15" t="s">
        <v>18498</v>
      </c>
      <c r="G7" s="15"/>
      <c r="H7" s="15"/>
      <c r="I7" s="15" t="s">
        <v>528</v>
      </c>
      <c r="J7" s="15" t="s">
        <v>15991</v>
      </c>
    </row>
    <row r="8" spans="1:10">
      <c r="A8" s="84"/>
      <c r="B8" s="15" t="s">
        <v>18493</v>
      </c>
      <c r="C8" s="15" t="s">
        <v>18499</v>
      </c>
      <c r="D8" s="15" t="s">
        <v>321</v>
      </c>
      <c r="E8" s="15" t="s">
        <v>305</v>
      </c>
      <c r="F8" s="15" t="s">
        <v>3036</v>
      </c>
      <c r="G8" s="62" t="str">
        <f>HYPERLINK("#码值映射清单!B921","EvalOccurType")</f>
        <v>EvalOccurType</v>
      </c>
      <c r="H8" s="15"/>
      <c r="I8" s="15" t="s">
        <v>528</v>
      </c>
      <c r="J8" s="15" t="s">
        <v>15991</v>
      </c>
    </row>
    <row r="9" spans="1:10">
      <c r="A9" s="84"/>
      <c r="B9" s="46" t="s">
        <v>18493</v>
      </c>
      <c r="C9" s="46" t="s">
        <v>18500</v>
      </c>
      <c r="D9" s="46" t="s">
        <v>321</v>
      </c>
      <c r="E9" s="46" t="s">
        <v>305</v>
      </c>
      <c r="F9" s="49" t="s">
        <v>2681</v>
      </c>
      <c r="G9" s="85" t="str">
        <f>HYPERLINK("#码值映射清单!B9432","EvalType")</f>
        <v>EvalType</v>
      </c>
      <c r="H9" s="49" t="s">
        <v>18501</v>
      </c>
      <c r="I9" s="46" t="s">
        <v>528</v>
      </c>
      <c r="J9" s="67">
        <v>45740</v>
      </c>
    </row>
    <row r="10" spans="2:10">
      <c r="B10" s="15" t="s">
        <v>18493</v>
      </c>
      <c r="C10" s="15" t="s">
        <v>16947</v>
      </c>
      <c r="D10" s="15" t="s">
        <v>371</v>
      </c>
      <c r="E10" s="15" t="s">
        <v>305</v>
      </c>
      <c r="F10" s="15" t="s">
        <v>18502</v>
      </c>
      <c r="G10" s="15"/>
      <c r="H10" s="15"/>
      <c r="I10" s="15" t="s">
        <v>528</v>
      </c>
      <c r="J10" s="15" t="s">
        <v>15991</v>
      </c>
    </row>
    <row r="11" spans="2:10">
      <c r="B11" s="15" t="s">
        <v>18493</v>
      </c>
      <c r="C11" s="15" t="s">
        <v>18279</v>
      </c>
      <c r="D11" s="15" t="s">
        <v>371</v>
      </c>
      <c r="E11" s="15" t="s">
        <v>305</v>
      </c>
      <c r="F11" s="15" t="s">
        <v>18503</v>
      </c>
      <c r="G11" s="15"/>
      <c r="H11" s="15"/>
      <c r="I11" s="15" t="s">
        <v>528</v>
      </c>
      <c r="J11" s="15" t="s">
        <v>15991</v>
      </c>
    </row>
    <row r="12" spans="1:10">
      <c r="A12" s="84"/>
      <c r="B12" s="15" t="s">
        <v>18493</v>
      </c>
      <c r="C12" s="15" t="s">
        <v>18504</v>
      </c>
      <c r="D12" s="15" t="s">
        <v>316</v>
      </c>
      <c r="E12" s="15" t="s">
        <v>305</v>
      </c>
      <c r="F12" s="15" t="s">
        <v>18505</v>
      </c>
      <c r="G12" s="15"/>
      <c r="H12" s="15"/>
      <c r="I12" s="15" t="s">
        <v>528</v>
      </c>
      <c r="J12" s="15" t="s">
        <v>15991</v>
      </c>
    </row>
    <row r="13" spans="2:10">
      <c r="B13" s="15" t="s">
        <v>18493</v>
      </c>
      <c r="C13" s="15" t="s">
        <v>18506</v>
      </c>
      <c r="D13" s="15" t="s">
        <v>350</v>
      </c>
      <c r="E13" s="15" t="s">
        <v>305</v>
      </c>
      <c r="F13" s="15" t="s">
        <v>18507</v>
      </c>
      <c r="G13" s="15"/>
      <c r="H13" s="15"/>
      <c r="I13" s="15" t="s">
        <v>528</v>
      </c>
      <c r="J13" s="15" t="s">
        <v>15991</v>
      </c>
    </row>
    <row r="14" spans="2:10">
      <c r="B14" s="15" t="s">
        <v>18493</v>
      </c>
      <c r="C14" s="15" t="s">
        <v>18508</v>
      </c>
      <c r="D14" s="15" t="s">
        <v>316</v>
      </c>
      <c r="E14" s="15" t="s">
        <v>305</v>
      </c>
      <c r="F14" s="15" t="s">
        <v>18509</v>
      </c>
      <c r="G14" s="15"/>
      <c r="H14" s="15"/>
      <c r="I14" s="15" t="s">
        <v>528</v>
      </c>
      <c r="J14" s="15" t="s">
        <v>15991</v>
      </c>
    </row>
    <row r="15" spans="2:10">
      <c r="B15" s="15" t="s">
        <v>18493</v>
      </c>
      <c r="C15" s="15" t="s">
        <v>18510</v>
      </c>
      <c r="D15" s="15" t="s">
        <v>371</v>
      </c>
      <c r="E15" s="15" t="s">
        <v>305</v>
      </c>
      <c r="F15" s="20" t="s">
        <v>18511</v>
      </c>
      <c r="G15" s="15"/>
      <c r="H15" s="15"/>
      <c r="I15" s="15" t="s">
        <v>528</v>
      </c>
      <c r="J15" s="15" t="s">
        <v>15991</v>
      </c>
    </row>
    <row r="16" spans="2:10">
      <c r="B16" s="15" t="s">
        <v>18493</v>
      </c>
      <c r="C16" s="15" t="s">
        <v>18512</v>
      </c>
      <c r="D16" s="15" t="s">
        <v>321</v>
      </c>
      <c r="E16" s="15" t="s">
        <v>305</v>
      </c>
      <c r="F16" s="15" t="s">
        <v>11315</v>
      </c>
      <c r="G16" s="15"/>
      <c r="H16" s="15"/>
      <c r="I16" s="15" t="s">
        <v>528</v>
      </c>
      <c r="J16" s="15" t="s">
        <v>15991</v>
      </c>
    </row>
    <row r="17" spans="2:10">
      <c r="B17" s="15" t="s">
        <v>18493</v>
      </c>
      <c r="C17" s="15" t="s">
        <v>18513</v>
      </c>
      <c r="D17" s="15" t="s">
        <v>371</v>
      </c>
      <c r="E17" s="15" t="s">
        <v>305</v>
      </c>
      <c r="F17" s="15" t="s">
        <v>18514</v>
      </c>
      <c r="G17" s="15"/>
      <c r="H17" s="15"/>
      <c r="I17" s="15" t="s">
        <v>528</v>
      </c>
      <c r="J17" s="15" t="s">
        <v>15991</v>
      </c>
    </row>
    <row r="18" spans="2:10">
      <c r="B18" s="15" t="s">
        <v>18493</v>
      </c>
      <c r="C18" s="15" t="s">
        <v>18515</v>
      </c>
      <c r="D18" s="15" t="s">
        <v>321</v>
      </c>
      <c r="E18" s="15" t="s">
        <v>305</v>
      </c>
      <c r="F18" s="15" t="s">
        <v>8345</v>
      </c>
      <c r="G18" s="15"/>
      <c r="H18" s="15"/>
      <c r="I18" s="15" t="s">
        <v>528</v>
      </c>
      <c r="J18" s="15" t="s">
        <v>15991</v>
      </c>
    </row>
    <row r="19" spans="2:10">
      <c r="B19" s="15" t="s">
        <v>18493</v>
      </c>
      <c r="C19" s="15" t="s">
        <v>18516</v>
      </c>
      <c r="D19" s="15" t="s">
        <v>350</v>
      </c>
      <c r="E19" s="15" t="s">
        <v>305</v>
      </c>
      <c r="F19" s="20" t="s">
        <v>18517</v>
      </c>
      <c r="G19" s="15"/>
      <c r="H19" s="15"/>
      <c r="I19" s="15" t="s">
        <v>528</v>
      </c>
      <c r="J19" s="15" t="s">
        <v>15991</v>
      </c>
    </row>
    <row r="20" spans="2:10">
      <c r="B20" s="15" t="s">
        <v>18493</v>
      </c>
      <c r="C20" s="15" t="s">
        <v>18518</v>
      </c>
      <c r="D20" s="15" t="s">
        <v>350</v>
      </c>
      <c r="E20" s="15" t="s">
        <v>305</v>
      </c>
      <c r="F20" s="15" t="s">
        <v>18519</v>
      </c>
      <c r="G20" s="15"/>
      <c r="H20" s="15"/>
      <c r="I20" s="15" t="s">
        <v>528</v>
      </c>
      <c r="J20" s="15" t="s">
        <v>15991</v>
      </c>
    </row>
    <row r="21" spans="2:10">
      <c r="B21" s="15" t="s">
        <v>18493</v>
      </c>
      <c r="C21" s="15" t="s">
        <v>18520</v>
      </c>
      <c r="D21" s="15" t="s">
        <v>363</v>
      </c>
      <c r="E21" s="15" t="s">
        <v>305</v>
      </c>
      <c r="F21" s="15" t="s">
        <v>18521</v>
      </c>
      <c r="G21" s="15"/>
      <c r="H21" s="15"/>
      <c r="I21" s="15" t="s">
        <v>528</v>
      </c>
      <c r="J21" s="15" t="s">
        <v>15991</v>
      </c>
    </row>
    <row r="22" spans="2:10">
      <c r="B22" s="15" t="s">
        <v>18493</v>
      </c>
      <c r="C22" s="15" t="s">
        <v>18522</v>
      </c>
      <c r="D22" s="15" t="s">
        <v>350</v>
      </c>
      <c r="E22" s="15" t="s">
        <v>305</v>
      </c>
      <c r="F22" s="15" t="s">
        <v>18523</v>
      </c>
      <c r="G22" s="15"/>
      <c r="H22" s="15"/>
      <c r="I22" s="15" t="s">
        <v>528</v>
      </c>
      <c r="J22" s="15" t="s">
        <v>15991</v>
      </c>
    </row>
    <row r="23" spans="2:10">
      <c r="B23" s="15" t="s">
        <v>18493</v>
      </c>
      <c r="C23" s="15" t="s">
        <v>18524</v>
      </c>
      <c r="D23" s="15" t="s">
        <v>371</v>
      </c>
      <c r="E23" s="15" t="s">
        <v>305</v>
      </c>
      <c r="F23" s="15" t="s">
        <v>18525</v>
      </c>
      <c r="G23" s="15"/>
      <c r="H23" s="15"/>
      <c r="I23" s="15" t="s">
        <v>528</v>
      </c>
      <c r="J23" s="15" t="s">
        <v>15991</v>
      </c>
    </row>
    <row r="24" spans="2:10">
      <c r="B24" s="15" t="s">
        <v>18493</v>
      </c>
      <c r="C24" s="15" t="s">
        <v>18526</v>
      </c>
      <c r="D24" s="15" t="s">
        <v>350</v>
      </c>
      <c r="E24" s="15" t="s">
        <v>305</v>
      </c>
      <c r="F24" s="15" t="s">
        <v>18527</v>
      </c>
      <c r="G24" s="15"/>
      <c r="H24" s="15"/>
      <c r="I24" s="15" t="s">
        <v>528</v>
      </c>
      <c r="J24" s="15" t="s">
        <v>15991</v>
      </c>
    </row>
    <row r="25" spans="2:10">
      <c r="B25" s="15" t="s">
        <v>18493</v>
      </c>
      <c r="C25" s="15" t="s">
        <v>18528</v>
      </c>
      <c r="D25" s="15" t="s">
        <v>316</v>
      </c>
      <c r="E25" s="15" t="s">
        <v>305</v>
      </c>
      <c r="F25" s="15" t="s">
        <v>18529</v>
      </c>
      <c r="G25" s="15"/>
      <c r="H25" s="15"/>
      <c r="I25" s="15" t="s">
        <v>528</v>
      </c>
      <c r="J25" s="15" t="s">
        <v>15991</v>
      </c>
    </row>
    <row r="26" spans="2:10">
      <c r="B26" s="15" t="s">
        <v>18493</v>
      </c>
      <c r="C26" s="15" t="s">
        <v>18530</v>
      </c>
      <c r="D26" s="15" t="s">
        <v>316</v>
      </c>
      <c r="E26" s="15" t="s">
        <v>305</v>
      </c>
      <c r="F26" s="15" t="s">
        <v>18531</v>
      </c>
      <c r="G26" s="15"/>
      <c r="H26" s="15"/>
      <c r="I26" s="15" t="s">
        <v>528</v>
      </c>
      <c r="J26" s="15" t="s">
        <v>15991</v>
      </c>
    </row>
    <row r="27" spans="2:10">
      <c r="B27" s="15" t="s">
        <v>18493</v>
      </c>
      <c r="C27" s="15" t="s">
        <v>18532</v>
      </c>
      <c r="D27" s="15" t="s">
        <v>371</v>
      </c>
      <c r="E27" s="15" t="s">
        <v>305</v>
      </c>
      <c r="F27" s="15" t="s">
        <v>18533</v>
      </c>
      <c r="G27" s="15"/>
      <c r="H27" s="15"/>
      <c r="I27" s="15" t="s">
        <v>528</v>
      </c>
      <c r="J27" s="15" t="s">
        <v>15991</v>
      </c>
    </row>
    <row r="28" spans="2:10">
      <c r="B28" s="15" t="s">
        <v>18493</v>
      </c>
      <c r="C28" s="15" t="s">
        <v>18534</v>
      </c>
      <c r="D28" s="15" t="s">
        <v>350</v>
      </c>
      <c r="E28" s="15" t="s">
        <v>305</v>
      </c>
      <c r="F28" s="15" t="s">
        <v>18535</v>
      </c>
      <c r="G28" s="15"/>
      <c r="H28" s="15"/>
      <c r="I28" s="15" t="s">
        <v>528</v>
      </c>
      <c r="J28" s="15" t="s">
        <v>15991</v>
      </c>
    </row>
    <row r="29" spans="2:10">
      <c r="B29" s="15" t="s">
        <v>18493</v>
      </c>
      <c r="C29" s="15" t="s">
        <v>18536</v>
      </c>
      <c r="D29" s="15" t="s">
        <v>350</v>
      </c>
      <c r="E29" s="15" t="s">
        <v>305</v>
      </c>
      <c r="F29" s="15" t="s">
        <v>18537</v>
      </c>
      <c r="G29" s="15"/>
      <c r="H29" s="15"/>
      <c r="I29" s="15" t="s">
        <v>528</v>
      </c>
      <c r="J29" s="15" t="s">
        <v>15991</v>
      </c>
    </row>
    <row r="30" spans="2:10">
      <c r="B30" s="15" t="s">
        <v>18493</v>
      </c>
      <c r="C30" s="15" t="s">
        <v>18538</v>
      </c>
      <c r="D30" s="15" t="s">
        <v>363</v>
      </c>
      <c r="E30" s="15" t="s">
        <v>305</v>
      </c>
      <c r="F30" s="15" t="s">
        <v>18539</v>
      </c>
      <c r="G30" s="15"/>
      <c r="H30" s="15"/>
      <c r="I30" s="15" t="s">
        <v>528</v>
      </c>
      <c r="J30" s="15" t="s">
        <v>15991</v>
      </c>
    </row>
    <row r="31" spans="2:10">
      <c r="B31" s="15" t="s">
        <v>18493</v>
      </c>
      <c r="C31" s="15" t="s">
        <v>18540</v>
      </c>
      <c r="D31" s="15" t="s">
        <v>350</v>
      </c>
      <c r="E31" s="15" t="s">
        <v>305</v>
      </c>
      <c r="F31" s="15" t="s">
        <v>18541</v>
      </c>
      <c r="G31" s="15"/>
      <c r="H31" s="15"/>
      <c r="I31" s="15" t="s">
        <v>528</v>
      </c>
      <c r="J31" s="15" t="s">
        <v>15991</v>
      </c>
    </row>
    <row r="32" spans="2:10">
      <c r="B32" s="15" t="s">
        <v>18493</v>
      </c>
      <c r="C32" s="15" t="s">
        <v>18542</v>
      </c>
      <c r="D32" s="15" t="s">
        <v>17036</v>
      </c>
      <c r="E32" s="15" t="s">
        <v>305</v>
      </c>
      <c r="F32" s="15" t="s">
        <v>18543</v>
      </c>
      <c r="G32" s="15"/>
      <c r="H32" s="15"/>
      <c r="I32" s="15" t="s">
        <v>528</v>
      </c>
      <c r="J32" s="15" t="s">
        <v>15991</v>
      </c>
    </row>
    <row r="33" spans="2:10">
      <c r="B33" s="15" t="s">
        <v>18493</v>
      </c>
      <c r="C33" s="15" t="s">
        <v>18544</v>
      </c>
      <c r="D33" s="15" t="s">
        <v>350</v>
      </c>
      <c r="E33" s="15" t="s">
        <v>305</v>
      </c>
      <c r="F33" s="15" t="s">
        <v>18545</v>
      </c>
      <c r="G33" s="15"/>
      <c r="H33" s="15"/>
      <c r="I33" s="15" t="s">
        <v>528</v>
      </c>
      <c r="J33" s="15" t="s">
        <v>15991</v>
      </c>
    </row>
    <row r="34" spans="2:10">
      <c r="B34" s="15" t="s">
        <v>18493</v>
      </c>
      <c r="C34" s="15" t="s">
        <v>18546</v>
      </c>
      <c r="D34" s="15" t="s">
        <v>506</v>
      </c>
      <c r="E34" s="15" t="s">
        <v>305</v>
      </c>
      <c r="F34" s="15" t="s">
        <v>18547</v>
      </c>
      <c r="G34" s="15"/>
      <c r="H34" s="15"/>
      <c r="I34" s="15" t="s">
        <v>528</v>
      </c>
      <c r="J34" s="15" t="s">
        <v>15991</v>
      </c>
    </row>
    <row r="35" spans="2:10">
      <c r="B35" s="15" t="s">
        <v>18493</v>
      </c>
      <c r="C35" s="15" t="s">
        <v>18548</v>
      </c>
      <c r="D35" s="15" t="s">
        <v>506</v>
      </c>
      <c r="E35" s="15" t="s">
        <v>305</v>
      </c>
      <c r="F35" s="15" t="s">
        <v>18549</v>
      </c>
      <c r="G35" s="15"/>
      <c r="H35" s="15"/>
      <c r="I35" s="15" t="s">
        <v>528</v>
      </c>
      <c r="J35" s="15" t="s">
        <v>15991</v>
      </c>
    </row>
    <row r="36" spans="2:10">
      <c r="B36" s="15" t="s">
        <v>18493</v>
      </c>
      <c r="C36" s="15" t="s">
        <v>16047</v>
      </c>
      <c r="D36" s="15" t="s">
        <v>371</v>
      </c>
      <c r="E36" s="15" t="s">
        <v>305</v>
      </c>
      <c r="F36" s="15" t="s">
        <v>18550</v>
      </c>
      <c r="G36" s="15"/>
      <c r="H36" s="15"/>
      <c r="I36" s="15" t="s">
        <v>528</v>
      </c>
      <c r="J36" s="15" t="s">
        <v>15991</v>
      </c>
    </row>
    <row r="37" spans="2:10">
      <c r="B37" s="15" t="s">
        <v>18493</v>
      </c>
      <c r="C37" s="15" t="s">
        <v>18551</v>
      </c>
      <c r="D37" s="15" t="s">
        <v>350</v>
      </c>
      <c r="E37" s="15" t="s">
        <v>305</v>
      </c>
      <c r="F37" s="15" t="s">
        <v>18552</v>
      </c>
      <c r="G37" s="15"/>
      <c r="H37" s="15"/>
      <c r="I37" s="15" t="s">
        <v>528</v>
      </c>
      <c r="J37" s="15" t="s">
        <v>15991</v>
      </c>
    </row>
    <row r="38" spans="2:10">
      <c r="B38" s="15" t="s">
        <v>18493</v>
      </c>
      <c r="C38" s="15" t="s">
        <v>18553</v>
      </c>
      <c r="D38" s="15" t="s">
        <v>350</v>
      </c>
      <c r="E38" s="15" t="s">
        <v>305</v>
      </c>
      <c r="F38" s="15" t="s">
        <v>18554</v>
      </c>
      <c r="G38" s="15"/>
      <c r="H38" s="15"/>
      <c r="I38" s="15" t="s">
        <v>528</v>
      </c>
      <c r="J38" s="15" t="s">
        <v>15991</v>
      </c>
    </row>
    <row r="39" spans="2:10">
      <c r="B39" s="15" t="s">
        <v>18493</v>
      </c>
      <c r="C39" s="15" t="s">
        <v>18555</v>
      </c>
      <c r="D39" s="15" t="s">
        <v>350</v>
      </c>
      <c r="E39" s="15" t="s">
        <v>305</v>
      </c>
      <c r="F39" s="15" t="s">
        <v>18556</v>
      </c>
      <c r="G39" s="15"/>
      <c r="H39" s="15"/>
      <c r="I39" s="15" t="s">
        <v>528</v>
      </c>
      <c r="J39" s="15" t="s">
        <v>15991</v>
      </c>
    </row>
    <row r="40" spans="2:10">
      <c r="B40" s="15" t="s">
        <v>18493</v>
      </c>
      <c r="C40" s="15" t="s">
        <v>18557</v>
      </c>
      <c r="D40" s="15" t="s">
        <v>350</v>
      </c>
      <c r="E40" s="15" t="s">
        <v>305</v>
      </c>
      <c r="F40" s="15" t="s">
        <v>18558</v>
      </c>
      <c r="G40" s="15"/>
      <c r="H40" s="15"/>
      <c r="I40" s="15" t="s">
        <v>528</v>
      </c>
      <c r="J40" s="15" t="s">
        <v>15991</v>
      </c>
    </row>
    <row r="41" spans="2:10">
      <c r="B41" s="15" t="s">
        <v>18493</v>
      </c>
      <c r="C41" s="15" t="s">
        <v>18559</v>
      </c>
      <c r="D41" s="15" t="s">
        <v>350</v>
      </c>
      <c r="E41" s="15" t="s">
        <v>305</v>
      </c>
      <c r="F41" s="15" t="s">
        <v>18560</v>
      </c>
      <c r="G41" s="15"/>
      <c r="H41" s="15"/>
      <c r="I41" s="15" t="s">
        <v>528</v>
      </c>
      <c r="J41" s="15" t="s">
        <v>15991</v>
      </c>
    </row>
    <row r="42" spans="2:10">
      <c r="B42" s="15" t="s">
        <v>18493</v>
      </c>
      <c r="C42" s="15" t="s">
        <v>18561</v>
      </c>
      <c r="D42" s="15" t="s">
        <v>371</v>
      </c>
      <c r="E42" s="15" t="s">
        <v>305</v>
      </c>
      <c r="F42" s="15" t="s">
        <v>18562</v>
      </c>
      <c r="G42" s="15"/>
      <c r="H42" s="15"/>
      <c r="I42" s="15" t="s">
        <v>528</v>
      </c>
      <c r="J42" s="15" t="s">
        <v>15991</v>
      </c>
    </row>
    <row r="43" spans="2:10">
      <c r="B43" s="15" t="s">
        <v>18493</v>
      </c>
      <c r="C43" s="15" t="s">
        <v>18563</v>
      </c>
      <c r="D43" s="15" t="s">
        <v>506</v>
      </c>
      <c r="E43" s="15" t="s">
        <v>305</v>
      </c>
      <c r="F43" s="15" t="s">
        <v>18564</v>
      </c>
      <c r="G43" s="15"/>
      <c r="H43" s="15"/>
      <c r="I43" s="15" t="s">
        <v>528</v>
      </c>
      <c r="J43" s="15" t="s">
        <v>15991</v>
      </c>
    </row>
    <row r="44" spans="2:10">
      <c r="B44" s="15" t="s">
        <v>18493</v>
      </c>
      <c r="C44" s="15" t="s">
        <v>18565</v>
      </c>
      <c r="D44" s="15" t="s">
        <v>321</v>
      </c>
      <c r="E44" s="15" t="s">
        <v>305</v>
      </c>
      <c r="F44" s="15" t="s">
        <v>18566</v>
      </c>
      <c r="G44" s="15"/>
      <c r="H44" s="15"/>
      <c r="I44" s="15" t="s">
        <v>528</v>
      </c>
      <c r="J44" s="15" t="s">
        <v>15991</v>
      </c>
    </row>
    <row r="45" spans="2:10">
      <c r="B45" s="15" t="s">
        <v>18493</v>
      </c>
      <c r="C45" s="15" t="s">
        <v>18567</v>
      </c>
      <c r="D45" s="15" t="s">
        <v>321</v>
      </c>
      <c r="E45" s="15" t="s">
        <v>305</v>
      </c>
      <c r="F45" s="15" t="s">
        <v>18568</v>
      </c>
      <c r="G45" s="15"/>
      <c r="H45" s="15"/>
      <c r="I45" s="15" t="s">
        <v>528</v>
      </c>
      <c r="J45" s="15" t="s">
        <v>15991</v>
      </c>
    </row>
    <row r="46" spans="2:10">
      <c r="B46" s="15" t="s">
        <v>18493</v>
      </c>
      <c r="C46" s="15" t="s">
        <v>18569</v>
      </c>
      <c r="D46" s="15" t="s">
        <v>367</v>
      </c>
      <c r="E46" s="15" t="s">
        <v>305</v>
      </c>
      <c r="F46" s="15" t="s">
        <v>18570</v>
      </c>
      <c r="G46" s="15"/>
      <c r="H46" s="15"/>
      <c r="I46" s="15" t="s">
        <v>528</v>
      </c>
      <c r="J46" s="15" t="s">
        <v>15991</v>
      </c>
    </row>
    <row r="47" spans="2:10">
      <c r="B47" s="15" t="s">
        <v>18493</v>
      </c>
      <c r="C47" s="15" t="s">
        <v>18571</v>
      </c>
      <c r="D47" s="15" t="s">
        <v>316</v>
      </c>
      <c r="E47" s="15" t="s">
        <v>305</v>
      </c>
      <c r="F47" s="15" t="s">
        <v>18572</v>
      </c>
      <c r="G47" s="15"/>
      <c r="H47" s="15"/>
      <c r="I47" s="15" t="s">
        <v>528</v>
      </c>
      <c r="J47" s="15" t="s">
        <v>15991</v>
      </c>
    </row>
    <row r="48" spans="2:10">
      <c r="B48" s="15" t="s">
        <v>18493</v>
      </c>
      <c r="C48" s="15" t="s">
        <v>16009</v>
      </c>
      <c r="D48" s="15" t="s">
        <v>316</v>
      </c>
      <c r="E48" s="15" t="s">
        <v>305</v>
      </c>
      <c r="F48" s="15" t="s">
        <v>16010</v>
      </c>
      <c r="G48" s="15"/>
      <c r="H48" s="15"/>
      <c r="I48" s="15" t="s">
        <v>528</v>
      </c>
      <c r="J48" s="15" t="s">
        <v>15991</v>
      </c>
    </row>
    <row r="49" spans="2:10">
      <c r="B49" s="15" t="s">
        <v>18493</v>
      </c>
      <c r="C49" s="15" t="s">
        <v>16011</v>
      </c>
      <c r="D49" s="15" t="s">
        <v>316</v>
      </c>
      <c r="E49" s="15" t="s">
        <v>305</v>
      </c>
      <c r="F49" s="15" t="s">
        <v>16012</v>
      </c>
      <c r="G49" s="15"/>
      <c r="H49" s="15"/>
      <c r="I49" s="15" t="s">
        <v>528</v>
      </c>
      <c r="J49" s="15" t="s">
        <v>15991</v>
      </c>
    </row>
    <row r="50" spans="2:10">
      <c r="B50" s="15" t="s">
        <v>18493</v>
      </c>
      <c r="C50" s="15" t="s">
        <v>16013</v>
      </c>
      <c r="D50" s="15" t="s">
        <v>371</v>
      </c>
      <c r="E50" s="15" t="s">
        <v>305</v>
      </c>
      <c r="F50" s="15" t="s">
        <v>16014</v>
      </c>
      <c r="G50" s="15"/>
      <c r="H50" s="15"/>
      <c r="I50" s="15" t="s">
        <v>528</v>
      </c>
      <c r="J50" s="15" t="s">
        <v>15991</v>
      </c>
    </row>
    <row r="51" spans="2:10">
      <c r="B51" s="15" t="s">
        <v>18493</v>
      </c>
      <c r="C51" s="15" t="s">
        <v>16015</v>
      </c>
      <c r="D51" s="15" t="s">
        <v>316</v>
      </c>
      <c r="E51" s="15" t="s">
        <v>305</v>
      </c>
      <c r="F51" s="15" t="s">
        <v>16016</v>
      </c>
      <c r="G51" s="15"/>
      <c r="H51" s="15"/>
      <c r="I51" s="15" t="s">
        <v>528</v>
      </c>
      <c r="J51" s="15" t="s">
        <v>15991</v>
      </c>
    </row>
    <row r="52" spans="2:10">
      <c r="B52" s="15" t="s">
        <v>18493</v>
      </c>
      <c r="C52" s="15" t="s">
        <v>16017</v>
      </c>
      <c r="D52" s="15" t="s">
        <v>316</v>
      </c>
      <c r="E52" s="15" t="s">
        <v>305</v>
      </c>
      <c r="F52" s="15" t="s">
        <v>16018</v>
      </c>
      <c r="G52" s="15"/>
      <c r="H52" s="15"/>
      <c r="I52" s="15" t="s">
        <v>528</v>
      </c>
      <c r="J52" s="15" t="s">
        <v>15991</v>
      </c>
    </row>
    <row r="53" spans="2:10">
      <c r="B53" s="15" t="s">
        <v>18493</v>
      </c>
      <c r="C53" s="15" t="s">
        <v>16019</v>
      </c>
      <c r="D53" s="15" t="s">
        <v>371</v>
      </c>
      <c r="E53" s="15" t="s">
        <v>305</v>
      </c>
      <c r="F53" s="15" t="s">
        <v>16020</v>
      </c>
      <c r="G53" s="15"/>
      <c r="H53" s="15"/>
      <c r="I53" s="15" t="s">
        <v>528</v>
      </c>
      <c r="J53" s="15" t="s">
        <v>15991</v>
      </c>
    </row>
    <row r="54" spans="2:10">
      <c r="B54" s="15" t="s">
        <v>18493</v>
      </c>
      <c r="C54" s="15" t="s">
        <v>16086</v>
      </c>
      <c r="D54" s="15" t="s">
        <v>327</v>
      </c>
      <c r="E54" s="15" t="s">
        <v>305</v>
      </c>
      <c r="F54" s="15" t="s">
        <v>301</v>
      </c>
      <c r="G54" s="15"/>
      <c r="H54" s="15"/>
      <c r="I54" s="15" t="s">
        <v>528</v>
      </c>
      <c r="J54" s="15" t="s">
        <v>15991</v>
      </c>
    </row>
    <row r="55" spans="2:10">
      <c r="B55" s="15" t="s">
        <v>18493</v>
      </c>
      <c r="C55" s="15" t="s">
        <v>16088</v>
      </c>
      <c r="D55" s="15" t="s">
        <v>316</v>
      </c>
      <c r="E55" s="15" t="s">
        <v>305</v>
      </c>
      <c r="F55" s="15" t="s">
        <v>16089</v>
      </c>
      <c r="G55" s="15"/>
      <c r="H55" s="15"/>
      <c r="I55" s="15" t="s">
        <v>528</v>
      </c>
      <c r="J55" s="15" t="s">
        <v>15991</v>
      </c>
    </row>
    <row r="56" spans="1:10">
      <c r="A56" s="69"/>
      <c r="B56" s="37" t="s">
        <v>18493</v>
      </c>
      <c r="C56" s="37" t="s">
        <v>18573</v>
      </c>
      <c r="D56" s="37" t="s">
        <v>371</v>
      </c>
      <c r="E56" s="37" t="s">
        <v>305</v>
      </c>
      <c r="F56" s="38" t="s">
        <v>18562</v>
      </c>
      <c r="G56" s="70"/>
      <c r="H56" s="38"/>
      <c r="I56" s="37"/>
      <c r="J56" s="67">
        <v>45740</v>
      </c>
    </row>
    <row r="57" spans="1:10">
      <c r="A57" s="69"/>
      <c r="B57" s="37" t="s">
        <v>18493</v>
      </c>
      <c r="C57" s="37" t="s">
        <v>18451</v>
      </c>
      <c r="D57" s="37" t="s">
        <v>316</v>
      </c>
      <c r="E57" s="37" t="s">
        <v>305</v>
      </c>
      <c r="F57" s="86" t="s">
        <v>18452</v>
      </c>
      <c r="G57" s="87"/>
      <c r="H57" s="86"/>
      <c r="I57" s="73"/>
      <c r="J57" s="91">
        <v>45740</v>
      </c>
    </row>
    <row r="58" spans="2:10">
      <c r="B58" s="37" t="s">
        <v>18493</v>
      </c>
      <c r="C58" s="69" t="s">
        <v>18574</v>
      </c>
      <c r="D58" s="69" t="s">
        <v>316</v>
      </c>
      <c r="E58" s="56" t="s">
        <v>305</v>
      </c>
      <c r="F58" s="83" t="s">
        <v>18575</v>
      </c>
      <c r="G58" s="57"/>
      <c r="H58" s="57"/>
      <c r="I58" s="57"/>
      <c r="J58" s="50">
        <v>45740</v>
      </c>
    </row>
    <row r="59" spans="2:11">
      <c r="B59" s="37" t="s">
        <v>18493</v>
      </c>
      <c r="C59" s="37" t="s">
        <v>18576</v>
      </c>
      <c r="D59" s="37" t="s">
        <v>18577</v>
      </c>
      <c r="E59" s="37" t="s">
        <v>305</v>
      </c>
      <c r="F59" s="88" t="s">
        <v>18578</v>
      </c>
      <c r="G59" s="89"/>
      <c r="H59" s="90"/>
      <c r="I59" s="92"/>
      <c r="J59" s="50">
        <v>45740</v>
      </c>
      <c r="K59" s="93" t="s">
        <v>18579</v>
      </c>
    </row>
    <row r="60" spans="2:11">
      <c r="B60" s="37" t="s">
        <v>18493</v>
      </c>
      <c r="C60" s="37" t="s">
        <v>18580</v>
      </c>
      <c r="D60" s="37" t="s">
        <v>18577</v>
      </c>
      <c r="E60" s="37" t="s">
        <v>305</v>
      </c>
      <c r="F60" s="38" t="s">
        <v>18581</v>
      </c>
      <c r="G60" s="56"/>
      <c r="H60" s="60"/>
      <c r="I60" s="94"/>
      <c r="J60" s="50">
        <v>45740</v>
      </c>
      <c r="K60" s="95"/>
    </row>
    <row r="61" spans="2:11">
      <c r="B61" s="37" t="s">
        <v>18493</v>
      </c>
      <c r="C61" s="37" t="s">
        <v>18582</v>
      </c>
      <c r="D61" s="37" t="s">
        <v>18577</v>
      </c>
      <c r="E61" s="37" t="s">
        <v>305</v>
      </c>
      <c r="F61" s="38" t="s">
        <v>18583</v>
      </c>
      <c r="G61" s="56"/>
      <c r="H61" s="60"/>
      <c r="I61" s="94"/>
      <c r="J61" s="50">
        <v>45740</v>
      </c>
      <c r="K61" s="95"/>
    </row>
    <row r="62" spans="2:11">
      <c r="B62" s="37" t="s">
        <v>18493</v>
      </c>
      <c r="C62" s="37" t="s">
        <v>18584</v>
      </c>
      <c r="D62" s="37" t="s">
        <v>18577</v>
      </c>
      <c r="E62" s="37" t="s">
        <v>305</v>
      </c>
      <c r="F62" s="38" t="s">
        <v>18585</v>
      </c>
      <c r="G62" s="56"/>
      <c r="H62" s="60"/>
      <c r="I62" s="94"/>
      <c r="J62" s="50">
        <v>45740</v>
      </c>
      <c r="K62" s="95"/>
    </row>
    <row r="63" spans="2:11">
      <c r="B63" s="37" t="s">
        <v>18493</v>
      </c>
      <c r="C63" s="37" t="s">
        <v>18586</v>
      </c>
      <c r="D63" s="37" t="s">
        <v>18577</v>
      </c>
      <c r="E63" s="37" t="s">
        <v>305</v>
      </c>
      <c r="F63" s="38" t="s">
        <v>18587</v>
      </c>
      <c r="G63" s="56"/>
      <c r="H63" s="60"/>
      <c r="I63" s="94"/>
      <c r="J63" s="50">
        <v>45740</v>
      </c>
      <c r="K63" s="95"/>
    </row>
    <row r="64" spans="2:11">
      <c r="B64" s="37" t="s">
        <v>18493</v>
      </c>
      <c r="C64" s="37" t="s">
        <v>18588</v>
      </c>
      <c r="D64" s="37" t="s">
        <v>18577</v>
      </c>
      <c r="E64" s="37" t="s">
        <v>305</v>
      </c>
      <c r="F64" s="38" t="s">
        <v>18589</v>
      </c>
      <c r="G64" s="56"/>
      <c r="H64" s="60"/>
      <c r="I64" s="94"/>
      <c r="J64" s="50">
        <v>45740</v>
      </c>
      <c r="K64" s="95"/>
    </row>
    <row r="65" spans="2:11">
      <c r="B65" s="37" t="s">
        <v>18493</v>
      </c>
      <c r="C65" s="37" t="s">
        <v>18590</v>
      </c>
      <c r="D65" s="37" t="s">
        <v>18577</v>
      </c>
      <c r="E65" s="37" t="s">
        <v>305</v>
      </c>
      <c r="F65" s="38" t="s">
        <v>18591</v>
      </c>
      <c r="G65" s="56"/>
      <c r="H65" s="60"/>
      <c r="I65" s="94"/>
      <c r="J65" s="50">
        <v>45740</v>
      </c>
      <c r="K65" s="95"/>
    </row>
    <row r="66" spans="2:11">
      <c r="B66" s="37" t="s">
        <v>18493</v>
      </c>
      <c r="C66" s="37" t="s">
        <v>18592</v>
      </c>
      <c r="D66" s="37" t="s">
        <v>18577</v>
      </c>
      <c r="E66" s="37" t="s">
        <v>305</v>
      </c>
      <c r="F66" s="38" t="s">
        <v>18593</v>
      </c>
      <c r="G66" s="56"/>
      <c r="H66" s="60"/>
      <c r="I66" s="94"/>
      <c r="J66" s="50">
        <v>45740</v>
      </c>
      <c r="K66" s="95"/>
    </row>
    <row r="67" spans="2:11">
      <c r="B67" s="37" t="s">
        <v>18493</v>
      </c>
      <c r="C67" s="37" t="s">
        <v>18594</v>
      </c>
      <c r="D67" s="37" t="s">
        <v>18577</v>
      </c>
      <c r="E67" s="37" t="s">
        <v>305</v>
      </c>
      <c r="F67" s="38" t="s">
        <v>18595</v>
      </c>
      <c r="G67" s="56"/>
      <c r="H67" s="60"/>
      <c r="I67" s="94"/>
      <c r="J67" s="50">
        <v>45740</v>
      </c>
      <c r="K67" s="95"/>
    </row>
    <row r="68" spans="2:11">
      <c r="B68" s="37" t="s">
        <v>18493</v>
      </c>
      <c r="C68" s="37" t="s">
        <v>18596</v>
      </c>
      <c r="D68" s="37" t="s">
        <v>18577</v>
      </c>
      <c r="E68" s="37" t="s">
        <v>305</v>
      </c>
      <c r="F68" s="38" t="s">
        <v>18597</v>
      </c>
      <c r="G68" s="56"/>
      <c r="H68" s="60"/>
      <c r="I68" s="94"/>
      <c r="J68" s="50">
        <v>45740</v>
      </c>
      <c r="K68" s="95"/>
    </row>
    <row r="69" spans="2:11">
      <c r="B69" s="37" t="s">
        <v>18493</v>
      </c>
      <c r="C69" s="37" t="s">
        <v>18598</v>
      </c>
      <c r="D69" s="37" t="s">
        <v>18577</v>
      </c>
      <c r="E69" s="37" t="s">
        <v>305</v>
      </c>
      <c r="F69" s="38" t="s">
        <v>18599</v>
      </c>
      <c r="G69" s="56"/>
      <c r="H69" s="60"/>
      <c r="I69" s="94"/>
      <c r="J69" s="50">
        <v>45740</v>
      </c>
      <c r="K69" s="95"/>
    </row>
    <row r="70" spans="2:11">
      <c r="B70" s="37" t="s">
        <v>18493</v>
      </c>
      <c r="C70" s="37" t="s">
        <v>18600</v>
      </c>
      <c r="D70" s="37" t="s">
        <v>18601</v>
      </c>
      <c r="E70" s="37" t="s">
        <v>305</v>
      </c>
      <c r="F70" s="38" t="s">
        <v>18602</v>
      </c>
      <c r="G70" s="56"/>
      <c r="H70" s="60"/>
      <c r="I70" s="94"/>
      <c r="J70" s="50">
        <v>45740</v>
      </c>
      <c r="K70" s="95"/>
    </row>
  </sheetData>
  <mergeCells count="1">
    <mergeCell ref="K59:K70"/>
  </mergeCells>
  <pageMargins left="0.75" right="0.75" top="1" bottom="1" header="0.5" footer="0.5"/>
  <pageSetup paperSize="1" orientation="portrait" horizontalDpi="300" verticalDpi="300"/>
  <headerFooter alignWithMargins="0" scaleWithDoc="0"/>
</worksheet>
</file>

<file path=xl/worksheets/sheet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9"/>
  <sheetViews>
    <sheetView zoomScale="143" zoomScaleNormal="143" zoomScaleSheetLayoutView="60" workbookViewId="0">
      <selection activeCell="A1" sqref="A1"/>
    </sheetView>
  </sheetViews>
  <sheetFormatPr defaultColWidth="9.14285714285714" defaultRowHeight="15.2"/>
  <cols>
    <col min="2" max="2" width="19.5357142857143" customWidth="1"/>
    <col min="3" max="3" width="24.2857142857143" customWidth="1"/>
    <col min="4" max="4" width="15.625" customWidth="1"/>
    <col min="5" max="5" width="7.80357142857143" customWidth="1"/>
    <col min="6" max="6" width="39.0625" customWidth="1"/>
    <col min="7" max="7" width="15.625" customWidth="1"/>
    <col min="10" max="10" width="11.7053571428571" customWidth="1"/>
  </cols>
  <sheetData>
    <row r="1" spans="1:2">
      <c r="A1" s="1" t="str">
        <f>HYPERLINK("#表结构清单!A1","返回")</f>
        <v>返回</v>
      </c>
      <c r="B1" t="s">
        <v>171</v>
      </c>
    </row>
    <row r="2" spans="2:10">
      <c r="B2" s="13" t="s">
        <v>15982</v>
      </c>
      <c r="C2" s="13" t="s">
        <v>297</v>
      </c>
      <c r="D2" s="13" t="s">
        <v>11870</v>
      </c>
      <c r="E2" s="13" t="s">
        <v>15983</v>
      </c>
      <c r="F2" s="13" t="s">
        <v>15984</v>
      </c>
      <c r="G2" s="13" t="s">
        <v>300</v>
      </c>
      <c r="H2" s="13" t="s">
        <v>301</v>
      </c>
      <c r="I2" s="13" t="s">
        <v>15985</v>
      </c>
      <c r="J2" s="13" t="s">
        <v>15986</v>
      </c>
    </row>
    <row r="3" spans="2:10">
      <c r="B3" s="15" t="s">
        <v>18603</v>
      </c>
      <c r="C3" s="15" t="s">
        <v>18604</v>
      </c>
      <c r="D3" s="15" t="s">
        <v>316</v>
      </c>
      <c r="E3" s="15" t="s">
        <v>15989</v>
      </c>
      <c r="F3" s="15" t="s">
        <v>18605</v>
      </c>
      <c r="G3" s="15"/>
      <c r="H3" s="15"/>
      <c r="I3" s="15" t="s">
        <v>528</v>
      </c>
      <c r="J3" s="15" t="s">
        <v>15991</v>
      </c>
    </row>
    <row r="4" spans="2:10">
      <c r="B4" s="15" t="s">
        <v>18603</v>
      </c>
      <c r="C4" s="15" t="s">
        <v>16953</v>
      </c>
      <c r="D4" s="15" t="s">
        <v>316</v>
      </c>
      <c r="E4" s="15" t="s">
        <v>305</v>
      </c>
      <c r="F4" s="15" t="s">
        <v>18496</v>
      </c>
      <c r="G4" s="15"/>
      <c r="H4" s="15"/>
      <c r="I4" s="15" t="s">
        <v>528</v>
      </c>
      <c r="J4" s="15" t="s">
        <v>15991</v>
      </c>
    </row>
    <row r="5" spans="2:10">
      <c r="B5" s="15" t="s">
        <v>18603</v>
      </c>
      <c r="C5" s="15" t="s">
        <v>18494</v>
      </c>
      <c r="D5" s="15" t="s">
        <v>316</v>
      </c>
      <c r="E5" s="15" t="s">
        <v>305</v>
      </c>
      <c r="F5" s="15" t="s">
        <v>18495</v>
      </c>
      <c r="G5" s="15"/>
      <c r="H5" s="15"/>
      <c r="I5" s="15" t="s">
        <v>528</v>
      </c>
      <c r="J5" s="15" t="s">
        <v>15991</v>
      </c>
    </row>
    <row r="6" spans="2:10">
      <c r="B6" s="15" t="s">
        <v>18603</v>
      </c>
      <c r="C6" s="15" t="s">
        <v>16103</v>
      </c>
      <c r="D6" s="15" t="s">
        <v>316</v>
      </c>
      <c r="E6" s="15" t="s">
        <v>305</v>
      </c>
      <c r="F6" s="15" t="s">
        <v>16986</v>
      </c>
      <c r="G6" s="15"/>
      <c r="H6" s="15"/>
      <c r="I6" s="15" t="s">
        <v>528</v>
      </c>
      <c r="J6" s="15" t="s">
        <v>15991</v>
      </c>
    </row>
    <row r="7" spans="2:10">
      <c r="B7" s="15" t="s">
        <v>18603</v>
      </c>
      <c r="C7" s="15" t="s">
        <v>18497</v>
      </c>
      <c r="D7" s="15" t="s">
        <v>513</v>
      </c>
      <c r="E7" s="15" t="s">
        <v>305</v>
      </c>
      <c r="F7" s="15" t="s">
        <v>18606</v>
      </c>
      <c r="G7" s="15"/>
      <c r="H7" s="15"/>
      <c r="I7" s="15" t="s">
        <v>528</v>
      </c>
      <c r="J7" s="15" t="s">
        <v>15991</v>
      </c>
    </row>
    <row r="8" spans="2:10">
      <c r="B8" s="15" t="s">
        <v>18603</v>
      </c>
      <c r="C8" s="15" t="s">
        <v>18500</v>
      </c>
      <c r="D8" s="15" t="s">
        <v>321</v>
      </c>
      <c r="E8" s="15" t="s">
        <v>305</v>
      </c>
      <c r="F8" s="15" t="s">
        <v>18607</v>
      </c>
      <c r="G8" s="15"/>
      <c r="H8" s="15"/>
      <c r="I8" s="15" t="s">
        <v>528</v>
      </c>
      <c r="J8" s="15" t="s">
        <v>15991</v>
      </c>
    </row>
    <row r="9" spans="2:10">
      <c r="B9" s="15" t="s">
        <v>18603</v>
      </c>
      <c r="C9" s="15" t="s">
        <v>18504</v>
      </c>
      <c r="D9" s="15" t="s">
        <v>316</v>
      </c>
      <c r="E9" s="15" t="s">
        <v>305</v>
      </c>
      <c r="F9" s="15" t="s">
        <v>18608</v>
      </c>
      <c r="G9" s="15"/>
      <c r="H9" s="15"/>
      <c r="I9" s="15" t="s">
        <v>528</v>
      </c>
      <c r="J9" s="15" t="s">
        <v>15991</v>
      </c>
    </row>
    <row r="10" spans="2:10">
      <c r="B10" s="15" t="s">
        <v>18603</v>
      </c>
      <c r="C10" s="15" t="s">
        <v>18609</v>
      </c>
      <c r="D10" s="15" t="s">
        <v>316</v>
      </c>
      <c r="E10" s="15" t="s">
        <v>305</v>
      </c>
      <c r="F10" s="15" t="s">
        <v>18610</v>
      </c>
      <c r="G10" s="15"/>
      <c r="H10" s="15"/>
      <c r="I10" s="15" t="s">
        <v>528</v>
      </c>
      <c r="J10" s="15" t="s">
        <v>15991</v>
      </c>
    </row>
    <row r="11" spans="2:10">
      <c r="B11" s="15" t="s">
        <v>18603</v>
      </c>
      <c r="C11" s="15" t="s">
        <v>18611</v>
      </c>
      <c r="D11" s="15" t="s">
        <v>16440</v>
      </c>
      <c r="E11" s="15" t="s">
        <v>305</v>
      </c>
      <c r="F11" s="15" t="s">
        <v>18612</v>
      </c>
      <c r="G11" s="15"/>
      <c r="H11" s="15"/>
      <c r="I11" s="15" t="s">
        <v>528</v>
      </c>
      <c r="J11" s="15" t="s">
        <v>15991</v>
      </c>
    </row>
    <row r="12" spans="2:10">
      <c r="B12" s="15" t="s">
        <v>18603</v>
      </c>
      <c r="C12" s="15" t="s">
        <v>18613</v>
      </c>
      <c r="D12" s="15" t="s">
        <v>16087</v>
      </c>
      <c r="E12" s="15" t="s">
        <v>305</v>
      </c>
      <c r="F12" s="15" t="s">
        <v>18614</v>
      </c>
      <c r="G12" s="15"/>
      <c r="H12" s="15"/>
      <c r="I12" s="15" t="s">
        <v>528</v>
      </c>
      <c r="J12" s="15" t="s">
        <v>15991</v>
      </c>
    </row>
    <row r="13" spans="2:10">
      <c r="B13" s="15" t="s">
        <v>18603</v>
      </c>
      <c r="C13" s="15" t="s">
        <v>18615</v>
      </c>
      <c r="D13" s="15" t="s">
        <v>16087</v>
      </c>
      <c r="E13" s="15" t="s">
        <v>305</v>
      </c>
      <c r="F13" s="15" t="s">
        <v>18616</v>
      </c>
      <c r="G13" s="15"/>
      <c r="H13" s="15"/>
      <c r="I13" s="15" t="s">
        <v>528</v>
      </c>
      <c r="J13" s="15" t="s">
        <v>15991</v>
      </c>
    </row>
    <row r="14" spans="2:10">
      <c r="B14" s="15" t="s">
        <v>18603</v>
      </c>
      <c r="C14" s="15" t="s">
        <v>18617</v>
      </c>
      <c r="D14" s="15" t="s">
        <v>16087</v>
      </c>
      <c r="E14" s="15" t="s">
        <v>305</v>
      </c>
      <c r="F14" s="15" t="s">
        <v>18618</v>
      </c>
      <c r="G14" s="15"/>
      <c r="H14" s="15"/>
      <c r="I14" s="15" t="s">
        <v>528</v>
      </c>
      <c r="J14" s="15" t="s">
        <v>15991</v>
      </c>
    </row>
    <row r="15" spans="2:10">
      <c r="B15" s="15" t="s">
        <v>18603</v>
      </c>
      <c r="C15" s="15" t="s">
        <v>18619</v>
      </c>
      <c r="D15" s="15" t="s">
        <v>16087</v>
      </c>
      <c r="E15" s="15" t="s">
        <v>305</v>
      </c>
      <c r="F15" s="15" t="s">
        <v>18620</v>
      </c>
      <c r="G15" s="15"/>
      <c r="H15" s="15"/>
      <c r="I15" s="15" t="s">
        <v>528</v>
      </c>
      <c r="J15" s="15" t="s">
        <v>15991</v>
      </c>
    </row>
    <row r="16" spans="2:10">
      <c r="B16" s="15" t="s">
        <v>18603</v>
      </c>
      <c r="C16" s="15" t="s">
        <v>18621</v>
      </c>
      <c r="D16" s="15" t="s">
        <v>350</v>
      </c>
      <c r="E16" s="15" t="s">
        <v>305</v>
      </c>
      <c r="F16" s="15" t="s">
        <v>18622</v>
      </c>
      <c r="G16" s="15"/>
      <c r="H16" s="15"/>
      <c r="I16" s="15" t="s">
        <v>528</v>
      </c>
      <c r="J16" s="15" t="s">
        <v>15991</v>
      </c>
    </row>
    <row r="17" spans="2:10">
      <c r="B17" s="15" t="s">
        <v>18603</v>
      </c>
      <c r="C17" s="15" t="s">
        <v>18623</v>
      </c>
      <c r="D17" s="15" t="s">
        <v>350</v>
      </c>
      <c r="E17" s="15" t="s">
        <v>305</v>
      </c>
      <c r="F17" s="15" t="s">
        <v>18624</v>
      </c>
      <c r="G17" s="15"/>
      <c r="H17" s="15"/>
      <c r="I17" s="15" t="s">
        <v>528</v>
      </c>
      <c r="J17" s="15" t="s">
        <v>15991</v>
      </c>
    </row>
    <row r="18" spans="2:10">
      <c r="B18" s="15" t="s">
        <v>18603</v>
      </c>
      <c r="C18" s="15" t="s">
        <v>18625</v>
      </c>
      <c r="D18" s="15" t="s">
        <v>363</v>
      </c>
      <c r="E18" s="15" t="s">
        <v>305</v>
      </c>
      <c r="F18" s="15" t="s">
        <v>18626</v>
      </c>
      <c r="G18" s="15"/>
      <c r="H18" s="15"/>
      <c r="I18" s="15" t="s">
        <v>528</v>
      </c>
      <c r="J18" s="15" t="s">
        <v>15991</v>
      </c>
    </row>
    <row r="19" spans="2:10">
      <c r="B19" s="15" t="s">
        <v>18603</v>
      </c>
      <c r="C19" s="15" t="s">
        <v>18627</v>
      </c>
      <c r="D19" s="15" t="s">
        <v>16087</v>
      </c>
      <c r="E19" s="15" t="s">
        <v>305</v>
      </c>
      <c r="F19" s="15" t="s">
        <v>18628</v>
      </c>
      <c r="G19" s="15"/>
      <c r="H19" s="15"/>
      <c r="I19" s="15" t="s">
        <v>528</v>
      </c>
      <c r="J19" s="15" t="s">
        <v>15991</v>
      </c>
    </row>
    <row r="20" spans="2:10">
      <c r="B20" s="15" t="s">
        <v>18603</v>
      </c>
      <c r="C20" s="15" t="s">
        <v>18629</v>
      </c>
      <c r="D20" s="15" t="s">
        <v>350</v>
      </c>
      <c r="E20" s="15" t="s">
        <v>305</v>
      </c>
      <c r="F20" s="15" t="s">
        <v>18630</v>
      </c>
      <c r="G20" s="15"/>
      <c r="H20" s="15"/>
      <c r="I20" s="15" t="s">
        <v>528</v>
      </c>
      <c r="J20" s="15" t="s">
        <v>15991</v>
      </c>
    </row>
    <row r="21" spans="2:10">
      <c r="B21" s="15" t="s">
        <v>18603</v>
      </c>
      <c r="C21" s="15" t="s">
        <v>18631</v>
      </c>
      <c r="D21" s="15" t="s">
        <v>371</v>
      </c>
      <c r="E21" s="15" t="s">
        <v>305</v>
      </c>
      <c r="F21" s="15" t="s">
        <v>18632</v>
      </c>
      <c r="G21" s="15"/>
      <c r="H21" s="15"/>
      <c r="I21" s="15" t="s">
        <v>528</v>
      </c>
      <c r="J21" s="15" t="s">
        <v>15991</v>
      </c>
    </row>
    <row r="22" spans="2:10">
      <c r="B22" s="15" t="s">
        <v>18603</v>
      </c>
      <c r="C22" s="15" t="s">
        <v>18633</v>
      </c>
      <c r="D22" s="15" t="s">
        <v>16072</v>
      </c>
      <c r="E22" s="15" t="s">
        <v>305</v>
      </c>
      <c r="F22" s="15" t="s">
        <v>18634</v>
      </c>
      <c r="G22" s="15"/>
      <c r="H22" s="15"/>
      <c r="I22" s="15" t="s">
        <v>528</v>
      </c>
      <c r="J22" s="15" t="s">
        <v>15991</v>
      </c>
    </row>
    <row r="23" spans="2:10">
      <c r="B23" s="15" t="s">
        <v>18603</v>
      </c>
      <c r="C23" s="15" t="s">
        <v>18635</v>
      </c>
      <c r="D23" s="15" t="s">
        <v>16072</v>
      </c>
      <c r="E23" s="15" t="s">
        <v>305</v>
      </c>
      <c r="F23" s="15" t="s">
        <v>18636</v>
      </c>
      <c r="G23" s="15"/>
      <c r="H23" s="15"/>
      <c r="I23" s="15" t="s">
        <v>528</v>
      </c>
      <c r="J23" s="15" t="s">
        <v>15991</v>
      </c>
    </row>
    <row r="24" spans="2:10">
      <c r="B24" s="15" t="s">
        <v>18603</v>
      </c>
      <c r="C24" s="15" t="s">
        <v>18563</v>
      </c>
      <c r="D24" s="15" t="s">
        <v>506</v>
      </c>
      <c r="E24" s="15" t="s">
        <v>305</v>
      </c>
      <c r="F24" s="15" t="s">
        <v>18564</v>
      </c>
      <c r="G24" s="15"/>
      <c r="H24" s="15"/>
      <c r="I24" s="15" t="s">
        <v>528</v>
      </c>
      <c r="J24" s="15" t="s">
        <v>15991</v>
      </c>
    </row>
    <row r="25" spans="2:10">
      <c r="B25" s="15" t="s">
        <v>18603</v>
      </c>
      <c r="C25" s="15" t="s">
        <v>18565</v>
      </c>
      <c r="D25" s="15" t="s">
        <v>321</v>
      </c>
      <c r="E25" s="15" t="s">
        <v>305</v>
      </c>
      <c r="F25" s="15" t="s">
        <v>18566</v>
      </c>
      <c r="G25" s="15"/>
      <c r="H25" s="15"/>
      <c r="I25" s="15" t="s">
        <v>528</v>
      </c>
      <c r="J25" s="15" t="s">
        <v>15991</v>
      </c>
    </row>
    <row r="26" spans="2:10">
      <c r="B26" s="15" t="s">
        <v>18603</v>
      </c>
      <c r="C26" s="15" t="s">
        <v>18567</v>
      </c>
      <c r="D26" s="15" t="s">
        <v>321</v>
      </c>
      <c r="E26" s="15" t="s">
        <v>305</v>
      </c>
      <c r="F26" s="15" t="s">
        <v>18568</v>
      </c>
      <c r="G26" s="15"/>
      <c r="H26" s="15"/>
      <c r="I26" s="15" t="s">
        <v>528</v>
      </c>
      <c r="J26" s="15" t="s">
        <v>15991</v>
      </c>
    </row>
    <row r="27" spans="2:10">
      <c r="B27" s="15" t="s">
        <v>18603</v>
      </c>
      <c r="C27" s="15" t="s">
        <v>18569</v>
      </c>
      <c r="D27" s="15" t="s">
        <v>16087</v>
      </c>
      <c r="E27" s="15" t="s">
        <v>305</v>
      </c>
      <c r="F27" s="15" t="s">
        <v>18570</v>
      </c>
      <c r="G27" s="15"/>
      <c r="H27" s="15"/>
      <c r="I27" s="15" t="s">
        <v>528</v>
      </c>
      <c r="J27" s="15" t="s">
        <v>15991</v>
      </c>
    </row>
    <row r="28" spans="2:10">
      <c r="B28" s="15" t="s">
        <v>18603</v>
      </c>
      <c r="C28" s="15" t="s">
        <v>18637</v>
      </c>
      <c r="D28" s="15" t="s">
        <v>16056</v>
      </c>
      <c r="E28" s="15" t="s">
        <v>305</v>
      </c>
      <c r="F28" s="15" t="s">
        <v>18638</v>
      </c>
      <c r="G28" s="15"/>
      <c r="H28" s="15"/>
      <c r="I28" s="15" t="s">
        <v>528</v>
      </c>
      <c r="J28" s="15" t="s">
        <v>15991</v>
      </c>
    </row>
    <row r="29" spans="2:10">
      <c r="B29" s="15" t="s">
        <v>18603</v>
      </c>
      <c r="C29" s="15" t="s">
        <v>18571</v>
      </c>
      <c r="D29" s="15" t="s">
        <v>316</v>
      </c>
      <c r="E29" s="15" t="s">
        <v>305</v>
      </c>
      <c r="F29" s="15" t="s">
        <v>18572</v>
      </c>
      <c r="G29" s="15"/>
      <c r="H29" s="15"/>
      <c r="I29" s="15" t="s">
        <v>528</v>
      </c>
      <c r="J29" s="15" t="s">
        <v>15991</v>
      </c>
    </row>
    <row r="30" spans="2:10">
      <c r="B30" s="15" t="s">
        <v>18603</v>
      </c>
      <c r="C30" s="15" t="s">
        <v>16009</v>
      </c>
      <c r="D30" s="15" t="s">
        <v>316</v>
      </c>
      <c r="E30" s="15" t="s">
        <v>305</v>
      </c>
      <c r="F30" s="15" t="s">
        <v>16010</v>
      </c>
      <c r="G30" s="15"/>
      <c r="H30" s="15"/>
      <c r="I30" s="15" t="s">
        <v>528</v>
      </c>
      <c r="J30" s="15" t="s">
        <v>15991</v>
      </c>
    </row>
    <row r="31" spans="2:10">
      <c r="B31" s="15" t="s">
        <v>18603</v>
      </c>
      <c r="C31" s="15" t="s">
        <v>16011</v>
      </c>
      <c r="D31" s="15" t="s">
        <v>316</v>
      </c>
      <c r="E31" s="15" t="s">
        <v>305</v>
      </c>
      <c r="F31" s="15" t="s">
        <v>16012</v>
      </c>
      <c r="G31" s="15"/>
      <c r="H31" s="15"/>
      <c r="I31" s="15" t="s">
        <v>528</v>
      </c>
      <c r="J31" s="15" t="s">
        <v>15991</v>
      </c>
    </row>
    <row r="32" spans="2:10">
      <c r="B32" s="15" t="s">
        <v>18603</v>
      </c>
      <c r="C32" s="15" t="s">
        <v>16013</v>
      </c>
      <c r="D32" s="15" t="s">
        <v>371</v>
      </c>
      <c r="E32" s="15" t="s">
        <v>305</v>
      </c>
      <c r="F32" s="15" t="s">
        <v>16014</v>
      </c>
      <c r="G32" s="15"/>
      <c r="H32" s="15"/>
      <c r="I32" s="15" t="s">
        <v>528</v>
      </c>
      <c r="J32" s="15" t="s">
        <v>15991</v>
      </c>
    </row>
    <row r="33" spans="2:10">
      <c r="B33" s="15" t="s">
        <v>18603</v>
      </c>
      <c r="C33" s="15" t="s">
        <v>16015</v>
      </c>
      <c r="D33" s="15" t="s">
        <v>316</v>
      </c>
      <c r="E33" s="15" t="s">
        <v>305</v>
      </c>
      <c r="F33" s="15" t="s">
        <v>16016</v>
      </c>
      <c r="G33" s="15"/>
      <c r="H33" s="15"/>
      <c r="I33" s="15" t="s">
        <v>528</v>
      </c>
      <c r="J33" s="15" t="s">
        <v>15991</v>
      </c>
    </row>
    <row r="34" spans="2:10">
      <c r="B34" s="15" t="s">
        <v>18603</v>
      </c>
      <c r="C34" s="15" t="s">
        <v>16017</v>
      </c>
      <c r="D34" s="15" t="s">
        <v>316</v>
      </c>
      <c r="E34" s="15" t="s">
        <v>305</v>
      </c>
      <c r="F34" s="15" t="s">
        <v>16018</v>
      </c>
      <c r="G34" s="15"/>
      <c r="H34" s="15"/>
      <c r="I34" s="15" t="s">
        <v>528</v>
      </c>
      <c r="J34" s="15" t="s">
        <v>15991</v>
      </c>
    </row>
    <row r="35" spans="2:10">
      <c r="B35" s="15" t="s">
        <v>18603</v>
      </c>
      <c r="C35" s="15" t="s">
        <v>16019</v>
      </c>
      <c r="D35" s="15" t="s">
        <v>371</v>
      </c>
      <c r="E35" s="15" t="s">
        <v>305</v>
      </c>
      <c r="F35" s="15" t="s">
        <v>16020</v>
      </c>
      <c r="G35" s="15"/>
      <c r="H35" s="15"/>
      <c r="I35" s="15" t="s">
        <v>528</v>
      </c>
      <c r="J35" s="15" t="s">
        <v>15991</v>
      </c>
    </row>
    <row r="36" spans="2:10">
      <c r="B36" s="15" t="s">
        <v>18603</v>
      </c>
      <c r="C36" s="15" t="s">
        <v>16086</v>
      </c>
      <c r="D36" s="15" t="s">
        <v>327</v>
      </c>
      <c r="E36" s="15" t="s">
        <v>305</v>
      </c>
      <c r="F36" s="15" t="s">
        <v>301</v>
      </c>
      <c r="G36" s="15"/>
      <c r="H36" s="15"/>
      <c r="I36" s="15" t="s">
        <v>528</v>
      </c>
      <c r="J36" s="15" t="s">
        <v>15991</v>
      </c>
    </row>
    <row r="37" spans="2:10">
      <c r="B37" s="15" t="s">
        <v>18603</v>
      </c>
      <c r="C37" s="15" t="s">
        <v>16088</v>
      </c>
      <c r="D37" s="15" t="s">
        <v>316</v>
      </c>
      <c r="E37" s="15" t="s">
        <v>305</v>
      </c>
      <c r="F37" s="15" t="s">
        <v>16089</v>
      </c>
      <c r="G37" s="15"/>
      <c r="H37" s="15"/>
      <c r="I37" s="15" t="s">
        <v>528</v>
      </c>
      <c r="J37" s="15" t="s">
        <v>15991</v>
      </c>
    </row>
    <row r="38" spans="2:10">
      <c r="B38" s="16" t="s">
        <v>18603</v>
      </c>
      <c r="C38" s="16" t="s">
        <v>18639</v>
      </c>
      <c r="D38" s="16" t="s">
        <v>16115</v>
      </c>
      <c r="E38" s="16" t="s">
        <v>305</v>
      </c>
      <c r="F38" s="16" t="s">
        <v>18640</v>
      </c>
      <c r="G38" s="16"/>
      <c r="H38" s="16"/>
      <c r="I38" s="16" t="s">
        <v>528</v>
      </c>
      <c r="J38" s="16" t="s">
        <v>15991</v>
      </c>
    </row>
    <row r="39" spans="2:10">
      <c r="B39" s="65" t="s">
        <v>18603</v>
      </c>
      <c r="C39" s="57" t="s">
        <v>18451</v>
      </c>
      <c r="D39" s="65" t="s">
        <v>316</v>
      </c>
      <c r="E39" s="65" t="s">
        <v>305</v>
      </c>
      <c r="F39" s="59" t="s">
        <v>18641</v>
      </c>
      <c r="G39" s="57"/>
      <c r="H39" s="57"/>
      <c r="I39" s="57"/>
      <c r="J39" s="57"/>
    </row>
  </sheetData>
  <pageMargins left="0.75" right="0.75" top="1" bottom="1" header="0.5" footer="0.5"/>
  <pageSetup paperSize="1" orientation="portrait" horizontalDpi="300" verticalDpi="300"/>
  <headerFooter alignWithMargins="0" scaleWithDoc="0"/>
</worksheet>
</file>

<file path=xl/worksheets/sheet8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56"/>
  <sheetViews>
    <sheetView zoomScaleSheetLayoutView="60" topLeftCell="A24" workbookViewId="0">
      <selection activeCell="C43" sqref="C43"/>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51" t="str">
        <f>HYPERLINK("#表结构清单!A1","返回")</f>
        <v>返回</v>
      </c>
      <c r="B1" t="s">
        <v>172</v>
      </c>
    </row>
    <row r="2" spans="2:10">
      <c r="B2" s="13" t="s">
        <v>15982</v>
      </c>
      <c r="C2" s="13" t="s">
        <v>297</v>
      </c>
      <c r="D2" s="13" t="s">
        <v>11870</v>
      </c>
      <c r="E2" s="13" t="s">
        <v>15983</v>
      </c>
      <c r="F2" s="13" t="s">
        <v>15984</v>
      </c>
      <c r="G2" s="13" t="s">
        <v>300</v>
      </c>
      <c r="H2" s="13" t="s">
        <v>301</v>
      </c>
      <c r="I2" s="13" t="s">
        <v>15985</v>
      </c>
      <c r="J2" s="13" t="s">
        <v>15986</v>
      </c>
    </row>
    <row r="3" spans="2:10">
      <c r="B3" s="15" t="s">
        <v>18642</v>
      </c>
      <c r="C3" s="15" t="s">
        <v>16163</v>
      </c>
      <c r="D3" s="15" t="s">
        <v>316</v>
      </c>
      <c r="E3" s="15" t="s">
        <v>15989</v>
      </c>
      <c r="F3" s="15" t="s">
        <v>18643</v>
      </c>
      <c r="G3" s="15"/>
      <c r="H3" s="15"/>
      <c r="I3" s="15" t="s">
        <v>528</v>
      </c>
      <c r="J3" s="15" t="s">
        <v>15991</v>
      </c>
    </row>
    <row r="4" spans="2:10">
      <c r="B4" s="15" t="s">
        <v>18642</v>
      </c>
      <c r="C4" s="15" t="s">
        <v>18494</v>
      </c>
      <c r="D4" s="15" t="s">
        <v>316</v>
      </c>
      <c r="E4" s="15" t="s">
        <v>305</v>
      </c>
      <c r="F4" s="20" t="s">
        <v>18644</v>
      </c>
      <c r="G4" s="15"/>
      <c r="H4" s="15"/>
      <c r="I4" s="15" t="s">
        <v>528</v>
      </c>
      <c r="J4" s="15" t="s">
        <v>15991</v>
      </c>
    </row>
    <row r="5" spans="2:10">
      <c r="B5" s="15" t="s">
        <v>18642</v>
      </c>
      <c r="C5" s="15" t="s">
        <v>16953</v>
      </c>
      <c r="D5" s="15" t="s">
        <v>506</v>
      </c>
      <c r="E5" s="15" t="s">
        <v>305</v>
      </c>
      <c r="F5" s="15" t="s">
        <v>18496</v>
      </c>
      <c r="G5" s="15"/>
      <c r="H5" s="15"/>
      <c r="I5" s="15" t="s">
        <v>528</v>
      </c>
      <c r="J5" s="15" t="s">
        <v>15991</v>
      </c>
    </row>
    <row r="6" spans="2:10">
      <c r="B6" s="15" t="s">
        <v>18642</v>
      </c>
      <c r="C6" s="15" t="s">
        <v>16096</v>
      </c>
      <c r="D6" s="15" t="s">
        <v>316</v>
      </c>
      <c r="E6" s="15" t="s">
        <v>305</v>
      </c>
      <c r="F6" s="15" t="s">
        <v>16097</v>
      </c>
      <c r="G6" s="15"/>
      <c r="H6" s="15"/>
      <c r="I6" s="15" t="s">
        <v>528</v>
      </c>
      <c r="J6" s="15" t="s">
        <v>15991</v>
      </c>
    </row>
    <row r="7" spans="2:10">
      <c r="B7" s="15" t="s">
        <v>18642</v>
      </c>
      <c r="C7" s="15" t="s">
        <v>16103</v>
      </c>
      <c r="D7" s="15" t="s">
        <v>316</v>
      </c>
      <c r="E7" s="15" t="s">
        <v>305</v>
      </c>
      <c r="F7" s="15" t="s">
        <v>16986</v>
      </c>
      <c r="G7" s="15"/>
      <c r="H7" s="15"/>
      <c r="I7" s="15" t="s">
        <v>528</v>
      </c>
      <c r="J7" s="15" t="s">
        <v>15991</v>
      </c>
    </row>
    <row r="8" spans="2:10">
      <c r="B8" s="15" t="s">
        <v>18642</v>
      </c>
      <c r="C8" s="15" t="s">
        <v>18497</v>
      </c>
      <c r="D8" s="15" t="s">
        <v>513</v>
      </c>
      <c r="E8" s="15" t="s">
        <v>305</v>
      </c>
      <c r="F8" s="15" t="s">
        <v>18498</v>
      </c>
      <c r="G8" s="15"/>
      <c r="H8" s="15"/>
      <c r="I8" s="15" t="s">
        <v>528</v>
      </c>
      <c r="J8" s="15" t="s">
        <v>15991</v>
      </c>
    </row>
    <row r="9" spans="2:10">
      <c r="B9" s="15" t="s">
        <v>18642</v>
      </c>
      <c r="C9" s="15" t="s">
        <v>18499</v>
      </c>
      <c r="D9" s="15" t="s">
        <v>321</v>
      </c>
      <c r="E9" s="15" t="s">
        <v>305</v>
      </c>
      <c r="F9" s="15" t="s">
        <v>3036</v>
      </c>
      <c r="G9" s="52" t="str">
        <f>HYPERLINK("#码值映射清单!B921","EvalOccurType")</f>
        <v>EvalOccurType</v>
      </c>
      <c r="H9" s="15"/>
      <c r="I9" s="15" t="s">
        <v>528</v>
      </c>
      <c r="J9" s="15" t="s">
        <v>15991</v>
      </c>
    </row>
    <row r="10" spans="2:10">
      <c r="B10" s="15" t="s">
        <v>18642</v>
      </c>
      <c r="C10" s="15" t="s">
        <v>18500</v>
      </c>
      <c r="D10" s="15" t="s">
        <v>321</v>
      </c>
      <c r="E10" s="15" t="s">
        <v>305</v>
      </c>
      <c r="F10" s="15" t="s">
        <v>18645</v>
      </c>
      <c r="G10" s="52" t="str">
        <f>HYPERLINK("#码值映射清单!B9432","EvalType")</f>
        <v>EvalType</v>
      </c>
      <c r="H10" s="15"/>
      <c r="I10" s="15" t="s">
        <v>528</v>
      </c>
      <c r="J10" s="15" t="s">
        <v>15991</v>
      </c>
    </row>
    <row r="11" spans="2:10">
      <c r="B11" s="15" t="s">
        <v>18642</v>
      </c>
      <c r="C11" s="15" t="s">
        <v>16122</v>
      </c>
      <c r="D11" s="15" t="s">
        <v>371</v>
      </c>
      <c r="E11" s="15" t="s">
        <v>305</v>
      </c>
      <c r="F11" s="15" t="s">
        <v>18646</v>
      </c>
      <c r="G11" s="15"/>
      <c r="H11" s="15"/>
      <c r="I11" s="15" t="s">
        <v>528</v>
      </c>
      <c r="J11" s="15" t="s">
        <v>15991</v>
      </c>
    </row>
    <row r="12" spans="2:10">
      <c r="B12" s="15" t="s">
        <v>18642</v>
      </c>
      <c r="C12" s="15" t="s">
        <v>16124</v>
      </c>
      <c r="D12" s="15" t="s">
        <v>371</v>
      </c>
      <c r="E12" s="15" t="s">
        <v>305</v>
      </c>
      <c r="F12" s="15" t="s">
        <v>18647</v>
      </c>
      <c r="G12" s="15"/>
      <c r="H12" s="15"/>
      <c r="I12" s="15" t="s">
        <v>528</v>
      </c>
      <c r="J12" s="15" t="s">
        <v>15991</v>
      </c>
    </row>
    <row r="13" spans="2:10">
      <c r="B13" s="15" t="s">
        <v>18642</v>
      </c>
      <c r="C13" s="15" t="s">
        <v>18648</v>
      </c>
      <c r="D13" s="15" t="s">
        <v>371</v>
      </c>
      <c r="E13" s="15" t="s">
        <v>305</v>
      </c>
      <c r="F13" s="15" t="s">
        <v>18649</v>
      </c>
      <c r="G13" s="15"/>
      <c r="H13" s="15"/>
      <c r="I13" s="15" t="s">
        <v>528</v>
      </c>
      <c r="J13" s="15" t="s">
        <v>15991</v>
      </c>
    </row>
    <row r="14" spans="2:10">
      <c r="B14" s="15" t="s">
        <v>18642</v>
      </c>
      <c r="C14" s="15" t="s">
        <v>18504</v>
      </c>
      <c r="D14" s="15" t="s">
        <v>316</v>
      </c>
      <c r="E14" s="15" t="s">
        <v>305</v>
      </c>
      <c r="F14" s="15" t="s">
        <v>18505</v>
      </c>
      <c r="G14" s="52" t="str">
        <f>HYPERLINK("#码值映射清单!B5124","EvalModel")</f>
        <v>EvalModel</v>
      </c>
      <c r="H14" s="15"/>
      <c r="I14" s="15" t="s">
        <v>528</v>
      </c>
      <c r="J14" s="15" t="s">
        <v>15991</v>
      </c>
    </row>
    <row r="15" spans="2:10">
      <c r="B15" s="15" t="s">
        <v>18642</v>
      </c>
      <c r="C15" s="15" t="s">
        <v>18506</v>
      </c>
      <c r="D15" s="15" t="s">
        <v>350</v>
      </c>
      <c r="E15" s="15" t="s">
        <v>305</v>
      </c>
      <c r="F15" s="15" t="s">
        <v>18507</v>
      </c>
      <c r="G15" s="15"/>
      <c r="H15" s="15"/>
      <c r="I15" s="15" t="s">
        <v>528</v>
      </c>
      <c r="J15" s="15" t="s">
        <v>15991</v>
      </c>
    </row>
    <row r="16" spans="2:10">
      <c r="B16" s="15" t="s">
        <v>18642</v>
      </c>
      <c r="C16" s="15" t="s">
        <v>18508</v>
      </c>
      <c r="D16" s="15" t="s">
        <v>316</v>
      </c>
      <c r="E16" s="15" t="s">
        <v>305</v>
      </c>
      <c r="F16" s="15" t="s">
        <v>18509</v>
      </c>
      <c r="G16" s="15"/>
      <c r="H16" s="15"/>
      <c r="I16" s="15" t="s">
        <v>528</v>
      </c>
      <c r="J16" s="15" t="s">
        <v>15991</v>
      </c>
    </row>
    <row r="17" spans="2:10">
      <c r="B17" s="15" t="s">
        <v>18642</v>
      </c>
      <c r="C17" s="15" t="s">
        <v>18510</v>
      </c>
      <c r="D17" s="15" t="s">
        <v>371</v>
      </c>
      <c r="E17" s="15" t="s">
        <v>305</v>
      </c>
      <c r="F17" s="15" t="s">
        <v>18511</v>
      </c>
      <c r="G17" s="15"/>
      <c r="H17" s="15"/>
      <c r="I17" s="15" t="s">
        <v>528</v>
      </c>
      <c r="J17" s="15" t="s">
        <v>15991</v>
      </c>
    </row>
    <row r="18" spans="2:10">
      <c r="B18" s="15" t="s">
        <v>18642</v>
      </c>
      <c r="C18" s="15" t="s">
        <v>18512</v>
      </c>
      <c r="D18" s="15" t="s">
        <v>321</v>
      </c>
      <c r="E18" s="15" t="s">
        <v>305</v>
      </c>
      <c r="F18" s="15" t="s">
        <v>11315</v>
      </c>
      <c r="G18" s="15"/>
      <c r="H18" s="15"/>
      <c r="I18" s="15" t="s">
        <v>528</v>
      </c>
      <c r="J18" s="15" t="s">
        <v>15991</v>
      </c>
    </row>
    <row r="19" spans="2:10">
      <c r="B19" s="15" t="s">
        <v>18642</v>
      </c>
      <c r="C19" s="15" t="s">
        <v>18513</v>
      </c>
      <c r="D19" s="15" t="s">
        <v>371</v>
      </c>
      <c r="E19" s="15" t="s">
        <v>305</v>
      </c>
      <c r="F19" s="15" t="s">
        <v>18514</v>
      </c>
      <c r="G19" s="15"/>
      <c r="H19" s="15"/>
      <c r="I19" s="15" t="s">
        <v>528</v>
      </c>
      <c r="J19" s="15" t="s">
        <v>15991</v>
      </c>
    </row>
    <row r="20" spans="2:10">
      <c r="B20" s="15" t="s">
        <v>18642</v>
      </c>
      <c r="C20" s="15" t="s">
        <v>18515</v>
      </c>
      <c r="D20" s="15" t="s">
        <v>321</v>
      </c>
      <c r="E20" s="15" t="s">
        <v>305</v>
      </c>
      <c r="F20" s="15" t="s">
        <v>8345</v>
      </c>
      <c r="G20" s="15"/>
      <c r="H20" s="15"/>
      <c r="I20" s="15" t="s">
        <v>528</v>
      </c>
      <c r="J20" s="15" t="s">
        <v>15991</v>
      </c>
    </row>
    <row r="21" spans="2:10">
      <c r="B21" s="15" t="s">
        <v>18642</v>
      </c>
      <c r="C21" s="15" t="s">
        <v>18516</v>
      </c>
      <c r="D21" s="15" t="s">
        <v>350</v>
      </c>
      <c r="E21" s="15" t="s">
        <v>305</v>
      </c>
      <c r="F21" s="15" t="s">
        <v>18517</v>
      </c>
      <c r="G21" s="15"/>
      <c r="H21" s="15"/>
      <c r="I21" s="15" t="s">
        <v>528</v>
      </c>
      <c r="J21" s="15" t="s">
        <v>15991</v>
      </c>
    </row>
    <row r="22" spans="2:10">
      <c r="B22" s="15" t="s">
        <v>18642</v>
      </c>
      <c r="C22" s="15" t="s">
        <v>18518</v>
      </c>
      <c r="D22" s="15" t="s">
        <v>350</v>
      </c>
      <c r="E22" s="15" t="s">
        <v>305</v>
      </c>
      <c r="F22" s="15" t="s">
        <v>18519</v>
      </c>
      <c r="G22" s="15"/>
      <c r="H22" s="15"/>
      <c r="I22" s="15" t="s">
        <v>528</v>
      </c>
      <c r="J22" s="15" t="s">
        <v>15991</v>
      </c>
    </row>
    <row r="23" spans="2:10">
      <c r="B23" s="15" t="s">
        <v>18642</v>
      </c>
      <c r="C23" s="15" t="s">
        <v>18520</v>
      </c>
      <c r="D23" s="15" t="s">
        <v>363</v>
      </c>
      <c r="E23" s="15" t="s">
        <v>305</v>
      </c>
      <c r="F23" s="15" t="s">
        <v>18521</v>
      </c>
      <c r="G23" s="15"/>
      <c r="H23" s="15"/>
      <c r="I23" s="15" t="s">
        <v>528</v>
      </c>
      <c r="J23" s="15" t="s">
        <v>15991</v>
      </c>
    </row>
    <row r="24" spans="2:10">
      <c r="B24" s="15" t="s">
        <v>18642</v>
      </c>
      <c r="C24" s="15" t="s">
        <v>18522</v>
      </c>
      <c r="D24" s="15" t="s">
        <v>350</v>
      </c>
      <c r="E24" s="15" t="s">
        <v>305</v>
      </c>
      <c r="F24" s="15" t="s">
        <v>18523</v>
      </c>
      <c r="G24" s="15"/>
      <c r="H24" s="15"/>
      <c r="I24" s="15" t="s">
        <v>528</v>
      </c>
      <c r="J24" s="15" t="s">
        <v>15991</v>
      </c>
    </row>
    <row r="25" spans="2:10">
      <c r="B25" s="15" t="s">
        <v>18642</v>
      </c>
      <c r="C25" s="15" t="s">
        <v>18524</v>
      </c>
      <c r="D25" s="15" t="s">
        <v>371</v>
      </c>
      <c r="E25" s="15" t="s">
        <v>305</v>
      </c>
      <c r="F25" s="15" t="s">
        <v>18525</v>
      </c>
      <c r="G25" s="15"/>
      <c r="H25" s="15"/>
      <c r="I25" s="15" t="s">
        <v>528</v>
      </c>
      <c r="J25" s="15" t="s">
        <v>15991</v>
      </c>
    </row>
    <row r="26" spans="2:10">
      <c r="B26" s="15" t="s">
        <v>18642</v>
      </c>
      <c r="C26" s="15" t="s">
        <v>18526</v>
      </c>
      <c r="D26" s="15" t="s">
        <v>350</v>
      </c>
      <c r="E26" s="15" t="s">
        <v>305</v>
      </c>
      <c r="F26" s="15" t="s">
        <v>18527</v>
      </c>
      <c r="G26" s="15"/>
      <c r="H26" s="15"/>
      <c r="I26" s="15" t="s">
        <v>528</v>
      </c>
      <c r="J26" s="15" t="s">
        <v>15991</v>
      </c>
    </row>
    <row r="27" spans="2:10">
      <c r="B27" s="15" t="s">
        <v>18642</v>
      </c>
      <c r="C27" s="15" t="s">
        <v>18528</v>
      </c>
      <c r="D27" s="15" t="s">
        <v>506</v>
      </c>
      <c r="E27" s="15" t="s">
        <v>305</v>
      </c>
      <c r="F27" s="15" t="s">
        <v>18529</v>
      </c>
      <c r="G27" s="15"/>
      <c r="H27" s="15"/>
      <c r="I27" s="15" t="s">
        <v>528</v>
      </c>
      <c r="J27" s="15" t="s">
        <v>15991</v>
      </c>
    </row>
    <row r="28" spans="2:10">
      <c r="B28" s="15" t="s">
        <v>18642</v>
      </c>
      <c r="C28" s="15" t="s">
        <v>18530</v>
      </c>
      <c r="D28" s="15" t="s">
        <v>506</v>
      </c>
      <c r="E28" s="15" t="s">
        <v>305</v>
      </c>
      <c r="F28" s="15" t="s">
        <v>18531</v>
      </c>
      <c r="G28" s="15"/>
      <c r="H28" s="15"/>
      <c r="I28" s="15" t="s">
        <v>528</v>
      </c>
      <c r="J28" s="15" t="s">
        <v>15991</v>
      </c>
    </row>
    <row r="29" spans="2:10">
      <c r="B29" s="15" t="s">
        <v>18642</v>
      </c>
      <c r="C29" s="15" t="s">
        <v>18532</v>
      </c>
      <c r="D29" s="15" t="s">
        <v>17036</v>
      </c>
      <c r="E29" s="15" t="s">
        <v>305</v>
      </c>
      <c r="F29" s="15" t="s">
        <v>18533</v>
      </c>
      <c r="G29" s="15"/>
      <c r="H29" s="15"/>
      <c r="I29" s="15" t="s">
        <v>528</v>
      </c>
      <c r="J29" s="15" t="s">
        <v>15991</v>
      </c>
    </row>
    <row r="30" spans="2:10">
      <c r="B30" s="15" t="s">
        <v>18642</v>
      </c>
      <c r="C30" s="15" t="s">
        <v>18534</v>
      </c>
      <c r="D30" s="15" t="s">
        <v>350</v>
      </c>
      <c r="E30" s="15" t="s">
        <v>305</v>
      </c>
      <c r="F30" s="15" t="s">
        <v>18535</v>
      </c>
      <c r="G30" s="15"/>
      <c r="H30" s="15"/>
      <c r="I30" s="15" t="s">
        <v>528</v>
      </c>
      <c r="J30" s="15" t="s">
        <v>15991</v>
      </c>
    </row>
    <row r="31" spans="2:10">
      <c r="B31" s="15" t="s">
        <v>18642</v>
      </c>
      <c r="C31" s="15" t="s">
        <v>18536</v>
      </c>
      <c r="D31" s="15" t="s">
        <v>350</v>
      </c>
      <c r="E31" s="15" t="s">
        <v>305</v>
      </c>
      <c r="F31" s="15" t="s">
        <v>18537</v>
      </c>
      <c r="G31" s="15"/>
      <c r="H31" s="15"/>
      <c r="I31" s="15" t="s">
        <v>528</v>
      </c>
      <c r="J31" s="15" t="s">
        <v>15991</v>
      </c>
    </row>
    <row r="32" spans="2:10">
      <c r="B32" s="15" t="s">
        <v>18642</v>
      </c>
      <c r="C32" s="15" t="s">
        <v>18538</v>
      </c>
      <c r="D32" s="15" t="s">
        <v>363</v>
      </c>
      <c r="E32" s="15" t="s">
        <v>305</v>
      </c>
      <c r="F32" s="15" t="s">
        <v>18539</v>
      </c>
      <c r="G32" s="15"/>
      <c r="H32" s="15"/>
      <c r="I32" s="15" t="s">
        <v>528</v>
      </c>
      <c r="J32" s="15" t="s">
        <v>15991</v>
      </c>
    </row>
    <row r="33" spans="2:10">
      <c r="B33" s="15" t="s">
        <v>18642</v>
      </c>
      <c r="C33" s="15" t="s">
        <v>18540</v>
      </c>
      <c r="D33" s="15" t="s">
        <v>350</v>
      </c>
      <c r="E33" s="15" t="s">
        <v>305</v>
      </c>
      <c r="F33" s="15" t="s">
        <v>18541</v>
      </c>
      <c r="G33" s="15"/>
      <c r="H33" s="15"/>
      <c r="I33" s="15" t="s">
        <v>528</v>
      </c>
      <c r="J33" s="15" t="s">
        <v>15991</v>
      </c>
    </row>
    <row r="34" spans="2:10">
      <c r="B34" s="15" t="s">
        <v>18642</v>
      </c>
      <c r="C34" s="15" t="s">
        <v>18542</v>
      </c>
      <c r="D34" s="15" t="s">
        <v>371</v>
      </c>
      <c r="E34" s="15" t="s">
        <v>305</v>
      </c>
      <c r="F34" s="15" t="s">
        <v>18543</v>
      </c>
      <c r="G34" s="15"/>
      <c r="H34" s="15"/>
      <c r="I34" s="15" t="s">
        <v>528</v>
      </c>
      <c r="J34" s="15" t="s">
        <v>15991</v>
      </c>
    </row>
    <row r="35" spans="2:10">
      <c r="B35" s="15" t="s">
        <v>18642</v>
      </c>
      <c r="C35" s="15" t="s">
        <v>18544</v>
      </c>
      <c r="D35" s="15" t="s">
        <v>350</v>
      </c>
      <c r="E35" s="15" t="s">
        <v>305</v>
      </c>
      <c r="F35" s="15" t="s">
        <v>18545</v>
      </c>
      <c r="G35" s="15"/>
      <c r="H35" s="15"/>
      <c r="I35" s="15" t="s">
        <v>528</v>
      </c>
      <c r="J35" s="15" t="s">
        <v>15991</v>
      </c>
    </row>
    <row r="36" spans="2:10">
      <c r="B36" s="15" t="s">
        <v>18642</v>
      </c>
      <c r="C36" s="15" t="s">
        <v>18546</v>
      </c>
      <c r="D36" s="15" t="s">
        <v>316</v>
      </c>
      <c r="E36" s="15" t="s">
        <v>305</v>
      </c>
      <c r="F36" s="15" t="s">
        <v>18547</v>
      </c>
      <c r="G36" s="15"/>
      <c r="H36" s="15"/>
      <c r="I36" s="15" t="s">
        <v>528</v>
      </c>
      <c r="J36" s="15" t="s">
        <v>15991</v>
      </c>
    </row>
    <row r="37" spans="2:10">
      <c r="B37" s="15" t="s">
        <v>18642</v>
      </c>
      <c r="C37" s="15" t="s">
        <v>18548</v>
      </c>
      <c r="D37" s="15" t="s">
        <v>316</v>
      </c>
      <c r="E37" s="15" t="s">
        <v>305</v>
      </c>
      <c r="F37" s="15" t="s">
        <v>18549</v>
      </c>
      <c r="G37" s="15"/>
      <c r="H37" s="15"/>
      <c r="I37" s="15" t="s">
        <v>528</v>
      </c>
      <c r="J37" s="15" t="s">
        <v>15991</v>
      </c>
    </row>
    <row r="38" spans="2:10">
      <c r="B38" s="15" t="s">
        <v>18642</v>
      </c>
      <c r="C38" s="15" t="s">
        <v>16047</v>
      </c>
      <c r="D38" s="15" t="s">
        <v>17036</v>
      </c>
      <c r="E38" s="15" t="s">
        <v>305</v>
      </c>
      <c r="F38" s="15" t="s">
        <v>18550</v>
      </c>
      <c r="G38" s="15"/>
      <c r="H38" s="15"/>
      <c r="I38" s="15" t="s">
        <v>528</v>
      </c>
      <c r="J38" s="15" t="s">
        <v>15991</v>
      </c>
    </row>
    <row r="39" spans="2:10">
      <c r="B39" s="15" t="s">
        <v>18642</v>
      </c>
      <c r="C39" s="15" t="s">
        <v>18561</v>
      </c>
      <c r="D39" s="15" t="s">
        <v>17036</v>
      </c>
      <c r="E39" s="15" t="s">
        <v>305</v>
      </c>
      <c r="F39" s="15" t="s">
        <v>18562</v>
      </c>
      <c r="G39" s="15"/>
      <c r="H39" s="15"/>
      <c r="I39" s="15" t="s">
        <v>528</v>
      </c>
      <c r="J39" s="15" t="s">
        <v>15991</v>
      </c>
    </row>
    <row r="40" spans="2:10">
      <c r="B40" s="15" t="s">
        <v>18642</v>
      </c>
      <c r="C40" s="15" t="s">
        <v>18563</v>
      </c>
      <c r="D40" s="15" t="s">
        <v>506</v>
      </c>
      <c r="E40" s="15" t="s">
        <v>305</v>
      </c>
      <c r="F40" s="15" t="s">
        <v>18564</v>
      </c>
      <c r="G40" s="15"/>
      <c r="H40" s="15"/>
      <c r="I40" s="15" t="s">
        <v>528</v>
      </c>
      <c r="J40" s="15" t="s">
        <v>15991</v>
      </c>
    </row>
    <row r="41" spans="2:10">
      <c r="B41" s="15" t="s">
        <v>18642</v>
      </c>
      <c r="C41" s="15" t="s">
        <v>18565</v>
      </c>
      <c r="D41" s="15" t="s">
        <v>321</v>
      </c>
      <c r="E41" s="15" t="s">
        <v>305</v>
      </c>
      <c r="F41" s="15" t="s">
        <v>18566</v>
      </c>
      <c r="G41" s="15"/>
      <c r="H41" s="15"/>
      <c r="I41" s="15" t="s">
        <v>528</v>
      </c>
      <c r="J41" s="15" t="s">
        <v>15991</v>
      </c>
    </row>
    <row r="42" spans="2:10">
      <c r="B42" s="15" t="s">
        <v>18642</v>
      </c>
      <c r="C42" s="15" t="s">
        <v>18567</v>
      </c>
      <c r="D42" s="15" t="s">
        <v>321</v>
      </c>
      <c r="E42" s="15" t="s">
        <v>305</v>
      </c>
      <c r="F42" s="15" t="s">
        <v>18568</v>
      </c>
      <c r="G42" s="15"/>
      <c r="H42" s="15"/>
      <c r="I42" s="15" t="s">
        <v>528</v>
      </c>
      <c r="J42" s="15" t="s">
        <v>15991</v>
      </c>
    </row>
    <row r="43" spans="2:10">
      <c r="B43" s="15" t="s">
        <v>18642</v>
      </c>
      <c r="C43" s="15" t="s">
        <v>18569</v>
      </c>
      <c r="D43" s="15" t="s">
        <v>327</v>
      </c>
      <c r="E43" s="15" t="s">
        <v>305</v>
      </c>
      <c r="F43" s="15" t="s">
        <v>18570</v>
      </c>
      <c r="G43" s="15"/>
      <c r="H43" s="15"/>
      <c r="I43" s="15" t="s">
        <v>528</v>
      </c>
      <c r="J43" s="15" t="s">
        <v>15991</v>
      </c>
    </row>
    <row r="44" spans="2:10">
      <c r="B44" s="15" t="s">
        <v>18642</v>
      </c>
      <c r="C44" s="15" t="s">
        <v>16126</v>
      </c>
      <c r="D44" s="15" t="s">
        <v>321</v>
      </c>
      <c r="E44" s="15" t="s">
        <v>305</v>
      </c>
      <c r="F44" s="15" t="s">
        <v>905</v>
      </c>
      <c r="G44" s="15"/>
      <c r="H44" s="15"/>
      <c r="I44" s="15" t="s">
        <v>528</v>
      </c>
      <c r="J44" s="15" t="s">
        <v>15991</v>
      </c>
    </row>
    <row r="45" spans="2:10">
      <c r="B45" s="15" t="s">
        <v>18642</v>
      </c>
      <c r="C45" s="15" t="s">
        <v>18571</v>
      </c>
      <c r="D45" s="15" t="s">
        <v>316</v>
      </c>
      <c r="E45" s="15" t="s">
        <v>305</v>
      </c>
      <c r="F45" s="15" t="s">
        <v>18572</v>
      </c>
      <c r="G45" s="15"/>
      <c r="H45" s="15"/>
      <c r="I45" s="15" t="s">
        <v>528</v>
      </c>
      <c r="J45" s="15" t="s">
        <v>15991</v>
      </c>
    </row>
    <row r="46" spans="2:10">
      <c r="B46" s="15" t="s">
        <v>18642</v>
      </c>
      <c r="C46" s="15" t="s">
        <v>16009</v>
      </c>
      <c r="D46" s="15" t="s">
        <v>316</v>
      </c>
      <c r="E46" s="15" t="s">
        <v>305</v>
      </c>
      <c r="F46" s="15" t="s">
        <v>16010</v>
      </c>
      <c r="G46" s="15"/>
      <c r="H46" s="15"/>
      <c r="I46" s="15" t="s">
        <v>528</v>
      </c>
      <c r="J46" s="15" t="s">
        <v>15991</v>
      </c>
    </row>
    <row r="47" spans="2:10">
      <c r="B47" s="15" t="s">
        <v>18642</v>
      </c>
      <c r="C47" s="15" t="s">
        <v>16011</v>
      </c>
      <c r="D47" s="15" t="s">
        <v>316</v>
      </c>
      <c r="E47" s="15" t="s">
        <v>305</v>
      </c>
      <c r="F47" s="15" t="s">
        <v>16012</v>
      </c>
      <c r="G47" s="15"/>
      <c r="H47" s="15"/>
      <c r="I47" s="15" t="s">
        <v>528</v>
      </c>
      <c r="J47" s="15" t="s">
        <v>15991</v>
      </c>
    </row>
    <row r="48" spans="2:10">
      <c r="B48" s="15" t="s">
        <v>18642</v>
      </c>
      <c r="C48" s="15" t="s">
        <v>16013</v>
      </c>
      <c r="D48" s="15" t="s">
        <v>371</v>
      </c>
      <c r="E48" s="15" t="s">
        <v>305</v>
      </c>
      <c r="F48" s="15" t="s">
        <v>16014</v>
      </c>
      <c r="G48" s="15"/>
      <c r="H48" s="15"/>
      <c r="I48" s="15" t="s">
        <v>528</v>
      </c>
      <c r="J48" s="15" t="s">
        <v>15991</v>
      </c>
    </row>
    <row r="49" spans="2:10">
      <c r="B49" s="15" t="s">
        <v>18642</v>
      </c>
      <c r="C49" s="15" t="s">
        <v>16015</v>
      </c>
      <c r="D49" s="15" t="s">
        <v>316</v>
      </c>
      <c r="E49" s="15" t="s">
        <v>305</v>
      </c>
      <c r="F49" s="15" t="s">
        <v>16016</v>
      </c>
      <c r="G49" s="15"/>
      <c r="H49" s="15"/>
      <c r="I49" s="15" t="s">
        <v>528</v>
      </c>
      <c r="J49" s="15" t="s">
        <v>15991</v>
      </c>
    </row>
    <row r="50" spans="2:10">
      <c r="B50" s="15" t="s">
        <v>18642</v>
      </c>
      <c r="C50" s="15" t="s">
        <v>16017</v>
      </c>
      <c r="D50" s="15" t="s">
        <v>316</v>
      </c>
      <c r="E50" s="15" t="s">
        <v>305</v>
      </c>
      <c r="F50" s="15" t="s">
        <v>16018</v>
      </c>
      <c r="G50" s="15"/>
      <c r="H50" s="15"/>
      <c r="I50" s="15" t="s">
        <v>528</v>
      </c>
      <c r="J50" s="15" t="s">
        <v>15991</v>
      </c>
    </row>
    <row r="51" spans="2:10">
      <c r="B51" s="15" t="s">
        <v>18642</v>
      </c>
      <c r="C51" s="15" t="s">
        <v>16019</v>
      </c>
      <c r="D51" s="15" t="s">
        <v>371</v>
      </c>
      <c r="E51" s="15" t="s">
        <v>305</v>
      </c>
      <c r="F51" s="15" t="s">
        <v>16020</v>
      </c>
      <c r="G51" s="15"/>
      <c r="H51" s="15"/>
      <c r="I51" s="15" t="s">
        <v>528</v>
      </c>
      <c r="J51" s="15" t="s">
        <v>15991</v>
      </c>
    </row>
    <row r="52" spans="2:10">
      <c r="B52" s="15" t="s">
        <v>18642</v>
      </c>
      <c r="C52" s="15" t="s">
        <v>16086</v>
      </c>
      <c r="D52" s="15" t="s">
        <v>327</v>
      </c>
      <c r="E52" s="15" t="s">
        <v>305</v>
      </c>
      <c r="F52" s="15" t="s">
        <v>301</v>
      </c>
      <c r="G52" s="15"/>
      <c r="H52" s="15"/>
      <c r="I52" s="15" t="s">
        <v>528</v>
      </c>
      <c r="J52" s="15" t="s">
        <v>15991</v>
      </c>
    </row>
    <row r="53" spans="2:10">
      <c r="B53" s="16" t="s">
        <v>18642</v>
      </c>
      <c r="C53" s="16" t="s">
        <v>16088</v>
      </c>
      <c r="D53" s="16" t="s">
        <v>316</v>
      </c>
      <c r="E53" s="16" t="s">
        <v>305</v>
      </c>
      <c r="F53" s="16" t="s">
        <v>16089</v>
      </c>
      <c r="G53" s="16"/>
      <c r="H53" s="16"/>
      <c r="I53" s="16" t="s">
        <v>528</v>
      </c>
      <c r="J53" s="16" t="s">
        <v>15991</v>
      </c>
    </row>
    <row r="54" spans="2:10">
      <c r="B54" s="65" t="s">
        <v>18642</v>
      </c>
      <c r="C54" s="57" t="s">
        <v>18650</v>
      </c>
      <c r="D54" s="57" t="s">
        <v>363</v>
      </c>
      <c r="E54" s="65" t="s">
        <v>305</v>
      </c>
      <c r="F54" s="83" t="s">
        <v>18651</v>
      </c>
      <c r="G54" s="57"/>
      <c r="H54" s="57"/>
      <c r="I54" s="57"/>
      <c r="J54" s="67">
        <v>45740</v>
      </c>
    </row>
    <row r="55" spans="2:10">
      <c r="B55" s="65" t="s">
        <v>18642</v>
      </c>
      <c r="C55" s="57" t="s">
        <v>18652</v>
      </c>
      <c r="D55" s="57" t="s">
        <v>321</v>
      </c>
      <c r="E55" s="65" t="s">
        <v>305</v>
      </c>
      <c r="F55" s="83" t="s">
        <v>18653</v>
      </c>
      <c r="G55" s="57"/>
      <c r="H55" s="57"/>
      <c r="I55" s="57"/>
      <c r="J55" s="67">
        <v>45740</v>
      </c>
    </row>
    <row r="56" spans="2:10">
      <c r="B56" s="65" t="s">
        <v>18642</v>
      </c>
      <c r="C56" s="57" t="s">
        <v>18654</v>
      </c>
      <c r="D56" s="57" t="s">
        <v>350</v>
      </c>
      <c r="E56" s="65" t="s">
        <v>305</v>
      </c>
      <c r="F56" s="83" t="s">
        <v>18655</v>
      </c>
      <c r="G56" s="57"/>
      <c r="H56" s="57"/>
      <c r="I56" s="57"/>
      <c r="J56" s="67">
        <v>45740</v>
      </c>
    </row>
  </sheetData>
  <pageMargins left="0.75" right="0.75" top="1" bottom="1" header="0.5" footer="0.5"/>
  <pageSetup paperSize="1" orientation="portrait" horizontalDpi="300" verticalDpi="300"/>
  <headerFooter alignWithMargins="0" scaleWithDoc="0"/>
</worksheet>
</file>

<file path=xl/worksheets/sheet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7"/>
  <sheetViews>
    <sheetView zoomScaleSheetLayoutView="60" workbookViewId="0">
      <selection activeCell="D7" sqref="D7:D9"/>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52" t="str">
        <f>HYPERLINK("#表结构清单!A1","返回")</f>
        <v>返回</v>
      </c>
      <c r="B1" t="s">
        <v>76</v>
      </c>
    </row>
    <row r="2" spans="2:10">
      <c r="B2" s="13" t="s">
        <v>15982</v>
      </c>
      <c r="C2" s="13" t="s">
        <v>297</v>
      </c>
      <c r="D2" s="13" t="s">
        <v>11870</v>
      </c>
      <c r="E2" s="13" t="s">
        <v>15983</v>
      </c>
      <c r="F2" s="13" t="s">
        <v>15984</v>
      </c>
      <c r="G2" s="13" t="s">
        <v>300</v>
      </c>
      <c r="H2" s="13" t="s">
        <v>301</v>
      </c>
      <c r="I2" s="13" t="s">
        <v>15985</v>
      </c>
      <c r="J2" s="13" t="s">
        <v>15986</v>
      </c>
    </row>
    <row r="3" spans="2:10">
      <c r="B3" s="15" t="s">
        <v>18656</v>
      </c>
      <c r="C3" s="15" t="s">
        <v>15988</v>
      </c>
      <c r="D3" s="15" t="s">
        <v>316</v>
      </c>
      <c r="E3" s="15" t="s">
        <v>15989</v>
      </c>
      <c r="F3" s="15" t="s">
        <v>15990</v>
      </c>
      <c r="G3" s="15"/>
      <c r="H3" s="15"/>
      <c r="I3" s="15" t="s">
        <v>528</v>
      </c>
      <c r="J3" s="15" t="s">
        <v>15991</v>
      </c>
    </row>
    <row r="4" spans="2:10">
      <c r="B4" s="15" t="s">
        <v>18656</v>
      </c>
      <c r="C4" s="15" t="s">
        <v>18657</v>
      </c>
      <c r="D4" s="15" t="s">
        <v>316</v>
      </c>
      <c r="E4" s="15" t="s">
        <v>305</v>
      </c>
      <c r="F4" s="15" t="s">
        <v>18658</v>
      </c>
      <c r="G4" s="15"/>
      <c r="H4" s="15"/>
      <c r="I4" s="15" t="s">
        <v>528</v>
      </c>
      <c r="J4" s="15" t="s">
        <v>15991</v>
      </c>
    </row>
    <row r="5" spans="2:10">
      <c r="B5" s="15" t="s">
        <v>18656</v>
      </c>
      <c r="C5" s="15" t="s">
        <v>18659</v>
      </c>
      <c r="D5" s="15" t="s">
        <v>506</v>
      </c>
      <c r="E5" s="15" t="s">
        <v>305</v>
      </c>
      <c r="F5" s="15" t="s">
        <v>18660</v>
      </c>
      <c r="G5" s="15"/>
      <c r="H5" s="15"/>
      <c r="I5" s="15" t="s">
        <v>528</v>
      </c>
      <c r="J5" s="15" t="s">
        <v>15991</v>
      </c>
    </row>
    <row r="6" spans="2:10">
      <c r="B6" s="15" t="s">
        <v>18656</v>
      </c>
      <c r="C6" s="15" t="s">
        <v>18478</v>
      </c>
      <c r="D6" s="15" t="s">
        <v>17036</v>
      </c>
      <c r="E6" s="15" t="s">
        <v>305</v>
      </c>
      <c r="F6" s="15" t="s">
        <v>16788</v>
      </c>
      <c r="G6" s="15"/>
      <c r="H6" s="15"/>
      <c r="I6" s="15" t="s">
        <v>528</v>
      </c>
      <c r="J6" s="15" t="s">
        <v>15991</v>
      </c>
    </row>
    <row r="7" spans="2:10">
      <c r="B7" s="15" t="s">
        <v>18656</v>
      </c>
      <c r="C7" s="15" t="s">
        <v>18661</v>
      </c>
      <c r="D7" s="15" t="s">
        <v>350</v>
      </c>
      <c r="E7" s="15" t="s">
        <v>305</v>
      </c>
      <c r="F7" s="15" t="s">
        <v>18662</v>
      </c>
      <c r="G7" s="15"/>
      <c r="H7" s="15"/>
      <c r="I7" s="15" t="s">
        <v>528</v>
      </c>
      <c r="J7" s="15" t="s">
        <v>15991</v>
      </c>
    </row>
    <row r="8" spans="2:10">
      <c r="B8" s="15" t="s">
        <v>18656</v>
      </c>
      <c r="C8" s="15" t="s">
        <v>18663</v>
      </c>
      <c r="D8" s="15" t="s">
        <v>350</v>
      </c>
      <c r="E8" s="15" t="s">
        <v>305</v>
      </c>
      <c r="F8" s="15" t="s">
        <v>18664</v>
      </c>
      <c r="G8" s="15"/>
      <c r="H8" s="15"/>
      <c r="I8" s="15" t="s">
        <v>528</v>
      </c>
      <c r="J8" s="15" t="s">
        <v>15991</v>
      </c>
    </row>
    <row r="9" spans="2:10">
      <c r="B9" s="15" t="s">
        <v>18656</v>
      </c>
      <c r="C9" s="15" t="s">
        <v>18665</v>
      </c>
      <c r="D9" s="15" t="s">
        <v>350</v>
      </c>
      <c r="E9" s="15" t="s">
        <v>305</v>
      </c>
      <c r="F9" s="15" t="s">
        <v>18666</v>
      </c>
      <c r="G9" s="15"/>
      <c r="H9" s="15"/>
      <c r="I9" s="15" t="s">
        <v>528</v>
      </c>
      <c r="J9" s="15" t="s">
        <v>15991</v>
      </c>
    </row>
    <row r="10" spans="2:10">
      <c r="B10" s="15" t="s">
        <v>18656</v>
      </c>
      <c r="C10" s="15" t="s">
        <v>16088</v>
      </c>
      <c r="D10" s="15" t="s">
        <v>316</v>
      </c>
      <c r="E10" s="15" t="s">
        <v>305</v>
      </c>
      <c r="F10" s="15" t="s">
        <v>18490</v>
      </c>
      <c r="G10" s="15"/>
      <c r="H10" s="15"/>
      <c r="I10" s="15" t="s">
        <v>528</v>
      </c>
      <c r="J10" s="15" t="s">
        <v>15991</v>
      </c>
    </row>
    <row r="11" spans="2:10">
      <c r="B11" s="15" t="s">
        <v>18656</v>
      </c>
      <c r="C11" s="15" t="s">
        <v>18491</v>
      </c>
      <c r="D11" s="15" t="s">
        <v>321</v>
      </c>
      <c r="E11" s="15" t="s">
        <v>305</v>
      </c>
      <c r="F11" s="15" t="s">
        <v>18667</v>
      </c>
      <c r="G11" s="15"/>
      <c r="H11" s="15"/>
      <c r="I11" s="15" t="s">
        <v>528</v>
      </c>
      <c r="J11" s="15" t="s">
        <v>15991</v>
      </c>
    </row>
    <row r="12" spans="2:10">
      <c r="B12" s="15" t="s">
        <v>18656</v>
      </c>
      <c r="C12" s="15" t="s">
        <v>16011</v>
      </c>
      <c r="D12" s="15" t="s">
        <v>316</v>
      </c>
      <c r="E12" s="15" t="s">
        <v>305</v>
      </c>
      <c r="F12" s="15" t="s">
        <v>16012</v>
      </c>
      <c r="G12" s="15"/>
      <c r="H12" s="15"/>
      <c r="I12" s="15" t="s">
        <v>528</v>
      </c>
      <c r="J12" s="15" t="s">
        <v>15991</v>
      </c>
    </row>
    <row r="13" spans="2:10">
      <c r="B13" s="15" t="s">
        <v>18656</v>
      </c>
      <c r="C13" s="15" t="s">
        <v>16009</v>
      </c>
      <c r="D13" s="15" t="s">
        <v>316</v>
      </c>
      <c r="E13" s="15" t="s">
        <v>305</v>
      </c>
      <c r="F13" s="15" t="s">
        <v>16010</v>
      </c>
      <c r="G13" s="15"/>
      <c r="H13" s="15"/>
      <c r="I13" s="15" t="s">
        <v>528</v>
      </c>
      <c r="J13" s="15" t="s">
        <v>15991</v>
      </c>
    </row>
    <row r="14" spans="2:10">
      <c r="B14" s="15" t="s">
        <v>18656</v>
      </c>
      <c r="C14" s="15" t="s">
        <v>16013</v>
      </c>
      <c r="D14" s="15" t="s">
        <v>371</v>
      </c>
      <c r="E14" s="15" t="s">
        <v>305</v>
      </c>
      <c r="F14" s="15" t="s">
        <v>16014</v>
      </c>
      <c r="G14" s="15"/>
      <c r="H14" s="15"/>
      <c r="I14" s="15" t="s">
        <v>528</v>
      </c>
      <c r="J14" s="15" t="s">
        <v>15991</v>
      </c>
    </row>
    <row r="15" spans="2:10">
      <c r="B15" s="15" t="s">
        <v>18656</v>
      </c>
      <c r="C15" s="15" t="s">
        <v>16017</v>
      </c>
      <c r="D15" s="15" t="s">
        <v>316</v>
      </c>
      <c r="E15" s="15" t="s">
        <v>305</v>
      </c>
      <c r="F15" s="15" t="s">
        <v>16018</v>
      </c>
      <c r="G15" s="15"/>
      <c r="H15" s="15"/>
      <c r="I15" s="15" t="s">
        <v>528</v>
      </c>
      <c r="J15" s="15" t="s">
        <v>15991</v>
      </c>
    </row>
    <row r="16" spans="2:10">
      <c r="B16" s="15" t="s">
        <v>18656</v>
      </c>
      <c r="C16" s="15" t="s">
        <v>16015</v>
      </c>
      <c r="D16" s="15" t="s">
        <v>316</v>
      </c>
      <c r="E16" s="15" t="s">
        <v>305</v>
      </c>
      <c r="F16" s="15" t="s">
        <v>16016</v>
      </c>
      <c r="G16" s="15"/>
      <c r="H16" s="15"/>
      <c r="I16" s="15" t="s">
        <v>528</v>
      </c>
      <c r="J16" s="15" t="s">
        <v>15991</v>
      </c>
    </row>
    <row r="17" spans="2:10">
      <c r="B17" s="15" t="s">
        <v>18656</v>
      </c>
      <c r="C17" s="15" t="s">
        <v>16019</v>
      </c>
      <c r="D17" s="15" t="s">
        <v>371</v>
      </c>
      <c r="E17" s="15" t="s">
        <v>305</v>
      </c>
      <c r="F17" s="15" t="s">
        <v>16020</v>
      </c>
      <c r="G17" s="15"/>
      <c r="H17" s="15"/>
      <c r="I17" s="15" t="s">
        <v>528</v>
      </c>
      <c r="J17" s="15" t="s">
        <v>15991</v>
      </c>
    </row>
  </sheetData>
  <pageMargins left="0.75" right="0.75" top="1" bottom="1" header="0.5" footer="0.5"/>
  <pageSetup paperSize="1" orientation="portrait" horizontalDpi="300" verticalDpi="300"/>
  <headerFooter alignWithMargins="0" scaleWithDoc="0"/>
</worksheet>
</file>

<file path=xl/worksheets/sheet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7"/>
  <sheetViews>
    <sheetView zoomScaleSheetLayoutView="60" workbookViewId="0">
      <selection activeCell="D13" sqref="D13"/>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51" t="str">
        <f>HYPERLINK("#表结构清单!A1","返回")</f>
        <v>返回</v>
      </c>
      <c r="B1" t="s">
        <v>77</v>
      </c>
    </row>
    <row r="2" spans="2:10">
      <c r="B2" s="13" t="s">
        <v>15982</v>
      </c>
      <c r="C2" s="13" t="s">
        <v>297</v>
      </c>
      <c r="D2" s="13" t="s">
        <v>11870</v>
      </c>
      <c r="E2" s="13" t="s">
        <v>15983</v>
      </c>
      <c r="F2" s="13" t="s">
        <v>15984</v>
      </c>
      <c r="G2" s="13" t="s">
        <v>300</v>
      </c>
      <c r="H2" s="13" t="s">
        <v>301</v>
      </c>
      <c r="I2" s="13" t="s">
        <v>15985</v>
      </c>
      <c r="J2" s="13" t="s">
        <v>15986</v>
      </c>
    </row>
    <row r="3" spans="2:10">
      <c r="B3" s="15" t="s">
        <v>18668</v>
      </c>
      <c r="C3" s="15" t="s">
        <v>15988</v>
      </c>
      <c r="D3" s="15" t="s">
        <v>316</v>
      </c>
      <c r="E3" s="15" t="s">
        <v>15989</v>
      </c>
      <c r="F3" s="15" t="s">
        <v>15990</v>
      </c>
      <c r="G3" s="15"/>
      <c r="H3" s="15"/>
      <c r="I3" s="15" t="s">
        <v>528</v>
      </c>
      <c r="J3" s="15" t="s">
        <v>15991</v>
      </c>
    </row>
    <row r="4" spans="2:10">
      <c r="B4" s="15" t="s">
        <v>18668</v>
      </c>
      <c r="C4" s="15" t="s">
        <v>18657</v>
      </c>
      <c r="D4" s="15" t="s">
        <v>316</v>
      </c>
      <c r="E4" s="15" t="s">
        <v>305</v>
      </c>
      <c r="F4" s="15" t="s">
        <v>18658</v>
      </c>
      <c r="G4" s="15"/>
      <c r="H4" s="15"/>
      <c r="I4" s="15" t="s">
        <v>528</v>
      </c>
      <c r="J4" s="15" t="s">
        <v>15991</v>
      </c>
    </row>
    <row r="5" spans="2:10">
      <c r="B5" s="15" t="s">
        <v>18668</v>
      </c>
      <c r="C5" s="15" t="s">
        <v>18659</v>
      </c>
      <c r="D5" s="15" t="s">
        <v>506</v>
      </c>
      <c r="E5" s="15" t="s">
        <v>305</v>
      </c>
      <c r="F5" s="15" t="s">
        <v>18660</v>
      </c>
      <c r="G5" s="15"/>
      <c r="H5" s="15"/>
      <c r="I5" s="15" t="s">
        <v>528</v>
      </c>
      <c r="J5" s="15" t="s">
        <v>15991</v>
      </c>
    </row>
    <row r="6" spans="2:10">
      <c r="B6" s="15" t="s">
        <v>18668</v>
      </c>
      <c r="C6" s="15" t="s">
        <v>18478</v>
      </c>
      <c r="D6" s="15" t="s">
        <v>17036</v>
      </c>
      <c r="E6" s="15" t="s">
        <v>305</v>
      </c>
      <c r="F6" s="15" t="s">
        <v>16788</v>
      </c>
      <c r="G6" s="15"/>
      <c r="H6" s="15"/>
      <c r="I6" s="15" t="s">
        <v>528</v>
      </c>
      <c r="J6" s="15" t="s">
        <v>15991</v>
      </c>
    </row>
    <row r="7" spans="2:10">
      <c r="B7" s="15" t="s">
        <v>18668</v>
      </c>
      <c r="C7" s="15" t="s">
        <v>18661</v>
      </c>
      <c r="D7" s="15" t="s">
        <v>350</v>
      </c>
      <c r="E7" s="15" t="s">
        <v>305</v>
      </c>
      <c r="F7" s="15" t="s">
        <v>18662</v>
      </c>
      <c r="G7" s="15"/>
      <c r="H7" s="15"/>
      <c r="I7" s="15" t="s">
        <v>528</v>
      </c>
      <c r="J7" s="15" t="s">
        <v>15991</v>
      </c>
    </row>
    <row r="8" spans="2:10">
      <c r="B8" s="15" t="s">
        <v>18668</v>
      </c>
      <c r="C8" s="15" t="s">
        <v>18663</v>
      </c>
      <c r="D8" s="15" t="s">
        <v>350</v>
      </c>
      <c r="E8" s="15" t="s">
        <v>305</v>
      </c>
      <c r="F8" s="15" t="s">
        <v>18664</v>
      </c>
      <c r="G8" s="15"/>
      <c r="H8" s="15"/>
      <c r="I8" s="15" t="s">
        <v>528</v>
      </c>
      <c r="J8" s="15" t="s">
        <v>15991</v>
      </c>
    </row>
    <row r="9" spans="2:10">
      <c r="B9" s="15" t="s">
        <v>18668</v>
      </c>
      <c r="C9" s="15" t="s">
        <v>18665</v>
      </c>
      <c r="D9" s="15" t="s">
        <v>350</v>
      </c>
      <c r="E9" s="15" t="s">
        <v>305</v>
      </c>
      <c r="F9" s="15" t="s">
        <v>18666</v>
      </c>
      <c r="G9" s="15"/>
      <c r="H9" s="15"/>
      <c r="I9" s="15" t="s">
        <v>528</v>
      </c>
      <c r="J9" s="15" t="s">
        <v>15991</v>
      </c>
    </row>
    <row r="10" spans="2:10">
      <c r="B10" s="15" t="s">
        <v>18668</v>
      </c>
      <c r="C10" s="15" t="s">
        <v>16088</v>
      </c>
      <c r="D10" s="15" t="s">
        <v>316</v>
      </c>
      <c r="E10" s="15" t="s">
        <v>305</v>
      </c>
      <c r="F10" s="15" t="s">
        <v>18490</v>
      </c>
      <c r="G10" s="15"/>
      <c r="H10" s="15"/>
      <c r="I10" s="15" t="s">
        <v>528</v>
      </c>
      <c r="J10" s="15" t="s">
        <v>15991</v>
      </c>
    </row>
    <row r="11" spans="2:10">
      <c r="B11" s="15" t="s">
        <v>18668</v>
      </c>
      <c r="C11" s="15" t="s">
        <v>18491</v>
      </c>
      <c r="D11" s="15" t="s">
        <v>321</v>
      </c>
      <c r="E11" s="15" t="s">
        <v>305</v>
      </c>
      <c r="F11" s="15" t="s">
        <v>18667</v>
      </c>
      <c r="G11" s="15"/>
      <c r="H11" s="15"/>
      <c r="I11" s="15" t="s">
        <v>528</v>
      </c>
      <c r="J11" s="15" t="s">
        <v>15991</v>
      </c>
    </row>
    <row r="12" spans="2:10">
      <c r="B12" s="15" t="s">
        <v>18668</v>
      </c>
      <c r="C12" s="15" t="s">
        <v>16011</v>
      </c>
      <c r="D12" s="15" t="s">
        <v>316</v>
      </c>
      <c r="E12" s="15" t="s">
        <v>305</v>
      </c>
      <c r="F12" s="15" t="s">
        <v>16012</v>
      </c>
      <c r="G12" s="15"/>
      <c r="H12" s="15"/>
      <c r="I12" s="15" t="s">
        <v>528</v>
      </c>
      <c r="J12" s="15" t="s">
        <v>15991</v>
      </c>
    </row>
    <row r="13" spans="2:10">
      <c r="B13" s="15" t="s">
        <v>18668</v>
      </c>
      <c r="C13" s="15" t="s">
        <v>16009</v>
      </c>
      <c r="D13" s="15" t="s">
        <v>316</v>
      </c>
      <c r="E13" s="15" t="s">
        <v>305</v>
      </c>
      <c r="F13" s="15" t="s">
        <v>16010</v>
      </c>
      <c r="G13" s="15"/>
      <c r="H13" s="15"/>
      <c r="I13" s="15" t="s">
        <v>528</v>
      </c>
      <c r="J13" s="15" t="s">
        <v>15991</v>
      </c>
    </row>
    <row r="14" spans="2:10">
      <c r="B14" s="15" t="s">
        <v>18668</v>
      </c>
      <c r="C14" s="15" t="s">
        <v>16013</v>
      </c>
      <c r="D14" s="15" t="s">
        <v>371</v>
      </c>
      <c r="E14" s="15" t="s">
        <v>305</v>
      </c>
      <c r="F14" s="15" t="s">
        <v>16014</v>
      </c>
      <c r="G14" s="15"/>
      <c r="H14" s="15"/>
      <c r="I14" s="15" t="s">
        <v>528</v>
      </c>
      <c r="J14" s="15" t="s">
        <v>15991</v>
      </c>
    </row>
    <row r="15" spans="2:10">
      <c r="B15" s="15" t="s">
        <v>18668</v>
      </c>
      <c r="C15" s="15" t="s">
        <v>16017</v>
      </c>
      <c r="D15" s="15" t="s">
        <v>316</v>
      </c>
      <c r="E15" s="15" t="s">
        <v>305</v>
      </c>
      <c r="F15" s="15" t="s">
        <v>16018</v>
      </c>
      <c r="G15" s="15"/>
      <c r="H15" s="15"/>
      <c r="I15" s="15" t="s">
        <v>528</v>
      </c>
      <c r="J15" s="15" t="s">
        <v>15991</v>
      </c>
    </row>
    <row r="16" spans="2:10">
      <c r="B16" s="15" t="s">
        <v>18668</v>
      </c>
      <c r="C16" s="15" t="s">
        <v>16015</v>
      </c>
      <c r="D16" s="15" t="s">
        <v>316</v>
      </c>
      <c r="E16" s="15" t="s">
        <v>305</v>
      </c>
      <c r="F16" s="15" t="s">
        <v>16016</v>
      </c>
      <c r="G16" s="15"/>
      <c r="H16" s="15"/>
      <c r="I16" s="15" t="s">
        <v>528</v>
      </c>
      <c r="J16" s="15" t="s">
        <v>15991</v>
      </c>
    </row>
    <row r="17" spans="2:10">
      <c r="B17" s="15" t="s">
        <v>18668</v>
      </c>
      <c r="C17" s="15" t="s">
        <v>16019</v>
      </c>
      <c r="D17" s="15" t="s">
        <v>371</v>
      </c>
      <c r="E17" s="15" t="s">
        <v>305</v>
      </c>
      <c r="F17" s="15" t="s">
        <v>16020</v>
      </c>
      <c r="G17" s="15"/>
      <c r="H17" s="15"/>
      <c r="I17" s="15" t="s">
        <v>528</v>
      </c>
      <c r="J17" s="15" t="s">
        <v>15991</v>
      </c>
    </row>
  </sheetData>
  <pageMargins left="0.75" right="0.75" top="1" bottom="1" header="0.5" footer="0.5"/>
  <pageSetup paperSize="1" orientation="portrait" horizontalDpi="300" verticalDpi="300"/>
  <headerFooter alignWithMargins="0" scaleWithDoc="0"/>
</worksheet>
</file>

<file path=xl/worksheets/sheet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4"/>
  <sheetViews>
    <sheetView zoomScaleSheetLayoutView="60" workbookViewId="0">
      <selection activeCell="F19" sqref="F19"/>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52" t="str">
        <f>HYPERLINK("#表结构清单!A1","返回")</f>
        <v>返回</v>
      </c>
      <c r="B1" t="s">
        <v>192</v>
      </c>
    </row>
    <row r="2" spans="2:10">
      <c r="B2" s="13" t="s">
        <v>15982</v>
      </c>
      <c r="C2" s="13" t="s">
        <v>297</v>
      </c>
      <c r="D2" s="13" t="s">
        <v>11870</v>
      </c>
      <c r="E2" s="13" t="s">
        <v>15983</v>
      </c>
      <c r="F2" s="13" t="s">
        <v>15984</v>
      </c>
      <c r="G2" s="13" t="s">
        <v>300</v>
      </c>
      <c r="H2" s="13" t="s">
        <v>301</v>
      </c>
      <c r="I2" s="13" t="s">
        <v>15985</v>
      </c>
      <c r="J2" s="13" t="s">
        <v>15986</v>
      </c>
    </row>
    <row r="3" spans="2:10">
      <c r="B3" s="15" t="s">
        <v>18669</v>
      </c>
      <c r="C3" s="15" t="s">
        <v>18670</v>
      </c>
      <c r="D3" s="15" t="s">
        <v>316</v>
      </c>
      <c r="E3" s="15" t="s">
        <v>15989</v>
      </c>
      <c r="F3" s="15" t="s">
        <v>18671</v>
      </c>
      <c r="G3" s="15"/>
      <c r="H3" s="15"/>
      <c r="I3" s="15" t="s">
        <v>528</v>
      </c>
      <c r="J3" s="15" t="s">
        <v>15991</v>
      </c>
    </row>
    <row r="4" spans="2:10">
      <c r="B4" s="15" t="s">
        <v>18669</v>
      </c>
      <c r="C4" s="15" t="s">
        <v>16953</v>
      </c>
      <c r="D4" s="15" t="s">
        <v>316</v>
      </c>
      <c r="E4" s="15" t="s">
        <v>15989</v>
      </c>
      <c r="F4" s="15" t="s">
        <v>18672</v>
      </c>
      <c r="G4" s="15"/>
      <c r="H4" s="15"/>
      <c r="I4" s="15" t="s">
        <v>528</v>
      </c>
      <c r="J4" s="15" t="s">
        <v>15991</v>
      </c>
    </row>
    <row r="5" spans="2:10">
      <c r="B5" s="15" t="s">
        <v>18669</v>
      </c>
      <c r="C5" s="15" t="s">
        <v>16103</v>
      </c>
      <c r="D5" s="15" t="s">
        <v>316</v>
      </c>
      <c r="E5" s="15" t="s">
        <v>15989</v>
      </c>
      <c r="F5" s="15" t="s">
        <v>16986</v>
      </c>
      <c r="G5" s="15"/>
      <c r="H5" s="15"/>
      <c r="I5" s="15" t="s">
        <v>528</v>
      </c>
      <c r="J5" s="15" t="s">
        <v>15991</v>
      </c>
    </row>
    <row r="6" spans="2:10">
      <c r="B6" s="15" t="s">
        <v>18669</v>
      </c>
      <c r="C6" s="15" t="s">
        <v>18673</v>
      </c>
      <c r="D6" s="15" t="s">
        <v>316</v>
      </c>
      <c r="E6" s="15" t="s">
        <v>15989</v>
      </c>
      <c r="F6" s="15" t="s">
        <v>18674</v>
      </c>
      <c r="G6" s="15"/>
      <c r="H6" s="15"/>
      <c r="I6" s="15" t="s">
        <v>528</v>
      </c>
      <c r="J6" s="15" t="s">
        <v>15991</v>
      </c>
    </row>
    <row r="7" spans="2:10">
      <c r="B7" s="15" t="s">
        <v>18669</v>
      </c>
      <c r="C7" s="15" t="s">
        <v>18675</v>
      </c>
      <c r="D7" s="15" t="s">
        <v>363</v>
      </c>
      <c r="E7" s="15" t="s">
        <v>305</v>
      </c>
      <c r="F7" s="15" t="s">
        <v>18676</v>
      </c>
      <c r="G7" s="15"/>
      <c r="H7" s="15"/>
      <c r="I7" s="15" t="s">
        <v>528</v>
      </c>
      <c r="J7" s="15" t="s">
        <v>15991</v>
      </c>
    </row>
    <row r="8" spans="2:10">
      <c r="B8" s="15" t="s">
        <v>18669</v>
      </c>
      <c r="C8" s="15" t="s">
        <v>18677</v>
      </c>
      <c r="D8" s="15" t="s">
        <v>363</v>
      </c>
      <c r="E8" s="15" t="s">
        <v>305</v>
      </c>
      <c r="F8" s="15" t="s">
        <v>18678</v>
      </c>
      <c r="G8" s="15"/>
      <c r="H8" s="15"/>
      <c r="I8" s="15" t="s">
        <v>528</v>
      </c>
      <c r="J8" s="15" t="s">
        <v>15991</v>
      </c>
    </row>
    <row r="9" spans="2:10">
      <c r="B9" s="15" t="s">
        <v>18669</v>
      </c>
      <c r="C9" s="15" t="s">
        <v>18567</v>
      </c>
      <c r="D9" s="15" t="s">
        <v>513</v>
      </c>
      <c r="E9" s="15" t="s">
        <v>305</v>
      </c>
      <c r="F9" s="15" t="s">
        <v>18679</v>
      </c>
      <c r="G9" s="15"/>
      <c r="H9" s="15"/>
      <c r="I9" s="15" t="s">
        <v>528</v>
      </c>
      <c r="J9" s="15" t="s">
        <v>15991</v>
      </c>
    </row>
    <row r="10" spans="2:10">
      <c r="B10" s="15" t="s">
        <v>18669</v>
      </c>
      <c r="C10" s="15" t="s">
        <v>18680</v>
      </c>
      <c r="D10" s="15" t="s">
        <v>350</v>
      </c>
      <c r="E10" s="15" t="s">
        <v>305</v>
      </c>
      <c r="F10" s="15" t="s">
        <v>18681</v>
      </c>
      <c r="G10" s="15"/>
      <c r="H10" s="15"/>
      <c r="I10" s="15" t="s">
        <v>528</v>
      </c>
      <c r="J10" s="15" t="s">
        <v>15991</v>
      </c>
    </row>
    <row r="11" spans="2:10">
      <c r="B11" s="15" t="s">
        <v>18669</v>
      </c>
      <c r="C11" s="15" t="s">
        <v>18682</v>
      </c>
      <c r="D11" s="15" t="s">
        <v>350</v>
      </c>
      <c r="E11" s="15" t="s">
        <v>305</v>
      </c>
      <c r="F11" s="15" t="s">
        <v>18683</v>
      </c>
      <c r="G11" s="15"/>
      <c r="H11" s="15"/>
      <c r="I11" s="15" t="s">
        <v>528</v>
      </c>
      <c r="J11" s="15" t="s">
        <v>15991</v>
      </c>
    </row>
    <row r="12" spans="2:10">
      <c r="B12" s="15" t="s">
        <v>18669</v>
      </c>
      <c r="C12" s="15" t="s">
        <v>18684</v>
      </c>
      <c r="D12" s="15" t="s">
        <v>513</v>
      </c>
      <c r="E12" s="15" t="s">
        <v>305</v>
      </c>
      <c r="F12" s="15" t="s">
        <v>18685</v>
      </c>
      <c r="G12" s="15"/>
      <c r="H12" s="15"/>
      <c r="I12" s="15" t="s">
        <v>528</v>
      </c>
      <c r="J12" s="15" t="s">
        <v>15991</v>
      </c>
    </row>
    <row r="13" spans="2:10">
      <c r="B13" s="15" t="s">
        <v>18669</v>
      </c>
      <c r="C13" s="15" t="s">
        <v>445</v>
      </c>
      <c r="D13" s="15" t="s">
        <v>316</v>
      </c>
      <c r="E13" s="15" t="s">
        <v>305</v>
      </c>
      <c r="F13" s="15" t="s">
        <v>18686</v>
      </c>
      <c r="G13" s="15"/>
      <c r="H13" s="15"/>
      <c r="I13" s="15" t="s">
        <v>528</v>
      </c>
      <c r="J13" s="15" t="s">
        <v>15991</v>
      </c>
    </row>
    <row r="14" spans="2:10">
      <c r="B14" s="15" t="s">
        <v>18669</v>
      </c>
      <c r="C14" s="15" t="s">
        <v>18687</v>
      </c>
      <c r="D14" s="15" t="s">
        <v>16072</v>
      </c>
      <c r="E14" s="15" t="s">
        <v>305</v>
      </c>
      <c r="F14" s="15" t="s">
        <v>18688</v>
      </c>
      <c r="G14" s="15"/>
      <c r="H14" s="15"/>
      <c r="I14" s="15" t="s">
        <v>528</v>
      </c>
      <c r="J14" s="15" t="s">
        <v>15991</v>
      </c>
    </row>
    <row r="15" spans="2:10">
      <c r="B15" s="15" t="s">
        <v>18669</v>
      </c>
      <c r="C15" s="15" t="s">
        <v>18689</v>
      </c>
      <c r="D15" s="15" t="s">
        <v>321</v>
      </c>
      <c r="E15" s="15" t="s">
        <v>305</v>
      </c>
      <c r="F15" s="15" t="s">
        <v>18690</v>
      </c>
      <c r="G15" s="15"/>
      <c r="H15" s="15"/>
      <c r="I15" s="15" t="s">
        <v>528</v>
      </c>
      <c r="J15" s="15" t="s">
        <v>15991</v>
      </c>
    </row>
    <row r="16" spans="2:10">
      <c r="B16" s="15" t="s">
        <v>18669</v>
      </c>
      <c r="C16" s="15" t="s">
        <v>18691</v>
      </c>
      <c r="D16" s="15" t="s">
        <v>16072</v>
      </c>
      <c r="E16" s="15" t="s">
        <v>305</v>
      </c>
      <c r="F16" s="15" t="s">
        <v>18692</v>
      </c>
      <c r="G16" s="15"/>
      <c r="H16" s="15"/>
      <c r="I16" s="15" t="s">
        <v>528</v>
      </c>
      <c r="J16" s="15" t="s">
        <v>15991</v>
      </c>
    </row>
    <row r="17" spans="2:10">
      <c r="B17" s="15" t="s">
        <v>18669</v>
      </c>
      <c r="C17" s="15" t="s">
        <v>18693</v>
      </c>
      <c r="D17" s="15" t="s">
        <v>16072</v>
      </c>
      <c r="E17" s="15" t="s">
        <v>305</v>
      </c>
      <c r="F17" s="15" t="s">
        <v>18694</v>
      </c>
      <c r="G17" s="15"/>
      <c r="H17" s="15"/>
      <c r="I17" s="15" t="s">
        <v>528</v>
      </c>
      <c r="J17" s="15" t="s">
        <v>15991</v>
      </c>
    </row>
    <row r="18" spans="2:10">
      <c r="B18" s="15" t="s">
        <v>18669</v>
      </c>
      <c r="C18" s="15" t="s">
        <v>18695</v>
      </c>
      <c r="D18" s="15" t="s">
        <v>321</v>
      </c>
      <c r="E18" s="15" t="s">
        <v>305</v>
      </c>
      <c r="F18" s="15" t="s">
        <v>18696</v>
      </c>
      <c r="G18" s="15"/>
      <c r="H18" s="15"/>
      <c r="I18" s="15" t="s">
        <v>528</v>
      </c>
      <c r="J18" s="15" t="s">
        <v>15991</v>
      </c>
    </row>
    <row r="19" spans="2:10">
      <c r="B19" s="15" t="s">
        <v>18669</v>
      </c>
      <c r="C19" s="15" t="s">
        <v>18697</v>
      </c>
      <c r="D19" s="15" t="s">
        <v>16072</v>
      </c>
      <c r="E19" s="15" t="s">
        <v>305</v>
      </c>
      <c r="F19" s="15" t="s">
        <v>18698</v>
      </c>
      <c r="G19" s="15"/>
      <c r="H19" s="15"/>
      <c r="I19" s="15" t="s">
        <v>528</v>
      </c>
      <c r="J19" s="15" t="s">
        <v>15991</v>
      </c>
    </row>
    <row r="20" spans="2:10">
      <c r="B20" s="15" t="s">
        <v>18669</v>
      </c>
      <c r="C20" s="15" t="s">
        <v>18699</v>
      </c>
      <c r="D20" s="15" t="s">
        <v>321</v>
      </c>
      <c r="E20" s="15" t="s">
        <v>305</v>
      </c>
      <c r="F20" s="15" t="s">
        <v>18700</v>
      </c>
      <c r="G20" s="15"/>
      <c r="H20" s="15"/>
      <c r="I20" s="15" t="s">
        <v>528</v>
      </c>
      <c r="J20" s="15" t="s">
        <v>15991</v>
      </c>
    </row>
    <row r="21" spans="2:10">
      <c r="B21" s="15" t="s">
        <v>18669</v>
      </c>
      <c r="C21" s="15" t="s">
        <v>16122</v>
      </c>
      <c r="D21" s="15" t="s">
        <v>371</v>
      </c>
      <c r="E21" s="15" t="s">
        <v>305</v>
      </c>
      <c r="F21" s="15" t="s">
        <v>16123</v>
      </c>
      <c r="G21" s="15"/>
      <c r="H21" s="15"/>
      <c r="I21" s="15" t="s">
        <v>528</v>
      </c>
      <c r="J21" s="15" t="s">
        <v>15991</v>
      </c>
    </row>
    <row r="22" spans="2:10">
      <c r="B22" s="15" t="s">
        <v>18669</v>
      </c>
      <c r="C22" s="15" t="s">
        <v>16124</v>
      </c>
      <c r="D22" s="15" t="s">
        <v>371</v>
      </c>
      <c r="E22" s="15" t="s">
        <v>305</v>
      </c>
      <c r="F22" s="15" t="s">
        <v>16125</v>
      </c>
      <c r="G22" s="15"/>
      <c r="H22" s="15"/>
      <c r="I22" s="15" t="s">
        <v>528</v>
      </c>
      <c r="J22" s="15" t="s">
        <v>15991</v>
      </c>
    </row>
    <row r="23" spans="2:10">
      <c r="B23" s="15" t="s">
        <v>18669</v>
      </c>
      <c r="C23" s="15" t="s">
        <v>18701</v>
      </c>
      <c r="D23" s="15" t="s">
        <v>371</v>
      </c>
      <c r="E23" s="15" t="s">
        <v>305</v>
      </c>
      <c r="F23" s="15" t="s">
        <v>18702</v>
      </c>
      <c r="G23" s="15"/>
      <c r="H23" s="15"/>
      <c r="I23" s="15" t="s">
        <v>528</v>
      </c>
      <c r="J23" s="15" t="s">
        <v>15991</v>
      </c>
    </row>
    <row r="24" spans="2:10">
      <c r="B24" s="15" t="s">
        <v>18669</v>
      </c>
      <c r="C24" s="15" t="s">
        <v>18703</v>
      </c>
      <c r="D24" s="15" t="s">
        <v>371</v>
      </c>
      <c r="E24" s="15" t="s">
        <v>305</v>
      </c>
      <c r="F24" s="15" t="s">
        <v>18704</v>
      </c>
      <c r="G24" s="15"/>
      <c r="H24" s="15"/>
      <c r="I24" s="15" t="s">
        <v>528</v>
      </c>
      <c r="J24" s="15" t="s">
        <v>15991</v>
      </c>
    </row>
    <row r="25" spans="2:10">
      <c r="B25" s="15" t="s">
        <v>18669</v>
      </c>
      <c r="C25" s="15" t="s">
        <v>18705</v>
      </c>
      <c r="D25" s="15" t="s">
        <v>321</v>
      </c>
      <c r="E25" s="15" t="s">
        <v>305</v>
      </c>
      <c r="F25" s="15" t="s">
        <v>18706</v>
      </c>
      <c r="G25" s="15"/>
      <c r="H25" s="15"/>
      <c r="I25" s="15" t="s">
        <v>528</v>
      </c>
      <c r="J25" s="15" t="s">
        <v>15991</v>
      </c>
    </row>
    <row r="26" spans="2:10">
      <c r="B26" s="15" t="s">
        <v>18669</v>
      </c>
      <c r="C26" s="15" t="s">
        <v>16126</v>
      </c>
      <c r="D26" s="15" t="s">
        <v>321</v>
      </c>
      <c r="E26" s="15" t="s">
        <v>305</v>
      </c>
      <c r="F26" s="15" t="s">
        <v>905</v>
      </c>
      <c r="G26" s="15"/>
      <c r="H26" s="15"/>
      <c r="I26" s="15" t="s">
        <v>528</v>
      </c>
      <c r="J26" s="15" t="s">
        <v>15991</v>
      </c>
    </row>
    <row r="27" spans="2:10">
      <c r="B27" s="15" t="s">
        <v>18669</v>
      </c>
      <c r="C27" s="15" t="s">
        <v>18571</v>
      </c>
      <c r="D27" s="15" t="s">
        <v>316</v>
      </c>
      <c r="E27" s="15" t="s">
        <v>305</v>
      </c>
      <c r="F27" s="15" t="s">
        <v>18572</v>
      </c>
      <c r="G27" s="15"/>
      <c r="H27" s="15"/>
      <c r="I27" s="15" t="s">
        <v>528</v>
      </c>
      <c r="J27" s="15" t="s">
        <v>15991</v>
      </c>
    </row>
    <row r="28" spans="2:10">
      <c r="B28" s="15" t="s">
        <v>18669</v>
      </c>
      <c r="C28" s="15" t="s">
        <v>16011</v>
      </c>
      <c r="D28" s="15" t="s">
        <v>316</v>
      </c>
      <c r="E28" s="15" t="s">
        <v>305</v>
      </c>
      <c r="F28" s="15" t="s">
        <v>16012</v>
      </c>
      <c r="G28" s="15"/>
      <c r="H28" s="15"/>
      <c r="I28" s="15" t="s">
        <v>528</v>
      </c>
      <c r="J28" s="15" t="s">
        <v>15991</v>
      </c>
    </row>
    <row r="29" spans="2:10">
      <c r="B29" s="15" t="s">
        <v>18669</v>
      </c>
      <c r="C29" s="15" t="s">
        <v>16009</v>
      </c>
      <c r="D29" s="15" t="s">
        <v>316</v>
      </c>
      <c r="E29" s="15" t="s">
        <v>305</v>
      </c>
      <c r="F29" s="15" t="s">
        <v>16010</v>
      </c>
      <c r="G29" s="15"/>
      <c r="H29" s="15"/>
      <c r="I29" s="15" t="s">
        <v>528</v>
      </c>
      <c r="J29" s="15" t="s">
        <v>15991</v>
      </c>
    </row>
    <row r="30" spans="2:10">
      <c r="B30" s="15" t="s">
        <v>18669</v>
      </c>
      <c r="C30" s="15" t="s">
        <v>16013</v>
      </c>
      <c r="D30" s="15" t="s">
        <v>371</v>
      </c>
      <c r="E30" s="15" t="s">
        <v>305</v>
      </c>
      <c r="F30" s="15" t="s">
        <v>16014</v>
      </c>
      <c r="G30" s="15"/>
      <c r="H30" s="15"/>
      <c r="I30" s="15" t="s">
        <v>528</v>
      </c>
      <c r="J30" s="15" t="s">
        <v>15991</v>
      </c>
    </row>
    <row r="31" spans="2:10">
      <c r="B31" s="15" t="s">
        <v>18669</v>
      </c>
      <c r="C31" s="15" t="s">
        <v>16017</v>
      </c>
      <c r="D31" s="15" t="s">
        <v>316</v>
      </c>
      <c r="E31" s="15" t="s">
        <v>305</v>
      </c>
      <c r="F31" s="15" t="s">
        <v>16018</v>
      </c>
      <c r="G31" s="15"/>
      <c r="H31" s="15"/>
      <c r="I31" s="15" t="s">
        <v>528</v>
      </c>
      <c r="J31" s="15" t="s">
        <v>15991</v>
      </c>
    </row>
    <row r="32" spans="2:10">
      <c r="B32" s="15" t="s">
        <v>18669</v>
      </c>
      <c r="C32" s="15" t="s">
        <v>16015</v>
      </c>
      <c r="D32" s="15" t="s">
        <v>316</v>
      </c>
      <c r="E32" s="15" t="s">
        <v>305</v>
      </c>
      <c r="F32" s="15" t="s">
        <v>16016</v>
      </c>
      <c r="G32" s="15"/>
      <c r="H32" s="15"/>
      <c r="I32" s="15" t="s">
        <v>528</v>
      </c>
      <c r="J32" s="15" t="s">
        <v>15991</v>
      </c>
    </row>
    <row r="33" spans="2:10">
      <c r="B33" s="15" t="s">
        <v>18669</v>
      </c>
      <c r="C33" s="15" t="s">
        <v>16019</v>
      </c>
      <c r="D33" s="15" t="s">
        <v>371</v>
      </c>
      <c r="E33" s="15" t="s">
        <v>305</v>
      </c>
      <c r="F33" s="15" t="s">
        <v>16020</v>
      </c>
      <c r="G33" s="15"/>
      <c r="H33" s="15"/>
      <c r="I33" s="15" t="s">
        <v>528</v>
      </c>
      <c r="J33" s="15" t="s">
        <v>15991</v>
      </c>
    </row>
    <row r="34" spans="2:10">
      <c r="B34" s="15" t="s">
        <v>18669</v>
      </c>
      <c r="C34" s="15" t="s">
        <v>16088</v>
      </c>
      <c r="D34" s="15" t="s">
        <v>316</v>
      </c>
      <c r="E34" s="15" t="s">
        <v>305</v>
      </c>
      <c r="F34" s="15" t="s">
        <v>16089</v>
      </c>
      <c r="G34" s="15"/>
      <c r="H34" s="15"/>
      <c r="I34" s="15" t="s">
        <v>528</v>
      </c>
      <c r="J34" s="15" t="s">
        <v>15991</v>
      </c>
    </row>
  </sheetData>
  <pageMargins left="0.75" right="0.75" top="1" bottom="1" header="0.5" footer="0.5"/>
  <pageSetup paperSize="1" orientation="portrait" horizontalDpi="300" verticalDpi="300"/>
  <headerFooter alignWithMargins="0" scaleWithDoc="0"/>
</worksheet>
</file>

<file path=xl/worksheets/sheet8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2"/>
  <sheetViews>
    <sheetView zoomScaleSheetLayoutView="60" workbookViewId="0">
      <selection activeCell="A1" sqref="A1"/>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1" t="str">
        <f>HYPERLINK("#表结构清单!A1","返回")</f>
        <v>返回</v>
      </c>
      <c r="B1" t="s">
        <v>167</v>
      </c>
    </row>
    <row r="2" spans="2:10">
      <c r="B2" s="13" t="s">
        <v>15982</v>
      </c>
      <c r="C2" s="13" t="s">
        <v>297</v>
      </c>
      <c r="D2" s="13" t="s">
        <v>11870</v>
      </c>
      <c r="E2" s="13" t="s">
        <v>15983</v>
      </c>
      <c r="F2" s="13" t="s">
        <v>15984</v>
      </c>
      <c r="G2" s="13" t="s">
        <v>300</v>
      </c>
      <c r="H2" s="13" t="s">
        <v>301</v>
      </c>
      <c r="I2" s="13" t="s">
        <v>15985</v>
      </c>
      <c r="J2" s="13" t="s">
        <v>15986</v>
      </c>
    </row>
    <row r="3" spans="2:10">
      <c r="B3" s="15" t="s">
        <v>18707</v>
      </c>
      <c r="C3" s="15" t="s">
        <v>18708</v>
      </c>
      <c r="D3" s="15" t="s">
        <v>316</v>
      </c>
      <c r="E3" s="15" t="s">
        <v>15989</v>
      </c>
      <c r="F3" s="15" t="s">
        <v>18709</v>
      </c>
      <c r="G3" s="15"/>
      <c r="H3" s="15"/>
      <c r="I3" s="15" t="s">
        <v>528</v>
      </c>
      <c r="J3" s="15" t="s">
        <v>15991</v>
      </c>
    </row>
    <row r="4" spans="2:10">
      <c r="B4" s="15" t="s">
        <v>18707</v>
      </c>
      <c r="C4" s="15" t="s">
        <v>16103</v>
      </c>
      <c r="D4" s="15" t="s">
        <v>316</v>
      </c>
      <c r="E4" s="15" t="s">
        <v>305</v>
      </c>
      <c r="F4" s="15" t="s">
        <v>16986</v>
      </c>
      <c r="G4" s="15"/>
      <c r="H4" s="15"/>
      <c r="I4" s="15" t="s">
        <v>528</v>
      </c>
      <c r="J4" s="15" t="s">
        <v>15991</v>
      </c>
    </row>
    <row r="5" spans="2:10">
      <c r="B5" s="15" t="s">
        <v>18707</v>
      </c>
      <c r="C5" s="15" t="s">
        <v>18451</v>
      </c>
      <c r="D5" s="15" t="s">
        <v>316</v>
      </c>
      <c r="E5" s="15" t="s">
        <v>305</v>
      </c>
      <c r="F5" s="15" t="s">
        <v>18710</v>
      </c>
      <c r="G5" s="15"/>
      <c r="H5" s="15"/>
      <c r="I5" s="15" t="s">
        <v>528</v>
      </c>
      <c r="J5" s="15" t="s">
        <v>15991</v>
      </c>
    </row>
    <row r="6" spans="2:10">
      <c r="B6" s="15" t="s">
        <v>18707</v>
      </c>
      <c r="C6" s="15" t="s">
        <v>18711</v>
      </c>
      <c r="D6" s="15" t="s">
        <v>506</v>
      </c>
      <c r="E6" s="15" t="s">
        <v>305</v>
      </c>
      <c r="F6" s="15" t="s">
        <v>18712</v>
      </c>
      <c r="G6" s="15"/>
      <c r="H6" s="15"/>
      <c r="I6" s="15" t="s">
        <v>528</v>
      </c>
      <c r="J6" s="15" t="s">
        <v>15991</v>
      </c>
    </row>
    <row r="7" spans="2:10">
      <c r="B7" s="15" t="s">
        <v>18707</v>
      </c>
      <c r="C7" s="15" t="s">
        <v>18713</v>
      </c>
      <c r="D7" s="15" t="s">
        <v>513</v>
      </c>
      <c r="E7" s="15" t="s">
        <v>305</v>
      </c>
      <c r="F7" s="15" t="s">
        <v>18714</v>
      </c>
      <c r="G7" s="52" t="str">
        <f>HYPERLINK("#码值映射清单!B2469","Currency")</f>
        <v>Currency</v>
      </c>
      <c r="H7" s="15"/>
      <c r="I7" s="15" t="s">
        <v>528</v>
      </c>
      <c r="J7" s="15" t="s">
        <v>15991</v>
      </c>
    </row>
    <row r="8" spans="2:10">
      <c r="B8" s="15" t="s">
        <v>18707</v>
      </c>
      <c r="C8" s="15" t="s">
        <v>18715</v>
      </c>
      <c r="D8" s="15" t="s">
        <v>513</v>
      </c>
      <c r="E8" s="15" t="s">
        <v>305</v>
      </c>
      <c r="F8" s="15" t="s">
        <v>18716</v>
      </c>
      <c r="G8" s="52" t="str">
        <f>HYPERLINK("#码值映射清单!B2469","Currency")</f>
        <v>Currency</v>
      </c>
      <c r="H8" s="15"/>
      <c r="I8" s="15" t="s">
        <v>528</v>
      </c>
      <c r="J8" s="15" t="s">
        <v>15991</v>
      </c>
    </row>
    <row r="9" spans="2:10">
      <c r="B9" s="15" t="s">
        <v>18707</v>
      </c>
      <c r="C9" s="15" t="s">
        <v>18717</v>
      </c>
      <c r="D9" s="15" t="s">
        <v>371</v>
      </c>
      <c r="E9" s="15" t="s">
        <v>305</v>
      </c>
      <c r="F9" s="15" t="s">
        <v>18718</v>
      </c>
      <c r="G9" s="15"/>
      <c r="H9" s="15"/>
      <c r="I9" s="15" t="s">
        <v>528</v>
      </c>
      <c r="J9" s="15" t="s">
        <v>15991</v>
      </c>
    </row>
    <row r="10" spans="2:10">
      <c r="B10" s="15" t="s">
        <v>18707</v>
      </c>
      <c r="C10" s="15" t="s">
        <v>18719</v>
      </c>
      <c r="D10" s="15" t="s">
        <v>350</v>
      </c>
      <c r="E10" s="15" t="s">
        <v>305</v>
      </c>
      <c r="F10" s="15" t="s">
        <v>18720</v>
      </c>
      <c r="G10" s="15"/>
      <c r="H10" s="15"/>
      <c r="I10" s="15" t="s">
        <v>528</v>
      </c>
      <c r="J10" s="15" t="s">
        <v>15991</v>
      </c>
    </row>
    <row r="11" spans="2:10">
      <c r="B11" s="15" t="s">
        <v>18707</v>
      </c>
      <c r="C11" s="15" t="s">
        <v>18721</v>
      </c>
      <c r="D11" s="15" t="s">
        <v>350</v>
      </c>
      <c r="E11" s="15" t="s">
        <v>305</v>
      </c>
      <c r="F11" s="15" t="s">
        <v>18722</v>
      </c>
      <c r="G11" s="15"/>
      <c r="H11" s="15"/>
      <c r="I11" s="15" t="s">
        <v>528</v>
      </c>
      <c r="J11" s="15" t="s">
        <v>15991</v>
      </c>
    </row>
    <row r="12" spans="2:10">
      <c r="B12" s="15" t="s">
        <v>18707</v>
      </c>
      <c r="C12" s="15" t="s">
        <v>18723</v>
      </c>
      <c r="D12" s="15" t="s">
        <v>350</v>
      </c>
      <c r="E12" s="15" t="s">
        <v>305</v>
      </c>
      <c r="F12" s="15" t="s">
        <v>18724</v>
      </c>
      <c r="G12" s="15"/>
      <c r="H12" s="15"/>
      <c r="I12" s="15" t="s">
        <v>528</v>
      </c>
      <c r="J12" s="15" t="s">
        <v>15991</v>
      </c>
    </row>
    <row r="13" spans="2:10">
      <c r="B13" s="15" t="s">
        <v>18707</v>
      </c>
      <c r="C13" s="15" t="s">
        <v>18725</v>
      </c>
      <c r="D13" s="15" t="s">
        <v>371</v>
      </c>
      <c r="E13" s="15" t="s">
        <v>305</v>
      </c>
      <c r="F13" s="15" t="s">
        <v>18726</v>
      </c>
      <c r="G13" s="15"/>
      <c r="H13" s="15"/>
      <c r="I13" s="15" t="s">
        <v>528</v>
      </c>
      <c r="J13" s="15" t="s">
        <v>15991</v>
      </c>
    </row>
    <row r="14" spans="2:10">
      <c r="B14" s="15" t="s">
        <v>18707</v>
      </c>
      <c r="C14" s="15" t="s">
        <v>18727</v>
      </c>
      <c r="D14" s="15" t="s">
        <v>371</v>
      </c>
      <c r="E14" s="15" t="s">
        <v>305</v>
      </c>
      <c r="F14" s="15" t="s">
        <v>18728</v>
      </c>
      <c r="G14" s="15"/>
      <c r="H14" s="15"/>
      <c r="I14" s="15" t="s">
        <v>528</v>
      </c>
      <c r="J14" s="15" t="s">
        <v>15991</v>
      </c>
    </row>
    <row r="15" spans="2:10">
      <c r="B15" s="15" t="s">
        <v>18707</v>
      </c>
      <c r="C15" s="15" t="s">
        <v>16086</v>
      </c>
      <c r="D15" s="15" t="s">
        <v>327</v>
      </c>
      <c r="E15" s="15" t="s">
        <v>305</v>
      </c>
      <c r="F15" s="15" t="s">
        <v>301</v>
      </c>
      <c r="G15" s="15"/>
      <c r="H15" s="15"/>
      <c r="I15" s="15" t="s">
        <v>528</v>
      </c>
      <c r="J15" s="15" t="s">
        <v>15991</v>
      </c>
    </row>
    <row r="16" spans="2:10">
      <c r="B16" s="15" t="s">
        <v>18707</v>
      </c>
      <c r="C16" s="15" t="s">
        <v>16011</v>
      </c>
      <c r="D16" s="15" t="s">
        <v>316</v>
      </c>
      <c r="E16" s="15" t="s">
        <v>305</v>
      </c>
      <c r="F16" s="15" t="s">
        <v>16012</v>
      </c>
      <c r="G16" s="15"/>
      <c r="H16" s="15"/>
      <c r="I16" s="15" t="s">
        <v>528</v>
      </c>
      <c r="J16" s="15" t="s">
        <v>15991</v>
      </c>
    </row>
    <row r="17" spans="2:10">
      <c r="B17" s="15" t="s">
        <v>18707</v>
      </c>
      <c r="C17" s="15" t="s">
        <v>16009</v>
      </c>
      <c r="D17" s="15" t="s">
        <v>316</v>
      </c>
      <c r="E17" s="15" t="s">
        <v>305</v>
      </c>
      <c r="F17" s="15" t="s">
        <v>16010</v>
      </c>
      <c r="G17" s="15"/>
      <c r="H17" s="15"/>
      <c r="I17" s="15" t="s">
        <v>528</v>
      </c>
      <c r="J17" s="15" t="s">
        <v>15991</v>
      </c>
    </row>
    <row r="18" spans="2:10">
      <c r="B18" s="15" t="s">
        <v>18707</v>
      </c>
      <c r="C18" s="15" t="s">
        <v>16013</v>
      </c>
      <c r="D18" s="15" t="s">
        <v>371</v>
      </c>
      <c r="E18" s="15" t="s">
        <v>305</v>
      </c>
      <c r="F18" s="15" t="s">
        <v>16014</v>
      </c>
      <c r="G18" s="15"/>
      <c r="H18" s="15"/>
      <c r="I18" s="15" t="s">
        <v>528</v>
      </c>
      <c r="J18" s="15" t="s">
        <v>15991</v>
      </c>
    </row>
    <row r="19" spans="2:10">
      <c r="B19" s="15" t="s">
        <v>18707</v>
      </c>
      <c r="C19" s="15" t="s">
        <v>16017</v>
      </c>
      <c r="D19" s="15" t="s">
        <v>316</v>
      </c>
      <c r="E19" s="15" t="s">
        <v>305</v>
      </c>
      <c r="F19" s="15" t="s">
        <v>16018</v>
      </c>
      <c r="G19" s="15"/>
      <c r="H19" s="15"/>
      <c r="I19" s="15" t="s">
        <v>528</v>
      </c>
      <c r="J19" s="15" t="s">
        <v>15991</v>
      </c>
    </row>
    <row r="20" spans="2:10">
      <c r="B20" s="15" t="s">
        <v>18707</v>
      </c>
      <c r="C20" s="15" t="s">
        <v>16015</v>
      </c>
      <c r="D20" s="15" t="s">
        <v>316</v>
      </c>
      <c r="E20" s="15" t="s">
        <v>305</v>
      </c>
      <c r="F20" s="15" t="s">
        <v>16016</v>
      </c>
      <c r="G20" s="15"/>
      <c r="H20" s="15"/>
      <c r="I20" s="15" t="s">
        <v>528</v>
      </c>
      <c r="J20" s="15" t="s">
        <v>15991</v>
      </c>
    </row>
    <row r="21" spans="2:10">
      <c r="B21" s="15" t="s">
        <v>18707</v>
      </c>
      <c r="C21" s="15" t="s">
        <v>16019</v>
      </c>
      <c r="D21" s="15" t="s">
        <v>371</v>
      </c>
      <c r="E21" s="15" t="s">
        <v>305</v>
      </c>
      <c r="F21" s="15" t="s">
        <v>16020</v>
      </c>
      <c r="G21" s="15"/>
      <c r="H21" s="15"/>
      <c r="I21" s="15" t="s">
        <v>528</v>
      </c>
      <c r="J21" s="15" t="s">
        <v>15991</v>
      </c>
    </row>
    <row r="22" spans="2:10">
      <c r="B22" s="15" t="s">
        <v>18707</v>
      </c>
      <c r="C22" s="15" t="s">
        <v>16088</v>
      </c>
      <c r="D22" s="15" t="s">
        <v>316</v>
      </c>
      <c r="E22" s="15" t="s">
        <v>305</v>
      </c>
      <c r="F22" s="15" t="s">
        <v>16089</v>
      </c>
      <c r="G22" s="15"/>
      <c r="H22" s="15"/>
      <c r="I22" s="15" t="s">
        <v>528</v>
      </c>
      <c r="J22" s="15" t="s">
        <v>15991</v>
      </c>
    </row>
  </sheetData>
  <pageMargins left="0.75" right="0.75" top="1" bottom="1" header="0.5" footer="0.5"/>
  <pageSetup paperSize="1" orientation="portrait" horizontalDpi="300" verticalDpi="300"/>
  <headerFooter alignWithMargins="0" scaleWithDoc="0"/>
</worksheet>
</file>

<file path=xl/worksheets/sheet8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90"/>
  <sheetViews>
    <sheetView zoomScaleSheetLayoutView="60" topLeftCell="A56" workbookViewId="0">
      <selection activeCell="J90" sqref="J90"/>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15.625" customWidth="1"/>
    <col min="8" max="8" width="11.5982142857143" customWidth="1"/>
    <col min="10" max="10" width="11.7053571428571" customWidth="1"/>
    <col min="13" max="13" width="36.5" customWidth="1"/>
  </cols>
  <sheetData>
    <row r="1" customHeight="1" spans="1:2">
      <c r="A1" s="1" t="str">
        <f>HYPERLINK("#表结构清单!A1","返回")</f>
        <v>返回</v>
      </c>
      <c r="B1" t="s">
        <v>193</v>
      </c>
    </row>
    <row r="2" spans="2:10">
      <c r="B2" s="13" t="s">
        <v>15982</v>
      </c>
      <c r="C2" s="13" t="s">
        <v>297</v>
      </c>
      <c r="D2" s="13" t="s">
        <v>11870</v>
      </c>
      <c r="E2" s="13" t="s">
        <v>15983</v>
      </c>
      <c r="F2" s="13" t="s">
        <v>15984</v>
      </c>
      <c r="G2" s="13" t="s">
        <v>300</v>
      </c>
      <c r="H2" s="13" t="s">
        <v>301</v>
      </c>
      <c r="I2" s="13" t="s">
        <v>15985</v>
      </c>
      <c r="J2" s="13" t="s">
        <v>15986</v>
      </c>
    </row>
    <row r="3" spans="2:10">
      <c r="B3" s="15" t="s">
        <v>18729</v>
      </c>
      <c r="C3" s="15" t="s">
        <v>16103</v>
      </c>
      <c r="D3" s="15" t="s">
        <v>316</v>
      </c>
      <c r="E3" s="15" t="s">
        <v>15989</v>
      </c>
      <c r="F3" s="15" t="s">
        <v>16986</v>
      </c>
      <c r="G3" s="15"/>
      <c r="H3" s="15"/>
      <c r="I3" s="15" t="s">
        <v>528</v>
      </c>
      <c r="J3" s="15" t="s">
        <v>15991</v>
      </c>
    </row>
    <row r="4" spans="2:10">
      <c r="B4" s="15" t="s">
        <v>18729</v>
      </c>
      <c r="C4" s="15" t="s">
        <v>18730</v>
      </c>
      <c r="D4" s="15" t="s">
        <v>506</v>
      </c>
      <c r="E4" s="15" t="s">
        <v>305</v>
      </c>
      <c r="F4" s="15" t="s">
        <v>18731</v>
      </c>
      <c r="G4" s="15"/>
      <c r="H4" s="15"/>
      <c r="I4" s="15" t="s">
        <v>528</v>
      </c>
      <c r="J4" s="15" t="s">
        <v>15991</v>
      </c>
    </row>
    <row r="5" ht="16.8" spans="2:13">
      <c r="B5" s="15" t="s">
        <v>18729</v>
      </c>
      <c r="C5" s="15" t="s">
        <v>18732</v>
      </c>
      <c r="D5" s="15" t="s">
        <v>321</v>
      </c>
      <c r="E5" s="15" t="s">
        <v>305</v>
      </c>
      <c r="F5" s="15" t="s">
        <v>18733</v>
      </c>
      <c r="G5" s="15"/>
      <c r="H5" s="15"/>
      <c r="I5" s="15" t="s">
        <v>528</v>
      </c>
      <c r="J5" s="15" t="s">
        <v>15991</v>
      </c>
      <c r="M5" s="79" t="str">
        <f>HYPERLINK("#CLR_ASSET_FINANCE!A1","CLR_ASSET_FINANCE")</f>
        <v>CLR_ASSET_FINANCE</v>
      </c>
    </row>
    <row r="6" ht="16.8" spans="2:13">
      <c r="B6" s="15" t="s">
        <v>18729</v>
      </c>
      <c r="C6" s="15" t="s">
        <v>18734</v>
      </c>
      <c r="D6" s="15" t="s">
        <v>506</v>
      </c>
      <c r="E6" s="15" t="s">
        <v>305</v>
      </c>
      <c r="F6" s="15" t="s">
        <v>18735</v>
      </c>
      <c r="G6" s="15"/>
      <c r="H6" s="15"/>
      <c r="I6" s="15" t="s">
        <v>528</v>
      </c>
      <c r="J6" s="15" t="s">
        <v>15991</v>
      </c>
      <c r="M6" s="80" t="str">
        <f>HYPERLINK("#CLR_ASSET_OTHERS_EQUIPMENT!A1","CLR_ASSET_OTHERS_EQUIPMENT")</f>
        <v>CLR_ASSET_OTHERS_EQUIPMENT</v>
      </c>
    </row>
    <row r="7" ht="16.8" spans="2:13">
      <c r="B7" s="15" t="s">
        <v>18729</v>
      </c>
      <c r="C7" s="15" t="s">
        <v>18451</v>
      </c>
      <c r="D7" s="15" t="s">
        <v>316</v>
      </c>
      <c r="E7" s="15" t="s">
        <v>305</v>
      </c>
      <c r="F7" s="15" t="s">
        <v>18736</v>
      </c>
      <c r="G7" s="15"/>
      <c r="H7" s="15"/>
      <c r="I7" s="15" t="s">
        <v>528</v>
      </c>
      <c r="J7" s="15" t="s">
        <v>15991</v>
      </c>
      <c r="M7" s="80" t="str">
        <f>HYPERLINK("#CLR_ASSET_OTHERS_INVENTORY!A1","CLR_ASSET_OTHERS_INVENTORY")</f>
        <v>CLR_ASSET_OTHERS_INVENTORY</v>
      </c>
    </row>
    <row r="8" ht="16.8" spans="2:13">
      <c r="B8" s="15" t="s">
        <v>18729</v>
      </c>
      <c r="C8" s="15" t="s">
        <v>16096</v>
      </c>
      <c r="D8" s="15" t="s">
        <v>316</v>
      </c>
      <c r="E8" s="15" t="s">
        <v>305</v>
      </c>
      <c r="F8" s="15" t="s">
        <v>16097</v>
      </c>
      <c r="G8" s="55" t="str">
        <f>HYPERLINK("#码值映射清单!B1429","ApproveStatus")</f>
        <v>ApproveStatus</v>
      </c>
      <c r="H8" s="15"/>
      <c r="I8" s="15" t="s">
        <v>528</v>
      </c>
      <c r="J8" s="15" t="s">
        <v>15991</v>
      </c>
      <c r="M8" s="80" t="str">
        <f>HYPERLINK("#CLR_ASSET_OTHERS_RESOURCE!A1","CLR_ASSET_OTHERS_RESOURCE")</f>
        <v>CLR_ASSET_OTHERS_RESOURCE</v>
      </c>
    </row>
    <row r="9" ht="16.8" spans="2:13">
      <c r="B9" s="15" t="s">
        <v>18729</v>
      </c>
      <c r="C9" s="15" t="s">
        <v>18737</v>
      </c>
      <c r="D9" s="15" t="s">
        <v>506</v>
      </c>
      <c r="E9" s="15" t="s">
        <v>305</v>
      </c>
      <c r="F9" s="15" t="s">
        <v>18738</v>
      </c>
      <c r="G9" s="15"/>
      <c r="H9" s="15"/>
      <c r="I9" s="15" t="s">
        <v>528</v>
      </c>
      <c r="J9" s="15" t="s">
        <v>15991</v>
      </c>
      <c r="M9" s="80" t="str">
        <f>HYPERLINK("#CLR_ASSET_OTHERS_SBC!A1","CLR_ASSET_OTHERS_SBC")</f>
        <v>CLR_ASSET_OTHERS_SBC</v>
      </c>
    </row>
    <row r="10" ht="16.8" spans="2:13">
      <c r="B10" s="15" t="s">
        <v>18729</v>
      </c>
      <c r="C10" s="15" t="s">
        <v>595</v>
      </c>
      <c r="D10" s="15" t="s">
        <v>321</v>
      </c>
      <c r="E10" s="15" t="s">
        <v>305</v>
      </c>
      <c r="F10" s="15" t="s">
        <v>594</v>
      </c>
      <c r="G10" s="15"/>
      <c r="H10" s="15"/>
      <c r="I10" s="15" t="s">
        <v>528</v>
      </c>
      <c r="J10" s="15" t="s">
        <v>15991</v>
      </c>
      <c r="M10" s="80" t="str">
        <f>HYPERLINK("#CLR_ASSET_OTHERS_TLPR!A1","CLR_ASSET_OTHERS_TLPR")</f>
        <v>CLR_ASSET_OTHERS_TLPR</v>
      </c>
    </row>
    <row r="11" ht="16.8" spans="2:13">
      <c r="B11" s="15" t="s">
        <v>18729</v>
      </c>
      <c r="C11" s="15" t="s">
        <v>18739</v>
      </c>
      <c r="D11" s="15" t="s">
        <v>321</v>
      </c>
      <c r="E11" s="15" t="s">
        <v>305</v>
      </c>
      <c r="F11" s="15" t="s">
        <v>18740</v>
      </c>
      <c r="G11" s="15"/>
      <c r="H11" s="15"/>
      <c r="I11" s="15" t="s">
        <v>528</v>
      </c>
      <c r="J11" s="15" t="s">
        <v>15991</v>
      </c>
      <c r="M11" s="80" t="str">
        <f>HYPERLINK("#CLR_ASSET_REALTY!A1","CLR_ASSET_REALTY")</f>
        <v>CLR_ASSET_REALTY</v>
      </c>
    </row>
    <row r="12" ht="16.8" spans="2:13">
      <c r="B12" s="15" t="s">
        <v>18729</v>
      </c>
      <c r="C12" s="15" t="s">
        <v>18741</v>
      </c>
      <c r="D12" s="15" t="s">
        <v>321</v>
      </c>
      <c r="E12" s="15" t="s">
        <v>305</v>
      </c>
      <c r="F12" s="15" t="s">
        <v>18742</v>
      </c>
      <c r="G12" s="15"/>
      <c r="H12" s="15"/>
      <c r="I12" s="15" t="s">
        <v>528</v>
      </c>
      <c r="J12" s="15" t="s">
        <v>15991</v>
      </c>
      <c r="M12" s="80" t="str">
        <f>HYPERLINK("#CLR_ASSET_RECEIVABLE!A1","CLR_ASSET_RECEIVABLE")</f>
        <v>CLR_ASSET_RECEIVABLE</v>
      </c>
    </row>
    <row r="13" spans="2:10">
      <c r="B13" s="15" t="s">
        <v>18729</v>
      </c>
      <c r="C13" s="15" t="s">
        <v>18743</v>
      </c>
      <c r="D13" s="15" t="s">
        <v>321</v>
      </c>
      <c r="E13" s="15" t="s">
        <v>305</v>
      </c>
      <c r="F13" s="15" t="s">
        <v>18744</v>
      </c>
      <c r="G13" s="15"/>
      <c r="H13" s="15"/>
      <c r="I13" s="15" t="s">
        <v>528</v>
      </c>
      <c r="J13" s="15" t="s">
        <v>15991</v>
      </c>
    </row>
    <row r="14" spans="2:10">
      <c r="B14" s="15" t="s">
        <v>18729</v>
      </c>
      <c r="C14" s="15" t="s">
        <v>18745</v>
      </c>
      <c r="D14" s="15" t="s">
        <v>327</v>
      </c>
      <c r="E14" s="15" t="s">
        <v>305</v>
      </c>
      <c r="F14" s="15" t="s">
        <v>18746</v>
      </c>
      <c r="G14" s="15"/>
      <c r="H14" s="15"/>
      <c r="I14" s="15" t="s">
        <v>528</v>
      </c>
      <c r="J14" s="15" t="s">
        <v>15991</v>
      </c>
    </row>
    <row r="15" spans="2:10">
      <c r="B15" s="15" t="s">
        <v>18729</v>
      </c>
      <c r="C15" s="15" t="s">
        <v>18747</v>
      </c>
      <c r="D15" s="15" t="s">
        <v>350</v>
      </c>
      <c r="E15" s="15" t="s">
        <v>305</v>
      </c>
      <c r="F15" s="15" t="s">
        <v>18748</v>
      </c>
      <c r="G15" s="15"/>
      <c r="H15" s="15"/>
      <c r="I15" s="15" t="s">
        <v>528</v>
      </c>
      <c r="J15" s="15" t="s">
        <v>15991</v>
      </c>
    </row>
    <row r="16" spans="2:10">
      <c r="B16" s="15" t="s">
        <v>18729</v>
      </c>
      <c r="C16" s="15" t="s">
        <v>18749</v>
      </c>
      <c r="D16" s="15" t="s">
        <v>350</v>
      </c>
      <c r="E16" s="15" t="s">
        <v>305</v>
      </c>
      <c r="F16" s="15" t="s">
        <v>18750</v>
      </c>
      <c r="G16" s="15"/>
      <c r="H16" s="15"/>
      <c r="I16" s="15" t="s">
        <v>528</v>
      </c>
      <c r="J16" s="15" t="s">
        <v>15991</v>
      </c>
    </row>
    <row r="17" spans="2:10">
      <c r="B17" s="15" t="s">
        <v>18729</v>
      </c>
      <c r="C17" s="15" t="s">
        <v>18751</v>
      </c>
      <c r="D17" s="15" t="s">
        <v>350</v>
      </c>
      <c r="E17" s="15" t="s">
        <v>305</v>
      </c>
      <c r="F17" s="15" t="s">
        <v>18752</v>
      </c>
      <c r="G17" s="15"/>
      <c r="H17" s="15"/>
      <c r="I17" s="15" t="s">
        <v>528</v>
      </c>
      <c r="J17" s="15" t="s">
        <v>15991</v>
      </c>
    </row>
    <row r="18" spans="2:10">
      <c r="B18" s="15" t="s">
        <v>18729</v>
      </c>
      <c r="C18" s="15" t="s">
        <v>18753</v>
      </c>
      <c r="D18" s="15" t="s">
        <v>363</v>
      </c>
      <c r="E18" s="15" t="s">
        <v>305</v>
      </c>
      <c r="F18" s="15" t="s">
        <v>18754</v>
      </c>
      <c r="G18" s="15"/>
      <c r="H18" s="15"/>
      <c r="I18" s="15" t="s">
        <v>528</v>
      </c>
      <c r="J18" s="15" t="s">
        <v>15991</v>
      </c>
    </row>
    <row r="19" ht="28" spans="2:10">
      <c r="B19" s="15" t="s">
        <v>18729</v>
      </c>
      <c r="C19" s="15" t="s">
        <v>18755</v>
      </c>
      <c r="D19" s="15" t="s">
        <v>321</v>
      </c>
      <c r="E19" s="15" t="s">
        <v>305</v>
      </c>
      <c r="F19" s="75" t="s">
        <v>3760</v>
      </c>
      <c r="G19" s="72" t="str">
        <f>HYPERLINK("#码值映射清单!B2371","ClrStatus")</f>
        <v>ClrStatus</v>
      </c>
      <c r="H19" s="76" t="s">
        <v>18756</v>
      </c>
      <c r="I19" s="15" t="s">
        <v>528</v>
      </c>
      <c r="J19" s="15" t="s">
        <v>15991</v>
      </c>
    </row>
    <row r="20" spans="2:10">
      <c r="B20" s="15" t="s">
        <v>18729</v>
      </c>
      <c r="C20" s="74" t="s">
        <v>18757</v>
      </c>
      <c r="D20" s="74" t="s">
        <v>321</v>
      </c>
      <c r="E20" s="74" t="s">
        <v>305</v>
      </c>
      <c r="F20" s="77" t="s">
        <v>18758</v>
      </c>
      <c r="G20" s="78" t="str">
        <f>HYPERLINK("#码值映射清单!B6733","ClrGntStatus")</f>
        <v>ClrGntStatus</v>
      </c>
      <c r="H20" s="15"/>
      <c r="I20" s="15" t="s">
        <v>528</v>
      </c>
      <c r="J20" s="15" t="s">
        <v>15991</v>
      </c>
    </row>
    <row r="21" spans="2:10">
      <c r="B21" s="15" t="s">
        <v>18729</v>
      </c>
      <c r="C21" s="15" t="s">
        <v>18759</v>
      </c>
      <c r="D21" s="15" t="s">
        <v>16072</v>
      </c>
      <c r="E21" s="15" t="s">
        <v>305</v>
      </c>
      <c r="F21" s="15" t="s">
        <v>18760</v>
      </c>
      <c r="G21" s="52" t="str">
        <f>HYPERLINK("#码值映射清单!B9444","IsComplete")</f>
        <v>IsComplete</v>
      </c>
      <c r="H21" s="15"/>
      <c r="I21" s="15" t="s">
        <v>528</v>
      </c>
      <c r="J21" s="15" t="s">
        <v>15991</v>
      </c>
    </row>
    <row r="22" spans="2:10">
      <c r="B22" s="15" t="s">
        <v>18729</v>
      </c>
      <c r="C22" s="15" t="s">
        <v>18761</v>
      </c>
      <c r="D22" s="15" t="s">
        <v>16072</v>
      </c>
      <c r="E22" s="15" t="s">
        <v>305</v>
      </c>
      <c r="F22" s="15" t="s">
        <v>18762</v>
      </c>
      <c r="G22" s="15"/>
      <c r="H22" s="15"/>
      <c r="I22" s="15" t="s">
        <v>528</v>
      </c>
      <c r="J22" s="15" t="s">
        <v>15991</v>
      </c>
    </row>
    <row r="23" spans="2:10">
      <c r="B23" s="15" t="s">
        <v>18729</v>
      </c>
      <c r="C23" s="15" t="s">
        <v>18763</v>
      </c>
      <c r="D23" s="15" t="s">
        <v>16072</v>
      </c>
      <c r="E23" s="15" t="s">
        <v>305</v>
      </c>
      <c r="F23" s="15" t="s">
        <v>18764</v>
      </c>
      <c r="G23" s="15"/>
      <c r="H23" s="15"/>
      <c r="I23" s="15" t="s">
        <v>528</v>
      </c>
      <c r="J23" s="15" t="s">
        <v>15991</v>
      </c>
    </row>
    <row r="24" spans="2:10">
      <c r="B24" s="15" t="s">
        <v>18729</v>
      </c>
      <c r="C24" s="15" t="s">
        <v>18765</v>
      </c>
      <c r="D24" s="15" t="s">
        <v>16072</v>
      </c>
      <c r="E24" s="15" t="s">
        <v>305</v>
      </c>
      <c r="F24" s="15" t="s">
        <v>18766</v>
      </c>
      <c r="G24" s="15"/>
      <c r="H24" s="15"/>
      <c r="I24" s="15" t="s">
        <v>528</v>
      </c>
      <c r="J24" s="15" t="s">
        <v>15991</v>
      </c>
    </row>
    <row r="25" spans="2:10">
      <c r="B25" s="15" t="s">
        <v>18729</v>
      </c>
      <c r="C25" s="15" t="s">
        <v>18767</v>
      </c>
      <c r="D25" s="15" t="s">
        <v>16072</v>
      </c>
      <c r="E25" s="15" t="s">
        <v>305</v>
      </c>
      <c r="F25" s="15" t="s">
        <v>18768</v>
      </c>
      <c r="G25" s="15"/>
      <c r="H25" s="15"/>
      <c r="I25" s="15" t="s">
        <v>528</v>
      </c>
      <c r="J25" s="15" t="s">
        <v>15991</v>
      </c>
    </row>
    <row r="26" spans="2:10">
      <c r="B26" s="15" t="s">
        <v>18729</v>
      </c>
      <c r="C26" s="15" t="s">
        <v>18769</v>
      </c>
      <c r="D26" s="15" t="s">
        <v>16072</v>
      </c>
      <c r="E26" s="15" t="s">
        <v>305</v>
      </c>
      <c r="F26" s="15" t="s">
        <v>18770</v>
      </c>
      <c r="G26" s="15"/>
      <c r="H26" s="15"/>
      <c r="I26" s="15" t="s">
        <v>528</v>
      </c>
      <c r="J26" s="15" t="s">
        <v>15991</v>
      </c>
    </row>
    <row r="27" spans="2:10">
      <c r="B27" s="15" t="s">
        <v>18729</v>
      </c>
      <c r="C27" s="15" t="s">
        <v>18771</v>
      </c>
      <c r="D27" s="15" t="s">
        <v>16072</v>
      </c>
      <c r="E27" s="15" t="s">
        <v>305</v>
      </c>
      <c r="F27" s="15" t="s">
        <v>18772</v>
      </c>
      <c r="G27" s="15"/>
      <c r="H27" s="15"/>
      <c r="I27" s="15" t="s">
        <v>528</v>
      </c>
      <c r="J27" s="15" t="s">
        <v>15991</v>
      </c>
    </row>
    <row r="28" spans="2:10">
      <c r="B28" s="15" t="s">
        <v>18729</v>
      </c>
      <c r="C28" s="15" t="s">
        <v>18773</v>
      </c>
      <c r="D28" s="15" t="s">
        <v>316</v>
      </c>
      <c r="E28" s="15" t="s">
        <v>305</v>
      </c>
      <c r="F28" s="15" t="s">
        <v>18774</v>
      </c>
      <c r="G28" s="15"/>
      <c r="H28" s="15"/>
      <c r="I28" s="15" t="s">
        <v>528</v>
      </c>
      <c r="J28" s="15" t="s">
        <v>15991</v>
      </c>
    </row>
    <row r="29" spans="2:10">
      <c r="B29" s="15" t="s">
        <v>18729</v>
      </c>
      <c r="C29" s="15" t="s">
        <v>18775</v>
      </c>
      <c r="D29" s="15" t="s">
        <v>321</v>
      </c>
      <c r="E29" s="15" t="s">
        <v>305</v>
      </c>
      <c r="F29" s="15" t="s">
        <v>18776</v>
      </c>
      <c r="G29" s="15"/>
      <c r="H29" s="15"/>
      <c r="I29" s="15" t="s">
        <v>528</v>
      </c>
      <c r="J29" s="15" t="s">
        <v>15991</v>
      </c>
    </row>
    <row r="30" spans="2:10">
      <c r="B30" s="15" t="s">
        <v>18729</v>
      </c>
      <c r="C30" s="15" t="s">
        <v>18777</v>
      </c>
      <c r="D30" s="15" t="s">
        <v>371</v>
      </c>
      <c r="E30" s="15" t="s">
        <v>305</v>
      </c>
      <c r="F30" s="15" t="s">
        <v>18778</v>
      </c>
      <c r="G30" s="15"/>
      <c r="H30" s="15"/>
      <c r="I30" s="15" t="s">
        <v>528</v>
      </c>
      <c r="J30" s="15" t="s">
        <v>15991</v>
      </c>
    </row>
    <row r="31" spans="2:10">
      <c r="B31" s="15" t="s">
        <v>18729</v>
      </c>
      <c r="C31" s="15" t="s">
        <v>18779</v>
      </c>
      <c r="D31" s="15" t="s">
        <v>321</v>
      </c>
      <c r="E31" s="15" t="s">
        <v>305</v>
      </c>
      <c r="F31" s="15" t="s">
        <v>18780</v>
      </c>
      <c r="G31" s="15"/>
      <c r="H31" s="15"/>
      <c r="I31" s="15" t="s">
        <v>528</v>
      </c>
      <c r="J31" s="15" t="s">
        <v>15991</v>
      </c>
    </row>
    <row r="32" spans="2:10">
      <c r="B32" s="15" t="s">
        <v>18729</v>
      </c>
      <c r="C32" s="15" t="s">
        <v>18781</v>
      </c>
      <c r="D32" s="15" t="s">
        <v>350</v>
      </c>
      <c r="E32" s="15" t="s">
        <v>305</v>
      </c>
      <c r="F32" s="15" t="s">
        <v>18782</v>
      </c>
      <c r="G32" s="15"/>
      <c r="H32" s="15"/>
      <c r="I32" s="15" t="s">
        <v>528</v>
      </c>
      <c r="J32" s="15" t="s">
        <v>15991</v>
      </c>
    </row>
    <row r="33" spans="2:10">
      <c r="B33" s="15" t="s">
        <v>18729</v>
      </c>
      <c r="C33" s="15" t="s">
        <v>18783</v>
      </c>
      <c r="D33" s="15" t="s">
        <v>363</v>
      </c>
      <c r="E33" s="15" t="s">
        <v>305</v>
      </c>
      <c r="F33" s="15" t="s">
        <v>18784</v>
      </c>
      <c r="G33" s="15"/>
      <c r="H33" s="15"/>
      <c r="I33" s="15" t="s">
        <v>528</v>
      </c>
      <c r="J33" s="15" t="s">
        <v>15991</v>
      </c>
    </row>
    <row r="34" spans="2:10">
      <c r="B34" s="15" t="s">
        <v>18729</v>
      </c>
      <c r="C34" s="15" t="s">
        <v>17457</v>
      </c>
      <c r="D34" s="15" t="s">
        <v>350</v>
      </c>
      <c r="E34" s="15" t="s">
        <v>305</v>
      </c>
      <c r="F34" s="15" t="s">
        <v>18785</v>
      </c>
      <c r="G34" s="15"/>
      <c r="H34" s="15"/>
      <c r="I34" s="15" t="s">
        <v>528</v>
      </c>
      <c r="J34" s="15" t="s">
        <v>15991</v>
      </c>
    </row>
    <row r="35" spans="2:10">
      <c r="B35" s="15" t="s">
        <v>18729</v>
      </c>
      <c r="C35" s="15" t="s">
        <v>18786</v>
      </c>
      <c r="D35" s="15" t="s">
        <v>371</v>
      </c>
      <c r="E35" s="15" t="s">
        <v>305</v>
      </c>
      <c r="F35" s="15" t="s">
        <v>18787</v>
      </c>
      <c r="G35" s="15"/>
      <c r="H35" s="15"/>
      <c r="I35" s="15" t="s">
        <v>528</v>
      </c>
      <c r="J35" s="15" t="s">
        <v>15991</v>
      </c>
    </row>
    <row r="36" spans="2:10">
      <c r="B36" s="15" t="s">
        <v>18729</v>
      </c>
      <c r="C36" s="15" t="s">
        <v>18788</v>
      </c>
      <c r="D36" s="15" t="s">
        <v>506</v>
      </c>
      <c r="E36" s="15" t="s">
        <v>305</v>
      </c>
      <c r="F36" s="15" t="s">
        <v>18789</v>
      </c>
      <c r="G36" s="15"/>
      <c r="H36" s="15"/>
      <c r="I36" s="15" t="s">
        <v>528</v>
      </c>
      <c r="J36" s="15" t="s">
        <v>15991</v>
      </c>
    </row>
    <row r="37" spans="2:10">
      <c r="B37" s="15" t="s">
        <v>18729</v>
      </c>
      <c r="C37" s="15" t="s">
        <v>18790</v>
      </c>
      <c r="D37" s="15" t="s">
        <v>316</v>
      </c>
      <c r="E37" s="15" t="s">
        <v>305</v>
      </c>
      <c r="F37" s="15" t="s">
        <v>18791</v>
      </c>
      <c r="G37" s="15"/>
      <c r="H37" s="15"/>
      <c r="I37" s="15" t="s">
        <v>528</v>
      </c>
      <c r="J37" s="15" t="s">
        <v>15991</v>
      </c>
    </row>
    <row r="38" spans="2:10">
      <c r="B38" s="15" t="s">
        <v>18729</v>
      </c>
      <c r="C38" s="15" t="s">
        <v>18792</v>
      </c>
      <c r="D38" s="15" t="s">
        <v>513</v>
      </c>
      <c r="E38" s="15" t="s">
        <v>305</v>
      </c>
      <c r="F38" s="15" t="s">
        <v>18793</v>
      </c>
      <c r="G38" s="15"/>
      <c r="H38" s="15"/>
      <c r="I38" s="15" t="s">
        <v>528</v>
      </c>
      <c r="J38" s="15" t="s">
        <v>15991</v>
      </c>
    </row>
    <row r="39" spans="2:10">
      <c r="B39" s="15" t="s">
        <v>18729</v>
      </c>
      <c r="C39" s="15" t="s">
        <v>18794</v>
      </c>
      <c r="D39" s="15" t="s">
        <v>350</v>
      </c>
      <c r="E39" s="15" t="s">
        <v>305</v>
      </c>
      <c r="F39" s="15" t="s">
        <v>18795</v>
      </c>
      <c r="G39" s="15"/>
      <c r="H39" s="15"/>
      <c r="I39" s="15" t="s">
        <v>528</v>
      </c>
      <c r="J39" s="15" t="s">
        <v>15991</v>
      </c>
    </row>
    <row r="40" spans="2:10">
      <c r="B40" s="15" t="s">
        <v>18729</v>
      </c>
      <c r="C40" s="15" t="s">
        <v>18796</v>
      </c>
      <c r="D40" s="15" t="s">
        <v>16072</v>
      </c>
      <c r="E40" s="15" t="s">
        <v>305</v>
      </c>
      <c r="F40" s="15" t="s">
        <v>17569</v>
      </c>
      <c r="G40" s="15"/>
      <c r="H40" s="15"/>
      <c r="I40" s="15" t="s">
        <v>528</v>
      </c>
      <c r="J40" s="15" t="s">
        <v>15991</v>
      </c>
    </row>
    <row r="41" spans="2:10">
      <c r="B41" s="15" t="s">
        <v>18729</v>
      </c>
      <c r="C41" s="15" t="s">
        <v>18797</v>
      </c>
      <c r="D41" s="15" t="s">
        <v>16072</v>
      </c>
      <c r="E41" s="15" t="s">
        <v>305</v>
      </c>
      <c r="F41" s="15" t="s">
        <v>18798</v>
      </c>
      <c r="G41" s="15"/>
      <c r="H41" s="15"/>
      <c r="I41" s="15" t="s">
        <v>528</v>
      </c>
      <c r="J41" s="15" t="s">
        <v>15991</v>
      </c>
    </row>
    <row r="42" spans="2:10">
      <c r="B42" s="15" t="s">
        <v>18729</v>
      </c>
      <c r="C42" s="15" t="s">
        <v>18799</v>
      </c>
      <c r="D42" s="15" t="s">
        <v>16072</v>
      </c>
      <c r="E42" s="15" t="s">
        <v>305</v>
      </c>
      <c r="F42" s="15" t="s">
        <v>18800</v>
      </c>
      <c r="G42" s="15"/>
      <c r="H42" s="15"/>
      <c r="I42" s="15" t="s">
        <v>528</v>
      </c>
      <c r="J42" s="15" t="s">
        <v>15991</v>
      </c>
    </row>
    <row r="43" spans="2:10">
      <c r="B43" s="15" t="s">
        <v>18729</v>
      </c>
      <c r="C43" s="15" t="s">
        <v>18801</v>
      </c>
      <c r="D43" s="15" t="s">
        <v>16072</v>
      </c>
      <c r="E43" s="15" t="s">
        <v>305</v>
      </c>
      <c r="F43" s="15" t="s">
        <v>18802</v>
      </c>
      <c r="G43" s="15"/>
      <c r="H43" s="15"/>
      <c r="I43" s="15" t="s">
        <v>528</v>
      </c>
      <c r="J43" s="15" t="s">
        <v>15991</v>
      </c>
    </row>
    <row r="44" spans="2:10">
      <c r="B44" s="15" t="s">
        <v>18729</v>
      </c>
      <c r="C44" s="15" t="s">
        <v>18803</v>
      </c>
      <c r="D44" s="15" t="s">
        <v>16072</v>
      </c>
      <c r="E44" s="15" t="s">
        <v>305</v>
      </c>
      <c r="F44" s="15" t="s">
        <v>18804</v>
      </c>
      <c r="G44" s="15"/>
      <c r="H44" s="15"/>
      <c r="I44" s="15" t="s">
        <v>528</v>
      </c>
      <c r="J44" s="15" t="s">
        <v>15991</v>
      </c>
    </row>
    <row r="45" spans="2:10">
      <c r="B45" s="15" t="s">
        <v>18729</v>
      </c>
      <c r="C45" s="15" t="s">
        <v>18805</v>
      </c>
      <c r="D45" s="15" t="s">
        <v>316</v>
      </c>
      <c r="E45" s="15" t="s">
        <v>305</v>
      </c>
      <c r="F45" s="15" t="s">
        <v>18806</v>
      </c>
      <c r="G45" s="15"/>
      <c r="H45" s="15"/>
      <c r="I45" s="15" t="s">
        <v>528</v>
      </c>
      <c r="J45" s="15" t="s">
        <v>15991</v>
      </c>
    </row>
    <row r="46" spans="2:10">
      <c r="B46" s="15" t="s">
        <v>18729</v>
      </c>
      <c r="C46" s="15" t="s">
        <v>18807</v>
      </c>
      <c r="D46" s="15" t="s">
        <v>316</v>
      </c>
      <c r="E46" s="15" t="s">
        <v>305</v>
      </c>
      <c r="F46" s="15" t="s">
        <v>18808</v>
      </c>
      <c r="G46" s="15"/>
      <c r="H46" s="15"/>
      <c r="I46" s="15" t="s">
        <v>528</v>
      </c>
      <c r="J46" s="15" t="s">
        <v>15991</v>
      </c>
    </row>
    <row r="47" spans="2:10">
      <c r="B47" s="15" t="s">
        <v>18729</v>
      </c>
      <c r="C47" s="15" t="s">
        <v>18809</v>
      </c>
      <c r="D47" s="15" t="s">
        <v>506</v>
      </c>
      <c r="E47" s="15" t="s">
        <v>305</v>
      </c>
      <c r="F47" s="15" t="s">
        <v>18810</v>
      </c>
      <c r="G47" s="15"/>
      <c r="H47" s="15"/>
      <c r="I47" s="15" t="s">
        <v>528</v>
      </c>
      <c r="J47" s="15" t="s">
        <v>15991</v>
      </c>
    </row>
    <row r="48" spans="2:10">
      <c r="B48" s="15" t="s">
        <v>18729</v>
      </c>
      <c r="C48" s="15" t="s">
        <v>18811</v>
      </c>
      <c r="D48" s="15" t="s">
        <v>316</v>
      </c>
      <c r="E48" s="15" t="s">
        <v>305</v>
      </c>
      <c r="F48" s="15" t="s">
        <v>18812</v>
      </c>
      <c r="G48" s="15"/>
      <c r="H48" s="15"/>
      <c r="I48" s="15" t="s">
        <v>528</v>
      </c>
      <c r="J48" s="15" t="s">
        <v>15991</v>
      </c>
    </row>
    <row r="49" spans="2:10">
      <c r="B49" s="15" t="s">
        <v>18729</v>
      </c>
      <c r="C49" s="15" t="s">
        <v>18813</v>
      </c>
      <c r="D49" s="15" t="s">
        <v>513</v>
      </c>
      <c r="E49" s="15" t="s">
        <v>305</v>
      </c>
      <c r="F49" s="15" t="s">
        <v>18814</v>
      </c>
      <c r="G49" s="15"/>
      <c r="H49" s="15"/>
      <c r="I49" s="15" t="s">
        <v>528</v>
      </c>
      <c r="J49" s="15" t="s">
        <v>15991</v>
      </c>
    </row>
    <row r="50" spans="2:10">
      <c r="B50" s="15" t="s">
        <v>18729</v>
      </c>
      <c r="C50" s="15" t="s">
        <v>18815</v>
      </c>
      <c r="D50" s="15" t="s">
        <v>350</v>
      </c>
      <c r="E50" s="15" t="s">
        <v>305</v>
      </c>
      <c r="F50" s="15" t="s">
        <v>18816</v>
      </c>
      <c r="G50" s="15"/>
      <c r="H50" s="15"/>
      <c r="I50" s="15" t="s">
        <v>528</v>
      </c>
      <c r="J50" s="15" t="s">
        <v>15991</v>
      </c>
    </row>
    <row r="51" spans="2:10">
      <c r="B51" s="15" t="s">
        <v>18729</v>
      </c>
      <c r="C51" s="15" t="s">
        <v>18817</v>
      </c>
      <c r="D51" s="15" t="s">
        <v>513</v>
      </c>
      <c r="E51" s="15" t="s">
        <v>305</v>
      </c>
      <c r="F51" s="15" t="s">
        <v>18818</v>
      </c>
      <c r="G51" s="15"/>
      <c r="H51" s="15"/>
      <c r="I51" s="15" t="s">
        <v>528</v>
      </c>
      <c r="J51" s="15" t="s">
        <v>15991</v>
      </c>
    </row>
    <row r="52" spans="2:10">
      <c r="B52" s="15" t="s">
        <v>18729</v>
      </c>
      <c r="C52" s="15" t="s">
        <v>18819</v>
      </c>
      <c r="D52" s="15" t="s">
        <v>350</v>
      </c>
      <c r="E52" s="15" t="s">
        <v>305</v>
      </c>
      <c r="F52" s="15" t="s">
        <v>18820</v>
      </c>
      <c r="G52" s="15"/>
      <c r="H52" s="15"/>
      <c r="I52" s="15" t="s">
        <v>528</v>
      </c>
      <c r="J52" s="15" t="s">
        <v>15991</v>
      </c>
    </row>
    <row r="53" spans="2:10">
      <c r="B53" s="15" t="s">
        <v>18729</v>
      </c>
      <c r="C53" s="15" t="s">
        <v>16953</v>
      </c>
      <c r="D53" s="15" t="s">
        <v>506</v>
      </c>
      <c r="E53" s="15" t="s">
        <v>305</v>
      </c>
      <c r="F53" s="15" t="s">
        <v>16954</v>
      </c>
      <c r="G53" s="15"/>
      <c r="H53" s="15"/>
      <c r="I53" s="15" t="s">
        <v>528</v>
      </c>
      <c r="J53" s="15" t="s">
        <v>15991</v>
      </c>
    </row>
    <row r="54" spans="2:10">
      <c r="B54" s="15" t="s">
        <v>18729</v>
      </c>
      <c r="C54" s="15" t="s">
        <v>18821</v>
      </c>
      <c r="D54" s="15" t="s">
        <v>371</v>
      </c>
      <c r="E54" s="15" t="s">
        <v>305</v>
      </c>
      <c r="F54" s="15" t="s">
        <v>18822</v>
      </c>
      <c r="G54" s="15"/>
      <c r="H54" s="15"/>
      <c r="I54" s="15" t="s">
        <v>528</v>
      </c>
      <c r="J54" s="15" t="s">
        <v>15991</v>
      </c>
    </row>
    <row r="55" spans="2:10">
      <c r="B55" s="15" t="s">
        <v>18729</v>
      </c>
      <c r="C55" s="15" t="s">
        <v>18823</v>
      </c>
      <c r="D55" s="15" t="s">
        <v>371</v>
      </c>
      <c r="E55" s="15" t="s">
        <v>305</v>
      </c>
      <c r="F55" s="15" t="s">
        <v>18824</v>
      </c>
      <c r="G55" s="15"/>
      <c r="H55" s="15"/>
      <c r="I55" s="15" t="s">
        <v>528</v>
      </c>
      <c r="J55" s="15" t="s">
        <v>15991</v>
      </c>
    </row>
    <row r="56" spans="2:10">
      <c r="B56" s="15" t="s">
        <v>18729</v>
      </c>
      <c r="C56" s="15" t="s">
        <v>18825</v>
      </c>
      <c r="D56" s="15" t="s">
        <v>513</v>
      </c>
      <c r="E56" s="15" t="s">
        <v>305</v>
      </c>
      <c r="F56" s="15" t="s">
        <v>18826</v>
      </c>
      <c r="G56" s="15"/>
      <c r="H56" s="15"/>
      <c r="I56" s="15" t="s">
        <v>528</v>
      </c>
      <c r="J56" s="15" t="s">
        <v>15991</v>
      </c>
    </row>
    <row r="57" spans="2:10">
      <c r="B57" s="15" t="s">
        <v>18729</v>
      </c>
      <c r="C57" s="15" t="s">
        <v>16025</v>
      </c>
      <c r="D57" s="15" t="s">
        <v>316</v>
      </c>
      <c r="E57" s="15" t="s">
        <v>305</v>
      </c>
      <c r="F57" s="15" t="s">
        <v>16026</v>
      </c>
      <c r="G57" s="15"/>
      <c r="H57" s="15"/>
      <c r="I57" s="15" t="s">
        <v>528</v>
      </c>
      <c r="J57" s="15" t="s">
        <v>15991</v>
      </c>
    </row>
    <row r="58" spans="2:10">
      <c r="B58" s="15" t="s">
        <v>18729</v>
      </c>
      <c r="C58" s="15" t="s">
        <v>16027</v>
      </c>
      <c r="D58" s="15" t="s">
        <v>506</v>
      </c>
      <c r="E58" s="15" t="s">
        <v>305</v>
      </c>
      <c r="F58" s="15" t="s">
        <v>16028</v>
      </c>
      <c r="G58" s="15"/>
      <c r="H58" s="15"/>
      <c r="I58" s="15" t="s">
        <v>528</v>
      </c>
      <c r="J58" s="15" t="s">
        <v>15991</v>
      </c>
    </row>
    <row r="59" spans="2:10">
      <c r="B59" s="15" t="s">
        <v>18729</v>
      </c>
      <c r="C59" s="15" t="s">
        <v>18827</v>
      </c>
      <c r="D59" s="15" t="s">
        <v>513</v>
      </c>
      <c r="E59" s="15" t="s">
        <v>305</v>
      </c>
      <c r="F59" s="15" t="s">
        <v>18828</v>
      </c>
      <c r="G59" s="15"/>
      <c r="H59" s="15"/>
      <c r="I59" s="15" t="s">
        <v>528</v>
      </c>
      <c r="J59" s="15" t="s">
        <v>15991</v>
      </c>
    </row>
    <row r="60" spans="2:10">
      <c r="B60" s="15" t="s">
        <v>18729</v>
      </c>
      <c r="C60" s="15" t="s">
        <v>18829</v>
      </c>
      <c r="D60" s="15" t="s">
        <v>16072</v>
      </c>
      <c r="E60" s="15" t="s">
        <v>305</v>
      </c>
      <c r="F60" s="15" t="s">
        <v>18830</v>
      </c>
      <c r="G60" s="15"/>
      <c r="H60" s="15"/>
      <c r="I60" s="15" t="s">
        <v>528</v>
      </c>
      <c r="J60" s="15" t="s">
        <v>15991</v>
      </c>
    </row>
    <row r="61" spans="2:10">
      <c r="B61" s="15" t="s">
        <v>18729</v>
      </c>
      <c r="C61" s="15" t="s">
        <v>18831</v>
      </c>
      <c r="D61" s="15" t="s">
        <v>506</v>
      </c>
      <c r="E61" s="15" t="s">
        <v>305</v>
      </c>
      <c r="F61" s="15" t="s">
        <v>18832</v>
      </c>
      <c r="G61" s="15"/>
      <c r="H61" s="15"/>
      <c r="I61" s="15" t="s">
        <v>528</v>
      </c>
      <c r="J61" s="15" t="s">
        <v>15991</v>
      </c>
    </row>
    <row r="62" spans="2:10">
      <c r="B62" s="15" t="s">
        <v>18729</v>
      </c>
      <c r="C62" s="15" t="s">
        <v>18833</v>
      </c>
      <c r="D62" s="15" t="s">
        <v>350</v>
      </c>
      <c r="E62" s="15" t="s">
        <v>305</v>
      </c>
      <c r="F62" s="15" t="s">
        <v>18834</v>
      </c>
      <c r="G62" s="15"/>
      <c r="H62" s="15"/>
      <c r="I62" s="15" t="s">
        <v>528</v>
      </c>
      <c r="J62" s="15" t="s">
        <v>15991</v>
      </c>
    </row>
    <row r="63" spans="2:10">
      <c r="B63" s="15" t="s">
        <v>18729</v>
      </c>
      <c r="C63" s="15" t="s">
        <v>18567</v>
      </c>
      <c r="D63" s="15" t="s">
        <v>513</v>
      </c>
      <c r="E63" s="15" t="s">
        <v>305</v>
      </c>
      <c r="F63" s="15" t="s">
        <v>18679</v>
      </c>
      <c r="G63" s="15"/>
      <c r="H63" s="15"/>
      <c r="I63" s="15" t="s">
        <v>528</v>
      </c>
      <c r="J63" s="15" t="s">
        <v>15991</v>
      </c>
    </row>
    <row r="64" spans="2:10">
      <c r="B64" s="15" t="s">
        <v>18729</v>
      </c>
      <c r="C64" s="15" t="s">
        <v>18835</v>
      </c>
      <c r="D64" s="15" t="s">
        <v>371</v>
      </c>
      <c r="E64" s="15" t="s">
        <v>305</v>
      </c>
      <c r="F64" s="15" t="s">
        <v>18836</v>
      </c>
      <c r="G64" s="15"/>
      <c r="H64" s="15"/>
      <c r="I64" s="15" t="s">
        <v>528</v>
      </c>
      <c r="J64" s="15" t="s">
        <v>15991</v>
      </c>
    </row>
    <row r="65" spans="2:10">
      <c r="B65" s="15" t="s">
        <v>18729</v>
      </c>
      <c r="C65" s="15" t="s">
        <v>18837</v>
      </c>
      <c r="D65" s="15" t="s">
        <v>16072</v>
      </c>
      <c r="E65" s="15" t="s">
        <v>305</v>
      </c>
      <c r="F65" s="15" t="s">
        <v>18838</v>
      </c>
      <c r="G65" s="15"/>
      <c r="H65" s="15"/>
      <c r="I65" s="15" t="s">
        <v>528</v>
      </c>
      <c r="J65" s="15" t="s">
        <v>15991</v>
      </c>
    </row>
    <row r="66" spans="2:10">
      <c r="B66" s="15" t="s">
        <v>18729</v>
      </c>
      <c r="C66" s="15" t="s">
        <v>18839</v>
      </c>
      <c r="D66" s="15" t="s">
        <v>321</v>
      </c>
      <c r="E66" s="15" t="s">
        <v>305</v>
      </c>
      <c r="F66" s="15" t="s">
        <v>18840</v>
      </c>
      <c r="G66" s="15"/>
      <c r="H66" s="15"/>
      <c r="I66" s="15" t="s">
        <v>528</v>
      </c>
      <c r="J66" s="15" t="s">
        <v>15991</v>
      </c>
    </row>
    <row r="67" spans="2:10">
      <c r="B67" s="15" t="s">
        <v>18729</v>
      </c>
      <c r="C67" s="15" t="s">
        <v>18841</v>
      </c>
      <c r="D67" s="15" t="s">
        <v>350</v>
      </c>
      <c r="E67" s="15" t="s">
        <v>305</v>
      </c>
      <c r="F67" s="15" t="s">
        <v>18842</v>
      </c>
      <c r="G67" s="15"/>
      <c r="H67" s="15"/>
      <c r="I67" s="15" t="s">
        <v>528</v>
      </c>
      <c r="J67" s="15" t="s">
        <v>15991</v>
      </c>
    </row>
    <row r="68" spans="2:10">
      <c r="B68" s="15" t="s">
        <v>18729</v>
      </c>
      <c r="C68" s="15" t="s">
        <v>18843</v>
      </c>
      <c r="D68" s="15" t="s">
        <v>371</v>
      </c>
      <c r="E68" s="15" t="s">
        <v>305</v>
      </c>
      <c r="F68" s="15" t="s">
        <v>18844</v>
      </c>
      <c r="G68" s="15"/>
      <c r="H68" s="15"/>
      <c r="I68" s="15" t="s">
        <v>528</v>
      </c>
      <c r="J68" s="15" t="s">
        <v>15991</v>
      </c>
    </row>
    <row r="69" spans="2:10">
      <c r="B69" s="15" t="s">
        <v>18729</v>
      </c>
      <c r="C69" s="15" t="s">
        <v>18845</v>
      </c>
      <c r="D69" s="15" t="s">
        <v>16072</v>
      </c>
      <c r="E69" s="15" t="s">
        <v>305</v>
      </c>
      <c r="F69" s="15" t="s">
        <v>18846</v>
      </c>
      <c r="G69" s="15"/>
      <c r="H69" s="15"/>
      <c r="I69" s="15" t="s">
        <v>528</v>
      </c>
      <c r="J69" s="15" t="s">
        <v>15991</v>
      </c>
    </row>
    <row r="70" spans="2:10">
      <c r="B70" s="15" t="s">
        <v>18729</v>
      </c>
      <c r="C70" s="15" t="s">
        <v>18847</v>
      </c>
      <c r="D70" s="15" t="s">
        <v>321</v>
      </c>
      <c r="E70" s="15" t="s">
        <v>305</v>
      </c>
      <c r="F70" s="15" t="s">
        <v>18848</v>
      </c>
      <c r="G70" s="15"/>
      <c r="H70" s="15"/>
      <c r="I70" s="15" t="s">
        <v>528</v>
      </c>
      <c r="J70" s="15" t="s">
        <v>15991</v>
      </c>
    </row>
    <row r="71" spans="2:10">
      <c r="B71" s="15" t="s">
        <v>18729</v>
      </c>
      <c r="C71" s="15" t="s">
        <v>18849</v>
      </c>
      <c r="D71" s="15" t="s">
        <v>316</v>
      </c>
      <c r="E71" s="15" t="s">
        <v>305</v>
      </c>
      <c r="F71" s="15" t="s">
        <v>18850</v>
      </c>
      <c r="G71" s="15"/>
      <c r="H71" s="15"/>
      <c r="I71" s="15" t="s">
        <v>528</v>
      </c>
      <c r="J71" s="15" t="s">
        <v>15991</v>
      </c>
    </row>
    <row r="72" spans="2:10">
      <c r="B72" s="15" t="s">
        <v>18729</v>
      </c>
      <c r="C72" s="15" t="s">
        <v>16082</v>
      </c>
      <c r="D72" s="15" t="s">
        <v>321</v>
      </c>
      <c r="E72" s="15" t="s">
        <v>305</v>
      </c>
      <c r="F72" s="15" t="s">
        <v>16083</v>
      </c>
      <c r="G72" s="15"/>
      <c r="H72" s="15"/>
      <c r="I72" s="15" t="s">
        <v>528</v>
      </c>
      <c r="J72" s="15" t="s">
        <v>15991</v>
      </c>
    </row>
    <row r="73" spans="2:10">
      <c r="B73" s="15" t="s">
        <v>18729</v>
      </c>
      <c r="C73" s="15" t="s">
        <v>16086</v>
      </c>
      <c r="D73" s="15" t="s">
        <v>327</v>
      </c>
      <c r="E73" s="15" t="s">
        <v>305</v>
      </c>
      <c r="F73" s="15" t="s">
        <v>301</v>
      </c>
      <c r="G73" s="15"/>
      <c r="H73" s="15"/>
      <c r="I73" s="15" t="s">
        <v>528</v>
      </c>
      <c r="J73" s="15" t="s">
        <v>15991</v>
      </c>
    </row>
    <row r="74" spans="2:10">
      <c r="B74" s="15" t="s">
        <v>18729</v>
      </c>
      <c r="C74" s="15" t="s">
        <v>16011</v>
      </c>
      <c r="D74" s="15" t="s">
        <v>316</v>
      </c>
      <c r="E74" s="15" t="s">
        <v>305</v>
      </c>
      <c r="F74" s="15" t="s">
        <v>16012</v>
      </c>
      <c r="G74" s="15"/>
      <c r="H74" s="15"/>
      <c r="I74" s="15" t="s">
        <v>528</v>
      </c>
      <c r="J74" s="15" t="s">
        <v>15991</v>
      </c>
    </row>
    <row r="75" spans="2:10">
      <c r="B75" s="15" t="s">
        <v>18729</v>
      </c>
      <c r="C75" s="15" t="s">
        <v>16009</v>
      </c>
      <c r="D75" s="15" t="s">
        <v>316</v>
      </c>
      <c r="E75" s="15" t="s">
        <v>305</v>
      </c>
      <c r="F75" s="15" t="s">
        <v>16010</v>
      </c>
      <c r="G75" s="15"/>
      <c r="H75" s="15"/>
      <c r="I75" s="15" t="s">
        <v>528</v>
      </c>
      <c r="J75" s="15" t="s">
        <v>15991</v>
      </c>
    </row>
    <row r="76" spans="2:10">
      <c r="B76" s="15" t="s">
        <v>18729</v>
      </c>
      <c r="C76" s="15" t="s">
        <v>16013</v>
      </c>
      <c r="D76" s="15" t="s">
        <v>371</v>
      </c>
      <c r="E76" s="15" t="s">
        <v>305</v>
      </c>
      <c r="F76" s="15" t="s">
        <v>16274</v>
      </c>
      <c r="G76" s="15"/>
      <c r="H76" s="15"/>
      <c r="I76" s="15" t="s">
        <v>528</v>
      </c>
      <c r="J76" s="15" t="s">
        <v>15991</v>
      </c>
    </row>
    <row r="77" spans="2:10">
      <c r="B77" s="15" t="s">
        <v>18729</v>
      </c>
      <c r="C77" s="15" t="s">
        <v>16017</v>
      </c>
      <c r="D77" s="15" t="s">
        <v>316</v>
      </c>
      <c r="E77" s="15" t="s">
        <v>305</v>
      </c>
      <c r="F77" s="15" t="s">
        <v>16018</v>
      </c>
      <c r="G77" s="15"/>
      <c r="H77" s="15"/>
      <c r="I77" s="15" t="s">
        <v>528</v>
      </c>
      <c r="J77" s="15" t="s">
        <v>15991</v>
      </c>
    </row>
    <row r="78" spans="2:10">
      <c r="B78" s="15" t="s">
        <v>18729</v>
      </c>
      <c r="C78" s="15" t="s">
        <v>16015</v>
      </c>
      <c r="D78" s="15" t="s">
        <v>316</v>
      </c>
      <c r="E78" s="15" t="s">
        <v>305</v>
      </c>
      <c r="F78" s="15" t="s">
        <v>16016</v>
      </c>
      <c r="G78" s="15"/>
      <c r="H78" s="15"/>
      <c r="I78" s="15" t="s">
        <v>528</v>
      </c>
      <c r="J78" s="15" t="s">
        <v>15991</v>
      </c>
    </row>
    <row r="79" spans="2:10">
      <c r="B79" s="15" t="s">
        <v>18729</v>
      </c>
      <c r="C79" s="15" t="s">
        <v>16019</v>
      </c>
      <c r="D79" s="15" t="s">
        <v>371</v>
      </c>
      <c r="E79" s="15" t="s">
        <v>305</v>
      </c>
      <c r="F79" s="15" t="s">
        <v>16236</v>
      </c>
      <c r="G79" s="15"/>
      <c r="H79" s="15"/>
      <c r="I79" s="15" t="s">
        <v>528</v>
      </c>
      <c r="J79" s="15" t="s">
        <v>15991</v>
      </c>
    </row>
    <row r="80" spans="2:10">
      <c r="B80" s="15" t="s">
        <v>18729</v>
      </c>
      <c r="C80" s="15" t="s">
        <v>16088</v>
      </c>
      <c r="D80" s="15" t="s">
        <v>316</v>
      </c>
      <c r="E80" s="15" t="s">
        <v>305</v>
      </c>
      <c r="F80" s="15" t="s">
        <v>16089</v>
      </c>
      <c r="G80" s="15"/>
      <c r="H80" s="15"/>
      <c r="I80" s="15" t="s">
        <v>528</v>
      </c>
      <c r="J80" s="15" t="s">
        <v>15991</v>
      </c>
    </row>
    <row r="81" spans="2:10">
      <c r="B81" s="16" t="s">
        <v>18729</v>
      </c>
      <c r="C81" s="16" t="s">
        <v>18851</v>
      </c>
      <c r="D81" s="16" t="s">
        <v>16115</v>
      </c>
      <c r="E81" s="16" t="s">
        <v>305</v>
      </c>
      <c r="F81" s="16" t="s">
        <v>18852</v>
      </c>
      <c r="G81" s="16"/>
      <c r="H81" s="16"/>
      <c r="I81" s="16" t="s">
        <v>528</v>
      </c>
      <c r="J81" s="16" t="s">
        <v>15991</v>
      </c>
    </row>
    <row r="82" spans="2:10">
      <c r="B82" s="65" t="s">
        <v>18729</v>
      </c>
      <c r="C82" s="65" t="s">
        <v>18853</v>
      </c>
      <c r="D82" s="65" t="s">
        <v>18854</v>
      </c>
      <c r="E82" s="65" t="s">
        <v>305</v>
      </c>
      <c r="F82" s="81" t="s">
        <v>18855</v>
      </c>
      <c r="G82" s="65" t="s">
        <v>4672</v>
      </c>
      <c r="H82" s="81" t="s">
        <v>18856</v>
      </c>
      <c r="I82" s="65" t="s">
        <v>528</v>
      </c>
      <c r="J82" s="50">
        <v>45740</v>
      </c>
    </row>
    <row r="83" spans="2:10">
      <c r="B83" s="65" t="s">
        <v>18729</v>
      </c>
      <c r="C83" s="65" t="s">
        <v>18857</v>
      </c>
      <c r="D83" s="65" t="s">
        <v>18854</v>
      </c>
      <c r="E83" s="65" t="s">
        <v>305</v>
      </c>
      <c r="F83" s="81" t="s">
        <v>18858</v>
      </c>
      <c r="G83" s="65" t="s">
        <v>18859</v>
      </c>
      <c r="H83" s="81" t="s">
        <v>18860</v>
      </c>
      <c r="I83" s="65" t="s">
        <v>528</v>
      </c>
      <c r="J83" s="50">
        <v>45740</v>
      </c>
    </row>
    <row r="84" spans="2:10">
      <c r="B84" s="65" t="s">
        <v>18729</v>
      </c>
      <c r="C84" s="57" t="s">
        <v>16622</v>
      </c>
      <c r="D84" s="57" t="s">
        <v>316</v>
      </c>
      <c r="E84" s="65" t="s">
        <v>305</v>
      </c>
      <c r="F84" s="59" t="s">
        <v>18861</v>
      </c>
      <c r="G84" s="57"/>
      <c r="H84" s="57"/>
      <c r="I84" s="57"/>
      <c r="J84" s="50">
        <v>45740</v>
      </c>
    </row>
    <row r="85" spans="2:10">
      <c r="B85" s="65" t="s">
        <v>18729</v>
      </c>
      <c r="C85" s="57" t="s">
        <v>17022</v>
      </c>
      <c r="D85" s="57" t="s">
        <v>316</v>
      </c>
      <c r="E85" s="65" t="s">
        <v>305</v>
      </c>
      <c r="F85" s="59" t="s">
        <v>18862</v>
      </c>
      <c r="G85" s="57"/>
      <c r="H85" s="57"/>
      <c r="I85" s="57"/>
      <c r="J85" s="50">
        <v>45740</v>
      </c>
    </row>
    <row r="86" spans="2:10">
      <c r="B86" s="65" t="s">
        <v>18729</v>
      </c>
      <c r="C86" s="57" t="s">
        <v>18863</v>
      </c>
      <c r="D86" s="57" t="s">
        <v>316</v>
      </c>
      <c r="E86" s="65" t="s">
        <v>305</v>
      </c>
      <c r="F86" s="59" t="s">
        <v>18864</v>
      </c>
      <c r="G86" s="57"/>
      <c r="H86" s="57"/>
      <c r="I86" s="57"/>
      <c r="J86" s="50">
        <v>45740</v>
      </c>
    </row>
    <row r="87" spans="2:10">
      <c r="B87" s="65" t="s">
        <v>18729</v>
      </c>
      <c r="C87" s="57" t="s">
        <v>18865</v>
      </c>
      <c r="D87" s="57" t="s">
        <v>316</v>
      </c>
      <c r="E87" s="65" t="s">
        <v>305</v>
      </c>
      <c r="F87" s="57" t="s">
        <v>18866</v>
      </c>
      <c r="G87" s="57"/>
      <c r="H87" s="57"/>
      <c r="I87" s="57"/>
      <c r="J87" s="50">
        <v>45740</v>
      </c>
    </row>
    <row r="88" spans="2:10">
      <c r="B88" s="65" t="s">
        <v>18729</v>
      </c>
      <c r="C88" s="57" t="s">
        <v>18867</v>
      </c>
      <c r="D88" s="57" t="s">
        <v>18357</v>
      </c>
      <c r="E88" s="57" t="s">
        <v>305</v>
      </c>
      <c r="F88" s="82" t="s">
        <v>529</v>
      </c>
      <c r="G88" s="57"/>
      <c r="H88" s="57"/>
      <c r="I88" s="57"/>
      <c r="J88" s="50">
        <v>45740</v>
      </c>
    </row>
    <row r="89" spans="2:10">
      <c r="B89" s="65" t="s">
        <v>18729</v>
      </c>
      <c r="C89" s="57" t="s">
        <v>18868</v>
      </c>
      <c r="D89" s="57" t="s">
        <v>506</v>
      </c>
      <c r="E89" s="57" t="s">
        <v>305</v>
      </c>
      <c r="F89" s="82" t="s">
        <v>18869</v>
      </c>
      <c r="G89" s="57"/>
      <c r="H89" s="57"/>
      <c r="I89" s="57"/>
      <c r="J89" s="50">
        <v>45740</v>
      </c>
    </row>
    <row r="90" ht="16" spans="2:10">
      <c r="B90" s="65" t="s">
        <v>18729</v>
      </c>
      <c r="C90" s="57" t="s">
        <v>614</v>
      </c>
      <c r="D90" s="57" t="s">
        <v>506</v>
      </c>
      <c r="E90" s="57" t="s">
        <v>305</v>
      </c>
      <c r="F90" s="59" t="s">
        <v>18870</v>
      </c>
      <c r="G90" s="57"/>
      <c r="H90" s="57"/>
      <c r="I90" s="57"/>
      <c r="J90" s="50">
        <v>45740</v>
      </c>
    </row>
  </sheetData>
  <pageMargins left="0.75" right="0.75" top="1" bottom="1" header="0.5" footer="0.5"/>
  <pageSetup paperSize="1" orientation="portrait" horizontalDpi="300" verticalDpi="300"/>
  <headerFooter alignWithMargins="0" scaleWithDoc="0"/>
</worksheet>
</file>

<file path=xl/worksheets/sheet8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0"/>
  <sheetViews>
    <sheetView zoomScaleSheetLayoutView="60" workbookViewId="0">
      <selection activeCell="A1" sqref="A1"/>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1" t="str">
        <f>HYPERLINK("#表结构清单!A1","返回")</f>
        <v>返回</v>
      </c>
      <c r="B1" t="s">
        <v>194</v>
      </c>
    </row>
    <row r="2" spans="2:10">
      <c r="B2" s="13" t="s">
        <v>15982</v>
      </c>
      <c r="C2" s="13" t="s">
        <v>297</v>
      </c>
      <c r="D2" s="13" t="s">
        <v>11870</v>
      </c>
      <c r="E2" s="13" t="s">
        <v>15983</v>
      </c>
      <c r="F2" s="13" t="s">
        <v>15984</v>
      </c>
      <c r="G2" s="13" t="s">
        <v>300</v>
      </c>
      <c r="H2" s="13" t="s">
        <v>301</v>
      </c>
      <c r="I2" s="13" t="s">
        <v>15985</v>
      </c>
      <c r="J2" s="13" t="s">
        <v>15986</v>
      </c>
    </row>
    <row r="3" spans="2:10">
      <c r="B3" s="15" t="s">
        <v>18871</v>
      </c>
      <c r="C3" s="15" t="s">
        <v>18872</v>
      </c>
      <c r="D3" s="15" t="s">
        <v>316</v>
      </c>
      <c r="E3" s="15" t="s">
        <v>15989</v>
      </c>
      <c r="F3" s="15" t="s">
        <v>18873</v>
      </c>
      <c r="G3" s="15"/>
      <c r="H3" s="15"/>
      <c r="I3" s="15" t="s">
        <v>528</v>
      </c>
      <c r="J3" s="15" t="s">
        <v>15991</v>
      </c>
    </row>
    <row r="4" spans="2:10">
      <c r="B4" s="15" t="s">
        <v>18871</v>
      </c>
      <c r="C4" s="15" t="s">
        <v>18874</v>
      </c>
      <c r="D4" s="15" t="s">
        <v>316</v>
      </c>
      <c r="E4" s="15" t="s">
        <v>305</v>
      </c>
      <c r="F4" s="15" t="s">
        <v>18875</v>
      </c>
      <c r="G4" s="15"/>
      <c r="H4" s="15"/>
      <c r="I4" s="15" t="s">
        <v>528</v>
      </c>
      <c r="J4" s="15" t="s">
        <v>15991</v>
      </c>
    </row>
    <row r="5" spans="2:10">
      <c r="B5" s="15" t="s">
        <v>18871</v>
      </c>
      <c r="C5" s="15" t="s">
        <v>16103</v>
      </c>
      <c r="D5" s="15" t="s">
        <v>316</v>
      </c>
      <c r="E5" s="15" t="s">
        <v>305</v>
      </c>
      <c r="F5" s="15" t="s">
        <v>16986</v>
      </c>
      <c r="G5" s="15"/>
      <c r="H5" s="15"/>
      <c r="I5" s="15" t="s">
        <v>528</v>
      </c>
      <c r="J5" s="15" t="s">
        <v>15991</v>
      </c>
    </row>
    <row r="6" spans="2:10">
      <c r="B6" s="15" t="s">
        <v>18871</v>
      </c>
      <c r="C6" s="15" t="s">
        <v>18689</v>
      </c>
      <c r="D6" s="15" t="s">
        <v>513</v>
      </c>
      <c r="E6" s="15" t="s">
        <v>305</v>
      </c>
      <c r="F6" s="15" t="s">
        <v>11508</v>
      </c>
      <c r="G6" s="52" t="str">
        <f>HYPERLINK("#码值映射清单!B9240","InsuranceStatus")</f>
        <v>InsuranceStatus</v>
      </c>
      <c r="H6" s="15"/>
      <c r="I6" s="15" t="s">
        <v>528</v>
      </c>
      <c r="J6" s="15" t="s">
        <v>15991</v>
      </c>
    </row>
    <row r="7" spans="2:10">
      <c r="B7" s="15" t="s">
        <v>18871</v>
      </c>
      <c r="C7" s="15" t="s">
        <v>18876</v>
      </c>
      <c r="D7" s="15" t="s">
        <v>506</v>
      </c>
      <c r="E7" s="15" t="s">
        <v>305</v>
      </c>
      <c r="F7" s="15" t="s">
        <v>1771</v>
      </c>
      <c r="G7" s="15"/>
      <c r="H7" s="15"/>
      <c r="I7" s="15" t="s">
        <v>528</v>
      </c>
      <c r="J7" s="15" t="s">
        <v>15991</v>
      </c>
    </row>
    <row r="8" spans="2:10">
      <c r="B8" s="15" t="s">
        <v>18871</v>
      </c>
      <c r="C8" s="15" t="s">
        <v>18877</v>
      </c>
      <c r="D8" s="15" t="s">
        <v>321</v>
      </c>
      <c r="E8" s="15" t="s">
        <v>305</v>
      </c>
      <c r="F8" s="15" t="s">
        <v>5661</v>
      </c>
      <c r="G8" s="15"/>
      <c r="H8" s="15"/>
      <c r="I8" s="15" t="s">
        <v>528</v>
      </c>
      <c r="J8" s="15" t="s">
        <v>15991</v>
      </c>
    </row>
    <row r="9" spans="2:10">
      <c r="B9" s="15" t="s">
        <v>18871</v>
      </c>
      <c r="C9" s="15" t="s">
        <v>18878</v>
      </c>
      <c r="D9" s="15" t="s">
        <v>506</v>
      </c>
      <c r="E9" s="15" t="s">
        <v>305</v>
      </c>
      <c r="F9" s="15" t="s">
        <v>18879</v>
      </c>
      <c r="G9" s="15"/>
      <c r="H9" s="15"/>
      <c r="I9" s="15" t="s">
        <v>528</v>
      </c>
      <c r="J9" s="15" t="s">
        <v>15991</v>
      </c>
    </row>
    <row r="10" spans="2:10">
      <c r="B10" s="15" t="s">
        <v>18871</v>
      </c>
      <c r="C10" s="15" t="s">
        <v>18880</v>
      </c>
      <c r="D10" s="15" t="s">
        <v>316</v>
      </c>
      <c r="E10" s="15" t="s">
        <v>305</v>
      </c>
      <c r="F10" s="15" t="s">
        <v>18881</v>
      </c>
      <c r="G10" s="15"/>
      <c r="H10" s="15"/>
      <c r="I10" s="15" t="s">
        <v>528</v>
      </c>
      <c r="J10" s="15" t="s">
        <v>15991</v>
      </c>
    </row>
    <row r="11" spans="2:10">
      <c r="B11" s="15" t="s">
        <v>18871</v>
      </c>
      <c r="C11" s="15" t="s">
        <v>18882</v>
      </c>
      <c r="D11" s="15" t="s">
        <v>350</v>
      </c>
      <c r="E11" s="15" t="s">
        <v>305</v>
      </c>
      <c r="F11" s="15" t="s">
        <v>18883</v>
      </c>
      <c r="G11" s="15"/>
      <c r="H11" s="15"/>
      <c r="I11" s="15" t="s">
        <v>528</v>
      </c>
      <c r="J11" s="15" t="s">
        <v>15991</v>
      </c>
    </row>
    <row r="12" spans="2:10">
      <c r="B12" s="15" t="s">
        <v>18871</v>
      </c>
      <c r="C12" s="15" t="s">
        <v>18884</v>
      </c>
      <c r="D12" s="15" t="s">
        <v>350</v>
      </c>
      <c r="E12" s="15" t="s">
        <v>305</v>
      </c>
      <c r="F12" s="15" t="s">
        <v>18885</v>
      </c>
      <c r="G12" s="15"/>
      <c r="H12" s="15"/>
      <c r="I12" s="15" t="s">
        <v>528</v>
      </c>
      <c r="J12" s="15" t="s">
        <v>15991</v>
      </c>
    </row>
    <row r="13" spans="2:10">
      <c r="B13" s="15" t="s">
        <v>18871</v>
      </c>
      <c r="C13" s="15" t="s">
        <v>18886</v>
      </c>
      <c r="D13" s="15" t="s">
        <v>363</v>
      </c>
      <c r="E13" s="15" t="s">
        <v>305</v>
      </c>
      <c r="F13" s="15" t="s">
        <v>18887</v>
      </c>
      <c r="G13" s="15"/>
      <c r="H13" s="15"/>
      <c r="I13" s="15" t="s">
        <v>528</v>
      </c>
      <c r="J13" s="15" t="s">
        <v>15991</v>
      </c>
    </row>
    <row r="14" spans="2:10">
      <c r="B14" s="15" t="s">
        <v>18871</v>
      </c>
      <c r="C14" s="15" t="s">
        <v>18888</v>
      </c>
      <c r="D14" s="15" t="s">
        <v>321</v>
      </c>
      <c r="E14" s="15" t="s">
        <v>305</v>
      </c>
      <c r="F14" s="15" t="s">
        <v>6459</v>
      </c>
      <c r="G14" s="52" t="str">
        <f>HYPERLINK("#码值映射清单!B4720","PaymentMethod")</f>
        <v>PaymentMethod</v>
      </c>
      <c r="H14" s="15"/>
      <c r="I14" s="15" t="s">
        <v>528</v>
      </c>
      <c r="J14" s="15" t="s">
        <v>15991</v>
      </c>
    </row>
    <row r="15" spans="2:10">
      <c r="B15" s="15" t="s">
        <v>18871</v>
      </c>
      <c r="C15" s="15" t="s">
        <v>16947</v>
      </c>
      <c r="D15" s="15" t="s">
        <v>371</v>
      </c>
      <c r="E15" s="15" t="s">
        <v>305</v>
      </c>
      <c r="F15" s="15" t="s">
        <v>18889</v>
      </c>
      <c r="G15" s="15"/>
      <c r="H15" s="15"/>
      <c r="I15" s="15" t="s">
        <v>528</v>
      </c>
      <c r="J15" s="15" t="s">
        <v>15991</v>
      </c>
    </row>
    <row r="16" spans="2:10">
      <c r="B16" s="15" t="s">
        <v>18871</v>
      </c>
      <c r="C16" s="15" t="s">
        <v>18279</v>
      </c>
      <c r="D16" s="15" t="s">
        <v>371</v>
      </c>
      <c r="E16" s="15" t="s">
        <v>305</v>
      </c>
      <c r="F16" s="15" t="s">
        <v>18890</v>
      </c>
      <c r="G16" s="15"/>
      <c r="H16" s="15"/>
      <c r="I16" s="15" t="s">
        <v>528</v>
      </c>
      <c r="J16" s="15" t="s">
        <v>15991</v>
      </c>
    </row>
    <row r="17" spans="2:10">
      <c r="B17" s="15" t="s">
        <v>18871</v>
      </c>
      <c r="C17" s="15" t="s">
        <v>16124</v>
      </c>
      <c r="D17" s="15" t="s">
        <v>371</v>
      </c>
      <c r="E17" s="15" t="s">
        <v>305</v>
      </c>
      <c r="F17" s="15" t="s">
        <v>18891</v>
      </c>
      <c r="G17" s="15"/>
      <c r="H17" s="15"/>
      <c r="I17" s="15" t="s">
        <v>528</v>
      </c>
      <c r="J17" s="15" t="s">
        <v>15991</v>
      </c>
    </row>
    <row r="18" spans="2:10">
      <c r="B18" s="15" t="s">
        <v>18871</v>
      </c>
      <c r="C18" s="15" t="s">
        <v>18892</v>
      </c>
      <c r="D18" s="15" t="s">
        <v>16115</v>
      </c>
      <c r="E18" s="15" t="s">
        <v>305</v>
      </c>
      <c r="F18" s="15" t="s">
        <v>18893</v>
      </c>
      <c r="G18" s="15"/>
      <c r="H18" s="15"/>
      <c r="I18" s="15" t="s">
        <v>528</v>
      </c>
      <c r="J18" s="15" t="s">
        <v>15991</v>
      </c>
    </row>
    <row r="19" spans="2:10">
      <c r="B19" s="15" t="s">
        <v>18871</v>
      </c>
      <c r="C19" s="15" t="s">
        <v>17480</v>
      </c>
      <c r="D19" s="15" t="s">
        <v>371</v>
      </c>
      <c r="E19" s="15" t="s">
        <v>305</v>
      </c>
      <c r="F19" s="15" t="s">
        <v>18894</v>
      </c>
      <c r="G19" s="15"/>
      <c r="H19" s="15"/>
      <c r="I19" s="15" t="s">
        <v>528</v>
      </c>
      <c r="J19" s="15" t="s">
        <v>15991</v>
      </c>
    </row>
    <row r="20" spans="2:10">
      <c r="B20" s="15" t="s">
        <v>18871</v>
      </c>
      <c r="C20" s="15" t="s">
        <v>18895</v>
      </c>
      <c r="D20" s="15" t="s">
        <v>16072</v>
      </c>
      <c r="E20" s="15" t="s">
        <v>305</v>
      </c>
      <c r="F20" s="15" t="s">
        <v>9192</v>
      </c>
      <c r="G20" s="52" t="str">
        <f>HYPERLINK("#码值映射清单!B7102","RenewInsuranceFlag")</f>
        <v>RenewInsuranceFlag</v>
      </c>
      <c r="H20" s="15"/>
      <c r="I20" s="15" t="s">
        <v>528</v>
      </c>
      <c r="J20" s="15" t="s">
        <v>15991</v>
      </c>
    </row>
    <row r="21" spans="2:10">
      <c r="B21" s="15" t="s">
        <v>18871</v>
      </c>
      <c r="C21" s="15" t="s">
        <v>18896</v>
      </c>
      <c r="D21" s="15" t="s">
        <v>16072</v>
      </c>
      <c r="E21" s="15" t="s">
        <v>305</v>
      </c>
      <c r="F21" s="15" t="s">
        <v>18897</v>
      </c>
      <c r="G21" s="52" t="str">
        <f>HYPERLINK("#码值映射清单!B5150","YesNo")</f>
        <v>YesNo</v>
      </c>
      <c r="H21" s="15"/>
      <c r="I21" s="15" t="s">
        <v>528</v>
      </c>
      <c r="J21" s="15" t="s">
        <v>15991</v>
      </c>
    </row>
    <row r="22" spans="2:10">
      <c r="B22" s="15" t="s">
        <v>18871</v>
      </c>
      <c r="C22" s="15" t="s">
        <v>16011</v>
      </c>
      <c r="D22" s="15" t="s">
        <v>316</v>
      </c>
      <c r="E22" s="15" t="s">
        <v>305</v>
      </c>
      <c r="F22" s="15" t="s">
        <v>16012</v>
      </c>
      <c r="G22" s="15"/>
      <c r="H22" s="15"/>
      <c r="I22" s="15" t="s">
        <v>528</v>
      </c>
      <c r="J22" s="15" t="s">
        <v>15991</v>
      </c>
    </row>
    <row r="23" spans="2:10">
      <c r="B23" s="15" t="s">
        <v>18871</v>
      </c>
      <c r="C23" s="15" t="s">
        <v>16009</v>
      </c>
      <c r="D23" s="15" t="s">
        <v>316</v>
      </c>
      <c r="E23" s="15" t="s">
        <v>305</v>
      </c>
      <c r="F23" s="15" t="s">
        <v>16010</v>
      </c>
      <c r="G23" s="15"/>
      <c r="H23" s="15"/>
      <c r="I23" s="15" t="s">
        <v>528</v>
      </c>
      <c r="J23" s="15" t="s">
        <v>15991</v>
      </c>
    </row>
    <row r="24" spans="2:10">
      <c r="B24" s="15" t="s">
        <v>18871</v>
      </c>
      <c r="C24" s="15" t="s">
        <v>16013</v>
      </c>
      <c r="D24" s="15" t="s">
        <v>371</v>
      </c>
      <c r="E24" s="15" t="s">
        <v>305</v>
      </c>
      <c r="F24" s="15" t="s">
        <v>16014</v>
      </c>
      <c r="G24" s="15"/>
      <c r="H24" s="15"/>
      <c r="I24" s="15" t="s">
        <v>528</v>
      </c>
      <c r="J24" s="15" t="s">
        <v>15991</v>
      </c>
    </row>
    <row r="25" spans="2:10">
      <c r="B25" s="15" t="s">
        <v>18871</v>
      </c>
      <c r="C25" s="15" t="s">
        <v>16017</v>
      </c>
      <c r="D25" s="15" t="s">
        <v>316</v>
      </c>
      <c r="E25" s="15" t="s">
        <v>305</v>
      </c>
      <c r="F25" s="15" t="s">
        <v>16018</v>
      </c>
      <c r="G25" s="15"/>
      <c r="H25" s="15"/>
      <c r="I25" s="15" t="s">
        <v>528</v>
      </c>
      <c r="J25" s="15" t="s">
        <v>15991</v>
      </c>
    </row>
    <row r="26" spans="2:10">
      <c r="B26" s="15" t="s">
        <v>18871</v>
      </c>
      <c r="C26" s="15" t="s">
        <v>16015</v>
      </c>
      <c r="D26" s="15" t="s">
        <v>316</v>
      </c>
      <c r="E26" s="15" t="s">
        <v>305</v>
      </c>
      <c r="F26" s="15" t="s">
        <v>16016</v>
      </c>
      <c r="G26" s="15"/>
      <c r="H26" s="15"/>
      <c r="I26" s="15" t="s">
        <v>528</v>
      </c>
      <c r="J26" s="15" t="s">
        <v>15991</v>
      </c>
    </row>
    <row r="27" spans="2:10">
      <c r="B27" s="15" t="s">
        <v>18871</v>
      </c>
      <c r="C27" s="15" t="s">
        <v>16019</v>
      </c>
      <c r="D27" s="15" t="s">
        <v>371</v>
      </c>
      <c r="E27" s="15" t="s">
        <v>305</v>
      </c>
      <c r="F27" s="15" t="s">
        <v>16020</v>
      </c>
      <c r="G27" s="15"/>
      <c r="H27" s="15"/>
      <c r="I27" s="15" t="s">
        <v>528</v>
      </c>
      <c r="J27" s="15" t="s">
        <v>15991</v>
      </c>
    </row>
    <row r="28" spans="2:10">
      <c r="B28" s="15" t="s">
        <v>18871</v>
      </c>
      <c r="C28" s="15" t="s">
        <v>16088</v>
      </c>
      <c r="D28" s="15" t="s">
        <v>316</v>
      </c>
      <c r="E28" s="15" t="s">
        <v>305</v>
      </c>
      <c r="F28" s="15" t="s">
        <v>16089</v>
      </c>
      <c r="G28" s="15"/>
      <c r="H28" s="15"/>
      <c r="I28" s="15" t="s">
        <v>528</v>
      </c>
      <c r="J28" s="15" t="s">
        <v>15991</v>
      </c>
    </row>
    <row r="29" spans="2:10">
      <c r="B29" s="15" t="s">
        <v>18871</v>
      </c>
      <c r="C29" s="15" t="s">
        <v>18571</v>
      </c>
      <c r="D29" s="15" t="s">
        <v>16087</v>
      </c>
      <c r="E29" s="15" t="s">
        <v>305</v>
      </c>
      <c r="F29" s="15" t="s">
        <v>18572</v>
      </c>
      <c r="G29" s="15"/>
      <c r="H29" s="15"/>
      <c r="I29" s="15" t="s">
        <v>528</v>
      </c>
      <c r="J29" s="15" t="s">
        <v>15991</v>
      </c>
    </row>
    <row r="30" spans="2:10">
      <c r="B30" s="37" t="s">
        <v>18871</v>
      </c>
      <c r="C30" s="69" t="s">
        <v>18898</v>
      </c>
      <c r="D30" s="56" t="s">
        <v>316</v>
      </c>
      <c r="E30" s="65" t="s">
        <v>305</v>
      </c>
      <c r="F30" s="59" t="s">
        <v>18899</v>
      </c>
      <c r="G30" s="57"/>
      <c r="H30" s="57"/>
      <c r="I30" s="57"/>
      <c r="J30" s="50">
        <v>45740</v>
      </c>
    </row>
  </sheetData>
  <pageMargins left="0.75" right="0.75" top="1" bottom="1" header="0.5" footer="0.5"/>
  <pageSetup paperSize="1" orientation="portrait" horizontalDpi="300" verticalDpi="300"/>
  <headerFooter alignWithMargins="0" scaleWithDoc="0"/>
</worksheet>
</file>

<file path=xl/worksheets/sheet8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3"/>
  <sheetViews>
    <sheetView zoomScaleSheetLayoutView="60" workbookViewId="0">
      <selection activeCell="D23" sqref="D23"/>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52" t="str">
        <f>HYPERLINK("#表结构清单!A1","返回")</f>
        <v>返回</v>
      </c>
      <c r="B1" t="s">
        <v>78</v>
      </c>
    </row>
    <row r="2" spans="2:10">
      <c r="B2" s="13" t="s">
        <v>15982</v>
      </c>
      <c r="C2" s="13" t="s">
        <v>297</v>
      </c>
      <c r="D2" s="13" t="s">
        <v>11870</v>
      </c>
      <c r="E2" s="13" t="s">
        <v>15983</v>
      </c>
      <c r="F2" s="13" t="s">
        <v>15984</v>
      </c>
      <c r="G2" s="13" t="s">
        <v>300</v>
      </c>
      <c r="H2" s="13" t="s">
        <v>301</v>
      </c>
      <c r="I2" s="13" t="s">
        <v>15985</v>
      </c>
      <c r="J2" s="13" t="s">
        <v>15986</v>
      </c>
    </row>
    <row r="3" spans="2:10">
      <c r="B3" s="15" t="s">
        <v>18900</v>
      </c>
      <c r="C3" s="15" t="s">
        <v>18473</v>
      </c>
      <c r="D3" s="15" t="s">
        <v>321</v>
      </c>
      <c r="E3" s="15" t="s">
        <v>15989</v>
      </c>
      <c r="F3" s="15" t="s">
        <v>18384</v>
      </c>
      <c r="G3" s="15"/>
      <c r="H3" s="15"/>
      <c r="I3" s="15" t="s">
        <v>528</v>
      </c>
      <c r="J3" s="15" t="s">
        <v>15991</v>
      </c>
    </row>
    <row r="4" spans="2:10">
      <c r="B4" s="15" t="s">
        <v>18900</v>
      </c>
      <c r="C4" s="15" t="s">
        <v>18476</v>
      </c>
      <c r="D4" s="15" t="s">
        <v>506</v>
      </c>
      <c r="E4" s="15" t="s">
        <v>305</v>
      </c>
      <c r="F4" s="15" t="s">
        <v>17507</v>
      </c>
      <c r="G4" s="15"/>
      <c r="H4" s="15"/>
      <c r="I4" s="15" t="s">
        <v>528</v>
      </c>
      <c r="J4" s="15" t="s">
        <v>15991</v>
      </c>
    </row>
    <row r="5" spans="2:10">
      <c r="B5" s="15" t="s">
        <v>18900</v>
      </c>
      <c r="C5" s="15" t="s">
        <v>18474</v>
      </c>
      <c r="D5" s="15" t="s">
        <v>506</v>
      </c>
      <c r="E5" s="15" t="s">
        <v>305</v>
      </c>
      <c r="F5" s="15" t="s">
        <v>18386</v>
      </c>
      <c r="G5" s="15"/>
      <c r="H5" s="15"/>
      <c r="I5" s="15" t="s">
        <v>528</v>
      </c>
      <c r="J5" s="15" t="s">
        <v>15991</v>
      </c>
    </row>
    <row r="6" spans="2:10">
      <c r="B6" s="15" t="s">
        <v>18900</v>
      </c>
      <c r="C6" s="15" t="s">
        <v>16088</v>
      </c>
      <c r="D6" s="15" t="s">
        <v>316</v>
      </c>
      <c r="E6" s="15" t="s">
        <v>305</v>
      </c>
      <c r="F6" s="15" t="s">
        <v>18490</v>
      </c>
      <c r="G6" s="15"/>
      <c r="H6" s="15"/>
      <c r="I6" s="15" t="s">
        <v>528</v>
      </c>
      <c r="J6" s="15" t="s">
        <v>15991</v>
      </c>
    </row>
    <row r="7" spans="2:10">
      <c r="B7" s="15" t="s">
        <v>18900</v>
      </c>
      <c r="C7" s="15" t="s">
        <v>18491</v>
      </c>
      <c r="D7" s="15" t="s">
        <v>321</v>
      </c>
      <c r="E7" s="15" t="s">
        <v>305</v>
      </c>
      <c r="F7" s="15" t="s">
        <v>18667</v>
      </c>
      <c r="G7" s="15"/>
      <c r="H7" s="15"/>
      <c r="I7" s="15" t="s">
        <v>528</v>
      </c>
      <c r="J7" s="15" t="s">
        <v>15991</v>
      </c>
    </row>
    <row r="8" spans="2:10">
      <c r="B8" s="15" t="s">
        <v>18900</v>
      </c>
      <c r="C8" s="15" t="s">
        <v>16011</v>
      </c>
      <c r="D8" s="15" t="s">
        <v>316</v>
      </c>
      <c r="E8" s="15" t="s">
        <v>305</v>
      </c>
      <c r="F8" s="15" t="s">
        <v>16012</v>
      </c>
      <c r="G8" s="15"/>
      <c r="H8" s="15"/>
      <c r="I8" s="15" t="s">
        <v>528</v>
      </c>
      <c r="J8" s="15" t="s">
        <v>15991</v>
      </c>
    </row>
    <row r="9" spans="2:10">
      <c r="B9" s="15" t="s">
        <v>18900</v>
      </c>
      <c r="C9" s="15" t="s">
        <v>16009</v>
      </c>
      <c r="D9" s="15" t="s">
        <v>316</v>
      </c>
      <c r="E9" s="15" t="s">
        <v>305</v>
      </c>
      <c r="F9" s="15" t="s">
        <v>16010</v>
      </c>
      <c r="G9" s="15"/>
      <c r="H9" s="15"/>
      <c r="I9" s="15" t="s">
        <v>528</v>
      </c>
      <c r="J9" s="15" t="s">
        <v>15991</v>
      </c>
    </row>
    <row r="10" spans="2:10">
      <c r="B10" s="15" t="s">
        <v>18900</v>
      </c>
      <c r="C10" s="15" t="s">
        <v>16013</v>
      </c>
      <c r="D10" s="15" t="s">
        <v>371</v>
      </c>
      <c r="E10" s="15" t="s">
        <v>305</v>
      </c>
      <c r="F10" s="15" t="s">
        <v>16014</v>
      </c>
      <c r="G10" s="15"/>
      <c r="H10" s="15"/>
      <c r="I10" s="15" t="s">
        <v>528</v>
      </c>
      <c r="J10" s="15" t="s">
        <v>15991</v>
      </c>
    </row>
    <row r="11" spans="2:10">
      <c r="B11" s="15" t="s">
        <v>18900</v>
      </c>
      <c r="C11" s="15" t="s">
        <v>16017</v>
      </c>
      <c r="D11" s="15" t="s">
        <v>316</v>
      </c>
      <c r="E11" s="15" t="s">
        <v>305</v>
      </c>
      <c r="F11" s="15" t="s">
        <v>16018</v>
      </c>
      <c r="G11" s="15"/>
      <c r="H11" s="15"/>
      <c r="I11" s="15" t="s">
        <v>528</v>
      </c>
      <c r="J11" s="15" t="s">
        <v>15991</v>
      </c>
    </row>
    <row r="12" spans="2:10">
      <c r="B12" s="15" t="s">
        <v>18900</v>
      </c>
      <c r="C12" s="15" t="s">
        <v>16015</v>
      </c>
      <c r="D12" s="15" t="s">
        <v>316</v>
      </c>
      <c r="E12" s="15" t="s">
        <v>305</v>
      </c>
      <c r="F12" s="15" t="s">
        <v>16016</v>
      </c>
      <c r="G12" s="15"/>
      <c r="H12" s="15"/>
      <c r="I12" s="15" t="s">
        <v>528</v>
      </c>
      <c r="J12" s="15" t="s">
        <v>15991</v>
      </c>
    </row>
    <row r="13" spans="2:10">
      <c r="B13" s="15" t="s">
        <v>18900</v>
      </c>
      <c r="C13" s="15" t="s">
        <v>16019</v>
      </c>
      <c r="D13" s="15" t="s">
        <v>371</v>
      </c>
      <c r="E13" s="15" t="s">
        <v>305</v>
      </c>
      <c r="F13" s="15" t="s">
        <v>16020</v>
      </c>
      <c r="G13" s="15"/>
      <c r="H13" s="15"/>
      <c r="I13" s="15" t="s">
        <v>528</v>
      </c>
      <c r="J13" s="15" t="s">
        <v>15991</v>
      </c>
    </row>
  </sheetData>
  <pageMargins left="0.75" right="0.75" top="1" bottom="1" header="0.5" footer="0.5"/>
  <pageSetup paperSize="1" orientation="portrait" horizontalDpi="300" verticalDpi="300"/>
  <headerFooter alignWithMargins="0" scaleWithDoc="0"/>
</worksheet>
</file>

<file path=xl/worksheets/sheet8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6"/>
  <sheetViews>
    <sheetView zoomScaleSheetLayoutView="60" workbookViewId="0">
      <selection activeCell="A1" sqref="A1"/>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1" t="str">
        <f>HYPERLINK("#表结构清单!A1","返回")</f>
        <v>返回</v>
      </c>
      <c r="B1" t="s">
        <v>197</v>
      </c>
    </row>
    <row r="2" spans="2:10">
      <c r="B2" s="13" t="s">
        <v>15982</v>
      </c>
      <c r="C2" s="13" t="s">
        <v>297</v>
      </c>
      <c r="D2" s="13" t="s">
        <v>11870</v>
      </c>
      <c r="E2" s="13" t="s">
        <v>15983</v>
      </c>
      <c r="F2" s="13" t="s">
        <v>15984</v>
      </c>
      <c r="G2" s="13" t="s">
        <v>300</v>
      </c>
      <c r="H2" s="13" t="s">
        <v>301</v>
      </c>
      <c r="I2" s="13" t="s">
        <v>15985</v>
      </c>
      <c r="J2" s="13" t="s">
        <v>15986</v>
      </c>
    </row>
    <row r="3" spans="2:10">
      <c r="B3" s="15" t="s">
        <v>18901</v>
      </c>
      <c r="C3" s="15" t="s">
        <v>18902</v>
      </c>
      <c r="D3" s="15" t="s">
        <v>316</v>
      </c>
      <c r="E3" s="15" t="s">
        <v>15989</v>
      </c>
      <c r="F3" s="15" t="s">
        <v>18903</v>
      </c>
      <c r="G3" s="15"/>
      <c r="H3" s="15"/>
      <c r="I3" s="15" t="s">
        <v>528</v>
      </c>
      <c r="J3" s="15" t="s">
        <v>15991</v>
      </c>
    </row>
    <row r="4" spans="2:10">
      <c r="B4" s="15" t="s">
        <v>18901</v>
      </c>
      <c r="C4" s="15" t="s">
        <v>18874</v>
      </c>
      <c r="D4" s="15" t="s">
        <v>316</v>
      </c>
      <c r="E4" s="15" t="s">
        <v>305</v>
      </c>
      <c r="F4" s="15" t="s">
        <v>18875</v>
      </c>
      <c r="G4" s="15"/>
      <c r="H4" s="15"/>
      <c r="I4" s="15" t="s">
        <v>528</v>
      </c>
      <c r="J4" s="15" t="s">
        <v>15991</v>
      </c>
    </row>
    <row r="5" spans="2:10">
      <c r="B5" s="15" t="s">
        <v>18901</v>
      </c>
      <c r="C5" s="15" t="s">
        <v>16103</v>
      </c>
      <c r="D5" s="15" t="s">
        <v>316</v>
      </c>
      <c r="E5" s="15" t="s">
        <v>305</v>
      </c>
      <c r="F5" s="15" t="s">
        <v>16986</v>
      </c>
      <c r="G5" s="15"/>
      <c r="H5" s="15"/>
      <c r="I5" s="15" t="s">
        <v>528</v>
      </c>
      <c r="J5" s="15" t="s">
        <v>15991</v>
      </c>
    </row>
    <row r="6" spans="2:10">
      <c r="B6" s="15" t="s">
        <v>18901</v>
      </c>
      <c r="C6" s="15" t="s">
        <v>18904</v>
      </c>
      <c r="D6" s="15" t="s">
        <v>506</v>
      </c>
      <c r="E6" s="15" t="s">
        <v>305</v>
      </c>
      <c r="F6" s="15" t="s">
        <v>18905</v>
      </c>
      <c r="G6" s="15"/>
      <c r="H6" s="15"/>
      <c r="I6" s="15" t="s">
        <v>528</v>
      </c>
      <c r="J6" s="15" t="s">
        <v>15991</v>
      </c>
    </row>
    <row r="7" spans="2:10">
      <c r="B7" s="15" t="s">
        <v>18901</v>
      </c>
      <c r="C7" s="15" t="s">
        <v>18906</v>
      </c>
      <c r="D7" s="15" t="s">
        <v>506</v>
      </c>
      <c r="E7" s="15" t="s">
        <v>305</v>
      </c>
      <c r="F7" s="15" t="s">
        <v>18907</v>
      </c>
      <c r="G7" s="15"/>
      <c r="H7" s="15"/>
      <c r="I7" s="15" t="s">
        <v>528</v>
      </c>
      <c r="J7" s="15" t="s">
        <v>15991</v>
      </c>
    </row>
    <row r="8" spans="2:10">
      <c r="B8" s="15" t="s">
        <v>18901</v>
      </c>
      <c r="C8" s="15" t="s">
        <v>18908</v>
      </c>
      <c r="D8" s="15" t="s">
        <v>513</v>
      </c>
      <c r="E8" s="15" t="s">
        <v>305</v>
      </c>
      <c r="F8" s="15" t="s">
        <v>18909</v>
      </c>
      <c r="G8" s="15"/>
      <c r="H8" s="15"/>
      <c r="I8" s="15" t="s">
        <v>528</v>
      </c>
      <c r="J8" s="15" t="s">
        <v>15991</v>
      </c>
    </row>
    <row r="9" spans="2:10">
      <c r="B9" s="15" t="s">
        <v>18901</v>
      </c>
      <c r="C9" s="15" t="s">
        <v>18910</v>
      </c>
      <c r="D9" s="15" t="s">
        <v>316</v>
      </c>
      <c r="E9" s="15" t="s">
        <v>305</v>
      </c>
      <c r="F9" s="15" t="s">
        <v>18911</v>
      </c>
      <c r="G9" s="15"/>
      <c r="H9" s="15"/>
      <c r="I9" s="15" t="s">
        <v>528</v>
      </c>
      <c r="J9" s="15" t="s">
        <v>15991</v>
      </c>
    </row>
    <row r="10" spans="2:10">
      <c r="B10" s="15" t="s">
        <v>18901</v>
      </c>
      <c r="C10" s="15" t="s">
        <v>18912</v>
      </c>
      <c r="D10" s="15" t="s">
        <v>350</v>
      </c>
      <c r="E10" s="15" t="s">
        <v>305</v>
      </c>
      <c r="F10" s="15" t="s">
        <v>18913</v>
      </c>
      <c r="G10" s="15"/>
      <c r="H10" s="15"/>
      <c r="I10" s="15" t="s">
        <v>528</v>
      </c>
      <c r="J10" s="15" t="s">
        <v>15991</v>
      </c>
    </row>
    <row r="11" spans="2:10">
      <c r="B11" s="15" t="s">
        <v>18901</v>
      </c>
      <c r="C11" s="15" t="s">
        <v>18914</v>
      </c>
      <c r="D11" s="15" t="s">
        <v>316</v>
      </c>
      <c r="E11" s="15" t="s">
        <v>305</v>
      </c>
      <c r="F11" s="15" t="s">
        <v>18915</v>
      </c>
      <c r="G11" s="15"/>
      <c r="H11" s="15"/>
      <c r="I11" s="15" t="s">
        <v>528</v>
      </c>
      <c r="J11" s="15" t="s">
        <v>15991</v>
      </c>
    </row>
    <row r="12" spans="2:10">
      <c r="B12" s="15" t="s">
        <v>18901</v>
      </c>
      <c r="C12" s="15" t="s">
        <v>18916</v>
      </c>
      <c r="D12" s="15" t="s">
        <v>371</v>
      </c>
      <c r="E12" s="15" t="s">
        <v>305</v>
      </c>
      <c r="F12" s="15" t="s">
        <v>18917</v>
      </c>
      <c r="G12" s="15"/>
      <c r="H12" s="15"/>
      <c r="I12" s="15" t="s">
        <v>528</v>
      </c>
      <c r="J12" s="15" t="s">
        <v>15991</v>
      </c>
    </row>
    <row r="13" spans="2:10">
      <c r="B13" s="15" t="s">
        <v>18901</v>
      </c>
      <c r="C13" s="15" t="s">
        <v>18918</v>
      </c>
      <c r="D13" s="15" t="s">
        <v>371</v>
      </c>
      <c r="E13" s="15" t="s">
        <v>305</v>
      </c>
      <c r="F13" s="15" t="s">
        <v>18919</v>
      </c>
      <c r="G13" s="15"/>
      <c r="H13" s="15"/>
      <c r="I13" s="15" t="s">
        <v>528</v>
      </c>
      <c r="J13" s="15" t="s">
        <v>15991</v>
      </c>
    </row>
    <row r="14" spans="2:10">
      <c r="B14" s="15" t="s">
        <v>18901</v>
      </c>
      <c r="C14" s="15" t="s">
        <v>18920</v>
      </c>
      <c r="D14" s="15" t="s">
        <v>506</v>
      </c>
      <c r="E14" s="15" t="s">
        <v>305</v>
      </c>
      <c r="F14" s="15" t="s">
        <v>18921</v>
      </c>
      <c r="G14" s="15"/>
      <c r="H14" s="15"/>
      <c r="I14" s="15" t="s">
        <v>528</v>
      </c>
      <c r="J14" s="15" t="s">
        <v>15991</v>
      </c>
    </row>
    <row r="15" spans="2:10">
      <c r="B15" s="15" t="s">
        <v>18901</v>
      </c>
      <c r="C15" s="15" t="s">
        <v>18922</v>
      </c>
      <c r="D15" s="15" t="s">
        <v>506</v>
      </c>
      <c r="E15" s="15" t="s">
        <v>305</v>
      </c>
      <c r="F15" s="15" t="s">
        <v>18923</v>
      </c>
      <c r="G15" s="15"/>
      <c r="H15" s="15"/>
      <c r="I15" s="15" t="s">
        <v>528</v>
      </c>
      <c r="J15" s="15" t="s">
        <v>15991</v>
      </c>
    </row>
    <row r="16" spans="2:10">
      <c r="B16" s="15" t="s">
        <v>18901</v>
      </c>
      <c r="C16" s="15" t="s">
        <v>18924</v>
      </c>
      <c r="D16" s="15" t="s">
        <v>16072</v>
      </c>
      <c r="E16" s="15" t="s">
        <v>305</v>
      </c>
      <c r="F16" s="53" t="s">
        <v>18925</v>
      </c>
      <c r="G16" s="52" t="str">
        <f>HYPERLINK("#码值映射清单!B5150","YesNo")</f>
        <v>YesNo</v>
      </c>
      <c r="H16" s="15"/>
      <c r="I16" s="15" t="s">
        <v>528</v>
      </c>
      <c r="J16" s="15" t="s">
        <v>15991</v>
      </c>
    </row>
    <row r="17" spans="2:10">
      <c r="B17" s="15" t="s">
        <v>18901</v>
      </c>
      <c r="C17" s="15" t="s">
        <v>16086</v>
      </c>
      <c r="D17" s="15" t="s">
        <v>327</v>
      </c>
      <c r="E17" s="15" t="s">
        <v>305</v>
      </c>
      <c r="F17" s="15" t="s">
        <v>301</v>
      </c>
      <c r="G17" s="15"/>
      <c r="H17" s="15"/>
      <c r="I17" s="15" t="s">
        <v>528</v>
      </c>
      <c r="J17" s="15" t="s">
        <v>15991</v>
      </c>
    </row>
    <row r="18" spans="2:10">
      <c r="B18" s="15" t="s">
        <v>18901</v>
      </c>
      <c r="C18" s="15" t="s">
        <v>16011</v>
      </c>
      <c r="D18" s="15" t="s">
        <v>316</v>
      </c>
      <c r="E18" s="15" t="s">
        <v>305</v>
      </c>
      <c r="F18" s="15" t="s">
        <v>16012</v>
      </c>
      <c r="G18" s="15"/>
      <c r="H18" s="15"/>
      <c r="I18" s="15" t="s">
        <v>528</v>
      </c>
      <c r="J18" s="15" t="s">
        <v>15991</v>
      </c>
    </row>
    <row r="19" spans="2:10">
      <c r="B19" s="15" t="s">
        <v>18901</v>
      </c>
      <c r="C19" s="15" t="s">
        <v>16009</v>
      </c>
      <c r="D19" s="15" t="s">
        <v>316</v>
      </c>
      <c r="E19" s="15" t="s">
        <v>305</v>
      </c>
      <c r="F19" s="15" t="s">
        <v>16010</v>
      </c>
      <c r="G19" s="15"/>
      <c r="H19" s="15"/>
      <c r="I19" s="15" t="s">
        <v>528</v>
      </c>
      <c r="J19" s="15" t="s">
        <v>15991</v>
      </c>
    </row>
    <row r="20" spans="2:10">
      <c r="B20" s="15" t="s">
        <v>18901</v>
      </c>
      <c r="C20" s="15" t="s">
        <v>16013</v>
      </c>
      <c r="D20" s="15" t="s">
        <v>371</v>
      </c>
      <c r="E20" s="15" t="s">
        <v>305</v>
      </c>
      <c r="F20" s="15" t="s">
        <v>16014</v>
      </c>
      <c r="G20" s="15"/>
      <c r="H20" s="15"/>
      <c r="I20" s="15" t="s">
        <v>528</v>
      </c>
      <c r="J20" s="15" t="s">
        <v>15991</v>
      </c>
    </row>
    <row r="21" spans="2:10">
      <c r="B21" s="15" t="s">
        <v>18901</v>
      </c>
      <c r="C21" s="15" t="s">
        <v>16017</v>
      </c>
      <c r="D21" s="15" t="s">
        <v>316</v>
      </c>
      <c r="E21" s="15" t="s">
        <v>305</v>
      </c>
      <c r="F21" s="15" t="s">
        <v>16018</v>
      </c>
      <c r="G21" s="15"/>
      <c r="H21" s="15"/>
      <c r="I21" s="15" t="s">
        <v>528</v>
      </c>
      <c r="J21" s="15" t="s">
        <v>15991</v>
      </c>
    </row>
    <row r="22" spans="2:10">
      <c r="B22" s="15" t="s">
        <v>18901</v>
      </c>
      <c r="C22" s="15" t="s">
        <v>16015</v>
      </c>
      <c r="D22" s="15" t="s">
        <v>316</v>
      </c>
      <c r="E22" s="15" t="s">
        <v>305</v>
      </c>
      <c r="F22" s="15" t="s">
        <v>16016</v>
      </c>
      <c r="G22" s="15"/>
      <c r="H22" s="15"/>
      <c r="I22" s="15" t="s">
        <v>528</v>
      </c>
      <c r="J22" s="15" t="s">
        <v>15991</v>
      </c>
    </row>
    <row r="23" spans="2:10">
      <c r="B23" s="15" t="s">
        <v>18901</v>
      </c>
      <c r="C23" s="15" t="s">
        <v>16019</v>
      </c>
      <c r="D23" s="15" t="s">
        <v>371</v>
      </c>
      <c r="E23" s="15" t="s">
        <v>305</v>
      </c>
      <c r="F23" s="15" t="s">
        <v>16020</v>
      </c>
      <c r="G23" s="15"/>
      <c r="H23" s="15"/>
      <c r="I23" s="15" t="s">
        <v>528</v>
      </c>
      <c r="J23" s="15" t="s">
        <v>15991</v>
      </c>
    </row>
    <row r="24" spans="2:10">
      <c r="B24" s="15" t="s">
        <v>18901</v>
      </c>
      <c r="C24" s="15" t="s">
        <v>16088</v>
      </c>
      <c r="D24" s="15" t="s">
        <v>316</v>
      </c>
      <c r="E24" s="15" t="s">
        <v>305</v>
      </c>
      <c r="F24" s="15" t="s">
        <v>16089</v>
      </c>
      <c r="G24" s="15"/>
      <c r="H24" s="15"/>
      <c r="I24" s="15" t="s">
        <v>528</v>
      </c>
      <c r="J24" s="15" t="s">
        <v>15991</v>
      </c>
    </row>
    <row r="25" spans="2:10">
      <c r="B25" s="15" t="s">
        <v>18901</v>
      </c>
      <c r="C25" s="15" t="s">
        <v>18571</v>
      </c>
      <c r="D25" s="15" t="s">
        <v>16087</v>
      </c>
      <c r="E25" s="16" t="s">
        <v>305</v>
      </c>
      <c r="F25" s="16" t="s">
        <v>18572</v>
      </c>
      <c r="G25" s="16"/>
      <c r="H25" s="16"/>
      <c r="I25" s="16" t="s">
        <v>528</v>
      </c>
      <c r="J25" s="16" t="s">
        <v>15991</v>
      </c>
    </row>
    <row r="26" spans="2:10">
      <c r="B26" s="37" t="s">
        <v>18901</v>
      </c>
      <c r="C26" s="69" t="s">
        <v>18898</v>
      </c>
      <c r="D26" s="56" t="s">
        <v>316</v>
      </c>
      <c r="E26" s="65" t="s">
        <v>305</v>
      </c>
      <c r="F26" s="59" t="s">
        <v>18899</v>
      </c>
      <c r="G26" s="57"/>
      <c r="H26" s="57"/>
      <c r="I26" s="57"/>
      <c r="J26" s="50">
        <v>45740</v>
      </c>
    </row>
  </sheetData>
  <pageMargins left="0.75" right="0.75" top="1" bottom="1" header="0.5" footer="0.5"/>
  <pageSetup paperSize="1" orientation="portrait" horizontalDpi="300" verticalDpi="300"/>
  <headerFooter alignWithMargins="0" scaleWithDoc="0"/>
</worksheet>
</file>

<file path=xl/worksheets/sheet8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0"/>
  <sheetViews>
    <sheetView tabSelected="1" zoomScaleSheetLayoutView="60" workbookViewId="0">
      <selection activeCell="B22" sqref="B22"/>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1" t="str">
        <f>HYPERLINK("#表结构清单!A1","返回")</f>
        <v>返回</v>
      </c>
      <c r="B1" t="s">
        <v>198</v>
      </c>
    </row>
    <row r="2" spans="2:10">
      <c r="B2" s="13" t="s">
        <v>15982</v>
      </c>
      <c r="C2" s="13" t="s">
        <v>297</v>
      </c>
      <c r="D2" s="13" t="s">
        <v>11870</v>
      </c>
      <c r="E2" s="13" t="s">
        <v>15983</v>
      </c>
      <c r="F2" s="13" t="s">
        <v>15984</v>
      </c>
      <c r="G2" s="13" t="s">
        <v>300</v>
      </c>
      <c r="H2" s="13" t="s">
        <v>301</v>
      </c>
      <c r="I2" s="13" t="s">
        <v>15985</v>
      </c>
      <c r="J2" s="13" t="s">
        <v>15986</v>
      </c>
    </row>
    <row r="3" spans="2:10">
      <c r="B3" s="15" t="s">
        <v>18926</v>
      </c>
      <c r="C3" s="15" t="s">
        <v>18927</v>
      </c>
      <c r="D3" s="15" t="s">
        <v>316</v>
      </c>
      <c r="E3" s="15" t="s">
        <v>15989</v>
      </c>
      <c r="F3" s="15" t="s">
        <v>18928</v>
      </c>
      <c r="G3" s="15"/>
      <c r="H3" s="15"/>
      <c r="I3" s="15" t="s">
        <v>528</v>
      </c>
      <c r="J3" s="15" t="s">
        <v>15991</v>
      </c>
    </row>
    <row r="4" spans="2:10">
      <c r="B4" s="15" t="s">
        <v>18926</v>
      </c>
      <c r="C4" s="15" t="s">
        <v>16103</v>
      </c>
      <c r="D4" s="15" t="s">
        <v>316</v>
      </c>
      <c r="E4" s="15" t="s">
        <v>305</v>
      </c>
      <c r="F4" s="15" t="s">
        <v>16986</v>
      </c>
      <c r="G4" s="15"/>
      <c r="H4" s="15"/>
      <c r="I4" s="15" t="s">
        <v>528</v>
      </c>
      <c r="J4" s="15" t="s">
        <v>15991</v>
      </c>
    </row>
    <row r="5" spans="2:10">
      <c r="B5" s="15" t="s">
        <v>18926</v>
      </c>
      <c r="C5" s="15" t="s">
        <v>18929</v>
      </c>
      <c r="D5" s="15" t="s">
        <v>506</v>
      </c>
      <c r="E5" s="15" t="s">
        <v>305</v>
      </c>
      <c r="F5" s="15" t="s">
        <v>18930</v>
      </c>
      <c r="G5" s="15"/>
      <c r="H5" s="15"/>
      <c r="I5" s="15" t="s">
        <v>528</v>
      </c>
      <c r="J5" s="15" t="s">
        <v>15991</v>
      </c>
    </row>
    <row r="6" spans="2:10">
      <c r="B6" s="15" t="s">
        <v>18926</v>
      </c>
      <c r="C6" s="15" t="s">
        <v>18931</v>
      </c>
      <c r="D6" s="15" t="s">
        <v>321</v>
      </c>
      <c r="E6" s="15" t="s">
        <v>305</v>
      </c>
      <c r="F6" s="15" t="s">
        <v>18932</v>
      </c>
      <c r="G6" s="52" t="str">
        <f>HYPERLINK("#码值映射清单!B776","ClrOwnerType")</f>
        <v>ClrOwnerType</v>
      </c>
      <c r="H6" s="15"/>
      <c r="I6" s="15" t="s">
        <v>528</v>
      </c>
      <c r="J6" s="15" t="s">
        <v>15991</v>
      </c>
    </row>
    <row r="7" spans="2:10">
      <c r="B7" s="15" t="s">
        <v>18926</v>
      </c>
      <c r="C7" s="15" t="s">
        <v>18933</v>
      </c>
      <c r="D7" s="15" t="s">
        <v>513</v>
      </c>
      <c r="E7" s="15" t="s">
        <v>305</v>
      </c>
      <c r="F7" s="15" t="s">
        <v>18934</v>
      </c>
      <c r="G7" s="52" t="str">
        <f>HYPERLINK("#码值映射清单!B321","CertType")</f>
        <v>CertType</v>
      </c>
      <c r="H7" s="15"/>
      <c r="I7" s="15" t="s">
        <v>528</v>
      </c>
      <c r="J7" s="15" t="s">
        <v>15991</v>
      </c>
    </row>
    <row r="8" spans="2:10">
      <c r="B8" s="15" t="s">
        <v>18926</v>
      </c>
      <c r="C8" s="15" t="s">
        <v>18935</v>
      </c>
      <c r="D8" s="15" t="s">
        <v>316</v>
      </c>
      <c r="E8" s="15" t="s">
        <v>305</v>
      </c>
      <c r="F8" s="15" t="s">
        <v>18936</v>
      </c>
      <c r="G8" s="15"/>
      <c r="H8" s="15"/>
      <c r="I8" s="15" t="s">
        <v>528</v>
      </c>
      <c r="J8" s="15" t="s">
        <v>15991</v>
      </c>
    </row>
    <row r="9" spans="2:10">
      <c r="B9" s="15" t="s">
        <v>18926</v>
      </c>
      <c r="C9" s="15" t="s">
        <v>18937</v>
      </c>
      <c r="D9" s="15" t="s">
        <v>363</v>
      </c>
      <c r="E9" s="15" t="s">
        <v>305</v>
      </c>
      <c r="F9" s="53" t="s">
        <v>18938</v>
      </c>
      <c r="G9" s="15"/>
      <c r="H9" s="15"/>
      <c r="I9" s="15" t="s">
        <v>528</v>
      </c>
      <c r="J9" s="15" t="s">
        <v>15991</v>
      </c>
    </row>
    <row r="10" spans="2:10">
      <c r="B10" s="15" t="s">
        <v>18926</v>
      </c>
      <c r="C10" s="15" t="s">
        <v>18939</v>
      </c>
      <c r="D10" s="15" t="s">
        <v>513</v>
      </c>
      <c r="E10" s="15" t="s">
        <v>305</v>
      </c>
      <c r="F10" s="15" t="s">
        <v>18940</v>
      </c>
      <c r="G10" s="15"/>
      <c r="H10" s="15"/>
      <c r="I10" s="15" t="s">
        <v>528</v>
      </c>
      <c r="J10" s="15" t="s">
        <v>15991</v>
      </c>
    </row>
    <row r="11" spans="2:10">
      <c r="B11" s="15" t="s">
        <v>18926</v>
      </c>
      <c r="C11" s="15" t="s">
        <v>16011</v>
      </c>
      <c r="D11" s="15" t="s">
        <v>316</v>
      </c>
      <c r="E11" s="15" t="s">
        <v>305</v>
      </c>
      <c r="F11" s="15" t="s">
        <v>16012</v>
      </c>
      <c r="G11" s="15"/>
      <c r="H11" s="15"/>
      <c r="I11" s="15" t="s">
        <v>528</v>
      </c>
      <c r="J11" s="15" t="s">
        <v>15991</v>
      </c>
    </row>
    <row r="12" spans="2:10">
      <c r="B12" s="15" t="s">
        <v>18926</v>
      </c>
      <c r="C12" s="15" t="s">
        <v>16009</v>
      </c>
      <c r="D12" s="15" t="s">
        <v>316</v>
      </c>
      <c r="E12" s="15" t="s">
        <v>305</v>
      </c>
      <c r="F12" s="15" t="s">
        <v>16010</v>
      </c>
      <c r="G12" s="15"/>
      <c r="H12" s="15"/>
      <c r="I12" s="15" t="s">
        <v>528</v>
      </c>
      <c r="J12" s="15" t="s">
        <v>15991</v>
      </c>
    </row>
    <row r="13" spans="2:10">
      <c r="B13" s="15" t="s">
        <v>18926</v>
      </c>
      <c r="C13" s="15" t="s">
        <v>16013</v>
      </c>
      <c r="D13" s="15" t="s">
        <v>371</v>
      </c>
      <c r="E13" s="15" t="s">
        <v>305</v>
      </c>
      <c r="F13" s="15" t="s">
        <v>16274</v>
      </c>
      <c r="G13" s="15"/>
      <c r="H13" s="15"/>
      <c r="I13" s="15" t="s">
        <v>528</v>
      </c>
      <c r="J13" s="15" t="s">
        <v>15991</v>
      </c>
    </row>
    <row r="14" spans="2:10">
      <c r="B14" s="15" t="s">
        <v>18926</v>
      </c>
      <c r="C14" s="15" t="s">
        <v>16017</v>
      </c>
      <c r="D14" s="15" t="s">
        <v>316</v>
      </c>
      <c r="E14" s="15" t="s">
        <v>305</v>
      </c>
      <c r="F14" s="15" t="s">
        <v>16018</v>
      </c>
      <c r="G14" s="15"/>
      <c r="H14" s="15"/>
      <c r="I14" s="15" t="s">
        <v>528</v>
      </c>
      <c r="J14" s="15" t="s">
        <v>15991</v>
      </c>
    </row>
    <row r="15" spans="2:10">
      <c r="B15" s="15" t="s">
        <v>18926</v>
      </c>
      <c r="C15" s="15" t="s">
        <v>16015</v>
      </c>
      <c r="D15" s="15" t="s">
        <v>316</v>
      </c>
      <c r="E15" s="15" t="s">
        <v>305</v>
      </c>
      <c r="F15" s="15" t="s">
        <v>16016</v>
      </c>
      <c r="G15" s="15"/>
      <c r="H15" s="15"/>
      <c r="I15" s="15" t="s">
        <v>528</v>
      </c>
      <c r="J15" s="15" t="s">
        <v>15991</v>
      </c>
    </row>
    <row r="16" spans="2:10">
      <c r="B16" s="15" t="s">
        <v>18926</v>
      </c>
      <c r="C16" s="15" t="s">
        <v>16019</v>
      </c>
      <c r="D16" s="15" t="s">
        <v>371</v>
      </c>
      <c r="E16" s="15" t="s">
        <v>305</v>
      </c>
      <c r="F16" s="15" t="s">
        <v>16236</v>
      </c>
      <c r="G16" s="15"/>
      <c r="H16" s="15"/>
      <c r="I16" s="15" t="s">
        <v>528</v>
      </c>
      <c r="J16" s="15" t="s">
        <v>15991</v>
      </c>
    </row>
    <row r="17" spans="2:10">
      <c r="B17" s="15" t="s">
        <v>18926</v>
      </c>
      <c r="C17" s="15" t="s">
        <v>16088</v>
      </c>
      <c r="D17" s="15" t="s">
        <v>316</v>
      </c>
      <c r="E17" s="15" t="s">
        <v>305</v>
      </c>
      <c r="F17" s="15" t="s">
        <v>16089</v>
      </c>
      <c r="G17" s="15"/>
      <c r="H17" s="15"/>
      <c r="I17" s="15" t="s">
        <v>528</v>
      </c>
      <c r="J17" s="15" t="s">
        <v>15991</v>
      </c>
    </row>
    <row r="18" spans="2:10">
      <c r="B18" s="15" t="s">
        <v>18926</v>
      </c>
      <c r="C18" s="15" t="s">
        <v>18571</v>
      </c>
      <c r="D18" s="15" t="s">
        <v>16087</v>
      </c>
      <c r="E18" s="15" t="s">
        <v>305</v>
      </c>
      <c r="F18" s="15" t="s">
        <v>18572</v>
      </c>
      <c r="G18" s="15"/>
      <c r="H18" s="15"/>
      <c r="I18" s="15" t="s">
        <v>528</v>
      </c>
      <c r="J18" s="15" t="s">
        <v>15991</v>
      </c>
    </row>
    <row r="19" spans="2:10">
      <c r="B19" s="15" t="s">
        <v>18926</v>
      </c>
      <c r="C19" s="69" t="s">
        <v>18898</v>
      </c>
      <c r="D19" s="56" t="s">
        <v>316</v>
      </c>
      <c r="E19" s="65" t="s">
        <v>305</v>
      </c>
      <c r="F19" s="59" t="s">
        <v>18899</v>
      </c>
      <c r="G19" s="57"/>
      <c r="H19" s="57"/>
      <c r="I19" s="57"/>
      <c r="J19" s="50">
        <v>45740</v>
      </c>
    </row>
    <row r="20" spans="2:10">
      <c r="B20" s="37" t="s">
        <v>18926</v>
      </c>
      <c r="C20" s="37" t="s">
        <v>18941</v>
      </c>
      <c r="D20" s="37" t="s">
        <v>316</v>
      </c>
      <c r="E20" s="37" t="s">
        <v>305</v>
      </c>
      <c r="F20" s="37" t="s">
        <v>18942</v>
      </c>
      <c r="G20" s="37"/>
      <c r="H20" s="37"/>
      <c r="I20" s="37" t="s">
        <v>528</v>
      </c>
      <c r="J20" s="50">
        <v>45740</v>
      </c>
    </row>
  </sheetData>
  <pageMargins left="0.75" right="0.75" top="1" bottom="1" header="0.5" footer="0.5"/>
  <pageSetup paperSize="1" orientation="portrait" horizontalDpi="300" verticalDpi="300"/>
  <headerFooter alignWithMargins="0" scaleWithDoc="0"/>
</worksheet>
</file>

<file path=xl/worksheets/sheet9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64"/>
  <sheetViews>
    <sheetView zoomScaleSheetLayoutView="60" topLeftCell="A31" workbookViewId="0">
      <selection activeCell="J52" sqref="J52"/>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15.625" customWidth="1"/>
    <col min="8" max="8" width="16.3571428571429" customWidth="1"/>
    <col min="10" max="10" width="11.7053571428571" customWidth="1"/>
  </cols>
  <sheetData>
    <row r="1" spans="1:2">
      <c r="A1" s="1" t="str">
        <f>HYPERLINK("#表结构清单!A1","返回")</f>
        <v>返回</v>
      </c>
      <c r="B1" t="s">
        <v>168</v>
      </c>
    </row>
    <row r="2" spans="2:10">
      <c r="B2" s="13" t="s">
        <v>15982</v>
      </c>
      <c r="C2" s="13" t="s">
        <v>297</v>
      </c>
      <c r="D2" s="13" t="s">
        <v>11870</v>
      </c>
      <c r="E2" s="13" t="s">
        <v>15983</v>
      </c>
      <c r="F2" s="13" t="s">
        <v>15984</v>
      </c>
      <c r="G2" s="13" t="s">
        <v>300</v>
      </c>
      <c r="H2" s="13" t="s">
        <v>301</v>
      </c>
      <c r="I2" s="13" t="s">
        <v>15985</v>
      </c>
      <c r="J2" s="13" t="s">
        <v>15986</v>
      </c>
    </row>
    <row r="3" spans="2:10">
      <c r="B3" s="15" t="s">
        <v>18943</v>
      </c>
      <c r="C3" s="15" t="s">
        <v>18451</v>
      </c>
      <c r="D3" s="15" t="s">
        <v>316</v>
      </c>
      <c r="E3" s="15" t="s">
        <v>15989</v>
      </c>
      <c r="F3" s="15" t="s">
        <v>18452</v>
      </c>
      <c r="G3" s="15"/>
      <c r="H3" s="15"/>
      <c r="I3" s="15" t="s">
        <v>528</v>
      </c>
      <c r="J3" s="15" t="s">
        <v>15991</v>
      </c>
    </row>
    <row r="4" spans="2:10">
      <c r="B4" s="15" t="s">
        <v>18943</v>
      </c>
      <c r="C4" s="15" t="s">
        <v>18453</v>
      </c>
      <c r="D4" s="15" t="s">
        <v>506</v>
      </c>
      <c r="E4" s="15" t="s">
        <v>305</v>
      </c>
      <c r="F4" s="15" t="s">
        <v>18454</v>
      </c>
      <c r="G4" s="15"/>
      <c r="H4" s="15"/>
      <c r="I4" s="15" t="s">
        <v>528</v>
      </c>
      <c r="J4" s="15" t="s">
        <v>15991</v>
      </c>
    </row>
    <row r="5" spans="2:10">
      <c r="B5" s="15" t="s">
        <v>18943</v>
      </c>
      <c r="C5" s="15" t="s">
        <v>18944</v>
      </c>
      <c r="D5" s="15" t="s">
        <v>513</v>
      </c>
      <c r="E5" s="15" t="s">
        <v>305</v>
      </c>
      <c r="F5" s="15" t="s">
        <v>18945</v>
      </c>
      <c r="G5" s="15"/>
      <c r="H5" s="15"/>
      <c r="I5" s="15" t="s">
        <v>528</v>
      </c>
      <c r="J5" s="15" t="s">
        <v>15991</v>
      </c>
    </row>
    <row r="6" spans="2:10">
      <c r="B6" s="15" t="s">
        <v>18943</v>
      </c>
      <c r="C6" s="15" t="s">
        <v>18946</v>
      </c>
      <c r="D6" s="15" t="s">
        <v>363</v>
      </c>
      <c r="E6" s="15" t="s">
        <v>305</v>
      </c>
      <c r="F6" s="15" t="s">
        <v>18947</v>
      </c>
      <c r="G6" s="15"/>
      <c r="H6" s="15"/>
      <c r="I6" s="15" t="s">
        <v>528</v>
      </c>
      <c r="J6" s="15" t="s">
        <v>15991</v>
      </c>
    </row>
    <row r="7" spans="2:10">
      <c r="B7" s="15" t="s">
        <v>18943</v>
      </c>
      <c r="C7" s="15" t="s">
        <v>18948</v>
      </c>
      <c r="D7" s="15" t="s">
        <v>327</v>
      </c>
      <c r="E7" s="15" t="s">
        <v>305</v>
      </c>
      <c r="F7" s="15" t="s">
        <v>18949</v>
      </c>
      <c r="G7" s="15"/>
      <c r="H7" s="15"/>
      <c r="I7" s="15" t="s">
        <v>528</v>
      </c>
      <c r="J7" s="15" t="s">
        <v>15991</v>
      </c>
    </row>
    <row r="8" spans="2:10">
      <c r="B8" s="15" t="s">
        <v>18943</v>
      </c>
      <c r="C8" s="15" t="s">
        <v>18950</v>
      </c>
      <c r="D8" s="15" t="s">
        <v>16072</v>
      </c>
      <c r="E8" s="15" t="s">
        <v>305</v>
      </c>
      <c r="F8" s="15" t="s">
        <v>18951</v>
      </c>
      <c r="G8" s="15"/>
      <c r="H8" s="15"/>
      <c r="I8" s="15" t="s">
        <v>528</v>
      </c>
      <c r="J8" s="15" t="s">
        <v>15991</v>
      </c>
    </row>
    <row r="9" spans="2:10">
      <c r="B9" s="15" t="s">
        <v>18943</v>
      </c>
      <c r="C9" s="15" t="s">
        <v>18952</v>
      </c>
      <c r="D9" s="15" t="s">
        <v>16072</v>
      </c>
      <c r="E9" s="15" t="s">
        <v>305</v>
      </c>
      <c r="F9" s="15" t="s">
        <v>18953</v>
      </c>
      <c r="G9" s="15"/>
      <c r="H9" s="15"/>
      <c r="I9" s="15" t="s">
        <v>528</v>
      </c>
      <c r="J9" s="15" t="s">
        <v>15991</v>
      </c>
    </row>
    <row r="10" spans="2:10">
      <c r="B10" s="15" t="s">
        <v>18943</v>
      </c>
      <c r="C10" s="15" t="s">
        <v>18954</v>
      </c>
      <c r="D10" s="15" t="s">
        <v>16072</v>
      </c>
      <c r="E10" s="15" t="s">
        <v>305</v>
      </c>
      <c r="F10" s="15" t="s">
        <v>18955</v>
      </c>
      <c r="G10" s="15"/>
      <c r="H10" s="15"/>
      <c r="I10" s="15" t="s">
        <v>528</v>
      </c>
      <c r="J10" s="15" t="s">
        <v>15991</v>
      </c>
    </row>
    <row r="11" spans="2:10">
      <c r="B11" s="15" t="s">
        <v>18943</v>
      </c>
      <c r="C11" s="15" t="s">
        <v>18956</v>
      </c>
      <c r="D11" s="15" t="s">
        <v>16072</v>
      </c>
      <c r="E11" s="15" t="s">
        <v>305</v>
      </c>
      <c r="F11" s="15" t="s">
        <v>18957</v>
      </c>
      <c r="G11" s="15"/>
      <c r="H11" s="15"/>
      <c r="I11" s="15" t="s">
        <v>528</v>
      </c>
      <c r="J11" s="15" t="s">
        <v>15991</v>
      </c>
    </row>
    <row r="12" spans="2:10">
      <c r="B12" s="15" t="s">
        <v>18943</v>
      </c>
      <c r="C12" s="15" t="s">
        <v>18958</v>
      </c>
      <c r="D12" s="15" t="s">
        <v>16072</v>
      </c>
      <c r="E12" s="15" t="s">
        <v>305</v>
      </c>
      <c r="F12" s="15" t="s">
        <v>18959</v>
      </c>
      <c r="G12" s="15"/>
      <c r="H12" s="15"/>
      <c r="I12" s="15" t="s">
        <v>528</v>
      </c>
      <c r="J12" s="15" t="s">
        <v>15991</v>
      </c>
    </row>
    <row r="13" spans="2:10">
      <c r="B13" s="15" t="s">
        <v>18943</v>
      </c>
      <c r="C13" s="15" t="s">
        <v>18960</v>
      </c>
      <c r="D13" s="15" t="s">
        <v>513</v>
      </c>
      <c r="E13" s="15" t="s">
        <v>305</v>
      </c>
      <c r="F13" s="15" t="s">
        <v>18961</v>
      </c>
      <c r="G13" s="15"/>
      <c r="H13" s="15"/>
      <c r="I13" s="15" t="s">
        <v>528</v>
      </c>
      <c r="J13" s="15" t="s">
        <v>15991</v>
      </c>
    </row>
    <row r="14" spans="2:10">
      <c r="B14" s="15" t="s">
        <v>18943</v>
      </c>
      <c r="C14" s="15" t="s">
        <v>18962</v>
      </c>
      <c r="D14" s="15" t="s">
        <v>513</v>
      </c>
      <c r="E14" s="15" t="s">
        <v>305</v>
      </c>
      <c r="F14" s="15" t="s">
        <v>18963</v>
      </c>
      <c r="G14" s="15"/>
      <c r="H14" s="15"/>
      <c r="I14" s="15" t="s">
        <v>528</v>
      </c>
      <c r="J14" s="15" t="s">
        <v>15991</v>
      </c>
    </row>
    <row r="15" spans="2:10">
      <c r="B15" s="15" t="s">
        <v>18943</v>
      </c>
      <c r="C15" s="15" t="s">
        <v>18964</v>
      </c>
      <c r="D15" s="15" t="s">
        <v>316</v>
      </c>
      <c r="E15" s="15" t="s">
        <v>305</v>
      </c>
      <c r="F15" s="15" t="s">
        <v>18965</v>
      </c>
      <c r="G15" s="15"/>
      <c r="H15" s="15"/>
      <c r="I15" s="15" t="s">
        <v>528</v>
      </c>
      <c r="J15" s="15" t="s">
        <v>15991</v>
      </c>
    </row>
    <row r="16" spans="2:10">
      <c r="B16" s="15" t="s">
        <v>18943</v>
      </c>
      <c r="C16" s="15" t="s">
        <v>18966</v>
      </c>
      <c r="D16" s="15" t="s">
        <v>316</v>
      </c>
      <c r="E16" s="15" t="s">
        <v>305</v>
      </c>
      <c r="F16" s="15" t="s">
        <v>18967</v>
      </c>
      <c r="G16" s="15"/>
      <c r="H16" s="15"/>
      <c r="I16" s="15" t="s">
        <v>528</v>
      </c>
      <c r="J16" s="15" t="s">
        <v>15991</v>
      </c>
    </row>
    <row r="17" spans="2:10">
      <c r="B17" s="15" t="s">
        <v>18943</v>
      </c>
      <c r="C17" s="15" t="s">
        <v>18968</v>
      </c>
      <c r="D17" s="15" t="s">
        <v>16072</v>
      </c>
      <c r="E17" s="15" t="s">
        <v>305</v>
      </c>
      <c r="F17" s="15" t="s">
        <v>18969</v>
      </c>
      <c r="G17" s="15"/>
      <c r="H17" s="15"/>
      <c r="I17" s="15" t="s">
        <v>528</v>
      </c>
      <c r="J17" s="15" t="s">
        <v>15991</v>
      </c>
    </row>
    <row r="18" spans="2:10">
      <c r="B18" s="15" t="s">
        <v>18943</v>
      </c>
      <c r="C18" s="15" t="s">
        <v>18687</v>
      </c>
      <c r="D18" s="15" t="s">
        <v>16072</v>
      </c>
      <c r="E18" s="15" t="s">
        <v>305</v>
      </c>
      <c r="F18" s="15" t="s">
        <v>18688</v>
      </c>
      <c r="G18" s="15"/>
      <c r="H18" s="15"/>
      <c r="I18" s="15" t="s">
        <v>528</v>
      </c>
      <c r="J18" s="15" t="s">
        <v>15991</v>
      </c>
    </row>
    <row r="19" spans="2:10">
      <c r="B19" s="15" t="s">
        <v>18943</v>
      </c>
      <c r="C19" s="15" t="s">
        <v>18970</v>
      </c>
      <c r="D19" s="15" t="s">
        <v>16056</v>
      </c>
      <c r="E19" s="15" t="s">
        <v>305</v>
      </c>
      <c r="F19" s="15" t="s">
        <v>18971</v>
      </c>
      <c r="G19" s="15"/>
      <c r="H19" s="15"/>
      <c r="I19" s="15" t="s">
        <v>528</v>
      </c>
      <c r="J19" s="15" t="s">
        <v>15991</v>
      </c>
    </row>
    <row r="20" spans="2:10">
      <c r="B20" s="15" t="s">
        <v>18943</v>
      </c>
      <c r="C20" s="15" t="s">
        <v>18691</v>
      </c>
      <c r="D20" s="15" t="s">
        <v>16072</v>
      </c>
      <c r="E20" s="15" t="s">
        <v>305</v>
      </c>
      <c r="F20" s="15" t="s">
        <v>18692</v>
      </c>
      <c r="G20" s="15"/>
      <c r="H20" s="15"/>
      <c r="I20" s="15" t="s">
        <v>528</v>
      </c>
      <c r="J20" s="15" t="s">
        <v>15991</v>
      </c>
    </row>
    <row r="21" spans="2:10">
      <c r="B21" s="15" t="s">
        <v>18943</v>
      </c>
      <c r="C21" s="15" t="s">
        <v>18972</v>
      </c>
      <c r="D21" s="15" t="s">
        <v>16072</v>
      </c>
      <c r="E21" s="15" t="s">
        <v>305</v>
      </c>
      <c r="F21" s="15" t="s">
        <v>18698</v>
      </c>
      <c r="G21" s="15"/>
      <c r="H21" s="15"/>
      <c r="I21" s="15" t="s">
        <v>528</v>
      </c>
      <c r="J21" s="15" t="s">
        <v>15991</v>
      </c>
    </row>
    <row r="22" spans="2:10">
      <c r="B22" s="15" t="s">
        <v>18943</v>
      </c>
      <c r="C22" s="15" t="s">
        <v>18973</v>
      </c>
      <c r="D22" s="15" t="s">
        <v>16072</v>
      </c>
      <c r="E22" s="15" t="s">
        <v>305</v>
      </c>
      <c r="F22" s="15" t="s">
        <v>18974</v>
      </c>
      <c r="G22" s="15"/>
      <c r="H22" s="15"/>
      <c r="I22" s="15" t="s">
        <v>528</v>
      </c>
      <c r="J22" s="15" t="s">
        <v>15991</v>
      </c>
    </row>
    <row r="23" spans="2:10">
      <c r="B23" s="15" t="s">
        <v>18943</v>
      </c>
      <c r="C23" s="15" t="s">
        <v>18975</v>
      </c>
      <c r="D23" s="15" t="s">
        <v>321</v>
      </c>
      <c r="E23" s="15" t="s">
        <v>305</v>
      </c>
      <c r="F23" s="15" t="s">
        <v>18976</v>
      </c>
      <c r="G23" s="15"/>
      <c r="H23" s="15"/>
      <c r="I23" s="15" t="s">
        <v>528</v>
      </c>
      <c r="J23" s="15" t="s">
        <v>15991</v>
      </c>
    </row>
    <row r="24" spans="2:10">
      <c r="B24" s="15" t="s">
        <v>18943</v>
      </c>
      <c r="C24" s="15" t="s">
        <v>18977</v>
      </c>
      <c r="D24" s="15" t="s">
        <v>16056</v>
      </c>
      <c r="E24" s="15" t="s">
        <v>305</v>
      </c>
      <c r="F24" s="15" t="s">
        <v>18978</v>
      </c>
      <c r="G24" s="15"/>
      <c r="H24" s="15"/>
      <c r="I24" s="15" t="s">
        <v>528</v>
      </c>
      <c r="J24" s="15" t="s">
        <v>15991</v>
      </c>
    </row>
    <row r="25" spans="2:10">
      <c r="B25" s="15" t="s">
        <v>18943</v>
      </c>
      <c r="C25" s="15" t="s">
        <v>18979</v>
      </c>
      <c r="D25" s="15" t="s">
        <v>16087</v>
      </c>
      <c r="E25" s="15" t="s">
        <v>305</v>
      </c>
      <c r="F25" s="15" t="s">
        <v>18980</v>
      </c>
      <c r="G25" s="15"/>
      <c r="H25" s="15"/>
      <c r="I25" s="15" t="s">
        <v>528</v>
      </c>
      <c r="J25" s="15" t="s">
        <v>15991</v>
      </c>
    </row>
    <row r="26" spans="2:10">
      <c r="B26" s="15" t="s">
        <v>18943</v>
      </c>
      <c r="C26" s="15" t="s">
        <v>18981</v>
      </c>
      <c r="D26" s="15" t="s">
        <v>16056</v>
      </c>
      <c r="E26" s="15" t="s">
        <v>305</v>
      </c>
      <c r="F26" s="15" t="s">
        <v>18982</v>
      </c>
      <c r="G26" s="15"/>
      <c r="H26" s="15"/>
      <c r="I26" s="15" t="s">
        <v>528</v>
      </c>
      <c r="J26" s="15" t="s">
        <v>15991</v>
      </c>
    </row>
    <row r="27" spans="2:10">
      <c r="B27" s="15" t="s">
        <v>18943</v>
      </c>
      <c r="C27" s="15" t="s">
        <v>18983</v>
      </c>
      <c r="D27" s="15" t="s">
        <v>16072</v>
      </c>
      <c r="E27" s="15" t="s">
        <v>305</v>
      </c>
      <c r="F27" s="15" t="s">
        <v>18984</v>
      </c>
      <c r="G27" s="52" t="str">
        <f>HYPERLINK("#码值映射清单!B5150","YesNo")</f>
        <v>YesNo</v>
      </c>
      <c r="H27" s="15"/>
      <c r="I27" s="15" t="s">
        <v>528</v>
      </c>
      <c r="J27" s="15" t="s">
        <v>15991</v>
      </c>
    </row>
    <row r="28" spans="2:10">
      <c r="B28" s="15" t="s">
        <v>18943</v>
      </c>
      <c r="C28" s="15" t="s">
        <v>18985</v>
      </c>
      <c r="D28" s="15" t="s">
        <v>16072</v>
      </c>
      <c r="E28" s="15" t="s">
        <v>305</v>
      </c>
      <c r="F28" s="15" t="s">
        <v>18986</v>
      </c>
      <c r="G28" s="52" t="str">
        <f>HYPERLINK("#码值映射清单!B5150","YesNo")</f>
        <v>YesNo</v>
      </c>
      <c r="H28" s="15"/>
      <c r="I28" s="15" t="s">
        <v>528</v>
      </c>
      <c r="J28" s="15" t="s">
        <v>15991</v>
      </c>
    </row>
    <row r="29" spans="2:10">
      <c r="B29" s="15" t="s">
        <v>18943</v>
      </c>
      <c r="C29" s="15" t="s">
        <v>18987</v>
      </c>
      <c r="D29" s="15" t="s">
        <v>316</v>
      </c>
      <c r="E29" s="15" t="s">
        <v>305</v>
      </c>
      <c r="F29" s="15" t="s">
        <v>18988</v>
      </c>
      <c r="G29" s="52" t="str">
        <f>HYPERLINK("#码值映射清单!B1484","EvalMethod")</f>
        <v>EvalMethod</v>
      </c>
      <c r="H29" s="15"/>
      <c r="I29" s="15" t="s">
        <v>528</v>
      </c>
      <c r="J29" s="15" t="s">
        <v>15991</v>
      </c>
    </row>
    <row r="30" spans="2:10">
      <c r="B30" s="15" t="s">
        <v>18943</v>
      </c>
      <c r="C30" s="15" t="s">
        <v>18989</v>
      </c>
      <c r="D30" s="15" t="s">
        <v>506</v>
      </c>
      <c r="E30" s="15" t="s">
        <v>305</v>
      </c>
      <c r="F30" s="15" t="s">
        <v>18990</v>
      </c>
      <c r="G30" s="15"/>
      <c r="H30" s="15"/>
      <c r="I30" s="15" t="s">
        <v>528</v>
      </c>
      <c r="J30" s="15" t="s">
        <v>15991</v>
      </c>
    </row>
    <row r="31" spans="2:10">
      <c r="B31" s="15" t="s">
        <v>18943</v>
      </c>
      <c r="C31" s="15" t="s">
        <v>18991</v>
      </c>
      <c r="D31" s="15" t="s">
        <v>506</v>
      </c>
      <c r="E31" s="15" t="s">
        <v>305</v>
      </c>
      <c r="F31" s="15" t="s">
        <v>18992</v>
      </c>
      <c r="G31" s="15"/>
      <c r="H31" s="15"/>
      <c r="I31" s="15" t="s">
        <v>528</v>
      </c>
      <c r="J31" s="15" t="s">
        <v>15991</v>
      </c>
    </row>
    <row r="32" spans="2:10">
      <c r="B32" s="15" t="s">
        <v>18943</v>
      </c>
      <c r="C32" s="15" t="s">
        <v>18993</v>
      </c>
      <c r="D32" s="15" t="s">
        <v>316</v>
      </c>
      <c r="E32" s="15" t="s">
        <v>305</v>
      </c>
      <c r="F32" s="15" t="s">
        <v>18994</v>
      </c>
      <c r="G32" s="15"/>
      <c r="H32" s="15"/>
      <c r="I32" s="15" t="s">
        <v>528</v>
      </c>
      <c r="J32" s="15" t="s">
        <v>15991</v>
      </c>
    </row>
    <row r="33" spans="2:10">
      <c r="B33" s="15" t="s">
        <v>18943</v>
      </c>
      <c r="C33" s="15" t="s">
        <v>18995</v>
      </c>
      <c r="D33" s="15" t="s">
        <v>16087</v>
      </c>
      <c r="E33" s="15" t="s">
        <v>305</v>
      </c>
      <c r="F33" s="15" t="s">
        <v>18996</v>
      </c>
      <c r="G33" s="15"/>
      <c r="H33" s="15"/>
      <c r="I33" s="15" t="s">
        <v>528</v>
      </c>
      <c r="J33" s="15" t="s">
        <v>15991</v>
      </c>
    </row>
    <row r="34" spans="2:10">
      <c r="B34" s="15" t="s">
        <v>18943</v>
      </c>
      <c r="C34" s="15" t="s">
        <v>18997</v>
      </c>
      <c r="D34" s="15" t="s">
        <v>321</v>
      </c>
      <c r="E34" s="15" t="s">
        <v>305</v>
      </c>
      <c r="F34" s="15" t="s">
        <v>18998</v>
      </c>
      <c r="G34" s="52" t="str">
        <f>HYPERLINK("#码值映射清单!B6724","TermUnit")</f>
        <v>TermUnit</v>
      </c>
      <c r="H34" s="15"/>
      <c r="I34" s="15" t="s">
        <v>528</v>
      </c>
      <c r="J34" s="15" t="s">
        <v>15991</v>
      </c>
    </row>
    <row r="35" spans="2:10">
      <c r="B35" s="15" t="s">
        <v>18943</v>
      </c>
      <c r="C35" s="15" t="s">
        <v>18999</v>
      </c>
      <c r="D35" s="15" t="s">
        <v>16056</v>
      </c>
      <c r="E35" s="15" t="s">
        <v>305</v>
      </c>
      <c r="F35" s="15" t="s">
        <v>19000</v>
      </c>
      <c r="G35" s="15"/>
      <c r="H35" s="15"/>
      <c r="I35" s="15" t="s">
        <v>528</v>
      </c>
      <c r="J35" s="15" t="s">
        <v>15991</v>
      </c>
    </row>
    <row r="36" spans="2:10">
      <c r="B36" s="15" t="s">
        <v>18943</v>
      </c>
      <c r="C36" s="15" t="s">
        <v>19001</v>
      </c>
      <c r="D36" s="15" t="s">
        <v>16072</v>
      </c>
      <c r="E36" s="15" t="s">
        <v>305</v>
      </c>
      <c r="F36" s="15" t="s">
        <v>19002</v>
      </c>
      <c r="G36" s="52" t="str">
        <f>HYPERLINK("#码值映射清单!B5150","YesNo")</f>
        <v>YesNo</v>
      </c>
      <c r="H36" s="15"/>
      <c r="I36" s="15" t="s">
        <v>528</v>
      </c>
      <c r="J36" s="15" t="s">
        <v>15991</v>
      </c>
    </row>
    <row r="37" spans="2:10">
      <c r="B37" s="15" t="s">
        <v>18943</v>
      </c>
      <c r="C37" s="15" t="s">
        <v>19003</v>
      </c>
      <c r="D37" s="15" t="s">
        <v>321</v>
      </c>
      <c r="E37" s="15" t="s">
        <v>305</v>
      </c>
      <c r="F37" s="15" t="s">
        <v>19004</v>
      </c>
      <c r="G37" s="15"/>
      <c r="H37" s="15"/>
      <c r="I37" s="15" t="s">
        <v>528</v>
      </c>
      <c r="J37" s="15" t="s">
        <v>15991</v>
      </c>
    </row>
    <row r="38" spans="2:10">
      <c r="B38" s="15" t="s">
        <v>18943</v>
      </c>
      <c r="C38" s="15" t="s">
        <v>19005</v>
      </c>
      <c r="D38" s="15" t="s">
        <v>16087</v>
      </c>
      <c r="E38" s="15" t="s">
        <v>305</v>
      </c>
      <c r="F38" s="15" t="s">
        <v>19006</v>
      </c>
      <c r="G38" s="15"/>
      <c r="H38" s="15"/>
      <c r="I38" s="15" t="s">
        <v>528</v>
      </c>
      <c r="J38" s="15" t="s">
        <v>15991</v>
      </c>
    </row>
    <row r="39" spans="2:10">
      <c r="B39" s="15" t="s">
        <v>18943</v>
      </c>
      <c r="C39" s="15" t="s">
        <v>19007</v>
      </c>
      <c r="D39" s="15" t="s">
        <v>363</v>
      </c>
      <c r="E39" s="15" t="s">
        <v>305</v>
      </c>
      <c r="F39" s="15" t="s">
        <v>19008</v>
      </c>
      <c r="G39" s="15"/>
      <c r="H39" s="15"/>
      <c r="I39" s="15" t="s">
        <v>528</v>
      </c>
      <c r="J39" s="15" t="s">
        <v>15991</v>
      </c>
    </row>
    <row r="40" spans="2:10">
      <c r="B40" s="15" t="s">
        <v>18943</v>
      </c>
      <c r="C40" s="15" t="s">
        <v>19009</v>
      </c>
      <c r="D40" s="15" t="s">
        <v>363</v>
      </c>
      <c r="E40" s="15" t="s">
        <v>305</v>
      </c>
      <c r="F40" s="15" t="s">
        <v>19010</v>
      </c>
      <c r="G40" s="15"/>
      <c r="H40" s="15"/>
      <c r="I40" s="15" t="s">
        <v>528</v>
      </c>
      <c r="J40" s="15" t="s">
        <v>15991</v>
      </c>
    </row>
    <row r="41" spans="2:10">
      <c r="B41" s="15" t="s">
        <v>18943</v>
      </c>
      <c r="C41" s="15" t="s">
        <v>19011</v>
      </c>
      <c r="D41" s="15" t="s">
        <v>16072</v>
      </c>
      <c r="E41" s="15" t="s">
        <v>305</v>
      </c>
      <c r="F41" s="15" t="s">
        <v>19012</v>
      </c>
      <c r="G41" s="15"/>
      <c r="H41" s="15"/>
      <c r="I41" s="15" t="s">
        <v>528</v>
      </c>
      <c r="J41" s="15" t="s">
        <v>15991</v>
      </c>
    </row>
    <row r="42" spans="2:10">
      <c r="B42" s="15" t="s">
        <v>18943</v>
      </c>
      <c r="C42" s="15" t="s">
        <v>19013</v>
      </c>
      <c r="D42" s="15" t="s">
        <v>16072</v>
      </c>
      <c r="E42" s="15" t="s">
        <v>305</v>
      </c>
      <c r="F42" s="15" t="s">
        <v>19014</v>
      </c>
      <c r="G42" s="52" t="str">
        <f>HYPERLINK("#码值映射清单!B5150","YesNo")</f>
        <v>YesNo</v>
      </c>
      <c r="H42" s="15"/>
      <c r="I42" s="15" t="s">
        <v>528</v>
      </c>
      <c r="J42" s="15" t="s">
        <v>15991</v>
      </c>
    </row>
    <row r="43" spans="2:10">
      <c r="B43" s="15" t="s">
        <v>18943</v>
      </c>
      <c r="C43" s="15" t="s">
        <v>19015</v>
      </c>
      <c r="D43" s="15" t="s">
        <v>16072</v>
      </c>
      <c r="E43" s="15" t="s">
        <v>305</v>
      </c>
      <c r="F43" s="15" t="s">
        <v>19016</v>
      </c>
      <c r="G43" s="52" t="str">
        <f>HYPERLINK("#码值映射清单!B5150","YesNo")</f>
        <v>YesNo</v>
      </c>
      <c r="H43" s="15"/>
      <c r="I43" s="15" t="s">
        <v>528</v>
      </c>
      <c r="J43" s="15" t="s">
        <v>15991</v>
      </c>
    </row>
    <row r="44" spans="2:10">
      <c r="B44" s="15" t="s">
        <v>18943</v>
      </c>
      <c r="C44" s="15" t="s">
        <v>19017</v>
      </c>
      <c r="D44" s="15" t="s">
        <v>16072</v>
      </c>
      <c r="E44" s="15" t="s">
        <v>305</v>
      </c>
      <c r="F44" s="15" t="s">
        <v>19018</v>
      </c>
      <c r="G44" s="52" t="str">
        <f>HYPERLINK("#码值映射清单!B5150","YesNo")</f>
        <v>YesNo</v>
      </c>
      <c r="H44" s="15"/>
      <c r="I44" s="15" t="s">
        <v>528</v>
      </c>
      <c r="J44" s="15" t="s">
        <v>15991</v>
      </c>
    </row>
    <row r="45" spans="2:10">
      <c r="B45" s="15" t="s">
        <v>18943</v>
      </c>
      <c r="C45" s="15" t="s">
        <v>19019</v>
      </c>
      <c r="D45" s="15" t="s">
        <v>506</v>
      </c>
      <c r="E45" s="15" t="s">
        <v>305</v>
      </c>
      <c r="F45" s="15" t="s">
        <v>10373</v>
      </c>
      <c r="G45" s="52" t="str">
        <f>HYPERLINK("#码值映射清单!B8117","EvalModelMarket")</f>
        <v>EvalModelMarket</v>
      </c>
      <c r="H45" s="15"/>
      <c r="I45" s="15" t="s">
        <v>528</v>
      </c>
      <c r="J45" s="15" t="s">
        <v>15991</v>
      </c>
    </row>
    <row r="46" spans="2:10">
      <c r="B46" s="15" t="s">
        <v>18943</v>
      </c>
      <c r="C46" s="15" t="s">
        <v>19020</v>
      </c>
      <c r="D46" s="15" t="s">
        <v>506</v>
      </c>
      <c r="E46" s="15" t="s">
        <v>305</v>
      </c>
      <c r="F46" s="15" t="s">
        <v>10232</v>
      </c>
      <c r="G46" s="52" t="str">
        <f>HYPERLINK("#码值映射清单!B7991","EvalModelProfit")</f>
        <v>EvalModelProfit</v>
      </c>
      <c r="H46" s="15"/>
      <c r="I46" s="15" t="s">
        <v>528</v>
      </c>
      <c r="J46" s="15" t="s">
        <v>15991</v>
      </c>
    </row>
    <row r="47" spans="2:10">
      <c r="B47" s="15" t="s">
        <v>18943</v>
      </c>
      <c r="C47" s="15" t="s">
        <v>19021</v>
      </c>
      <c r="D47" s="15" t="s">
        <v>506</v>
      </c>
      <c r="E47" s="15" t="s">
        <v>305</v>
      </c>
      <c r="F47" s="15" t="s">
        <v>11486</v>
      </c>
      <c r="G47" s="52" t="str">
        <f>HYPERLINK("#码值映射清单!B9198","EvalModelCost")</f>
        <v>EvalModelCost</v>
      </c>
      <c r="H47" s="15"/>
      <c r="I47" s="15" t="s">
        <v>528</v>
      </c>
      <c r="J47" s="15" t="s">
        <v>15991</v>
      </c>
    </row>
    <row r="48" spans="2:10">
      <c r="B48" s="15" t="s">
        <v>18943</v>
      </c>
      <c r="C48" s="15" t="s">
        <v>19022</v>
      </c>
      <c r="D48" s="15" t="s">
        <v>506</v>
      </c>
      <c r="E48" s="15" t="s">
        <v>305</v>
      </c>
      <c r="F48" s="15" t="s">
        <v>8833</v>
      </c>
      <c r="G48" s="52" t="str">
        <f>HYPERLINK("#码值映射清单!B6764","EvalModelQuick")</f>
        <v>EvalModelQuick</v>
      </c>
      <c r="H48" s="15"/>
      <c r="I48" s="15" t="s">
        <v>528</v>
      </c>
      <c r="J48" s="15" t="s">
        <v>15991</v>
      </c>
    </row>
    <row r="49" spans="2:10">
      <c r="B49" s="15" t="s">
        <v>18943</v>
      </c>
      <c r="C49" s="15" t="s">
        <v>19023</v>
      </c>
      <c r="D49" s="15" t="s">
        <v>16072</v>
      </c>
      <c r="E49" s="15" t="s">
        <v>305</v>
      </c>
      <c r="F49" s="15" t="s">
        <v>19024</v>
      </c>
      <c r="G49" s="15"/>
      <c r="H49" s="15"/>
      <c r="I49" s="15" t="s">
        <v>528</v>
      </c>
      <c r="J49" s="15" t="s">
        <v>15991</v>
      </c>
    </row>
    <row r="50" spans="2:10">
      <c r="B50" s="15" t="s">
        <v>18943</v>
      </c>
      <c r="C50" s="15" t="s">
        <v>19025</v>
      </c>
      <c r="D50" s="15" t="s">
        <v>16072</v>
      </c>
      <c r="E50" s="15" t="s">
        <v>305</v>
      </c>
      <c r="F50" s="15" t="s">
        <v>18897</v>
      </c>
      <c r="G50" s="15"/>
      <c r="H50" s="15"/>
      <c r="I50" s="15" t="s">
        <v>528</v>
      </c>
      <c r="J50" s="15" t="s">
        <v>15991</v>
      </c>
    </row>
    <row r="51" spans="2:10">
      <c r="B51" s="15" t="s">
        <v>18943</v>
      </c>
      <c r="C51" s="15" t="s">
        <v>17840</v>
      </c>
      <c r="D51" s="15" t="s">
        <v>16072</v>
      </c>
      <c r="E51" s="15" t="s">
        <v>305</v>
      </c>
      <c r="F51" s="15" t="s">
        <v>19026</v>
      </c>
      <c r="G51" s="15"/>
      <c r="H51" s="15"/>
      <c r="I51" s="15" t="s">
        <v>528</v>
      </c>
      <c r="J51" s="15" t="s">
        <v>15991</v>
      </c>
    </row>
    <row r="52" spans="2:10">
      <c r="B52" s="46" t="s">
        <v>18943</v>
      </c>
      <c r="C52" s="46" t="s">
        <v>19027</v>
      </c>
      <c r="D52" s="46" t="s">
        <v>506</v>
      </c>
      <c r="E52" s="46" t="s">
        <v>305</v>
      </c>
      <c r="F52" s="46" t="s">
        <v>19028</v>
      </c>
      <c r="G52" s="68" t="str">
        <f>HYPERLINK("#码值映射清单!B8949","RightCertType")</f>
        <v>RightCertType</v>
      </c>
      <c r="H52" s="49" t="s">
        <v>19029</v>
      </c>
      <c r="I52" s="46" t="s">
        <v>528</v>
      </c>
      <c r="J52" s="67">
        <v>45740</v>
      </c>
    </row>
    <row r="53" spans="2:10">
      <c r="B53" s="15" t="s">
        <v>18943</v>
      </c>
      <c r="C53" s="15" t="s">
        <v>16009</v>
      </c>
      <c r="D53" s="15" t="s">
        <v>316</v>
      </c>
      <c r="E53" s="15" t="s">
        <v>305</v>
      </c>
      <c r="F53" s="15" t="s">
        <v>16010</v>
      </c>
      <c r="G53" s="15"/>
      <c r="H53" s="15"/>
      <c r="I53" s="15" t="s">
        <v>528</v>
      </c>
      <c r="J53" s="15" t="s">
        <v>15991</v>
      </c>
    </row>
    <row r="54" spans="2:10">
      <c r="B54" s="15" t="s">
        <v>18943</v>
      </c>
      <c r="C54" s="15" t="s">
        <v>16011</v>
      </c>
      <c r="D54" s="15" t="s">
        <v>316</v>
      </c>
      <c r="E54" s="15" t="s">
        <v>305</v>
      </c>
      <c r="F54" s="15" t="s">
        <v>16012</v>
      </c>
      <c r="G54" s="15"/>
      <c r="H54" s="15"/>
      <c r="I54" s="15" t="s">
        <v>528</v>
      </c>
      <c r="J54" s="15" t="s">
        <v>15991</v>
      </c>
    </row>
    <row r="55" spans="2:10">
      <c r="B55" s="15" t="s">
        <v>18943</v>
      </c>
      <c r="C55" s="15" t="s">
        <v>16013</v>
      </c>
      <c r="D55" s="15" t="s">
        <v>371</v>
      </c>
      <c r="E55" s="15" t="s">
        <v>305</v>
      </c>
      <c r="F55" s="15" t="s">
        <v>16014</v>
      </c>
      <c r="G55" s="15"/>
      <c r="H55" s="15"/>
      <c r="I55" s="15" t="s">
        <v>528</v>
      </c>
      <c r="J55" s="15" t="s">
        <v>15991</v>
      </c>
    </row>
    <row r="56" spans="2:10">
      <c r="B56" s="15" t="s">
        <v>18943</v>
      </c>
      <c r="C56" s="15" t="s">
        <v>16015</v>
      </c>
      <c r="D56" s="15" t="s">
        <v>316</v>
      </c>
      <c r="E56" s="15" t="s">
        <v>305</v>
      </c>
      <c r="F56" s="15" t="s">
        <v>16016</v>
      </c>
      <c r="G56" s="15"/>
      <c r="H56" s="15"/>
      <c r="I56" s="15" t="s">
        <v>528</v>
      </c>
      <c r="J56" s="15" t="s">
        <v>15991</v>
      </c>
    </row>
    <row r="57" spans="2:10">
      <c r="B57" s="15" t="s">
        <v>18943</v>
      </c>
      <c r="C57" s="15" t="s">
        <v>16017</v>
      </c>
      <c r="D57" s="15" t="s">
        <v>316</v>
      </c>
      <c r="E57" s="15" t="s">
        <v>305</v>
      </c>
      <c r="F57" s="15" t="s">
        <v>16018</v>
      </c>
      <c r="G57" s="15"/>
      <c r="H57" s="15"/>
      <c r="I57" s="15" t="s">
        <v>528</v>
      </c>
      <c r="J57" s="15" t="s">
        <v>15991</v>
      </c>
    </row>
    <row r="58" spans="2:10">
      <c r="B58" s="15" t="s">
        <v>18943</v>
      </c>
      <c r="C58" s="15" t="s">
        <v>16019</v>
      </c>
      <c r="D58" s="15" t="s">
        <v>371</v>
      </c>
      <c r="E58" s="15" t="s">
        <v>305</v>
      </c>
      <c r="F58" s="15" t="s">
        <v>16020</v>
      </c>
      <c r="G58" s="15"/>
      <c r="H58" s="15"/>
      <c r="I58" s="15" t="s">
        <v>528</v>
      </c>
      <c r="J58" s="15" t="s">
        <v>15991</v>
      </c>
    </row>
    <row r="59" spans="2:10">
      <c r="B59" s="15" t="s">
        <v>18943</v>
      </c>
      <c r="C59" s="15" t="s">
        <v>16086</v>
      </c>
      <c r="D59" s="15" t="s">
        <v>327</v>
      </c>
      <c r="E59" s="15" t="s">
        <v>305</v>
      </c>
      <c r="F59" s="15" t="s">
        <v>301</v>
      </c>
      <c r="G59" s="15"/>
      <c r="H59" s="15"/>
      <c r="I59" s="15" t="s">
        <v>528</v>
      </c>
      <c r="J59" s="15" t="s">
        <v>15991</v>
      </c>
    </row>
    <row r="60" spans="2:10">
      <c r="B60" s="15" t="s">
        <v>18943</v>
      </c>
      <c r="C60" s="15" t="s">
        <v>19030</v>
      </c>
      <c r="D60" s="15" t="s">
        <v>16115</v>
      </c>
      <c r="E60" s="15" t="s">
        <v>305</v>
      </c>
      <c r="F60" s="15" t="s">
        <v>19031</v>
      </c>
      <c r="G60" s="15"/>
      <c r="H60" s="15"/>
      <c r="I60" s="15" t="s">
        <v>528</v>
      </c>
      <c r="J60" s="15" t="s">
        <v>15991</v>
      </c>
    </row>
    <row r="61" spans="2:10">
      <c r="B61" s="15" t="s">
        <v>18943</v>
      </c>
      <c r="C61" s="15" t="s">
        <v>19032</v>
      </c>
      <c r="D61" s="15" t="s">
        <v>16115</v>
      </c>
      <c r="E61" s="15" t="s">
        <v>305</v>
      </c>
      <c r="F61" s="15" t="s">
        <v>19033</v>
      </c>
      <c r="G61" s="15"/>
      <c r="H61" s="15"/>
      <c r="I61" s="15" t="s">
        <v>528</v>
      </c>
      <c r="J61" s="15" t="s">
        <v>15991</v>
      </c>
    </row>
    <row r="62" spans="2:10">
      <c r="B62" s="16" t="s">
        <v>18943</v>
      </c>
      <c r="C62" s="16" t="s">
        <v>18466</v>
      </c>
      <c r="D62" s="16" t="s">
        <v>16115</v>
      </c>
      <c r="E62" s="16" t="s">
        <v>305</v>
      </c>
      <c r="F62" s="16" t="s">
        <v>18467</v>
      </c>
      <c r="G62" s="16"/>
      <c r="H62" s="16"/>
      <c r="I62" s="16" t="s">
        <v>528</v>
      </c>
      <c r="J62" s="16" t="s">
        <v>15991</v>
      </c>
    </row>
    <row r="63" spans="2:10">
      <c r="B63" s="73" t="s">
        <v>18943</v>
      </c>
      <c r="C63" s="57" t="s">
        <v>19034</v>
      </c>
      <c r="D63" s="37" t="s">
        <v>321</v>
      </c>
      <c r="E63" s="73" t="s">
        <v>305</v>
      </c>
      <c r="F63" s="59" t="s">
        <v>19035</v>
      </c>
      <c r="G63" s="57"/>
      <c r="H63" s="59" t="s">
        <v>19036</v>
      </c>
      <c r="I63" s="57"/>
      <c r="J63" s="50">
        <v>45740</v>
      </c>
    </row>
    <row r="64" spans="2:10">
      <c r="B64" s="37" t="s">
        <v>18943</v>
      </c>
      <c r="C64" s="37" t="s">
        <v>19037</v>
      </c>
      <c r="D64" s="37" t="s">
        <v>16072</v>
      </c>
      <c r="E64" s="37" t="s">
        <v>305</v>
      </c>
      <c r="F64" s="38" t="s">
        <v>19038</v>
      </c>
      <c r="G64" s="37"/>
      <c r="H64" s="37"/>
      <c r="I64" s="37"/>
      <c r="J64" s="50">
        <v>45740</v>
      </c>
    </row>
  </sheetData>
  <pageMargins left="0.75" right="0.75" top="1" bottom="1" header="0.5" footer="0.5"/>
  <pageSetup paperSize="1" orientation="portrait" horizontalDpi="300" verticalDpi="300"/>
  <headerFooter alignWithMargins="0" scaleWithDoc="0"/>
</worksheet>
</file>

<file path=xl/worksheets/sheet9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0"/>
  <sheetViews>
    <sheetView zoomScaleSheetLayoutView="60" workbookViewId="0">
      <selection activeCell="B1" sqref="B1"/>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52" t="str">
        <f>HYPERLINK("#表结构清单!A1","返回")</f>
        <v>返回</v>
      </c>
      <c r="B1" t="s">
        <v>19039</v>
      </c>
    </row>
    <row r="2" spans="2:10">
      <c r="B2" s="13" t="s">
        <v>15982</v>
      </c>
      <c r="C2" s="13" t="s">
        <v>297</v>
      </c>
      <c r="D2" s="13" t="s">
        <v>11870</v>
      </c>
      <c r="E2" s="13" t="s">
        <v>15983</v>
      </c>
      <c r="F2" s="13" t="s">
        <v>15984</v>
      </c>
      <c r="G2" s="13" t="s">
        <v>300</v>
      </c>
      <c r="H2" s="13" t="s">
        <v>301</v>
      </c>
      <c r="I2" s="13" t="s">
        <v>15985</v>
      </c>
      <c r="J2" s="13" t="s">
        <v>15986</v>
      </c>
    </row>
    <row r="3" spans="2:10">
      <c r="B3" s="15" t="s">
        <v>19040</v>
      </c>
      <c r="C3" s="15" t="s">
        <v>19041</v>
      </c>
      <c r="D3" s="15" t="s">
        <v>316</v>
      </c>
      <c r="E3" s="15" t="s">
        <v>305</v>
      </c>
      <c r="F3" s="15" t="s">
        <v>19042</v>
      </c>
      <c r="G3" s="15"/>
      <c r="H3" s="15"/>
      <c r="I3" s="15" t="s">
        <v>528</v>
      </c>
      <c r="J3" s="15" t="s">
        <v>15991</v>
      </c>
    </row>
    <row r="4" spans="2:10">
      <c r="B4" s="15" t="s">
        <v>19040</v>
      </c>
      <c r="C4" s="15" t="s">
        <v>19043</v>
      </c>
      <c r="D4" s="15" t="s">
        <v>316</v>
      </c>
      <c r="E4" s="15" t="s">
        <v>15989</v>
      </c>
      <c r="F4" s="15" t="s">
        <v>19044</v>
      </c>
      <c r="G4" s="15"/>
      <c r="H4" s="15"/>
      <c r="I4" s="15" t="s">
        <v>528</v>
      </c>
      <c r="J4" s="15" t="s">
        <v>15991</v>
      </c>
    </row>
    <row r="5" spans="2:10">
      <c r="B5" s="15" t="s">
        <v>19040</v>
      </c>
      <c r="C5" s="15" t="s">
        <v>19045</v>
      </c>
      <c r="D5" s="15" t="s">
        <v>350</v>
      </c>
      <c r="E5" s="15" t="s">
        <v>305</v>
      </c>
      <c r="F5" s="15" t="s">
        <v>19046</v>
      </c>
      <c r="G5" s="15"/>
      <c r="H5" s="15"/>
      <c r="I5" s="15" t="s">
        <v>528</v>
      </c>
      <c r="J5" s="15" t="s">
        <v>15991</v>
      </c>
    </row>
    <row r="6" spans="2:10">
      <c r="B6" s="15" t="s">
        <v>19040</v>
      </c>
      <c r="C6" s="15" t="s">
        <v>19047</v>
      </c>
      <c r="D6" s="15" t="s">
        <v>513</v>
      </c>
      <c r="E6" s="15" t="s">
        <v>305</v>
      </c>
      <c r="F6" s="15" t="s">
        <v>19048</v>
      </c>
      <c r="G6" s="15"/>
      <c r="H6" s="15"/>
      <c r="I6" s="15" t="s">
        <v>528</v>
      </c>
      <c r="J6" s="15" t="s">
        <v>15991</v>
      </c>
    </row>
    <row r="7" spans="2:10">
      <c r="B7" s="15" t="s">
        <v>19040</v>
      </c>
      <c r="C7" s="15" t="s">
        <v>19049</v>
      </c>
      <c r="D7" s="15" t="s">
        <v>363</v>
      </c>
      <c r="E7" s="15" t="s">
        <v>305</v>
      </c>
      <c r="F7" s="53" t="s">
        <v>19050</v>
      </c>
      <c r="G7" s="15"/>
      <c r="H7" s="15"/>
      <c r="I7" s="15" t="s">
        <v>528</v>
      </c>
      <c r="J7" s="15" t="s">
        <v>15991</v>
      </c>
    </row>
    <row r="8" spans="2:10">
      <c r="B8" s="15" t="s">
        <v>19040</v>
      </c>
      <c r="C8" s="15" t="s">
        <v>18739</v>
      </c>
      <c r="D8" s="15" t="s">
        <v>316</v>
      </c>
      <c r="E8" s="15" t="s">
        <v>305</v>
      </c>
      <c r="F8" s="15" t="s">
        <v>19051</v>
      </c>
      <c r="G8" s="15"/>
      <c r="H8" s="15"/>
      <c r="I8" s="15" t="s">
        <v>528</v>
      </c>
      <c r="J8" s="15" t="s">
        <v>15991</v>
      </c>
    </row>
    <row r="9" spans="2:10">
      <c r="B9" s="15" t="s">
        <v>19040</v>
      </c>
      <c r="C9" s="15" t="s">
        <v>18741</v>
      </c>
      <c r="D9" s="15" t="s">
        <v>316</v>
      </c>
      <c r="E9" s="15" t="s">
        <v>305</v>
      </c>
      <c r="F9" s="15" t="s">
        <v>19052</v>
      </c>
      <c r="G9" s="15"/>
      <c r="H9" s="15"/>
      <c r="I9" s="15" t="s">
        <v>528</v>
      </c>
      <c r="J9" s="15" t="s">
        <v>15991</v>
      </c>
    </row>
    <row r="10" spans="2:10">
      <c r="B10" s="15" t="s">
        <v>19040</v>
      </c>
      <c r="C10" s="15" t="s">
        <v>18743</v>
      </c>
      <c r="D10" s="15" t="s">
        <v>316</v>
      </c>
      <c r="E10" s="15" t="s">
        <v>305</v>
      </c>
      <c r="F10" s="15" t="s">
        <v>19053</v>
      </c>
      <c r="G10" s="15"/>
      <c r="H10" s="15"/>
      <c r="I10" s="15" t="s">
        <v>528</v>
      </c>
      <c r="J10" s="15" t="s">
        <v>15991</v>
      </c>
    </row>
    <row r="11" spans="2:10">
      <c r="B11" s="15" t="s">
        <v>19040</v>
      </c>
      <c r="C11" s="15" t="s">
        <v>19054</v>
      </c>
      <c r="D11" s="15" t="s">
        <v>16557</v>
      </c>
      <c r="E11" s="15" t="s">
        <v>305</v>
      </c>
      <c r="F11" s="15" t="s">
        <v>19055</v>
      </c>
      <c r="G11" s="15"/>
      <c r="H11" s="15"/>
      <c r="I11" s="15" t="s">
        <v>528</v>
      </c>
      <c r="J11" s="15" t="s">
        <v>15991</v>
      </c>
    </row>
    <row r="12" spans="2:10">
      <c r="B12" s="15" t="s">
        <v>19040</v>
      </c>
      <c r="C12" s="15" t="s">
        <v>16126</v>
      </c>
      <c r="D12" s="15" t="s">
        <v>321</v>
      </c>
      <c r="E12" s="15" t="s">
        <v>305</v>
      </c>
      <c r="F12" s="15" t="s">
        <v>905</v>
      </c>
      <c r="G12" s="15"/>
      <c r="H12" s="15"/>
      <c r="I12" s="15" t="s">
        <v>528</v>
      </c>
      <c r="J12" s="15" t="s">
        <v>15991</v>
      </c>
    </row>
    <row r="13" spans="2:10">
      <c r="B13" s="15" t="s">
        <v>19040</v>
      </c>
      <c r="C13" s="15" t="s">
        <v>19056</v>
      </c>
      <c r="D13" s="15" t="s">
        <v>506</v>
      </c>
      <c r="E13" s="15" t="s">
        <v>305</v>
      </c>
      <c r="F13" s="15" t="s">
        <v>19057</v>
      </c>
      <c r="G13" s="15"/>
      <c r="H13" s="15"/>
      <c r="I13" s="15" t="s">
        <v>528</v>
      </c>
      <c r="J13" s="15" t="s">
        <v>15991</v>
      </c>
    </row>
    <row r="14" spans="2:10">
      <c r="B14" s="15" t="s">
        <v>19040</v>
      </c>
      <c r="C14" s="15" t="s">
        <v>16622</v>
      </c>
      <c r="D14" s="15" t="s">
        <v>316</v>
      </c>
      <c r="E14" s="15" t="s">
        <v>305</v>
      </c>
      <c r="F14" s="15" t="s">
        <v>19058</v>
      </c>
      <c r="G14" s="15"/>
      <c r="H14" s="15"/>
      <c r="I14" s="15" t="s">
        <v>528</v>
      </c>
      <c r="J14" s="15" t="s">
        <v>15991</v>
      </c>
    </row>
    <row r="15" spans="2:10">
      <c r="B15" s="15" t="s">
        <v>19040</v>
      </c>
      <c r="C15" s="15" t="s">
        <v>19059</v>
      </c>
      <c r="D15" s="15" t="s">
        <v>513</v>
      </c>
      <c r="E15" s="15" t="s">
        <v>305</v>
      </c>
      <c r="F15" s="15" t="s">
        <v>19060</v>
      </c>
      <c r="G15" s="15"/>
      <c r="H15" s="15"/>
      <c r="I15" s="15" t="s">
        <v>528</v>
      </c>
      <c r="J15" s="15" t="s">
        <v>15991</v>
      </c>
    </row>
    <row r="16" spans="2:10">
      <c r="B16" s="15" t="s">
        <v>19040</v>
      </c>
      <c r="C16" s="15" t="s">
        <v>19061</v>
      </c>
      <c r="D16" s="15" t="s">
        <v>513</v>
      </c>
      <c r="E16" s="15" t="s">
        <v>305</v>
      </c>
      <c r="F16" s="15" t="s">
        <v>19062</v>
      </c>
      <c r="G16" s="15"/>
      <c r="H16" s="15"/>
      <c r="I16" s="15" t="s">
        <v>528</v>
      </c>
      <c r="J16" s="15" t="s">
        <v>15991</v>
      </c>
    </row>
    <row r="17" spans="2:10">
      <c r="B17" s="15" t="s">
        <v>19040</v>
      </c>
      <c r="C17" s="15" t="s">
        <v>16011</v>
      </c>
      <c r="D17" s="15" t="s">
        <v>316</v>
      </c>
      <c r="E17" s="15" t="s">
        <v>305</v>
      </c>
      <c r="F17" s="15" t="s">
        <v>16240</v>
      </c>
      <c r="G17" s="15"/>
      <c r="H17" s="15"/>
      <c r="I17" s="15" t="s">
        <v>528</v>
      </c>
      <c r="J17" s="15" t="s">
        <v>15991</v>
      </c>
    </row>
    <row r="18" spans="2:10">
      <c r="B18" s="15" t="s">
        <v>19040</v>
      </c>
      <c r="C18" s="15" t="s">
        <v>16009</v>
      </c>
      <c r="D18" s="15" t="s">
        <v>316</v>
      </c>
      <c r="E18" s="15" t="s">
        <v>305</v>
      </c>
      <c r="F18" s="15" t="s">
        <v>16242</v>
      </c>
      <c r="G18" s="15"/>
      <c r="H18" s="15"/>
      <c r="I18" s="15" t="s">
        <v>528</v>
      </c>
      <c r="J18" s="15" t="s">
        <v>15991</v>
      </c>
    </row>
    <row r="19" spans="2:10">
      <c r="B19" s="15" t="s">
        <v>19040</v>
      </c>
      <c r="C19" s="15" t="s">
        <v>16013</v>
      </c>
      <c r="D19" s="15" t="s">
        <v>371</v>
      </c>
      <c r="E19" s="15" t="s">
        <v>305</v>
      </c>
      <c r="F19" s="15" t="s">
        <v>16583</v>
      </c>
      <c r="G19" s="15"/>
      <c r="H19" s="15"/>
      <c r="I19" s="15" t="s">
        <v>528</v>
      </c>
      <c r="J19" s="15" t="s">
        <v>15991</v>
      </c>
    </row>
    <row r="20" spans="2:10">
      <c r="B20" s="15" t="s">
        <v>19040</v>
      </c>
      <c r="C20" s="15" t="s">
        <v>16086</v>
      </c>
      <c r="D20" s="15" t="s">
        <v>327</v>
      </c>
      <c r="E20" s="15" t="s">
        <v>305</v>
      </c>
      <c r="F20" s="15" t="s">
        <v>301</v>
      </c>
      <c r="G20" s="15"/>
      <c r="H20" s="15"/>
      <c r="I20" s="15" t="s">
        <v>528</v>
      </c>
      <c r="J20" s="15" t="s">
        <v>15991</v>
      </c>
    </row>
  </sheetData>
  <pageMargins left="0.75" right="0.75" top="1" bottom="1" header="0.5" footer="0.5"/>
  <pageSetup paperSize="1" orientation="portrait" horizontalDpi="300" verticalDpi="300"/>
  <headerFooter alignWithMargins="0" scaleWithDoc="0"/>
</worksheet>
</file>

<file path=xl/worksheets/sheet9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7"/>
  <sheetViews>
    <sheetView zoomScaleSheetLayoutView="60" workbookViewId="0">
      <selection activeCell="J27" sqref="J27"/>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1" t="str">
        <f>HYPERLINK("#表结构清单!A1","返回")</f>
        <v>返回</v>
      </c>
      <c r="B1" t="s">
        <v>199</v>
      </c>
    </row>
    <row r="2" spans="2:10">
      <c r="B2" s="13" t="s">
        <v>15982</v>
      </c>
      <c r="C2" s="13" t="s">
        <v>297</v>
      </c>
      <c r="D2" s="13" t="s">
        <v>11870</v>
      </c>
      <c r="E2" s="13" t="s">
        <v>15983</v>
      </c>
      <c r="F2" s="13" t="s">
        <v>15984</v>
      </c>
      <c r="G2" s="13" t="s">
        <v>300</v>
      </c>
      <c r="H2" s="13" t="s">
        <v>301</v>
      </c>
      <c r="I2" s="13" t="s">
        <v>15985</v>
      </c>
      <c r="J2" s="13" t="s">
        <v>15986</v>
      </c>
    </row>
    <row r="3" spans="2:10">
      <c r="B3" s="15" t="s">
        <v>19063</v>
      </c>
      <c r="C3" s="15" t="s">
        <v>19064</v>
      </c>
      <c r="D3" s="15" t="s">
        <v>316</v>
      </c>
      <c r="E3" s="15" t="s">
        <v>15989</v>
      </c>
      <c r="F3" s="15" t="s">
        <v>19065</v>
      </c>
      <c r="G3" s="15"/>
      <c r="H3" s="15"/>
      <c r="I3" s="15" t="s">
        <v>528</v>
      </c>
      <c r="J3" s="15" t="s">
        <v>15991</v>
      </c>
    </row>
    <row r="4" spans="2:10">
      <c r="B4" s="15" t="s">
        <v>19063</v>
      </c>
      <c r="C4" s="15" t="s">
        <v>16103</v>
      </c>
      <c r="D4" s="15" t="s">
        <v>316</v>
      </c>
      <c r="E4" s="15" t="s">
        <v>305</v>
      </c>
      <c r="F4" s="15" t="s">
        <v>16986</v>
      </c>
      <c r="G4" s="15"/>
      <c r="H4" s="15"/>
      <c r="I4" s="15" t="s">
        <v>528</v>
      </c>
      <c r="J4" s="15" t="s">
        <v>15991</v>
      </c>
    </row>
    <row r="5" spans="2:10">
      <c r="B5" s="15" t="s">
        <v>19063</v>
      </c>
      <c r="C5" s="15" t="s">
        <v>19066</v>
      </c>
      <c r="D5" s="15" t="s">
        <v>16072</v>
      </c>
      <c r="E5" s="15" t="s">
        <v>305</v>
      </c>
      <c r="F5" s="15" t="s">
        <v>19067</v>
      </c>
      <c r="G5" s="52" t="str">
        <f>HYPERLINK("#码值映射清单!B7271","LegalFlag")</f>
        <v>LegalFlag</v>
      </c>
      <c r="H5" s="15"/>
      <c r="I5" s="15" t="s">
        <v>528</v>
      </c>
      <c r="J5" s="15" t="s">
        <v>15991</v>
      </c>
    </row>
    <row r="6" spans="2:10">
      <c r="B6" s="15" t="s">
        <v>19063</v>
      </c>
      <c r="C6" s="15" t="s">
        <v>19068</v>
      </c>
      <c r="D6" s="15" t="s">
        <v>16072</v>
      </c>
      <c r="E6" s="15" t="s">
        <v>305</v>
      </c>
      <c r="F6" s="15" t="s">
        <v>19069</v>
      </c>
      <c r="G6" s="52" t="str">
        <f>HYPERLINK("#码值映射清单!B5150","YesNo")</f>
        <v>YesNo</v>
      </c>
      <c r="H6" s="15"/>
      <c r="I6" s="15" t="s">
        <v>528</v>
      </c>
      <c r="J6" s="15" t="s">
        <v>15991</v>
      </c>
    </row>
    <row r="7" spans="2:10">
      <c r="B7" s="15" t="s">
        <v>19063</v>
      </c>
      <c r="C7" s="15" t="s">
        <v>19070</v>
      </c>
      <c r="D7" s="15" t="s">
        <v>16072</v>
      </c>
      <c r="E7" s="15" t="s">
        <v>305</v>
      </c>
      <c r="F7" s="15" t="s">
        <v>19071</v>
      </c>
      <c r="G7" s="52" t="str">
        <f>HYPERLINK("#码值映射清单!B7271","LegalFlag")</f>
        <v>LegalFlag</v>
      </c>
      <c r="H7" s="15"/>
      <c r="I7" s="15" t="s">
        <v>528</v>
      </c>
      <c r="J7" s="15" t="s">
        <v>15991</v>
      </c>
    </row>
    <row r="8" spans="2:10">
      <c r="B8" s="15" t="s">
        <v>19063</v>
      </c>
      <c r="C8" s="15" t="s">
        <v>19072</v>
      </c>
      <c r="D8" s="15" t="s">
        <v>16072</v>
      </c>
      <c r="E8" s="15" t="s">
        <v>305</v>
      </c>
      <c r="F8" s="15" t="s">
        <v>19073</v>
      </c>
      <c r="G8" s="52" t="str">
        <f>HYPERLINK("#码值映射清单!B5150","YesNo")</f>
        <v>YesNo</v>
      </c>
      <c r="H8" s="15"/>
      <c r="I8" s="15" t="s">
        <v>528</v>
      </c>
      <c r="J8" s="15" t="s">
        <v>15991</v>
      </c>
    </row>
    <row r="9" spans="2:10">
      <c r="B9" s="15" t="s">
        <v>19063</v>
      </c>
      <c r="C9" s="15" t="s">
        <v>19074</v>
      </c>
      <c r="D9" s="15" t="s">
        <v>371</v>
      </c>
      <c r="E9" s="15" t="s">
        <v>305</v>
      </c>
      <c r="F9" s="15" t="s">
        <v>19075</v>
      </c>
      <c r="G9" s="15"/>
      <c r="H9" s="15"/>
      <c r="I9" s="15" t="s">
        <v>528</v>
      </c>
      <c r="J9" s="15" t="s">
        <v>15991</v>
      </c>
    </row>
    <row r="10" spans="2:10">
      <c r="B10" s="15" t="s">
        <v>19063</v>
      </c>
      <c r="C10" s="15" t="s">
        <v>19076</v>
      </c>
      <c r="D10" s="15" t="s">
        <v>16072</v>
      </c>
      <c r="E10" s="15" t="s">
        <v>305</v>
      </c>
      <c r="F10" s="15" t="s">
        <v>19077</v>
      </c>
      <c r="G10" s="52" t="str">
        <f>HYPERLINK("#码值映射清单!B7184","Facticity")</f>
        <v>Facticity</v>
      </c>
      <c r="H10" s="15"/>
      <c r="I10" s="15" t="s">
        <v>528</v>
      </c>
      <c r="J10" s="15" t="s">
        <v>15991</v>
      </c>
    </row>
    <row r="11" spans="2:10">
      <c r="B11" s="15" t="s">
        <v>19063</v>
      </c>
      <c r="C11" s="15" t="s">
        <v>19078</v>
      </c>
      <c r="D11" s="15" t="s">
        <v>16072</v>
      </c>
      <c r="E11" s="15" t="s">
        <v>305</v>
      </c>
      <c r="F11" s="15" t="s">
        <v>19079</v>
      </c>
      <c r="G11" s="52" t="str">
        <f>HYPERLINK("#码值映射清单!B5150","YesNo")</f>
        <v>YesNo</v>
      </c>
      <c r="H11" s="15"/>
      <c r="I11" s="15" t="s">
        <v>528</v>
      </c>
      <c r="J11" s="15" t="s">
        <v>15991</v>
      </c>
    </row>
    <row r="12" spans="2:10">
      <c r="B12" s="15" t="s">
        <v>19063</v>
      </c>
      <c r="C12" s="15" t="s">
        <v>19080</v>
      </c>
      <c r="D12" s="15" t="s">
        <v>16072</v>
      </c>
      <c r="E12" s="15" t="s">
        <v>305</v>
      </c>
      <c r="F12" s="15" t="s">
        <v>19081</v>
      </c>
      <c r="G12" s="52" t="str">
        <f>HYPERLINK("#码值映射清单!B9667","VirtualCorrela")</f>
        <v>VirtualCorrela</v>
      </c>
      <c r="H12" s="15"/>
      <c r="I12" s="15" t="s">
        <v>528</v>
      </c>
      <c r="J12" s="15" t="s">
        <v>15991</v>
      </c>
    </row>
    <row r="13" spans="2:10">
      <c r="B13" s="15" t="s">
        <v>19063</v>
      </c>
      <c r="C13" s="15" t="s">
        <v>19082</v>
      </c>
      <c r="D13" s="15" t="s">
        <v>16072</v>
      </c>
      <c r="E13" s="15" t="s">
        <v>305</v>
      </c>
      <c r="F13" s="15" t="s">
        <v>19083</v>
      </c>
      <c r="G13" s="52" t="str">
        <f>HYPERLINK("#码值映射清单!B5150","YesNo")</f>
        <v>YesNo</v>
      </c>
      <c r="H13" s="15"/>
      <c r="I13" s="15" t="s">
        <v>528</v>
      </c>
      <c r="J13" s="15" t="s">
        <v>15991</v>
      </c>
    </row>
    <row r="14" spans="2:10">
      <c r="B14" s="15" t="s">
        <v>19063</v>
      </c>
      <c r="C14" s="15" t="s">
        <v>19084</v>
      </c>
      <c r="D14" s="15" t="s">
        <v>16072</v>
      </c>
      <c r="E14" s="15" t="s">
        <v>305</v>
      </c>
      <c r="F14" s="15" t="s">
        <v>2151</v>
      </c>
      <c r="G14" s="52" t="str">
        <f>HYPERLINK("#码值映射清单!B3972","Liquidity")</f>
        <v>Liquidity</v>
      </c>
      <c r="H14" s="15"/>
      <c r="I14" s="15" t="s">
        <v>528</v>
      </c>
      <c r="J14" s="15" t="s">
        <v>15991</v>
      </c>
    </row>
    <row r="15" spans="2:10">
      <c r="B15" s="15" t="s">
        <v>19063</v>
      </c>
      <c r="C15" s="15" t="s">
        <v>18567</v>
      </c>
      <c r="D15" s="15" t="s">
        <v>16072</v>
      </c>
      <c r="E15" s="15" t="s">
        <v>305</v>
      </c>
      <c r="F15" s="15" t="s">
        <v>8087</v>
      </c>
      <c r="G15" s="52" t="str">
        <f>HYPERLINK("#码值映射清单!B6176","PriorityClaim")</f>
        <v>PriorityClaim</v>
      </c>
      <c r="H15" s="15"/>
      <c r="I15" s="15" t="s">
        <v>528</v>
      </c>
      <c r="J15" s="15" t="s">
        <v>15991</v>
      </c>
    </row>
    <row r="16" spans="2:10">
      <c r="B16" s="15" t="s">
        <v>19063</v>
      </c>
      <c r="C16" s="15" t="s">
        <v>19085</v>
      </c>
      <c r="D16" s="15" t="s">
        <v>16072</v>
      </c>
      <c r="E16" s="15" t="s">
        <v>305</v>
      </c>
      <c r="F16" s="15" t="s">
        <v>4556</v>
      </c>
      <c r="G16" s="52" t="str">
        <f>HYPERLINK("#码值映射清单!B2960","AssessFrequency")</f>
        <v>AssessFrequency</v>
      </c>
      <c r="H16" s="15"/>
      <c r="I16" s="15" t="s">
        <v>528</v>
      </c>
      <c r="J16" s="15" t="s">
        <v>15991</v>
      </c>
    </row>
    <row r="17" spans="2:10">
      <c r="B17" s="15" t="s">
        <v>19063</v>
      </c>
      <c r="C17" s="15" t="s">
        <v>19086</v>
      </c>
      <c r="D17" s="15" t="s">
        <v>16072</v>
      </c>
      <c r="E17" s="15" t="s">
        <v>305</v>
      </c>
      <c r="F17" s="15" t="s">
        <v>19087</v>
      </c>
      <c r="G17" s="52" t="str">
        <f>HYPERLINK("#码值映射清单!B5150","YesNo")</f>
        <v>YesNo</v>
      </c>
      <c r="H17" s="15"/>
      <c r="I17" s="15" t="s">
        <v>528</v>
      </c>
      <c r="J17" s="15" t="s">
        <v>15991</v>
      </c>
    </row>
    <row r="18" spans="2:10">
      <c r="B18" s="15" t="s">
        <v>19063</v>
      </c>
      <c r="C18" s="15" t="s">
        <v>19088</v>
      </c>
      <c r="D18" s="15" t="s">
        <v>16072</v>
      </c>
      <c r="E18" s="15" t="s">
        <v>305</v>
      </c>
      <c r="F18" s="15" t="s">
        <v>19089</v>
      </c>
      <c r="G18" s="15"/>
      <c r="H18" s="15"/>
      <c r="I18" s="15" t="s">
        <v>528</v>
      </c>
      <c r="J18" s="15" t="s">
        <v>15991</v>
      </c>
    </row>
    <row r="19" spans="2:10">
      <c r="B19" s="15" t="s">
        <v>19063</v>
      </c>
      <c r="C19" s="15" t="s">
        <v>19090</v>
      </c>
      <c r="D19" s="15" t="s">
        <v>16072</v>
      </c>
      <c r="E19" s="15" t="s">
        <v>305</v>
      </c>
      <c r="F19" s="15" t="s">
        <v>19091</v>
      </c>
      <c r="G19" s="15"/>
      <c r="H19" s="15"/>
      <c r="I19" s="15" t="s">
        <v>528</v>
      </c>
      <c r="J19" s="15" t="s">
        <v>15991</v>
      </c>
    </row>
    <row r="20" spans="2:10">
      <c r="B20" s="15" t="s">
        <v>19063</v>
      </c>
      <c r="C20" s="15" t="s">
        <v>16011</v>
      </c>
      <c r="D20" s="15" t="s">
        <v>316</v>
      </c>
      <c r="E20" s="15" t="s">
        <v>305</v>
      </c>
      <c r="F20" s="15" t="s">
        <v>16012</v>
      </c>
      <c r="G20" s="15"/>
      <c r="H20" s="15"/>
      <c r="I20" s="15" t="s">
        <v>528</v>
      </c>
      <c r="J20" s="15" t="s">
        <v>15991</v>
      </c>
    </row>
    <row r="21" spans="2:10">
      <c r="B21" s="15" t="s">
        <v>19063</v>
      </c>
      <c r="C21" s="15" t="s">
        <v>16009</v>
      </c>
      <c r="D21" s="15" t="s">
        <v>316</v>
      </c>
      <c r="E21" s="15" t="s">
        <v>305</v>
      </c>
      <c r="F21" s="15" t="s">
        <v>16010</v>
      </c>
      <c r="G21" s="15"/>
      <c r="H21" s="15"/>
      <c r="I21" s="15" t="s">
        <v>528</v>
      </c>
      <c r="J21" s="15" t="s">
        <v>15991</v>
      </c>
    </row>
    <row r="22" spans="2:10">
      <c r="B22" s="15" t="s">
        <v>19063</v>
      </c>
      <c r="C22" s="15" t="s">
        <v>16013</v>
      </c>
      <c r="D22" s="15" t="s">
        <v>371</v>
      </c>
      <c r="E22" s="15" t="s">
        <v>305</v>
      </c>
      <c r="F22" s="15" t="s">
        <v>16014</v>
      </c>
      <c r="G22" s="15"/>
      <c r="H22" s="15"/>
      <c r="I22" s="15" t="s">
        <v>528</v>
      </c>
      <c r="J22" s="15" t="s">
        <v>15991</v>
      </c>
    </row>
    <row r="23" spans="2:10">
      <c r="B23" s="15" t="s">
        <v>19063</v>
      </c>
      <c r="C23" s="15" t="s">
        <v>16017</v>
      </c>
      <c r="D23" s="15" t="s">
        <v>316</v>
      </c>
      <c r="E23" s="15" t="s">
        <v>305</v>
      </c>
      <c r="F23" s="15" t="s">
        <v>16018</v>
      </c>
      <c r="G23" s="15"/>
      <c r="H23" s="15"/>
      <c r="I23" s="15" t="s">
        <v>528</v>
      </c>
      <c r="J23" s="15" t="s">
        <v>15991</v>
      </c>
    </row>
    <row r="24" spans="2:10">
      <c r="B24" s="15" t="s">
        <v>19063</v>
      </c>
      <c r="C24" s="15" t="s">
        <v>16015</v>
      </c>
      <c r="D24" s="15" t="s">
        <v>316</v>
      </c>
      <c r="E24" s="15" t="s">
        <v>305</v>
      </c>
      <c r="F24" s="15" t="s">
        <v>16016</v>
      </c>
      <c r="G24" s="15"/>
      <c r="H24" s="15"/>
      <c r="I24" s="15" t="s">
        <v>528</v>
      </c>
      <c r="J24" s="15" t="s">
        <v>15991</v>
      </c>
    </row>
    <row r="25" spans="2:10">
      <c r="B25" s="15" t="s">
        <v>19063</v>
      </c>
      <c r="C25" s="15" t="s">
        <v>16019</v>
      </c>
      <c r="D25" s="15" t="s">
        <v>371</v>
      </c>
      <c r="E25" s="15" t="s">
        <v>305</v>
      </c>
      <c r="F25" s="15" t="s">
        <v>16020</v>
      </c>
      <c r="G25" s="15"/>
      <c r="H25" s="15"/>
      <c r="I25" s="15" t="s">
        <v>528</v>
      </c>
      <c r="J25" s="15" t="s">
        <v>15991</v>
      </c>
    </row>
    <row r="26" spans="2:10">
      <c r="B26" s="15" t="s">
        <v>19063</v>
      </c>
      <c r="C26" s="15" t="s">
        <v>16088</v>
      </c>
      <c r="D26" s="15" t="s">
        <v>316</v>
      </c>
      <c r="E26" s="15" t="s">
        <v>305</v>
      </c>
      <c r="F26" s="15" t="s">
        <v>16089</v>
      </c>
      <c r="G26" s="15"/>
      <c r="H26" s="15"/>
      <c r="I26" s="15" t="s">
        <v>528</v>
      </c>
      <c r="J26" s="15" t="s">
        <v>15991</v>
      </c>
    </row>
    <row r="27" spans="2:10">
      <c r="B27" s="37" t="s">
        <v>19063</v>
      </c>
      <c r="C27" s="69" t="s">
        <v>18898</v>
      </c>
      <c r="D27" s="56" t="s">
        <v>316</v>
      </c>
      <c r="E27" s="65" t="s">
        <v>305</v>
      </c>
      <c r="F27" s="59" t="s">
        <v>18899</v>
      </c>
      <c r="G27" s="57"/>
      <c r="H27" s="57"/>
      <c r="I27" s="57"/>
      <c r="J27" s="50">
        <v>45740</v>
      </c>
    </row>
  </sheetData>
  <pageMargins left="0.75" right="0.75" top="1" bottom="1" header="0.5" footer="0.5"/>
  <pageSetup paperSize="1" orientation="portrait" horizontalDpi="300" verticalDpi="300"/>
  <headerFooter alignWithMargins="0" scaleWithDoc="0"/>
</worksheet>
</file>

<file path=xl/worksheets/sheet9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2"/>
  <sheetViews>
    <sheetView zoomScaleSheetLayoutView="60" workbookViewId="0">
      <selection activeCell="A1" sqref="A1"/>
    </sheetView>
  </sheetViews>
  <sheetFormatPr defaultColWidth="9.14285714285714" defaultRowHeight="15.2"/>
  <cols>
    <col min="2" max="2" width="19.5357142857143" customWidth="1"/>
    <col min="3" max="3" width="23.4285714285714" customWidth="1"/>
    <col min="4" max="4" width="15.625" customWidth="1"/>
    <col min="5" max="5" width="7.80357142857143" customWidth="1"/>
    <col min="6" max="6" width="39.0625" customWidth="1"/>
    <col min="7" max="7" width="15.625" customWidth="1"/>
    <col min="10" max="10" width="11.7053571428571" customWidth="1"/>
  </cols>
  <sheetData>
    <row r="1" spans="1:2">
      <c r="A1" s="1" t="str">
        <f>HYPERLINK("#表结构清单!A1","返回")</f>
        <v>返回</v>
      </c>
      <c r="B1" t="s">
        <v>72</v>
      </c>
    </row>
    <row r="2" spans="2:10">
      <c r="B2" s="13" t="s">
        <v>15982</v>
      </c>
      <c r="C2" s="13" t="s">
        <v>297</v>
      </c>
      <c r="D2" s="13" t="s">
        <v>11870</v>
      </c>
      <c r="E2" s="13" t="s">
        <v>15983</v>
      </c>
      <c r="F2" s="13" t="s">
        <v>15984</v>
      </c>
      <c r="G2" s="13" t="s">
        <v>300</v>
      </c>
      <c r="H2" s="13" t="s">
        <v>301</v>
      </c>
      <c r="I2" s="13" t="s">
        <v>15985</v>
      </c>
      <c r="J2" s="13" t="s">
        <v>15986</v>
      </c>
    </row>
    <row r="3" spans="2:10">
      <c r="B3" s="15" t="s">
        <v>19092</v>
      </c>
      <c r="C3" s="15" t="s">
        <v>18898</v>
      </c>
      <c r="D3" s="15" t="s">
        <v>316</v>
      </c>
      <c r="E3" s="15" t="s">
        <v>15989</v>
      </c>
      <c r="F3" s="15" t="s">
        <v>19093</v>
      </c>
      <c r="G3" s="15"/>
      <c r="H3" s="15"/>
      <c r="I3" s="15" t="s">
        <v>528</v>
      </c>
      <c r="J3" s="15" t="s">
        <v>15991</v>
      </c>
    </row>
    <row r="4" spans="2:10">
      <c r="B4" s="15" t="s">
        <v>19092</v>
      </c>
      <c r="C4" s="15" t="s">
        <v>18699</v>
      </c>
      <c r="D4" s="15" t="s">
        <v>321</v>
      </c>
      <c r="E4" s="15" t="s">
        <v>305</v>
      </c>
      <c r="F4" s="15" t="s">
        <v>5604</v>
      </c>
      <c r="G4" s="62" t="str">
        <f>HYPERLINK("#码值映射清单!B4026","RegisterProcess")</f>
        <v>RegisterProcess</v>
      </c>
      <c r="H4" s="15"/>
      <c r="I4" s="15" t="s">
        <v>528</v>
      </c>
      <c r="J4" s="15" t="s">
        <v>15991</v>
      </c>
    </row>
    <row r="5" spans="2:10">
      <c r="B5" s="15" t="s">
        <v>19092</v>
      </c>
      <c r="C5" s="15" t="s">
        <v>19094</v>
      </c>
      <c r="D5" s="15" t="s">
        <v>321</v>
      </c>
      <c r="E5" s="15" t="s">
        <v>305</v>
      </c>
      <c r="F5" s="15" t="s">
        <v>19095</v>
      </c>
      <c r="G5" s="15"/>
      <c r="H5" s="15"/>
      <c r="I5" s="15" t="s">
        <v>528</v>
      </c>
      <c r="J5" s="15" t="s">
        <v>15991</v>
      </c>
    </row>
    <row r="6" spans="2:10">
      <c r="B6" s="15" t="s">
        <v>19092</v>
      </c>
      <c r="C6" s="15" t="s">
        <v>16103</v>
      </c>
      <c r="D6" s="15" t="s">
        <v>316</v>
      </c>
      <c r="E6" s="15" t="s">
        <v>305</v>
      </c>
      <c r="F6" s="15" t="s">
        <v>16986</v>
      </c>
      <c r="G6" s="15"/>
      <c r="H6" s="15"/>
      <c r="I6" s="15" t="s">
        <v>528</v>
      </c>
      <c r="J6" s="15" t="s">
        <v>15991</v>
      </c>
    </row>
    <row r="7" spans="2:10">
      <c r="B7" s="15" t="s">
        <v>19092</v>
      </c>
      <c r="C7" s="15" t="s">
        <v>18670</v>
      </c>
      <c r="D7" s="15" t="s">
        <v>316</v>
      </c>
      <c r="E7" s="15" t="s">
        <v>305</v>
      </c>
      <c r="F7" s="15" t="s">
        <v>18671</v>
      </c>
      <c r="G7" s="15"/>
      <c r="H7" s="15"/>
      <c r="I7" s="15" t="s">
        <v>528</v>
      </c>
      <c r="J7" s="15" t="s">
        <v>15991</v>
      </c>
    </row>
    <row r="8" spans="2:10">
      <c r="B8" s="15" t="s">
        <v>19092</v>
      </c>
      <c r="C8" s="15" t="s">
        <v>19096</v>
      </c>
      <c r="D8" s="15" t="s">
        <v>321</v>
      </c>
      <c r="E8" s="15" t="s">
        <v>305</v>
      </c>
      <c r="F8" s="15" t="s">
        <v>19097</v>
      </c>
      <c r="G8" s="15"/>
      <c r="H8" s="15"/>
      <c r="I8" s="15" t="s">
        <v>528</v>
      </c>
      <c r="J8" s="15" t="s">
        <v>15991</v>
      </c>
    </row>
    <row r="9" spans="2:10">
      <c r="B9" s="15" t="s">
        <v>19092</v>
      </c>
      <c r="C9" s="15" t="s">
        <v>19098</v>
      </c>
      <c r="D9" s="15" t="s">
        <v>316</v>
      </c>
      <c r="E9" s="15" t="s">
        <v>305</v>
      </c>
      <c r="F9" s="15" t="s">
        <v>19099</v>
      </c>
      <c r="G9" s="15"/>
      <c r="H9" s="15"/>
      <c r="I9" s="15" t="s">
        <v>528</v>
      </c>
      <c r="J9" s="15" t="s">
        <v>15991</v>
      </c>
    </row>
    <row r="10" spans="2:10">
      <c r="B10" s="15" t="s">
        <v>19092</v>
      </c>
      <c r="C10" s="15" t="s">
        <v>19100</v>
      </c>
      <c r="D10" s="15" t="s">
        <v>506</v>
      </c>
      <c r="E10" s="15" t="s">
        <v>305</v>
      </c>
      <c r="F10" s="15" t="s">
        <v>19101</v>
      </c>
      <c r="G10" s="15"/>
      <c r="H10" s="15"/>
      <c r="I10" s="15" t="s">
        <v>528</v>
      </c>
      <c r="J10" s="15" t="s">
        <v>15991</v>
      </c>
    </row>
    <row r="11" spans="2:10">
      <c r="B11" s="15" t="s">
        <v>19092</v>
      </c>
      <c r="C11" s="15" t="s">
        <v>19102</v>
      </c>
      <c r="D11" s="15" t="s">
        <v>327</v>
      </c>
      <c r="E11" s="15" t="s">
        <v>305</v>
      </c>
      <c r="F11" s="15" t="s">
        <v>19103</v>
      </c>
      <c r="G11" s="15"/>
      <c r="H11" s="15"/>
      <c r="I11" s="15" t="s">
        <v>528</v>
      </c>
      <c r="J11" s="15" t="s">
        <v>15991</v>
      </c>
    </row>
    <row r="12" spans="2:10">
      <c r="B12" s="15" t="s">
        <v>19092</v>
      </c>
      <c r="C12" s="15" t="s">
        <v>19104</v>
      </c>
      <c r="D12" s="15" t="s">
        <v>327</v>
      </c>
      <c r="E12" s="15" t="s">
        <v>305</v>
      </c>
      <c r="F12" s="15" t="s">
        <v>19105</v>
      </c>
      <c r="G12" s="15"/>
      <c r="H12" s="15"/>
      <c r="I12" s="15" t="s">
        <v>528</v>
      </c>
      <c r="J12" s="15" t="s">
        <v>15991</v>
      </c>
    </row>
    <row r="13" spans="2:10">
      <c r="B13" s="15" t="s">
        <v>19092</v>
      </c>
      <c r="C13" s="15" t="s">
        <v>16011</v>
      </c>
      <c r="D13" s="15" t="s">
        <v>316</v>
      </c>
      <c r="E13" s="15" t="s">
        <v>305</v>
      </c>
      <c r="F13" s="15" t="s">
        <v>16012</v>
      </c>
      <c r="G13" s="15"/>
      <c r="H13" s="15"/>
      <c r="I13" s="15" t="s">
        <v>528</v>
      </c>
      <c r="J13" s="15" t="s">
        <v>15991</v>
      </c>
    </row>
    <row r="14" spans="2:10">
      <c r="B14" s="15" t="s">
        <v>19092</v>
      </c>
      <c r="C14" s="15" t="s">
        <v>16009</v>
      </c>
      <c r="D14" s="15" t="s">
        <v>316</v>
      </c>
      <c r="E14" s="15" t="s">
        <v>305</v>
      </c>
      <c r="F14" s="15" t="s">
        <v>16010</v>
      </c>
      <c r="G14" s="15"/>
      <c r="H14" s="15"/>
      <c r="I14" s="15" t="s">
        <v>528</v>
      </c>
      <c r="J14" s="15" t="s">
        <v>15991</v>
      </c>
    </row>
    <row r="15" spans="2:10">
      <c r="B15" s="15" t="s">
        <v>19092</v>
      </c>
      <c r="C15" s="15" t="s">
        <v>16013</v>
      </c>
      <c r="D15" s="15" t="s">
        <v>371</v>
      </c>
      <c r="E15" s="15" t="s">
        <v>305</v>
      </c>
      <c r="F15" s="15" t="s">
        <v>16014</v>
      </c>
      <c r="G15" s="15"/>
      <c r="H15" s="15"/>
      <c r="I15" s="15" t="s">
        <v>528</v>
      </c>
      <c r="J15" s="15" t="s">
        <v>15991</v>
      </c>
    </row>
    <row r="16" spans="2:10">
      <c r="B16" s="15" t="s">
        <v>19092</v>
      </c>
      <c r="C16" s="15" t="s">
        <v>16017</v>
      </c>
      <c r="D16" s="15" t="s">
        <v>316</v>
      </c>
      <c r="E16" s="15" t="s">
        <v>305</v>
      </c>
      <c r="F16" s="15" t="s">
        <v>16018</v>
      </c>
      <c r="G16" s="15"/>
      <c r="H16" s="15"/>
      <c r="I16" s="15" t="s">
        <v>528</v>
      </c>
      <c r="J16" s="15" t="s">
        <v>15991</v>
      </c>
    </row>
    <row r="17" spans="2:10">
      <c r="B17" s="15" t="s">
        <v>19092</v>
      </c>
      <c r="C17" s="15" t="s">
        <v>16015</v>
      </c>
      <c r="D17" s="15" t="s">
        <v>316</v>
      </c>
      <c r="E17" s="15" t="s">
        <v>305</v>
      </c>
      <c r="F17" s="15" t="s">
        <v>16016</v>
      </c>
      <c r="G17" s="15"/>
      <c r="H17" s="15"/>
      <c r="I17" s="15" t="s">
        <v>528</v>
      </c>
      <c r="J17" s="15" t="s">
        <v>15991</v>
      </c>
    </row>
    <row r="18" spans="2:10">
      <c r="B18" s="15" t="s">
        <v>19092</v>
      </c>
      <c r="C18" s="15" t="s">
        <v>16019</v>
      </c>
      <c r="D18" s="15" t="s">
        <v>371</v>
      </c>
      <c r="E18" s="15" t="s">
        <v>305</v>
      </c>
      <c r="F18" s="15" t="s">
        <v>16020</v>
      </c>
      <c r="G18" s="15"/>
      <c r="H18" s="15"/>
      <c r="I18" s="15" t="s">
        <v>528</v>
      </c>
      <c r="J18" s="15" t="s">
        <v>15991</v>
      </c>
    </row>
    <row r="19" spans="2:10">
      <c r="B19" s="15" t="s">
        <v>19092</v>
      </c>
      <c r="C19" s="16" t="s">
        <v>16088</v>
      </c>
      <c r="D19" s="16" t="s">
        <v>316</v>
      </c>
      <c r="E19" s="16" t="s">
        <v>305</v>
      </c>
      <c r="F19" s="16" t="s">
        <v>16089</v>
      </c>
      <c r="G19" s="16"/>
      <c r="H19" s="16"/>
      <c r="I19" s="16" t="s">
        <v>528</v>
      </c>
      <c r="J19" s="15" t="s">
        <v>15991</v>
      </c>
    </row>
    <row r="20" spans="2:10">
      <c r="B20" s="56" t="s">
        <v>19092</v>
      </c>
      <c r="C20" s="57" t="s">
        <v>16622</v>
      </c>
      <c r="D20" s="57" t="s">
        <v>316</v>
      </c>
      <c r="E20" s="65" t="s">
        <v>305</v>
      </c>
      <c r="F20" s="59" t="s">
        <v>18861</v>
      </c>
      <c r="G20" s="57"/>
      <c r="H20" s="57"/>
      <c r="I20" s="57"/>
      <c r="J20" s="67">
        <v>45740</v>
      </c>
    </row>
    <row r="21" ht="16" spans="2:10">
      <c r="B21" s="56" t="s">
        <v>19092</v>
      </c>
      <c r="C21" s="57" t="s">
        <v>19106</v>
      </c>
      <c r="D21" s="65" t="s">
        <v>321</v>
      </c>
      <c r="E21" s="65" t="s">
        <v>305</v>
      </c>
      <c r="F21" s="59" t="s">
        <v>19107</v>
      </c>
      <c r="G21" s="71" t="str">
        <f>HYPERLINK("#码值映射清单!B13694","ClrRightStatus")</f>
        <v>ClrRightStatus</v>
      </c>
      <c r="H21" s="60" t="s">
        <v>19108</v>
      </c>
      <c r="I21" s="57"/>
      <c r="J21" s="67">
        <v>45740</v>
      </c>
    </row>
    <row r="22" spans="2:10">
      <c r="B22" s="56" t="s">
        <v>19092</v>
      </c>
      <c r="C22" s="57" t="s">
        <v>16090</v>
      </c>
      <c r="D22" s="65" t="s">
        <v>321</v>
      </c>
      <c r="E22" s="57" t="s">
        <v>305</v>
      </c>
      <c r="F22" s="59" t="s">
        <v>19109</v>
      </c>
      <c r="G22" s="57"/>
      <c r="H22" s="57"/>
      <c r="I22" s="57"/>
      <c r="J22" s="67">
        <v>45740</v>
      </c>
    </row>
  </sheetData>
  <pageMargins left="0.75" right="0.75" top="1" bottom="1" header="0.5" footer="0.5"/>
  <pageSetup paperSize="1" orientation="portrait" horizontalDpi="300" verticalDpi="300"/>
  <headerFooter alignWithMargins="0" scaleWithDoc="0"/>
</worksheet>
</file>

<file path=xl/worksheets/sheet9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53"/>
  <sheetViews>
    <sheetView zoomScaleSheetLayoutView="60" workbookViewId="0">
      <selection activeCell="A1" sqref="A1"/>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15.625" customWidth="1"/>
    <col min="8" max="8" width="35.5" customWidth="1"/>
    <col min="10" max="10" width="11.7053571428571" customWidth="1"/>
  </cols>
  <sheetData>
    <row r="1" spans="1:2">
      <c r="A1" s="1" t="str">
        <f>HYPERLINK("#表结构清单!A1","返回")</f>
        <v>返回</v>
      </c>
      <c r="B1" t="s">
        <v>126</v>
      </c>
    </row>
    <row r="2" spans="2:10">
      <c r="B2" s="13" t="s">
        <v>15982</v>
      </c>
      <c r="C2" s="13" t="s">
        <v>297</v>
      </c>
      <c r="D2" s="13" t="s">
        <v>11870</v>
      </c>
      <c r="E2" s="13" t="s">
        <v>15983</v>
      </c>
      <c r="F2" s="13" t="s">
        <v>15984</v>
      </c>
      <c r="G2" s="13" t="s">
        <v>300</v>
      </c>
      <c r="H2" s="13" t="s">
        <v>301</v>
      </c>
      <c r="I2" s="13" t="s">
        <v>15985</v>
      </c>
      <c r="J2" s="13" t="s">
        <v>15986</v>
      </c>
    </row>
    <row r="3" spans="2:10">
      <c r="B3" s="15" t="s">
        <v>19110</v>
      </c>
      <c r="C3" s="15" t="s">
        <v>18673</v>
      </c>
      <c r="D3" s="15" t="s">
        <v>316</v>
      </c>
      <c r="E3" s="15" t="s">
        <v>15989</v>
      </c>
      <c r="F3" s="15" t="s">
        <v>19111</v>
      </c>
      <c r="G3" s="15"/>
      <c r="H3" s="15"/>
      <c r="I3" s="15" t="s">
        <v>528</v>
      </c>
      <c r="J3" s="15" t="s">
        <v>15991</v>
      </c>
    </row>
    <row r="4" spans="2:10">
      <c r="B4" s="15" t="s">
        <v>19110</v>
      </c>
      <c r="C4" s="15" t="s">
        <v>19112</v>
      </c>
      <c r="D4" s="15" t="s">
        <v>506</v>
      </c>
      <c r="E4" s="15" t="s">
        <v>305</v>
      </c>
      <c r="F4" s="15" t="s">
        <v>19113</v>
      </c>
      <c r="G4" s="15"/>
      <c r="H4" s="15"/>
      <c r="I4" s="15" t="s">
        <v>528</v>
      </c>
      <c r="J4" s="15" t="s">
        <v>15991</v>
      </c>
    </row>
    <row r="5" spans="2:10">
      <c r="B5" s="15" t="s">
        <v>19110</v>
      </c>
      <c r="C5" s="15" t="s">
        <v>16103</v>
      </c>
      <c r="D5" s="15" t="s">
        <v>316</v>
      </c>
      <c r="E5" s="15" t="s">
        <v>305</v>
      </c>
      <c r="F5" s="46" t="s">
        <v>16986</v>
      </c>
      <c r="G5" s="15"/>
      <c r="H5" s="15"/>
      <c r="I5" s="15" t="s">
        <v>528</v>
      </c>
      <c r="J5" s="15" t="s">
        <v>15991</v>
      </c>
    </row>
    <row r="6" spans="2:10">
      <c r="B6" s="15" t="s">
        <v>19110</v>
      </c>
      <c r="C6" s="15" t="s">
        <v>18874</v>
      </c>
      <c r="D6" s="15" t="s">
        <v>316</v>
      </c>
      <c r="E6" s="15" t="s">
        <v>305</v>
      </c>
      <c r="F6" s="15" t="s">
        <v>18875</v>
      </c>
      <c r="G6" s="15"/>
      <c r="H6" s="15"/>
      <c r="I6" s="15" t="s">
        <v>528</v>
      </c>
      <c r="J6" s="15" t="s">
        <v>15991</v>
      </c>
    </row>
    <row r="7" spans="2:10">
      <c r="B7" s="15" t="s">
        <v>19110</v>
      </c>
      <c r="C7" s="15" t="s">
        <v>16953</v>
      </c>
      <c r="D7" s="15" t="s">
        <v>316</v>
      </c>
      <c r="E7" s="15" t="s">
        <v>305</v>
      </c>
      <c r="F7" s="15" t="s">
        <v>18672</v>
      </c>
      <c r="G7" s="15"/>
      <c r="H7" s="15"/>
      <c r="I7" s="15" t="s">
        <v>528</v>
      </c>
      <c r="J7" s="15" t="s">
        <v>15991</v>
      </c>
    </row>
    <row r="8" spans="2:10">
      <c r="B8" s="15" t="s">
        <v>19110</v>
      </c>
      <c r="C8" s="15" t="s">
        <v>18684</v>
      </c>
      <c r="D8" s="15" t="s">
        <v>513</v>
      </c>
      <c r="E8" s="15" t="s">
        <v>305</v>
      </c>
      <c r="F8" s="15" t="s">
        <v>11204</v>
      </c>
      <c r="G8" s="61" t="str">
        <f>HYPERLINK("#码值映射清单!B8949","RightCertType")</f>
        <v>RightCertType</v>
      </c>
      <c r="H8" s="15"/>
      <c r="I8" s="15" t="s">
        <v>528</v>
      </c>
      <c r="J8" s="15" t="s">
        <v>15991</v>
      </c>
    </row>
    <row r="9" spans="2:10">
      <c r="B9" s="15" t="s">
        <v>19110</v>
      </c>
      <c r="C9" s="15" t="s">
        <v>445</v>
      </c>
      <c r="D9" s="15" t="s">
        <v>506</v>
      </c>
      <c r="E9" s="15" t="s">
        <v>305</v>
      </c>
      <c r="F9" s="15" t="s">
        <v>455</v>
      </c>
      <c r="G9" s="15"/>
      <c r="H9" s="15"/>
      <c r="I9" s="15" t="s">
        <v>528</v>
      </c>
      <c r="J9" s="15" t="s">
        <v>15991</v>
      </c>
    </row>
    <row r="10" spans="2:10">
      <c r="B10" s="15" t="s">
        <v>19110</v>
      </c>
      <c r="C10" s="15" t="s">
        <v>19114</v>
      </c>
      <c r="D10" s="15" t="s">
        <v>506</v>
      </c>
      <c r="E10" s="15" t="s">
        <v>305</v>
      </c>
      <c r="F10" s="15" t="s">
        <v>19115</v>
      </c>
      <c r="G10" s="15"/>
      <c r="H10" s="15"/>
      <c r="I10" s="15" t="s">
        <v>528</v>
      </c>
      <c r="J10" s="15" t="s">
        <v>15991</v>
      </c>
    </row>
    <row r="11" spans="2:10">
      <c r="B11" s="15" t="s">
        <v>19110</v>
      </c>
      <c r="C11" s="15" t="s">
        <v>19116</v>
      </c>
      <c r="D11" s="15" t="s">
        <v>371</v>
      </c>
      <c r="E11" s="15" t="s">
        <v>305</v>
      </c>
      <c r="F11" s="15" t="s">
        <v>19117</v>
      </c>
      <c r="G11" s="15"/>
      <c r="H11" s="15"/>
      <c r="I11" s="15" t="s">
        <v>528</v>
      </c>
      <c r="J11" s="15" t="s">
        <v>15991</v>
      </c>
    </row>
    <row r="12" spans="2:10">
      <c r="B12" s="15" t="s">
        <v>19110</v>
      </c>
      <c r="C12" s="46" t="s">
        <v>19118</v>
      </c>
      <c r="D12" s="46" t="s">
        <v>316</v>
      </c>
      <c r="E12" s="46" t="s">
        <v>305</v>
      </c>
      <c r="F12" s="49" t="s">
        <v>19119</v>
      </c>
      <c r="G12" s="46"/>
      <c r="H12" s="46"/>
      <c r="I12" s="15" t="s">
        <v>528</v>
      </c>
      <c r="J12" s="67">
        <v>45740</v>
      </c>
    </row>
    <row r="13" spans="2:10">
      <c r="B13" s="15" t="s">
        <v>19110</v>
      </c>
      <c r="C13" s="15" t="s">
        <v>19120</v>
      </c>
      <c r="D13" s="15" t="s">
        <v>316</v>
      </c>
      <c r="E13" s="15" t="s">
        <v>305</v>
      </c>
      <c r="F13" s="15" t="s">
        <v>19121</v>
      </c>
      <c r="G13" s="15"/>
      <c r="H13" s="15"/>
      <c r="I13" s="15" t="s">
        <v>528</v>
      </c>
      <c r="J13" s="15" t="s">
        <v>15991</v>
      </c>
    </row>
    <row r="14" spans="2:10">
      <c r="B14" s="15" t="s">
        <v>19110</v>
      </c>
      <c r="C14" s="15" t="s">
        <v>19122</v>
      </c>
      <c r="D14" s="15" t="s">
        <v>371</v>
      </c>
      <c r="E14" s="15" t="s">
        <v>305</v>
      </c>
      <c r="F14" s="15" t="s">
        <v>19123</v>
      </c>
      <c r="G14" s="15"/>
      <c r="H14" s="15"/>
      <c r="I14" s="15" t="s">
        <v>528</v>
      </c>
      <c r="J14" s="15" t="s">
        <v>15991</v>
      </c>
    </row>
    <row r="15" spans="2:10">
      <c r="B15" s="15" t="s">
        <v>19110</v>
      </c>
      <c r="C15" s="15" t="s">
        <v>19124</v>
      </c>
      <c r="D15" s="15" t="s">
        <v>513</v>
      </c>
      <c r="E15" s="15" t="s">
        <v>305</v>
      </c>
      <c r="F15" s="15" t="s">
        <v>19125</v>
      </c>
      <c r="G15" s="72" t="str">
        <f>HYPERLINK("#码值映射清单!B1876","RightCertStatus")</f>
        <v>RightCertStatus</v>
      </c>
      <c r="H15" s="49" t="s">
        <v>19126</v>
      </c>
      <c r="I15" s="15" t="s">
        <v>528</v>
      </c>
      <c r="J15" s="67">
        <v>45740</v>
      </c>
    </row>
    <row r="16" spans="2:10">
      <c r="B16" s="15" t="s">
        <v>19110</v>
      </c>
      <c r="C16" s="15" t="s">
        <v>19127</v>
      </c>
      <c r="D16" s="15" t="s">
        <v>350</v>
      </c>
      <c r="E16" s="15" t="s">
        <v>305</v>
      </c>
      <c r="F16" s="15" t="s">
        <v>19128</v>
      </c>
      <c r="G16" s="15"/>
      <c r="H16" s="15"/>
      <c r="I16" s="15" t="s">
        <v>528</v>
      </c>
      <c r="J16" s="15" t="s">
        <v>15991</v>
      </c>
    </row>
    <row r="17" spans="2:10">
      <c r="B17" s="15" t="s">
        <v>19110</v>
      </c>
      <c r="C17" s="15" t="s">
        <v>19129</v>
      </c>
      <c r="D17" s="15" t="s">
        <v>321</v>
      </c>
      <c r="E17" s="15" t="s">
        <v>305</v>
      </c>
      <c r="F17" s="15" t="s">
        <v>8996</v>
      </c>
      <c r="G17" s="52" t="str">
        <f>HYPERLINK("#码值映射清单!B6956","CertPossessorType")</f>
        <v>CertPossessorType</v>
      </c>
      <c r="H17" s="15"/>
      <c r="I17" s="15" t="s">
        <v>528</v>
      </c>
      <c r="J17" s="15" t="s">
        <v>15991</v>
      </c>
    </row>
    <row r="18" spans="2:10">
      <c r="B18" s="15" t="s">
        <v>19110</v>
      </c>
      <c r="C18" s="15" t="s">
        <v>18896</v>
      </c>
      <c r="D18" s="15" t="s">
        <v>16072</v>
      </c>
      <c r="E18" s="15" t="s">
        <v>305</v>
      </c>
      <c r="F18" s="15" t="s">
        <v>18897</v>
      </c>
      <c r="G18" s="15"/>
      <c r="H18" s="15"/>
      <c r="I18" s="15" t="s">
        <v>528</v>
      </c>
      <c r="J18" s="15" t="s">
        <v>15991</v>
      </c>
    </row>
    <row r="19" spans="2:10">
      <c r="B19" s="15" t="s">
        <v>19110</v>
      </c>
      <c r="C19" s="15" t="s">
        <v>19130</v>
      </c>
      <c r="D19" s="15" t="s">
        <v>371</v>
      </c>
      <c r="E19" s="15" t="s">
        <v>305</v>
      </c>
      <c r="F19" s="15" t="s">
        <v>19131</v>
      </c>
      <c r="G19" s="15"/>
      <c r="H19" s="15"/>
      <c r="I19" s="15" t="s">
        <v>528</v>
      </c>
      <c r="J19" s="15" t="s">
        <v>15991</v>
      </c>
    </row>
    <row r="20" spans="2:10">
      <c r="B20" s="15" t="s">
        <v>19110</v>
      </c>
      <c r="C20" s="15" t="s">
        <v>19132</v>
      </c>
      <c r="D20" s="15" t="s">
        <v>371</v>
      </c>
      <c r="E20" s="15" t="s">
        <v>305</v>
      </c>
      <c r="F20" s="15" t="s">
        <v>19133</v>
      </c>
      <c r="G20" s="15"/>
      <c r="H20" s="15"/>
      <c r="I20" s="15" t="s">
        <v>528</v>
      </c>
      <c r="J20" s="15" t="s">
        <v>15991</v>
      </c>
    </row>
    <row r="21" spans="2:10">
      <c r="B21" s="15" t="s">
        <v>19110</v>
      </c>
      <c r="C21" s="15" t="s">
        <v>19134</v>
      </c>
      <c r="D21" s="15" t="s">
        <v>371</v>
      </c>
      <c r="E21" s="15" t="s">
        <v>305</v>
      </c>
      <c r="F21" s="15" t="s">
        <v>19135</v>
      </c>
      <c r="G21" s="15"/>
      <c r="H21" s="15"/>
      <c r="I21" s="15" t="s">
        <v>528</v>
      </c>
      <c r="J21" s="15" t="s">
        <v>15991</v>
      </c>
    </row>
    <row r="22" spans="2:10">
      <c r="B22" s="15" t="s">
        <v>19110</v>
      </c>
      <c r="C22" s="15" t="s">
        <v>19136</v>
      </c>
      <c r="D22" s="15" t="s">
        <v>371</v>
      </c>
      <c r="E22" s="15" t="s">
        <v>305</v>
      </c>
      <c r="F22" s="15" t="s">
        <v>19137</v>
      </c>
      <c r="G22" s="15"/>
      <c r="H22" s="15"/>
      <c r="I22" s="15" t="s">
        <v>528</v>
      </c>
      <c r="J22" s="15" t="s">
        <v>15991</v>
      </c>
    </row>
    <row r="23" spans="2:10">
      <c r="B23" s="15" t="s">
        <v>19110</v>
      </c>
      <c r="C23" s="15" t="s">
        <v>19138</v>
      </c>
      <c r="D23" s="15" t="s">
        <v>371</v>
      </c>
      <c r="E23" s="15" t="s">
        <v>305</v>
      </c>
      <c r="F23" s="15" t="s">
        <v>19139</v>
      </c>
      <c r="G23" s="15"/>
      <c r="H23" s="15"/>
      <c r="I23" s="15" t="s">
        <v>528</v>
      </c>
      <c r="J23" s="15" t="s">
        <v>15991</v>
      </c>
    </row>
    <row r="24" spans="2:10">
      <c r="B24" s="15" t="s">
        <v>19110</v>
      </c>
      <c r="C24" s="15" t="s">
        <v>19140</v>
      </c>
      <c r="D24" s="15" t="s">
        <v>371</v>
      </c>
      <c r="E24" s="15" t="s">
        <v>305</v>
      </c>
      <c r="F24" s="15" t="s">
        <v>19141</v>
      </c>
      <c r="G24" s="15"/>
      <c r="H24" s="15"/>
      <c r="I24" s="15" t="s">
        <v>528</v>
      </c>
      <c r="J24" s="15" t="s">
        <v>15991</v>
      </c>
    </row>
    <row r="25" spans="2:10">
      <c r="B25" s="15" t="s">
        <v>19110</v>
      </c>
      <c r="C25" s="15" t="s">
        <v>19142</v>
      </c>
      <c r="D25" s="15" t="s">
        <v>16072</v>
      </c>
      <c r="E25" s="15" t="s">
        <v>305</v>
      </c>
      <c r="F25" s="15" t="s">
        <v>19143</v>
      </c>
      <c r="G25" s="15"/>
      <c r="H25" s="15"/>
      <c r="I25" s="15" t="s">
        <v>528</v>
      </c>
      <c r="J25" s="15" t="s">
        <v>15991</v>
      </c>
    </row>
    <row r="26" spans="2:10">
      <c r="B26" s="15" t="s">
        <v>19110</v>
      </c>
      <c r="C26" s="15" t="s">
        <v>19144</v>
      </c>
      <c r="D26" s="15" t="s">
        <v>16557</v>
      </c>
      <c r="E26" s="15" t="s">
        <v>305</v>
      </c>
      <c r="F26" s="15" t="s">
        <v>19145</v>
      </c>
      <c r="G26" s="15"/>
      <c r="H26" s="15"/>
      <c r="I26" s="15" t="s">
        <v>528</v>
      </c>
      <c r="J26" s="15" t="s">
        <v>15991</v>
      </c>
    </row>
    <row r="27" spans="2:10">
      <c r="B27" s="15" t="s">
        <v>19110</v>
      </c>
      <c r="C27" s="15" t="s">
        <v>18829</v>
      </c>
      <c r="D27" s="15" t="s">
        <v>16072</v>
      </c>
      <c r="E27" s="15" t="s">
        <v>305</v>
      </c>
      <c r="F27" s="15" t="s">
        <v>19146</v>
      </c>
      <c r="G27" s="15"/>
      <c r="H27" s="15"/>
      <c r="I27" s="15" t="s">
        <v>528</v>
      </c>
      <c r="J27" s="15" t="s">
        <v>15991</v>
      </c>
    </row>
    <row r="28" spans="2:10">
      <c r="B28" s="15" t="s">
        <v>19110</v>
      </c>
      <c r="C28" s="15" t="s">
        <v>19147</v>
      </c>
      <c r="D28" s="15" t="s">
        <v>506</v>
      </c>
      <c r="E28" s="15" t="s">
        <v>305</v>
      </c>
      <c r="F28" s="15" t="s">
        <v>19148</v>
      </c>
      <c r="G28" s="15"/>
      <c r="H28" s="15"/>
      <c r="I28" s="15" t="s">
        <v>528</v>
      </c>
      <c r="J28" s="15" t="s">
        <v>15991</v>
      </c>
    </row>
    <row r="29" spans="2:10">
      <c r="B29" s="15" t="s">
        <v>19110</v>
      </c>
      <c r="C29" s="15" t="s">
        <v>19149</v>
      </c>
      <c r="D29" s="15" t="s">
        <v>371</v>
      </c>
      <c r="E29" s="15" t="s">
        <v>305</v>
      </c>
      <c r="F29" s="15" t="s">
        <v>19150</v>
      </c>
      <c r="G29" s="15"/>
      <c r="H29" s="15"/>
      <c r="I29" s="15" t="s">
        <v>528</v>
      </c>
      <c r="J29" s="15" t="s">
        <v>15991</v>
      </c>
    </row>
    <row r="30" spans="2:10">
      <c r="B30" s="15" t="s">
        <v>19110</v>
      </c>
      <c r="C30" s="15" t="s">
        <v>18927</v>
      </c>
      <c r="D30" s="15" t="s">
        <v>316</v>
      </c>
      <c r="E30" s="15" t="s">
        <v>305</v>
      </c>
      <c r="F30" s="15" t="s">
        <v>18928</v>
      </c>
      <c r="G30" s="15"/>
      <c r="H30" s="15"/>
      <c r="I30" s="15" t="s">
        <v>528</v>
      </c>
      <c r="J30" s="15" t="s">
        <v>15991</v>
      </c>
    </row>
    <row r="31" spans="2:10">
      <c r="B31" s="15" t="s">
        <v>19110</v>
      </c>
      <c r="C31" s="15" t="s">
        <v>18929</v>
      </c>
      <c r="D31" s="15" t="s">
        <v>506</v>
      </c>
      <c r="E31" s="15" t="s">
        <v>305</v>
      </c>
      <c r="F31" s="15" t="s">
        <v>18930</v>
      </c>
      <c r="G31" s="15"/>
      <c r="H31" s="15"/>
      <c r="I31" s="15" t="s">
        <v>528</v>
      </c>
      <c r="J31" s="15" t="s">
        <v>15991</v>
      </c>
    </row>
    <row r="32" spans="2:10">
      <c r="B32" s="15" t="s">
        <v>19110</v>
      </c>
      <c r="C32" s="15" t="s">
        <v>19151</v>
      </c>
      <c r="D32" s="15" t="s">
        <v>316</v>
      </c>
      <c r="E32" s="15" t="s">
        <v>305</v>
      </c>
      <c r="F32" s="15" t="s">
        <v>19152</v>
      </c>
      <c r="G32" s="15"/>
      <c r="H32" s="15"/>
      <c r="I32" s="15" t="s">
        <v>528</v>
      </c>
      <c r="J32" s="15" t="s">
        <v>15991</v>
      </c>
    </row>
    <row r="33" spans="2:10">
      <c r="B33" s="15" t="s">
        <v>19110</v>
      </c>
      <c r="C33" s="15" t="s">
        <v>19153</v>
      </c>
      <c r="D33" s="15" t="s">
        <v>513</v>
      </c>
      <c r="E33" s="15" t="s">
        <v>305</v>
      </c>
      <c r="F33" s="15" t="s">
        <v>19154</v>
      </c>
      <c r="G33" s="15"/>
      <c r="H33" s="15"/>
      <c r="I33" s="15" t="s">
        <v>528</v>
      </c>
      <c r="J33" s="15" t="s">
        <v>15991</v>
      </c>
    </row>
    <row r="34" spans="2:10">
      <c r="B34" s="15" t="s">
        <v>19110</v>
      </c>
      <c r="C34" s="15" t="s">
        <v>19155</v>
      </c>
      <c r="D34" s="15" t="s">
        <v>371</v>
      </c>
      <c r="E34" s="15" t="s">
        <v>305</v>
      </c>
      <c r="F34" s="15" t="s">
        <v>19156</v>
      </c>
      <c r="G34" s="15"/>
      <c r="H34" s="15"/>
      <c r="I34" s="15" t="s">
        <v>528</v>
      </c>
      <c r="J34" s="15" t="s">
        <v>15991</v>
      </c>
    </row>
    <row r="35" spans="2:10">
      <c r="B35" s="15" t="s">
        <v>19110</v>
      </c>
      <c r="C35" s="15" t="s">
        <v>19157</v>
      </c>
      <c r="D35" s="15" t="s">
        <v>371</v>
      </c>
      <c r="E35" s="15" t="s">
        <v>305</v>
      </c>
      <c r="F35" s="15" t="s">
        <v>19158</v>
      </c>
      <c r="G35" s="15"/>
      <c r="H35" s="15"/>
      <c r="I35" s="15" t="s">
        <v>528</v>
      </c>
      <c r="J35" s="15" t="s">
        <v>15991</v>
      </c>
    </row>
    <row r="36" spans="2:10">
      <c r="B36" s="15" t="s">
        <v>19110</v>
      </c>
      <c r="C36" s="15" t="s">
        <v>512</v>
      </c>
      <c r="D36" s="15" t="s">
        <v>513</v>
      </c>
      <c r="E36" s="15" t="s">
        <v>305</v>
      </c>
      <c r="F36" s="15" t="s">
        <v>334</v>
      </c>
      <c r="G36" s="52" t="str">
        <f>HYPERLINK("#码值映射清单!B2469","Currency")</f>
        <v>Currency</v>
      </c>
      <c r="H36" s="15"/>
      <c r="I36" s="15" t="s">
        <v>528</v>
      </c>
      <c r="J36" s="15" t="s">
        <v>15991</v>
      </c>
    </row>
    <row r="37" spans="2:10">
      <c r="B37" s="15" t="s">
        <v>19110</v>
      </c>
      <c r="C37" s="15" t="s">
        <v>19159</v>
      </c>
      <c r="D37" s="15" t="s">
        <v>316</v>
      </c>
      <c r="E37" s="15" t="s">
        <v>305</v>
      </c>
      <c r="F37" s="15" t="s">
        <v>19160</v>
      </c>
      <c r="G37" s="15"/>
      <c r="H37" s="15"/>
      <c r="I37" s="15" t="s">
        <v>528</v>
      </c>
      <c r="J37" s="15" t="s">
        <v>15991</v>
      </c>
    </row>
    <row r="38" spans="2:10">
      <c r="B38" s="15" t="s">
        <v>19110</v>
      </c>
      <c r="C38" s="15" t="s">
        <v>19161</v>
      </c>
      <c r="D38" s="15" t="s">
        <v>350</v>
      </c>
      <c r="E38" s="15" t="s">
        <v>305</v>
      </c>
      <c r="F38" s="15" t="s">
        <v>19162</v>
      </c>
      <c r="G38" s="15"/>
      <c r="H38" s="15"/>
      <c r="I38" s="15" t="s">
        <v>528</v>
      </c>
      <c r="J38" s="15" t="s">
        <v>15991</v>
      </c>
    </row>
    <row r="39" spans="2:10">
      <c r="B39" s="15" t="s">
        <v>19110</v>
      </c>
      <c r="C39" s="15" t="s">
        <v>19163</v>
      </c>
      <c r="D39" s="15" t="s">
        <v>513</v>
      </c>
      <c r="E39" s="15" t="s">
        <v>305</v>
      </c>
      <c r="F39" s="15" t="s">
        <v>6506</v>
      </c>
      <c r="G39" s="52" t="str">
        <f>HYPERLINK("#码值映射清单!B4765","MoneyInType")</f>
        <v>MoneyInType</v>
      </c>
      <c r="H39" s="15"/>
      <c r="I39" s="15" t="s">
        <v>528</v>
      </c>
      <c r="J39" s="15" t="s">
        <v>15991</v>
      </c>
    </row>
    <row r="40" spans="2:10">
      <c r="B40" s="15" t="s">
        <v>19110</v>
      </c>
      <c r="C40" s="15" t="s">
        <v>19164</v>
      </c>
      <c r="D40" s="15" t="s">
        <v>513</v>
      </c>
      <c r="E40" s="15" t="s">
        <v>305</v>
      </c>
      <c r="F40" s="15" t="s">
        <v>18858</v>
      </c>
      <c r="G40" s="15"/>
      <c r="H40" s="15"/>
      <c r="I40" s="15" t="s">
        <v>528</v>
      </c>
      <c r="J40" s="15" t="s">
        <v>15991</v>
      </c>
    </row>
    <row r="41" spans="2:10">
      <c r="B41" s="15" t="s">
        <v>19110</v>
      </c>
      <c r="C41" s="15" t="s">
        <v>19165</v>
      </c>
      <c r="D41" s="15" t="s">
        <v>321</v>
      </c>
      <c r="E41" s="15" t="s">
        <v>305</v>
      </c>
      <c r="F41" s="15" t="s">
        <v>7532</v>
      </c>
      <c r="G41" s="62" t="str">
        <f>HYPERLINK("#码值映射清单!B5673","RightRegOrgType")</f>
        <v>RightRegOrgType</v>
      </c>
      <c r="H41" s="15"/>
      <c r="I41" s="15" t="s">
        <v>528</v>
      </c>
      <c r="J41" s="15" t="s">
        <v>15991</v>
      </c>
    </row>
    <row r="42" spans="2:10">
      <c r="B42" s="15" t="s">
        <v>19110</v>
      </c>
      <c r="C42" s="15" t="s">
        <v>16011</v>
      </c>
      <c r="D42" s="15" t="s">
        <v>316</v>
      </c>
      <c r="E42" s="15" t="s">
        <v>305</v>
      </c>
      <c r="F42" s="15" t="s">
        <v>16012</v>
      </c>
      <c r="G42" s="15"/>
      <c r="H42" s="15"/>
      <c r="I42" s="15" t="s">
        <v>528</v>
      </c>
      <c r="J42" s="15" t="s">
        <v>15991</v>
      </c>
    </row>
    <row r="43" spans="2:10">
      <c r="B43" s="15" t="s">
        <v>19110</v>
      </c>
      <c r="C43" s="15" t="s">
        <v>16009</v>
      </c>
      <c r="D43" s="15" t="s">
        <v>316</v>
      </c>
      <c r="E43" s="15" t="s">
        <v>305</v>
      </c>
      <c r="F43" s="15" t="s">
        <v>16010</v>
      </c>
      <c r="G43" s="15"/>
      <c r="H43" s="15"/>
      <c r="I43" s="15" t="s">
        <v>528</v>
      </c>
      <c r="J43" s="15" t="s">
        <v>15991</v>
      </c>
    </row>
    <row r="44" spans="2:10">
      <c r="B44" s="15" t="s">
        <v>19110</v>
      </c>
      <c r="C44" s="15" t="s">
        <v>16013</v>
      </c>
      <c r="D44" s="15" t="s">
        <v>371</v>
      </c>
      <c r="E44" s="15" t="s">
        <v>305</v>
      </c>
      <c r="F44" s="15" t="s">
        <v>16014</v>
      </c>
      <c r="G44" s="15"/>
      <c r="H44" s="15"/>
      <c r="I44" s="15" t="s">
        <v>528</v>
      </c>
      <c r="J44" s="15" t="s">
        <v>15991</v>
      </c>
    </row>
    <row r="45" spans="2:10">
      <c r="B45" s="15" t="s">
        <v>19110</v>
      </c>
      <c r="C45" s="15" t="s">
        <v>16017</v>
      </c>
      <c r="D45" s="15" t="s">
        <v>316</v>
      </c>
      <c r="E45" s="15" t="s">
        <v>305</v>
      </c>
      <c r="F45" s="15" t="s">
        <v>16018</v>
      </c>
      <c r="G45" s="15"/>
      <c r="H45" s="15"/>
      <c r="I45" s="15" t="s">
        <v>528</v>
      </c>
      <c r="J45" s="15" t="s">
        <v>15991</v>
      </c>
    </row>
    <row r="46" spans="2:10">
      <c r="B46" s="15" t="s">
        <v>19110</v>
      </c>
      <c r="C46" s="15" t="s">
        <v>16015</v>
      </c>
      <c r="D46" s="15" t="s">
        <v>316</v>
      </c>
      <c r="E46" s="15" t="s">
        <v>305</v>
      </c>
      <c r="F46" s="15" t="s">
        <v>16016</v>
      </c>
      <c r="G46" s="15"/>
      <c r="H46" s="15"/>
      <c r="I46" s="15" t="s">
        <v>528</v>
      </c>
      <c r="J46" s="15" t="s">
        <v>15991</v>
      </c>
    </row>
    <row r="47" spans="2:10">
      <c r="B47" s="15" t="s">
        <v>19110</v>
      </c>
      <c r="C47" s="15" t="s">
        <v>16019</v>
      </c>
      <c r="D47" s="15" t="s">
        <v>371</v>
      </c>
      <c r="E47" s="15" t="s">
        <v>305</v>
      </c>
      <c r="F47" s="15" t="s">
        <v>16020</v>
      </c>
      <c r="G47" s="15"/>
      <c r="H47" s="15"/>
      <c r="I47" s="15" t="s">
        <v>528</v>
      </c>
      <c r="J47" s="15" t="s">
        <v>15991</v>
      </c>
    </row>
    <row r="48" spans="2:10">
      <c r="B48" s="15" t="s">
        <v>19110</v>
      </c>
      <c r="C48" s="15" t="s">
        <v>16088</v>
      </c>
      <c r="D48" s="15" t="s">
        <v>316</v>
      </c>
      <c r="E48" s="15" t="s">
        <v>305</v>
      </c>
      <c r="F48" s="15" t="s">
        <v>16089</v>
      </c>
      <c r="G48" s="15"/>
      <c r="H48" s="15"/>
      <c r="I48" s="15" t="s">
        <v>528</v>
      </c>
      <c r="J48" s="15" t="s">
        <v>15991</v>
      </c>
    </row>
    <row r="49" spans="2:10">
      <c r="B49" s="15" t="s">
        <v>19110</v>
      </c>
      <c r="C49" s="15" t="s">
        <v>16086</v>
      </c>
      <c r="D49" s="15" t="s">
        <v>16087</v>
      </c>
      <c r="E49" s="15" t="s">
        <v>305</v>
      </c>
      <c r="F49" s="15" t="s">
        <v>301</v>
      </c>
      <c r="G49" s="15"/>
      <c r="H49" s="15"/>
      <c r="I49" s="15" t="s">
        <v>528</v>
      </c>
      <c r="J49" s="15" t="s">
        <v>15991</v>
      </c>
    </row>
    <row r="50" spans="2:10">
      <c r="B50" s="15" t="s">
        <v>19110</v>
      </c>
      <c r="C50" s="15" t="s">
        <v>18571</v>
      </c>
      <c r="D50" s="15" t="s">
        <v>16087</v>
      </c>
      <c r="E50" s="15" t="s">
        <v>305</v>
      </c>
      <c r="F50" s="15" t="s">
        <v>18572</v>
      </c>
      <c r="G50" s="15"/>
      <c r="H50" s="15"/>
      <c r="I50" s="15" t="s">
        <v>528</v>
      </c>
      <c r="J50" s="15" t="s">
        <v>15991</v>
      </c>
    </row>
    <row r="51" spans="2:10">
      <c r="B51" s="16" t="s">
        <v>19110</v>
      </c>
      <c r="C51" s="16" t="s">
        <v>19166</v>
      </c>
      <c r="D51" s="16" t="s">
        <v>16115</v>
      </c>
      <c r="E51" s="16" t="s">
        <v>305</v>
      </c>
      <c r="F51" s="16" t="s">
        <v>19167</v>
      </c>
      <c r="G51" s="16"/>
      <c r="H51" s="16"/>
      <c r="I51" s="16" t="s">
        <v>528</v>
      </c>
      <c r="J51" s="16" t="s">
        <v>15991</v>
      </c>
    </row>
    <row r="52" ht="16" spans="2:10">
      <c r="B52" s="65" t="s">
        <v>19110</v>
      </c>
      <c r="C52" s="57" t="s">
        <v>19168</v>
      </c>
      <c r="D52" s="65" t="s">
        <v>321</v>
      </c>
      <c r="E52" s="65" t="s">
        <v>305</v>
      </c>
      <c r="F52" s="59" t="s">
        <v>15978</v>
      </c>
      <c r="G52" s="71" t="str">
        <f>HYPERLINK("#码值映射清单!B13697","StoreType")</f>
        <v>StoreType</v>
      </c>
      <c r="H52" s="59" t="s">
        <v>19169</v>
      </c>
      <c r="I52" s="57"/>
      <c r="J52" s="67">
        <v>45740</v>
      </c>
    </row>
    <row r="53" ht="16" spans="2:10">
      <c r="B53" s="65" t="s">
        <v>19110</v>
      </c>
      <c r="C53" s="57" t="s">
        <v>18898</v>
      </c>
      <c r="D53" s="65" t="s">
        <v>316</v>
      </c>
      <c r="E53" s="65" t="s">
        <v>305</v>
      </c>
      <c r="F53" s="59" t="s">
        <v>19170</v>
      </c>
      <c r="G53" s="57"/>
      <c r="H53" s="57"/>
      <c r="I53" s="57"/>
      <c r="J53" s="67">
        <v>45740</v>
      </c>
    </row>
  </sheetData>
  <pageMargins left="0.75" right="0.75" top="1" bottom="1" header="0.5" footer="0.5"/>
  <pageSetup paperSize="1" orientation="portrait" horizontalDpi="300" verticalDpi="300"/>
  <headerFooter alignWithMargins="0" scaleWithDoc="0"/>
</worksheet>
</file>

<file path=xl/worksheets/sheet9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5"/>
  <sheetViews>
    <sheetView zoomScaleSheetLayoutView="60" workbookViewId="0">
      <selection activeCell="A1" sqref="A1"/>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1" t="str">
        <f>HYPERLINK("#表结构清单!A1","返回")</f>
        <v>返回</v>
      </c>
      <c r="B1" t="s">
        <v>128</v>
      </c>
    </row>
    <row r="2" spans="2:10">
      <c r="B2" s="13" t="s">
        <v>15982</v>
      </c>
      <c r="C2" s="13" t="s">
        <v>297</v>
      </c>
      <c r="D2" s="13" t="s">
        <v>11870</v>
      </c>
      <c r="E2" s="13" t="s">
        <v>15983</v>
      </c>
      <c r="F2" s="13" t="s">
        <v>15984</v>
      </c>
      <c r="G2" s="13" t="s">
        <v>300</v>
      </c>
      <c r="H2" s="13" t="s">
        <v>301</v>
      </c>
      <c r="I2" s="13" t="s">
        <v>15985</v>
      </c>
      <c r="J2" s="13" t="s">
        <v>15986</v>
      </c>
    </row>
    <row r="3" spans="2:10">
      <c r="B3" s="15" t="s">
        <v>19171</v>
      </c>
      <c r="C3" s="15" t="s">
        <v>19118</v>
      </c>
      <c r="D3" s="15" t="s">
        <v>316</v>
      </c>
      <c r="E3" s="15" t="s">
        <v>15989</v>
      </c>
      <c r="F3" s="15" t="s">
        <v>19172</v>
      </c>
      <c r="G3" s="15"/>
      <c r="H3" s="15"/>
      <c r="I3" s="15" t="s">
        <v>528</v>
      </c>
      <c r="J3" s="15" t="s">
        <v>15991</v>
      </c>
    </row>
    <row r="4" spans="2:10">
      <c r="B4" s="15" t="s">
        <v>19171</v>
      </c>
      <c r="C4" s="15" t="s">
        <v>19120</v>
      </c>
      <c r="D4" s="15" t="s">
        <v>316</v>
      </c>
      <c r="E4" s="15" t="s">
        <v>305</v>
      </c>
      <c r="F4" s="15" t="s">
        <v>19121</v>
      </c>
      <c r="G4" s="15"/>
      <c r="H4" s="15"/>
      <c r="I4" s="15" t="s">
        <v>528</v>
      </c>
      <c r="J4" s="15" t="s">
        <v>15991</v>
      </c>
    </row>
    <row r="5" spans="2:10">
      <c r="B5" s="15" t="s">
        <v>19171</v>
      </c>
      <c r="C5" s="15" t="s">
        <v>19173</v>
      </c>
      <c r="D5" s="15" t="s">
        <v>316</v>
      </c>
      <c r="E5" s="15" t="s">
        <v>305</v>
      </c>
      <c r="F5" s="15" t="s">
        <v>19174</v>
      </c>
      <c r="G5" s="15"/>
      <c r="H5" s="15"/>
      <c r="I5" s="15" t="s">
        <v>528</v>
      </c>
      <c r="J5" s="15" t="s">
        <v>15991</v>
      </c>
    </row>
    <row r="6" spans="2:10">
      <c r="B6" s="15" t="s">
        <v>19171</v>
      </c>
      <c r="C6" s="15" t="s">
        <v>19175</v>
      </c>
      <c r="D6" s="15" t="s">
        <v>316</v>
      </c>
      <c r="E6" s="15" t="s">
        <v>305</v>
      </c>
      <c r="F6" s="15" t="s">
        <v>19176</v>
      </c>
      <c r="G6" s="15"/>
      <c r="H6" s="15"/>
      <c r="I6" s="15" t="s">
        <v>528</v>
      </c>
      <c r="J6" s="15" t="s">
        <v>15991</v>
      </c>
    </row>
    <row r="7" spans="2:10">
      <c r="B7" s="15" t="s">
        <v>19171</v>
      </c>
      <c r="C7" s="15" t="s">
        <v>19177</v>
      </c>
      <c r="D7" s="15" t="s">
        <v>321</v>
      </c>
      <c r="E7" s="15" t="s">
        <v>305</v>
      </c>
      <c r="F7" s="15" t="s">
        <v>19178</v>
      </c>
      <c r="G7" s="15"/>
      <c r="H7" s="15"/>
      <c r="I7" s="15" t="s">
        <v>528</v>
      </c>
      <c r="J7" s="15" t="s">
        <v>15991</v>
      </c>
    </row>
    <row r="8" spans="2:10">
      <c r="B8" s="15" t="s">
        <v>19171</v>
      </c>
      <c r="C8" s="15" t="s">
        <v>19179</v>
      </c>
      <c r="D8" s="15" t="s">
        <v>316</v>
      </c>
      <c r="E8" s="15" t="s">
        <v>305</v>
      </c>
      <c r="F8" s="15" t="s">
        <v>19180</v>
      </c>
      <c r="G8" s="15"/>
      <c r="H8" s="15"/>
      <c r="I8" s="15" t="s">
        <v>528</v>
      </c>
      <c r="J8" s="15" t="s">
        <v>15991</v>
      </c>
    </row>
    <row r="9" spans="2:10">
      <c r="B9" s="15" t="s">
        <v>19171</v>
      </c>
      <c r="C9" s="15" t="s">
        <v>19181</v>
      </c>
      <c r="D9" s="15" t="s">
        <v>316</v>
      </c>
      <c r="E9" s="15" t="s">
        <v>305</v>
      </c>
      <c r="F9" s="15" t="s">
        <v>19182</v>
      </c>
      <c r="G9" s="15"/>
      <c r="H9" s="15"/>
      <c r="I9" s="15" t="s">
        <v>528</v>
      </c>
      <c r="J9" s="15" t="s">
        <v>15991</v>
      </c>
    </row>
    <row r="10" spans="2:10">
      <c r="B10" s="15" t="s">
        <v>19171</v>
      </c>
      <c r="C10" s="15" t="s">
        <v>19183</v>
      </c>
      <c r="D10" s="15" t="s">
        <v>371</v>
      </c>
      <c r="E10" s="15" t="s">
        <v>305</v>
      </c>
      <c r="F10" s="15" t="s">
        <v>19184</v>
      </c>
      <c r="G10" s="15"/>
      <c r="H10" s="15"/>
      <c r="I10" s="15" t="s">
        <v>528</v>
      </c>
      <c r="J10" s="15" t="s">
        <v>15991</v>
      </c>
    </row>
    <row r="11" spans="2:10">
      <c r="B11" s="15" t="s">
        <v>19171</v>
      </c>
      <c r="C11" s="15" t="s">
        <v>19185</v>
      </c>
      <c r="D11" s="15" t="s">
        <v>321</v>
      </c>
      <c r="E11" s="15" t="s">
        <v>305</v>
      </c>
      <c r="F11" s="15" t="s">
        <v>19186</v>
      </c>
      <c r="G11" s="70" t="str">
        <f>HYPERLINK("#码值映射清单!B13700","PackageStatus")</f>
        <v>PackageStatus</v>
      </c>
      <c r="H11" s="38" t="s">
        <v>19187</v>
      </c>
      <c r="I11" s="15" t="s">
        <v>528</v>
      </c>
      <c r="J11" s="15" t="s">
        <v>15991</v>
      </c>
    </row>
    <row r="12" spans="2:10">
      <c r="B12" s="15" t="s">
        <v>19171</v>
      </c>
      <c r="C12" s="15" t="s">
        <v>19188</v>
      </c>
      <c r="D12" s="15" t="s">
        <v>316</v>
      </c>
      <c r="E12" s="15" t="s">
        <v>305</v>
      </c>
      <c r="F12" s="15" t="s">
        <v>19189</v>
      </c>
      <c r="G12" s="15"/>
      <c r="H12" s="15"/>
      <c r="I12" s="15" t="s">
        <v>528</v>
      </c>
      <c r="J12" s="15" t="s">
        <v>15991</v>
      </c>
    </row>
    <row r="13" spans="2:10">
      <c r="B13" s="15" t="s">
        <v>19171</v>
      </c>
      <c r="C13" s="15" t="s">
        <v>19190</v>
      </c>
      <c r="D13" s="15" t="s">
        <v>367</v>
      </c>
      <c r="E13" s="15" t="s">
        <v>305</v>
      </c>
      <c r="F13" s="15" t="s">
        <v>19191</v>
      </c>
      <c r="G13" s="15"/>
      <c r="H13" s="15"/>
      <c r="I13" s="15" t="s">
        <v>528</v>
      </c>
      <c r="J13" s="15" t="s">
        <v>15991</v>
      </c>
    </row>
    <row r="14" spans="2:10">
      <c r="B14" s="15" t="s">
        <v>19171</v>
      </c>
      <c r="C14" s="15" t="s">
        <v>16011</v>
      </c>
      <c r="D14" s="15" t="s">
        <v>316</v>
      </c>
      <c r="E14" s="15" t="s">
        <v>305</v>
      </c>
      <c r="F14" s="15" t="s">
        <v>16012</v>
      </c>
      <c r="G14" s="15"/>
      <c r="H14" s="15"/>
      <c r="I14" s="15" t="s">
        <v>528</v>
      </c>
      <c r="J14" s="15" t="s">
        <v>15991</v>
      </c>
    </row>
    <row r="15" spans="2:10">
      <c r="B15" s="15" t="s">
        <v>19171</v>
      </c>
      <c r="C15" s="15" t="s">
        <v>16009</v>
      </c>
      <c r="D15" s="15" t="s">
        <v>316</v>
      </c>
      <c r="E15" s="15" t="s">
        <v>305</v>
      </c>
      <c r="F15" s="15" t="s">
        <v>16010</v>
      </c>
      <c r="G15" s="15"/>
      <c r="H15" s="15"/>
      <c r="I15" s="15" t="s">
        <v>528</v>
      </c>
      <c r="J15" s="15" t="s">
        <v>15991</v>
      </c>
    </row>
    <row r="16" spans="2:10">
      <c r="B16" s="15" t="s">
        <v>19171</v>
      </c>
      <c r="C16" s="15" t="s">
        <v>16013</v>
      </c>
      <c r="D16" s="15" t="s">
        <v>371</v>
      </c>
      <c r="E16" s="15" t="s">
        <v>305</v>
      </c>
      <c r="F16" s="15" t="s">
        <v>16014</v>
      </c>
      <c r="G16" s="15"/>
      <c r="H16" s="15"/>
      <c r="I16" s="15" t="s">
        <v>528</v>
      </c>
      <c r="J16" s="15" t="s">
        <v>15991</v>
      </c>
    </row>
    <row r="17" spans="2:10">
      <c r="B17" s="15" t="s">
        <v>19171</v>
      </c>
      <c r="C17" s="15" t="s">
        <v>16017</v>
      </c>
      <c r="D17" s="15" t="s">
        <v>316</v>
      </c>
      <c r="E17" s="15" t="s">
        <v>305</v>
      </c>
      <c r="F17" s="15" t="s">
        <v>16018</v>
      </c>
      <c r="G17" s="15"/>
      <c r="H17" s="15"/>
      <c r="I17" s="15" t="s">
        <v>528</v>
      </c>
      <c r="J17" s="15" t="s">
        <v>15991</v>
      </c>
    </row>
    <row r="18" spans="2:10">
      <c r="B18" s="15" t="s">
        <v>19171</v>
      </c>
      <c r="C18" s="15" t="s">
        <v>16015</v>
      </c>
      <c r="D18" s="15" t="s">
        <v>316</v>
      </c>
      <c r="E18" s="15" t="s">
        <v>305</v>
      </c>
      <c r="F18" s="15" t="s">
        <v>16016</v>
      </c>
      <c r="G18" s="15"/>
      <c r="H18" s="15"/>
      <c r="I18" s="15" t="s">
        <v>528</v>
      </c>
      <c r="J18" s="15" t="s">
        <v>15991</v>
      </c>
    </row>
    <row r="19" spans="2:10">
      <c r="B19" s="15" t="s">
        <v>19171</v>
      </c>
      <c r="C19" s="15" t="s">
        <v>16019</v>
      </c>
      <c r="D19" s="15" t="s">
        <v>371</v>
      </c>
      <c r="E19" s="15" t="s">
        <v>305</v>
      </c>
      <c r="F19" s="15" t="s">
        <v>16020</v>
      </c>
      <c r="G19" s="15"/>
      <c r="H19" s="15"/>
      <c r="I19" s="15" t="s">
        <v>528</v>
      </c>
      <c r="J19" s="15" t="s">
        <v>15991</v>
      </c>
    </row>
    <row r="20" spans="2:10">
      <c r="B20" s="15" t="s">
        <v>19171</v>
      </c>
      <c r="C20" s="15" t="s">
        <v>16088</v>
      </c>
      <c r="D20" s="15" t="s">
        <v>316</v>
      </c>
      <c r="E20" s="15" t="s">
        <v>305</v>
      </c>
      <c r="F20" s="15" t="s">
        <v>16089</v>
      </c>
      <c r="G20" s="15"/>
      <c r="H20" s="15"/>
      <c r="I20" s="15" t="s">
        <v>528</v>
      </c>
      <c r="J20" s="15" t="s">
        <v>15991</v>
      </c>
    </row>
    <row r="21" spans="2:10">
      <c r="B21" s="16" t="s">
        <v>19171</v>
      </c>
      <c r="C21" s="16" t="s">
        <v>19192</v>
      </c>
      <c r="D21" s="16" t="s">
        <v>16115</v>
      </c>
      <c r="E21" s="16" t="s">
        <v>305</v>
      </c>
      <c r="F21" s="16" t="s">
        <v>19167</v>
      </c>
      <c r="G21" s="16"/>
      <c r="H21" s="16"/>
      <c r="I21" s="16" t="s">
        <v>528</v>
      </c>
      <c r="J21" s="16" t="s">
        <v>15991</v>
      </c>
    </row>
    <row r="22" ht="16" spans="2:10">
      <c r="B22" s="65" t="s">
        <v>19171</v>
      </c>
      <c r="C22" s="57" t="s">
        <v>19168</v>
      </c>
      <c r="D22" s="65" t="s">
        <v>321</v>
      </c>
      <c r="E22" s="65" t="s">
        <v>305</v>
      </c>
      <c r="F22" s="59" t="s">
        <v>19193</v>
      </c>
      <c r="G22" s="71" t="str">
        <f>HYPERLINK("#码值映射清单!B13697","StoreType")</f>
        <v>StoreType</v>
      </c>
      <c r="H22" s="59" t="s">
        <v>19169</v>
      </c>
      <c r="I22" s="57"/>
      <c r="J22" s="67">
        <v>45740</v>
      </c>
    </row>
    <row r="23" spans="2:10">
      <c r="B23" s="65" t="s">
        <v>19171</v>
      </c>
      <c r="C23" s="57" t="s">
        <v>16622</v>
      </c>
      <c r="D23" s="65" t="s">
        <v>316</v>
      </c>
      <c r="E23" s="65" t="s">
        <v>305</v>
      </c>
      <c r="F23" s="59" t="s">
        <v>19194</v>
      </c>
      <c r="G23" s="57"/>
      <c r="H23" s="57"/>
      <c r="I23" s="57"/>
      <c r="J23" s="67">
        <v>45740</v>
      </c>
    </row>
    <row r="24" spans="2:10">
      <c r="B24" s="65" t="s">
        <v>19171</v>
      </c>
      <c r="C24" s="69" t="s">
        <v>19195</v>
      </c>
      <c r="D24" s="65" t="s">
        <v>19196</v>
      </c>
      <c r="E24" s="65" t="s">
        <v>305</v>
      </c>
      <c r="F24" s="59" t="s">
        <v>16940</v>
      </c>
      <c r="G24" s="57"/>
      <c r="H24" s="57"/>
      <c r="I24" s="57"/>
      <c r="J24" s="67">
        <v>45740</v>
      </c>
    </row>
    <row r="25" spans="2:10">
      <c r="B25" s="65" t="s">
        <v>19171</v>
      </c>
      <c r="C25" s="69" t="s">
        <v>19197</v>
      </c>
      <c r="D25" s="65" t="s">
        <v>19196</v>
      </c>
      <c r="E25" s="65" t="s">
        <v>305</v>
      </c>
      <c r="F25" s="59" t="s">
        <v>19198</v>
      </c>
      <c r="G25" s="57"/>
      <c r="H25" s="57"/>
      <c r="I25" s="57"/>
      <c r="J25" s="67">
        <v>45740</v>
      </c>
    </row>
  </sheetData>
  <pageMargins left="0.75" right="0.75" top="1" bottom="1" header="0.5" footer="0.5"/>
  <pageSetup paperSize="1" orientation="portrait" horizontalDpi="300" verticalDpi="300"/>
  <headerFooter alignWithMargins="0" scaleWithDoc="0"/>
</worksheet>
</file>

<file path=xl/worksheets/sheet9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0"/>
  <sheetViews>
    <sheetView zoomScaleSheetLayoutView="60" workbookViewId="0">
      <selection activeCell="A1" sqref="A1"/>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1" t="str">
        <f>HYPERLINK("#表结构清单!A1","返回")</f>
        <v>返回</v>
      </c>
      <c r="B1" t="s">
        <v>129</v>
      </c>
    </row>
    <row r="2" spans="2:10">
      <c r="B2" s="13" t="s">
        <v>15982</v>
      </c>
      <c r="C2" s="13" t="s">
        <v>297</v>
      </c>
      <c r="D2" s="13" t="s">
        <v>11870</v>
      </c>
      <c r="E2" s="13" t="s">
        <v>15983</v>
      </c>
      <c r="F2" s="13" t="s">
        <v>15984</v>
      </c>
      <c r="G2" s="13" t="s">
        <v>300</v>
      </c>
      <c r="H2" s="13" t="s">
        <v>301</v>
      </c>
      <c r="I2" s="13" t="s">
        <v>15985</v>
      </c>
      <c r="J2" s="13" t="s">
        <v>15986</v>
      </c>
    </row>
    <row r="3" spans="2:10">
      <c r="B3" s="15" t="s">
        <v>19199</v>
      </c>
      <c r="C3" s="15" t="s">
        <v>15988</v>
      </c>
      <c r="D3" s="15" t="s">
        <v>316</v>
      </c>
      <c r="E3" s="15" t="s">
        <v>15989</v>
      </c>
      <c r="F3" s="15" t="s">
        <v>19200</v>
      </c>
      <c r="G3" s="15"/>
      <c r="H3" s="15"/>
      <c r="I3" s="15" t="s">
        <v>528</v>
      </c>
      <c r="J3" s="15" t="s">
        <v>15991</v>
      </c>
    </row>
    <row r="4" spans="2:10">
      <c r="B4" s="15" t="s">
        <v>19199</v>
      </c>
      <c r="C4" s="15" t="s">
        <v>18673</v>
      </c>
      <c r="D4" s="15" t="s">
        <v>316</v>
      </c>
      <c r="E4" s="15" t="s">
        <v>305</v>
      </c>
      <c r="F4" s="15" t="s">
        <v>19111</v>
      </c>
      <c r="G4" s="15"/>
      <c r="H4" s="15"/>
      <c r="I4" s="15" t="s">
        <v>528</v>
      </c>
      <c r="J4" s="15" t="s">
        <v>15991</v>
      </c>
    </row>
    <row r="5" spans="2:10">
      <c r="B5" s="15" t="s">
        <v>19199</v>
      </c>
      <c r="C5" s="15" t="s">
        <v>16103</v>
      </c>
      <c r="D5" s="15" t="s">
        <v>316</v>
      </c>
      <c r="E5" s="15" t="s">
        <v>305</v>
      </c>
      <c r="F5" s="15" t="s">
        <v>16986</v>
      </c>
      <c r="G5" s="15"/>
      <c r="H5" s="15"/>
      <c r="I5" s="15" t="s">
        <v>528</v>
      </c>
      <c r="J5" s="15" t="s">
        <v>15991</v>
      </c>
    </row>
    <row r="6" spans="2:10">
      <c r="B6" s="15" t="s">
        <v>19199</v>
      </c>
      <c r="C6" s="15" t="s">
        <v>19173</v>
      </c>
      <c r="D6" s="15" t="s">
        <v>316</v>
      </c>
      <c r="E6" s="15" t="s">
        <v>305</v>
      </c>
      <c r="F6" s="15" t="s">
        <v>19201</v>
      </c>
      <c r="G6" s="15"/>
      <c r="H6" s="15"/>
      <c r="I6" s="15" t="s">
        <v>528</v>
      </c>
      <c r="J6" s="15" t="s">
        <v>15991</v>
      </c>
    </row>
    <row r="7" spans="2:10">
      <c r="B7" s="15" t="s">
        <v>19199</v>
      </c>
      <c r="C7" s="15" t="s">
        <v>19177</v>
      </c>
      <c r="D7" s="15" t="s">
        <v>321</v>
      </c>
      <c r="E7" s="15" t="s">
        <v>305</v>
      </c>
      <c r="F7" s="43" t="s">
        <v>19202</v>
      </c>
      <c r="G7" s="61" t="str">
        <f>HYPERLINK("#码值映射清单!B7666","InOutWHType")</f>
        <v>InOutWHType</v>
      </c>
      <c r="H7" s="20"/>
      <c r="I7" s="15" t="s">
        <v>528</v>
      </c>
      <c r="J7" s="15" t="s">
        <v>15991</v>
      </c>
    </row>
    <row r="8" spans="2:10">
      <c r="B8" s="15" t="s">
        <v>19199</v>
      </c>
      <c r="C8" s="15" t="s">
        <v>19203</v>
      </c>
      <c r="D8" s="15" t="s">
        <v>367</v>
      </c>
      <c r="E8" s="15" t="s">
        <v>305</v>
      </c>
      <c r="F8" s="15" t="s">
        <v>19204</v>
      </c>
      <c r="G8" s="68" t="str">
        <f>HYPERLINK("#码值映射清单!B3007","InOutRCReason")</f>
        <v>InOutRCReason</v>
      </c>
      <c r="H8" s="15"/>
      <c r="I8" s="15" t="s">
        <v>528</v>
      </c>
      <c r="J8" s="67">
        <v>45740</v>
      </c>
    </row>
    <row r="9" spans="2:10">
      <c r="B9" s="15" t="s">
        <v>19199</v>
      </c>
      <c r="C9" s="15" t="s">
        <v>19118</v>
      </c>
      <c r="D9" s="15" t="s">
        <v>316</v>
      </c>
      <c r="E9" s="15" t="s">
        <v>305</v>
      </c>
      <c r="F9" s="15" t="s">
        <v>19172</v>
      </c>
      <c r="G9" s="15"/>
      <c r="H9" s="15"/>
      <c r="I9" s="15" t="s">
        <v>528</v>
      </c>
      <c r="J9" s="15" t="s">
        <v>15991</v>
      </c>
    </row>
    <row r="10" spans="2:10">
      <c r="B10" s="15" t="s">
        <v>19199</v>
      </c>
      <c r="C10" s="15" t="s">
        <v>19205</v>
      </c>
      <c r="D10" s="15" t="s">
        <v>506</v>
      </c>
      <c r="E10" s="15" t="s">
        <v>305</v>
      </c>
      <c r="F10" s="15" t="s">
        <v>19206</v>
      </c>
      <c r="G10" s="15"/>
      <c r="H10" s="15"/>
      <c r="I10" s="15" t="s">
        <v>528</v>
      </c>
      <c r="J10" s="15" t="s">
        <v>15991</v>
      </c>
    </row>
    <row r="11" spans="2:10">
      <c r="B11" s="15" t="s">
        <v>19199</v>
      </c>
      <c r="C11" s="15" t="s">
        <v>19207</v>
      </c>
      <c r="D11" s="15" t="s">
        <v>506</v>
      </c>
      <c r="E11" s="15" t="s">
        <v>305</v>
      </c>
      <c r="F11" s="15" t="s">
        <v>16710</v>
      </c>
      <c r="G11" s="15"/>
      <c r="H11" s="15"/>
      <c r="I11" s="15" t="s">
        <v>528</v>
      </c>
      <c r="J11" s="15" t="s">
        <v>15991</v>
      </c>
    </row>
    <row r="12" spans="2:10">
      <c r="B12" s="15" t="s">
        <v>19199</v>
      </c>
      <c r="C12" s="15" t="s">
        <v>19208</v>
      </c>
      <c r="D12" s="15" t="s">
        <v>513</v>
      </c>
      <c r="E12" s="15" t="s">
        <v>305</v>
      </c>
      <c r="F12" s="15" t="s">
        <v>19209</v>
      </c>
      <c r="G12" s="15"/>
      <c r="H12" s="15"/>
      <c r="I12" s="15" t="s">
        <v>528</v>
      </c>
      <c r="J12" s="15" t="s">
        <v>15991</v>
      </c>
    </row>
    <row r="13" spans="2:10">
      <c r="B13" s="15" t="s">
        <v>19199</v>
      </c>
      <c r="C13" s="15" t="s">
        <v>16086</v>
      </c>
      <c r="D13" s="15" t="s">
        <v>16087</v>
      </c>
      <c r="E13" s="15" t="s">
        <v>305</v>
      </c>
      <c r="F13" s="15" t="s">
        <v>301</v>
      </c>
      <c r="G13" s="15"/>
      <c r="H13" s="15"/>
      <c r="I13" s="15" t="s">
        <v>528</v>
      </c>
      <c r="J13" s="15" t="s">
        <v>15991</v>
      </c>
    </row>
    <row r="14" spans="2:10">
      <c r="B14" s="15" t="s">
        <v>19199</v>
      </c>
      <c r="C14" s="15" t="s">
        <v>16011</v>
      </c>
      <c r="D14" s="15" t="s">
        <v>316</v>
      </c>
      <c r="E14" s="15" t="s">
        <v>305</v>
      </c>
      <c r="F14" s="15" t="s">
        <v>16012</v>
      </c>
      <c r="G14" s="15"/>
      <c r="H14" s="15"/>
      <c r="I14" s="15" t="s">
        <v>528</v>
      </c>
      <c r="J14" s="15" t="s">
        <v>15991</v>
      </c>
    </row>
    <row r="15" spans="2:10">
      <c r="B15" s="15" t="s">
        <v>19199</v>
      </c>
      <c r="C15" s="15" t="s">
        <v>16009</v>
      </c>
      <c r="D15" s="15" t="s">
        <v>316</v>
      </c>
      <c r="E15" s="15" t="s">
        <v>305</v>
      </c>
      <c r="F15" s="15" t="s">
        <v>16010</v>
      </c>
      <c r="G15" s="15"/>
      <c r="H15" s="15"/>
      <c r="I15" s="15" t="s">
        <v>528</v>
      </c>
      <c r="J15" s="15" t="s">
        <v>15991</v>
      </c>
    </row>
    <row r="16" spans="2:10">
      <c r="B16" s="15" t="s">
        <v>19199</v>
      </c>
      <c r="C16" s="15" t="s">
        <v>16013</v>
      </c>
      <c r="D16" s="15" t="s">
        <v>371</v>
      </c>
      <c r="E16" s="15" t="s">
        <v>305</v>
      </c>
      <c r="F16" s="15" t="s">
        <v>16014</v>
      </c>
      <c r="G16" s="15"/>
      <c r="H16" s="15"/>
      <c r="I16" s="15" t="s">
        <v>528</v>
      </c>
      <c r="J16" s="15" t="s">
        <v>15991</v>
      </c>
    </row>
    <row r="17" spans="2:10">
      <c r="B17" s="15" t="s">
        <v>19199</v>
      </c>
      <c r="C17" s="15" t="s">
        <v>16017</v>
      </c>
      <c r="D17" s="15" t="s">
        <v>316</v>
      </c>
      <c r="E17" s="15" t="s">
        <v>305</v>
      </c>
      <c r="F17" s="15" t="s">
        <v>16018</v>
      </c>
      <c r="G17" s="15"/>
      <c r="H17" s="15"/>
      <c r="I17" s="15" t="s">
        <v>528</v>
      </c>
      <c r="J17" s="15" t="s">
        <v>15991</v>
      </c>
    </row>
    <row r="18" spans="2:10">
      <c r="B18" s="15" t="s">
        <v>19199</v>
      </c>
      <c r="C18" s="15" t="s">
        <v>16015</v>
      </c>
      <c r="D18" s="15" t="s">
        <v>316</v>
      </c>
      <c r="E18" s="15" t="s">
        <v>305</v>
      </c>
      <c r="F18" s="15" t="s">
        <v>16016</v>
      </c>
      <c r="G18" s="15"/>
      <c r="H18" s="15"/>
      <c r="I18" s="15" t="s">
        <v>528</v>
      </c>
      <c r="J18" s="15" t="s">
        <v>15991</v>
      </c>
    </row>
    <row r="19" spans="2:10">
      <c r="B19" s="15" t="s">
        <v>19199</v>
      </c>
      <c r="C19" s="15" t="s">
        <v>16019</v>
      </c>
      <c r="D19" s="15" t="s">
        <v>371</v>
      </c>
      <c r="E19" s="15" t="s">
        <v>305</v>
      </c>
      <c r="F19" s="15" t="s">
        <v>16020</v>
      </c>
      <c r="G19" s="15"/>
      <c r="H19" s="15"/>
      <c r="I19" s="15" t="s">
        <v>528</v>
      </c>
      <c r="J19" s="15" t="s">
        <v>15991</v>
      </c>
    </row>
    <row r="20" spans="2:10">
      <c r="B20" s="15" t="s">
        <v>19199</v>
      </c>
      <c r="C20" s="15" t="s">
        <v>16088</v>
      </c>
      <c r="D20" s="15" t="s">
        <v>316</v>
      </c>
      <c r="E20" s="15" t="s">
        <v>305</v>
      </c>
      <c r="F20" s="15" t="s">
        <v>16089</v>
      </c>
      <c r="G20" s="15"/>
      <c r="H20" s="15"/>
      <c r="I20" s="15" t="s">
        <v>528</v>
      </c>
      <c r="J20" s="15" t="s">
        <v>15991</v>
      </c>
    </row>
  </sheetData>
  <pageMargins left="0.75" right="0.75" top="1" bottom="1" header="0.5" footer="0.5"/>
  <pageSetup paperSize="1" orientation="portrait" horizontalDpi="300" verticalDpi="300"/>
  <headerFooter alignWithMargins="0" scaleWithDoc="0"/>
</worksheet>
</file>

<file path=xl/worksheets/sheet9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3"/>
  <sheetViews>
    <sheetView zoomScaleSheetLayoutView="60" workbookViewId="0">
      <selection activeCell="A1" sqref="A1"/>
    </sheetView>
  </sheetViews>
  <sheetFormatPr defaultColWidth="9.14285714285714" defaultRowHeight="15.2"/>
  <cols>
    <col min="2" max="2" width="19.5357142857143" customWidth="1"/>
    <col min="3" max="3" width="20.4285714285714" customWidth="1"/>
    <col min="4" max="4" width="15.625" customWidth="1"/>
    <col min="5" max="5" width="7.80357142857143" customWidth="1"/>
    <col min="6" max="6" width="39.0625" customWidth="1"/>
    <col min="7" max="7" width="15.625" customWidth="1"/>
    <col min="10" max="10" width="11.7053571428571" customWidth="1"/>
  </cols>
  <sheetData>
    <row r="1" spans="1:2">
      <c r="A1" s="1" t="str">
        <f>HYPERLINK("#表结构清单!A1","返回")</f>
        <v>返回</v>
      </c>
      <c r="B1" t="s">
        <v>130</v>
      </c>
    </row>
    <row r="2" spans="2:10">
      <c r="B2" s="13" t="s">
        <v>15982</v>
      </c>
      <c r="C2" s="13" t="s">
        <v>297</v>
      </c>
      <c r="D2" s="13" t="s">
        <v>11870</v>
      </c>
      <c r="E2" s="13" t="s">
        <v>15983</v>
      </c>
      <c r="F2" s="13" t="s">
        <v>15984</v>
      </c>
      <c r="G2" s="13" t="s">
        <v>300</v>
      </c>
      <c r="H2" s="13" t="s">
        <v>301</v>
      </c>
      <c r="I2" s="13" t="s">
        <v>15985</v>
      </c>
      <c r="J2" s="13" t="s">
        <v>15986</v>
      </c>
    </row>
    <row r="3" spans="2:10">
      <c r="B3" s="15" t="s">
        <v>19210</v>
      </c>
      <c r="C3" s="15" t="s">
        <v>15988</v>
      </c>
      <c r="D3" s="15" t="s">
        <v>316</v>
      </c>
      <c r="E3" s="15" t="s">
        <v>15989</v>
      </c>
      <c r="F3" s="15" t="s">
        <v>15990</v>
      </c>
      <c r="G3" s="15"/>
      <c r="H3" s="15"/>
      <c r="I3" s="15" t="s">
        <v>528</v>
      </c>
      <c r="J3" s="15" t="s">
        <v>15991</v>
      </c>
    </row>
    <row r="4" spans="2:10">
      <c r="B4" s="15" t="s">
        <v>19210</v>
      </c>
      <c r="C4" s="15" t="s">
        <v>19173</v>
      </c>
      <c r="D4" s="15" t="s">
        <v>316</v>
      </c>
      <c r="E4" s="15" t="s">
        <v>305</v>
      </c>
      <c r="F4" s="15" t="s">
        <v>19211</v>
      </c>
      <c r="G4" s="15"/>
      <c r="H4" s="15"/>
      <c r="I4" s="15" t="s">
        <v>528</v>
      </c>
      <c r="J4" s="15" t="s">
        <v>15991</v>
      </c>
    </row>
    <row r="5" spans="2:10">
      <c r="B5" s="15" t="s">
        <v>19210</v>
      </c>
      <c r="C5" s="15" t="s">
        <v>19177</v>
      </c>
      <c r="D5" s="15" t="s">
        <v>321</v>
      </c>
      <c r="E5" s="15" t="s">
        <v>305</v>
      </c>
      <c r="F5" s="15" t="s">
        <v>9932</v>
      </c>
      <c r="G5" s="15"/>
      <c r="H5" s="49" t="s">
        <v>19212</v>
      </c>
      <c r="I5" s="15" t="s">
        <v>528</v>
      </c>
      <c r="J5" s="67">
        <v>45740</v>
      </c>
    </row>
    <row r="6" spans="2:10">
      <c r="B6" s="15" t="s">
        <v>19210</v>
      </c>
      <c r="C6" s="15" t="s">
        <v>18673</v>
      </c>
      <c r="D6" s="15" t="s">
        <v>316</v>
      </c>
      <c r="E6" s="15" t="s">
        <v>305</v>
      </c>
      <c r="F6" s="15" t="s">
        <v>19111</v>
      </c>
      <c r="G6" s="15"/>
      <c r="H6" s="15"/>
      <c r="I6" s="15" t="s">
        <v>528</v>
      </c>
      <c r="J6" s="15" t="s">
        <v>15991</v>
      </c>
    </row>
    <row r="7" spans="2:10">
      <c r="B7" s="15" t="s">
        <v>19210</v>
      </c>
      <c r="C7" s="15" t="s">
        <v>19118</v>
      </c>
      <c r="D7" s="15" t="s">
        <v>316</v>
      </c>
      <c r="E7" s="15" t="s">
        <v>305</v>
      </c>
      <c r="F7" s="15" t="s">
        <v>19172</v>
      </c>
      <c r="G7" s="15"/>
      <c r="H7" s="15"/>
      <c r="I7" s="15" t="s">
        <v>528</v>
      </c>
      <c r="J7" s="15" t="s">
        <v>15991</v>
      </c>
    </row>
    <row r="8" spans="2:10">
      <c r="B8" s="15" t="s">
        <v>19210</v>
      </c>
      <c r="C8" s="15" t="s">
        <v>19185</v>
      </c>
      <c r="D8" s="15" t="s">
        <v>321</v>
      </c>
      <c r="E8" s="15" t="s">
        <v>305</v>
      </c>
      <c r="F8" s="15" t="s">
        <v>19186</v>
      </c>
      <c r="G8" s="15"/>
      <c r="H8" s="15"/>
      <c r="I8" s="15" t="s">
        <v>528</v>
      </c>
      <c r="J8" s="15" t="s">
        <v>15991</v>
      </c>
    </row>
    <row r="9" spans="2:10">
      <c r="B9" s="15" t="s">
        <v>19210</v>
      </c>
      <c r="C9" s="15" t="s">
        <v>19213</v>
      </c>
      <c r="D9" s="15" t="s">
        <v>316</v>
      </c>
      <c r="E9" s="15" t="s">
        <v>305</v>
      </c>
      <c r="F9" s="15" t="s">
        <v>19214</v>
      </c>
      <c r="G9" s="15"/>
      <c r="H9" s="15"/>
      <c r="I9" s="15" t="s">
        <v>528</v>
      </c>
      <c r="J9" s="15" t="s">
        <v>15991</v>
      </c>
    </row>
    <row r="10" spans="2:10">
      <c r="B10" s="15" t="s">
        <v>19210</v>
      </c>
      <c r="C10" s="15" t="s">
        <v>19215</v>
      </c>
      <c r="D10" s="15" t="s">
        <v>16072</v>
      </c>
      <c r="E10" s="15" t="s">
        <v>305</v>
      </c>
      <c r="F10" s="53" t="s">
        <v>19216</v>
      </c>
      <c r="G10" s="15"/>
      <c r="H10" s="15"/>
      <c r="I10" s="15" t="s">
        <v>528</v>
      </c>
      <c r="J10" s="15" t="s">
        <v>15991</v>
      </c>
    </row>
    <row r="11" spans="2:10">
      <c r="B11" s="15" t="s">
        <v>19210</v>
      </c>
      <c r="C11" s="15" t="s">
        <v>19217</v>
      </c>
      <c r="D11" s="15" t="s">
        <v>513</v>
      </c>
      <c r="E11" s="15" t="s">
        <v>305</v>
      </c>
      <c r="F11" s="15" t="s">
        <v>19218</v>
      </c>
      <c r="G11" s="15"/>
      <c r="H11" s="15"/>
      <c r="I11" s="15" t="s">
        <v>528</v>
      </c>
      <c r="J11" s="15" t="s">
        <v>15991</v>
      </c>
    </row>
    <row r="12" spans="2:10">
      <c r="B12" s="15" t="s">
        <v>19210</v>
      </c>
      <c r="C12" s="15" t="s">
        <v>16086</v>
      </c>
      <c r="D12" s="15" t="s">
        <v>16087</v>
      </c>
      <c r="E12" s="15" t="s">
        <v>305</v>
      </c>
      <c r="F12" s="15" t="s">
        <v>301</v>
      </c>
      <c r="G12" s="15"/>
      <c r="H12" s="15"/>
      <c r="I12" s="15" t="s">
        <v>528</v>
      </c>
      <c r="J12" s="15" t="s">
        <v>15991</v>
      </c>
    </row>
    <row r="13" spans="2:10">
      <c r="B13" s="15" t="s">
        <v>19210</v>
      </c>
      <c r="C13" s="15" t="s">
        <v>16011</v>
      </c>
      <c r="D13" s="15" t="s">
        <v>316</v>
      </c>
      <c r="E13" s="15" t="s">
        <v>305</v>
      </c>
      <c r="F13" s="15" t="s">
        <v>16012</v>
      </c>
      <c r="G13" s="15"/>
      <c r="H13" s="15"/>
      <c r="I13" s="15" t="s">
        <v>528</v>
      </c>
      <c r="J13" s="15" t="s">
        <v>15991</v>
      </c>
    </row>
    <row r="14" spans="2:10">
      <c r="B14" s="15" t="s">
        <v>19210</v>
      </c>
      <c r="C14" s="15" t="s">
        <v>16009</v>
      </c>
      <c r="D14" s="15" t="s">
        <v>316</v>
      </c>
      <c r="E14" s="15" t="s">
        <v>305</v>
      </c>
      <c r="F14" s="15" t="s">
        <v>16010</v>
      </c>
      <c r="G14" s="15"/>
      <c r="H14" s="15"/>
      <c r="I14" s="15" t="s">
        <v>528</v>
      </c>
      <c r="J14" s="15" t="s">
        <v>15991</v>
      </c>
    </row>
    <row r="15" spans="2:10">
      <c r="B15" s="15" t="s">
        <v>19210</v>
      </c>
      <c r="C15" s="15" t="s">
        <v>16013</v>
      </c>
      <c r="D15" s="15" t="s">
        <v>371</v>
      </c>
      <c r="E15" s="15" t="s">
        <v>305</v>
      </c>
      <c r="F15" s="15" t="s">
        <v>16014</v>
      </c>
      <c r="G15" s="15"/>
      <c r="H15" s="15"/>
      <c r="I15" s="15" t="s">
        <v>528</v>
      </c>
      <c r="J15" s="15" t="s">
        <v>15991</v>
      </c>
    </row>
    <row r="16" spans="2:10">
      <c r="B16" s="15" t="s">
        <v>19210</v>
      </c>
      <c r="C16" s="15" t="s">
        <v>16017</v>
      </c>
      <c r="D16" s="15" t="s">
        <v>316</v>
      </c>
      <c r="E16" s="15" t="s">
        <v>305</v>
      </c>
      <c r="F16" s="15" t="s">
        <v>16018</v>
      </c>
      <c r="G16" s="15"/>
      <c r="H16" s="15"/>
      <c r="I16" s="15" t="s">
        <v>528</v>
      </c>
      <c r="J16" s="15" t="s">
        <v>15991</v>
      </c>
    </row>
    <row r="17" spans="2:10">
      <c r="B17" s="15" t="s">
        <v>19210</v>
      </c>
      <c r="C17" s="15" t="s">
        <v>16015</v>
      </c>
      <c r="D17" s="15" t="s">
        <v>316</v>
      </c>
      <c r="E17" s="15" t="s">
        <v>305</v>
      </c>
      <c r="F17" s="15" t="s">
        <v>16016</v>
      </c>
      <c r="G17" s="15"/>
      <c r="H17" s="15"/>
      <c r="I17" s="15" t="s">
        <v>528</v>
      </c>
      <c r="J17" s="15" t="s">
        <v>15991</v>
      </c>
    </row>
    <row r="18" spans="2:10">
      <c r="B18" s="15" t="s">
        <v>19210</v>
      </c>
      <c r="C18" s="15" t="s">
        <v>16019</v>
      </c>
      <c r="D18" s="15" t="s">
        <v>371</v>
      </c>
      <c r="E18" s="15" t="s">
        <v>305</v>
      </c>
      <c r="F18" s="15" t="s">
        <v>16020</v>
      </c>
      <c r="G18" s="15"/>
      <c r="H18" s="15"/>
      <c r="I18" s="15" t="s">
        <v>528</v>
      </c>
      <c r="J18" s="15" t="s">
        <v>15991</v>
      </c>
    </row>
    <row r="19" spans="2:10">
      <c r="B19" s="15" t="s">
        <v>19210</v>
      </c>
      <c r="C19" s="16" t="s">
        <v>16088</v>
      </c>
      <c r="D19" s="16" t="s">
        <v>316</v>
      </c>
      <c r="E19" s="16" t="s">
        <v>305</v>
      </c>
      <c r="F19" s="16" t="s">
        <v>16089</v>
      </c>
      <c r="G19" s="16"/>
      <c r="H19" s="16"/>
      <c r="I19" s="16" t="s">
        <v>528</v>
      </c>
      <c r="J19" s="16" t="s">
        <v>15991</v>
      </c>
    </row>
    <row r="20" spans="2:10">
      <c r="B20" s="56" t="s">
        <v>19210</v>
      </c>
      <c r="C20" s="57" t="s">
        <v>19195</v>
      </c>
      <c r="D20" s="65" t="s">
        <v>316</v>
      </c>
      <c r="E20" s="65" t="s">
        <v>305</v>
      </c>
      <c r="F20" s="59" t="s">
        <v>19219</v>
      </c>
      <c r="G20" s="57"/>
      <c r="H20" s="57"/>
      <c r="I20" s="57"/>
      <c r="J20" s="67">
        <v>45740</v>
      </c>
    </row>
    <row r="21" spans="2:10">
      <c r="B21" s="56" t="s">
        <v>19210</v>
      </c>
      <c r="C21" s="57" t="s">
        <v>19220</v>
      </c>
      <c r="D21" s="65" t="s">
        <v>316</v>
      </c>
      <c r="E21" s="65" t="s">
        <v>305</v>
      </c>
      <c r="F21" s="59" t="s">
        <v>16895</v>
      </c>
      <c r="G21" s="57"/>
      <c r="H21" s="57"/>
      <c r="I21" s="57"/>
      <c r="J21" s="67">
        <v>45740</v>
      </c>
    </row>
    <row r="22" spans="2:10">
      <c r="B22" s="56" t="s">
        <v>19210</v>
      </c>
      <c r="C22" s="57" t="s">
        <v>16941</v>
      </c>
      <c r="D22" s="65" t="s">
        <v>316</v>
      </c>
      <c r="E22" s="65" t="s">
        <v>305</v>
      </c>
      <c r="F22" s="59" t="s">
        <v>309</v>
      </c>
      <c r="G22" s="57"/>
      <c r="H22" s="57"/>
      <c r="I22" s="57"/>
      <c r="J22" s="67">
        <v>45740</v>
      </c>
    </row>
    <row r="23" spans="2:10">
      <c r="B23" s="56" t="s">
        <v>19210</v>
      </c>
      <c r="C23" s="57" t="s">
        <v>19221</v>
      </c>
      <c r="D23" s="65" t="s">
        <v>321</v>
      </c>
      <c r="E23" s="65" t="s">
        <v>305</v>
      </c>
      <c r="F23" s="59" t="s">
        <v>19222</v>
      </c>
      <c r="G23" s="57" t="str">
        <f>HYPERLINK("#码值映射清单!B3007","InOutRCReason")</f>
        <v>InOutRCReason</v>
      </c>
      <c r="H23" s="66"/>
      <c r="I23" s="57"/>
      <c r="J23" s="67">
        <v>45740</v>
      </c>
    </row>
  </sheetData>
  <pageMargins left="0.75" right="0.75" top="1" bottom="1" header="0.5" footer="0.5"/>
  <pageSetup paperSize="1" orientation="portrait" horizontalDpi="300" verticalDpi="300"/>
  <headerFooter alignWithMargins="0" scaleWithDoc="0"/>
</worksheet>
</file>

<file path=xl/worksheets/sheet9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6"/>
  <sheetViews>
    <sheetView zoomScaleSheetLayoutView="60" workbookViewId="0">
      <selection activeCell="D16" sqref="D16"/>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52" t="str">
        <f>HYPERLINK("#表结构清单!A1","返回")</f>
        <v>返回</v>
      </c>
      <c r="B1" t="s">
        <v>131</v>
      </c>
    </row>
    <row r="2" spans="2:10">
      <c r="B2" s="13" t="s">
        <v>15982</v>
      </c>
      <c r="C2" s="13" t="s">
        <v>297</v>
      </c>
      <c r="D2" s="13" t="s">
        <v>11870</v>
      </c>
      <c r="E2" s="13" t="s">
        <v>15983</v>
      </c>
      <c r="F2" s="13" t="s">
        <v>15984</v>
      </c>
      <c r="G2" s="13" t="s">
        <v>300</v>
      </c>
      <c r="H2" s="13" t="s">
        <v>301</v>
      </c>
      <c r="I2" s="13" t="s">
        <v>15985</v>
      </c>
      <c r="J2" s="13" t="s">
        <v>15986</v>
      </c>
    </row>
    <row r="3" spans="2:10">
      <c r="B3" s="15" t="s">
        <v>19223</v>
      </c>
      <c r="C3" s="15" t="s">
        <v>15988</v>
      </c>
      <c r="D3" s="15" t="s">
        <v>316</v>
      </c>
      <c r="E3" s="15" t="s">
        <v>15989</v>
      </c>
      <c r="F3" s="15" t="s">
        <v>19224</v>
      </c>
      <c r="G3" s="15"/>
      <c r="H3" s="15"/>
      <c r="I3" s="15" t="s">
        <v>528</v>
      </c>
      <c r="J3" s="15" t="s">
        <v>15991</v>
      </c>
    </row>
    <row r="4" spans="2:10">
      <c r="B4" s="15" t="s">
        <v>19223</v>
      </c>
      <c r="C4" s="15" t="s">
        <v>19173</v>
      </c>
      <c r="D4" s="15" t="s">
        <v>316</v>
      </c>
      <c r="E4" s="15" t="s">
        <v>305</v>
      </c>
      <c r="F4" s="15" t="s">
        <v>19225</v>
      </c>
      <c r="G4" s="15"/>
      <c r="H4" s="15"/>
      <c r="I4" s="15" t="s">
        <v>528</v>
      </c>
      <c r="J4" s="15" t="s">
        <v>15991</v>
      </c>
    </row>
    <row r="5" spans="2:10">
      <c r="B5" s="15" t="s">
        <v>19223</v>
      </c>
      <c r="C5" s="15" t="s">
        <v>19177</v>
      </c>
      <c r="D5" s="15" t="s">
        <v>321</v>
      </c>
      <c r="E5" s="15" t="s">
        <v>305</v>
      </c>
      <c r="F5" s="15" t="s">
        <v>9932</v>
      </c>
      <c r="G5" s="52" t="str">
        <f>HYPERLINK("#码值映射清单!B7666","InOutWHType")</f>
        <v>InOutWHType</v>
      </c>
      <c r="H5" s="15"/>
      <c r="I5" s="15" t="s">
        <v>528</v>
      </c>
      <c r="J5" s="15" t="s">
        <v>15991</v>
      </c>
    </row>
    <row r="6" spans="2:10">
      <c r="B6" s="15" t="s">
        <v>19223</v>
      </c>
      <c r="C6" s="15" t="s">
        <v>19203</v>
      </c>
      <c r="D6" s="15" t="s">
        <v>513</v>
      </c>
      <c r="E6" s="15" t="s">
        <v>305</v>
      </c>
      <c r="F6" s="15" t="s">
        <v>19226</v>
      </c>
      <c r="G6" s="52" t="str">
        <f>HYPERLINK("#码值映射清单!B3007","InOutRCReason")</f>
        <v>InOutRCReason</v>
      </c>
      <c r="H6" s="15"/>
      <c r="I6" s="15" t="s">
        <v>528</v>
      </c>
      <c r="J6" s="15" t="s">
        <v>15991</v>
      </c>
    </row>
    <row r="7" spans="2:10">
      <c r="B7" s="15" t="s">
        <v>19223</v>
      </c>
      <c r="C7" s="15" t="s">
        <v>16096</v>
      </c>
      <c r="D7" s="15" t="s">
        <v>316</v>
      </c>
      <c r="E7" s="15" t="s">
        <v>305</v>
      </c>
      <c r="F7" s="15" t="s">
        <v>16097</v>
      </c>
      <c r="G7" s="15"/>
      <c r="H7" s="15"/>
      <c r="I7" s="15" t="s">
        <v>528</v>
      </c>
      <c r="J7" s="15" t="s">
        <v>15991</v>
      </c>
    </row>
    <row r="8" spans="2:10">
      <c r="B8" s="15" t="s">
        <v>19223</v>
      </c>
      <c r="C8" s="15" t="s">
        <v>19227</v>
      </c>
      <c r="D8" s="15" t="s">
        <v>316</v>
      </c>
      <c r="E8" s="15" t="s">
        <v>305</v>
      </c>
      <c r="F8" s="15" t="s">
        <v>19228</v>
      </c>
      <c r="G8" s="15"/>
      <c r="H8" s="15"/>
      <c r="I8" s="15" t="s">
        <v>528</v>
      </c>
      <c r="J8" s="15" t="s">
        <v>15991</v>
      </c>
    </row>
    <row r="9" spans="2:10">
      <c r="B9" s="15" t="s">
        <v>19223</v>
      </c>
      <c r="C9" s="15" t="s">
        <v>16086</v>
      </c>
      <c r="D9" s="15" t="s">
        <v>16087</v>
      </c>
      <c r="E9" s="15" t="s">
        <v>305</v>
      </c>
      <c r="F9" s="15" t="s">
        <v>301</v>
      </c>
      <c r="G9" s="15"/>
      <c r="H9" s="15"/>
      <c r="I9" s="15" t="s">
        <v>528</v>
      </c>
      <c r="J9" s="15" t="s">
        <v>15991</v>
      </c>
    </row>
    <row r="10" spans="2:10">
      <c r="B10" s="15" t="s">
        <v>19223</v>
      </c>
      <c r="C10" s="15" t="s">
        <v>16011</v>
      </c>
      <c r="D10" s="15" t="s">
        <v>316</v>
      </c>
      <c r="E10" s="15" t="s">
        <v>305</v>
      </c>
      <c r="F10" s="15" t="s">
        <v>16012</v>
      </c>
      <c r="G10" s="15"/>
      <c r="H10" s="15"/>
      <c r="I10" s="15" t="s">
        <v>528</v>
      </c>
      <c r="J10" s="15" t="s">
        <v>15991</v>
      </c>
    </row>
    <row r="11" spans="2:10">
      <c r="B11" s="15" t="s">
        <v>19223</v>
      </c>
      <c r="C11" s="15" t="s">
        <v>16009</v>
      </c>
      <c r="D11" s="15" t="s">
        <v>316</v>
      </c>
      <c r="E11" s="15" t="s">
        <v>305</v>
      </c>
      <c r="F11" s="15" t="s">
        <v>16010</v>
      </c>
      <c r="G11" s="15"/>
      <c r="H11" s="15"/>
      <c r="I11" s="15" t="s">
        <v>528</v>
      </c>
      <c r="J11" s="15" t="s">
        <v>15991</v>
      </c>
    </row>
    <row r="12" spans="2:10">
      <c r="B12" s="15" t="s">
        <v>19223</v>
      </c>
      <c r="C12" s="15" t="s">
        <v>16013</v>
      </c>
      <c r="D12" s="15" t="s">
        <v>371</v>
      </c>
      <c r="E12" s="15" t="s">
        <v>305</v>
      </c>
      <c r="F12" s="15" t="s">
        <v>16014</v>
      </c>
      <c r="G12" s="15"/>
      <c r="H12" s="15"/>
      <c r="I12" s="15" t="s">
        <v>528</v>
      </c>
      <c r="J12" s="15" t="s">
        <v>15991</v>
      </c>
    </row>
    <row r="13" spans="2:10">
      <c r="B13" s="15" t="s">
        <v>19223</v>
      </c>
      <c r="C13" s="15" t="s">
        <v>16017</v>
      </c>
      <c r="D13" s="15" t="s">
        <v>316</v>
      </c>
      <c r="E13" s="15" t="s">
        <v>305</v>
      </c>
      <c r="F13" s="15" t="s">
        <v>16018</v>
      </c>
      <c r="G13" s="15"/>
      <c r="H13" s="15"/>
      <c r="I13" s="15" t="s">
        <v>528</v>
      </c>
      <c r="J13" s="15" t="s">
        <v>15991</v>
      </c>
    </row>
    <row r="14" spans="2:10">
      <c r="B14" s="15" t="s">
        <v>19223</v>
      </c>
      <c r="C14" s="15" t="s">
        <v>16015</v>
      </c>
      <c r="D14" s="15" t="s">
        <v>316</v>
      </c>
      <c r="E14" s="15" t="s">
        <v>305</v>
      </c>
      <c r="F14" s="15" t="s">
        <v>16016</v>
      </c>
      <c r="G14" s="15"/>
      <c r="H14" s="15"/>
      <c r="I14" s="15" t="s">
        <v>528</v>
      </c>
      <c r="J14" s="15" t="s">
        <v>15991</v>
      </c>
    </row>
    <row r="15" spans="2:10">
      <c r="B15" s="15" t="s">
        <v>19223</v>
      </c>
      <c r="C15" s="15" t="s">
        <v>16019</v>
      </c>
      <c r="D15" s="15" t="s">
        <v>371</v>
      </c>
      <c r="E15" s="15" t="s">
        <v>305</v>
      </c>
      <c r="F15" s="15" t="s">
        <v>16020</v>
      </c>
      <c r="G15" s="15"/>
      <c r="H15" s="15"/>
      <c r="I15" s="15" t="s">
        <v>528</v>
      </c>
      <c r="J15" s="15" t="s">
        <v>15991</v>
      </c>
    </row>
    <row r="16" spans="2:10">
      <c r="B16" s="15" t="s">
        <v>19223</v>
      </c>
      <c r="C16" s="15" t="s">
        <v>16088</v>
      </c>
      <c r="D16" s="15" t="s">
        <v>316</v>
      </c>
      <c r="E16" s="15" t="s">
        <v>305</v>
      </c>
      <c r="F16" s="15" t="s">
        <v>16089</v>
      </c>
      <c r="G16" s="15"/>
      <c r="H16" s="15"/>
      <c r="I16" s="15" t="s">
        <v>528</v>
      </c>
      <c r="J16" s="15" t="s">
        <v>15991</v>
      </c>
    </row>
  </sheetData>
  <pageMargins left="0.75" right="0.75" top="1" bottom="1" header="0.5" footer="0.5"/>
  <pageSetup paperSize="1" orientation="portrait" horizontalDpi="300" verticalDpi="300"/>
  <headerFooter alignWithMargins="0" scaleWithDoc="0"/>
</worksheet>
</file>

<file path=xl/worksheets/sheet9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46"/>
  <sheetViews>
    <sheetView zoomScaleSheetLayoutView="60" workbookViewId="0">
      <selection activeCell="D30" sqref="D30"/>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52" t="str">
        <f>HYPERLINK("#表结构清单!A1","返回")</f>
        <v>返回</v>
      </c>
      <c r="B1" t="s">
        <v>174</v>
      </c>
    </row>
    <row r="2" spans="2:10">
      <c r="B2" s="13" t="s">
        <v>15982</v>
      </c>
      <c r="C2" s="13" t="s">
        <v>297</v>
      </c>
      <c r="D2" s="13" t="s">
        <v>11870</v>
      </c>
      <c r="E2" s="13" t="s">
        <v>15983</v>
      </c>
      <c r="F2" s="13" t="s">
        <v>15984</v>
      </c>
      <c r="G2" s="13" t="s">
        <v>300</v>
      </c>
      <c r="H2" s="13" t="s">
        <v>301</v>
      </c>
      <c r="I2" s="13" t="s">
        <v>15985</v>
      </c>
      <c r="J2" s="13" t="s">
        <v>15986</v>
      </c>
    </row>
    <row r="3" spans="2:10">
      <c r="B3" s="15" t="s">
        <v>19229</v>
      </c>
      <c r="C3" s="15" t="s">
        <v>15988</v>
      </c>
      <c r="D3" s="15" t="s">
        <v>316</v>
      </c>
      <c r="E3" s="15" t="s">
        <v>15989</v>
      </c>
      <c r="F3" s="15" t="s">
        <v>15990</v>
      </c>
      <c r="G3" s="15"/>
      <c r="H3" s="15"/>
      <c r="I3" s="15" t="s">
        <v>528</v>
      </c>
      <c r="J3" s="15" t="s">
        <v>15991</v>
      </c>
    </row>
    <row r="4" spans="2:10">
      <c r="B4" s="15" t="s">
        <v>19229</v>
      </c>
      <c r="C4" s="15" t="s">
        <v>18494</v>
      </c>
      <c r="D4" s="15" t="s">
        <v>316</v>
      </c>
      <c r="E4" s="15" t="s">
        <v>305</v>
      </c>
      <c r="F4" s="15" t="s">
        <v>19230</v>
      </c>
      <c r="G4" s="15"/>
      <c r="H4" s="15"/>
      <c r="I4" s="15" t="s">
        <v>528</v>
      </c>
      <c r="J4" s="15" t="s">
        <v>15991</v>
      </c>
    </row>
    <row r="5" spans="2:10">
      <c r="B5" s="15" t="s">
        <v>19229</v>
      </c>
      <c r="C5" s="15" t="s">
        <v>19231</v>
      </c>
      <c r="D5" s="15" t="s">
        <v>316</v>
      </c>
      <c r="E5" s="15" t="s">
        <v>305</v>
      </c>
      <c r="F5" s="15" t="s">
        <v>19232</v>
      </c>
      <c r="G5" s="15"/>
      <c r="H5" s="15"/>
      <c r="I5" s="15" t="s">
        <v>528</v>
      </c>
      <c r="J5" s="15" t="s">
        <v>15991</v>
      </c>
    </row>
    <row r="6" spans="2:10">
      <c r="B6" s="15" t="s">
        <v>19229</v>
      </c>
      <c r="C6" s="15" t="s">
        <v>18741</v>
      </c>
      <c r="D6" s="15" t="s">
        <v>513</v>
      </c>
      <c r="E6" s="15" t="s">
        <v>305</v>
      </c>
      <c r="F6" s="15" t="s">
        <v>19052</v>
      </c>
      <c r="G6" s="15"/>
      <c r="H6" s="15"/>
      <c r="I6" s="15" t="s">
        <v>528</v>
      </c>
      <c r="J6" s="15" t="s">
        <v>15991</v>
      </c>
    </row>
    <row r="7" spans="2:10">
      <c r="B7" s="15" t="s">
        <v>19229</v>
      </c>
      <c r="C7" s="15" t="s">
        <v>19233</v>
      </c>
      <c r="D7" s="15" t="s">
        <v>506</v>
      </c>
      <c r="E7" s="15" t="s">
        <v>305</v>
      </c>
      <c r="F7" s="15" t="s">
        <v>19053</v>
      </c>
      <c r="G7" s="15"/>
      <c r="H7" s="15"/>
      <c r="I7" s="15" t="s">
        <v>528</v>
      </c>
      <c r="J7" s="15" t="s">
        <v>15991</v>
      </c>
    </row>
    <row r="8" spans="2:10">
      <c r="B8" s="15" t="s">
        <v>19229</v>
      </c>
      <c r="C8" s="15" t="s">
        <v>19234</v>
      </c>
      <c r="D8" s="15" t="s">
        <v>506</v>
      </c>
      <c r="E8" s="15" t="s">
        <v>305</v>
      </c>
      <c r="F8" s="15" t="s">
        <v>19235</v>
      </c>
      <c r="G8" s="15"/>
      <c r="H8" s="15"/>
      <c r="I8" s="15" t="s">
        <v>528</v>
      </c>
      <c r="J8" s="15" t="s">
        <v>15991</v>
      </c>
    </row>
    <row r="9" spans="2:10">
      <c r="B9" s="15" t="s">
        <v>19229</v>
      </c>
      <c r="C9" s="15" t="s">
        <v>18745</v>
      </c>
      <c r="D9" s="15" t="s">
        <v>506</v>
      </c>
      <c r="E9" s="15" t="s">
        <v>305</v>
      </c>
      <c r="F9" s="15" t="s">
        <v>11401</v>
      </c>
      <c r="G9" s="15"/>
      <c r="H9" s="15"/>
      <c r="I9" s="15" t="s">
        <v>528</v>
      </c>
      <c r="J9" s="15" t="s">
        <v>15991</v>
      </c>
    </row>
    <row r="10" spans="2:10">
      <c r="B10" s="15" t="s">
        <v>19229</v>
      </c>
      <c r="C10" s="15" t="s">
        <v>19236</v>
      </c>
      <c r="D10" s="15" t="s">
        <v>321</v>
      </c>
      <c r="E10" s="15" t="s">
        <v>305</v>
      </c>
      <c r="F10" s="15" t="s">
        <v>1056</v>
      </c>
      <c r="G10" s="15"/>
      <c r="H10" s="15"/>
      <c r="I10" s="15" t="s">
        <v>528</v>
      </c>
      <c r="J10" s="15" t="s">
        <v>15991</v>
      </c>
    </row>
    <row r="11" spans="2:10">
      <c r="B11" s="15" t="s">
        <v>19229</v>
      </c>
      <c r="C11" s="15" t="s">
        <v>19237</v>
      </c>
      <c r="D11" s="15" t="s">
        <v>350</v>
      </c>
      <c r="E11" s="15" t="s">
        <v>305</v>
      </c>
      <c r="F11" s="15" t="s">
        <v>19238</v>
      </c>
      <c r="G11" s="15"/>
      <c r="H11" s="15"/>
      <c r="I11" s="15" t="s">
        <v>528</v>
      </c>
      <c r="J11" s="15" t="s">
        <v>15991</v>
      </c>
    </row>
    <row r="12" spans="2:10">
      <c r="B12" s="15" t="s">
        <v>19229</v>
      </c>
      <c r="C12" s="15" t="s">
        <v>19239</v>
      </c>
      <c r="D12" s="15" t="s">
        <v>513</v>
      </c>
      <c r="E12" s="15" t="s">
        <v>305</v>
      </c>
      <c r="F12" s="15" t="s">
        <v>19240</v>
      </c>
      <c r="G12" s="15"/>
      <c r="H12" s="15"/>
      <c r="I12" s="15" t="s">
        <v>528</v>
      </c>
      <c r="J12" s="15" t="s">
        <v>15991</v>
      </c>
    </row>
    <row r="13" spans="2:10">
      <c r="B13" s="15" t="s">
        <v>19229</v>
      </c>
      <c r="C13" s="15" t="s">
        <v>18743</v>
      </c>
      <c r="D13" s="15" t="s">
        <v>16557</v>
      </c>
      <c r="E13" s="15" t="s">
        <v>305</v>
      </c>
      <c r="F13" s="15" t="s">
        <v>19241</v>
      </c>
      <c r="G13" s="15"/>
      <c r="H13" s="15"/>
      <c r="I13" s="15" t="s">
        <v>528</v>
      </c>
      <c r="J13" s="15" t="s">
        <v>15991</v>
      </c>
    </row>
    <row r="14" spans="2:10">
      <c r="B14" s="15" t="s">
        <v>19229</v>
      </c>
      <c r="C14" s="15" t="s">
        <v>19242</v>
      </c>
      <c r="D14" s="15" t="s">
        <v>16056</v>
      </c>
      <c r="E14" s="15" t="s">
        <v>305</v>
      </c>
      <c r="F14" s="15" t="s">
        <v>19243</v>
      </c>
      <c r="G14" s="15"/>
      <c r="H14" s="15"/>
      <c r="I14" s="15" t="s">
        <v>528</v>
      </c>
      <c r="J14" s="15" t="s">
        <v>15991</v>
      </c>
    </row>
    <row r="15" spans="2:10">
      <c r="B15" s="15" t="s">
        <v>19229</v>
      </c>
      <c r="C15" s="15" t="s">
        <v>19244</v>
      </c>
      <c r="D15" s="15" t="s">
        <v>16056</v>
      </c>
      <c r="E15" s="15" t="s">
        <v>305</v>
      </c>
      <c r="F15" s="15" t="s">
        <v>19245</v>
      </c>
      <c r="G15" s="15"/>
      <c r="H15" s="15"/>
      <c r="I15" s="15" t="s">
        <v>528</v>
      </c>
      <c r="J15" s="15" t="s">
        <v>15991</v>
      </c>
    </row>
    <row r="16" spans="2:10">
      <c r="B16" s="15" t="s">
        <v>19229</v>
      </c>
      <c r="C16" s="15" t="s">
        <v>19246</v>
      </c>
      <c r="D16" s="15" t="s">
        <v>16056</v>
      </c>
      <c r="E16" s="15" t="s">
        <v>305</v>
      </c>
      <c r="F16" s="15" t="s">
        <v>19247</v>
      </c>
      <c r="G16" s="15"/>
      <c r="H16" s="15"/>
      <c r="I16" s="15" t="s">
        <v>528</v>
      </c>
      <c r="J16" s="15" t="s">
        <v>15991</v>
      </c>
    </row>
    <row r="17" spans="2:10">
      <c r="B17" s="15" t="s">
        <v>19229</v>
      </c>
      <c r="C17" s="15" t="s">
        <v>19248</v>
      </c>
      <c r="D17" s="15" t="s">
        <v>321</v>
      </c>
      <c r="E17" s="15" t="s">
        <v>305</v>
      </c>
      <c r="F17" s="15" t="s">
        <v>11816</v>
      </c>
      <c r="G17" s="15"/>
      <c r="H17" s="15"/>
      <c r="I17" s="15" t="s">
        <v>528</v>
      </c>
      <c r="J17" s="15" t="s">
        <v>15991</v>
      </c>
    </row>
    <row r="18" spans="2:10">
      <c r="B18" s="15" t="s">
        <v>19229</v>
      </c>
      <c r="C18" s="15" t="s">
        <v>19249</v>
      </c>
      <c r="D18" s="15" t="s">
        <v>321</v>
      </c>
      <c r="E18" s="15" t="s">
        <v>305</v>
      </c>
      <c r="F18" s="15" t="s">
        <v>6774</v>
      </c>
      <c r="G18" s="15"/>
      <c r="H18" s="15"/>
      <c r="I18" s="15" t="s">
        <v>528</v>
      </c>
      <c r="J18" s="15" t="s">
        <v>15991</v>
      </c>
    </row>
    <row r="19" spans="2:10">
      <c r="B19" s="15" t="s">
        <v>19229</v>
      </c>
      <c r="C19" s="15" t="s">
        <v>19250</v>
      </c>
      <c r="D19" s="15" t="s">
        <v>16056</v>
      </c>
      <c r="E19" s="15" t="s">
        <v>305</v>
      </c>
      <c r="F19" s="15" t="s">
        <v>18195</v>
      </c>
      <c r="G19" s="15"/>
      <c r="H19" s="15"/>
      <c r="I19" s="15" t="s">
        <v>528</v>
      </c>
      <c r="J19" s="15" t="s">
        <v>15991</v>
      </c>
    </row>
    <row r="20" spans="2:10">
      <c r="B20" s="15" t="s">
        <v>19229</v>
      </c>
      <c r="C20" s="15" t="s">
        <v>19251</v>
      </c>
      <c r="D20" s="15" t="s">
        <v>16557</v>
      </c>
      <c r="E20" s="15" t="s">
        <v>305</v>
      </c>
      <c r="F20" s="15" t="s">
        <v>19252</v>
      </c>
      <c r="G20" s="15"/>
      <c r="H20" s="15"/>
      <c r="I20" s="15" t="s">
        <v>528</v>
      </c>
      <c r="J20" s="15" t="s">
        <v>15991</v>
      </c>
    </row>
    <row r="21" spans="2:10">
      <c r="B21" s="15" t="s">
        <v>19229</v>
      </c>
      <c r="C21" s="15" t="s">
        <v>18865</v>
      </c>
      <c r="D21" s="15" t="s">
        <v>316</v>
      </c>
      <c r="E21" s="15" t="s">
        <v>305</v>
      </c>
      <c r="F21" s="15" t="s">
        <v>19253</v>
      </c>
      <c r="G21" s="15"/>
      <c r="H21" s="15"/>
      <c r="I21" s="15" t="s">
        <v>528</v>
      </c>
      <c r="J21" s="15" t="s">
        <v>15991</v>
      </c>
    </row>
    <row r="22" spans="2:10">
      <c r="B22" s="15" t="s">
        <v>19229</v>
      </c>
      <c r="C22" s="15" t="s">
        <v>17447</v>
      </c>
      <c r="D22" s="15" t="s">
        <v>350</v>
      </c>
      <c r="E22" s="15" t="s">
        <v>305</v>
      </c>
      <c r="F22" s="15" t="s">
        <v>19254</v>
      </c>
      <c r="G22" s="15"/>
      <c r="H22" s="15"/>
      <c r="I22" s="15" t="s">
        <v>528</v>
      </c>
      <c r="J22" s="15" t="s">
        <v>15991</v>
      </c>
    </row>
    <row r="23" spans="2:10">
      <c r="B23" s="15" t="s">
        <v>19229</v>
      </c>
      <c r="C23" s="15" t="s">
        <v>19255</v>
      </c>
      <c r="D23" s="15" t="s">
        <v>506</v>
      </c>
      <c r="E23" s="15" t="s">
        <v>305</v>
      </c>
      <c r="F23" s="15" t="s">
        <v>19256</v>
      </c>
      <c r="G23" s="15"/>
      <c r="H23" s="15"/>
      <c r="I23" s="15" t="s">
        <v>528</v>
      </c>
      <c r="J23" s="15" t="s">
        <v>15991</v>
      </c>
    </row>
    <row r="24" spans="2:10">
      <c r="B24" s="15" t="s">
        <v>19229</v>
      </c>
      <c r="C24" s="15" t="s">
        <v>19257</v>
      </c>
      <c r="D24" s="15" t="s">
        <v>506</v>
      </c>
      <c r="E24" s="15" t="s">
        <v>305</v>
      </c>
      <c r="F24" s="15" t="s">
        <v>19258</v>
      </c>
      <c r="G24" s="15"/>
      <c r="H24" s="15"/>
      <c r="I24" s="15" t="s">
        <v>528</v>
      </c>
      <c r="J24" s="15" t="s">
        <v>15991</v>
      </c>
    </row>
    <row r="25" spans="2:10">
      <c r="B25" s="15" t="s">
        <v>19229</v>
      </c>
      <c r="C25" s="15" t="s">
        <v>19259</v>
      </c>
      <c r="D25" s="15" t="s">
        <v>350</v>
      </c>
      <c r="E25" s="15" t="s">
        <v>305</v>
      </c>
      <c r="F25" s="15" t="s">
        <v>19260</v>
      </c>
      <c r="G25" s="15"/>
      <c r="H25" s="15"/>
      <c r="I25" s="15" t="s">
        <v>528</v>
      </c>
      <c r="J25" s="15" t="s">
        <v>15991</v>
      </c>
    </row>
    <row r="26" spans="2:10">
      <c r="B26" s="15" t="s">
        <v>19229</v>
      </c>
      <c r="C26" s="15" t="s">
        <v>19261</v>
      </c>
      <c r="D26" s="15" t="s">
        <v>16056</v>
      </c>
      <c r="E26" s="15" t="s">
        <v>305</v>
      </c>
      <c r="F26" s="15" t="s">
        <v>17345</v>
      </c>
      <c r="G26" s="15"/>
      <c r="H26" s="15"/>
      <c r="I26" s="15" t="s">
        <v>528</v>
      </c>
      <c r="J26" s="15" t="s">
        <v>15991</v>
      </c>
    </row>
    <row r="27" spans="2:10">
      <c r="B27" s="15" t="s">
        <v>19229</v>
      </c>
      <c r="C27" s="15" t="s">
        <v>19262</v>
      </c>
      <c r="D27" s="15" t="s">
        <v>506</v>
      </c>
      <c r="E27" s="15" t="s">
        <v>305</v>
      </c>
      <c r="F27" s="15" t="s">
        <v>19263</v>
      </c>
      <c r="G27" s="15"/>
      <c r="H27" s="15"/>
      <c r="I27" s="15" t="s">
        <v>528</v>
      </c>
      <c r="J27" s="15" t="s">
        <v>15991</v>
      </c>
    </row>
    <row r="28" spans="2:10">
      <c r="B28" s="15" t="s">
        <v>19229</v>
      </c>
      <c r="C28" s="15" t="s">
        <v>19264</v>
      </c>
      <c r="D28" s="15" t="s">
        <v>506</v>
      </c>
      <c r="E28" s="15" t="s">
        <v>305</v>
      </c>
      <c r="F28" s="15" t="s">
        <v>12160</v>
      </c>
      <c r="G28" s="15"/>
      <c r="H28" s="15"/>
      <c r="I28" s="15" t="s">
        <v>528</v>
      </c>
      <c r="J28" s="15" t="s">
        <v>15991</v>
      </c>
    </row>
    <row r="29" spans="2:10">
      <c r="B29" s="15" t="s">
        <v>19229</v>
      </c>
      <c r="C29" s="15" t="s">
        <v>19265</v>
      </c>
      <c r="D29" s="15" t="s">
        <v>506</v>
      </c>
      <c r="E29" s="15" t="s">
        <v>305</v>
      </c>
      <c r="F29" s="15" t="s">
        <v>5049</v>
      </c>
      <c r="G29" s="15"/>
      <c r="H29" s="15"/>
      <c r="I29" s="15" t="s">
        <v>528</v>
      </c>
      <c r="J29" s="15" t="s">
        <v>15991</v>
      </c>
    </row>
    <row r="30" spans="2:10">
      <c r="B30" s="15" t="s">
        <v>19229</v>
      </c>
      <c r="C30" s="15" t="s">
        <v>16996</v>
      </c>
      <c r="D30" s="15" t="s">
        <v>513</v>
      </c>
      <c r="E30" s="15" t="s">
        <v>305</v>
      </c>
      <c r="F30" s="15" t="s">
        <v>19266</v>
      </c>
      <c r="G30" s="15"/>
      <c r="H30" s="15"/>
      <c r="I30" s="15" t="s">
        <v>528</v>
      </c>
      <c r="J30" s="15" t="s">
        <v>15991</v>
      </c>
    </row>
    <row r="31" spans="2:10">
      <c r="B31" s="15" t="s">
        <v>19229</v>
      </c>
      <c r="C31" s="15" t="s">
        <v>19267</v>
      </c>
      <c r="D31" s="15" t="s">
        <v>16056</v>
      </c>
      <c r="E31" s="15" t="s">
        <v>305</v>
      </c>
      <c r="F31" s="15" t="s">
        <v>19268</v>
      </c>
      <c r="G31" s="15"/>
      <c r="H31" s="15"/>
      <c r="I31" s="15" t="s">
        <v>528</v>
      </c>
      <c r="J31" s="15" t="s">
        <v>15991</v>
      </c>
    </row>
    <row r="32" spans="2:10">
      <c r="B32" s="15" t="s">
        <v>19229</v>
      </c>
      <c r="C32" s="15" t="s">
        <v>19269</v>
      </c>
      <c r="D32" s="15" t="s">
        <v>16056</v>
      </c>
      <c r="E32" s="15" t="s">
        <v>305</v>
      </c>
      <c r="F32" s="15" t="s">
        <v>19270</v>
      </c>
      <c r="G32" s="15"/>
      <c r="H32" s="15"/>
      <c r="I32" s="15" t="s">
        <v>528</v>
      </c>
      <c r="J32" s="15" t="s">
        <v>15991</v>
      </c>
    </row>
    <row r="33" spans="2:10">
      <c r="B33" s="15" t="s">
        <v>19229</v>
      </c>
      <c r="C33" s="15" t="s">
        <v>19271</v>
      </c>
      <c r="D33" s="15" t="s">
        <v>16056</v>
      </c>
      <c r="E33" s="15" t="s">
        <v>305</v>
      </c>
      <c r="F33" s="15" t="s">
        <v>19272</v>
      </c>
      <c r="G33" s="15"/>
      <c r="H33" s="15"/>
      <c r="I33" s="15" t="s">
        <v>528</v>
      </c>
      <c r="J33" s="15" t="s">
        <v>15991</v>
      </c>
    </row>
    <row r="34" spans="2:10">
      <c r="B34" s="15" t="s">
        <v>19229</v>
      </c>
      <c r="C34" s="15" t="s">
        <v>19273</v>
      </c>
      <c r="D34" s="15" t="s">
        <v>350</v>
      </c>
      <c r="E34" s="15" t="s">
        <v>305</v>
      </c>
      <c r="F34" s="15" t="s">
        <v>19274</v>
      </c>
      <c r="G34" s="15"/>
      <c r="H34" s="15"/>
      <c r="I34" s="15" t="s">
        <v>528</v>
      </c>
      <c r="J34" s="15" t="s">
        <v>15991</v>
      </c>
    </row>
    <row r="35" spans="2:10">
      <c r="B35" s="15" t="s">
        <v>19229</v>
      </c>
      <c r="C35" s="15" t="s">
        <v>19275</v>
      </c>
      <c r="D35" s="15" t="s">
        <v>513</v>
      </c>
      <c r="E35" s="15" t="s">
        <v>305</v>
      </c>
      <c r="F35" s="15" t="s">
        <v>19276</v>
      </c>
      <c r="G35" s="15"/>
      <c r="H35" s="15"/>
      <c r="I35" s="15" t="s">
        <v>528</v>
      </c>
      <c r="J35" s="15" t="s">
        <v>15991</v>
      </c>
    </row>
    <row r="36" spans="2:10">
      <c r="B36" s="15" t="s">
        <v>19229</v>
      </c>
      <c r="C36" s="15" t="s">
        <v>19277</v>
      </c>
      <c r="D36" s="15" t="s">
        <v>363</v>
      </c>
      <c r="E36" s="15" t="s">
        <v>305</v>
      </c>
      <c r="F36" s="15" t="s">
        <v>19278</v>
      </c>
      <c r="G36" s="15"/>
      <c r="H36" s="15"/>
      <c r="I36" s="15" t="s">
        <v>528</v>
      </c>
      <c r="J36" s="15" t="s">
        <v>15991</v>
      </c>
    </row>
    <row r="37" spans="2:10">
      <c r="B37" s="15" t="s">
        <v>19229</v>
      </c>
      <c r="C37" s="15" t="s">
        <v>18024</v>
      </c>
      <c r="D37" s="15" t="s">
        <v>363</v>
      </c>
      <c r="E37" s="15" t="s">
        <v>305</v>
      </c>
      <c r="F37" s="15" t="s">
        <v>19279</v>
      </c>
      <c r="G37" s="15"/>
      <c r="H37" s="15"/>
      <c r="I37" s="15" t="s">
        <v>528</v>
      </c>
      <c r="J37" s="15" t="s">
        <v>15991</v>
      </c>
    </row>
    <row r="38" spans="2:10">
      <c r="B38" s="15" t="s">
        <v>19229</v>
      </c>
      <c r="C38" s="15" t="s">
        <v>19280</v>
      </c>
      <c r="D38" s="15" t="s">
        <v>350</v>
      </c>
      <c r="E38" s="15" t="s">
        <v>305</v>
      </c>
      <c r="F38" s="15" t="s">
        <v>19281</v>
      </c>
      <c r="G38" s="15"/>
      <c r="H38" s="15"/>
      <c r="I38" s="15" t="s">
        <v>528</v>
      </c>
      <c r="J38" s="15" t="s">
        <v>15991</v>
      </c>
    </row>
    <row r="39" spans="2:10">
      <c r="B39" s="15" t="s">
        <v>19229</v>
      </c>
      <c r="C39" s="15" t="s">
        <v>16009</v>
      </c>
      <c r="D39" s="15" t="s">
        <v>316</v>
      </c>
      <c r="E39" s="15" t="s">
        <v>305</v>
      </c>
      <c r="F39" s="15" t="s">
        <v>16010</v>
      </c>
      <c r="G39" s="15"/>
      <c r="H39" s="15"/>
      <c r="I39" s="15" t="s">
        <v>528</v>
      </c>
      <c r="J39" s="15" t="s">
        <v>15991</v>
      </c>
    </row>
    <row r="40" spans="2:10">
      <c r="B40" s="15" t="s">
        <v>19229</v>
      </c>
      <c r="C40" s="15" t="s">
        <v>16011</v>
      </c>
      <c r="D40" s="15" t="s">
        <v>316</v>
      </c>
      <c r="E40" s="15" t="s">
        <v>305</v>
      </c>
      <c r="F40" s="15" t="s">
        <v>16012</v>
      </c>
      <c r="G40" s="15"/>
      <c r="H40" s="15"/>
      <c r="I40" s="15" t="s">
        <v>528</v>
      </c>
      <c r="J40" s="15" t="s">
        <v>15991</v>
      </c>
    </row>
    <row r="41" spans="2:10">
      <c r="B41" s="15" t="s">
        <v>19229</v>
      </c>
      <c r="C41" s="15" t="s">
        <v>16013</v>
      </c>
      <c r="D41" s="15" t="s">
        <v>371</v>
      </c>
      <c r="E41" s="15" t="s">
        <v>305</v>
      </c>
      <c r="F41" s="15" t="s">
        <v>16014</v>
      </c>
      <c r="G41" s="15"/>
      <c r="H41" s="15"/>
      <c r="I41" s="15" t="s">
        <v>528</v>
      </c>
      <c r="J41" s="15" t="s">
        <v>15991</v>
      </c>
    </row>
    <row r="42" spans="2:10">
      <c r="B42" s="15" t="s">
        <v>19229</v>
      </c>
      <c r="C42" s="15" t="s">
        <v>16015</v>
      </c>
      <c r="D42" s="15" t="s">
        <v>316</v>
      </c>
      <c r="E42" s="15" t="s">
        <v>305</v>
      </c>
      <c r="F42" s="15" t="s">
        <v>16016</v>
      </c>
      <c r="G42" s="15"/>
      <c r="H42" s="15"/>
      <c r="I42" s="15" t="s">
        <v>528</v>
      </c>
      <c r="J42" s="15" t="s">
        <v>15991</v>
      </c>
    </row>
    <row r="43" spans="2:10">
      <c r="B43" s="15" t="s">
        <v>19229</v>
      </c>
      <c r="C43" s="15" t="s">
        <v>16017</v>
      </c>
      <c r="D43" s="15" t="s">
        <v>316</v>
      </c>
      <c r="E43" s="15" t="s">
        <v>305</v>
      </c>
      <c r="F43" s="15" t="s">
        <v>16018</v>
      </c>
      <c r="G43" s="15"/>
      <c r="H43" s="15"/>
      <c r="I43" s="15" t="s">
        <v>528</v>
      </c>
      <c r="J43" s="15" t="s">
        <v>15991</v>
      </c>
    </row>
    <row r="44" spans="2:10">
      <c r="B44" s="15" t="s">
        <v>19229</v>
      </c>
      <c r="C44" s="15" t="s">
        <v>16019</v>
      </c>
      <c r="D44" s="15" t="s">
        <v>371</v>
      </c>
      <c r="E44" s="15" t="s">
        <v>305</v>
      </c>
      <c r="F44" s="15" t="s">
        <v>16020</v>
      </c>
      <c r="G44" s="15"/>
      <c r="H44" s="15"/>
      <c r="I44" s="15" t="s">
        <v>528</v>
      </c>
      <c r="J44" s="15" t="s">
        <v>15991</v>
      </c>
    </row>
    <row r="45" spans="2:10">
      <c r="B45" s="15" t="s">
        <v>19229</v>
      </c>
      <c r="C45" s="15" t="s">
        <v>16086</v>
      </c>
      <c r="D45" s="15" t="s">
        <v>16087</v>
      </c>
      <c r="E45" s="15" t="s">
        <v>305</v>
      </c>
      <c r="F45" s="15" t="s">
        <v>301</v>
      </c>
      <c r="G45" s="15"/>
      <c r="H45" s="15"/>
      <c r="I45" s="15" t="s">
        <v>528</v>
      </c>
      <c r="J45" s="15" t="s">
        <v>15991</v>
      </c>
    </row>
    <row r="46" spans="2:10">
      <c r="B46" s="15" t="s">
        <v>19229</v>
      </c>
      <c r="C46" s="15" t="s">
        <v>16088</v>
      </c>
      <c r="D46" s="15" t="s">
        <v>316</v>
      </c>
      <c r="E46" s="15" t="s">
        <v>305</v>
      </c>
      <c r="F46" s="15" t="s">
        <v>16089</v>
      </c>
      <c r="G46" s="15"/>
      <c r="H46" s="15"/>
      <c r="I46" s="15" t="s">
        <v>528</v>
      </c>
      <c r="J46" s="15" t="s">
        <v>15991</v>
      </c>
    </row>
  </sheetData>
  <pageMargins left="0.75" right="0.75" top="1" bottom="1" header="0.5" footer="0.5"/>
  <pageSetup paperSize="1" orientation="portrait" horizontalDpi="300" verticalDpi="300"/>
  <headerFooter alignWithMargins="0" scaleWithDoc="0"/>
</worksheet>
</file>

<file path=xl/worksheets/sheet10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47"/>
  <sheetViews>
    <sheetView zoomScaleSheetLayoutView="60" workbookViewId="0">
      <selection activeCell="F38" sqref="F38"/>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52" t="str">
        <f>HYPERLINK("#表结构清单!A1","返回")</f>
        <v>返回</v>
      </c>
      <c r="B1" t="s">
        <v>175</v>
      </c>
    </row>
    <row r="2" spans="2:10">
      <c r="B2" s="13" t="s">
        <v>15982</v>
      </c>
      <c r="C2" s="13" t="s">
        <v>297</v>
      </c>
      <c r="D2" s="13" t="s">
        <v>11870</v>
      </c>
      <c r="E2" s="13" t="s">
        <v>15983</v>
      </c>
      <c r="F2" s="13" t="s">
        <v>15984</v>
      </c>
      <c r="G2" s="13" t="s">
        <v>300</v>
      </c>
      <c r="H2" s="13" t="s">
        <v>301</v>
      </c>
      <c r="I2" s="13" t="s">
        <v>15985</v>
      </c>
      <c r="J2" s="13" t="s">
        <v>15986</v>
      </c>
    </row>
    <row r="3" spans="2:10">
      <c r="B3" s="15" t="s">
        <v>19282</v>
      </c>
      <c r="C3" s="15" t="s">
        <v>15988</v>
      </c>
      <c r="D3" s="15" t="s">
        <v>316</v>
      </c>
      <c r="E3" s="15" t="s">
        <v>15989</v>
      </c>
      <c r="F3" s="15" t="s">
        <v>15990</v>
      </c>
      <c r="G3" s="15"/>
      <c r="H3" s="15"/>
      <c r="I3" s="15" t="s">
        <v>528</v>
      </c>
      <c r="J3" s="15" t="s">
        <v>15991</v>
      </c>
    </row>
    <row r="4" spans="2:10">
      <c r="B4" s="15" t="s">
        <v>19282</v>
      </c>
      <c r="C4" s="15" t="s">
        <v>18494</v>
      </c>
      <c r="D4" s="15" t="s">
        <v>316</v>
      </c>
      <c r="E4" s="15" t="s">
        <v>305</v>
      </c>
      <c r="F4" s="15" t="s">
        <v>19230</v>
      </c>
      <c r="G4" s="15"/>
      <c r="H4" s="15"/>
      <c r="I4" s="15" t="s">
        <v>528</v>
      </c>
      <c r="J4" s="15" t="s">
        <v>15991</v>
      </c>
    </row>
    <row r="5" spans="2:10">
      <c r="B5" s="15" t="s">
        <v>19282</v>
      </c>
      <c r="C5" s="15" t="s">
        <v>16325</v>
      </c>
      <c r="D5" s="15" t="s">
        <v>316</v>
      </c>
      <c r="E5" s="15" t="s">
        <v>305</v>
      </c>
      <c r="F5" s="15" t="s">
        <v>16326</v>
      </c>
      <c r="G5" s="15"/>
      <c r="H5" s="15"/>
      <c r="I5" s="15" t="s">
        <v>528</v>
      </c>
      <c r="J5" s="15" t="s">
        <v>15991</v>
      </c>
    </row>
    <row r="6" spans="2:10">
      <c r="B6" s="15" t="s">
        <v>19282</v>
      </c>
      <c r="C6" s="15" t="s">
        <v>19231</v>
      </c>
      <c r="D6" s="15" t="s">
        <v>316</v>
      </c>
      <c r="E6" s="15" t="s">
        <v>305</v>
      </c>
      <c r="F6" s="15" t="s">
        <v>19232</v>
      </c>
      <c r="G6" s="15"/>
      <c r="H6" s="15"/>
      <c r="I6" s="15" t="s">
        <v>528</v>
      </c>
      <c r="J6" s="15" t="s">
        <v>15991</v>
      </c>
    </row>
    <row r="7" spans="2:10">
      <c r="B7" s="15" t="s">
        <v>19282</v>
      </c>
      <c r="C7" s="15" t="s">
        <v>18741</v>
      </c>
      <c r="D7" s="15" t="s">
        <v>513</v>
      </c>
      <c r="E7" s="15" t="s">
        <v>305</v>
      </c>
      <c r="F7" s="15" t="s">
        <v>19052</v>
      </c>
      <c r="G7" s="15"/>
      <c r="H7" s="15"/>
      <c r="I7" s="15" t="s">
        <v>528</v>
      </c>
      <c r="J7" s="15" t="s">
        <v>15991</v>
      </c>
    </row>
    <row r="8" spans="2:10">
      <c r="B8" s="15" t="s">
        <v>19282</v>
      </c>
      <c r="C8" s="15" t="s">
        <v>19233</v>
      </c>
      <c r="D8" s="15" t="s">
        <v>513</v>
      </c>
      <c r="E8" s="15" t="s">
        <v>305</v>
      </c>
      <c r="F8" s="15" t="s">
        <v>19053</v>
      </c>
      <c r="G8" s="15"/>
      <c r="H8" s="15"/>
      <c r="I8" s="15" t="s">
        <v>528</v>
      </c>
      <c r="J8" s="15" t="s">
        <v>15991</v>
      </c>
    </row>
    <row r="9" spans="2:10">
      <c r="B9" s="15" t="s">
        <v>19282</v>
      </c>
      <c r="C9" s="15" t="s">
        <v>19234</v>
      </c>
      <c r="D9" s="15" t="s">
        <v>506</v>
      </c>
      <c r="E9" s="15" t="s">
        <v>305</v>
      </c>
      <c r="F9" s="15" t="s">
        <v>19235</v>
      </c>
      <c r="G9" s="15"/>
      <c r="H9" s="15"/>
      <c r="I9" s="15" t="s">
        <v>528</v>
      </c>
      <c r="J9" s="15" t="s">
        <v>15991</v>
      </c>
    </row>
    <row r="10" spans="2:10">
      <c r="B10" s="15" t="s">
        <v>19282</v>
      </c>
      <c r="C10" s="15" t="s">
        <v>18745</v>
      </c>
      <c r="D10" s="15" t="s">
        <v>506</v>
      </c>
      <c r="E10" s="15" t="s">
        <v>305</v>
      </c>
      <c r="F10" s="15" t="s">
        <v>11401</v>
      </c>
      <c r="G10" s="15"/>
      <c r="H10" s="15"/>
      <c r="I10" s="15" t="s">
        <v>528</v>
      </c>
      <c r="J10" s="15" t="s">
        <v>15991</v>
      </c>
    </row>
    <row r="11" spans="2:10">
      <c r="B11" s="15" t="s">
        <v>19282</v>
      </c>
      <c r="C11" s="15" t="s">
        <v>19236</v>
      </c>
      <c r="D11" s="15" t="s">
        <v>321</v>
      </c>
      <c r="E11" s="15" t="s">
        <v>305</v>
      </c>
      <c r="F11" s="15" t="s">
        <v>1056</v>
      </c>
      <c r="G11" s="15"/>
      <c r="H11" s="15"/>
      <c r="I11" s="15" t="s">
        <v>528</v>
      </c>
      <c r="J11" s="15" t="s">
        <v>15991</v>
      </c>
    </row>
    <row r="12" spans="2:10">
      <c r="B12" s="15" t="s">
        <v>19282</v>
      </c>
      <c r="C12" s="15" t="s">
        <v>19237</v>
      </c>
      <c r="D12" s="15" t="s">
        <v>350</v>
      </c>
      <c r="E12" s="15" t="s">
        <v>305</v>
      </c>
      <c r="F12" s="15" t="s">
        <v>19238</v>
      </c>
      <c r="G12" s="15"/>
      <c r="H12" s="15"/>
      <c r="I12" s="15" t="s">
        <v>528</v>
      </c>
      <c r="J12" s="15" t="s">
        <v>15991</v>
      </c>
    </row>
    <row r="13" spans="2:10">
      <c r="B13" s="15" t="s">
        <v>19282</v>
      </c>
      <c r="C13" s="15" t="s">
        <v>19239</v>
      </c>
      <c r="D13" s="15" t="s">
        <v>513</v>
      </c>
      <c r="E13" s="15" t="s">
        <v>305</v>
      </c>
      <c r="F13" s="15" t="s">
        <v>19240</v>
      </c>
      <c r="G13" s="15"/>
      <c r="H13" s="15"/>
      <c r="I13" s="15" t="s">
        <v>528</v>
      </c>
      <c r="J13" s="15" t="s">
        <v>15991</v>
      </c>
    </row>
    <row r="14" spans="2:10">
      <c r="B14" s="15" t="s">
        <v>19282</v>
      </c>
      <c r="C14" s="15" t="s">
        <v>18743</v>
      </c>
      <c r="D14" s="15" t="s">
        <v>16557</v>
      </c>
      <c r="E14" s="15" t="s">
        <v>305</v>
      </c>
      <c r="F14" s="15" t="s">
        <v>19241</v>
      </c>
      <c r="G14" s="15"/>
      <c r="H14" s="15"/>
      <c r="I14" s="15" t="s">
        <v>528</v>
      </c>
      <c r="J14" s="15" t="s">
        <v>15991</v>
      </c>
    </row>
    <row r="15" spans="2:10">
      <c r="B15" s="15" t="s">
        <v>19282</v>
      </c>
      <c r="C15" s="15" t="s">
        <v>19242</v>
      </c>
      <c r="D15" s="15" t="s">
        <v>16056</v>
      </c>
      <c r="E15" s="15" t="s">
        <v>305</v>
      </c>
      <c r="F15" s="15" t="s">
        <v>19243</v>
      </c>
      <c r="G15" s="15"/>
      <c r="H15" s="15"/>
      <c r="I15" s="15" t="s">
        <v>528</v>
      </c>
      <c r="J15" s="15" t="s">
        <v>15991</v>
      </c>
    </row>
    <row r="16" spans="2:10">
      <c r="B16" s="15" t="s">
        <v>19282</v>
      </c>
      <c r="C16" s="15" t="s">
        <v>19244</v>
      </c>
      <c r="D16" s="15" t="s">
        <v>16056</v>
      </c>
      <c r="E16" s="15" t="s">
        <v>305</v>
      </c>
      <c r="F16" s="15" t="s">
        <v>19245</v>
      </c>
      <c r="G16" s="15"/>
      <c r="H16" s="15"/>
      <c r="I16" s="15" t="s">
        <v>528</v>
      </c>
      <c r="J16" s="15" t="s">
        <v>15991</v>
      </c>
    </row>
    <row r="17" spans="2:10">
      <c r="B17" s="15" t="s">
        <v>19282</v>
      </c>
      <c r="C17" s="15" t="s">
        <v>19246</v>
      </c>
      <c r="D17" s="15" t="s">
        <v>16056</v>
      </c>
      <c r="E17" s="15" t="s">
        <v>305</v>
      </c>
      <c r="F17" s="15" t="s">
        <v>19247</v>
      </c>
      <c r="G17" s="15"/>
      <c r="H17" s="15"/>
      <c r="I17" s="15" t="s">
        <v>528</v>
      </c>
      <c r="J17" s="15" t="s">
        <v>15991</v>
      </c>
    </row>
    <row r="18" spans="2:10">
      <c r="B18" s="15" t="s">
        <v>19282</v>
      </c>
      <c r="C18" s="15" t="s">
        <v>19248</v>
      </c>
      <c r="D18" s="15" t="s">
        <v>321</v>
      </c>
      <c r="E18" s="15" t="s">
        <v>305</v>
      </c>
      <c r="F18" s="15" t="s">
        <v>11816</v>
      </c>
      <c r="G18" s="15"/>
      <c r="H18" s="15"/>
      <c r="I18" s="15" t="s">
        <v>528</v>
      </c>
      <c r="J18" s="15" t="s">
        <v>15991</v>
      </c>
    </row>
    <row r="19" spans="2:10">
      <c r="B19" s="15" t="s">
        <v>19282</v>
      </c>
      <c r="C19" s="15" t="s">
        <v>19249</v>
      </c>
      <c r="D19" s="15" t="s">
        <v>321</v>
      </c>
      <c r="E19" s="15" t="s">
        <v>305</v>
      </c>
      <c r="F19" s="15" t="s">
        <v>6774</v>
      </c>
      <c r="G19" s="15"/>
      <c r="H19" s="15"/>
      <c r="I19" s="15" t="s">
        <v>528</v>
      </c>
      <c r="J19" s="15" t="s">
        <v>15991</v>
      </c>
    </row>
    <row r="20" spans="2:10">
      <c r="B20" s="15" t="s">
        <v>19282</v>
      </c>
      <c r="C20" s="15" t="s">
        <v>19250</v>
      </c>
      <c r="D20" s="15" t="s">
        <v>16056</v>
      </c>
      <c r="E20" s="15" t="s">
        <v>305</v>
      </c>
      <c r="F20" s="15" t="s">
        <v>18195</v>
      </c>
      <c r="G20" s="15"/>
      <c r="H20" s="15"/>
      <c r="I20" s="15" t="s">
        <v>528</v>
      </c>
      <c r="J20" s="15" t="s">
        <v>15991</v>
      </c>
    </row>
    <row r="21" spans="2:10">
      <c r="B21" s="15" t="s">
        <v>19282</v>
      </c>
      <c r="C21" s="15" t="s">
        <v>19251</v>
      </c>
      <c r="D21" s="15" t="s">
        <v>16557</v>
      </c>
      <c r="E21" s="15" t="s">
        <v>305</v>
      </c>
      <c r="F21" s="15" t="s">
        <v>19252</v>
      </c>
      <c r="G21" s="15"/>
      <c r="H21" s="15"/>
      <c r="I21" s="15" t="s">
        <v>528</v>
      </c>
      <c r="J21" s="15" t="s">
        <v>15991</v>
      </c>
    </row>
    <row r="22" spans="2:10">
      <c r="B22" s="15" t="s">
        <v>19282</v>
      </c>
      <c r="C22" s="15" t="s">
        <v>18865</v>
      </c>
      <c r="D22" s="15" t="s">
        <v>316</v>
      </c>
      <c r="E22" s="15" t="s">
        <v>305</v>
      </c>
      <c r="F22" s="15" t="s">
        <v>19253</v>
      </c>
      <c r="G22" s="15"/>
      <c r="H22" s="15"/>
      <c r="I22" s="15" t="s">
        <v>528</v>
      </c>
      <c r="J22" s="15" t="s">
        <v>15991</v>
      </c>
    </row>
    <row r="23" spans="2:10">
      <c r="B23" s="15" t="s">
        <v>19282</v>
      </c>
      <c r="C23" s="15" t="s">
        <v>17447</v>
      </c>
      <c r="D23" s="15" t="s">
        <v>350</v>
      </c>
      <c r="E23" s="15" t="s">
        <v>305</v>
      </c>
      <c r="F23" s="15" t="s">
        <v>19254</v>
      </c>
      <c r="G23" s="15"/>
      <c r="H23" s="15"/>
      <c r="I23" s="15" t="s">
        <v>528</v>
      </c>
      <c r="J23" s="15" t="s">
        <v>15991</v>
      </c>
    </row>
    <row r="24" spans="2:10">
      <c r="B24" s="15" t="s">
        <v>19282</v>
      </c>
      <c r="C24" s="15" t="s">
        <v>19255</v>
      </c>
      <c r="D24" s="15" t="s">
        <v>506</v>
      </c>
      <c r="E24" s="15" t="s">
        <v>305</v>
      </c>
      <c r="F24" s="15" t="s">
        <v>19256</v>
      </c>
      <c r="G24" s="15"/>
      <c r="H24" s="15"/>
      <c r="I24" s="15" t="s">
        <v>528</v>
      </c>
      <c r="J24" s="15" t="s">
        <v>15991</v>
      </c>
    </row>
    <row r="25" spans="2:10">
      <c r="B25" s="15" t="s">
        <v>19282</v>
      </c>
      <c r="C25" s="15" t="s">
        <v>19257</v>
      </c>
      <c r="D25" s="15" t="s">
        <v>506</v>
      </c>
      <c r="E25" s="15" t="s">
        <v>305</v>
      </c>
      <c r="F25" s="15" t="s">
        <v>19258</v>
      </c>
      <c r="G25" s="15"/>
      <c r="H25" s="15"/>
      <c r="I25" s="15" t="s">
        <v>528</v>
      </c>
      <c r="J25" s="15" t="s">
        <v>15991</v>
      </c>
    </row>
    <row r="26" spans="2:10">
      <c r="B26" s="15" t="s">
        <v>19282</v>
      </c>
      <c r="C26" s="15" t="s">
        <v>19259</v>
      </c>
      <c r="D26" s="15" t="s">
        <v>350</v>
      </c>
      <c r="E26" s="15" t="s">
        <v>305</v>
      </c>
      <c r="F26" s="15" t="s">
        <v>19260</v>
      </c>
      <c r="G26" s="15"/>
      <c r="H26" s="15"/>
      <c r="I26" s="15" t="s">
        <v>528</v>
      </c>
      <c r="J26" s="15" t="s">
        <v>15991</v>
      </c>
    </row>
    <row r="27" spans="2:10">
      <c r="B27" s="15" t="s">
        <v>19282</v>
      </c>
      <c r="C27" s="15" t="s">
        <v>19261</v>
      </c>
      <c r="D27" s="15" t="s">
        <v>16056</v>
      </c>
      <c r="E27" s="15" t="s">
        <v>305</v>
      </c>
      <c r="F27" s="15" t="s">
        <v>17345</v>
      </c>
      <c r="G27" s="15"/>
      <c r="H27" s="15"/>
      <c r="I27" s="15" t="s">
        <v>528</v>
      </c>
      <c r="J27" s="15" t="s">
        <v>15991</v>
      </c>
    </row>
    <row r="28" spans="2:10">
      <c r="B28" s="15" t="s">
        <v>19282</v>
      </c>
      <c r="C28" s="15" t="s">
        <v>19262</v>
      </c>
      <c r="D28" s="15" t="s">
        <v>506</v>
      </c>
      <c r="E28" s="15" t="s">
        <v>305</v>
      </c>
      <c r="F28" s="15" t="s">
        <v>19263</v>
      </c>
      <c r="G28" s="15"/>
      <c r="H28" s="15"/>
      <c r="I28" s="15" t="s">
        <v>528</v>
      </c>
      <c r="J28" s="15" t="s">
        <v>15991</v>
      </c>
    </row>
    <row r="29" spans="2:10">
      <c r="B29" s="15" t="s">
        <v>19282</v>
      </c>
      <c r="C29" s="15" t="s">
        <v>19264</v>
      </c>
      <c r="D29" s="15" t="s">
        <v>506</v>
      </c>
      <c r="E29" s="15" t="s">
        <v>305</v>
      </c>
      <c r="F29" s="15" t="s">
        <v>12160</v>
      </c>
      <c r="G29" s="15"/>
      <c r="H29" s="15"/>
      <c r="I29" s="15" t="s">
        <v>528</v>
      </c>
      <c r="J29" s="15" t="s">
        <v>15991</v>
      </c>
    </row>
    <row r="30" spans="2:10">
      <c r="B30" s="15" t="s">
        <v>19282</v>
      </c>
      <c r="C30" s="15" t="s">
        <v>19265</v>
      </c>
      <c r="D30" s="15" t="s">
        <v>506</v>
      </c>
      <c r="E30" s="15" t="s">
        <v>305</v>
      </c>
      <c r="F30" s="15" t="s">
        <v>5049</v>
      </c>
      <c r="G30" s="15"/>
      <c r="H30" s="15"/>
      <c r="I30" s="15" t="s">
        <v>528</v>
      </c>
      <c r="J30" s="15" t="s">
        <v>15991</v>
      </c>
    </row>
    <row r="31" spans="2:10">
      <c r="B31" s="15" t="s">
        <v>19282</v>
      </c>
      <c r="C31" s="15" t="s">
        <v>16996</v>
      </c>
      <c r="D31" s="15" t="s">
        <v>513</v>
      </c>
      <c r="E31" s="15" t="s">
        <v>305</v>
      </c>
      <c r="F31" s="15" t="s">
        <v>19266</v>
      </c>
      <c r="G31" s="15"/>
      <c r="H31" s="15"/>
      <c r="I31" s="15" t="s">
        <v>528</v>
      </c>
      <c r="J31" s="15" t="s">
        <v>15991</v>
      </c>
    </row>
    <row r="32" spans="2:10">
      <c r="B32" s="15" t="s">
        <v>19282</v>
      </c>
      <c r="C32" s="15" t="s">
        <v>19267</v>
      </c>
      <c r="D32" s="15" t="s">
        <v>16056</v>
      </c>
      <c r="E32" s="15" t="s">
        <v>305</v>
      </c>
      <c r="F32" s="15" t="s">
        <v>19268</v>
      </c>
      <c r="G32" s="15"/>
      <c r="H32" s="15"/>
      <c r="I32" s="15" t="s">
        <v>528</v>
      </c>
      <c r="J32" s="15" t="s">
        <v>15991</v>
      </c>
    </row>
    <row r="33" spans="2:10">
      <c r="B33" s="15" t="s">
        <v>19282</v>
      </c>
      <c r="C33" s="15" t="s">
        <v>19269</v>
      </c>
      <c r="D33" s="15" t="s">
        <v>16056</v>
      </c>
      <c r="E33" s="15" t="s">
        <v>305</v>
      </c>
      <c r="F33" s="15" t="s">
        <v>19270</v>
      </c>
      <c r="G33" s="15"/>
      <c r="H33" s="15"/>
      <c r="I33" s="15" t="s">
        <v>528</v>
      </c>
      <c r="J33" s="15" t="s">
        <v>15991</v>
      </c>
    </row>
    <row r="34" spans="2:10">
      <c r="B34" s="15" t="s">
        <v>19282</v>
      </c>
      <c r="C34" s="15" t="s">
        <v>19271</v>
      </c>
      <c r="D34" s="15" t="s">
        <v>16056</v>
      </c>
      <c r="E34" s="15" t="s">
        <v>305</v>
      </c>
      <c r="F34" s="15" t="s">
        <v>19272</v>
      </c>
      <c r="G34" s="15"/>
      <c r="H34" s="15"/>
      <c r="I34" s="15" t="s">
        <v>528</v>
      </c>
      <c r="J34" s="15" t="s">
        <v>15991</v>
      </c>
    </row>
    <row r="35" spans="2:10">
      <c r="B35" s="15" t="s">
        <v>19282</v>
      </c>
      <c r="C35" s="15" t="s">
        <v>19273</v>
      </c>
      <c r="D35" s="15" t="s">
        <v>350</v>
      </c>
      <c r="E35" s="15" t="s">
        <v>305</v>
      </c>
      <c r="F35" s="15" t="s">
        <v>19274</v>
      </c>
      <c r="G35" s="15"/>
      <c r="H35" s="15"/>
      <c r="I35" s="15" t="s">
        <v>528</v>
      </c>
      <c r="J35" s="15" t="s">
        <v>15991</v>
      </c>
    </row>
    <row r="36" spans="2:10">
      <c r="B36" s="15" t="s">
        <v>19282</v>
      </c>
      <c r="C36" s="15" t="s">
        <v>19275</v>
      </c>
      <c r="D36" s="15" t="s">
        <v>513</v>
      </c>
      <c r="E36" s="15" t="s">
        <v>305</v>
      </c>
      <c r="F36" s="15" t="s">
        <v>19276</v>
      </c>
      <c r="G36" s="15"/>
      <c r="H36" s="15"/>
      <c r="I36" s="15" t="s">
        <v>528</v>
      </c>
      <c r="J36" s="15" t="s">
        <v>15991</v>
      </c>
    </row>
    <row r="37" spans="2:10">
      <c r="B37" s="15" t="s">
        <v>19282</v>
      </c>
      <c r="C37" s="15" t="s">
        <v>19277</v>
      </c>
      <c r="D37" s="15" t="s">
        <v>363</v>
      </c>
      <c r="E37" s="15" t="s">
        <v>305</v>
      </c>
      <c r="F37" s="15" t="s">
        <v>19278</v>
      </c>
      <c r="G37" s="15"/>
      <c r="H37" s="15"/>
      <c r="I37" s="15" t="s">
        <v>528</v>
      </c>
      <c r="J37" s="15" t="s">
        <v>15991</v>
      </c>
    </row>
    <row r="38" spans="2:10">
      <c r="B38" s="15" t="s">
        <v>19282</v>
      </c>
      <c r="C38" s="15" t="s">
        <v>18024</v>
      </c>
      <c r="D38" s="15" t="s">
        <v>363</v>
      </c>
      <c r="E38" s="15" t="s">
        <v>305</v>
      </c>
      <c r="F38" s="15" t="s">
        <v>19279</v>
      </c>
      <c r="G38" s="15"/>
      <c r="H38" s="15"/>
      <c r="I38" s="15" t="s">
        <v>528</v>
      </c>
      <c r="J38" s="15" t="s">
        <v>15991</v>
      </c>
    </row>
    <row r="39" spans="2:10">
      <c r="B39" s="15" t="s">
        <v>19282</v>
      </c>
      <c r="C39" s="15" t="s">
        <v>19280</v>
      </c>
      <c r="D39" s="15" t="s">
        <v>350</v>
      </c>
      <c r="E39" s="15" t="s">
        <v>305</v>
      </c>
      <c r="F39" s="15" t="s">
        <v>19281</v>
      </c>
      <c r="G39" s="15"/>
      <c r="H39" s="15"/>
      <c r="I39" s="15" t="s">
        <v>528</v>
      </c>
      <c r="J39" s="15" t="s">
        <v>15991</v>
      </c>
    </row>
    <row r="40" spans="2:10">
      <c r="B40" s="15" t="s">
        <v>19282</v>
      </c>
      <c r="C40" s="15" t="s">
        <v>16009</v>
      </c>
      <c r="D40" s="15" t="s">
        <v>316</v>
      </c>
      <c r="E40" s="15" t="s">
        <v>305</v>
      </c>
      <c r="F40" s="15" t="s">
        <v>16010</v>
      </c>
      <c r="G40" s="15"/>
      <c r="H40" s="15"/>
      <c r="I40" s="15" t="s">
        <v>528</v>
      </c>
      <c r="J40" s="15" t="s">
        <v>15991</v>
      </c>
    </row>
    <row r="41" spans="2:10">
      <c r="B41" s="15" t="s">
        <v>19282</v>
      </c>
      <c r="C41" s="15" t="s">
        <v>16011</v>
      </c>
      <c r="D41" s="15" t="s">
        <v>316</v>
      </c>
      <c r="E41" s="15" t="s">
        <v>305</v>
      </c>
      <c r="F41" s="15" t="s">
        <v>16012</v>
      </c>
      <c r="G41" s="15"/>
      <c r="H41" s="15"/>
      <c r="I41" s="15" t="s">
        <v>528</v>
      </c>
      <c r="J41" s="15" t="s">
        <v>15991</v>
      </c>
    </row>
    <row r="42" spans="2:10">
      <c r="B42" s="15" t="s">
        <v>19282</v>
      </c>
      <c r="C42" s="15" t="s">
        <v>16013</v>
      </c>
      <c r="D42" s="15" t="s">
        <v>371</v>
      </c>
      <c r="E42" s="15" t="s">
        <v>305</v>
      </c>
      <c r="F42" s="15" t="s">
        <v>16014</v>
      </c>
      <c r="G42" s="15"/>
      <c r="H42" s="15"/>
      <c r="I42" s="15" t="s">
        <v>528</v>
      </c>
      <c r="J42" s="15" t="s">
        <v>15991</v>
      </c>
    </row>
    <row r="43" spans="2:10">
      <c r="B43" s="15" t="s">
        <v>19282</v>
      </c>
      <c r="C43" s="15" t="s">
        <v>16015</v>
      </c>
      <c r="D43" s="15" t="s">
        <v>316</v>
      </c>
      <c r="E43" s="15" t="s">
        <v>305</v>
      </c>
      <c r="F43" s="15" t="s">
        <v>16016</v>
      </c>
      <c r="G43" s="15"/>
      <c r="H43" s="15"/>
      <c r="I43" s="15" t="s">
        <v>528</v>
      </c>
      <c r="J43" s="15" t="s">
        <v>15991</v>
      </c>
    </row>
    <row r="44" spans="2:10">
      <c r="B44" s="15" t="s">
        <v>19282</v>
      </c>
      <c r="C44" s="15" t="s">
        <v>16017</v>
      </c>
      <c r="D44" s="15" t="s">
        <v>316</v>
      </c>
      <c r="E44" s="15" t="s">
        <v>305</v>
      </c>
      <c r="F44" s="15" t="s">
        <v>16018</v>
      </c>
      <c r="G44" s="15"/>
      <c r="H44" s="15"/>
      <c r="I44" s="15" t="s">
        <v>528</v>
      </c>
      <c r="J44" s="15" t="s">
        <v>15991</v>
      </c>
    </row>
    <row r="45" spans="2:10">
      <c r="B45" s="15" t="s">
        <v>19282</v>
      </c>
      <c r="C45" s="15" t="s">
        <v>16019</v>
      </c>
      <c r="D45" s="15" t="s">
        <v>371</v>
      </c>
      <c r="E45" s="15" t="s">
        <v>305</v>
      </c>
      <c r="F45" s="15" t="s">
        <v>16020</v>
      </c>
      <c r="G45" s="15"/>
      <c r="H45" s="15"/>
      <c r="I45" s="15" t="s">
        <v>528</v>
      </c>
      <c r="J45" s="15" t="s">
        <v>15991</v>
      </c>
    </row>
    <row r="46" spans="2:10">
      <c r="B46" s="15" t="s">
        <v>19282</v>
      </c>
      <c r="C46" s="15" t="s">
        <v>16086</v>
      </c>
      <c r="D46" s="15" t="s">
        <v>16087</v>
      </c>
      <c r="E46" s="15" t="s">
        <v>305</v>
      </c>
      <c r="F46" s="15" t="s">
        <v>301</v>
      </c>
      <c r="G46" s="15"/>
      <c r="H46" s="15"/>
      <c r="I46" s="15" t="s">
        <v>528</v>
      </c>
      <c r="J46" s="15" t="s">
        <v>15991</v>
      </c>
    </row>
    <row r="47" spans="2:10">
      <c r="B47" s="15" t="s">
        <v>19282</v>
      </c>
      <c r="C47" s="15" t="s">
        <v>16088</v>
      </c>
      <c r="D47" s="15" t="s">
        <v>316</v>
      </c>
      <c r="E47" s="15" t="s">
        <v>305</v>
      </c>
      <c r="F47" s="15" t="s">
        <v>16089</v>
      </c>
      <c r="G47" s="15"/>
      <c r="H47" s="15"/>
      <c r="I47" s="15" t="s">
        <v>528</v>
      </c>
      <c r="J47" s="15" t="s">
        <v>15991</v>
      </c>
    </row>
  </sheetData>
  <pageMargins left="0.75" right="0.75" top="1" bottom="1" header="0.5" footer="0.5"/>
  <pageSetup paperSize="1" orientation="portrait" horizontalDpi="300" verticalDpi="300"/>
  <headerFooter alignWithMargins="0" scaleWithDoc="0"/>
</worksheet>
</file>

<file path=xl/worksheets/sheet10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6"/>
  <sheetViews>
    <sheetView zoomScaleSheetLayoutView="60" workbookViewId="0">
      <selection activeCell="D13" sqref="D13"/>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51" t="str">
        <f>HYPERLINK("#表结构清单!A1","返回")</f>
        <v>返回</v>
      </c>
      <c r="B1" t="s">
        <v>79</v>
      </c>
    </row>
    <row r="2" spans="2:10">
      <c r="B2" s="13" t="s">
        <v>15982</v>
      </c>
      <c r="C2" s="13" t="s">
        <v>297</v>
      </c>
      <c r="D2" s="13" t="s">
        <v>11870</v>
      </c>
      <c r="E2" s="13" t="s">
        <v>15983</v>
      </c>
      <c r="F2" s="13" t="s">
        <v>15984</v>
      </c>
      <c r="G2" s="13" t="s">
        <v>300</v>
      </c>
      <c r="H2" s="13" t="s">
        <v>301</v>
      </c>
      <c r="I2" s="13" t="s">
        <v>15985</v>
      </c>
      <c r="J2" s="13" t="s">
        <v>15986</v>
      </c>
    </row>
    <row r="3" spans="2:10">
      <c r="B3" s="15" t="s">
        <v>19283</v>
      </c>
      <c r="C3" s="15" t="s">
        <v>15988</v>
      </c>
      <c r="D3" s="15" t="s">
        <v>316</v>
      </c>
      <c r="E3" s="15" t="s">
        <v>15989</v>
      </c>
      <c r="F3" s="15" t="s">
        <v>15990</v>
      </c>
      <c r="G3" s="15"/>
      <c r="H3" s="15"/>
      <c r="I3" s="15" t="s">
        <v>528</v>
      </c>
      <c r="J3" s="15" t="s">
        <v>15991</v>
      </c>
    </row>
    <row r="4" spans="2:10">
      <c r="B4" s="15" t="s">
        <v>19283</v>
      </c>
      <c r="C4" s="15" t="s">
        <v>19284</v>
      </c>
      <c r="D4" s="15" t="s">
        <v>316</v>
      </c>
      <c r="E4" s="15" t="s">
        <v>305</v>
      </c>
      <c r="F4" s="15" t="s">
        <v>19285</v>
      </c>
      <c r="G4" s="15"/>
      <c r="H4" s="15"/>
      <c r="I4" s="15" t="s">
        <v>528</v>
      </c>
      <c r="J4" s="15" t="s">
        <v>15991</v>
      </c>
    </row>
    <row r="5" spans="2:10">
      <c r="B5" s="15" t="s">
        <v>19283</v>
      </c>
      <c r="C5" s="15" t="s">
        <v>18478</v>
      </c>
      <c r="D5" s="15" t="s">
        <v>17036</v>
      </c>
      <c r="E5" s="15" t="s">
        <v>305</v>
      </c>
      <c r="F5" s="15" t="s">
        <v>16788</v>
      </c>
      <c r="G5" s="15"/>
      <c r="H5" s="15"/>
      <c r="I5" s="15" t="s">
        <v>528</v>
      </c>
      <c r="J5" s="15" t="s">
        <v>15991</v>
      </c>
    </row>
    <row r="6" spans="2:10">
      <c r="B6" s="15" t="s">
        <v>19283</v>
      </c>
      <c r="C6" s="15" t="s">
        <v>19286</v>
      </c>
      <c r="D6" s="15" t="s">
        <v>350</v>
      </c>
      <c r="E6" s="15" t="s">
        <v>305</v>
      </c>
      <c r="F6" s="15" t="s">
        <v>19287</v>
      </c>
      <c r="G6" s="15"/>
      <c r="H6" s="15"/>
      <c r="I6" s="15" t="s">
        <v>528</v>
      </c>
      <c r="J6" s="15" t="s">
        <v>15991</v>
      </c>
    </row>
    <row r="7" spans="2:10">
      <c r="B7" s="15" t="s">
        <v>19283</v>
      </c>
      <c r="C7" s="15" t="s">
        <v>18482</v>
      </c>
      <c r="D7" s="15" t="s">
        <v>350</v>
      </c>
      <c r="E7" s="15" t="s">
        <v>305</v>
      </c>
      <c r="F7" s="15" t="s">
        <v>19288</v>
      </c>
      <c r="G7" s="15"/>
      <c r="H7" s="15"/>
      <c r="I7" s="15" t="s">
        <v>528</v>
      </c>
      <c r="J7" s="15" t="s">
        <v>15991</v>
      </c>
    </row>
    <row r="8" spans="2:10">
      <c r="B8" s="15" t="s">
        <v>19283</v>
      </c>
      <c r="C8" s="15" t="s">
        <v>19289</v>
      </c>
      <c r="D8" s="15" t="s">
        <v>350</v>
      </c>
      <c r="E8" s="15" t="s">
        <v>305</v>
      </c>
      <c r="F8" s="15" t="s">
        <v>19290</v>
      </c>
      <c r="G8" s="15"/>
      <c r="H8" s="15"/>
      <c r="I8" s="15" t="s">
        <v>528</v>
      </c>
      <c r="J8" s="15" t="s">
        <v>15991</v>
      </c>
    </row>
    <row r="9" spans="2:10">
      <c r="B9" s="15" t="s">
        <v>19283</v>
      </c>
      <c r="C9" s="15" t="s">
        <v>16088</v>
      </c>
      <c r="D9" s="15" t="s">
        <v>316</v>
      </c>
      <c r="E9" s="15" t="s">
        <v>305</v>
      </c>
      <c r="F9" s="15" t="s">
        <v>18490</v>
      </c>
      <c r="G9" s="15"/>
      <c r="H9" s="15"/>
      <c r="I9" s="15" t="s">
        <v>528</v>
      </c>
      <c r="J9" s="15" t="s">
        <v>15991</v>
      </c>
    </row>
    <row r="10" spans="2:10">
      <c r="B10" s="15" t="s">
        <v>19283</v>
      </c>
      <c r="C10" s="15" t="s">
        <v>18491</v>
      </c>
      <c r="D10" s="15" t="s">
        <v>321</v>
      </c>
      <c r="E10" s="15" t="s">
        <v>305</v>
      </c>
      <c r="F10" s="15" t="s">
        <v>18667</v>
      </c>
      <c r="G10" s="15"/>
      <c r="H10" s="15"/>
      <c r="I10" s="15" t="s">
        <v>528</v>
      </c>
      <c r="J10" s="15" t="s">
        <v>15991</v>
      </c>
    </row>
    <row r="11" spans="2:10">
      <c r="B11" s="15" t="s">
        <v>19283</v>
      </c>
      <c r="C11" s="15" t="s">
        <v>16011</v>
      </c>
      <c r="D11" s="15" t="s">
        <v>316</v>
      </c>
      <c r="E11" s="15" t="s">
        <v>305</v>
      </c>
      <c r="F11" s="15" t="s">
        <v>16012</v>
      </c>
      <c r="G11" s="15"/>
      <c r="H11" s="15"/>
      <c r="I11" s="15" t="s">
        <v>528</v>
      </c>
      <c r="J11" s="15" t="s">
        <v>15991</v>
      </c>
    </row>
    <row r="12" spans="2:10">
      <c r="B12" s="15" t="s">
        <v>19283</v>
      </c>
      <c r="C12" s="15" t="s">
        <v>16009</v>
      </c>
      <c r="D12" s="15" t="s">
        <v>316</v>
      </c>
      <c r="E12" s="15" t="s">
        <v>305</v>
      </c>
      <c r="F12" s="15" t="s">
        <v>16010</v>
      </c>
      <c r="G12" s="15"/>
      <c r="H12" s="15"/>
      <c r="I12" s="15" t="s">
        <v>528</v>
      </c>
      <c r="J12" s="15" t="s">
        <v>15991</v>
      </c>
    </row>
    <row r="13" spans="2:10">
      <c r="B13" s="15" t="s">
        <v>19283</v>
      </c>
      <c r="C13" s="15" t="s">
        <v>16013</v>
      </c>
      <c r="D13" s="15" t="s">
        <v>371</v>
      </c>
      <c r="E13" s="15" t="s">
        <v>305</v>
      </c>
      <c r="F13" s="15" t="s">
        <v>16014</v>
      </c>
      <c r="G13" s="15"/>
      <c r="H13" s="15"/>
      <c r="I13" s="15" t="s">
        <v>528</v>
      </c>
      <c r="J13" s="15" t="s">
        <v>15991</v>
      </c>
    </row>
    <row r="14" spans="2:10">
      <c r="B14" s="15" t="s">
        <v>19283</v>
      </c>
      <c r="C14" s="15" t="s">
        <v>16017</v>
      </c>
      <c r="D14" s="15" t="s">
        <v>316</v>
      </c>
      <c r="E14" s="15" t="s">
        <v>305</v>
      </c>
      <c r="F14" s="15" t="s">
        <v>16018</v>
      </c>
      <c r="G14" s="15"/>
      <c r="H14" s="15"/>
      <c r="I14" s="15" t="s">
        <v>528</v>
      </c>
      <c r="J14" s="15" t="s">
        <v>15991</v>
      </c>
    </row>
    <row r="15" spans="2:10">
      <c r="B15" s="15" t="s">
        <v>19283</v>
      </c>
      <c r="C15" s="15" t="s">
        <v>16015</v>
      </c>
      <c r="D15" s="15" t="s">
        <v>316</v>
      </c>
      <c r="E15" s="15" t="s">
        <v>305</v>
      </c>
      <c r="F15" s="15" t="s">
        <v>16016</v>
      </c>
      <c r="G15" s="15"/>
      <c r="H15" s="15"/>
      <c r="I15" s="15" t="s">
        <v>528</v>
      </c>
      <c r="J15" s="15" t="s">
        <v>15991</v>
      </c>
    </row>
    <row r="16" spans="2:10">
      <c r="B16" s="15" t="s">
        <v>19283</v>
      </c>
      <c r="C16" s="15" t="s">
        <v>16019</v>
      </c>
      <c r="D16" s="15" t="s">
        <v>371</v>
      </c>
      <c r="E16" s="15" t="s">
        <v>305</v>
      </c>
      <c r="F16" s="15" t="s">
        <v>16020</v>
      </c>
      <c r="G16" s="15"/>
      <c r="H16" s="15"/>
      <c r="I16" s="15" t="s">
        <v>528</v>
      </c>
      <c r="J16" s="15" t="s">
        <v>15991</v>
      </c>
    </row>
  </sheetData>
  <pageMargins left="0.75" right="0.75" top="1" bottom="1" header="0.5" footer="0.5"/>
  <pageSetup paperSize="1" orientation="portrait" horizontalDpi="300" verticalDpi="300"/>
  <headerFooter alignWithMargins="0" scaleWithDoc="0"/>
</worksheet>
</file>

<file path=xl/worksheets/sheet10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0"/>
  <sheetViews>
    <sheetView zoomScaleSheetLayoutView="60" workbookViewId="0">
      <selection activeCell="C49" sqref="C49"/>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51" t="str">
        <f>HYPERLINK("#表结构清单!A1","返回")</f>
        <v>返回</v>
      </c>
      <c r="B1" t="s">
        <v>80</v>
      </c>
    </row>
    <row r="2" spans="2:10">
      <c r="B2" s="13" t="s">
        <v>15982</v>
      </c>
      <c r="C2" s="13" t="s">
        <v>297</v>
      </c>
      <c r="D2" s="13" t="s">
        <v>11870</v>
      </c>
      <c r="E2" s="13" t="s">
        <v>15983</v>
      </c>
      <c r="F2" s="13" t="s">
        <v>15984</v>
      </c>
      <c r="G2" s="13" t="s">
        <v>300</v>
      </c>
      <c r="H2" s="13" t="s">
        <v>301</v>
      </c>
      <c r="I2" s="13" t="s">
        <v>15985</v>
      </c>
      <c r="J2" s="13" t="s">
        <v>15986</v>
      </c>
    </row>
    <row r="3" spans="2:10">
      <c r="B3" s="15" t="s">
        <v>19291</v>
      </c>
      <c r="C3" s="15" t="s">
        <v>15988</v>
      </c>
      <c r="D3" s="15" t="s">
        <v>316</v>
      </c>
      <c r="E3" s="15" t="s">
        <v>15989</v>
      </c>
      <c r="F3" s="15" t="s">
        <v>15990</v>
      </c>
      <c r="G3" s="15"/>
      <c r="H3" s="15"/>
      <c r="I3" s="15" t="s">
        <v>528</v>
      </c>
      <c r="J3" s="15" t="s">
        <v>15991</v>
      </c>
    </row>
    <row r="4" spans="2:10">
      <c r="B4" s="15" t="s">
        <v>19291</v>
      </c>
      <c r="C4" s="15" t="s">
        <v>19284</v>
      </c>
      <c r="D4" s="15" t="s">
        <v>316</v>
      </c>
      <c r="E4" s="15" t="s">
        <v>305</v>
      </c>
      <c r="F4" s="15" t="s">
        <v>19285</v>
      </c>
      <c r="G4" s="15"/>
      <c r="H4" s="15"/>
      <c r="I4" s="15" t="s">
        <v>528</v>
      </c>
      <c r="J4" s="15" t="s">
        <v>15991</v>
      </c>
    </row>
    <row r="5" spans="2:10">
      <c r="B5" s="15" t="s">
        <v>19291</v>
      </c>
      <c r="C5" s="15" t="s">
        <v>18478</v>
      </c>
      <c r="D5" s="15" t="s">
        <v>17036</v>
      </c>
      <c r="E5" s="15" t="s">
        <v>305</v>
      </c>
      <c r="F5" s="15" t="s">
        <v>16788</v>
      </c>
      <c r="G5" s="15"/>
      <c r="H5" s="15"/>
      <c r="I5" s="15" t="s">
        <v>528</v>
      </c>
      <c r="J5" s="15" t="s">
        <v>15991</v>
      </c>
    </row>
    <row r="6" spans="2:10">
      <c r="B6" s="15" t="s">
        <v>19291</v>
      </c>
      <c r="C6" s="15" t="s">
        <v>19292</v>
      </c>
      <c r="D6" s="15" t="s">
        <v>350</v>
      </c>
      <c r="E6" s="15" t="s">
        <v>305</v>
      </c>
      <c r="F6" s="15" t="s">
        <v>19293</v>
      </c>
      <c r="G6" s="15"/>
      <c r="H6" s="15"/>
      <c r="I6" s="15" t="s">
        <v>528</v>
      </c>
      <c r="J6" s="15" t="s">
        <v>15991</v>
      </c>
    </row>
    <row r="7" spans="2:10">
      <c r="B7" s="15" t="s">
        <v>19291</v>
      </c>
      <c r="C7" s="15" t="s">
        <v>19294</v>
      </c>
      <c r="D7" s="15" t="s">
        <v>350</v>
      </c>
      <c r="E7" s="15" t="s">
        <v>305</v>
      </c>
      <c r="F7" s="15" t="s">
        <v>19295</v>
      </c>
      <c r="G7" s="15"/>
      <c r="H7" s="15"/>
      <c r="I7" s="15" t="s">
        <v>528</v>
      </c>
      <c r="J7" s="15" t="s">
        <v>15991</v>
      </c>
    </row>
    <row r="8" spans="2:10">
      <c r="B8" s="15" t="s">
        <v>19291</v>
      </c>
      <c r="C8" s="15" t="s">
        <v>19296</v>
      </c>
      <c r="D8" s="15" t="s">
        <v>350</v>
      </c>
      <c r="E8" s="15" t="s">
        <v>305</v>
      </c>
      <c r="F8" s="15" t="s">
        <v>19297</v>
      </c>
      <c r="G8" s="15"/>
      <c r="H8" s="15"/>
      <c r="I8" s="15" t="s">
        <v>528</v>
      </c>
      <c r="J8" s="15" t="s">
        <v>15991</v>
      </c>
    </row>
    <row r="9" spans="2:10">
      <c r="B9" s="15" t="s">
        <v>19291</v>
      </c>
      <c r="C9" s="15" t="s">
        <v>17160</v>
      </c>
      <c r="D9" s="15" t="s">
        <v>350</v>
      </c>
      <c r="E9" s="15" t="s">
        <v>305</v>
      </c>
      <c r="F9" s="15" t="s">
        <v>19298</v>
      </c>
      <c r="G9" s="15"/>
      <c r="H9" s="15"/>
      <c r="I9" s="15" t="s">
        <v>528</v>
      </c>
      <c r="J9" s="15" t="s">
        <v>15991</v>
      </c>
    </row>
    <row r="10" spans="2:10">
      <c r="B10" s="15" t="s">
        <v>19291</v>
      </c>
      <c r="C10" s="15" t="s">
        <v>19286</v>
      </c>
      <c r="D10" s="15" t="s">
        <v>350</v>
      </c>
      <c r="E10" s="15" t="s">
        <v>305</v>
      </c>
      <c r="F10" s="15" t="s">
        <v>19287</v>
      </c>
      <c r="G10" s="15"/>
      <c r="H10" s="15"/>
      <c r="I10" s="15" t="s">
        <v>528</v>
      </c>
      <c r="J10" s="15" t="s">
        <v>15991</v>
      </c>
    </row>
    <row r="11" spans="2:10">
      <c r="B11" s="15" t="s">
        <v>19291</v>
      </c>
      <c r="C11" s="15" t="s">
        <v>18482</v>
      </c>
      <c r="D11" s="15" t="s">
        <v>350</v>
      </c>
      <c r="E11" s="15" t="s">
        <v>305</v>
      </c>
      <c r="F11" s="15" t="s">
        <v>19288</v>
      </c>
      <c r="G11" s="15"/>
      <c r="H11" s="15"/>
      <c r="I11" s="15" t="s">
        <v>528</v>
      </c>
      <c r="J11" s="15" t="s">
        <v>15991</v>
      </c>
    </row>
    <row r="12" spans="2:10">
      <c r="B12" s="15" t="s">
        <v>19291</v>
      </c>
      <c r="C12" s="15" t="s">
        <v>19289</v>
      </c>
      <c r="D12" s="15" t="s">
        <v>350</v>
      </c>
      <c r="E12" s="15" t="s">
        <v>305</v>
      </c>
      <c r="F12" s="15" t="s">
        <v>19290</v>
      </c>
      <c r="G12" s="15"/>
      <c r="H12" s="15"/>
      <c r="I12" s="15" t="s">
        <v>528</v>
      </c>
      <c r="J12" s="15" t="s">
        <v>15991</v>
      </c>
    </row>
    <row r="13" spans="2:10">
      <c r="B13" s="15" t="s">
        <v>19291</v>
      </c>
      <c r="C13" s="15" t="s">
        <v>16088</v>
      </c>
      <c r="D13" s="15" t="s">
        <v>316</v>
      </c>
      <c r="E13" s="15" t="s">
        <v>305</v>
      </c>
      <c r="F13" s="15" t="s">
        <v>18490</v>
      </c>
      <c r="G13" s="15"/>
      <c r="H13" s="15"/>
      <c r="I13" s="15" t="s">
        <v>528</v>
      </c>
      <c r="J13" s="15" t="s">
        <v>15991</v>
      </c>
    </row>
    <row r="14" spans="2:10">
      <c r="B14" s="15" t="s">
        <v>19291</v>
      </c>
      <c r="C14" s="15" t="s">
        <v>18491</v>
      </c>
      <c r="D14" s="15" t="s">
        <v>321</v>
      </c>
      <c r="E14" s="15" t="s">
        <v>305</v>
      </c>
      <c r="F14" s="15" t="s">
        <v>18667</v>
      </c>
      <c r="G14" s="15"/>
      <c r="H14" s="15"/>
      <c r="I14" s="15" t="s">
        <v>528</v>
      </c>
      <c r="J14" s="15" t="s">
        <v>15991</v>
      </c>
    </row>
    <row r="15" spans="2:10">
      <c r="B15" s="15" t="s">
        <v>19291</v>
      </c>
      <c r="C15" s="15" t="s">
        <v>16011</v>
      </c>
      <c r="D15" s="15" t="s">
        <v>316</v>
      </c>
      <c r="E15" s="15" t="s">
        <v>305</v>
      </c>
      <c r="F15" s="15" t="s">
        <v>16012</v>
      </c>
      <c r="G15" s="15"/>
      <c r="H15" s="15"/>
      <c r="I15" s="15" t="s">
        <v>528</v>
      </c>
      <c r="J15" s="15" t="s">
        <v>15991</v>
      </c>
    </row>
    <row r="16" spans="2:10">
      <c r="B16" s="15" t="s">
        <v>19291</v>
      </c>
      <c r="C16" s="15" t="s">
        <v>16009</v>
      </c>
      <c r="D16" s="15" t="s">
        <v>316</v>
      </c>
      <c r="E16" s="15" t="s">
        <v>305</v>
      </c>
      <c r="F16" s="15" t="s">
        <v>16010</v>
      </c>
      <c r="G16" s="15"/>
      <c r="H16" s="15"/>
      <c r="I16" s="15" t="s">
        <v>528</v>
      </c>
      <c r="J16" s="15" t="s">
        <v>15991</v>
      </c>
    </row>
    <row r="17" spans="2:10">
      <c r="B17" s="15" t="s">
        <v>19291</v>
      </c>
      <c r="C17" s="15" t="s">
        <v>16013</v>
      </c>
      <c r="D17" s="15" t="s">
        <v>371</v>
      </c>
      <c r="E17" s="15" t="s">
        <v>305</v>
      </c>
      <c r="F17" s="15" t="s">
        <v>16014</v>
      </c>
      <c r="G17" s="15"/>
      <c r="H17" s="15"/>
      <c r="I17" s="15" t="s">
        <v>528</v>
      </c>
      <c r="J17" s="15" t="s">
        <v>15991</v>
      </c>
    </row>
    <row r="18" spans="2:10">
      <c r="B18" s="15" t="s">
        <v>19291</v>
      </c>
      <c r="C18" s="15" t="s">
        <v>16017</v>
      </c>
      <c r="D18" s="15" t="s">
        <v>316</v>
      </c>
      <c r="E18" s="15" t="s">
        <v>305</v>
      </c>
      <c r="F18" s="15" t="s">
        <v>16018</v>
      </c>
      <c r="G18" s="15"/>
      <c r="H18" s="15"/>
      <c r="I18" s="15" t="s">
        <v>528</v>
      </c>
      <c r="J18" s="15" t="s">
        <v>15991</v>
      </c>
    </row>
    <row r="19" spans="2:10">
      <c r="B19" s="15" t="s">
        <v>19291</v>
      </c>
      <c r="C19" s="15" t="s">
        <v>16015</v>
      </c>
      <c r="D19" s="15" t="s">
        <v>316</v>
      </c>
      <c r="E19" s="15" t="s">
        <v>305</v>
      </c>
      <c r="F19" s="15" t="s">
        <v>16016</v>
      </c>
      <c r="G19" s="15"/>
      <c r="H19" s="15"/>
      <c r="I19" s="15" t="s">
        <v>528</v>
      </c>
      <c r="J19" s="15" t="s">
        <v>15991</v>
      </c>
    </row>
    <row r="20" spans="2:10">
      <c r="B20" s="15" t="s">
        <v>19291</v>
      </c>
      <c r="C20" s="15" t="s">
        <v>16019</v>
      </c>
      <c r="D20" s="15" t="s">
        <v>371</v>
      </c>
      <c r="E20" s="15" t="s">
        <v>305</v>
      </c>
      <c r="F20" s="15" t="s">
        <v>16020</v>
      </c>
      <c r="G20" s="15"/>
      <c r="H20" s="15"/>
      <c r="I20" s="15" t="s">
        <v>528</v>
      </c>
      <c r="J20" s="15" t="s">
        <v>15991</v>
      </c>
    </row>
  </sheetData>
  <pageMargins left="0.75" right="0.75" top="1" bottom="1" header="0.5" footer="0.5"/>
  <pageSetup paperSize="1" orientation="portrait" horizontalDpi="300" verticalDpi="300"/>
  <headerFooter alignWithMargins="0" scaleWithDoc="0"/>
</worksheet>
</file>

<file path=xl/worksheets/sheet10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0"/>
  <sheetViews>
    <sheetView zoomScaleSheetLayoutView="60" workbookViewId="0">
      <selection activeCell="F20" sqref="F20"/>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52" t="str">
        <f>HYPERLINK("#表结构清单!A1","返回")</f>
        <v>返回</v>
      </c>
      <c r="B1" t="s">
        <v>159</v>
      </c>
    </row>
    <row r="2" spans="2:10">
      <c r="B2" s="13" t="s">
        <v>15982</v>
      </c>
      <c r="C2" s="13" t="s">
        <v>297</v>
      </c>
      <c r="D2" s="13" t="s">
        <v>11870</v>
      </c>
      <c r="E2" s="13" t="s">
        <v>15983</v>
      </c>
      <c r="F2" s="13" t="s">
        <v>15984</v>
      </c>
      <c r="G2" s="13" t="s">
        <v>300</v>
      </c>
      <c r="H2" s="13" t="s">
        <v>301</v>
      </c>
      <c r="I2" s="13" t="s">
        <v>15985</v>
      </c>
      <c r="J2" s="13" t="s">
        <v>15986</v>
      </c>
    </row>
    <row r="3" spans="2:10">
      <c r="B3" s="15" t="s">
        <v>19299</v>
      </c>
      <c r="C3" s="15" t="s">
        <v>15988</v>
      </c>
      <c r="D3" s="15" t="s">
        <v>316</v>
      </c>
      <c r="E3" s="15" t="s">
        <v>15989</v>
      </c>
      <c r="F3" s="15" t="s">
        <v>15990</v>
      </c>
      <c r="G3" s="15"/>
      <c r="H3" s="15"/>
      <c r="I3" s="15" t="s">
        <v>528</v>
      </c>
      <c r="J3" s="15" t="s">
        <v>15991</v>
      </c>
    </row>
    <row r="4" spans="2:10">
      <c r="B4" s="15" t="s">
        <v>19299</v>
      </c>
      <c r="C4" s="15" t="s">
        <v>19300</v>
      </c>
      <c r="D4" s="15" t="s">
        <v>316</v>
      </c>
      <c r="E4" s="15" t="s">
        <v>305</v>
      </c>
      <c r="F4" s="15" t="s">
        <v>19301</v>
      </c>
      <c r="G4" s="15"/>
      <c r="H4" s="15"/>
      <c r="I4" s="15" t="s">
        <v>528</v>
      </c>
      <c r="J4" s="15" t="s">
        <v>15991</v>
      </c>
    </row>
    <row r="5" spans="2:10">
      <c r="B5" s="15" t="s">
        <v>19299</v>
      </c>
      <c r="C5" s="15" t="s">
        <v>16894</v>
      </c>
      <c r="D5" s="15" t="s">
        <v>316</v>
      </c>
      <c r="E5" s="15" t="s">
        <v>305</v>
      </c>
      <c r="F5" s="15" t="s">
        <v>19302</v>
      </c>
      <c r="G5" s="15"/>
      <c r="H5" s="15"/>
      <c r="I5" s="15" t="s">
        <v>528</v>
      </c>
      <c r="J5" s="15" t="s">
        <v>15991</v>
      </c>
    </row>
    <row r="6" spans="2:10">
      <c r="B6" s="15" t="s">
        <v>19299</v>
      </c>
      <c r="C6" s="15" t="s">
        <v>16941</v>
      </c>
      <c r="D6" s="15" t="s">
        <v>506</v>
      </c>
      <c r="E6" s="15" t="s">
        <v>305</v>
      </c>
      <c r="F6" s="53" t="s">
        <v>19303</v>
      </c>
      <c r="G6" s="15"/>
      <c r="H6" s="15"/>
      <c r="I6" s="15" t="s">
        <v>528</v>
      </c>
      <c r="J6" s="15" t="s">
        <v>15991</v>
      </c>
    </row>
    <row r="7" spans="2:10">
      <c r="B7" s="15" t="s">
        <v>19299</v>
      </c>
      <c r="C7" s="15" t="s">
        <v>19304</v>
      </c>
      <c r="D7" s="15" t="s">
        <v>316</v>
      </c>
      <c r="E7" s="15" t="s">
        <v>305</v>
      </c>
      <c r="F7" s="15" t="s">
        <v>19305</v>
      </c>
      <c r="G7" s="15"/>
      <c r="H7" s="15"/>
      <c r="I7" s="15" t="s">
        <v>528</v>
      </c>
      <c r="J7" s="15" t="s">
        <v>15991</v>
      </c>
    </row>
    <row r="8" spans="2:10">
      <c r="B8" s="15" t="s">
        <v>19299</v>
      </c>
      <c r="C8" s="15" t="s">
        <v>16945</v>
      </c>
      <c r="D8" s="15" t="s">
        <v>316</v>
      </c>
      <c r="E8" s="15" t="s">
        <v>305</v>
      </c>
      <c r="F8" s="15" t="s">
        <v>19306</v>
      </c>
      <c r="G8" s="15"/>
      <c r="H8" s="15"/>
      <c r="I8" s="15" t="s">
        <v>528</v>
      </c>
      <c r="J8" s="15" t="s">
        <v>15991</v>
      </c>
    </row>
    <row r="9" spans="2:10">
      <c r="B9" s="15" t="s">
        <v>19299</v>
      </c>
      <c r="C9" s="15" t="s">
        <v>16951</v>
      </c>
      <c r="D9" s="15" t="s">
        <v>316</v>
      </c>
      <c r="E9" s="15" t="s">
        <v>305</v>
      </c>
      <c r="F9" s="15" t="s">
        <v>19307</v>
      </c>
      <c r="G9" s="15"/>
      <c r="H9" s="15"/>
      <c r="I9" s="15" t="s">
        <v>528</v>
      </c>
      <c r="J9" s="15" t="s">
        <v>15991</v>
      </c>
    </row>
    <row r="10" spans="2:10">
      <c r="B10" s="15" t="s">
        <v>19299</v>
      </c>
      <c r="C10" s="15" t="s">
        <v>19181</v>
      </c>
      <c r="D10" s="15" t="s">
        <v>316</v>
      </c>
      <c r="E10" s="15" t="s">
        <v>305</v>
      </c>
      <c r="F10" s="15" t="s">
        <v>16961</v>
      </c>
      <c r="G10" s="15"/>
      <c r="H10" s="15"/>
      <c r="I10" s="15" t="s">
        <v>528</v>
      </c>
      <c r="J10" s="15" t="s">
        <v>15991</v>
      </c>
    </row>
    <row r="11" spans="2:10">
      <c r="B11" s="15" t="s">
        <v>19299</v>
      </c>
      <c r="C11" s="15" t="s">
        <v>19308</v>
      </c>
      <c r="D11" s="15" t="s">
        <v>316</v>
      </c>
      <c r="E11" s="15" t="s">
        <v>305</v>
      </c>
      <c r="F11" s="15" t="s">
        <v>15871</v>
      </c>
      <c r="G11" s="64" t="str">
        <f>HYPERLINK("#码值映射清单!B3983","IndustryType")</f>
        <v>IndustryType</v>
      </c>
      <c r="H11" s="15"/>
      <c r="I11" s="15" t="s">
        <v>528</v>
      </c>
      <c r="J11" s="15" t="s">
        <v>15991</v>
      </c>
    </row>
    <row r="12" spans="2:10">
      <c r="B12" s="15" t="s">
        <v>19299</v>
      </c>
      <c r="C12" s="15" t="s">
        <v>17016</v>
      </c>
      <c r="D12" s="15" t="s">
        <v>350</v>
      </c>
      <c r="E12" s="15" t="s">
        <v>305</v>
      </c>
      <c r="F12" s="15" t="s">
        <v>19309</v>
      </c>
      <c r="G12" s="15"/>
      <c r="H12" s="15"/>
      <c r="I12" s="15" t="s">
        <v>528</v>
      </c>
      <c r="J12" s="15" t="s">
        <v>15991</v>
      </c>
    </row>
    <row r="13" spans="2:10">
      <c r="B13" s="15" t="s">
        <v>19299</v>
      </c>
      <c r="C13" s="15" t="s">
        <v>19310</v>
      </c>
      <c r="D13" s="15" t="s">
        <v>350</v>
      </c>
      <c r="E13" s="15" t="s">
        <v>305</v>
      </c>
      <c r="F13" s="15" t="s">
        <v>15865</v>
      </c>
      <c r="G13" s="15"/>
      <c r="H13" s="15"/>
      <c r="I13" s="15" t="s">
        <v>528</v>
      </c>
      <c r="J13" s="15" t="s">
        <v>15991</v>
      </c>
    </row>
    <row r="14" spans="2:10">
      <c r="B14" s="15" t="s">
        <v>19299</v>
      </c>
      <c r="C14" s="15" t="s">
        <v>19311</v>
      </c>
      <c r="D14" s="15" t="s">
        <v>363</v>
      </c>
      <c r="E14" s="15" t="s">
        <v>305</v>
      </c>
      <c r="F14" s="15" t="s">
        <v>19312</v>
      </c>
      <c r="G14" s="15"/>
      <c r="H14" s="15"/>
      <c r="I14" s="15" t="s">
        <v>528</v>
      </c>
      <c r="J14" s="15" t="s">
        <v>15991</v>
      </c>
    </row>
    <row r="15" spans="2:10">
      <c r="B15" s="15" t="s">
        <v>19299</v>
      </c>
      <c r="C15" s="15" t="s">
        <v>19313</v>
      </c>
      <c r="D15" s="15" t="s">
        <v>363</v>
      </c>
      <c r="E15" s="15" t="s">
        <v>305</v>
      </c>
      <c r="F15" s="15" t="s">
        <v>19314</v>
      </c>
      <c r="G15" s="15"/>
      <c r="H15" s="15"/>
      <c r="I15" s="15" t="s">
        <v>528</v>
      </c>
      <c r="J15" s="15" t="s">
        <v>15991</v>
      </c>
    </row>
    <row r="16" spans="2:10">
      <c r="B16" s="15" t="s">
        <v>19299</v>
      </c>
      <c r="C16" s="15" t="s">
        <v>19315</v>
      </c>
      <c r="D16" s="15" t="s">
        <v>363</v>
      </c>
      <c r="E16" s="15" t="s">
        <v>305</v>
      </c>
      <c r="F16" s="15" t="s">
        <v>19316</v>
      </c>
      <c r="G16" s="15"/>
      <c r="H16" s="15"/>
      <c r="I16" s="15" t="s">
        <v>528</v>
      </c>
      <c r="J16" s="15" t="s">
        <v>15991</v>
      </c>
    </row>
    <row r="17" spans="2:10">
      <c r="B17" s="15" t="s">
        <v>19299</v>
      </c>
      <c r="C17" s="15" t="s">
        <v>19317</v>
      </c>
      <c r="D17" s="15" t="s">
        <v>321</v>
      </c>
      <c r="E17" s="15" t="s">
        <v>305</v>
      </c>
      <c r="F17" s="15" t="s">
        <v>19318</v>
      </c>
      <c r="G17" s="61" t="str">
        <f>HYPERLINK("#码值映射清单!B5150","YesNo")</f>
        <v>YesNo</v>
      </c>
      <c r="H17" s="15"/>
      <c r="I17" s="15" t="s">
        <v>528</v>
      </c>
      <c r="J17" s="15" t="s">
        <v>15991</v>
      </c>
    </row>
    <row r="18" spans="2:10">
      <c r="B18" s="15" t="s">
        <v>19299</v>
      </c>
      <c r="C18" s="15" t="s">
        <v>19319</v>
      </c>
      <c r="D18" s="15" t="s">
        <v>321</v>
      </c>
      <c r="E18" s="15" t="s">
        <v>305</v>
      </c>
      <c r="F18" s="15" t="s">
        <v>19320</v>
      </c>
      <c r="G18" s="52" t="str">
        <f>HYPERLINK("#码值映射清单!B5150","YesNo")</f>
        <v>YesNo</v>
      </c>
      <c r="H18" s="15"/>
      <c r="I18" s="15" t="s">
        <v>528</v>
      </c>
      <c r="J18" s="15" t="s">
        <v>15991</v>
      </c>
    </row>
    <row r="19" spans="2:10">
      <c r="B19" s="15" t="s">
        <v>19299</v>
      </c>
      <c r="C19" s="15" t="s">
        <v>19321</v>
      </c>
      <c r="D19" s="15" t="s">
        <v>321</v>
      </c>
      <c r="E19" s="15" t="s">
        <v>305</v>
      </c>
      <c r="F19" s="15" t="s">
        <v>19322</v>
      </c>
      <c r="G19" s="52" t="str">
        <f>HYPERLINK("#码值映射清单!B5150","YesNo")</f>
        <v>YesNo</v>
      </c>
      <c r="H19" s="15"/>
      <c r="I19" s="15" t="s">
        <v>528</v>
      </c>
      <c r="J19" s="15" t="s">
        <v>15991</v>
      </c>
    </row>
    <row r="20" spans="2:10">
      <c r="B20" s="15" t="s">
        <v>19299</v>
      </c>
      <c r="C20" s="15" t="s">
        <v>19323</v>
      </c>
      <c r="D20" s="15" t="s">
        <v>321</v>
      </c>
      <c r="E20" s="15" t="s">
        <v>305</v>
      </c>
      <c r="F20" s="15" t="s">
        <v>19324</v>
      </c>
      <c r="G20" s="52" t="str">
        <f>HYPERLINK("#码值映射清单!B5150","YesNo")</f>
        <v>YesNo</v>
      </c>
      <c r="H20" s="15"/>
      <c r="I20" s="15" t="s">
        <v>528</v>
      </c>
      <c r="J20" s="15" t="s">
        <v>15991</v>
      </c>
    </row>
  </sheetData>
  <pageMargins left="0.75" right="0.75" top="1" bottom="1" header="0.5" footer="0.5"/>
  <pageSetup paperSize="1" orientation="portrait" horizontalDpi="300" verticalDpi="300"/>
  <headerFooter alignWithMargins="0" scaleWithDoc="0"/>
</worksheet>
</file>

<file path=xl/worksheets/sheet10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8"/>
  <sheetViews>
    <sheetView zoomScaleSheetLayoutView="60" workbookViewId="0">
      <selection activeCell="A1" sqref="A1"/>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1" t="str">
        <f>HYPERLINK("#表结构清单!A1","返回")</f>
        <v>返回</v>
      </c>
      <c r="B1" t="s">
        <v>161</v>
      </c>
    </row>
    <row r="2" spans="2:10">
      <c r="B2" s="13" t="s">
        <v>15982</v>
      </c>
      <c r="C2" s="13" t="s">
        <v>297</v>
      </c>
      <c r="D2" s="13" t="s">
        <v>11870</v>
      </c>
      <c r="E2" s="13" t="s">
        <v>15983</v>
      </c>
      <c r="F2" s="13" t="s">
        <v>15984</v>
      </c>
      <c r="G2" s="13" t="s">
        <v>300</v>
      </c>
      <c r="H2" s="13" t="s">
        <v>301</v>
      </c>
      <c r="I2" s="13" t="s">
        <v>15985</v>
      </c>
      <c r="J2" s="13" t="s">
        <v>15986</v>
      </c>
    </row>
    <row r="3" spans="2:10">
      <c r="B3" s="15" t="s">
        <v>19325</v>
      </c>
      <c r="C3" s="15" t="s">
        <v>15988</v>
      </c>
      <c r="D3" s="15" t="s">
        <v>316</v>
      </c>
      <c r="E3" s="15" t="s">
        <v>15989</v>
      </c>
      <c r="F3" s="15" t="s">
        <v>15990</v>
      </c>
      <c r="G3" s="15"/>
      <c r="H3" s="15"/>
      <c r="I3" s="15" t="s">
        <v>528</v>
      </c>
      <c r="J3" s="15" t="s">
        <v>15991</v>
      </c>
    </row>
    <row r="4" spans="2:10">
      <c r="B4" s="15" t="s">
        <v>19325</v>
      </c>
      <c r="C4" s="15" t="s">
        <v>19300</v>
      </c>
      <c r="D4" s="15" t="s">
        <v>316</v>
      </c>
      <c r="E4" s="15" t="s">
        <v>305</v>
      </c>
      <c r="F4" s="15" t="s">
        <v>19301</v>
      </c>
      <c r="G4" s="15"/>
      <c r="H4" s="15"/>
      <c r="I4" s="15" t="s">
        <v>528</v>
      </c>
      <c r="J4" s="15" t="s">
        <v>15991</v>
      </c>
    </row>
    <row r="5" spans="2:10">
      <c r="B5" s="15" t="s">
        <v>19325</v>
      </c>
      <c r="C5" s="15" t="s">
        <v>16103</v>
      </c>
      <c r="D5" s="15" t="s">
        <v>316</v>
      </c>
      <c r="E5" s="15" t="s">
        <v>305</v>
      </c>
      <c r="F5" s="15" t="s">
        <v>16986</v>
      </c>
      <c r="G5" s="15"/>
      <c r="H5" s="15"/>
      <c r="I5" s="15" t="s">
        <v>528</v>
      </c>
      <c r="J5" s="15" t="s">
        <v>15991</v>
      </c>
    </row>
    <row r="6" spans="2:10">
      <c r="B6" s="15" t="s">
        <v>19325</v>
      </c>
      <c r="C6" s="15" t="s">
        <v>18730</v>
      </c>
      <c r="D6" s="15" t="s">
        <v>327</v>
      </c>
      <c r="E6" s="15" t="s">
        <v>305</v>
      </c>
      <c r="F6" s="15" t="s">
        <v>18731</v>
      </c>
      <c r="G6" s="15"/>
      <c r="H6" s="15"/>
      <c r="I6" s="15" t="s">
        <v>528</v>
      </c>
      <c r="J6" s="15" t="s">
        <v>15991</v>
      </c>
    </row>
    <row r="7" spans="2:10">
      <c r="B7" s="15" t="s">
        <v>19325</v>
      </c>
      <c r="C7" s="15" t="s">
        <v>18805</v>
      </c>
      <c r="D7" s="15" t="s">
        <v>316</v>
      </c>
      <c r="E7" s="15" t="s">
        <v>305</v>
      </c>
      <c r="F7" s="15" t="s">
        <v>19326</v>
      </c>
      <c r="G7" s="15"/>
      <c r="H7" s="15"/>
      <c r="I7" s="15" t="s">
        <v>528</v>
      </c>
      <c r="J7" s="15" t="s">
        <v>15991</v>
      </c>
    </row>
    <row r="8" spans="2:10">
      <c r="B8" s="15" t="s">
        <v>19325</v>
      </c>
      <c r="C8" s="15" t="s">
        <v>18807</v>
      </c>
      <c r="D8" s="15" t="s">
        <v>316</v>
      </c>
      <c r="E8" s="15" t="s">
        <v>305</v>
      </c>
      <c r="F8" s="15" t="s">
        <v>19327</v>
      </c>
      <c r="G8" s="15"/>
      <c r="H8" s="15"/>
      <c r="I8" s="15" t="s">
        <v>528</v>
      </c>
      <c r="J8" s="15" t="s">
        <v>15991</v>
      </c>
    </row>
    <row r="9" spans="2:10">
      <c r="B9" s="15" t="s">
        <v>19325</v>
      </c>
      <c r="C9" s="15" t="s">
        <v>19328</v>
      </c>
      <c r="D9" s="15" t="s">
        <v>321</v>
      </c>
      <c r="E9" s="15" t="s">
        <v>305</v>
      </c>
      <c r="F9" s="15" t="s">
        <v>19329</v>
      </c>
      <c r="G9" s="63" t="str">
        <f>HYPERLINK("#码值映射清单!B10107","AreaCode")</f>
        <v>AreaCode</v>
      </c>
      <c r="H9" s="15"/>
      <c r="I9" s="15" t="s">
        <v>528</v>
      </c>
      <c r="J9" s="15" t="s">
        <v>15991</v>
      </c>
    </row>
    <row r="10" spans="2:10">
      <c r="B10" s="15" t="s">
        <v>19325</v>
      </c>
      <c r="C10" s="15" t="s">
        <v>19330</v>
      </c>
      <c r="D10" s="15" t="s">
        <v>363</v>
      </c>
      <c r="E10" s="15" t="s">
        <v>305</v>
      </c>
      <c r="F10" s="15" t="s">
        <v>15866</v>
      </c>
      <c r="G10" s="15"/>
      <c r="H10" s="15"/>
      <c r="I10" s="15" t="s">
        <v>528</v>
      </c>
      <c r="J10" s="15" t="s">
        <v>15991</v>
      </c>
    </row>
    <row r="11" spans="2:10">
      <c r="B11" s="15" t="s">
        <v>19325</v>
      </c>
      <c r="C11" s="15" t="s">
        <v>19331</v>
      </c>
      <c r="D11" s="15" t="s">
        <v>350</v>
      </c>
      <c r="E11" s="15" t="s">
        <v>305</v>
      </c>
      <c r="F11" s="15" t="s">
        <v>19332</v>
      </c>
      <c r="G11" s="15"/>
      <c r="H11" s="15"/>
      <c r="I11" s="15" t="s">
        <v>528</v>
      </c>
      <c r="J11" s="15" t="s">
        <v>15991</v>
      </c>
    </row>
    <row r="12" spans="2:10">
      <c r="B12" s="15" t="s">
        <v>19325</v>
      </c>
      <c r="C12" s="15" t="s">
        <v>19333</v>
      </c>
      <c r="D12" s="15" t="s">
        <v>363</v>
      </c>
      <c r="E12" s="15" t="s">
        <v>305</v>
      </c>
      <c r="F12" s="15" t="s">
        <v>19334</v>
      </c>
      <c r="G12" s="15"/>
      <c r="H12" s="15"/>
      <c r="I12" s="15" t="s">
        <v>528</v>
      </c>
      <c r="J12" s="15" t="s">
        <v>15991</v>
      </c>
    </row>
    <row r="13" spans="2:10">
      <c r="B13" s="15" t="s">
        <v>19325</v>
      </c>
      <c r="C13" s="15" t="s">
        <v>19335</v>
      </c>
      <c r="D13" s="15" t="s">
        <v>350</v>
      </c>
      <c r="E13" s="15" t="s">
        <v>305</v>
      </c>
      <c r="F13" s="15" t="s">
        <v>19336</v>
      </c>
      <c r="G13" s="15"/>
      <c r="H13" s="15"/>
      <c r="I13" s="15" t="s">
        <v>528</v>
      </c>
      <c r="J13" s="15" t="s">
        <v>15991</v>
      </c>
    </row>
    <row r="14" spans="2:10">
      <c r="B14" s="15" t="s">
        <v>19325</v>
      </c>
      <c r="C14" s="15" t="s">
        <v>19337</v>
      </c>
      <c r="D14" s="15" t="s">
        <v>363</v>
      </c>
      <c r="E14" s="15" t="s">
        <v>305</v>
      </c>
      <c r="F14" s="15" t="s">
        <v>19338</v>
      </c>
      <c r="G14" s="15"/>
      <c r="H14" s="15"/>
      <c r="I14" s="15" t="s">
        <v>528</v>
      </c>
      <c r="J14" s="15" t="s">
        <v>15991</v>
      </c>
    </row>
    <row r="15" spans="2:10">
      <c r="B15" s="15" t="s">
        <v>19325</v>
      </c>
      <c r="C15" s="15" t="s">
        <v>19339</v>
      </c>
      <c r="D15" s="15" t="s">
        <v>350</v>
      </c>
      <c r="E15" s="15" t="s">
        <v>305</v>
      </c>
      <c r="F15" s="15" t="s">
        <v>19340</v>
      </c>
      <c r="G15" s="15"/>
      <c r="H15" s="15"/>
      <c r="I15" s="15" t="s">
        <v>528</v>
      </c>
      <c r="J15" s="15" t="s">
        <v>15991</v>
      </c>
    </row>
    <row r="16" spans="2:10">
      <c r="B16" s="15" t="s">
        <v>19325</v>
      </c>
      <c r="C16" s="15" t="s">
        <v>19341</v>
      </c>
      <c r="D16" s="15" t="s">
        <v>363</v>
      </c>
      <c r="E16" s="15" t="s">
        <v>305</v>
      </c>
      <c r="F16" s="15" t="s">
        <v>19342</v>
      </c>
      <c r="G16" s="15"/>
      <c r="H16" s="15"/>
      <c r="I16" s="15" t="s">
        <v>528</v>
      </c>
      <c r="J16" s="15" t="s">
        <v>15991</v>
      </c>
    </row>
    <row r="17" spans="2:10">
      <c r="B17" s="15" t="s">
        <v>19325</v>
      </c>
      <c r="C17" s="15" t="s">
        <v>19343</v>
      </c>
      <c r="D17" s="15" t="s">
        <v>350</v>
      </c>
      <c r="E17" s="15" t="s">
        <v>305</v>
      </c>
      <c r="F17" s="15" t="s">
        <v>19344</v>
      </c>
      <c r="G17" s="15"/>
      <c r="H17" s="15"/>
      <c r="I17" s="15" t="s">
        <v>528</v>
      </c>
      <c r="J17" s="15" t="s">
        <v>15991</v>
      </c>
    </row>
    <row r="18" spans="2:10">
      <c r="B18" s="15" t="s">
        <v>19325</v>
      </c>
      <c r="C18" s="15" t="s">
        <v>18451</v>
      </c>
      <c r="D18" s="15" t="s">
        <v>316</v>
      </c>
      <c r="E18" s="15" t="s">
        <v>305</v>
      </c>
      <c r="F18" s="15" t="s">
        <v>1535</v>
      </c>
      <c r="G18" s="15"/>
      <c r="H18" s="15"/>
      <c r="I18" s="15" t="s">
        <v>528</v>
      </c>
      <c r="J18" s="15" t="s">
        <v>15991</v>
      </c>
    </row>
  </sheetData>
  <pageMargins left="0.75" right="0.75" top="1" bottom="1" header="0.5" footer="0.5"/>
  <pageSetup paperSize="1" orientation="portrait" horizontalDpi="300" verticalDpi="300"/>
  <headerFooter alignWithMargins="0" scaleWithDoc="0"/>
</worksheet>
</file>

<file path=xl/worksheets/sheet10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1"/>
  <sheetViews>
    <sheetView zoomScaleSheetLayoutView="60" workbookViewId="0">
      <selection activeCell="F13" sqref="F13"/>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51" t="str">
        <f>HYPERLINK("#表结构清单!A1","返回")</f>
        <v>返回</v>
      </c>
      <c r="B1" t="s">
        <v>162</v>
      </c>
    </row>
    <row r="2" spans="2:10">
      <c r="B2" s="13" t="s">
        <v>15982</v>
      </c>
      <c r="C2" s="13" t="s">
        <v>297</v>
      </c>
      <c r="D2" s="13" t="s">
        <v>11870</v>
      </c>
      <c r="E2" s="13" t="s">
        <v>15983</v>
      </c>
      <c r="F2" s="13" t="s">
        <v>15984</v>
      </c>
      <c r="G2" s="13" t="s">
        <v>300</v>
      </c>
      <c r="H2" s="13" t="s">
        <v>301</v>
      </c>
      <c r="I2" s="13" t="s">
        <v>15985</v>
      </c>
      <c r="J2" s="13" t="s">
        <v>15986</v>
      </c>
    </row>
    <row r="3" spans="2:10">
      <c r="B3" s="15" t="s">
        <v>19345</v>
      </c>
      <c r="C3" s="15" t="s">
        <v>15988</v>
      </c>
      <c r="D3" s="15" t="s">
        <v>316</v>
      </c>
      <c r="E3" s="15" t="s">
        <v>15989</v>
      </c>
      <c r="F3" s="15" t="s">
        <v>15990</v>
      </c>
      <c r="G3" s="15"/>
      <c r="H3" s="15"/>
      <c r="I3" s="15" t="s">
        <v>528</v>
      </c>
      <c r="J3" s="15" t="s">
        <v>15991</v>
      </c>
    </row>
    <row r="4" spans="2:10">
      <c r="B4" s="15" t="s">
        <v>19345</v>
      </c>
      <c r="C4" s="15" t="s">
        <v>19300</v>
      </c>
      <c r="D4" s="15" t="s">
        <v>316</v>
      </c>
      <c r="E4" s="15" t="s">
        <v>305</v>
      </c>
      <c r="F4" s="15" t="s">
        <v>19301</v>
      </c>
      <c r="G4" s="15"/>
      <c r="H4" s="15"/>
      <c r="I4" s="15" t="s">
        <v>528</v>
      </c>
      <c r="J4" s="15" t="s">
        <v>15991</v>
      </c>
    </row>
    <row r="5" spans="2:10">
      <c r="B5" s="15" t="s">
        <v>19345</v>
      </c>
      <c r="C5" s="15" t="s">
        <v>16894</v>
      </c>
      <c r="D5" s="15" t="s">
        <v>316</v>
      </c>
      <c r="E5" s="15" t="s">
        <v>305</v>
      </c>
      <c r="F5" s="15" t="s">
        <v>19302</v>
      </c>
      <c r="G5" s="15"/>
      <c r="H5" s="15"/>
      <c r="I5" s="15" t="s">
        <v>528</v>
      </c>
      <c r="J5" s="15" t="s">
        <v>15991</v>
      </c>
    </row>
    <row r="6" spans="2:10">
      <c r="B6" s="15" t="s">
        <v>19345</v>
      </c>
      <c r="C6" s="15" t="s">
        <v>16941</v>
      </c>
      <c r="D6" s="15" t="s">
        <v>316</v>
      </c>
      <c r="E6" s="15" t="s">
        <v>305</v>
      </c>
      <c r="F6" s="15" t="s">
        <v>19303</v>
      </c>
      <c r="G6" s="15"/>
      <c r="H6" s="15"/>
      <c r="I6" s="15" t="s">
        <v>528</v>
      </c>
      <c r="J6" s="15" t="s">
        <v>15991</v>
      </c>
    </row>
    <row r="7" spans="2:10">
      <c r="B7" s="15" t="s">
        <v>19345</v>
      </c>
      <c r="C7" s="15" t="s">
        <v>19346</v>
      </c>
      <c r="D7" s="15" t="s">
        <v>316</v>
      </c>
      <c r="E7" s="15" t="s">
        <v>305</v>
      </c>
      <c r="F7" s="15" t="s">
        <v>19305</v>
      </c>
      <c r="G7" s="15"/>
      <c r="H7" s="15"/>
      <c r="I7" s="15" t="s">
        <v>528</v>
      </c>
      <c r="J7" s="15" t="s">
        <v>15991</v>
      </c>
    </row>
    <row r="8" spans="2:10">
      <c r="B8" s="15" t="s">
        <v>19345</v>
      </c>
      <c r="C8" s="15" t="s">
        <v>16945</v>
      </c>
      <c r="D8" s="15" t="s">
        <v>316</v>
      </c>
      <c r="E8" s="15" t="s">
        <v>305</v>
      </c>
      <c r="F8" s="15" t="s">
        <v>19306</v>
      </c>
      <c r="G8" s="15"/>
      <c r="H8" s="15"/>
      <c r="I8" s="15" t="s">
        <v>528</v>
      </c>
      <c r="J8" s="15" t="s">
        <v>15991</v>
      </c>
    </row>
    <row r="9" spans="2:10">
      <c r="B9" s="15" t="s">
        <v>19345</v>
      </c>
      <c r="C9" s="15" t="s">
        <v>16951</v>
      </c>
      <c r="D9" s="15" t="s">
        <v>506</v>
      </c>
      <c r="E9" s="15" t="s">
        <v>305</v>
      </c>
      <c r="F9" s="15" t="s">
        <v>19307</v>
      </c>
      <c r="G9" s="15"/>
      <c r="H9" s="15"/>
      <c r="I9" s="15" t="s">
        <v>528</v>
      </c>
      <c r="J9" s="15" t="s">
        <v>15991</v>
      </c>
    </row>
    <row r="10" spans="2:10">
      <c r="B10" s="15" t="s">
        <v>19345</v>
      </c>
      <c r="C10" s="15" t="s">
        <v>19181</v>
      </c>
      <c r="D10" s="15" t="s">
        <v>316</v>
      </c>
      <c r="E10" s="15" t="s">
        <v>305</v>
      </c>
      <c r="F10" s="15" t="s">
        <v>16961</v>
      </c>
      <c r="G10" s="15"/>
      <c r="H10" s="15"/>
      <c r="I10" s="15" t="s">
        <v>528</v>
      </c>
      <c r="J10" s="15" t="s">
        <v>15991</v>
      </c>
    </row>
    <row r="11" spans="2:10">
      <c r="B11" s="15" t="s">
        <v>19345</v>
      </c>
      <c r="C11" s="15" t="s">
        <v>19347</v>
      </c>
      <c r="D11" s="15" t="s">
        <v>350</v>
      </c>
      <c r="E11" s="15" t="s">
        <v>305</v>
      </c>
      <c r="F11" s="15" t="s">
        <v>19348</v>
      </c>
      <c r="G11" s="15"/>
      <c r="H11" s="15"/>
      <c r="I11" s="15" t="s">
        <v>528</v>
      </c>
      <c r="J11" s="15" t="s">
        <v>15991</v>
      </c>
    </row>
    <row r="12" spans="2:10">
      <c r="B12" s="15" t="s">
        <v>19345</v>
      </c>
      <c r="C12" s="15" t="s">
        <v>17016</v>
      </c>
      <c r="D12" s="15" t="s">
        <v>350</v>
      </c>
      <c r="E12" s="15" t="s">
        <v>305</v>
      </c>
      <c r="F12" s="15" t="s">
        <v>19309</v>
      </c>
      <c r="G12" s="15"/>
      <c r="H12" s="15"/>
      <c r="I12" s="15" t="s">
        <v>528</v>
      </c>
      <c r="J12" s="15" t="s">
        <v>15991</v>
      </c>
    </row>
    <row r="13" spans="2:10">
      <c r="B13" s="15" t="s">
        <v>19345</v>
      </c>
      <c r="C13" s="15" t="s">
        <v>19349</v>
      </c>
      <c r="D13" s="15" t="s">
        <v>350</v>
      </c>
      <c r="E13" s="15" t="s">
        <v>305</v>
      </c>
      <c r="F13" s="15" t="s">
        <v>19350</v>
      </c>
      <c r="G13" s="15"/>
      <c r="H13" s="15"/>
      <c r="I13" s="15" t="s">
        <v>528</v>
      </c>
      <c r="J13" s="15" t="s">
        <v>15991</v>
      </c>
    </row>
    <row r="14" spans="2:10">
      <c r="B14" s="15" t="s">
        <v>19345</v>
      </c>
      <c r="C14" s="15" t="s">
        <v>19351</v>
      </c>
      <c r="D14" s="15" t="s">
        <v>350</v>
      </c>
      <c r="E14" s="15" t="s">
        <v>305</v>
      </c>
      <c r="F14" s="15" t="s">
        <v>19352</v>
      </c>
      <c r="G14" s="15"/>
      <c r="H14" s="15"/>
      <c r="I14" s="15" t="s">
        <v>528</v>
      </c>
      <c r="J14" s="15" t="s">
        <v>15991</v>
      </c>
    </row>
    <row r="15" spans="2:10">
      <c r="B15" s="15" t="s">
        <v>19345</v>
      </c>
      <c r="C15" s="15" t="s">
        <v>19353</v>
      </c>
      <c r="D15" s="15" t="s">
        <v>350</v>
      </c>
      <c r="E15" s="15" t="s">
        <v>305</v>
      </c>
      <c r="F15" s="15" t="s">
        <v>19354</v>
      </c>
      <c r="G15" s="15"/>
      <c r="H15" s="15"/>
      <c r="I15" s="15" t="s">
        <v>528</v>
      </c>
      <c r="J15" s="15" t="s">
        <v>15991</v>
      </c>
    </row>
    <row r="16" spans="2:10">
      <c r="B16" s="15" t="s">
        <v>19345</v>
      </c>
      <c r="C16" s="15" t="s">
        <v>19355</v>
      </c>
      <c r="D16" s="15" t="s">
        <v>350</v>
      </c>
      <c r="E16" s="15" t="s">
        <v>305</v>
      </c>
      <c r="F16" s="15" t="s">
        <v>19356</v>
      </c>
      <c r="G16" s="15"/>
      <c r="H16" s="15"/>
      <c r="I16" s="15" t="s">
        <v>528</v>
      </c>
      <c r="J16" s="15" t="s">
        <v>15991</v>
      </c>
    </row>
    <row r="17" spans="2:10">
      <c r="B17" s="15" t="s">
        <v>19345</v>
      </c>
      <c r="C17" s="15" t="s">
        <v>19308</v>
      </c>
      <c r="D17" s="15" t="s">
        <v>316</v>
      </c>
      <c r="E17" s="15" t="s">
        <v>305</v>
      </c>
      <c r="F17" s="15" t="s">
        <v>15871</v>
      </c>
      <c r="G17" s="15"/>
      <c r="H17" s="15"/>
      <c r="I17" s="15" t="s">
        <v>528</v>
      </c>
      <c r="J17" s="15" t="s">
        <v>15991</v>
      </c>
    </row>
    <row r="18" spans="2:10">
      <c r="B18" s="15" t="s">
        <v>19345</v>
      </c>
      <c r="C18" s="15" t="s">
        <v>16103</v>
      </c>
      <c r="D18" s="15" t="s">
        <v>316</v>
      </c>
      <c r="E18" s="15" t="s">
        <v>305</v>
      </c>
      <c r="F18" s="15" t="s">
        <v>16986</v>
      </c>
      <c r="G18" s="15"/>
      <c r="H18" s="15"/>
      <c r="I18" s="15" t="s">
        <v>528</v>
      </c>
      <c r="J18" s="15" t="s">
        <v>15991</v>
      </c>
    </row>
    <row r="19" spans="2:10">
      <c r="B19" s="15" t="s">
        <v>19345</v>
      </c>
      <c r="C19" s="15" t="s">
        <v>18730</v>
      </c>
      <c r="D19" s="15" t="s">
        <v>316</v>
      </c>
      <c r="E19" s="15" t="s">
        <v>305</v>
      </c>
      <c r="F19" s="15" t="s">
        <v>18731</v>
      </c>
      <c r="G19" s="15"/>
      <c r="H19" s="15"/>
      <c r="I19" s="15" t="s">
        <v>528</v>
      </c>
      <c r="J19" s="15" t="s">
        <v>15991</v>
      </c>
    </row>
    <row r="20" spans="2:10">
      <c r="B20" s="15" t="s">
        <v>19345</v>
      </c>
      <c r="C20" s="15" t="s">
        <v>18451</v>
      </c>
      <c r="D20" s="15" t="s">
        <v>316</v>
      </c>
      <c r="E20" s="15" t="s">
        <v>305</v>
      </c>
      <c r="F20" s="15" t="s">
        <v>1535</v>
      </c>
      <c r="G20" s="15"/>
      <c r="H20" s="15"/>
      <c r="I20" s="15" t="s">
        <v>528</v>
      </c>
      <c r="J20" s="15" t="s">
        <v>15991</v>
      </c>
    </row>
    <row r="21" spans="2:10">
      <c r="B21" s="15" t="s">
        <v>19345</v>
      </c>
      <c r="C21" s="15" t="s">
        <v>18781</v>
      </c>
      <c r="D21" s="15" t="s">
        <v>350</v>
      </c>
      <c r="E21" s="15" t="s">
        <v>305</v>
      </c>
      <c r="F21" s="15" t="s">
        <v>19357</v>
      </c>
      <c r="G21" s="15"/>
      <c r="H21" s="15"/>
      <c r="I21" s="15" t="s">
        <v>528</v>
      </c>
      <c r="J21" s="15" t="s">
        <v>15991</v>
      </c>
    </row>
    <row r="22" spans="2:10">
      <c r="B22" s="15" t="s">
        <v>19345</v>
      </c>
      <c r="C22" s="15" t="s">
        <v>19358</v>
      </c>
      <c r="D22" s="15" t="s">
        <v>350</v>
      </c>
      <c r="E22" s="15" t="s">
        <v>305</v>
      </c>
      <c r="F22" s="15" t="s">
        <v>19359</v>
      </c>
      <c r="G22" s="15"/>
      <c r="H22" s="15"/>
      <c r="I22" s="15" t="s">
        <v>528</v>
      </c>
      <c r="J22" s="15" t="s">
        <v>15991</v>
      </c>
    </row>
    <row r="23" spans="2:10">
      <c r="B23" s="15" t="s">
        <v>19345</v>
      </c>
      <c r="C23" s="15" t="s">
        <v>19360</v>
      </c>
      <c r="D23" s="15" t="s">
        <v>350</v>
      </c>
      <c r="E23" s="15" t="s">
        <v>305</v>
      </c>
      <c r="F23" s="15" t="s">
        <v>19361</v>
      </c>
      <c r="G23" s="15"/>
      <c r="H23" s="15"/>
      <c r="I23" s="15" t="s">
        <v>528</v>
      </c>
      <c r="J23" s="15" t="s">
        <v>15991</v>
      </c>
    </row>
    <row r="24" spans="2:10">
      <c r="B24" s="15" t="s">
        <v>19345</v>
      </c>
      <c r="C24" s="15" t="s">
        <v>19362</v>
      </c>
      <c r="D24" s="15" t="s">
        <v>350</v>
      </c>
      <c r="E24" s="15" t="s">
        <v>305</v>
      </c>
      <c r="F24" s="15" t="s">
        <v>19363</v>
      </c>
      <c r="G24" s="15"/>
      <c r="H24" s="15"/>
      <c r="I24" s="15" t="s">
        <v>528</v>
      </c>
      <c r="J24" s="15" t="s">
        <v>15991</v>
      </c>
    </row>
    <row r="25" spans="2:10">
      <c r="B25" s="15" t="s">
        <v>19345</v>
      </c>
      <c r="C25" s="15" t="s">
        <v>19364</v>
      </c>
      <c r="D25" s="15" t="s">
        <v>350</v>
      </c>
      <c r="E25" s="15" t="s">
        <v>305</v>
      </c>
      <c r="F25" s="15" t="s">
        <v>19365</v>
      </c>
      <c r="G25" s="15"/>
      <c r="H25" s="15"/>
      <c r="I25" s="15" t="s">
        <v>528</v>
      </c>
      <c r="J25" s="15" t="s">
        <v>15991</v>
      </c>
    </row>
    <row r="26" spans="2:10">
      <c r="B26" s="15" t="s">
        <v>19345</v>
      </c>
      <c r="C26" s="15" t="s">
        <v>18805</v>
      </c>
      <c r="D26" s="15" t="s">
        <v>316</v>
      </c>
      <c r="E26" s="15" t="s">
        <v>305</v>
      </c>
      <c r="F26" s="15" t="s">
        <v>19326</v>
      </c>
      <c r="G26" s="15"/>
      <c r="H26" s="15"/>
      <c r="I26" s="15" t="s">
        <v>528</v>
      </c>
      <c r="J26" s="15" t="s">
        <v>15991</v>
      </c>
    </row>
    <row r="27" spans="2:10">
      <c r="B27" s="15" t="s">
        <v>19345</v>
      </c>
      <c r="C27" s="15" t="s">
        <v>18807</v>
      </c>
      <c r="D27" s="15" t="s">
        <v>316</v>
      </c>
      <c r="E27" s="15" t="s">
        <v>305</v>
      </c>
      <c r="F27" s="15" t="s">
        <v>19327</v>
      </c>
      <c r="G27" s="15"/>
      <c r="H27" s="15"/>
      <c r="I27" s="15" t="s">
        <v>528</v>
      </c>
      <c r="J27" s="15" t="s">
        <v>15991</v>
      </c>
    </row>
    <row r="28" spans="2:10">
      <c r="B28" s="15" t="s">
        <v>19345</v>
      </c>
      <c r="C28" s="15" t="s">
        <v>19328</v>
      </c>
      <c r="D28" s="15" t="s">
        <v>321</v>
      </c>
      <c r="E28" s="15" t="s">
        <v>305</v>
      </c>
      <c r="F28" s="15" t="s">
        <v>19329</v>
      </c>
      <c r="G28" s="15"/>
      <c r="H28" s="15"/>
      <c r="I28" s="15" t="s">
        <v>528</v>
      </c>
      <c r="J28" s="15" t="s">
        <v>15991</v>
      </c>
    </row>
    <row r="29" spans="2:10">
      <c r="B29" s="15" t="s">
        <v>19345</v>
      </c>
      <c r="C29" s="15" t="s">
        <v>19366</v>
      </c>
      <c r="D29" s="15" t="s">
        <v>350</v>
      </c>
      <c r="E29" s="15" t="s">
        <v>305</v>
      </c>
      <c r="F29" s="15" t="s">
        <v>19367</v>
      </c>
      <c r="G29" s="15"/>
      <c r="H29" s="15"/>
      <c r="I29" s="15" t="s">
        <v>528</v>
      </c>
      <c r="J29" s="15" t="s">
        <v>15991</v>
      </c>
    </row>
    <row r="30" spans="2:10">
      <c r="B30" s="15" t="s">
        <v>19345</v>
      </c>
      <c r="C30" s="15" t="s">
        <v>19368</v>
      </c>
      <c r="D30" s="15" t="s">
        <v>350</v>
      </c>
      <c r="E30" s="15" t="s">
        <v>305</v>
      </c>
      <c r="F30" s="15" t="s">
        <v>19369</v>
      </c>
      <c r="G30" s="15"/>
      <c r="H30" s="15"/>
      <c r="I30" s="15" t="s">
        <v>528</v>
      </c>
      <c r="J30" s="15" t="s">
        <v>15991</v>
      </c>
    </row>
    <row r="31" spans="2:10">
      <c r="B31" s="15" t="s">
        <v>19345</v>
      </c>
      <c r="C31" s="15" t="s">
        <v>19370</v>
      </c>
      <c r="D31" s="15" t="s">
        <v>350</v>
      </c>
      <c r="E31" s="15" t="s">
        <v>305</v>
      </c>
      <c r="F31" s="15" t="s">
        <v>19371</v>
      </c>
      <c r="G31" s="15"/>
      <c r="H31" s="15"/>
      <c r="I31" s="15" t="s">
        <v>528</v>
      </c>
      <c r="J31" s="15" t="s">
        <v>15991</v>
      </c>
    </row>
  </sheetData>
  <pageMargins left="0.75" right="0.75" top="1" bottom="1" header="0.5" footer="0.5"/>
  <pageSetup paperSize="1" orientation="portrait" horizontalDpi="300" verticalDpi="300"/>
  <headerFooter alignWithMargins="0" scaleWithDoc="0"/>
</worksheet>
</file>

<file path=xl/worksheets/sheet10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7"/>
  <sheetViews>
    <sheetView zoomScaleSheetLayoutView="60" workbookViewId="0">
      <selection activeCell="E26" sqref="E26"/>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52" t="str">
        <f>HYPERLINK("#表结构清单!A1","返回")</f>
        <v>返回</v>
      </c>
      <c r="B1" t="s">
        <v>163</v>
      </c>
    </row>
    <row r="2" spans="2:10">
      <c r="B2" s="13" t="s">
        <v>15982</v>
      </c>
      <c r="C2" s="13" t="s">
        <v>297</v>
      </c>
      <c r="D2" s="13" t="s">
        <v>11870</v>
      </c>
      <c r="E2" s="13" t="s">
        <v>15983</v>
      </c>
      <c r="F2" s="13" t="s">
        <v>15984</v>
      </c>
      <c r="G2" s="13" t="s">
        <v>300</v>
      </c>
      <c r="H2" s="13" t="s">
        <v>301</v>
      </c>
      <c r="I2" s="13" t="s">
        <v>15985</v>
      </c>
      <c r="J2" s="13" t="s">
        <v>15986</v>
      </c>
    </row>
    <row r="3" spans="2:10">
      <c r="B3" s="15" t="s">
        <v>19372</v>
      </c>
      <c r="C3" s="15" t="s">
        <v>15988</v>
      </c>
      <c r="D3" s="15" t="s">
        <v>316</v>
      </c>
      <c r="E3" s="15" t="s">
        <v>15989</v>
      </c>
      <c r="F3" s="15" t="s">
        <v>15990</v>
      </c>
      <c r="G3" s="15"/>
      <c r="H3" s="15"/>
      <c r="I3" s="15" t="s">
        <v>528</v>
      </c>
      <c r="J3" s="15" t="s">
        <v>15991</v>
      </c>
    </row>
    <row r="4" spans="2:10">
      <c r="B4" s="15" t="s">
        <v>19372</v>
      </c>
      <c r="C4" s="15" t="s">
        <v>19373</v>
      </c>
      <c r="D4" s="15" t="s">
        <v>316</v>
      </c>
      <c r="E4" s="15" t="s">
        <v>305</v>
      </c>
      <c r="F4" s="15" t="s">
        <v>19374</v>
      </c>
      <c r="G4" s="62" t="str">
        <f>HYPERLINK("#码值映射清单!B13629","pressureIndex")</f>
        <v>pressureIndex</v>
      </c>
      <c r="H4" s="15"/>
      <c r="I4" s="15" t="s">
        <v>528</v>
      </c>
      <c r="J4" s="15" t="s">
        <v>15991</v>
      </c>
    </row>
    <row r="5" spans="2:10">
      <c r="B5" s="15" t="s">
        <v>19372</v>
      </c>
      <c r="C5" s="15" t="s">
        <v>19375</v>
      </c>
      <c r="D5" s="15" t="s">
        <v>316</v>
      </c>
      <c r="E5" s="15" t="s">
        <v>305</v>
      </c>
      <c r="F5" s="15" t="s">
        <v>19376</v>
      </c>
      <c r="G5" s="62" t="str">
        <f>HYPERLINK("#码值映射清单!B13633","dimensionType")</f>
        <v>dimensionType</v>
      </c>
      <c r="H5" s="15"/>
      <c r="I5" s="15" t="s">
        <v>528</v>
      </c>
      <c r="J5" s="15" t="s">
        <v>15991</v>
      </c>
    </row>
    <row r="6" spans="2:10">
      <c r="B6" s="15" t="s">
        <v>19372</v>
      </c>
      <c r="C6" s="15" t="s">
        <v>19377</v>
      </c>
      <c r="D6" s="15" t="s">
        <v>16440</v>
      </c>
      <c r="E6" s="15" t="s">
        <v>305</v>
      </c>
      <c r="F6" s="15" t="s">
        <v>19378</v>
      </c>
      <c r="G6" s="15"/>
      <c r="H6" s="15"/>
      <c r="I6" s="15" t="s">
        <v>528</v>
      </c>
      <c r="J6" s="15" t="s">
        <v>15991</v>
      </c>
    </row>
    <row r="7" spans="2:10">
      <c r="B7" s="15" t="s">
        <v>19372</v>
      </c>
      <c r="C7" s="15" t="s">
        <v>19379</v>
      </c>
      <c r="D7" s="15" t="s">
        <v>350</v>
      </c>
      <c r="E7" s="15" t="s">
        <v>305</v>
      </c>
      <c r="F7" s="15" t="s">
        <v>19380</v>
      </c>
      <c r="G7" s="15"/>
      <c r="H7" s="15"/>
      <c r="I7" s="15" t="s">
        <v>528</v>
      </c>
      <c r="J7" s="15" t="s">
        <v>15991</v>
      </c>
    </row>
    <row r="8" spans="2:10">
      <c r="B8" s="15" t="s">
        <v>19372</v>
      </c>
      <c r="C8" s="15" t="s">
        <v>19381</v>
      </c>
      <c r="D8" s="15" t="s">
        <v>350</v>
      </c>
      <c r="E8" s="15" t="s">
        <v>305</v>
      </c>
      <c r="F8" s="15" t="s">
        <v>19382</v>
      </c>
      <c r="G8" s="15"/>
      <c r="H8" s="15"/>
      <c r="I8" s="15" t="s">
        <v>528</v>
      </c>
      <c r="J8" s="15" t="s">
        <v>15991</v>
      </c>
    </row>
    <row r="9" spans="2:10">
      <c r="B9" s="15" t="s">
        <v>19372</v>
      </c>
      <c r="C9" s="15" t="s">
        <v>16126</v>
      </c>
      <c r="D9" s="15" t="s">
        <v>321</v>
      </c>
      <c r="E9" s="15" t="s">
        <v>305</v>
      </c>
      <c r="F9" s="53" t="s">
        <v>19383</v>
      </c>
      <c r="G9" s="61" t="str">
        <f>HYPERLINK("#码值映射清单!B2752","TrueFalse")</f>
        <v>TrueFalse</v>
      </c>
      <c r="H9" s="15"/>
      <c r="I9" s="15" t="s">
        <v>528</v>
      </c>
      <c r="J9" s="15" t="s">
        <v>15991</v>
      </c>
    </row>
    <row r="10" spans="2:10">
      <c r="B10" s="15" t="s">
        <v>19372</v>
      </c>
      <c r="C10" s="15" t="s">
        <v>19384</v>
      </c>
      <c r="D10" s="15" t="s">
        <v>16440</v>
      </c>
      <c r="E10" s="15" t="s">
        <v>305</v>
      </c>
      <c r="F10" s="15" t="s">
        <v>1535</v>
      </c>
      <c r="G10" s="15"/>
      <c r="H10" s="15"/>
      <c r="I10" s="15" t="s">
        <v>528</v>
      </c>
      <c r="J10" s="15" t="s">
        <v>15991</v>
      </c>
    </row>
    <row r="11" spans="2:10">
      <c r="B11" s="15" t="s">
        <v>19372</v>
      </c>
      <c r="C11" s="15" t="s">
        <v>16011</v>
      </c>
      <c r="D11" s="15" t="s">
        <v>316</v>
      </c>
      <c r="E11" s="15" t="s">
        <v>305</v>
      </c>
      <c r="F11" s="15" t="s">
        <v>16012</v>
      </c>
      <c r="G11" s="15"/>
      <c r="H11" s="15"/>
      <c r="I11" s="15" t="s">
        <v>528</v>
      </c>
      <c r="J11" s="15" t="s">
        <v>15991</v>
      </c>
    </row>
    <row r="12" spans="2:10">
      <c r="B12" s="15" t="s">
        <v>19372</v>
      </c>
      <c r="C12" s="15" t="s">
        <v>16009</v>
      </c>
      <c r="D12" s="15" t="s">
        <v>316</v>
      </c>
      <c r="E12" s="15" t="s">
        <v>305</v>
      </c>
      <c r="F12" s="15" t="s">
        <v>16010</v>
      </c>
      <c r="G12" s="15"/>
      <c r="H12" s="15"/>
      <c r="I12" s="15" t="s">
        <v>528</v>
      </c>
      <c r="J12" s="15" t="s">
        <v>15991</v>
      </c>
    </row>
    <row r="13" spans="2:10">
      <c r="B13" s="15" t="s">
        <v>19372</v>
      </c>
      <c r="C13" s="15" t="s">
        <v>16013</v>
      </c>
      <c r="D13" s="15" t="s">
        <v>371</v>
      </c>
      <c r="E13" s="15" t="s">
        <v>305</v>
      </c>
      <c r="F13" s="15" t="s">
        <v>16014</v>
      </c>
      <c r="G13" s="15"/>
      <c r="H13" s="15"/>
      <c r="I13" s="15" t="s">
        <v>528</v>
      </c>
      <c r="J13" s="15" t="s">
        <v>15991</v>
      </c>
    </row>
    <row r="14" spans="2:10">
      <c r="B14" s="15" t="s">
        <v>19372</v>
      </c>
      <c r="C14" s="15" t="s">
        <v>16017</v>
      </c>
      <c r="D14" s="15" t="s">
        <v>316</v>
      </c>
      <c r="E14" s="15" t="s">
        <v>305</v>
      </c>
      <c r="F14" s="15" t="s">
        <v>16018</v>
      </c>
      <c r="G14" s="15"/>
      <c r="H14" s="15"/>
      <c r="I14" s="15" t="s">
        <v>528</v>
      </c>
      <c r="J14" s="15" t="s">
        <v>15991</v>
      </c>
    </row>
    <row r="15" spans="2:10">
      <c r="B15" s="15" t="s">
        <v>19372</v>
      </c>
      <c r="C15" s="15" t="s">
        <v>16015</v>
      </c>
      <c r="D15" s="15" t="s">
        <v>316</v>
      </c>
      <c r="E15" s="15" t="s">
        <v>305</v>
      </c>
      <c r="F15" s="15" t="s">
        <v>16016</v>
      </c>
      <c r="G15" s="15"/>
      <c r="H15" s="15"/>
      <c r="I15" s="15" t="s">
        <v>528</v>
      </c>
      <c r="J15" s="15" t="s">
        <v>15991</v>
      </c>
    </row>
    <row r="16" spans="2:10">
      <c r="B16" s="15" t="s">
        <v>19372</v>
      </c>
      <c r="C16" s="15" t="s">
        <v>16019</v>
      </c>
      <c r="D16" s="15" t="s">
        <v>371</v>
      </c>
      <c r="E16" s="15" t="s">
        <v>305</v>
      </c>
      <c r="F16" s="15" t="s">
        <v>16020</v>
      </c>
      <c r="G16" s="15"/>
      <c r="H16" s="15"/>
      <c r="I16" s="15" t="s">
        <v>528</v>
      </c>
      <c r="J16" s="15" t="s">
        <v>15991</v>
      </c>
    </row>
    <row r="17" spans="2:10">
      <c r="B17" s="15" t="s">
        <v>19372</v>
      </c>
      <c r="C17" s="15" t="s">
        <v>19385</v>
      </c>
      <c r="D17" s="15" t="s">
        <v>350</v>
      </c>
      <c r="E17" s="15" t="s">
        <v>305</v>
      </c>
      <c r="F17" s="15" t="s">
        <v>19386</v>
      </c>
      <c r="G17" s="15"/>
      <c r="H17" s="15"/>
      <c r="I17" s="15" t="s">
        <v>528</v>
      </c>
      <c r="J17" s="15" t="s">
        <v>15991</v>
      </c>
    </row>
  </sheetData>
  <pageMargins left="0.75" right="0.75" top="1" bottom="1" header="0.5" footer="0.5"/>
  <pageSetup paperSize="1" orientation="portrait" horizontalDpi="300" verticalDpi="300"/>
  <headerFooter alignWithMargins="0" scaleWithDoc="0"/>
</worksheet>
</file>

<file path=xl/worksheets/sheet10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49"/>
  <sheetViews>
    <sheetView zoomScaleSheetLayoutView="60" workbookViewId="0">
      <selection activeCell="F46" sqref="F46"/>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51" t="str">
        <f>HYPERLINK("#表结构清单!A1","返回")</f>
        <v>返回</v>
      </c>
      <c r="B1" t="s">
        <v>164</v>
      </c>
    </row>
    <row r="2" spans="2:10">
      <c r="B2" s="13" t="s">
        <v>15982</v>
      </c>
      <c r="C2" s="13" t="s">
        <v>297</v>
      </c>
      <c r="D2" s="13" t="s">
        <v>11870</v>
      </c>
      <c r="E2" s="13" t="s">
        <v>15983</v>
      </c>
      <c r="F2" s="13" t="s">
        <v>15984</v>
      </c>
      <c r="G2" s="13" t="s">
        <v>300</v>
      </c>
      <c r="H2" s="13" t="s">
        <v>301</v>
      </c>
      <c r="I2" s="13" t="s">
        <v>15985</v>
      </c>
      <c r="J2" s="13" t="s">
        <v>15986</v>
      </c>
    </row>
    <row r="3" spans="2:10">
      <c r="B3" s="15" t="s">
        <v>19387</v>
      </c>
      <c r="C3" s="15" t="s">
        <v>15988</v>
      </c>
      <c r="D3" s="15" t="s">
        <v>316</v>
      </c>
      <c r="E3" s="15" t="s">
        <v>15989</v>
      </c>
      <c r="F3" s="15" t="s">
        <v>15990</v>
      </c>
      <c r="G3" s="15"/>
      <c r="H3" s="15"/>
      <c r="I3" s="15" t="s">
        <v>528</v>
      </c>
      <c r="J3" s="15" t="s">
        <v>15991</v>
      </c>
    </row>
    <row r="4" spans="2:10">
      <c r="B4" s="15" t="s">
        <v>19387</v>
      </c>
      <c r="C4" s="15" t="s">
        <v>19300</v>
      </c>
      <c r="D4" s="15" t="s">
        <v>316</v>
      </c>
      <c r="E4" s="15" t="s">
        <v>305</v>
      </c>
      <c r="F4" s="15" t="s">
        <v>19388</v>
      </c>
      <c r="G4" s="15"/>
      <c r="H4" s="15"/>
      <c r="I4" s="15" t="s">
        <v>528</v>
      </c>
      <c r="J4" s="15" t="s">
        <v>15991</v>
      </c>
    </row>
    <row r="5" spans="2:10">
      <c r="B5" s="15" t="s">
        <v>19387</v>
      </c>
      <c r="C5" s="15" t="s">
        <v>19375</v>
      </c>
      <c r="D5" s="15" t="s">
        <v>316</v>
      </c>
      <c r="E5" s="15" t="s">
        <v>305</v>
      </c>
      <c r="F5" s="15" t="s">
        <v>19376</v>
      </c>
      <c r="G5" s="15"/>
      <c r="H5" s="15"/>
      <c r="I5" s="15" t="s">
        <v>528</v>
      </c>
      <c r="J5" s="15" t="s">
        <v>15991</v>
      </c>
    </row>
    <row r="6" spans="2:10">
      <c r="B6" s="15" t="s">
        <v>19387</v>
      </c>
      <c r="C6" s="15" t="s">
        <v>19377</v>
      </c>
      <c r="D6" s="15" t="s">
        <v>316</v>
      </c>
      <c r="E6" s="15" t="s">
        <v>305</v>
      </c>
      <c r="F6" s="15" t="s">
        <v>19378</v>
      </c>
      <c r="G6" s="15"/>
      <c r="H6" s="15"/>
      <c r="I6" s="15" t="s">
        <v>528</v>
      </c>
      <c r="J6" s="15" t="s">
        <v>15991</v>
      </c>
    </row>
    <row r="7" spans="2:10">
      <c r="B7" s="15" t="s">
        <v>19387</v>
      </c>
      <c r="C7" s="15" t="s">
        <v>19384</v>
      </c>
      <c r="D7" s="15" t="s">
        <v>16022</v>
      </c>
      <c r="E7" s="15" t="s">
        <v>305</v>
      </c>
      <c r="F7" s="15" t="s">
        <v>19389</v>
      </c>
      <c r="G7" s="15"/>
      <c r="H7" s="15"/>
      <c r="I7" s="15" t="s">
        <v>528</v>
      </c>
      <c r="J7" s="15" t="s">
        <v>15991</v>
      </c>
    </row>
    <row r="8" spans="2:10">
      <c r="B8" s="15" t="s">
        <v>19387</v>
      </c>
      <c r="C8" s="15" t="s">
        <v>19390</v>
      </c>
      <c r="D8" s="15" t="s">
        <v>363</v>
      </c>
      <c r="E8" s="15" t="s">
        <v>305</v>
      </c>
      <c r="F8" s="15" t="s">
        <v>19391</v>
      </c>
      <c r="G8" s="15"/>
      <c r="H8" s="15"/>
      <c r="I8" s="15" t="s">
        <v>528</v>
      </c>
      <c r="J8" s="15" t="s">
        <v>15991</v>
      </c>
    </row>
    <row r="9" spans="2:10">
      <c r="B9" s="15" t="s">
        <v>19387</v>
      </c>
      <c r="C9" s="15" t="s">
        <v>19330</v>
      </c>
      <c r="D9" s="15" t="s">
        <v>363</v>
      </c>
      <c r="E9" s="15" t="s">
        <v>305</v>
      </c>
      <c r="F9" s="15" t="s">
        <v>19392</v>
      </c>
      <c r="G9" s="15"/>
      <c r="H9" s="15"/>
      <c r="I9" s="15" t="s">
        <v>528</v>
      </c>
      <c r="J9" s="15" t="s">
        <v>15991</v>
      </c>
    </row>
    <row r="10" spans="2:10">
      <c r="B10" s="15" t="s">
        <v>19387</v>
      </c>
      <c r="C10" s="15" t="s">
        <v>19331</v>
      </c>
      <c r="D10" s="15" t="s">
        <v>350</v>
      </c>
      <c r="E10" s="15" t="s">
        <v>305</v>
      </c>
      <c r="F10" s="15" t="s">
        <v>19393</v>
      </c>
      <c r="G10" s="15"/>
      <c r="H10" s="15"/>
      <c r="I10" s="15" t="s">
        <v>528</v>
      </c>
      <c r="J10" s="15" t="s">
        <v>15991</v>
      </c>
    </row>
    <row r="11" spans="2:10">
      <c r="B11" s="15" t="s">
        <v>19387</v>
      </c>
      <c r="C11" s="15" t="s">
        <v>19394</v>
      </c>
      <c r="D11" s="15" t="s">
        <v>16056</v>
      </c>
      <c r="E11" s="15" t="s">
        <v>305</v>
      </c>
      <c r="F11" s="15" t="s">
        <v>19395</v>
      </c>
      <c r="G11" s="15"/>
      <c r="H11" s="15"/>
      <c r="I11" s="15" t="s">
        <v>528</v>
      </c>
      <c r="J11" s="15" t="s">
        <v>15991</v>
      </c>
    </row>
    <row r="12" spans="2:10">
      <c r="B12" s="15" t="s">
        <v>19387</v>
      </c>
      <c r="C12" s="15" t="s">
        <v>19396</v>
      </c>
      <c r="D12" s="15" t="s">
        <v>16056</v>
      </c>
      <c r="E12" s="15" t="s">
        <v>305</v>
      </c>
      <c r="F12" s="15" t="s">
        <v>19397</v>
      </c>
      <c r="G12" s="15"/>
      <c r="H12" s="15"/>
      <c r="I12" s="15" t="s">
        <v>528</v>
      </c>
      <c r="J12" s="15" t="s">
        <v>15991</v>
      </c>
    </row>
    <row r="13" spans="2:10">
      <c r="B13" s="15" t="s">
        <v>19387</v>
      </c>
      <c r="C13" s="15" t="s">
        <v>19398</v>
      </c>
      <c r="D13" s="15" t="s">
        <v>363</v>
      </c>
      <c r="E13" s="15" t="s">
        <v>305</v>
      </c>
      <c r="F13" s="15" t="s">
        <v>19399</v>
      </c>
      <c r="G13" s="15"/>
      <c r="H13" s="15"/>
      <c r="I13" s="15" t="s">
        <v>528</v>
      </c>
      <c r="J13" s="15" t="s">
        <v>15991</v>
      </c>
    </row>
    <row r="14" spans="2:10">
      <c r="B14" s="15" t="s">
        <v>19387</v>
      </c>
      <c r="C14" s="15" t="s">
        <v>19400</v>
      </c>
      <c r="D14" s="15" t="s">
        <v>350</v>
      </c>
      <c r="E14" s="15" t="s">
        <v>305</v>
      </c>
      <c r="F14" s="15" t="s">
        <v>1050</v>
      </c>
      <c r="G14" s="15"/>
      <c r="H14" s="15"/>
      <c r="I14" s="15" t="s">
        <v>528</v>
      </c>
      <c r="J14" s="15" t="s">
        <v>15991</v>
      </c>
    </row>
    <row r="15" spans="2:10">
      <c r="B15" s="15" t="s">
        <v>19387</v>
      </c>
      <c r="C15" s="15" t="s">
        <v>19401</v>
      </c>
      <c r="D15" s="15" t="s">
        <v>350</v>
      </c>
      <c r="E15" s="15" t="s">
        <v>305</v>
      </c>
      <c r="F15" s="15" t="s">
        <v>19402</v>
      </c>
      <c r="G15" s="15"/>
      <c r="H15" s="15"/>
      <c r="I15" s="15" t="s">
        <v>528</v>
      </c>
      <c r="J15" s="15" t="s">
        <v>15991</v>
      </c>
    </row>
    <row r="16" spans="2:10">
      <c r="B16" s="15" t="s">
        <v>19387</v>
      </c>
      <c r="C16" s="15" t="s">
        <v>19403</v>
      </c>
      <c r="D16" s="15" t="s">
        <v>363</v>
      </c>
      <c r="E16" s="15" t="s">
        <v>305</v>
      </c>
      <c r="F16" s="15" t="s">
        <v>19404</v>
      </c>
      <c r="G16" s="15"/>
      <c r="H16" s="15"/>
      <c r="I16" s="15" t="s">
        <v>528</v>
      </c>
      <c r="J16" s="15" t="s">
        <v>15991</v>
      </c>
    </row>
    <row r="17" spans="2:10">
      <c r="B17" s="15" t="s">
        <v>19387</v>
      </c>
      <c r="C17" s="15" t="s">
        <v>19405</v>
      </c>
      <c r="D17" s="15" t="s">
        <v>16056</v>
      </c>
      <c r="E17" s="15" t="s">
        <v>305</v>
      </c>
      <c r="F17" s="15" t="s">
        <v>19406</v>
      </c>
      <c r="G17" s="15"/>
      <c r="H17" s="15"/>
      <c r="I17" s="15" t="s">
        <v>528</v>
      </c>
      <c r="J17" s="15" t="s">
        <v>15991</v>
      </c>
    </row>
    <row r="18" spans="2:10">
      <c r="B18" s="15" t="s">
        <v>19387</v>
      </c>
      <c r="C18" s="15" t="s">
        <v>19407</v>
      </c>
      <c r="D18" s="15" t="s">
        <v>16056</v>
      </c>
      <c r="E18" s="15" t="s">
        <v>305</v>
      </c>
      <c r="F18" s="15" t="s">
        <v>19408</v>
      </c>
      <c r="G18" s="15"/>
      <c r="H18" s="15"/>
      <c r="I18" s="15" t="s">
        <v>528</v>
      </c>
      <c r="J18" s="15" t="s">
        <v>15991</v>
      </c>
    </row>
    <row r="19" spans="2:10">
      <c r="B19" s="15" t="s">
        <v>19387</v>
      </c>
      <c r="C19" s="15" t="s">
        <v>19409</v>
      </c>
      <c r="D19" s="15" t="s">
        <v>363</v>
      </c>
      <c r="E19" s="15" t="s">
        <v>305</v>
      </c>
      <c r="F19" s="15" t="s">
        <v>19410</v>
      </c>
      <c r="G19" s="15"/>
      <c r="H19" s="15"/>
      <c r="I19" s="15" t="s">
        <v>528</v>
      </c>
      <c r="J19" s="15" t="s">
        <v>15991</v>
      </c>
    </row>
    <row r="20" spans="2:10">
      <c r="B20" s="15" t="s">
        <v>19387</v>
      </c>
      <c r="C20" s="15" t="s">
        <v>19311</v>
      </c>
      <c r="D20" s="15" t="s">
        <v>363</v>
      </c>
      <c r="E20" s="15" t="s">
        <v>305</v>
      </c>
      <c r="F20" s="15" t="s">
        <v>19411</v>
      </c>
      <c r="G20" s="15"/>
      <c r="H20" s="15"/>
      <c r="I20" s="15" t="s">
        <v>528</v>
      </c>
      <c r="J20" s="15" t="s">
        <v>15991</v>
      </c>
    </row>
    <row r="21" spans="2:10">
      <c r="B21" s="15" t="s">
        <v>19387</v>
      </c>
      <c r="C21" s="15" t="s">
        <v>19333</v>
      </c>
      <c r="D21" s="15" t="s">
        <v>363</v>
      </c>
      <c r="E21" s="15" t="s">
        <v>305</v>
      </c>
      <c r="F21" s="15" t="s">
        <v>19412</v>
      </c>
      <c r="G21" s="15"/>
      <c r="H21" s="15"/>
      <c r="I21" s="15" t="s">
        <v>528</v>
      </c>
      <c r="J21" s="15" t="s">
        <v>15991</v>
      </c>
    </row>
    <row r="22" spans="2:10">
      <c r="B22" s="15" t="s">
        <v>19387</v>
      </c>
      <c r="C22" s="15" t="s">
        <v>19335</v>
      </c>
      <c r="D22" s="15" t="s">
        <v>350</v>
      </c>
      <c r="E22" s="15" t="s">
        <v>305</v>
      </c>
      <c r="F22" s="15" t="s">
        <v>19413</v>
      </c>
      <c r="G22" s="15"/>
      <c r="H22" s="15"/>
      <c r="I22" s="15" t="s">
        <v>528</v>
      </c>
      <c r="J22" s="15" t="s">
        <v>15991</v>
      </c>
    </row>
    <row r="23" spans="2:10">
      <c r="B23" s="15" t="s">
        <v>19387</v>
      </c>
      <c r="C23" s="15" t="s">
        <v>19414</v>
      </c>
      <c r="D23" s="15" t="s">
        <v>16056</v>
      </c>
      <c r="E23" s="15" t="s">
        <v>305</v>
      </c>
      <c r="F23" s="15" t="s">
        <v>19415</v>
      </c>
      <c r="G23" s="15"/>
      <c r="H23" s="15"/>
      <c r="I23" s="15" t="s">
        <v>528</v>
      </c>
      <c r="J23" s="15" t="s">
        <v>15991</v>
      </c>
    </row>
    <row r="24" spans="2:10">
      <c r="B24" s="15" t="s">
        <v>19387</v>
      </c>
      <c r="C24" s="15" t="s">
        <v>19416</v>
      </c>
      <c r="D24" s="15" t="s">
        <v>16056</v>
      </c>
      <c r="E24" s="15" t="s">
        <v>305</v>
      </c>
      <c r="F24" s="15" t="s">
        <v>19417</v>
      </c>
      <c r="G24" s="15"/>
      <c r="H24" s="15"/>
      <c r="I24" s="15" t="s">
        <v>528</v>
      </c>
      <c r="J24" s="15" t="s">
        <v>15991</v>
      </c>
    </row>
    <row r="25" spans="2:10">
      <c r="B25" s="15" t="s">
        <v>19387</v>
      </c>
      <c r="C25" s="15" t="s">
        <v>19313</v>
      </c>
      <c r="D25" s="15" t="s">
        <v>363</v>
      </c>
      <c r="E25" s="15" t="s">
        <v>305</v>
      </c>
      <c r="F25" s="15" t="s">
        <v>19418</v>
      </c>
      <c r="G25" s="15"/>
      <c r="H25" s="15"/>
      <c r="I25" s="15" t="s">
        <v>528</v>
      </c>
      <c r="J25" s="15" t="s">
        <v>15991</v>
      </c>
    </row>
    <row r="26" spans="2:10">
      <c r="B26" s="15" t="s">
        <v>19387</v>
      </c>
      <c r="C26" s="15" t="s">
        <v>19337</v>
      </c>
      <c r="D26" s="15" t="s">
        <v>363</v>
      </c>
      <c r="E26" s="15" t="s">
        <v>305</v>
      </c>
      <c r="F26" s="15" t="s">
        <v>19419</v>
      </c>
      <c r="G26" s="15"/>
      <c r="H26" s="15"/>
      <c r="I26" s="15" t="s">
        <v>528</v>
      </c>
      <c r="J26" s="15" t="s">
        <v>15991</v>
      </c>
    </row>
    <row r="27" spans="2:10">
      <c r="B27" s="15" t="s">
        <v>19387</v>
      </c>
      <c r="C27" s="15" t="s">
        <v>19339</v>
      </c>
      <c r="D27" s="15" t="s">
        <v>350</v>
      </c>
      <c r="E27" s="15" t="s">
        <v>305</v>
      </c>
      <c r="F27" s="15" t="s">
        <v>19420</v>
      </c>
      <c r="G27" s="15"/>
      <c r="H27" s="15"/>
      <c r="I27" s="15" t="s">
        <v>528</v>
      </c>
      <c r="J27" s="15" t="s">
        <v>15991</v>
      </c>
    </row>
    <row r="28" spans="2:10">
      <c r="B28" s="15" t="s">
        <v>19387</v>
      </c>
      <c r="C28" s="15" t="s">
        <v>19421</v>
      </c>
      <c r="D28" s="15" t="s">
        <v>16056</v>
      </c>
      <c r="E28" s="15" t="s">
        <v>305</v>
      </c>
      <c r="F28" s="15" t="s">
        <v>19422</v>
      </c>
      <c r="G28" s="15"/>
      <c r="H28" s="15"/>
      <c r="I28" s="15" t="s">
        <v>528</v>
      </c>
      <c r="J28" s="15" t="s">
        <v>15991</v>
      </c>
    </row>
    <row r="29" spans="2:10">
      <c r="B29" s="15" t="s">
        <v>19387</v>
      </c>
      <c r="C29" s="15" t="s">
        <v>19423</v>
      </c>
      <c r="D29" s="15" t="s">
        <v>16056</v>
      </c>
      <c r="E29" s="15" t="s">
        <v>305</v>
      </c>
      <c r="F29" s="15" t="s">
        <v>19424</v>
      </c>
      <c r="G29" s="15"/>
      <c r="H29" s="15"/>
      <c r="I29" s="15" t="s">
        <v>528</v>
      </c>
      <c r="J29" s="15" t="s">
        <v>15991</v>
      </c>
    </row>
    <row r="30" spans="2:10">
      <c r="B30" s="15" t="s">
        <v>19387</v>
      </c>
      <c r="C30" s="15" t="s">
        <v>19315</v>
      </c>
      <c r="D30" s="15" t="s">
        <v>363</v>
      </c>
      <c r="E30" s="15" t="s">
        <v>305</v>
      </c>
      <c r="F30" s="15" t="s">
        <v>19425</v>
      </c>
      <c r="G30" s="15"/>
      <c r="H30" s="15"/>
      <c r="I30" s="15" t="s">
        <v>528</v>
      </c>
      <c r="J30" s="15" t="s">
        <v>15991</v>
      </c>
    </row>
    <row r="31" spans="2:10">
      <c r="B31" s="15" t="s">
        <v>19387</v>
      </c>
      <c r="C31" s="15" t="s">
        <v>19341</v>
      </c>
      <c r="D31" s="15" t="s">
        <v>363</v>
      </c>
      <c r="E31" s="15" t="s">
        <v>305</v>
      </c>
      <c r="F31" s="15" t="s">
        <v>19426</v>
      </c>
      <c r="G31" s="15"/>
      <c r="H31" s="15"/>
      <c r="I31" s="15" t="s">
        <v>528</v>
      </c>
      <c r="J31" s="15" t="s">
        <v>15991</v>
      </c>
    </row>
    <row r="32" spans="2:10">
      <c r="B32" s="15" t="s">
        <v>19387</v>
      </c>
      <c r="C32" s="15" t="s">
        <v>19343</v>
      </c>
      <c r="D32" s="15" t="s">
        <v>350</v>
      </c>
      <c r="E32" s="15" t="s">
        <v>305</v>
      </c>
      <c r="F32" s="15" t="s">
        <v>19427</v>
      </c>
      <c r="G32" s="15"/>
      <c r="H32" s="15"/>
      <c r="I32" s="15" t="s">
        <v>528</v>
      </c>
      <c r="J32" s="15" t="s">
        <v>15991</v>
      </c>
    </row>
    <row r="33" spans="2:10">
      <c r="B33" s="15" t="s">
        <v>19387</v>
      </c>
      <c r="C33" s="15" t="s">
        <v>19428</v>
      </c>
      <c r="D33" s="15" t="s">
        <v>16056</v>
      </c>
      <c r="E33" s="15" t="s">
        <v>305</v>
      </c>
      <c r="F33" s="15" t="s">
        <v>19429</v>
      </c>
      <c r="G33" s="15"/>
      <c r="H33" s="15"/>
      <c r="I33" s="15" t="s">
        <v>528</v>
      </c>
      <c r="J33" s="15" t="s">
        <v>15991</v>
      </c>
    </row>
    <row r="34" spans="2:10">
      <c r="B34" s="15" t="s">
        <v>19387</v>
      </c>
      <c r="C34" s="15" t="s">
        <v>19430</v>
      </c>
      <c r="D34" s="15" t="s">
        <v>16056</v>
      </c>
      <c r="E34" s="15" t="s">
        <v>305</v>
      </c>
      <c r="F34" s="15" t="s">
        <v>19431</v>
      </c>
      <c r="G34" s="15"/>
      <c r="H34" s="15"/>
      <c r="I34" s="15" t="s">
        <v>528</v>
      </c>
      <c r="J34" s="15" t="s">
        <v>15991</v>
      </c>
    </row>
    <row r="35" spans="2:10">
      <c r="B35" s="15" t="s">
        <v>19387</v>
      </c>
      <c r="C35" s="15" t="s">
        <v>19432</v>
      </c>
      <c r="D35" s="15" t="s">
        <v>363</v>
      </c>
      <c r="E35" s="15" t="s">
        <v>305</v>
      </c>
      <c r="F35" s="15" t="s">
        <v>19433</v>
      </c>
      <c r="G35" s="15"/>
      <c r="H35" s="15"/>
      <c r="I35" s="15" t="s">
        <v>528</v>
      </c>
      <c r="J35" s="15" t="s">
        <v>15991</v>
      </c>
    </row>
    <row r="36" spans="2:10">
      <c r="B36" s="15" t="s">
        <v>19387</v>
      </c>
      <c r="C36" s="15" t="s">
        <v>19434</v>
      </c>
      <c r="D36" s="15" t="s">
        <v>363</v>
      </c>
      <c r="E36" s="15" t="s">
        <v>305</v>
      </c>
      <c r="F36" s="15" t="s">
        <v>19435</v>
      </c>
      <c r="G36" s="15"/>
      <c r="H36" s="15"/>
      <c r="I36" s="15" t="s">
        <v>528</v>
      </c>
      <c r="J36" s="15" t="s">
        <v>15991</v>
      </c>
    </row>
    <row r="37" spans="2:10">
      <c r="B37" s="15" t="s">
        <v>19387</v>
      </c>
      <c r="C37" s="15" t="s">
        <v>19436</v>
      </c>
      <c r="D37" s="15" t="s">
        <v>363</v>
      </c>
      <c r="E37" s="15" t="s">
        <v>305</v>
      </c>
      <c r="F37" s="15" t="s">
        <v>19437</v>
      </c>
      <c r="G37" s="15"/>
      <c r="H37" s="15"/>
      <c r="I37" s="15" t="s">
        <v>528</v>
      </c>
      <c r="J37" s="15" t="s">
        <v>15991</v>
      </c>
    </row>
    <row r="38" spans="2:10">
      <c r="B38" s="15" t="s">
        <v>19387</v>
      </c>
      <c r="C38" s="15" t="s">
        <v>19438</v>
      </c>
      <c r="D38" s="15" t="s">
        <v>363</v>
      </c>
      <c r="E38" s="15" t="s">
        <v>305</v>
      </c>
      <c r="F38" s="15" t="s">
        <v>19439</v>
      </c>
      <c r="G38" s="15"/>
      <c r="H38" s="15"/>
      <c r="I38" s="15" t="s">
        <v>528</v>
      </c>
      <c r="J38" s="15" t="s">
        <v>15991</v>
      </c>
    </row>
    <row r="39" spans="2:10">
      <c r="B39" s="15" t="s">
        <v>19387</v>
      </c>
      <c r="C39" s="15" t="s">
        <v>19440</v>
      </c>
      <c r="D39" s="15" t="s">
        <v>363</v>
      </c>
      <c r="E39" s="15" t="s">
        <v>305</v>
      </c>
      <c r="F39" s="15" t="s">
        <v>19441</v>
      </c>
      <c r="G39" s="15"/>
      <c r="H39" s="15"/>
      <c r="I39" s="15" t="s">
        <v>528</v>
      </c>
      <c r="J39" s="15" t="s">
        <v>15991</v>
      </c>
    </row>
    <row r="40" spans="2:10">
      <c r="B40" s="15" t="s">
        <v>19387</v>
      </c>
      <c r="C40" s="15" t="s">
        <v>19442</v>
      </c>
      <c r="D40" s="15" t="s">
        <v>363</v>
      </c>
      <c r="E40" s="15" t="s">
        <v>305</v>
      </c>
      <c r="F40" s="15" t="s">
        <v>19443</v>
      </c>
      <c r="G40" s="15"/>
      <c r="H40" s="15"/>
      <c r="I40" s="15" t="s">
        <v>528</v>
      </c>
      <c r="J40" s="15" t="s">
        <v>15991</v>
      </c>
    </row>
    <row r="41" spans="2:10">
      <c r="B41" s="15" t="s">
        <v>19387</v>
      </c>
      <c r="C41" s="15" t="s">
        <v>19444</v>
      </c>
      <c r="D41" s="15" t="s">
        <v>363</v>
      </c>
      <c r="E41" s="15" t="s">
        <v>305</v>
      </c>
      <c r="F41" s="15" t="s">
        <v>19445</v>
      </c>
      <c r="G41" s="15"/>
      <c r="H41" s="15"/>
      <c r="I41" s="15" t="s">
        <v>528</v>
      </c>
      <c r="J41" s="15" t="s">
        <v>15991</v>
      </c>
    </row>
    <row r="42" spans="2:10">
      <c r="B42" s="15" t="s">
        <v>19387</v>
      </c>
      <c r="C42" s="15" t="s">
        <v>19446</v>
      </c>
      <c r="D42" s="15" t="s">
        <v>363</v>
      </c>
      <c r="E42" s="15" t="s">
        <v>305</v>
      </c>
      <c r="F42" s="15" t="s">
        <v>19447</v>
      </c>
      <c r="G42" s="15"/>
      <c r="H42" s="15"/>
      <c r="I42" s="15" t="s">
        <v>528</v>
      </c>
      <c r="J42" s="15" t="s">
        <v>15991</v>
      </c>
    </row>
    <row r="43" spans="2:10">
      <c r="B43" s="15" t="s">
        <v>19387</v>
      </c>
      <c r="C43" s="15" t="s">
        <v>19448</v>
      </c>
      <c r="D43" s="15" t="s">
        <v>363</v>
      </c>
      <c r="E43" s="15" t="s">
        <v>305</v>
      </c>
      <c r="F43" s="15" t="s">
        <v>19449</v>
      </c>
      <c r="G43" s="15"/>
      <c r="H43" s="15"/>
      <c r="I43" s="15" t="s">
        <v>528</v>
      </c>
      <c r="J43" s="15" t="s">
        <v>15991</v>
      </c>
    </row>
    <row r="44" spans="2:10">
      <c r="B44" s="15" t="s">
        <v>19387</v>
      </c>
      <c r="C44" s="15" t="s">
        <v>19450</v>
      </c>
      <c r="D44" s="15" t="s">
        <v>350</v>
      </c>
      <c r="E44" s="15" t="s">
        <v>305</v>
      </c>
      <c r="F44" s="15" t="s">
        <v>19451</v>
      </c>
      <c r="G44" s="15"/>
      <c r="H44" s="15"/>
      <c r="I44" s="15" t="s">
        <v>528</v>
      </c>
      <c r="J44" s="15" t="s">
        <v>15991</v>
      </c>
    </row>
    <row r="45" spans="2:10">
      <c r="B45" s="15" t="s">
        <v>19387</v>
      </c>
      <c r="C45" s="15" t="s">
        <v>19452</v>
      </c>
      <c r="D45" s="15" t="s">
        <v>350</v>
      </c>
      <c r="E45" s="15" t="s">
        <v>305</v>
      </c>
      <c r="F45" s="15" t="s">
        <v>19453</v>
      </c>
      <c r="G45" s="15"/>
      <c r="H45" s="15"/>
      <c r="I45" s="15" t="s">
        <v>528</v>
      </c>
      <c r="J45" s="15" t="s">
        <v>15991</v>
      </c>
    </row>
    <row r="46" spans="2:10">
      <c r="B46" s="15" t="s">
        <v>19387</v>
      </c>
      <c r="C46" s="15" t="s">
        <v>19454</v>
      </c>
      <c r="D46" s="15" t="s">
        <v>350</v>
      </c>
      <c r="E46" s="15" t="s">
        <v>305</v>
      </c>
      <c r="F46" s="15" t="s">
        <v>19455</v>
      </c>
      <c r="G46" s="15"/>
      <c r="H46" s="15"/>
      <c r="I46" s="15" t="s">
        <v>528</v>
      </c>
      <c r="J46" s="15" t="s">
        <v>15991</v>
      </c>
    </row>
    <row r="47" spans="2:10">
      <c r="B47" s="15" t="s">
        <v>19387</v>
      </c>
      <c r="C47" s="15" t="s">
        <v>19456</v>
      </c>
      <c r="D47" s="15" t="s">
        <v>16056</v>
      </c>
      <c r="E47" s="15" t="s">
        <v>305</v>
      </c>
      <c r="F47" s="15" t="s">
        <v>19457</v>
      </c>
      <c r="G47" s="15"/>
      <c r="H47" s="15"/>
      <c r="I47" s="15" t="s">
        <v>528</v>
      </c>
      <c r="J47" s="15" t="s">
        <v>15991</v>
      </c>
    </row>
    <row r="48" spans="2:10">
      <c r="B48" s="15" t="s">
        <v>19387</v>
      </c>
      <c r="C48" s="15" t="s">
        <v>19458</v>
      </c>
      <c r="D48" s="15" t="s">
        <v>16056</v>
      </c>
      <c r="E48" s="15" t="s">
        <v>305</v>
      </c>
      <c r="F48" s="15" t="s">
        <v>19459</v>
      </c>
      <c r="G48" s="15"/>
      <c r="H48" s="15"/>
      <c r="I48" s="15" t="s">
        <v>528</v>
      </c>
      <c r="J48" s="15" t="s">
        <v>15991</v>
      </c>
    </row>
    <row r="49" spans="2:10">
      <c r="B49" s="15" t="s">
        <v>19387</v>
      </c>
      <c r="C49" s="15" t="s">
        <v>19460</v>
      </c>
      <c r="D49" s="15" t="s">
        <v>16056</v>
      </c>
      <c r="E49" s="15" t="s">
        <v>305</v>
      </c>
      <c r="F49" s="15" t="s">
        <v>19461</v>
      </c>
      <c r="G49" s="15"/>
      <c r="H49" s="15"/>
      <c r="I49" s="15" t="s">
        <v>528</v>
      </c>
      <c r="J49" s="15" t="s">
        <v>15991</v>
      </c>
    </row>
  </sheetData>
  <pageMargins left="0.75" right="0.75" top="1" bottom="1" header="0.5" footer="0.5"/>
  <pageSetup paperSize="1" orientation="portrait" horizontalDpi="300" verticalDpi="300"/>
  <headerFooter alignWithMargins="0" scaleWithDoc="0"/>
</worksheet>
</file>

<file path=xl/worksheets/sheet10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6"/>
  <sheetViews>
    <sheetView zoomScaleSheetLayoutView="60" workbookViewId="0">
      <selection activeCell="E34" sqref="E34"/>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52" t="str">
        <f>HYPERLINK("#表结构清单!A1","返回")</f>
        <v>返回</v>
      </c>
      <c r="B1" t="s">
        <v>91</v>
      </c>
    </row>
    <row r="2" spans="2:10">
      <c r="B2" s="13" t="s">
        <v>15982</v>
      </c>
      <c r="C2" s="13" t="s">
        <v>297</v>
      </c>
      <c r="D2" s="13" t="s">
        <v>11870</v>
      </c>
      <c r="E2" s="13" t="s">
        <v>15983</v>
      </c>
      <c r="F2" s="13" t="s">
        <v>15984</v>
      </c>
      <c r="G2" s="13" t="s">
        <v>300</v>
      </c>
      <c r="H2" s="13" t="s">
        <v>301</v>
      </c>
      <c r="I2" s="13" t="s">
        <v>15985</v>
      </c>
      <c r="J2" s="13" t="s">
        <v>15986</v>
      </c>
    </row>
    <row r="3" spans="2:10">
      <c r="B3" s="15" t="s">
        <v>19462</v>
      </c>
      <c r="C3" s="15" t="s">
        <v>19463</v>
      </c>
      <c r="D3" s="15" t="s">
        <v>316</v>
      </c>
      <c r="E3" s="15" t="s">
        <v>15989</v>
      </c>
      <c r="F3" s="15" t="s">
        <v>19464</v>
      </c>
      <c r="G3" s="15"/>
      <c r="H3" s="15"/>
      <c r="I3" s="15" t="s">
        <v>528</v>
      </c>
      <c r="J3" s="15" t="s">
        <v>15991</v>
      </c>
    </row>
    <row r="4" spans="2:10">
      <c r="B4" s="15" t="s">
        <v>19462</v>
      </c>
      <c r="C4" s="15" t="s">
        <v>16103</v>
      </c>
      <c r="D4" s="15" t="s">
        <v>316</v>
      </c>
      <c r="E4" s="15" t="s">
        <v>15989</v>
      </c>
      <c r="F4" s="15" t="s">
        <v>16986</v>
      </c>
      <c r="G4" s="15"/>
      <c r="H4" s="15"/>
      <c r="I4" s="15" t="s">
        <v>528</v>
      </c>
      <c r="J4" s="15" t="s">
        <v>15991</v>
      </c>
    </row>
    <row r="5" spans="2:10">
      <c r="B5" s="15" t="s">
        <v>19462</v>
      </c>
      <c r="C5" s="15" t="s">
        <v>19465</v>
      </c>
      <c r="D5" s="15" t="s">
        <v>16072</v>
      </c>
      <c r="E5" s="15" t="s">
        <v>305</v>
      </c>
      <c r="F5" s="15" t="s">
        <v>19466</v>
      </c>
      <c r="G5" s="52" t="str">
        <f t="shared" ref="G5:G14" si="0">HYPERLINK("#码值映射清单!B5150","YesNo")</f>
        <v>YesNo</v>
      </c>
      <c r="H5" s="15"/>
      <c r="I5" s="15" t="s">
        <v>528</v>
      </c>
      <c r="J5" s="15" t="s">
        <v>15991</v>
      </c>
    </row>
    <row r="6" spans="2:10">
      <c r="B6" s="15" t="s">
        <v>19462</v>
      </c>
      <c r="C6" s="15" t="s">
        <v>19467</v>
      </c>
      <c r="D6" s="15" t="s">
        <v>16072</v>
      </c>
      <c r="E6" s="15" t="s">
        <v>305</v>
      </c>
      <c r="F6" s="15" t="s">
        <v>19468</v>
      </c>
      <c r="G6" s="52" t="str">
        <f t="shared" si="0"/>
        <v>YesNo</v>
      </c>
      <c r="H6" s="15"/>
      <c r="I6" s="15" t="s">
        <v>528</v>
      </c>
      <c r="J6" s="15" t="s">
        <v>15991</v>
      </c>
    </row>
    <row r="7" spans="2:10">
      <c r="B7" s="15" t="s">
        <v>19462</v>
      </c>
      <c r="C7" s="15" t="s">
        <v>19469</v>
      </c>
      <c r="D7" s="15" t="s">
        <v>16072</v>
      </c>
      <c r="E7" s="15" t="s">
        <v>305</v>
      </c>
      <c r="F7" s="15" t="s">
        <v>19470</v>
      </c>
      <c r="G7" s="52" t="str">
        <f t="shared" si="0"/>
        <v>YesNo</v>
      </c>
      <c r="H7" s="15"/>
      <c r="I7" s="15" t="s">
        <v>528</v>
      </c>
      <c r="J7" s="15" t="s">
        <v>15991</v>
      </c>
    </row>
    <row r="8" spans="2:10">
      <c r="B8" s="15" t="s">
        <v>19462</v>
      </c>
      <c r="C8" s="15" t="s">
        <v>19471</v>
      </c>
      <c r="D8" s="15" t="s">
        <v>16072</v>
      </c>
      <c r="E8" s="15" t="s">
        <v>305</v>
      </c>
      <c r="F8" s="15" t="s">
        <v>19472</v>
      </c>
      <c r="G8" s="52" t="str">
        <f t="shared" si="0"/>
        <v>YesNo</v>
      </c>
      <c r="H8" s="15"/>
      <c r="I8" s="15" t="s">
        <v>528</v>
      </c>
      <c r="J8" s="15" t="s">
        <v>15991</v>
      </c>
    </row>
    <row r="9" spans="2:10">
      <c r="B9" s="15" t="s">
        <v>19462</v>
      </c>
      <c r="C9" s="15" t="s">
        <v>19473</v>
      </c>
      <c r="D9" s="15" t="s">
        <v>16072</v>
      </c>
      <c r="E9" s="15" t="s">
        <v>305</v>
      </c>
      <c r="F9" s="15" t="s">
        <v>19474</v>
      </c>
      <c r="G9" s="52" t="str">
        <f t="shared" si="0"/>
        <v>YesNo</v>
      </c>
      <c r="H9" s="15"/>
      <c r="I9" s="15" t="s">
        <v>528</v>
      </c>
      <c r="J9" s="15" t="s">
        <v>15991</v>
      </c>
    </row>
    <row r="10" spans="2:10">
      <c r="B10" s="15" t="s">
        <v>19462</v>
      </c>
      <c r="C10" s="15" t="s">
        <v>19475</v>
      </c>
      <c r="D10" s="15" t="s">
        <v>16072</v>
      </c>
      <c r="E10" s="15" t="s">
        <v>305</v>
      </c>
      <c r="F10" s="15" t="s">
        <v>19476</v>
      </c>
      <c r="G10" s="52" t="str">
        <f t="shared" si="0"/>
        <v>YesNo</v>
      </c>
      <c r="H10" s="15"/>
      <c r="I10" s="15" t="s">
        <v>528</v>
      </c>
      <c r="J10" s="15" t="s">
        <v>15991</v>
      </c>
    </row>
    <row r="11" spans="2:10">
      <c r="B11" s="15" t="s">
        <v>19462</v>
      </c>
      <c r="C11" s="15" t="s">
        <v>19477</v>
      </c>
      <c r="D11" s="15" t="s">
        <v>16072</v>
      </c>
      <c r="E11" s="15" t="s">
        <v>305</v>
      </c>
      <c r="F11" s="15" t="s">
        <v>19478</v>
      </c>
      <c r="G11" s="52" t="str">
        <f t="shared" si="0"/>
        <v>YesNo</v>
      </c>
      <c r="H11" s="15"/>
      <c r="I11" s="15" t="s">
        <v>528</v>
      </c>
      <c r="J11" s="15" t="s">
        <v>15991</v>
      </c>
    </row>
    <row r="12" spans="2:10">
      <c r="B12" s="15" t="s">
        <v>19462</v>
      </c>
      <c r="C12" s="15" t="s">
        <v>19479</v>
      </c>
      <c r="D12" s="15" t="s">
        <v>16072</v>
      </c>
      <c r="E12" s="15" t="s">
        <v>305</v>
      </c>
      <c r="F12" s="15" t="s">
        <v>19480</v>
      </c>
      <c r="G12" s="52" t="str">
        <f t="shared" si="0"/>
        <v>YesNo</v>
      </c>
      <c r="H12" s="15"/>
      <c r="I12" s="15" t="s">
        <v>528</v>
      </c>
      <c r="J12" s="15" t="s">
        <v>15991</v>
      </c>
    </row>
    <row r="13" spans="2:10">
      <c r="B13" s="15" t="s">
        <v>19462</v>
      </c>
      <c r="C13" s="15" t="s">
        <v>19481</v>
      </c>
      <c r="D13" s="15" t="s">
        <v>16072</v>
      </c>
      <c r="E13" s="15" t="s">
        <v>305</v>
      </c>
      <c r="F13" s="15" t="s">
        <v>19482</v>
      </c>
      <c r="G13" s="52" t="str">
        <f t="shared" si="0"/>
        <v>YesNo</v>
      </c>
      <c r="H13" s="15"/>
      <c r="I13" s="15" t="s">
        <v>528</v>
      </c>
      <c r="J13" s="15" t="s">
        <v>15991</v>
      </c>
    </row>
    <row r="14" spans="2:10">
      <c r="B14" s="15" t="s">
        <v>19462</v>
      </c>
      <c r="C14" s="15" t="s">
        <v>19483</v>
      </c>
      <c r="D14" s="15" t="s">
        <v>16072</v>
      </c>
      <c r="E14" s="15" t="s">
        <v>305</v>
      </c>
      <c r="F14" s="15" t="s">
        <v>19484</v>
      </c>
      <c r="G14" s="52" t="str">
        <f t="shared" si="0"/>
        <v>YesNo</v>
      </c>
      <c r="H14" s="15"/>
      <c r="I14" s="15" t="s">
        <v>528</v>
      </c>
      <c r="J14" s="15" t="s">
        <v>15991</v>
      </c>
    </row>
    <row r="15" spans="2:10">
      <c r="B15" s="15" t="s">
        <v>19462</v>
      </c>
      <c r="C15" s="15" t="s">
        <v>19485</v>
      </c>
      <c r="D15" s="15" t="s">
        <v>16072</v>
      </c>
      <c r="E15" s="15" t="s">
        <v>305</v>
      </c>
      <c r="F15" s="15" t="s">
        <v>19486</v>
      </c>
      <c r="G15" s="15"/>
      <c r="H15" s="15"/>
      <c r="I15" s="15" t="s">
        <v>528</v>
      </c>
      <c r="J15" s="15" t="s">
        <v>15991</v>
      </c>
    </row>
    <row r="16" spans="2:10">
      <c r="B16" s="15" t="s">
        <v>19462</v>
      </c>
      <c r="C16" s="15" t="s">
        <v>19487</v>
      </c>
      <c r="D16" s="15" t="s">
        <v>513</v>
      </c>
      <c r="E16" s="15" t="s">
        <v>305</v>
      </c>
      <c r="F16" s="15" t="s">
        <v>7422</v>
      </c>
      <c r="G16" s="15"/>
      <c r="H16" s="15"/>
      <c r="I16" s="15" t="s">
        <v>528</v>
      </c>
      <c r="J16" s="15" t="s">
        <v>15991</v>
      </c>
    </row>
    <row r="17" spans="2:10">
      <c r="B17" s="15" t="s">
        <v>19462</v>
      </c>
      <c r="C17" s="15" t="s">
        <v>19488</v>
      </c>
      <c r="D17" s="15" t="s">
        <v>367</v>
      </c>
      <c r="E17" s="15" t="s">
        <v>305</v>
      </c>
      <c r="F17" s="15" t="s">
        <v>19489</v>
      </c>
      <c r="G17" s="15"/>
      <c r="H17" s="15"/>
      <c r="I17" s="15" t="s">
        <v>528</v>
      </c>
      <c r="J17" s="15" t="s">
        <v>15991</v>
      </c>
    </row>
    <row r="18" spans="2:10">
      <c r="B18" s="15" t="s">
        <v>19462</v>
      </c>
      <c r="C18" s="15" t="s">
        <v>16011</v>
      </c>
      <c r="D18" s="15" t="s">
        <v>316</v>
      </c>
      <c r="E18" s="15" t="s">
        <v>305</v>
      </c>
      <c r="F18" s="15" t="s">
        <v>16012</v>
      </c>
      <c r="G18" s="15"/>
      <c r="H18" s="15"/>
      <c r="I18" s="15" t="s">
        <v>528</v>
      </c>
      <c r="J18" s="15" t="s">
        <v>15991</v>
      </c>
    </row>
    <row r="19" spans="2:10">
      <c r="B19" s="15" t="s">
        <v>19462</v>
      </c>
      <c r="C19" s="15" t="s">
        <v>16009</v>
      </c>
      <c r="D19" s="15" t="s">
        <v>316</v>
      </c>
      <c r="E19" s="15" t="s">
        <v>305</v>
      </c>
      <c r="F19" s="15" t="s">
        <v>16010</v>
      </c>
      <c r="G19" s="15"/>
      <c r="H19" s="15"/>
      <c r="I19" s="15" t="s">
        <v>528</v>
      </c>
      <c r="J19" s="15" t="s">
        <v>15991</v>
      </c>
    </row>
    <row r="20" spans="2:10">
      <c r="B20" s="15" t="s">
        <v>19462</v>
      </c>
      <c r="C20" s="15" t="s">
        <v>16013</v>
      </c>
      <c r="D20" s="15" t="s">
        <v>371</v>
      </c>
      <c r="E20" s="15" t="s">
        <v>305</v>
      </c>
      <c r="F20" s="15" t="s">
        <v>16014</v>
      </c>
      <c r="G20" s="15"/>
      <c r="H20" s="15"/>
      <c r="I20" s="15" t="s">
        <v>528</v>
      </c>
      <c r="J20" s="15" t="s">
        <v>15991</v>
      </c>
    </row>
    <row r="21" spans="2:10">
      <c r="B21" s="15" t="s">
        <v>19462</v>
      </c>
      <c r="C21" s="15" t="s">
        <v>16017</v>
      </c>
      <c r="D21" s="15" t="s">
        <v>316</v>
      </c>
      <c r="E21" s="15" t="s">
        <v>305</v>
      </c>
      <c r="F21" s="15" t="s">
        <v>16018</v>
      </c>
      <c r="G21" s="15"/>
      <c r="H21" s="15"/>
      <c r="I21" s="15" t="s">
        <v>528</v>
      </c>
      <c r="J21" s="15" t="s">
        <v>15991</v>
      </c>
    </row>
    <row r="22" spans="2:10">
      <c r="B22" s="15" t="s">
        <v>19462</v>
      </c>
      <c r="C22" s="15" t="s">
        <v>16015</v>
      </c>
      <c r="D22" s="15" t="s">
        <v>316</v>
      </c>
      <c r="E22" s="15" t="s">
        <v>305</v>
      </c>
      <c r="F22" s="15" t="s">
        <v>16016</v>
      </c>
      <c r="G22" s="15"/>
      <c r="H22" s="15"/>
      <c r="I22" s="15" t="s">
        <v>528</v>
      </c>
      <c r="J22" s="15" t="s">
        <v>15991</v>
      </c>
    </row>
    <row r="23" spans="2:10">
      <c r="B23" s="15" t="s">
        <v>19462</v>
      </c>
      <c r="C23" s="15" t="s">
        <v>16019</v>
      </c>
      <c r="D23" s="15" t="s">
        <v>371</v>
      </c>
      <c r="E23" s="15" t="s">
        <v>305</v>
      </c>
      <c r="F23" s="15" t="s">
        <v>16020</v>
      </c>
      <c r="G23" s="15"/>
      <c r="H23" s="15"/>
      <c r="I23" s="15" t="s">
        <v>528</v>
      </c>
      <c r="J23" s="15" t="s">
        <v>15991</v>
      </c>
    </row>
    <row r="24" spans="2:10">
      <c r="B24" s="15" t="s">
        <v>19462</v>
      </c>
      <c r="C24" s="15" t="s">
        <v>16086</v>
      </c>
      <c r="D24" s="15" t="s">
        <v>16087</v>
      </c>
      <c r="E24" s="15" t="s">
        <v>305</v>
      </c>
      <c r="F24" s="15" t="s">
        <v>301</v>
      </c>
      <c r="G24" s="15"/>
      <c r="H24" s="15"/>
      <c r="I24" s="15" t="s">
        <v>528</v>
      </c>
      <c r="J24" s="15" t="s">
        <v>15991</v>
      </c>
    </row>
    <row r="25" spans="2:10">
      <c r="B25" s="15" t="s">
        <v>19462</v>
      </c>
      <c r="C25" s="15" t="s">
        <v>16088</v>
      </c>
      <c r="D25" s="15" t="s">
        <v>316</v>
      </c>
      <c r="E25" s="15" t="s">
        <v>305</v>
      </c>
      <c r="F25" s="15" t="s">
        <v>16089</v>
      </c>
      <c r="G25" s="15"/>
      <c r="H25" s="15"/>
      <c r="I25" s="15" t="s">
        <v>528</v>
      </c>
      <c r="J25" s="15" t="s">
        <v>15991</v>
      </c>
    </row>
    <row r="26" spans="2:10">
      <c r="B26" s="15" t="s">
        <v>19462</v>
      </c>
      <c r="C26" s="15" t="s">
        <v>19490</v>
      </c>
      <c r="D26" s="15" t="s">
        <v>16087</v>
      </c>
      <c r="E26" s="15" t="s">
        <v>305</v>
      </c>
      <c r="F26" s="15" t="s">
        <v>19491</v>
      </c>
      <c r="G26" s="15"/>
      <c r="H26" s="15"/>
      <c r="I26" s="15" t="s">
        <v>528</v>
      </c>
      <c r="J26" s="15" t="s">
        <v>15991</v>
      </c>
    </row>
  </sheetData>
  <pageMargins left="0.75" right="0.75" top="1" bottom="1" header="0.5" footer="0.5"/>
  <pageSetup paperSize="1" orientation="portrait" horizontalDpi="300" verticalDpi="300"/>
  <headerFooter alignWithMargins="0" scaleWithDoc="0"/>
</worksheet>
</file>

<file path=xl/worksheets/sheet10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0"/>
  <sheetViews>
    <sheetView zoomScaleSheetLayoutView="60" workbookViewId="0">
      <selection activeCell="A1" sqref="A1"/>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51" t="str">
        <f>HYPERLINK("#表结构清单!A1","返回")</f>
        <v>返回</v>
      </c>
      <c r="B1" t="s">
        <v>93</v>
      </c>
    </row>
    <row r="2" spans="2:10">
      <c r="B2" s="13" t="s">
        <v>15982</v>
      </c>
      <c r="C2" s="13" t="s">
        <v>297</v>
      </c>
      <c r="D2" s="13" t="s">
        <v>11870</v>
      </c>
      <c r="E2" s="13" t="s">
        <v>15983</v>
      </c>
      <c r="F2" s="13" t="s">
        <v>15984</v>
      </c>
      <c r="G2" s="13" t="s">
        <v>300</v>
      </c>
      <c r="H2" s="13" t="s">
        <v>301</v>
      </c>
      <c r="I2" s="13" t="s">
        <v>15985</v>
      </c>
      <c r="J2" s="13" t="s">
        <v>15986</v>
      </c>
    </row>
    <row r="3" spans="2:10">
      <c r="B3" s="15" t="s">
        <v>19492</v>
      </c>
      <c r="C3" s="15" t="s">
        <v>15988</v>
      </c>
      <c r="D3" s="15" t="s">
        <v>316</v>
      </c>
      <c r="E3" s="15" t="s">
        <v>15989</v>
      </c>
      <c r="F3" s="15" t="s">
        <v>15990</v>
      </c>
      <c r="G3" s="15"/>
      <c r="H3" s="15"/>
      <c r="I3" s="15" t="s">
        <v>528</v>
      </c>
      <c r="J3" s="15" t="s">
        <v>15991</v>
      </c>
    </row>
    <row r="4" spans="2:10">
      <c r="B4" s="15" t="s">
        <v>19492</v>
      </c>
      <c r="C4" s="15" t="s">
        <v>19463</v>
      </c>
      <c r="D4" s="15" t="s">
        <v>316</v>
      </c>
      <c r="E4" s="15" t="s">
        <v>305</v>
      </c>
      <c r="F4" s="15" t="s">
        <v>19219</v>
      </c>
      <c r="G4" s="15"/>
      <c r="H4" s="15"/>
      <c r="I4" s="15" t="s">
        <v>528</v>
      </c>
      <c r="J4" s="15" t="s">
        <v>15991</v>
      </c>
    </row>
    <row r="5" spans="2:10">
      <c r="B5" s="15" t="s">
        <v>19492</v>
      </c>
      <c r="C5" s="15" t="s">
        <v>16894</v>
      </c>
      <c r="D5" s="15" t="s">
        <v>316</v>
      </c>
      <c r="E5" s="15" t="s">
        <v>305</v>
      </c>
      <c r="F5" s="15" t="s">
        <v>16895</v>
      </c>
      <c r="G5" s="15"/>
      <c r="H5" s="15"/>
      <c r="I5" s="15" t="s">
        <v>528</v>
      </c>
      <c r="J5" s="15" t="s">
        <v>15991</v>
      </c>
    </row>
    <row r="6" spans="2:10">
      <c r="B6" s="15" t="s">
        <v>19492</v>
      </c>
      <c r="C6" s="15" t="s">
        <v>16941</v>
      </c>
      <c r="D6" s="15" t="s">
        <v>506</v>
      </c>
      <c r="E6" s="15" t="s">
        <v>305</v>
      </c>
      <c r="F6" s="15" t="s">
        <v>309</v>
      </c>
      <c r="G6" s="15"/>
      <c r="H6" s="15"/>
      <c r="I6" s="15" t="s">
        <v>528</v>
      </c>
      <c r="J6" s="15" t="s">
        <v>15991</v>
      </c>
    </row>
    <row r="7" spans="2:10">
      <c r="B7" s="15" t="s">
        <v>19492</v>
      </c>
      <c r="C7" s="15" t="s">
        <v>19493</v>
      </c>
      <c r="D7" s="15" t="s">
        <v>316</v>
      </c>
      <c r="E7" s="15" t="s">
        <v>305</v>
      </c>
      <c r="F7" s="15" t="s">
        <v>19494</v>
      </c>
      <c r="G7" s="15"/>
      <c r="H7" s="15"/>
      <c r="I7" s="15" t="s">
        <v>528</v>
      </c>
      <c r="J7" s="15" t="s">
        <v>15991</v>
      </c>
    </row>
    <row r="8" spans="2:10">
      <c r="B8" s="15" t="s">
        <v>19492</v>
      </c>
      <c r="C8" s="15" t="s">
        <v>19495</v>
      </c>
      <c r="D8" s="15" t="s">
        <v>506</v>
      </c>
      <c r="E8" s="15" t="s">
        <v>305</v>
      </c>
      <c r="F8" s="15" t="s">
        <v>19496</v>
      </c>
      <c r="G8" s="15"/>
      <c r="H8" s="15"/>
      <c r="I8" s="15" t="s">
        <v>528</v>
      </c>
      <c r="J8" s="15" t="s">
        <v>15991</v>
      </c>
    </row>
    <row r="9" spans="2:10">
      <c r="B9" s="15" t="s">
        <v>19492</v>
      </c>
      <c r="C9" s="15" t="s">
        <v>19497</v>
      </c>
      <c r="D9" s="15" t="s">
        <v>316</v>
      </c>
      <c r="E9" s="15" t="s">
        <v>305</v>
      </c>
      <c r="F9" s="15" t="s">
        <v>19498</v>
      </c>
      <c r="G9" s="15"/>
      <c r="H9" s="15"/>
      <c r="I9" s="15" t="s">
        <v>528</v>
      </c>
      <c r="J9" s="15" t="s">
        <v>15991</v>
      </c>
    </row>
    <row r="10" spans="2:10">
      <c r="B10" s="15" t="s">
        <v>19492</v>
      </c>
      <c r="C10" s="15" t="s">
        <v>19499</v>
      </c>
      <c r="D10" s="15" t="s">
        <v>506</v>
      </c>
      <c r="E10" s="15" t="s">
        <v>305</v>
      </c>
      <c r="F10" s="15" t="s">
        <v>19500</v>
      </c>
      <c r="G10" s="15"/>
      <c r="H10" s="15"/>
      <c r="I10" s="15" t="s">
        <v>528</v>
      </c>
      <c r="J10" s="15" t="s">
        <v>15991</v>
      </c>
    </row>
    <row r="11" spans="2:10">
      <c r="B11" s="15" t="s">
        <v>19492</v>
      </c>
      <c r="C11" s="15" t="s">
        <v>19501</v>
      </c>
      <c r="D11" s="15" t="s">
        <v>506</v>
      </c>
      <c r="E11" s="15" t="s">
        <v>305</v>
      </c>
      <c r="F11" s="15" t="s">
        <v>19502</v>
      </c>
      <c r="G11" s="15"/>
      <c r="H11" s="15"/>
      <c r="I11" s="15" t="s">
        <v>528</v>
      </c>
      <c r="J11" s="15" t="s">
        <v>15991</v>
      </c>
    </row>
    <row r="12" spans="2:10">
      <c r="B12" s="15" t="s">
        <v>19492</v>
      </c>
      <c r="C12" s="15" t="s">
        <v>19503</v>
      </c>
      <c r="D12" s="15" t="s">
        <v>513</v>
      </c>
      <c r="E12" s="15" t="s">
        <v>305</v>
      </c>
      <c r="F12" s="15" t="s">
        <v>19504</v>
      </c>
      <c r="G12" s="15"/>
      <c r="H12" s="15"/>
      <c r="I12" s="15" t="s">
        <v>528</v>
      </c>
      <c r="J12" s="15" t="s">
        <v>15991</v>
      </c>
    </row>
    <row r="13" spans="2:10">
      <c r="B13" s="15" t="s">
        <v>19492</v>
      </c>
      <c r="C13" s="15" t="s">
        <v>16011</v>
      </c>
      <c r="D13" s="15" t="s">
        <v>316</v>
      </c>
      <c r="E13" s="15" t="s">
        <v>305</v>
      </c>
      <c r="F13" s="15" t="s">
        <v>16012</v>
      </c>
      <c r="G13" s="15"/>
      <c r="H13" s="15"/>
      <c r="I13" s="15" t="s">
        <v>528</v>
      </c>
      <c r="J13" s="15" t="s">
        <v>15991</v>
      </c>
    </row>
    <row r="14" spans="2:10">
      <c r="B14" s="15" t="s">
        <v>19492</v>
      </c>
      <c r="C14" s="15" t="s">
        <v>16009</v>
      </c>
      <c r="D14" s="15" t="s">
        <v>316</v>
      </c>
      <c r="E14" s="15" t="s">
        <v>305</v>
      </c>
      <c r="F14" s="15" t="s">
        <v>16010</v>
      </c>
      <c r="G14" s="15"/>
      <c r="H14" s="15"/>
      <c r="I14" s="15" t="s">
        <v>528</v>
      </c>
      <c r="J14" s="15" t="s">
        <v>15991</v>
      </c>
    </row>
    <row r="15" spans="2:10">
      <c r="B15" s="15" t="s">
        <v>19492</v>
      </c>
      <c r="C15" s="15" t="s">
        <v>16013</v>
      </c>
      <c r="D15" s="15" t="s">
        <v>371</v>
      </c>
      <c r="E15" s="15" t="s">
        <v>305</v>
      </c>
      <c r="F15" s="15" t="s">
        <v>16014</v>
      </c>
      <c r="G15" s="15"/>
      <c r="H15" s="15"/>
      <c r="I15" s="15" t="s">
        <v>528</v>
      </c>
      <c r="J15" s="15" t="s">
        <v>15991</v>
      </c>
    </row>
    <row r="16" spans="2:10">
      <c r="B16" s="15" t="s">
        <v>19492</v>
      </c>
      <c r="C16" s="15" t="s">
        <v>16017</v>
      </c>
      <c r="D16" s="15" t="s">
        <v>316</v>
      </c>
      <c r="E16" s="15" t="s">
        <v>305</v>
      </c>
      <c r="F16" s="15" t="s">
        <v>16018</v>
      </c>
      <c r="G16" s="15"/>
      <c r="H16" s="15"/>
      <c r="I16" s="15" t="s">
        <v>528</v>
      </c>
      <c r="J16" s="15" t="s">
        <v>15991</v>
      </c>
    </row>
    <row r="17" spans="2:10">
      <c r="B17" s="15" t="s">
        <v>19492</v>
      </c>
      <c r="C17" s="15" t="s">
        <v>16015</v>
      </c>
      <c r="D17" s="15" t="s">
        <v>316</v>
      </c>
      <c r="E17" s="15" t="s">
        <v>305</v>
      </c>
      <c r="F17" s="15" t="s">
        <v>16016</v>
      </c>
      <c r="G17" s="15"/>
      <c r="H17" s="15"/>
      <c r="I17" s="15" t="s">
        <v>528</v>
      </c>
      <c r="J17" s="15" t="s">
        <v>15991</v>
      </c>
    </row>
    <row r="18" spans="2:10">
      <c r="B18" s="15" t="s">
        <v>19492</v>
      </c>
      <c r="C18" s="15" t="s">
        <v>16019</v>
      </c>
      <c r="D18" s="15" t="s">
        <v>371</v>
      </c>
      <c r="E18" s="15" t="s">
        <v>305</v>
      </c>
      <c r="F18" s="15" t="s">
        <v>16020</v>
      </c>
      <c r="G18" s="15"/>
      <c r="H18" s="15"/>
      <c r="I18" s="15" t="s">
        <v>528</v>
      </c>
      <c r="J18" s="15" t="s">
        <v>15991</v>
      </c>
    </row>
    <row r="19" spans="2:10">
      <c r="B19" s="15" t="s">
        <v>19492</v>
      </c>
      <c r="C19" s="15" t="s">
        <v>16086</v>
      </c>
      <c r="D19" s="15" t="s">
        <v>16087</v>
      </c>
      <c r="E19" s="15" t="s">
        <v>305</v>
      </c>
      <c r="F19" s="15" t="s">
        <v>301</v>
      </c>
      <c r="G19" s="15"/>
      <c r="H19" s="15"/>
      <c r="I19" s="15" t="s">
        <v>528</v>
      </c>
      <c r="J19" s="15" t="s">
        <v>15991</v>
      </c>
    </row>
    <row r="20" spans="2:10">
      <c r="B20" s="15" t="s">
        <v>19492</v>
      </c>
      <c r="C20" s="15" t="s">
        <v>16088</v>
      </c>
      <c r="D20" s="15" t="s">
        <v>316</v>
      </c>
      <c r="E20" s="15" t="s">
        <v>305</v>
      </c>
      <c r="F20" s="15" t="s">
        <v>16089</v>
      </c>
      <c r="G20" s="15"/>
      <c r="H20" s="15"/>
      <c r="I20" s="15" t="s">
        <v>528</v>
      </c>
      <c r="J20" s="15" t="s">
        <v>15991</v>
      </c>
    </row>
  </sheetData>
  <pageMargins left="0.75" right="0.75" top="1" bottom="1" header="0.5" footer="0.5"/>
  <pageSetup paperSize="1" orientation="portrait" horizontalDpi="300" verticalDpi="300"/>
  <headerFooter alignWithMargins="0" scaleWithDoc="0"/>
</worksheet>
</file>

<file path=xl/worksheets/sheet1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8"/>
  <sheetViews>
    <sheetView zoomScaleSheetLayoutView="60" workbookViewId="0">
      <selection activeCell="D17" sqref="D17"/>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52" t="str">
        <f>HYPERLINK("#表结构清单!A1","返回")</f>
        <v>返回</v>
      </c>
      <c r="B1" t="s">
        <v>9229</v>
      </c>
    </row>
    <row r="2" spans="2:10">
      <c r="B2" s="13" t="s">
        <v>15982</v>
      </c>
      <c r="C2" s="13" t="s">
        <v>297</v>
      </c>
      <c r="D2" s="13" t="s">
        <v>11870</v>
      </c>
      <c r="E2" s="13" t="s">
        <v>15983</v>
      </c>
      <c r="F2" s="13" t="s">
        <v>15984</v>
      </c>
      <c r="G2" s="13" t="s">
        <v>300</v>
      </c>
      <c r="H2" s="13" t="s">
        <v>301</v>
      </c>
      <c r="I2" s="13" t="s">
        <v>15985</v>
      </c>
      <c r="J2" s="13" t="s">
        <v>15986</v>
      </c>
    </row>
    <row r="3" spans="2:10">
      <c r="B3" s="15" t="s">
        <v>19505</v>
      </c>
      <c r="C3" s="15" t="s">
        <v>628</v>
      </c>
      <c r="D3" s="15" t="s">
        <v>316</v>
      </c>
      <c r="E3" s="15" t="s">
        <v>15989</v>
      </c>
      <c r="F3" s="15" t="s">
        <v>19506</v>
      </c>
      <c r="G3" s="15"/>
      <c r="H3" s="15"/>
      <c r="I3" s="15" t="s">
        <v>528</v>
      </c>
      <c r="J3" s="15" t="s">
        <v>15991</v>
      </c>
    </row>
    <row r="4" spans="2:10">
      <c r="B4" s="15" t="s">
        <v>19505</v>
      </c>
      <c r="C4" s="15" t="s">
        <v>16325</v>
      </c>
      <c r="D4" s="15" t="s">
        <v>316</v>
      </c>
      <c r="E4" s="15" t="s">
        <v>305</v>
      </c>
      <c r="F4" s="15" t="s">
        <v>16326</v>
      </c>
      <c r="G4" s="15"/>
      <c r="H4" s="15"/>
      <c r="I4" s="15" t="s">
        <v>528</v>
      </c>
      <c r="J4" s="15" t="s">
        <v>15991</v>
      </c>
    </row>
    <row r="5" spans="2:10">
      <c r="B5" s="15" t="s">
        <v>19505</v>
      </c>
      <c r="C5" s="15" t="s">
        <v>19507</v>
      </c>
      <c r="D5" s="15" t="s">
        <v>506</v>
      </c>
      <c r="E5" s="15" t="s">
        <v>305</v>
      </c>
      <c r="F5" s="15" t="s">
        <v>19508</v>
      </c>
      <c r="G5" s="15"/>
      <c r="H5" s="15"/>
      <c r="I5" s="15" t="s">
        <v>528</v>
      </c>
      <c r="J5" s="15" t="s">
        <v>15991</v>
      </c>
    </row>
    <row r="6" spans="2:10">
      <c r="B6" s="15" t="s">
        <v>19505</v>
      </c>
      <c r="C6" s="15" t="s">
        <v>19509</v>
      </c>
      <c r="D6" s="15" t="s">
        <v>506</v>
      </c>
      <c r="E6" s="15" t="s">
        <v>305</v>
      </c>
      <c r="F6" s="15" t="s">
        <v>19510</v>
      </c>
      <c r="G6" s="15"/>
      <c r="H6" s="15"/>
      <c r="I6" s="15" t="s">
        <v>528</v>
      </c>
      <c r="J6" s="15" t="s">
        <v>15991</v>
      </c>
    </row>
    <row r="7" spans="2:10">
      <c r="B7" s="15" t="s">
        <v>19505</v>
      </c>
      <c r="C7" s="15" t="s">
        <v>629</v>
      </c>
      <c r="D7" s="15" t="s">
        <v>506</v>
      </c>
      <c r="E7" s="15" t="s">
        <v>305</v>
      </c>
      <c r="F7" s="15" t="s">
        <v>19511</v>
      </c>
      <c r="G7" s="15"/>
      <c r="H7" s="15"/>
      <c r="I7" s="15" t="s">
        <v>528</v>
      </c>
      <c r="J7" s="15" t="s">
        <v>15991</v>
      </c>
    </row>
    <row r="8" spans="2:10">
      <c r="B8" s="15" t="s">
        <v>19505</v>
      </c>
      <c r="C8" s="15" t="s">
        <v>19512</v>
      </c>
      <c r="D8" s="15" t="s">
        <v>327</v>
      </c>
      <c r="E8" s="15" t="s">
        <v>305</v>
      </c>
      <c r="F8" s="15" t="s">
        <v>19513</v>
      </c>
      <c r="G8" s="15"/>
      <c r="H8" s="15"/>
      <c r="I8" s="15" t="s">
        <v>528</v>
      </c>
      <c r="J8" s="15" t="s">
        <v>15991</v>
      </c>
    </row>
    <row r="9" spans="2:10">
      <c r="B9" s="15" t="s">
        <v>19505</v>
      </c>
      <c r="C9" s="15" t="s">
        <v>19514</v>
      </c>
      <c r="D9" s="15" t="s">
        <v>327</v>
      </c>
      <c r="E9" s="15" t="s">
        <v>305</v>
      </c>
      <c r="F9" s="15" t="s">
        <v>19515</v>
      </c>
      <c r="G9" s="15"/>
      <c r="H9" s="15"/>
      <c r="I9" s="15" t="s">
        <v>528</v>
      </c>
      <c r="J9" s="15" t="s">
        <v>15991</v>
      </c>
    </row>
    <row r="10" spans="2:10">
      <c r="B10" s="15" t="s">
        <v>19505</v>
      </c>
      <c r="C10" s="15" t="s">
        <v>16086</v>
      </c>
      <c r="D10" s="15" t="s">
        <v>327</v>
      </c>
      <c r="E10" s="15" t="s">
        <v>305</v>
      </c>
      <c r="F10" s="15" t="s">
        <v>301</v>
      </c>
      <c r="G10" s="15"/>
      <c r="H10" s="15"/>
      <c r="I10" s="15" t="s">
        <v>528</v>
      </c>
      <c r="J10" s="15" t="s">
        <v>15991</v>
      </c>
    </row>
    <row r="11" spans="2:10">
      <c r="B11" s="15" t="s">
        <v>19505</v>
      </c>
      <c r="C11" s="15" t="s">
        <v>16053</v>
      </c>
      <c r="D11" s="15" t="s">
        <v>316</v>
      </c>
      <c r="E11" s="15" t="s">
        <v>305</v>
      </c>
      <c r="F11" s="15" t="s">
        <v>16012</v>
      </c>
      <c r="G11" s="15"/>
      <c r="H11" s="15"/>
      <c r="I11" s="15" t="s">
        <v>528</v>
      </c>
      <c r="J11" s="15" t="s">
        <v>15991</v>
      </c>
    </row>
    <row r="12" spans="2:10">
      <c r="B12" s="15" t="s">
        <v>19505</v>
      </c>
      <c r="C12" s="15" t="s">
        <v>16241</v>
      </c>
      <c r="D12" s="15" t="s">
        <v>316</v>
      </c>
      <c r="E12" s="15" t="s">
        <v>305</v>
      </c>
      <c r="F12" s="15" t="s">
        <v>16010</v>
      </c>
      <c r="G12" s="15"/>
      <c r="H12" s="15"/>
      <c r="I12" s="15" t="s">
        <v>528</v>
      </c>
      <c r="J12" s="15" t="s">
        <v>15991</v>
      </c>
    </row>
    <row r="13" spans="2:10">
      <c r="B13" s="15" t="s">
        <v>19505</v>
      </c>
      <c r="C13" s="15" t="s">
        <v>16013</v>
      </c>
      <c r="D13" s="15" t="s">
        <v>371</v>
      </c>
      <c r="E13" s="15" t="s">
        <v>305</v>
      </c>
      <c r="F13" s="15" t="s">
        <v>16014</v>
      </c>
      <c r="G13" s="15"/>
      <c r="H13" s="15"/>
      <c r="I13" s="15" t="s">
        <v>528</v>
      </c>
      <c r="J13" s="15" t="s">
        <v>15991</v>
      </c>
    </row>
    <row r="14" spans="2:10">
      <c r="B14" s="15" t="s">
        <v>19505</v>
      </c>
      <c r="C14" s="15" t="s">
        <v>16243</v>
      </c>
      <c r="D14" s="15" t="s">
        <v>316</v>
      </c>
      <c r="E14" s="15" t="s">
        <v>305</v>
      </c>
      <c r="F14" s="15" t="s">
        <v>16018</v>
      </c>
      <c r="G14" s="15"/>
      <c r="H14" s="15"/>
      <c r="I14" s="15" t="s">
        <v>528</v>
      </c>
      <c r="J14" s="15" t="s">
        <v>15991</v>
      </c>
    </row>
    <row r="15" spans="2:10">
      <c r="B15" s="15" t="s">
        <v>19505</v>
      </c>
      <c r="C15" s="15" t="s">
        <v>16532</v>
      </c>
      <c r="D15" s="15" t="s">
        <v>316</v>
      </c>
      <c r="E15" s="15" t="s">
        <v>305</v>
      </c>
      <c r="F15" s="15" t="s">
        <v>16016</v>
      </c>
      <c r="G15" s="15"/>
      <c r="H15" s="15"/>
      <c r="I15" s="15" t="s">
        <v>528</v>
      </c>
      <c r="J15" s="15" t="s">
        <v>15991</v>
      </c>
    </row>
    <row r="16" spans="2:10">
      <c r="B16" s="15" t="s">
        <v>19505</v>
      </c>
      <c r="C16" s="15" t="s">
        <v>16019</v>
      </c>
      <c r="D16" s="15" t="s">
        <v>371</v>
      </c>
      <c r="E16" s="15" t="s">
        <v>305</v>
      </c>
      <c r="F16" s="15" t="s">
        <v>16020</v>
      </c>
      <c r="G16" s="15"/>
      <c r="H16" s="15"/>
      <c r="I16" s="15" t="s">
        <v>528</v>
      </c>
      <c r="J16" s="15" t="s">
        <v>15991</v>
      </c>
    </row>
    <row r="17" spans="2:10">
      <c r="B17" s="15" t="s">
        <v>19505</v>
      </c>
      <c r="C17" s="15" t="s">
        <v>16237</v>
      </c>
      <c r="D17" s="15" t="s">
        <v>371</v>
      </c>
      <c r="E17" s="15" t="s">
        <v>305</v>
      </c>
      <c r="F17" s="15" t="s">
        <v>16274</v>
      </c>
      <c r="G17" s="15"/>
      <c r="H17" s="15"/>
      <c r="I17" s="15" t="s">
        <v>528</v>
      </c>
      <c r="J17" s="15" t="s">
        <v>15991</v>
      </c>
    </row>
    <row r="18" spans="2:10">
      <c r="B18" s="15" t="s">
        <v>19505</v>
      </c>
      <c r="C18" s="15" t="s">
        <v>16239</v>
      </c>
      <c r="D18" s="15" t="s">
        <v>371</v>
      </c>
      <c r="E18" s="15" t="s">
        <v>305</v>
      </c>
      <c r="F18" s="15" t="s">
        <v>16236</v>
      </c>
      <c r="G18" s="15"/>
      <c r="H18" s="15"/>
      <c r="I18" s="15" t="s">
        <v>528</v>
      </c>
      <c r="J18" s="15" t="s">
        <v>15991</v>
      </c>
    </row>
  </sheetData>
  <pageMargins left="0.75" right="0.75" top="1" bottom="1" header="0.5" footer="0.5"/>
  <pageSetup paperSize="1" orientation="portrait" horizontalDpi="300" verticalDpi="300"/>
  <headerFooter alignWithMargins="0" scaleWithDoc="0"/>
</worksheet>
</file>

<file path=xl/worksheets/sheet1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0"/>
  <sheetViews>
    <sheetView zoomScaleSheetLayoutView="60" workbookViewId="0">
      <selection activeCell="D26" sqref="D26"/>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52" t="str">
        <f>HYPERLINK("#表结构清单!A1","返回")</f>
        <v>返回</v>
      </c>
      <c r="B1" t="s">
        <v>7612</v>
      </c>
    </row>
    <row r="2" spans="2:10">
      <c r="B2" s="13" t="s">
        <v>15982</v>
      </c>
      <c r="C2" s="13" t="s">
        <v>297</v>
      </c>
      <c r="D2" s="13" t="s">
        <v>11870</v>
      </c>
      <c r="E2" s="13" t="s">
        <v>15983</v>
      </c>
      <c r="F2" s="13" t="s">
        <v>15984</v>
      </c>
      <c r="G2" s="13" t="s">
        <v>300</v>
      </c>
      <c r="H2" s="13" t="s">
        <v>301</v>
      </c>
      <c r="I2" s="13" t="s">
        <v>15985</v>
      </c>
      <c r="J2" s="13" t="s">
        <v>15986</v>
      </c>
    </row>
    <row r="3" spans="2:10">
      <c r="B3" s="15" t="s">
        <v>19516</v>
      </c>
      <c r="C3" s="15" t="s">
        <v>628</v>
      </c>
      <c r="D3" s="15" t="s">
        <v>316</v>
      </c>
      <c r="E3" s="15" t="s">
        <v>15989</v>
      </c>
      <c r="F3" s="15" t="s">
        <v>19506</v>
      </c>
      <c r="G3" s="15"/>
      <c r="H3" s="15"/>
      <c r="I3" s="15" t="s">
        <v>528</v>
      </c>
      <c r="J3" s="15" t="s">
        <v>15991</v>
      </c>
    </row>
    <row r="4" spans="2:10">
      <c r="B4" s="15" t="s">
        <v>19516</v>
      </c>
      <c r="C4" s="15" t="s">
        <v>630</v>
      </c>
      <c r="D4" s="15" t="s">
        <v>316</v>
      </c>
      <c r="E4" s="15" t="s">
        <v>15989</v>
      </c>
      <c r="F4" s="15" t="s">
        <v>19517</v>
      </c>
      <c r="G4" s="52" t="str">
        <f>HYPERLINK("#码值映射清单!B8655","AuthorType")</f>
        <v>AuthorType</v>
      </c>
      <c r="H4" s="15"/>
      <c r="I4" s="15" t="s">
        <v>528</v>
      </c>
      <c r="J4" s="15" t="s">
        <v>15991</v>
      </c>
    </row>
    <row r="5" spans="2:10">
      <c r="B5" s="15" t="s">
        <v>19516</v>
      </c>
      <c r="C5" s="15" t="s">
        <v>631</v>
      </c>
      <c r="D5" s="15" t="s">
        <v>327</v>
      </c>
      <c r="E5" s="15" t="s">
        <v>305</v>
      </c>
      <c r="F5" s="15" t="s">
        <v>19518</v>
      </c>
      <c r="G5" s="15"/>
      <c r="H5" s="15"/>
      <c r="I5" s="15" t="s">
        <v>528</v>
      </c>
      <c r="J5" s="15" t="s">
        <v>15991</v>
      </c>
    </row>
    <row r="6" spans="2:10">
      <c r="B6" s="15" t="s">
        <v>19516</v>
      </c>
      <c r="C6" s="15" t="s">
        <v>19519</v>
      </c>
      <c r="D6" s="15" t="s">
        <v>316</v>
      </c>
      <c r="E6" s="15" t="s">
        <v>305</v>
      </c>
      <c r="F6" s="15" t="s">
        <v>19520</v>
      </c>
      <c r="G6" s="15"/>
      <c r="H6" s="15"/>
      <c r="I6" s="15" t="s">
        <v>528</v>
      </c>
      <c r="J6" s="15" t="s">
        <v>15991</v>
      </c>
    </row>
    <row r="7" spans="2:10">
      <c r="B7" s="15" t="s">
        <v>19516</v>
      </c>
      <c r="C7" s="15" t="s">
        <v>16325</v>
      </c>
      <c r="D7" s="15" t="s">
        <v>316</v>
      </c>
      <c r="E7" s="15" t="s">
        <v>305</v>
      </c>
      <c r="F7" s="15" t="s">
        <v>16326</v>
      </c>
      <c r="G7" s="15"/>
      <c r="H7" s="15"/>
      <c r="I7" s="15" t="s">
        <v>528</v>
      </c>
      <c r="J7" s="15" t="s">
        <v>15991</v>
      </c>
    </row>
    <row r="8" spans="2:10">
      <c r="B8" s="15" t="s">
        <v>19516</v>
      </c>
      <c r="C8" s="15" t="s">
        <v>16255</v>
      </c>
      <c r="D8" s="15" t="s">
        <v>316</v>
      </c>
      <c r="E8" s="15" t="s">
        <v>305</v>
      </c>
      <c r="F8" s="15" t="s">
        <v>16299</v>
      </c>
      <c r="G8" s="52" t="str">
        <f>HYPERLINK("#码值映射清单!B1110","IsInUse")</f>
        <v>IsInUse</v>
      </c>
      <c r="H8" s="15"/>
      <c r="I8" s="15" t="s">
        <v>528</v>
      </c>
      <c r="J8" s="15" t="s">
        <v>15991</v>
      </c>
    </row>
    <row r="9" spans="2:10">
      <c r="B9" s="15" t="s">
        <v>19516</v>
      </c>
      <c r="C9" s="15" t="s">
        <v>16536</v>
      </c>
      <c r="D9" s="15" t="s">
        <v>16087</v>
      </c>
      <c r="E9" s="15" t="s">
        <v>305</v>
      </c>
      <c r="F9" s="15" t="s">
        <v>19521</v>
      </c>
      <c r="G9" s="52" t="str">
        <f>HYPERLINK("#码值映射清单!B5150","YesNo")</f>
        <v>YesNo</v>
      </c>
      <c r="H9" s="15"/>
      <c r="I9" s="15" t="s">
        <v>528</v>
      </c>
      <c r="J9" s="15" t="s">
        <v>15991</v>
      </c>
    </row>
    <row r="10" spans="2:10">
      <c r="B10" s="15" t="s">
        <v>19516</v>
      </c>
      <c r="C10" s="15" t="s">
        <v>19522</v>
      </c>
      <c r="D10" s="15" t="s">
        <v>16087</v>
      </c>
      <c r="E10" s="15" t="s">
        <v>305</v>
      </c>
      <c r="F10" s="15" t="s">
        <v>19523</v>
      </c>
      <c r="G10" s="15"/>
      <c r="H10" s="15"/>
      <c r="I10" s="15" t="s">
        <v>528</v>
      </c>
      <c r="J10" s="15" t="s">
        <v>15991</v>
      </c>
    </row>
    <row r="11" spans="2:10">
      <c r="B11" s="15" t="s">
        <v>19516</v>
      </c>
      <c r="C11" s="15" t="s">
        <v>19524</v>
      </c>
      <c r="D11" s="15" t="s">
        <v>16115</v>
      </c>
      <c r="E11" s="15" t="s">
        <v>305</v>
      </c>
      <c r="F11" s="15" t="s">
        <v>19525</v>
      </c>
      <c r="G11" s="15"/>
      <c r="H11" s="15"/>
      <c r="I11" s="15" t="s">
        <v>528</v>
      </c>
      <c r="J11" s="15" t="s">
        <v>15991</v>
      </c>
    </row>
    <row r="12" spans="2:10">
      <c r="B12" s="15" t="s">
        <v>19516</v>
      </c>
      <c r="C12" s="15" t="s">
        <v>16179</v>
      </c>
      <c r="D12" s="15" t="s">
        <v>16087</v>
      </c>
      <c r="E12" s="15" t="s">
        <v>305</v>
      </c>
      <c r="F12" s="15" t="s">
        <v>16521</v>
      </c>
      <c r="G12" s="52" t="str">
        <f>HYPERLINK("#码值映射清单!B5447","CLControlType")</f>
        <v>CLControlType</v>
      </c>
      <c r="H12" s="15"/>
      <c r="I12" s="15" t="s">
        <v>528</v>
      </c>
      <c r="J12" s="15" t="s">
        <v>15991</v>
      </c>
    </row>
    <row r="13" spans="2:10">
      <c r="B13" s="15" t="s">
        <v>19516</v>
      </c>
      <c r="C13" s="15" t="s">
        <v>16181</v>
      </c>
      <c r="D13" s="15" t="s">
        <v>327</v>
      </c>
      <c r="E13" s="15" t="s">
        <v>305</v>
      </c>
      <c r="F13" s="15" t="s">
        <v>16522</v>
      </c>
      <c r="G13" s="52" t="str">
        <f>HYPERLINK("#码值映射清单!B7672","CLCycFlag")</f>
        <v>CLCycFlag</v>
      </c>
      <c r="H13" s="15"/>
      <c r="I13" s="15" t="s">
        <v>528</v>
      </c>
      <c r="J13" s="15" t="s">
        <v>15991</v>
      </c>
    </row>
    <row r="14" spans="2:10">
      <c r="B14" s="15" t="s">
        <v>19516</v>
      </c>
      <c r="C14" s="15" t="s">
        <v>16183</v>
      </c>
      <c r="D14" s="15" t="s">
        <v>327</v>
      </c>
      <c r="E14" s="15" t="s">
        <v>305</v>
      </c>
      <c r="F14" s="15" t="s">
        <v>16523</v>
      </c>
      <c r="G14" s="52" t="str">
        <f>HYPERLINK("#码值映射清单!B7275","CLCalMethod")</f>
        <v>CLCalMethod</v>
      </c>
      <c r="H14" s="15"/>
      <c r="I14" s="15" t="s">
        <v>528</v>
      </c>
      <c r="J14" s="15" t="s">
        <v>15991</v>
      </c>
    </row>
    <row r="15" spans="2:10">
      <c r="B15" s="15" t="s">
        <v>19516</v>
      </c>
      <c r="C15" s="15" t="s">
        <v>16185</v>
      </c>
      <c r="D15" s="15" t="s">
        <v>327</v>
      </c>
      <c r="E15" s="15" t="s">
        <v>305</v>
      </c>
      <c r="F15" s="15" t="s">
        <v>16524</v>
      </c>
      <c r="G15" s="52" t="str">
        <f>HYPERLINK("#码值映射清单!B4181","CLUseRule")</f>
        <v>CLUseRule</v>
      </c>
      <c r="H15" s="15"/>
      <c r="I15" s="15" t="s">
        <v>528</v>
      </c>
      <c r="J15" s="15" t="s">
        <v>15991</v>
      </c>
    </row>
    <row r="16" spans="2:10">
      <c r="B16" s="15" t="s">
        <v>19516</v>
      </c>
      <c r="C16" s="15" t="s">
        <v>16192</v>
      </c>
      <c r="D16" s="15" t="s">
        <v>327</v>
      </c>
      <c r="E16" s="15" t="s">
        <v>305</v>
      </c>
      <c r="F16" s="15" t="s">
        <v>16525</v>
      </c>
      <c r="G16" s="52" t="str">
        <f>HYPERLINK("#码值映射清单!B8988","CLDivideType")</f>
        <v>CLDivideType</v>
      </c>
      <c r="H16" s="15"/>
      <c r="I16" s="15" t="s">
        <v>528</v>
      </c>
      <c r="J16" s="15" t="s">
        <v>15991</v>
      </c>
    </row>
    <row r="17" spans="2:10">
      <c r="B17" s="15" t="s">
        <v>19516</v>
      </c>
      <c r="C17" s="15" t="s">
        <v>16187</v>
      </c>
      <c r="D17" s="15" t="s">
        <v>327</v>
      </c>
      <c r="E17" s="15" t="s">
        <v>305</v>
      </c>
      <c r="F17" s="15" t="s">
        <v>18435</v>
      </c>
      <c r="G17" s="52" t="str">
        <f>HYPERLINK("#码值映射清单!B2669","LimitShareType")</f>
        <v>LimitShareType</v>
      </c>
      <c r="H17" s="15"/>
      <c r="I17" s="15" t="s">
        <v>528</v>
      </c>
      <c r="J17" s="15" t="s">
        <v>15991</v>
      </c>
    </row>
    <row r="18" spans="2:10">
      <c r="B18" s="15" t="s">
        <v>19516</v>
      </c>
      <c r="C18" s="15" t="s">
        <v>16189</v>
      </c>
      <c r="D18" s="15" t="s">
        <v>327</v>
      </c>
      <c r="E18" s="15" t="s">
        <v>305</v>
      </c>
      <c r="F18" s="15" t="s">
        <v>18437</v>
      </c>
      <c r="G18" s="52" t="str">
        <f>HYPERLINK("#码值映射清单!B5150","YesNo")</f>
        <v>YesNo</v>
      </c>
      <c r="H18" s="15"/>
      <c r="I18" s="15" t="s">
        <v>528</v>
      </c>
      <c r="J18" s="15" t="s">
        <v>15991</v>
      </c>
    </row>
    <row r="19" spans="2:10">
      <c r="B19" s="15" t="s">
        <v>19516</v>
      </c>
      <c r="C19" s="15" t="s">
        <v>16479</v>
      </c>
      <c r="D19" s="15" t="s">
        <v>327</v>
      </c>
      <c r="E19" s="15" t="s">
        <v>305</v>
      </c>
      <c r="F19" s="15" t="s">
        <v>18439</v>
      </c>
      <c r="G19" s="15"/>
      <c r="H19" s="15"/>
      <c r="I19" s="15" t="s">
        <v>528</v>
      </c>
      <c r="J19" s="15" t="s">
        <v>15991</v>
      </c>
    </row>
    <row r="20" spans="2:10">
      <c r="B20" s="15" t="s">
        <v>19516</v>
      </c>
      <c r="C20" s="15" t="s">
        <v>16086</v>
      </c>
      <c r="D20" s="15" t="s">
        <v>327</v>
      </c>
      <c r="E20" s="15" t="s">
        <v>305</v>
      </c>
      <c r="F20" s="15" t="s">
        <v>301</v>
      </c>
      <c r="G20" s="15"/>
      <c r="H20" s="15"/>
      <c r="I20" s="15" t="s">
        <v>528</v>
      </c>
      <c r="J20" s="15" t="s">
        <v>15991</v>
      </c>
    </row>
    <row r="21" spans="2:10">
      <c r="B21" s="15" t="s">
        <v>19516</v>
      </c>
      <c r="C21" s="15" t="s">
        <v>19526</v>
      </c>
      <c r="D21" s="15" t="s">
        <v>327</v>
      </c>
      <c r="E21" s="15" t="s">
        <v>305</v>
      </c>
      <c r="F21" s="15" t="s">
        <v>19527</v>
      </c>
      <c r="G21" s="15"/>
      <c r="H21" s="15"/>
      <c r="I21" s="15" t="s">
        <v>528</v>
      </c>
      <c r="J21" s="15" t="s">
        <v>15991</v>
      </c>
    </row>
    <row r="22" spans="2:10">
      <c r="B22" s="15" t="s">
        <v>19516</v>
      </c>
      <c r="C22" s="15" t="s">
        <v>16765</v>
      </c>
      <c r="D22" s="15" t="s">
        <v>327</v>
      </c>
      <c r="E22" s="15" t="s">
        <v>305</v>
      </c>
      <c r="F22" s="15" t="s">
        <v>18441</v>
      </c>
      <c r="G22" s="15"/>
      <c r="H22" s="15"/>
      <c r="I22" s="15" t="s">
        <v>528</v>
      </c>
      <c r="J22" s="15" t="s">
        <v>15991</v>
      </c>
    </row>
    <row r="23" spans="2:10">
      <c r="B23" s="15" t="s">
        <v>19516</v>
      </c>
      <c r="C23" s="15" t="s">
        <v>16013</v>
      </c>
      <c r="D23" s="15" t="s">
        <v>371</v>
      </c>
      <c r="E23" s="15" t="s">
        <v>305</v>
      </c>
      <c r="F23" s="15" t="s">
        <v>16014</v>
      </c>
      <c r="G23" s="15"/>
      <c r="H23" s="15"/>
      <c r="I23" s="15" t="s">
        <v>528</v>
      </c>
      <c r="J23" s="15" t="s">
        <v>15991</v>
      </c>
    </row>
    <row r="24" spans="2:10">
      <c r="B24" s="15" t="s">
        <v>19516</v>
      </c>
      <c r="C24" s="15" t="s">
        <v>16019</v>
      </c>
      <c r="D24" s="15" t="s">
        <v>371</v>
      </c>
      <c r="E24" s="15" t="s">
        <v>305</v>
      </c>
      <c r="F24" s="15" t="s">
        <v>16020</v>
      </c>
      <c r="G24" s="15"/>
      <c r="H24" s="15"/>
      <c r="I24" s="15" t="s">
        <v>528</v>
      </c>
      <c r="J24" s="15" t="s">
        <v>15991</v>
      </c>
    </row>
    <row r="25" spans="2:10">
      <c r="B25" s="15" t="s">
        <v>19516</v>
      </c>
      <c r="C25" s="15" t="s">
        <v>16053</v>
      </c>
      <c r="D25" s="15" t="s">
        <v>316</v>
      </c>
      <c r="E25" s="15" t="s">
        <v>305</v>
      </c>
      <c r="F25" s="15" t="s">
        <v>16012</v>
      </c>
      <c r="G25" s="15"/>
      <c r="H25" s="15"/>
      <c r="I25" s="15" t="s">
        <v>528</v>
      </c>
      <c r="J25" s="15" t="s">
        <v>15991</v>
      </c>
    </row>
    <row r="26" spans="2:10">
      <c r="B26" s="15" t="s">
        <v>19516</v>
      </c>
      <c r="C26" s="15" t="s">
        <v>16241</v>
      </c>
      <c r="D26" s="15" t="s">
        <v>316</v>
      </c>
      <c r="E26" s="15" t="s">
        <v>305</v>
      </c>
      <c r="F26" s="15" t="s">
        <v>16010</v>
      </c>
      <c r="G26" s="15"/>
      <c r="H26" s="15"/>
      <c r="I26" s="15" t="s">
        <v>528</v>
      </c>
      <c r="J26" s="15" t="s">
        <v>15991</v>
      </c>
    </row>
    <row r="27" spans="2:10">
      <c r="B27" s="15" t="s">
        <v>19516</v>
      </c>
      <c r="C27" s="15" t="s">
        <v>16237</v>
      </c>
      <c r="D27" s="15" t="s">
        <v>371</v>
      </c>
      <c r="E27" s="15" t="s">
        <v>305</v>
      </c>
      <c r="F27" s="15" t="s">
        <v>16274</v>
      </c>
      <c r="G27" s="15"/>
      <c r="H27" s="15"/>
      <c r="I27" s="15" t="s">
        <v>528</v>
      </c>
      <c r="J27" s="15" t="s">
        <v>15991</v>
      </c>
    </row>
    <row r="28" spans="2:10">
      <c r="B28" s="15" t="s">
        <v>19516</v>
      </c>
      <c r="C28" s="15" t="s">
        <v>16243</v>
      </c>
      <c r="D28" s="15" t="s">
        <v>316</v>
      </c>
      <c r="E28" s="15" t="s">
        <v>305</v>
      </c>
      <c r="F28" s="15" t="s">
        <v>16018</v>
      </c>
      <c r="G28" s="15"/>
      <c r="H28" s="15"/>
      <c r="I28" s="15" t="s">
        <v>528</v>
      </c>
      <c r="J28" s="15" t="s">
        <v>15991</v>
      </c>
    </row>
    <row r="29" spans="2:10">
      <c r="B29" s="15" t="s">
        <v>19516</v>
      </c>
      <c r="C29" s="15" t="s">
        <v>16532</v>
      </c>
      <c r="D29" s="15" t="s">
        <v>316</v>
      </c>
      <c r="E29" s="15" t="s">
        <v>305</v>
      </c>
      <c r="F29" s="15" t="s">
        <v>16016</v>
      </c>
      <c r="G29" s="15"/>
      <c r="H29" s="15"/>
      <c r="I29" s="15" t="s">
        <v>528</v>
      </c>
      <c r="J29" s="15" t="s">
        <v>15991</v>
      </c>
    </row>
    <row r="30" spans="2:10">
      <c r="B30" s="15" t="s">
        <v>19516</v>
      </c>
      <c r="C30" s="15" t="s">
        <v>16239</v>
      </c>
      <c r="D30" s="15" t="s">
        <v>371</v>
      </c>
      <c r="E30" s="15" t="s">
        <v>305</v>
      </c>
      <c r="F30" s="15" t="s">
        <v>16236</v>
      </c>
      <c r="G30" s="15"/>
      <c r="H30" s="15"/>
      <c r="I30" s="15" t="s">
        <v>528</v>
      </c>
      <c r="J30" s="15" t="s">
        <v>15991</v>
      </c>
    </row>
  </sheetData>
  <pageMargins left="0.75" right="0.75" top="1" bottom="1" header="0.5" footer="0.5"/>
  <pageSetup paperSize="1" orientation="portrait" horizontalDpi="300" verticalDpi="300"/>
  <headerFooter alignWithMargins="0" scaleWithDoc="0"/>
</worksheet>
</file>

<file path=xl/worksheets/sheet1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5"/>
  <sheetViews>
    <sheetView zoomScaleSheetLayoutView="60" workbookViewId="0">
      <selection activeCell="B1" sqref="B1"/>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52" t="str">
        <f>HYPERLINK("#表结构清单!A1","返回")</f>
        <v>返回</v>
      </c>
      <c r="B1" t="s">
        <v>148</v>
      </c>
    </row>
    <row r="2" spans="2:10">
      <c r="B2" s="13" t="s">
        <v>15982</v>
      </c>
      <c r="C2" s="13" t="s">
        <v>297</v>
      </c>
      <c r="D2" s="13" t="s">
        <v>11870</v>
      </c>
      <c r="E2" s="13" t="s">
        <v>15983</v>
      </c>
      <c r="F2" s="13" t="s">
        <v>15984</v>
      </c>
      <c r="G2" s="13" t="s">
        <v>300</v>
      </c>
      <c r="H2" s="13" t="s">
        <v>301</v>
      </c>
      <c r="I2" s="13" t="s">
        <v>15985</v>
      </c>
      <c r="J2" s="13" t="s">
        <v>15986</v>
      </c>
    </row>
    <row r="3" spans="2:10">
      <c r="B3" s="15" t="s">
        <v>19528</v>
      </c>
      <c r="C3" s="15" t="s">
        <v>15988</v>
      </c>
      <c r="D3" s="15" t="s">
        <v>316</v>
      </c>
      <c r="E3" s="15" t="s">
        <v>15989</v>
      </c>
      <c r="F3" s="15" t="s">
        <v>16934</v>
      </c>
      <c r="G3" s="15"/>
      <c r="H3" s="15"/>
      <c r="I3" s="15" t="s">
        <v>528</v>
      </c>
      <c r="J3" s="15" t="s">
        <v>15991</v>
      </c>
    </row>
    <row r="4" spans="2:10">
      <c r="B4" s="15" t="s">
        <v>19528</v>
      </c>
      <c r="C4" s="15" t="s">
        <v>19529</v>
      </c>
      <c r="D4" s="15" t="s">
        <v>16056</v>
      </c>
      <c r="E4" s="15" t="s">
        <v>305</v>
      </c>
      <c r="F4" s="15" t="s">
        <v>19530</v>
      </c>
      <c r="G4" s="15"/>
      <c r="H4" s="15"/>
      <c r="I4" s="15" t="s">
        <v>528</v>
      </c>
      <c r="J4" s="15" t="s">
        <v>15991</v>
      </c>
    </row>
    <row r="5" spans="2:10">
      <c r="B5" s="15" t="s">
        <v>19528</v>
      </c>
      <c r="C5" s="15" t="s">
        <v>16086</v>
      </c>
      <c r="D5" s="15" t="s">
        <v>327</v>
      </c>
      <c r="E5" s="15" t="s">
        <v>305</v>
      </c>
      <c r="F5" s="15" t="s">
        <v>19531</v>
      </c>
      <c r="G5" s="15"/>
      <c r="H5" s="15"/>
      <c r="I5" s="15" t="s">
        <v>528</v>
      </c>
      <c r="J5" s="15" t="s">
        <v>15991</v>
      </c>
    </row>
    <row r="6" spans="2:10">
      <c r="B6" s="15" t="s">
        <v>19528</v>
      </c>
      <c r="C6" s="15" t="s">
        <v>512</v>
      </c>
      <c r="D6" s="15" t="s">
        <v>513</v>
      </c>
      <c r="E6" s="15" t="s">
        <v>305</v>
      </c>
      <c r="F6" s="15" t="s">
        <v>19532</v>
      </c>
      <c r="G6" s="15"/>
      <c r="H6" s="15"/>
      <c r="I6" s="15" t="s">
        <v>528</v>
      </c>
      <c r="J6" s="15" t="s">
        <v>15991</v>
      </c>
    </row>
    <row r="7" spans="2:10">
      <c r="B7" s="15" t="s">
        <v>19528</v>
      </c>
      <c r="C7" s="15" t="s">
        <v>19533</v>
      </c>
      <c r="D7" s="15" t="s">
        <v>371</v>
      </c>
      <c r="E7" s="15" t="s">
        <v>305</v>
      </c>
      <c r="F7" s="15" t="s">
        <v>16123</v>
      </c>
      <c r="G7" s="15"/>
      <c r="H7" s="15"/>
      <c r="I7" s="15" t="s">
        <v>528</v>
      </c>
      <c r="J7" s="15" t="s">
        <v>15991</v>
      </c>
    </row>
    <row r="8" spans="2:10">
      <c r="B8" s="15" t="s">
        <v>19528</v>
      </c>
      <c r="C8" s="15" t="s">
        <v>18481</v>
      </c>
      <c r="D8" s="15" t="s">
        <v>513</v>
      </c>
      <c r="E8" s="15" t="s">
        <v>305</v>
      </c>
      <c r="F8" s="15" t="s">
        <v>19534</v>
      </c>
      <c r="G8" s="15"/>
      <c r="H8" s="15"/>
      <c r="I8" s="15" t="s">
        <v>528</v>
      </c>
      <c r="J8" s="15" t="s">
        <v>15991</v>
      </c>
    </row>
    <row r="9" spans="2:10">
      <c r="B9" s="15" t="s">
        <v>19528</v>
      </c>
      <c r="C9" s="15" t="s">
        <v>19535</v>
      </c>
      <c r="D9" s="15" t="s">
        <v>16056</v>
      </c>
      <c r="E9" s="15" t="s">
        <v>305</v>
      </c>
      <c r="F9" s="15" t="s">
        <v>19536</v>
      </c>
      <c r="G9" s="15"/>
      <c r="H9" s="15"/>
      <c r="I9" s="15" t="s">
        <v>528</v>
      </c>
      <c r="J9" s="15" t="s">
        <v>15991</v>
      </c>
    </row>
    <row r="10" spans="2:10">
      <c r="B10" s="15" t="s">
        <v>19528</v>
      </c>
      <c r="C10" s="15" t="s">
        <v>16011</v>
      </c>
      <c r="D10" s="15" t="s">
        <v>316</v>
      </c>
      <c r="E10" s="15" t="s">
        <v>305</v>
      </c>
      <c r="F10" s="15" t="s">
        <v>16935</v>
      </c>
      <c r="G10" s="15"/>
      <c r="H10" s="15"/>
      <c r="I10" s="15" t="s">
        <v>528</v>
      </c>
      <c r="J10" s="15" t="s">
        <v>15991</v>
      </c>
    </row>
    <row r="11" spans="2:10">
      <c r="B11" s="15" t="s">
        <v>19528</v>
      </c>
      <c r="C11" s="15" t="s">
        <v>16009</v>
      </c>
      <c r="D11" s="15" t="s">
        <v>316</v>
      </c>
      <c r="E11" s="15" t="s">
        <v>305</v>
      </c>
      <c r="F11" s="15" t="s">
        <v>19537</v>
      </c>
      <c r="G11" s="15"/>
      <c r="H11" s="15"/>
      <c r="I11" s="15" t="s">
        <v>528</v>
      </c>
      <c r="J11" s="15" t="s">
        <v>15991</v>
      </c>
    </row>
    <row r="12" spans="2:10">
      <c r="B12" s="15" t="s">
        <v>19528</v>
      </c>
      <c r="C12" s="15" t="s">
        <v>16013</v>
      </c>
      <c r="D12" s="15" t="s">
        <v>371</v>
      </c>
      <c r="E12" s="15" t="s">
        <v>305</v>
      </c>
      <c r="F12" s="15" t="s">
        <v>16014</v>
      </c>
      <c r="G12" s="15"/>
      <c r="H12" s="15"/>
      <c r="I12" s="15" t="s">
        <v>528</v>
      </c>
      <c r="J12" s="15" t="s">
        <v>15991</v>
      </c>
    </row>
    <row r="13" spans="2:10">
      <c r="B13" s="15" t="s">
        <v>19528</v>
      </c>
      <c r="C13" s="15" t="s">
        <v>16017</v>
      </c>
      <c r="D13" s="15" t="s">
        <v>316</v>
      </c>
      <c r="E13" s="15" t="s">
        <v>305</v>
      </c>
      <c r="F13" s="15" t="s">
        <v>19538</v>
      </c>
      <c r="G13" s="15"/>
      <c r="H13" s="15"/>
      <c r="I13" s="15" t="s">
        <v>528</v>
      </c>
      <c r="J13" s="15" t="s">
        <v>15991</v>
      </c>
    </row>
    <row r="14" spans="2:10">
      <c r="B14" s="15" t="s">
        <v>19528</v>
      </c>
      <c r="C14" s="15" t="s">
        <v>16015</v>
      </c>
      <c r="D14" s="15" t="s">
        <v>316</v>
      </c>
      <c r="E14" s="15" t="s">
        <v>305</v>
      </c>
      <c r="F14" s="15" t="s">
        <v>19539</v>
      </c>
      <c r="G14" s="15"/>
      <c r="H14" s="15"/>
      <c r="I14" s="15" t="s">
        <v>528</v>
      </c>
      <c r="J14" s="15" t="s">
        <v>15991</v>
      </c>
    </row>
    <row r="15" spans="2:10">
      <c r="B15" s="15" t="s">
        <v>19528</v>
      </c>
      <c r="C15" s="15" t="s">
        <v>16019</v>
      </c>
      <c r="D15" s="15" t="s">
        <v>371</v>
      </c>
      <c r="E15" s="15" t="s">
        <v>305</v>
      </c>
      <c r="F15" s="15" t="s">
        <v>16020</v>
      </c>
      <c r="G15" s="15"/>
      <c r="H15" s="15"/>
      <c r="I15" s="15" t="s">
        <v>528</v>
      </c>
      <c r="J15" s="15" t="s">
        <v>15991</v>
      </c>
    </row>
  </sheetData>
  <pageMargins left="0.75" right="0.75" top="1" bottom="1" header="0.5" footer="0.5"/>
  <pageSetup paperSize="1" orientation="portrait" horizontalDpi="300" verticalDpi="300"/>
  <headerFooter alignWithMargins="0" scaleWithDoc="0"/>
</worksheet>
</file>

<file path=xl/worksheets/sheet1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7"/>
  <sheetViews>
    <sheetView zoomScaleSheetLayoutView="60" workbookViewId="0">
      <selection activeCell="D32" sqref="D32"/>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52" t="str">
        <f>HYPERLINK("#表结构清单!A1","返回")</f>
        <v>返回</v>
      </c>
      <c r="B1" t="s">
        <v>147</v>
      </c>
    </row>
    <row r="2" spans="2:10">
      <c r="B2" s="13" t="s">
        <v>15982</v>
      </c>
      <c r="C2" s="13" t="s">
        <v>297</v>
      </c>
      <c r="D2" s="13" t="s">
        <v>11870</v>
      </c>
      <c r="E2" s="13" t="s">
        <v>15983</v>
      </c>
      <c r="F2" s="13" t="s">
        <v>15984</v>
      </c>
      <c r="G2" s="13" t="s">
        <v>300</v>
      </c>
      <c r="H2" s="13" t="s">
        <v>301</v>
      </c>
      <c r="I2" s="13" t="s">
        <v>15985</v>
      </c>
      <c r="J2" s="13" t="s">
        <v>15986</v>
      </c>
    </row>
    <row r="3" spans="2:10">
      <c r="B3" s="15" t="s">
        <v>19540</v>
      </c>
      <c r="C3" s="15" t="s">
        <v>15988</v>
      </c>
      <c r="D3" s="15" t="s">
        <v>316</v>
      </c>
      <c r="E3" s="15" t="s">
        <v>15989</v>
      </c>
      <c r="F3" s="15" t="s">
        <v>15990</v>
      </c>
      <c r="G3" s="15"/>
      <c r="H3" s="15"/>
      <c r="I3" s="15" t="s">
        <v>528</v>
      </c>
      <c r="J3" s="15" t="s">
        <v>15991</v>
      </c>
    </row>
    <row r="4" spans="2:10">
      <c r="B4" s="15" t="s">
        <v>19540</v>
      </c>
      <c r="C4" s="15" t="s">
        <v>19541</v>
      </c>
      <c r="D4" s="15" t="s">
        <v>506</v>
      </c>
      <c r="E4" s="15" t="s">
        <v>305</v>
      </c>
      <c r="F4" s="15" t="s">
        <v>16564</v>
      </c>
      <c r="G4" s="15"/>
      <c r="H4" s="15"/>
      <c r="I4" s="15" t="s">
        <v>528</v>
      </c>
      <c r="J4" s="15" t="s">
        <v>15991</v>
      </c>
    </row>
    <row r="5" spans="2:10">
      <c r="B5" s="15" t="s">
        <v>19540</v>
      </c>
      <c r="C5" s="15" t="s">
        <v>16325</v>
      </c>
      <c r="D5" s="15" t="s">
        <v>316</v>
      </c>
      <c r="E5" s="15" t="s">
        <v>305</v>
      </c>
      <c r="F5" s="15" t="s">
        <v>16326</v>
      </c>
      <c r="G5" s="15"/>
      <c r="H5" s="15"/>
      <c r="I5" s="15" t="s">
        <v>528</v>
      </c>
      <c r="J5" s="15" t="s">
        <v>15991</v>
      </c>
    </row>
    <row r="6" spans="2:10">
      <c r="B6" s="15" t="s">
        <v>19540</v>
      </c>
      <c r="C6" s="15" t="s">
        <v>16508</v>
      </c>
      <c r="D6" s="15" t="s">
        <v>327</v>
      </c>
      <c r="E6" s="15" t="s">
        <v>305</v>
      </c>
      <c r="F6" s="15" t="s">
        <v>16642</v>
      </c>
      <c r="G6" s="15"/>
      <c r="H6" s="15"/>
      <c r="I6" s="15" t="s">
        <v>528</v>
      </c>
      <c r="J6" s="15" t="s">
        <v>15991</v>
      </c>
    </row>
    <row r="7" spans="2:10">
      <c r="B7" s="15" t="s">
        <v>19540</v>
      </c>
      <c r="C7" s="15" t="s">
        <v>16009</v>
      </c>
      <c r="D7" s="15" t="s">
        <v>316</v>
      </c>
      <c r="E7" s="15" t="s">
        <v>305</v>
      </c>
      <c r="F7" s="15" t="s">
        <v>16010</v>
      </c>
      <c r="G7" s="15"/>
      <c r="H7" s="15"/>
      <c r="I7" s="15" t="s">
        <v>528</v>
      </c>
      <c r="J7" s="15" t="s">
        <v>15991</v>
      </c>
    </row>
    <row r="8" spans="2:10">
      <c r="B8" s="15" t="s">
        <v>19540</v>
      </c>
      <c r="C8" s="15" t="s">
        <v>16011</v>
      </c>
      <c r="D8" s="15" t="s">
        <v>316</v>
      </c>
      <c r="E8" s="15" t="s">
        <v>305</v>
      </c>
      <c r="F8" s="15" t="s">
        <v>16012</v>
      </c>
      <c r="G8" s="15"/>
      <c r="H8" s="15"/>
      <c r="I8" s="15" t="s">
        <v>528</v>
      </c>
      <c r="J8" s="15" t="s">
        <v>15991</v>
      </c>
    </row>
    <row r="9" spans="2:10">
      <c r="B9" s="15" t="s">
        <v>19540</v>
      </c>
      <c r="C9" s="15" t="s">
        <v>16013</v>
      </c>
      <c r="D9" s="15" t="s">
        <v>371</v>
      </c>
      <c r="E9" s="15" t="s">
        <v>305</v>
      </c>
      <c r="F9" s="15" t="s">
        <v>16014</v>
      </c>
      <c r="G9" s="15"/>
      <c r="H9" s="15"/>
      <c r="I9" s="15" t="s">
        <v>528</v>
      </c>
      <c r="J9" s="15" t="s">
        <v>15991</v>
      </c>
    </row>
    <row r="10" spans="2:10">
      <c r="B10" s="15" t="s">
        <v>19540</v>
      </c>
      <c r="C10" s="15" t="s">
        <v>16015</v>
      </c>
      <c r="D10" s="15" t="s">
        <v>316</v>
      </c>
      <c r="E10" s="15" t="s">
        <v>305</v>
      </c>
      <c r="F10" s="15" t="s">
        <v>16016</v>
      </c>
      <c r="G10" s="15"/>
      <c r="H10" s="15"/>
      <c r="I10" s="15" t="s">
        <v>528</v>
      </c>
      <c r="J10" s="15" t="s">
        <v>15991</v>
      </c>
    </row>
    <row r="11" spans="2:10">
      <c r="B11" s="15" t="s">
        <v>19540</v>
      </c>
      <c r="C11" s="15" t="s">
        <v>16017</v>
      </c>
      <c r="D11" s="15" t="s">
        <v>316</v>
      </c>
      <c r="E11" s="15" t="s">
        <v>305</v>
      </c>
      <c r="F11" s="15" t="s">
        <v>16018</v>
      </c>
      <c r="G11" s="15"/>
      <c r="H11" s="15"/>
      <c r="I11" s="15" t="s">
        <v>528</v>
      </c>
      <c r="J11" s="15" t="s">
        <v>15991</v>
      </c>
    </row>
    <row r="12" spans="2:10">
      <c r="B12" s="15" t="s">
        <v>19540</v>
      </c>
      <c r="C12" s="15" t="s">
        <v>16019</v>
      </c>
      <c r="D12" s="15" t="s">
        <v>371</v>
      </c>
      <c r="E12" s="15" t="s">
        <v>305</v>
      </c>
      <c r="F12" s="15" t="s">
        <v>16020</v>
      </c>
      <c r="G12" s="15"/>
      <c r="H12" s="15"/>
      <c r="I12" s="15" t="s">
        <v>528</v>
      </c>
      <c r="J12" s="15" t="s">
        <v>15991</v>
      </c>
    </row>
    <row r="13" spans="2:10">
      <c r="B13" s="15" t="s">
        <v>19540</v>
      </c>
      <c r="C13" s="15" t="s">
        <v>16493</v>
      </c>
      <c r="D13" s="15" t="s">
        <v>316</v>
      </c>
      <c r="E13" s="15" t="s">
        <v>305</v>
      </c>
      <c r="F13" s="15" t="s">
        <v>19542</v>
      </c>
      <c r="G13" s="15"/>
      <c r="H13" s="15"/>
      <c r="I13" s="15" t="s">
        <v>528</v>
      </c>
      <c r="J13" s="15" t="s">
        <v>15991</v>
      </c>
    </row>
    <row r="14" spans="2:10">
      <c r="B14" s="15" t="s">
        <v>19540</v>
      </c>
      <c r="C14" s="15" t="s">
        <v>16088</v>
      </c>
      <c r="D14" s="15" t="s">
        <v>316</v>
      </c>
      <c r="E14" s="15" t="s">
        <v>305</v>
      </c>
      <c r="F14" s="15" t="s">
        <v>16089</v>
      </c>
      <c r="G14" s="15"/>
      <c r="H14" s="15"/>
      <c r="I14" s="15" t="s">
        <v>528</v>
      </c>
      <c r="J14" s="15" t="s">
        <v>15991</v>
      </c>
    </row>
    <row r="15" spans="2:10">
      <c r="B15" s="15" t="s">
        <v>19540</v>
      </c>
      <c r="C15" s="15" t="s">
        <v>16579</v>
      </c>
      <c r="D15" s="15" t="s">
        <v>316</v>
      </c>
      <c r="E15" s="15" t="s">
        <v>305</v>
      </c>
      <c r="F15" s="15" t="s">
        <v>19543</v>
      </c>
      <c r="G15" s="15"/>
      <c r="H15" s="15"/>
      <c r="I15" s="15" t="s">
        <v>528</v>
      </c>
      <c r="J15" s="15" t="s">
        <v>15991</v>
      </c>
    </row>
    <row r="16" spans="2:10">
      <c r="B16" s="15" t="s">
        <v>19540</v>
      </c>
      <c r="C16" s="15" t="s">
        <v>16581</v>
      </c>
      <c r="D16" s="15" t="s">
        <v>316</v>
      </c>
      <c r="E16" s="15" t="s">
        <v>305</v>
      </c>
      <c r="F16" s="15" t="s">
        <v>19544</v>
      </c>
      <c r="G16" s="15"/>
      <c r="H16" s="15"/>
      <c r="I16" s="15" t="s">
        <v>528</v>
      </c>
      <c r="J16" s="15" t="s">
        <v>15991</v>
      </c>
    </row>
    <row r="17" spans="2:10">
      <c r="B17" s="15" t="s">
        <v>19540</v>
      </c>
      <c r="C17" s="15" t="s">
        <v>19545</v>
      </c>
      <c r="D17" s="15" t="s">
        <v>16115</v>
      </c>
      <c r="E17" s="15" t="s">
        <v>305</v>
      </c>
      <c r="F17" s="15" t="s">
        <v>19546</v>
      </c>
      <c r="G17" s="15"/>
      <c r="H17" s="15"/>
      <c r="I17" s="15" t="s">
        <v>528</v>
      </c>
      <c r="J17" s="15" t="s">
        <v>15991</v>
      </c>
    </row>
  </sheetData>
  <pageMargins left="0.75" right="0.75" top="1" bottom="1" header="0.5" footer="0.5"/>
  <pageSetup paperSize="1" orientation="portrait" horizontalDpi="300" verticalDpi="300"/>
  <headerFooter alignWithMargins="0" scaleWithDoc="0"/>
</worksheet>
</file>

<file path=xl/worksheets/sheet1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2"/>
  <sheetViews>
    <sheetView zoomScaleSheetLayoutView="60" workbookViewId="0">
      <selection activeCell="F11" sqref="F11"/>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52" t="str">
        <f>HYPERLINK("#表结构清单!A1","返回")</f>
        <v>返回</v>
      </c>
      <c r="B1" t="s">
        <v>156</v>
      </c>
    </row>
    <row r="2" spans="2:10">
      <c r="B2" s="13" t="s">
        <v>15982</v>
      </c>
      <c r="C2" s="13" t="s">
        <v>297</v>
      </c>
      <c r="D2" s="13" t="s">
        <v>11870</v>
      </c>
      <c r="E2" s="13" t="s">
        <v>15983</v>
      </c>
      <c r="F2" s="13" t="s">
        <v>15984</v>
      </c>
      <c r="G2" s="13" t="s">
        <v>300</v>
      </c>
      <c r="H2" s="13" t="s">
        <v>301</v>
      </c>
      <c r="I2" s="13" t="s">
        <v>15985</v>
      </c>
      <c r="J2" s="13" t="s">
        <v>15986</v>
      </c>
    </row>
    <row r="3" spans="2:10">
      <c r="B3" s="15" t="s">
        <v>19547</v>
      </c>
      <c r="C3" s="15" t="s">
        <v>19548</v>
      </c>
      <c r="D3" s="15" t="s">
        <v>316</v>
      </c>
      <c r="E3" s="15" t="s">
        <v>15989</v>
      </c>
      <c r="F3" s="15" t="s">
        <v>19549</v>
      </c>
      <c r="G3" s="15"/>
      <c r="H3" s="15"/>
      <c r="I3" s="15" t="s">
        <v>528</v>
      </c>
      <c r="J3" s="15" t="s">
        <v>15991</v>
      </c>
    </row>
    <row r="4" spans="2:10">
      <c r="B4" s="15" t="s">
        <v>19547</v>
      </c>
      <c r="C4" s="15" t="s">
        <v>19550</v>
      </c>
      <c r="D4" s="15" t="s">
        <v>506</v>
      </c>
      <c r="E4" s="15" t="s">
        <v>305</v>
      </c>
      <c r="F4" s="15" t="s">
        <v>19551</v>
      </c>
      <c r="G4" s="15"/>
      <c r="H4" s="15"/>
      <c r="I4" s="15" t="s">
        <v>528</v>
      </c>
      <c r="J4" s="15" t="s">
        <v>15991</v>
      </c>
    </row>
    <row r="5" spans="2:10">
      <c r="B5" s="15" t="s">
        <v>19547</v>
      </c>
      <c r="C5" s="15" t="s">
        <v>16126</v>
      </c>
      <c r="D5" s="15" t="s">
        <v>321</v>
      </c>
      <c r="E5" s="15" t="s">
        <v>305</v>
      </c>
      <c r="F5" s="15" t="s">
        <v>905</v>
      </c>
      <c r="G5" s="15"/>
      <c r="H5" s="15"/>
      <c r="I5" s="15" t="s">
        <v>528</v>
      </c>
      <c r="J5" s="15" t="s">
        <v>15991</v>
      </c>
    </row>
    <row r="6" spans="2:10">
      <c r="B6" s="15" t="s">
        <v>19547</v>
      </c>
      <c r="C6" s="15" t="s">
        <v>16011</v>
      </c>
      <c r="D6" s="15" t="s">
        <v>316</v>
      </c>
      <c r="E6" s="15" t="s">
        <v>305</v>
      </c>
      <c r="F6" s="15" t="s">
        <v>16012</v>
      </c>
      <c r="G6" s="15"/>
      <c r="H6" s="15"/>
      <c r="I6" s="15" t="s">
        <v>528</v>
      </c>
      <c r="J6" s="15" t="s">
        <v>15991</v>
      </c>
    </row>
    <row r="7" spans="2:10">
      <c r="B7" s="15" t="s">
        <v>19547</v>
      </c>
      <c r="C7" s="15" t="s">
        <v>16013</v>
      </c>
      <c r="D7" s="15" t="s">
        <v>17036</v>
      </c>
      <c r="E7" s="15" t="s">
        <v>305</v>
      </c>
      <c r="F7" s="15" t="s">
        <v>16014</v>
      </c>
      <c r="G7" s="15"/>
      <c r="H7" s="15"/>
      <c r="I7" s="15" t="s">
        <v>528</v>
      </c>
      <c r="J7" s="15" t="s">
        <v>15991</v>
      </c>
    </row>
    <row r="8" spans="2:10">
      <c r="B8" s="15" t="s">
        <v>19547</v>
      </c>
      <c r="C8" s="15" t="s">
        <v>16009</v>
      </c>
      <c r="D8" s="15" t="s">
        <v>316</v>
      </c>
      <c r="E8" s="15" t="s">
        <v>305</v>
      </c>
      <c r="F8" s="15" t="s">
        <v>16010</v>
      </c>
      <c r="G8" s="15"/>
      <c r="H8" s="15"/>
      <c r="I8" s="15" t="s">
        <v>528</v>
      </c>
      <c r="J8" s="15" t="s">
        <v>15991</v>
      </c>
    </row>
    <row r="9" spans="2:10">
      <c r="B9" s="15" t="s">
        <v>19547</v>
      </c>
      <c r="C9" s="15" t="s">
        <v>16017</v>
      </c>
      <c r="D9" s="15" t="s">
        <v>316</v>
      </c>
      <c r="E9" s="15" t="s">
        <v>305</v>
      </c>
      <c r="F9" s="15" t="s">
        <v>16018</v>
      </c>
      <c r="G9" s="15"/>
      <c r="H9" s="15"/>
      <c r="I9" s="15" t="s">
        <v>528</v>
      </c>
      <c r="J9" s="15" t="s">
        <v>15991</v>
      </c>
    </row>
    <row r="10" spans="2:10">
      <c r="B10" s="15" t="s">
        <v>19547</v>
      </c>
      <c r="C10" s="15" t="s">
        <v>16019</v>
      </c>
      <c r="D10" s="15" t="s">
        <v>17036</v>
      </c>
      <c r="E10" s="15" t="s">
        <v>305</v>
      </c>
      <c r="F10" s="15" t="s">
        <v>16020</v>
      </c>
      <c r="G10" s="15"/>
      <c r="H10" s="15"/>
      <c r="I10" s="15" t="s">
        <v>528</v>
      </c>
      <c r="J10" s="15" t="s">
        <v>15991</v>
      </c>
    </row>
    <row r="11" spans="2:10">
      <c r="B11" s="15" t="s">
        <v>19547</v>
      </c>
      <c r="C11" s="15" t="s">
        <v>16015</v>
      </c>
      <c r="D11" s="15" t="s">
        <v>316</v>
      </c>
      <c r="E11" s="15" t="s">
        <v>305</v>
      </c>
      <c r="F11" s="15" t="s">
        <v>16016</v>
      </c>
      <c r="G11" s="15"/>
      <c r="H11" s="15"/>
      <c r="I11" s="15" t="s">
        <v>528</v>
      </c>
      <c r="J11" s="15" t="s">
        <v>15991</v>
      </c>
    </row>
    <row r="12" spans="2:10">
      <c r="B12" s="15" t="s">
        <v>19547</v>
      </c>
      <c r="C12" s="15" t="s">
        <v>19552</v>
      </c>
      <c r="D12" s="15" t="s">
        <v>316</v>
      </c>
      <c r="E12" s="15" t="s">
        <v>305</v>
      </c>
      <c r="F12" s="15" t="s">
        <v>19553</v>
      </c>
      <c r="G12" s="15"/>
      <c r="H12" s="15"/>
      <c r="I12" s="15" t="s">
        <v>528</v>
      </c>
      <c r="J12" s="15" t="s">
        <v>15991</v>
      </c>
    </row>
  </sheetData>
  <pageMargins left="0.75" right="0.75" top="1" bottom="1" header="0.5" footer="0.5"/>
  <pageSetup paperSize="1" orientation="portrait" horizontalDpi="300" verticalDpi="300"/>
  <headerFooter alignWithMargins="0" scaleWithDoc="0"/>
</worksheet>
</file>

<file path=xl/worksheets/sheet1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3"/>
  <sheetViews>
    <sheetView zoomScaleSheetLayoutView="60" workbookViewId="0">
      <selection activeCell="D23" sqref="D23"/>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52" t="str">
        <f>HYPERLINK("#表结构清单!A1","返回")</f>
        <v>返回</v>
      </c>
      <c r="B1" t="s">
        <v>19554</v>
      </c>
    </row>
    <row r="2" spans="2:10">
      <c r="B2" s="13" t="s">
        <v>15982</v>
      </c>
      <c r="C2" s="13" t="s">
        <v>297</v>
      </c>
      <c r="D2" s="13" t="s">
        <v>11870</v>
      </c>
      <c r="E2" s="13" t="s">
        <v>15983</v>
      </c>
      <c r="F2" s="13" t="s">
        <v>15984</v>
      </c>
      <c r="G2" s="13" t="s">
        <v>300</v>
      </c>
      <c r="H2" s="13" t="s">
        <v>301</v>
      </c>
      <c r="I2" s="13" t="s">
        <v>15985</v>
      </c>
      <c r="J2" s="13" t="s">
        <v>15986</v>
      </c>
    </row>
    <row r="3" spans="2:10">
      <c r="B3" s="15" t="s">
        <v>19555</v>
      </c>
      <c r="C3" s="15" t="s">
        <v>19556</v>
      </c>
      <c r="D3" s="15" t="s">
        <v>316</v>
      </c>
      <c r="E3" s="15" t="s">
        <v>15989</v>
      </c>
      <c r="F3" s="15" t="s">
        <v>16930</v>
      </c>
      <c r="G3" s="15"/>
      <c r="H3" s="15"/>
      <c r="I3" s="15" t="s">
        <v>528</v>
      </c>
      <c r="J3" s="15" t="s">
        <v>15991</v>
      </c>
    </row>
    <row r="4" spans="2:10">
      <c r="B4" s="15" t="s">
        <v>19555</v>
      </c>
      <c r="C4" s="15" t="s">
        <v>16174</v>
      </c>
      <c r="D4" s="15" t="s">
        <v>327</v>
      </c>
      <c r="E4" s="15" t="s">
        <v>305</v>
      </c>
      <c r="F4" s="15" t="s">
        <v>16643</v>
      </c>
      <c r="G4" s="15"/>
      <c r="H4" s="15"/>
      <c r="I4" s="15" t="s">
        <v>528</v>
      </c>
      <c r="J4" s="15" t="s">
        <v>15991</v>
      </c>
    </row>
    <row r="5" spans="2:10">
      <c r="B5" s="15" t="s">
        <v>19555</v>
      </c>
      <c r="C5" s="15" t="s">
        <v>16913</v>
      </c>
      <c r="D5" s="15" t="s">
        <v>367</v>
      </c>
      <c r="E5" s="15" t="s">
        <v>305</v>
      </c>
      <c r="F5" s="15" t="s">
        <v>16914</v>
      </c>
      <c r="G5" s="15"/>
      <c r="H5" s="15"/>
      <c r="I5" s="15" t="s">
        <v>528</v>
      </c>
      <c r="J5" s="15" t="s">
        <v>15991</v>
      </c>
    </row>
    <row r="6" spans="2:10">
      <c r="B6" s="15" t="s">
        <v>19555</v>
      </c>
      <c r="C6" s="15" t="s">
        <v>16915</v>
      </c>
      <c r="D6" s="15" t="s">
        <v>316</v>
      </c>
      <c r="E6" s="15" t="s">
        <v>305</v>
      </c>
      <c r="F6" s="15" t="s">
        <v>16916</v>
      </c>
      <c r="G6" s="15"/>
      <c r="H6" s="15"/>
      <c r="I6" s="15" t="s">
        <v>528</v>
      </c>
      <c r="J6" s="15" t="s">
        <v>15991</v>
      </c>
    </row>
    <row r="7" spans="2:10">
      <c r="B7" s="15" t="s">
        <v>19555</v>
      </c>
      <c r="C7" s="15" t="s">
        <v>19557</v>
      </c>
      <c r="D7" s="15" t="s">
        <v>316</v>
      </c>
      <c r="E7" s="15" t="s">
        <v>305</v>
      </c>
      <c r="F7" s="15" t="s">
        <v>19558</v>
      </c>
      <c r="G7" s="15"/>
      <c r="H7" s="15"/>
      <c r="I7" s="15" t="s">
        <v>528</v>
      </c>
      <c r="J7" s="15" t="s">
        <v>15991</v>
      </c>
    </row>
    <row r="8" spans="2:10">
      <c r="B8" s="15" t="s">
        <v>19555</v>
      </c>
      <c r="C8" s="15" t="s">
        <v>16086</v>
      </c>
      <c r="D8" s="15" t="s">
        <v>327</v>
      </c>
      <c r="E8" s="15" t="s">
        <v>305</v>
      </c>
      <c r="F8" s="15" t="s">
        <v>301</v>
      </c>
      <c r="G8" s="15"/>
      <c r="H8" s="15"/>
      <c r="I8" s="15" t="s">
        <v>528</v>
      </c>
      <c r="J8" s="15" t="s">
        <v>15991</v>
      </c>
    </row>
    <row r="9" spans="2:10">
      <c r="B9" s="15" t="s">
        <v>19555</v>
      </c>
      <c r="C9" s="15" t="s">
        <v>16210</v>
      </c>
      <c r="D9" s="15" t="s">
        <v>367</v>
      </c>
      <c r="E9" s="15" t="s">
        <v>305</v>
      </c>
      <c r="F9" s="15" t="s">
        <v>16819</v>
      </c>
      <c r="G9" s="15"/>
      <c r="H9" s="15"/>
      <c r="I9" s="15" t="s">
        <v>528</v>
      </c>
      <c r="J9" s="15" t="s">
        <v>15991</v>
      </c>
    </row>
    <row r="10" spans="2:10">
      <c r="B10" s="15" t="s">
        <v>19555</v>
      </c>
      <c r="C10" s="15" t="s">
        <v>16925</v>
      </c>
      <c r="D10" s="15" t="s">
        <v>327</v>
      </c>
      <c r="E10" s="15" t="s">
        <v>305</v>
      </c>
      <c r="F10" s="15" t="s">
        <v>19559</v>
      </c>
      <c r="G10" s="15"/>
      <c r="H10" s="15"/>
      <c r="I10" s="15" t="s">
        <v>528</v>
      </c>
      <c r="J10" s="15" t="s">
        <v>15991</v>
      </c>
    </row>
    <row r="11" spans="2:10">
      <c r="B11" s="15" t="s">
        <v>19555</v>
      </c>
      <c r="C11" s="15" t="s">
        <v>16927</v>
      </c>
      <c r="D11" s="15" t="s">
        <v>316</v>
      </c>
      <c r="E11" s="15" t="s">
        <v>305</v>
      </c>
      <c r="F11" s="15" t="s">
        <v>19560</v>
      </c>
      <c r="G11" s="15"/>
      <c r="H11" s="15"/>
      <c r="I11" s="15" t="s">
        <v>528</v>
      </c>
      <c r="J11" s="15" t="s">
        <v>15991</v>
      </c>
    </row>
    <row r="12" spans="2:10">
      <c r="B12" s="15" t="s">
        <v>19555</v>
      </c>
      <c r="C12" s="15" t="s">
        <v>16483</v>
      </c>
      <c r="D12" s="15" t="s">
        <v>316</v>
      </c>
      <c r="E12" s="15" t="s">
        <v>305</v>
      </c>
      <c r="F12" s="15" t="s">
        <v>9239</v>
      </c>
      <c r="G12" s="15"/>
      <c r="H12" s="15"/>
      <c r="I12" s="15" t="s">
        <v>528</v>
      </c>
      <c r="J12" s="15" t="s">
        <v>15991</v>
      </c>
    </row>
    <row r="13" spans="2:10">
      <c r="B13" s="15" t="s">
        <v>19555</v>
      </c>
      <c r="C13" s="15" t="s">
        <v>16484</v>
      </c>
      <c r="D13" s="15" t="s">
        <v>316</v>
      </c>
      <c r="E13" s="15" t="s">
        <v>305</v>
      </c>
      <c r="F13" s="15" t="s">
        <v>16762</v>
      </c>
      <c r="G13" s="15"/>
      <c r="H13" s="15"/>
      <c r="I13" s="15" t="s">
        <v>528</v>
      </c>
      <c r="J13" s="15" t="s">
        <v>15991</v>
      </c>
    </row>
    <row r="14" spans="2:10">
      <c r="B14" s="15" t="s">
        <v>19555</v>
      </c>
      <c r="C14" s="15" t="s">
        <v>16781</v>
      </c>
      <c r="D14" s="15" t="s">
        <v>371</v>
      </c>
      <c r="E14" s="15" t="s">
        <v>305</v>
      </c>
      <c r="F14" s="15" t="s">
        <v>19561</v>
      </c>
      <c r="G14" s="15"/>
      <c r="H14" s="15"/>
      <c r="I14" s="15" t="s">
        <v>528</v>
      </c>
      <c r="J14" s="15" t="s">
        <v>15991</v>
      </c>
    </row>
    <row r="15" spans="2:10">
      <c r="B15" s="15" t="s">
        <v>19555</v>
      </c>
      <c r="C15" s="15" t="s">
        <v>16782</v>
      </c>
      <c r="D15" s="15" t="s">
        <v>371</v>
      </c>
      <c r="E15" s="15" t="s">
        <v>305</v>
      </c>
      <c r="F15" s="15" t="s">
        <v>19562</v>
      </c>
      <c r="G15" s="15"/>
      <c r="H15" s="15"/>
      <c r="I15" s="15" t="s">
        <v>528</v>
      </c>
      <c r="J15" s="15" t="s">
        <v>15991</v>
      </c>
    </row>
    <row r="16" spans="2:10">
      <c r="B16" s="15" t="s">
        <v>19555</v>
      </c>
      <c r="C16" s="15" t="s">
        <v>16009</v>
      </c>
      <c r="D16" s="15" t="s">
        <v>316</v>
      </c>
      <c r="E16" s="15" t="s">
        <v>305</v>
      </c>
      <c r="F16" s="15" t="s">
        <v>16010</v>
      </c>
      <c r="G16" s="15"/>
      <c r="H16" s="15"/>
      <c r="I16" s="15" t="s">
        <v>528</v>
      </c>
      <c r="J16" s="15" t="s">
        <v>15991</v>
      </c>
    </row>
    <row r="17" spans="2:10">
      <c r="B17" s="15" t="s">
        <v>19555</v>
      </c>
      <c r="C17" s="15" t="s">
        <v>16011</v>
      </c>
      <c r="D17" s="15" t="s">
        <v>316</v>
      </c>
      <c r="E17" s="15" t="s">
        <v>305</v>
      </c>
      <c r="F17" s="15" t="s">
        <v>16012</v>
      </c>
      <c r="G17" s="15"/>
      <c r="H17" s="15"/>
      <c r="I17" s="15" t="s">
        <v>528</v>
      </c>
      <c r="J17" s="15" t="s">
        <v>15991</v>
      </c>
    </row>
    <row r="18" spans="2:10">
      <c r="B18" s="15" t="s">
        <v>19555</v>
      </c>
      <c r="C18" s="15" t="s">
        <v>16013</v>
      </c>
      <c r="D18" s="15" t="s">
        <v>371</v>
      </c>
      <c r="E18" s="15" t="s">
        <v>305</v>
      </c>
      <c r="F18" s="15" t="s">
        <v>16014</v>
      </c>
      <c r="G18" s="15"/>
      <c r="H18" s="15"/>
      <c r="I18" s="15" t="s">
        <v>528</v>
      </c>
      <c r="J18" s="15" t="s">
        <v>15991</v>
      </c>
    </row>
    <row r="19" spans="2:10">
      <c r="B19" s="15" t="s">
        <v>19555</v>
      </c>
      <c r="C19" s="15" t="s">
        <v>16015</v>
      </c>
      <c r="D19" s="15" t="s">
        <v>316</v>
      </c>
      <c r="E19" s="15" t="s">
        <v>305</v>
      </c>
      <c r="F19" s="15" t="s">
        <v>16016</v>
      </c>
      <c r="G19" s="15"/>
      <c r="H19" s="15"/>
      <c r="I19" s="15" t="s">
        <v>528</v>
      </c>
      <c r="J19" s="15" t="s">
        <v>15991</v>
      </c>
    </row>
    <row r="20" spans="2:10">
      <c r="B20" s="15" t="s">
        <v>19555</v>
      </c>
      <c r="C20" s="15" t="s">
        <v>16017</v>
      </c>
      <c r="D20" s="15" t="s">
        <v>316</v>
      </c>
      <c r="E20" s="15" t="s">
        <v>305</v>
      </c>
      <c r="F20" s="15" t="s">
        <v>16018</v>
      </c>
      <c r="G20" s="15"/>
      <c r="H20" s="15"/>
      <c r="I20" s="15" t="s">
        <v>528</v>
      </c>
      <c r="J20" s="15" t="s">
        <v>15991</v>
      </c>
    </row>
    <row r="21" spans="2:10">
      <c r="B21" s="15" t="s">
        <v>19555</v>
      </c>
      <c r="C21" s="15" t="s">
        <v>16019</v>
      </c>
      <c r="D21" s="15" t="s">
        <v>371</v>
      </c>
      <c r="E21" s="15" t="s">
        <v>305</v>
      </c>
      <c r="F21" s="15" t="s">
        <v>16020</v>
      </c>
      <c r="G21" s="15"/>
      <c r="H21" s="15"/>
      <c r="I21" s="15" t="s">
        <v>528</v>
      </c>
      <c r="J21" s="15" t="s">
        <v>15991</v>
      </c>
    </row>
    <row r="22" spans="2:10">
      <c r="B22" s="15" t="s">
        <v>19555</v>
      </c>
      <c r="C22" s="15" t="s">
        <v>16088</v>
      </c>
      <c r="D22" s="15" t="s">
        <v>316</v>
      </c>
      <c r="E22" s="15" t="s">
        <v>305</v>
      </c>
      <c r="F22" s="15" t="s">
        <v>16089</v>
      </c>
      <c r="G22" s="15"/>
      <c r="H22" s="15"/>
      <c r="I22" s="15" t="s">
        <v>528</v>
      </c>
      <c r="J22" s="15" t="s">
        <v>15991</v>
      </c>
    </row>
    <row r="23" spans="2:10">
      <c r="B23" s="15" t="s">
        <v>19555</v>
      </c>
      <c r="C23" s="15" t="s">
        <v>16931</v>
      </c>
      <c r="D23" s="15" t="s">
        <v>16440</v>
      </c>
      <c r="E23" s="15" t="s">
        <v>305</v>
      </c>
      <c r="F23" s="15" t="s">
        <v>16932</v>
      </c>
      <c r="G23" s="15"/>
      <c r="H23" s="15"/>
      <c r="I23" s="15" t="s">
        <v>528</v>
      </c>
      <c r="J23" s="15" t="s">
        <v>15991</v>
      </c>
    </row>
  </sheetData>
  <pageMargins left="0.75" right="0.75" top="1" bottom="1" header="0.5" footer="0.5"/>
  <pageSetup paperSize="1" orientation="portrait" horizontalDpi="300" verticalDpi="300"/>
  <headerFooter alignWithMargins="0" scaleWithDoc="0"/>
</worksheet>
</file>

<file path=xl/worksheets/sheet1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7"/>
  <sheetViews>
    <sheetView zoomScaleSheetLayoutView="60" workbookViewId="0">
      <selection activeCell="D32" sqref="D32"/>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52" t="str">
        <f>HYPERLINK("#表结构清单!A1","返回")</f>
        <v>返回</v>
      </c>
      <c r="B1" t="s">
        <v>19563</v>
      </c>
    </row>
    <row r="2" spans="2:10">
      <c r="B2" s="13" t="s">
        <v>15982</v>
      </c>
      <c r="C2" s="13" t="s">
        <v>297</v>
      </c>
      <c r="D2" s="13" t="s">
        <v>11870</v>
      </c>
      <c r="E2" s="13" t="s">
        <v>15983</v>
      </c>
      <c r="F2" s="13" t="s">
        <v>15984</v>
      </c>
      <c r="G2" s="13" t="s">
        <v>300</v>
      </c>
      <c r="H2" s="13" t="s">
        <v>301</v>
      </c>
      <c r="I2" s="13" t="s">
        <v>15985</v>
      </c>
      <c r="J2" s="13" t="s">
        <v>15986</v>
      </c>
    </row>
    <row r="3" spans="2:10">
      <c r="B3" s="15" t="s">
        <v>19564</v>
      </c>
      <c r="C3" s="15" t="s">
        <v>16929</v>
      </c>
      <c r="D3" s="15" t="s">
        <v>316</v>
      </c>
      <c r="E3" s="15" t="s">
        <v>15989</v>
      </c>
      <c r="F3" s="15" t="s">
        <v>16173</v>
      </c>
      <c r="G3" s="15"/>
      <c r="H3" s="15"/>
      <c r="I3" s="15" t="s">
        <v>528</v>
      </c>
      <c r="J3" s="15" t="s">
        <v>15991</v>
      </c>
    </row>
    <row r="4" spans="2:10">
      <c r="B4" s="15" t="s">
        <v>19564</v>
      </c>
      <c r="C4" s="15" t="s">
        <v>16483</v>
      </c>
      <c r="D4" s="15" t="s">
        <v>316</v>
      </c>
      <c r="E4" s="15" t="s">
        <v>305</v>
      </c>
      <c r="F4" s="15" t="s">
        <v>9239</v>
      </c>
      <c r="G4" s="15"/>
      <c r="H4" s="15"/>
      <c r="I4" s="15" t="s">
        <v>528</v>
      </c>
      <c r="J4" s="15" t="s">
        <v>15991</v>
      </c>
    </row>
    <row r="5" spans="2:10">
      <c r="B5" s="15" t="s">
        <v>19564</v>
      </c>
      <c r="C5" s="15" t="s">
        <v>16484</v>
      </c>
      <c r="D5" s="15" t="s">
        <v>316</v>
      </c>
      <c r="E5" s="15" t="s">
        <v>305</v>
      </c>
      <c r="F5" s="15" t="s">
        <v>16762</v>
      </c>
      <c r="G5" s="15"/>
      <c r="H5" s="15"/>
      <c r="I5" s="15" t="s">
        <v>528</v>
      </c>
      <c r="J5" s="15" t="s">
        <v>15991</v>
      </c>
    </row>
    <row r="6" spans="2:10">
      <c r="B6" s="15" t="s">
        <v>19564</v>
      </c>
      <c r="C6" s="15" t="s">
        <v>19565</v>
      </c>
      <c r="D6" s="15" t="s">
        <v>506</v>
      </c>
      <c r="E6" s="15" t="s">
        <v>305</v>
      </c>
      <c r="F6" s="15" t="s">
        <v>16175</v>
      </c>
      <c r="G6" s="15"/>
      <c r="H6" s="15"/>
      <c r="I6" s="15" t="s">
        <v>528</v>
      </c>
      <c r="J6" s="15" t="s">
        <v>15991</v>
      </c>
    </row>
    <row r="7" spans="2:10">
      <c r="B7" s="15" t="s">
        <v>19564</v>
      </c>
      <c r="C7" s="15" t="s">
        <v>19566</v>
      </c>
      <c r="D7" s="15" t="s">
        <v>316</v>
      </c>
      <c r="E7" s="15" t="s">
        <v>305</v>
      </c>
      <c r="F7" s="15" t="s">
        <v>19567</v>
      </c>
      <c r="G7" s="15"/>
      <c r="H7" s="15"/>
      <c r="I7" s="15" t="s">
        <v>528</v>
      </c>
      <c r="J7" s="15" t="s">
        <v>15991</v>
      </c>
    </row>
    <row r="8" spans="2:10">
      <c r="B8" s="15" t="s">
        <v>19564</v>
      </c>
      <c r="C8" s="15" t="s">
        <v>19568</v>
      </c>
      <c r="D8" s="15" t="s">
        <v>316</v>
      </c>
      <c r="E8" s="15" t="s">
        <v>305</v>
      </c>
      <c r="F8" s="15" t="s">
        <v>19569</v>
      </c>
      <c r="G8" s="15"/>
      <c r="H8" s="15"/>
      <c r="I8" s="15" t="s">
        <v>528</v>
      </c>
      <c r="J8" s="15" t="s">
        <v>15991</v>
      </c>
    </row>
    <row r="9" spans="2:10">
      <c r="B9" s="15" t="s">
        <v>19564</v>
      </c>
      <c r="C9" s="15" t="s">
        <v>19570</v>
      </c>
      <c r="D9" s="15" t="s">
        <v>316</v>
      </c>
      <c r="E9" s="15" t="s">
        <v>305</v>
      </c>
      <c r="F9" s="15" t="s">
        <v>11778</v>
      </c>
      <c r="G9" s="52" t="str">
        <f>HYPERLINK("#码值映射清单!B9428","DocImportance")</f>
        <v>DocImportance</v>
      </c>
      <c r="H9" s="15"/>
      <c r="I9" s="15" t="s">
        <v>528</v>
      </c>
      <c r="J9" s="15" t="s">
        <v>15991</v>
      </c>
    </row>
    <row r="10" spans="2:10">
      <c r="B10" s="15" t="s">
        <v>19564</v>
      </c>
      <c r="C10" s="15" t="s">
        <v>19571</v>
      </c>
      <c r="D10" s="15" t="s">
        <v>316</v>
      </c>
      <c r="E10" s="15" t="s">
        <v>305</v>
      </c>
      <c r="F10" s="15" t="s">
        <v>19572</v>
      </c>
      <c r="G10" s="15"/>
      <c r="H10" s="15"/>
      <c r="I10" s="15" t="s">
        <v>528</v>
      </c>
      <c r="J10" s="15" t="s">
        <v>15991</v>
      </c>
    </row>
    <row r="11" spans="2:10">
      <c r="B11" s="15" t="s">
        <v>19564</v>
      </c>
      <c r="C11" s="15" t="s">
        <v>19573</v>
      </c>
      <c r="D11" s="15" t="s">
        <v>316</v>
      </c>
      <c r="E11" s="15" t="s">
        <v>305</v>
      </c>
      <c r="F11" s="15" t="s">
        <v>19574</v>
      </c>
      <c r="G11" s="15"/>
      <c r="H11" s="15"/>
      <c r="I11" s="15" t="s">
        <v>528</v>
      </c>
      <c r="J11" s="15" t="s">
        <v>15991</v>
      </c>
    </row>
    <row r="12" spans="2:10">
      <c r="B12" s="15" t="s">
        <v>19564</v>
      </c>
      <c r="C12" s="15" t="s">
        <v>19575</v>
      </c>
      <c r="D12" s="15" t="s">
        <v>506</v>
      </c>
      <c r="E12" s="15" t="s">
        <v>305</v>
      </c>
      <c r="F12" s="15" t="s">
        <v>19576</v>
      </c>
      <c r="G12" s="15"/>
      <c r="H12" s="15"/>
      <c r="I12" s="15" t="s">
        <v>528</v>
      </c>
      <c r="J12" s="15" t="s">
        <v>15991</v>
      </c>
    </row>
    <row r="13" spans="2:10">
      <c r="B13" s="15" t="s">
        <v>19564</v>
      </c>
      <c r="C13" s="15" t="s">
        <v>19577</v>
      </c>
      <c r="D13" s="15" t="s">
        <v>506</v>
      </c>
      <c r="E13" s="15" t="s">
        <v>305</v>
      </c>
      <c r="F13" s="15" t="s">
        <v>19578</v>
      </c>
      <c r="G13" s="15"/>
      <c r="H13" s="15"/>
      <c r="I13" s="15" t="s">
        <v>528</v>
      </c>
      <c r="J13" s="15" t="s">
        <v>15991</v>
      </c>
    </row>
    <row r="14" spans="2:10">
      <c r="B14" s="15" t="s">
        <v>19564</v>
      </c>
      <c r="C14" s="15" t="s">
        <v>19579</v>
      </c>
      <c r="D14" s="15" t="s">
        <v>371</v>
      </c>
      <c r="E14" s="15" t="s">
        <v>305</v>
      </c>
      <c r="F14" s="15" t="s">
        <v>19580</v>
      </c>
      <c r="G14" s="15"/>
      <c r="H14" s="15"/>
      <c r="I14" s="15" t="s">
        <v>528</v>
      </c>
      <c r="J14" s="15" t="s">
        <v>15991</v>
      </c>
    </row>
    <row r="15" spans="2:10">
      <c r="B15" s="15" t="s">
        <v>19564</v>
      </c>
      <c r="C15" s="15" t="s">
        <v>19581</v>
      </c>
      <c r="D15" s="15" t="s">
        <v>506</v>
      </c>
      <c r="E15" s="15" t="s">
        <v>305</v>
      </c>
      <c r="F15" s="15" t="s">
        <v>19582</v>
      </c>
      <c r="G15" s="15"/>
      <c r="H15" s="15"/>
      <c r="I15" s="15" t="s">
        <v>528</v>
      </c>
      <c r="J15" s="15" t="s">
        <v>15991</v>
      </c>
    </row>
    <row r="16" spans="2:10">
      <c r="B16" s="15" t="s">
        <v>19564</v>
      </c>
      <c r="C16" s="15" t="s">
        <v>19583</v>
      </c>
      <c r="D16" s="15" t="s">
        <v>327</v>
      </c>
      <c r="E16" s="15" t="s">
        <v>305</v>
      </c>
      <c r="F16" s="15" t="s">
        <v>19584</v>
      </c>
      <c r="G16" s="15"/>
      <c r="H16" s="15"/>
      <c r="I16" s="15" t="s">
        <v>528</v>
      </c>
      <c r="J16" s="15" t="s">
        <v>15991</v>
      </c>
    </row>
    <row r="17" spans="2:10">
      <c r="B17" s="15" t="s">
        <v>19564</v>
      </c>
      <c r="C17" s="15" t="s">
        <v>19585</v>
      </c>
      <c r="D17" s="15" t="s">
        <v>327</v>
      </c>
      <c r="E17" s="15" t="s">
        <v>305</v>
      </c>
      <c r="F17" s="15" t="s">
        <v>19586</v>
      </c>
      <c r="G17" s="15"/>
      <c r="H17" s="15"/>
      <c r="I17" s="15" t="s">
        <v>528</v>
      </c>
      <c r="J17" s="15" t="s">
        <v>15991</v>
      </c>
    </row>
    <row r="18" spans="2:10">
      <c r="B18" s="15" t="s">
        <v>19564</v>
      </c>
      <c r="C18" s="15" t="s">
        <v>19587</v>
      </c>
      <c r="D18" s="15" t="s">
        <v>327</v>
      </c>
      <c r="E18" s="15" t="s">
        <v>305</v>
      </c>
      <c r="F18" s="15" t="s">
        <v>19588</v>
      </c>
      <c r="G18" s="15"/>
      <c r="H18" s="15"/>
      <c r="I18" s="15" t="s">
        <v>528</v>
      </c>
      <c r="J18" s="15" t="s">
        <v>15991</v>
      </c>
    </row>
    <row r="19" spans="2:10">
      <c r="B19" s="15" t="s">
        <v>19564</v>
      </c>
      <c r="C19" s="15" t="s">
        <v>19589</v>
      </c>
      <c r="D19" s="15" t="s">
        <v>316</v>
      </c>
      <c r="E19" s="15" t="s">
        <v>305</v>
      </c>
      <c r="F19" s="15" t="s">
        <v>10702</v>
      </c>
      <c r="G19" s="15"/>
      <c r="H19" s="15"/>
      <c r="I19" s="15" t="s">
        <v>528</v>
      </c>
      <c r="J19" s="15" t="s">
        <v>15991</v>
      </c>
    </row>
    <row r="20" spans="2:10">
      <c r="B20" s="15" t="s">
        <v>19564</v>
      </c>
      <c r="C20" s="15" t="s">
        <v>16086</v>
      </c>
      <c r="D20" s="15" t="s">
        <v>327</v>
      </c>
      <c r="E20" s="15" t="s">
        <v>305</v>
      </c>
      <c r="F20" s="15" t="s">
        <v>301</v>
      </c>
      <c r="G20" s="15"/>
      <c r="H20" s="15"/>
      <c r="I20" s="15" t="s">
        <v>528</v>
      </c>
      <c r="J20" s="15" t="s">
        <v>15991</v>
      </c>
    </row>
    <row r="21" spans="2:10">
      <c r="B21" s="15" t="s">
        <v>19564</v>
      </c>
      <c r="C21" s="15" t="s">
        <v>16011</v>
      </c>
      <c r="D21" s="15" t="s">
        <v>316</v>
      </c>
      <c r="E21" s="15" t="s">
        <v>305</v>
      </c>
      <c r="F21" s="15" t="s">
        <v>16012</v>
      </c>
      <c r="G21" s="15"/>
      <c r="H21" s="15"/>
      <c r="I21" s="15" t="s">
        <v>528</v>
      </c>
      <c r="J21" s="15" t="s">
        <v>15991</v>
      </c>
    </row>
    <row r="22" spans="2:10">
      <c r="B22" s="15" t="s">
        <v>19564</v>
      </c>
      <c r="C22" s="15" t="s">
        <v>16009</v>
      </c>
      <c r="D22" s="15" t="s">
        <v>316</v>
      </c>
      <c r="E22" s="15" t="s">
        <v>305</v>
      </c>
      <c r="F22" s="15" t="s">
        <v>16010</v>
      </c>
      <c r="G22" s="15"/>
      <c r="H22" s="15"/>
      <c r="I22" s="15" t="s">
        <v>528</v>
      </c>
      <c r="J22" s="15" t="s">
        <v>15991</v>
      </c>
    </row>
    <row r="23" spans="2:10">
      <c r="B23" s="15" t="s">
        <v>19564</v>
      </c>
      <c r="C23" s="15" t="s">
        <v>16013</v>
      </c>
      <c r="D23" s="15" t="s">
        <v>371</v>
      </c>
      <c r="E23" s="15" t="s">
        <v>305</v>
      </c>
      <c r="F23" s="15" t="s">
        <v>16014</v>
      </c>
      <c r="G23" s="15"/>
      <c r="H23" s="15"/>
      <c r="I23" s="15" t="s">
        <v>528</v>
      </c>
      <c r="J23" s="15" t="s">
        <v>15991</v>
      </c>
    </row>
    <row r="24" spans="2:10">
      <c r="B24" s="15" t="s">
        <v>19564</v>
      </c>
      <c r="C24" s="15" t="s">
        <v>16017</v>
      </c>
      <c r="D24" s="15" t="s">
        <v>316</v>
      </c>
      <c r="E24" s="15" t="s">
        <v>305</v>
      </c>
      <c r="F24" s="15" t="s">
        <v>16018</v>
      </c>
      <c r="G24" s="15"/>
      <c r="H24" s="15"/>
      <c r="I24" s="15" t="s">
        <v>528</v>
      </c>
      <c r="J24" s="15" t="s">
        <v>15991</v>
      </c>
    </row>
    <row r="25" spans="2:10">
      <c r="B25" s="15" t="s">
        <v>19564</v>
      </c>
      <c r="C25" s="15" t="s">
        <v>16015</v>
      </c>
      <c r="D25" s="15" t="s">
        <v>316</v>
      </c>
      <c r="E25" s="15" t="s">
        <v>305</v>
      </c>
      <c r="F25" s="15" t="s">
        <v>16016</v>
      </c>
      <c r="G25" s="15"/>
      <c r="H25" s="15"/>
      <c r="I25" s="15" t="s">
        <v>528</v>
      </c>
      <c r="J25" s="15" t="s">
        <v>15991</v>
      </c>
    </row>
    <row r="26" spans="2:10">
      <c r="B26" s="15" t="s">
        <v>19564</v>
      </c>
      <c r="C26" s="15" t="s">
        <v>16019</v>
      </c>
      <c r="D26" s="15" t="s">
        <v>371</v>
      </c>
      <c r="E26" s="15" t="s">
        <v>305</v>
      </c>
      <c r="F26" s="15" t="s">
        <v>16020</v>
      </c>
      <c r="G26" s="15"/>
      <c r="H26" s="15"/>
      <c r="I26" s="15" t="s">
        <v>528</v>
      </c>
      <c r="J26" s="15" t="s">
        <v>15991</v>
      </c>
    </row>
    <row r="27" spans="2:10">
      <c r="B27" s="15" t="s">
        <v>19564</v>
      </c>
      <c r="C27" s="15" t="s">
        <v>16088</v>
      </c>
      <c r="D27" s="15" t="s">
        <v>316</v>
      </c>
      <c r="E27" s="15" t="s">
        <v>305</v>
      </c>
      <c r="F27" s="15" t="s">
        <v>16089</v>
      </c>
      <c r="G27" s="15"/>
      <c r="H27" s="15"/>
      <c r="I27" s="15" t="s">
        <v>528</v>
      </c>
      <c r="J27" s="15" t="s">
        <v>15991</v>
      </c>
    </row>
  </sheetData>
  <pageMargins left="0.75" right="0.75" top="1" bottom="1" header="0.5" footer="0.5"/>
  <pageSetup paperSize="1" orientation="portrait" horizontalDpi="300" verticalDpi="300"/>
  <headerFooter alignWithMargins="0" scaleWithDoc="0"/>
</worksheet>
</file>

<file path=xl/worksheets/sheet1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2"/>
  <sheetViews>
    <sheetView zoomScaleSheetLayoutView="60" workbookViewId="0">
      <selection activeCell="D10" sqref="D10:D12"/>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52" t="str">
        <f>HYPERLINK("#表结构清单!A1","返回")</f>
        <v>返回</v>
      </c>
      <c r="B1" t="s">
        <v>135</v>
      </c>
    </row>
    <row r="2" spans="2:10">
      <c r="B2" s="13" t="s">
        <v>15982</v>
      </c>
      <c r="C2" s="13" t="s">
        <v>297</v>
      </c>
      <c r="D2" s="13" t="s">
        <v>11870</v>
      </c>
      <c r="E2" s="13" t="s">
        <v>15983</v>
      </c>
      <c r="F2" s="13" t="s">
        <v>15984</v>
      </c>
      <c r="G2" s="13" t="s">
        <v>300</v>
      </c>
      <c r="H2" s="13" t="s">
        <v>301</v>
      </c>
      <c r="I2" s="13" t="s">
        <v>15985</v>
      </c>
      <c r="J2" s="13" t="s">
        <v>15986</v>
      </c>
    </row>
    <row r="3" spans="2:10">
      <c r="B3" s="15" t="s">
        <v>19590</v>
      </c>
      <c r="C3" s="15" t="s">
        <v>16929</v>
      </c>
      <c r="D3" s="15" t="s">
        <v>316</v>
      </c>
      <c r="E3" s="15" t="s">
        <v>15989</v>
      </c>
      <c r="F3" s="15" t="s">
        <v>16173</v>
      </c>
      <c r="G3" s="15"/>
      <c r="H3" s="15"/>
      <c r="I3" s="15" t="s">
        <v>528</v>
      </c>
      <c r="J3" s="15" t="s">
        <v>15991</v>
      </c>
    </row>
    <row r="4" spans="2:10">
      <c r="B4" s="15" t="s">
        <v>19590</v>
      </c>
      <c r="C4" s="15" t="s">
        <v>16483</v>
      </c>
      <c r="D4" s="15" t="s">
        <v>316</v>
      </c>
      <c r="E4" s="15" t="s">
        <v>15989</v>
      </c>
      <c r="F4" s="15" t="s">
        <v>19591</v>
      </c>
      <c r="G4" s="15"/>
      <c r="H4" s="15"/>
      <c r="I4" s="15" t="s">
        <v>528</v>
      </c>
      <c r="J4" s="15" t="s">
        <v>15991</v>
      </c>
    </row>
    <row r="5" spans="2:10">
      <c r="B5" s="15" t="s">
        <v>19590</v>
      </c>
      <c r="C5" s="15" t="s">
        <v>16484</v>
      </c>
      <c r="D5" s="15" t="s">
        <v>316</v>
      </c>
      <c r="E5" s="15" t="s">
        <v>15989</v>
      </c>
      <c r="F5" s="15" t="s">
        <v>19592</v>
      </c>
      <c r="G5" s="15"/>
      <c r="H5" s="15"/>
      <c r="I5" s="15" t="s">
        <v>528</v>
      </c>
      <c r="J5" s="15" t="s">
        <v>15991</v>
      </c>
    </row>
    <row r="6" spans="2:10">
      <c r="B6" s="15" t="s">
        <v>19590</v>
      </c>
      <c r="C6" s="15" t="s">
        <v>19593</v>
      </c>
      <c r="D6" s="15" t="s">
        <v>506</v>
      </c>
      <c r="E6" s="15" t="s">
        <v>305</v>
      </c>
      <c r="F6" s="15" t="s">
        <v>19594</v>
      </c>
      <c r="G6" s="15"/>
      <c r="H6" s="15"/>
      <c r="I6" s="15" t="s">
        <v>528</v>
      </c>
      <c r="J6" s="15" t="s">
        <v>15991</v>
      </c>
    </row>
    <row r="7" spans="2:10">
      <c r="B7" s="15" t="s">
        <v>19590</v>
      </c>
      <c r="C7" s="15" t="s">
        <v>16009</v>
      </c>
      <c r="D7" s="15" t="s">
        <v>316</v>
      </c>
      <c r="E7" s="15" t="s">
        <v>305</v>
      </c>
      <c r="F7" s="15" t="s">
        <v>16010</v>
      </c>
      <c r="G7" s="15"/>
      <c r="H7" s="15"/>
      <c r="I7" s="15" t="s">
        <v>528</v>
      </c>
      <c r="J7" s="15" t="s">
        <v>15991</v>
      </c>
    </row>
    <row r="8" spans="2:10">
      <c r="B8" s="15" t="s">
        <v>19590</v>
      </c>
      <c r="C8" s="15" t="s">
        <v>16011</v>
      </c>
      <c r="D8" s="15" t="s">
        <v>316</v>
      </c>
      <c r="E8" s="15" t="s">
        <v>305</v>
      </c>
      <c r="F8" s="15" t="s">
        <v>16012</v>
      </c>
      <c r="G8" s="15"/>
      <c r="H8" s="15"/>
      <c r="I8" s="15" t="s">
        <v>528</v>
      </c>
      <c r="J8" s="15" t="s">
        <v>15991</v>
      </c>
    </row>
    <row r="9" spans="2:10">
      <c r="B9" s="15" t="s">
        <v>19590</v>
      </c>
      <c r="C9" s="15" t="s">
        <v>16013</v>
      </c>
      <c r="D9" s="15" t="s">
        <v>371</v>
      </c>
      <c r="E9" s="15" t="s">
        <v>305</v>
      </c>
      <c r="F9" s="15" t="s">
        <v>16014</v>
      </c>
      <c r="G9" s="15"/>
      <c r="H9" s="15"/>
      <c r="I9" s="15" t="s">
        <v>528</v>
      </c>
      <c r="J9" s="15" t="s">
        <v>15991</v>
      </c>
    </row>
    <row r="10" spans="2:10">
      <c r="B10" s="15" t="s">
        <v>19590</v>
      </c>
      <c r="C10" s="15" t="s">
        <v>16015</v>
      </c>
      <c r="D10" s="15" t="s">
        <v>316</v>
      </c>
      <c r="E10" s="15" t="s">
        <v>305</v>
      </c>
      <c r="F10" s="15" t="s">
        <v>16016</v>
      </c>
      <c r="G10" s="15"/>
      <c r="H10" s="15"/>
      <c r="I10" s="15" t="s">
        <v>528</v>
      </c>
      <c r="J10" s="15" t="s">
        <v>15991</v>
      </c>
    </row>
    <row r="11" spans="2:10">
      <c r="B11" s="15" t="s">
        <v>19590</v>
      </c>
      <c r="C11" s="15" t="s">
        <v>16017</v>
      </c>
      <c r="D11" s="15" t="s">
        <v>316</v>
      </c>
      <c r="E11" s="15" t="s">
        <v>305</v>
      </c>
      <c r="F11" s="15" t="s">
        <v>16018</v>
      </c>
      <c r="G11" s="15"/>
      <c r="H11" s="15"/>
      <c r="I11" s="15" t="s">
        <v>528</v>
      </c>
      <c r="J11" s="15" t="s">
        <v>15991</v>
      </c>
    </row>
    <row r="12" spans="2:10">
      <c r="B12" s="15" t="s">
        <v>19590</v>
      </c>
      <c r="C12" s="15" t="s">
        <v>16019</v>
      </c>
      <c r="D12" s="15" t="s">
        <v>371</v>
      </c>
      <c r="E12" s="15" t="s">
        <v>305</v>
      </c>
      <c r="F12" s="15" t="s">
        <v>16020</v>
      </c>
      <c r="G12" s="15"/>
      <c r="H12" s="15"/>
      <c r="I12" s="15" t="s">
        <v>528</v>
      </c>
      <c r="J12" s="15" t="s">
        <v>15991</v>
      </c>
    </row>
  </sheetData>
  <pageMargins left="0.75" right="0.75" top="1" bottom="1" header="0.5" footer="0.5"/>
  <pageSetup paperSize="1" orientation="portrait" horizontalDpi="300" verticalDpi="300"/>
  <headerFooter alignWithMargins="0" scaleWithDoc="0"/>
</worksheet>
</file>

<file path=xl/worksheets/sheet1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5"/>
  <sheetViews>
    <sheetView zoomScaleSheetLayoutView="60" workbookViewId="0">
      <selection activeCell="E25" sqref="E25"/>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52" t="str">
        <f>HYPERLINK("#表结构清单!A1","返回")</f>
        <v>返回</v>
      </c>
      <c r="B1" t="s">
        <v>148</v>
      </c>
    </row>
    <row r="2" spans="2:10">
      <c r="B2" s="13" t="s">
        <v>15982</v>
      </c>
      <c r="C2" s="13" t="s">
        <v>297</v>
      </c>
      <c r="D2" s="13" t="s">
        <v>11870</v>
      </c>
      <c r="E2" s="13" t="s">
        <v>15983</v>
      </c>
      <c r="F2" s="13" t="s">
        <v>15984</v>
      </c>
      <c r="G2" s="13" t="s">
        <v>300</v>
      </c>
      <c r="H2" s="13" t="s">
        <v>301</v>
      </c>
      <c r="I2" s="13" t="s">
        <v>15985</v>
      </c>
      <c r="J2" s="13" t="s">
        <v>15986</v>
      </c>
    </row>
    <row r="3" spans="2:10">
      <c r="B3" s="15" t="s">
        <v>19595</v>
      </c>
      <c r="C3" s="15" t="s">
        <v>19529</v>
      </c>
      <c r="D3" s="15" t="s">
        <v>363</v>
      </c>
      <c r="E3" s="15" t="s">
        <v>305</v>
      </c>
      <c r="F3" s="53" t="s">
        <v>19596</v>
      </c>
      <c r="G3" s="15"/>
      <c r="H3" s="15"/>
      <c r="I3" s="15" t="s">
        <v>528</v>
      </c>
      <c r="J3" s="15" t="s">
        <v>15991</v>
      </c>
    </row>
    <row r="4" spans="2:10">
      <c r="B4" s="15" t="s">
        <v>19595</v>
      </c>
      <c r="C4" s="15" t="s">
        <v>16086</v>
      </c>
      <c r="D4" s="15" t="s">
        <v>327</v>
      </c>
      <c r="E4" s="15" t="s">
        <v>305</v>
      </c>
      <c r="F4" s="15" t="s">
        <v>301</v>
      </c>
      <c r="G4" s="15"/>
      <c r="H4" s="15"/>
      <c r="I4" s="15" t="s">
        <v>528</v>
      </c>
      <c r="J4" s="15" t="s">
        <v>15991</v>
      </c>
    </row>
    <row r="5" spans="2:10">
      <c r="B5" s="15" t="s">
        <v>19595</v>
      </c>
      <c r="C5" s="15" t="s">
        <v>512</v>
      </c>
      <c r="D5" s="15" t="s">
        <v>513</v>
      </c>
      <c r="E5" s="15" t="s">
        <v>15989</v>
      </c>
      <c r="F5" s="15" t="s">
        <v>334</v>
      </c>
      <c r="G5" s="15"/>
      <c r="H5" s="15"/>
      <c r="I5" s="15" t="s">
        <v>528</v>
      </c>
      <c r="J5" s="15" t="s">
        <v>15991</v>
      </c>
    </row>
    <row r="6" spans="2:10">
      <c r="B6" s="15" t="s">
        <v>19595</v>
      </c>
      <c r="C6" s="15" t="s">
        <v>19533</v>
      </c>
      <c r="D6" s="15" t="s">
        <v>513</v>
      </c>
      <c r="E6" s="15" t="s">
        <v>15989</v>
      </c>
      <c r="F6" s="15" t="s">
        <v>16123</v>
      </c>
      <c r="G6" s="15"/>
      <c r="H6" s="15"/>
      <c r="I6" s="15" t="s">
        <v>528</v>
      </c>
      <c r="J6" s="15" t="s">
        <v>15991</v>
      </c>
    </row>
    <row r="7" spans="2:10">
      <c r="B7" s="15" t="s">
        <v>19595</v>
      </c>
      <c r="C7" s="15" t="s">
        <v>18481</v>
      </c>
      <c r="D7" s="15" t="s">
        <v>316</v>
      </c>
      <c r="E7" s="15" t="s">
        <v>305</v>
      </c>
      <c r="F7" s="15" t="s">
        <v>6583</v>
      </c>
      <c r="G7" s="15"/>
      <c r="H7" s="15"/>
      <c r="I7" s="15" t="s">
        <v>528</v>
      </c>
      <c r="J7" s="15" t="s">
        <v>15991</v>
      </c>
    </row>
    <row r="8" spans="2:10">
      <c r="B8" s="15" t="s">
        <v>19595</v>
      </c>
      <c r="C8" s="15" t="s">
        <v>19535</v>
      </c>
      <c r="D8" s="15" t="s">
        <v>350</v>
      </c>
      <c r="E8" s="15" t="s">
        <v>305</v>
      </c>
      <c r="F8" s="15" t="s">
        <v>19597</v>
      </c>
      <c r="G8" s="15"/>
      <c r="H8" s="15"/>
      <c r="I8" s="15" t="s">
        <v>528</v>
      </c>
      <c r="J8" s="15" t="s">
        <v>15991</v>
      </c>
    </row>
    <row r="9" spans="2:10">
      <c r="B9" s="15" t="s">
        <v>19595</v>
      </c>
      <c r="C9" s="15" t="s">
        <v>16009</v>
      </c>
      <c r="D9" s="15" t="s">
        <v>316</v>
      </c>
      <c r="E9" s="15" t="s">
        <v>305</v>
      </c>
      <c r="F9" s="15" t="s">
        <v>16010</v>
      </c>
      <c r="G9" s="15"/>
      <c r="H9" s="15"/>
      <c r="I9" s="15" t="s">
        <v>528</v>
      </c>
      <c r="J9" s="15" t="s">
        <v>15991</v>
      </c>
    </row>
    <row r="10" spans="2:10">
      <c r="B10" s="15" t="s">
        <v>19595</v>
      </c>
      <c r="C10" s="15" t="s">
        <v>16011</v>
      </c>
      <c r="D10" s="15" t="s">
        <v>316</v>
      </c>
      <c r="E10" s="15" t="s">
        <v>305</v>
      </c>
      <c r="F10" s="15" t="s">
        <v>16012</v>
      </c>
      <c r="G10" s="15"/>
      <c r="H10" s="15"/>
      <c r="I10" s="15" t="s">
        <v>528</v>
      </c>
      <c r="J10" s="15" t="s">
        <v>15991</v>
      </c>
    </row>
    <row r="11" spans="2:10">
      <c r="B11" s="15" t="s">
        <v>19595</v>
      </c>
      <c r="C11" s="15" t="s">
        <v>16013</v>
      </c>
      <c r="D11" s="15" t="s">
        <v>371</v>
      </c>
      <c r="E11" s="15" t="s">
        <v>305</v>
      </c>
      <c r="F11" s="15" t="s">
        <v>16014</v>
      </c>
      <c r="G11" s="15"/>
      <c r="H11" s="15"/>
      <c r="I11" s="15" t="s">
        <v>528</v>
      </c>
      <c r="J11" s="15" t="s">
        <v>15991</v>
      </c>
    </row>
    <row r="12" spans="2:10">
      <c r="B12" s="15" t="s">
        <v>19595</v>
      </c>
      <c r="C12" s="15" t="s">
        <v>16015</v>
      </c>
      <c r="D12" s="15" t="s">
        <v>316</v>
      </c>
      <c r="E12" s="15" t="s">
        <v>305</v>
      </c>
      <c r="F12" s="15" t="s">
        <v>16016</v>
      </c>
      <c r="G12" s="15"/>
      <c r="H12" s="15"/>
      <c r="I12" s="15" t="s">
        <v>528</v>
      </c>
      <c r="J12" s="15" t="s">
        <v>15991</v>
      </c>
    </row>
    <row r="13" spans="2:10">
      <c r="B13" s="15" t="s">
        <v>19595</v>
      </c>
      <c r="C13" s="15" t="s">
        <v>16017</v>
      </c>
      <c r="D13" s="15" t="s">
        <v>316</v>
      </c>
      <c r="E13" s="15" t="s">
        <v>305</v>
      </c>
      <c r="F13" s="15" t="s">
        <v>16018</v>
      </c>
      <c r="G13" s="15"/>
      <c r="H13" s="15"/>
      <c r="I13" s="15" t="s">
        <v>528</v>
      </c>
      <c r="J13" s="15" t="s">
        <v>15991</v>
      </c>
    </row>
    <row r="14" spans="2:10">
      <c r="B14" s="15" t="s">
        <v>19595</v>
      </c>
      <c r="C14" s="15" t="s">
        <v>16019</v>
      </c>
      <c r="D14" s="15" t="s">
        <v>371</v>
      </c>
      <c r="E14" s="15" t="s">
        <v>305</v>
      </c>
      <c r="F14" s="15" t="s">
        <v>16020</v>
      </c>
      <c r="G14" s="15"/>
      <c r="H14" s="15"/>
      <c r="I14" s="15" t="s">
        <v>528</v>
      </c>
      <c r="J14" s="15" t="s">
        <v>15991</v>
      </c>
    </row>
    <row r="15" spans="2:10">
      <c r="B15" s="15" t="s">
        <v>19595</v>
      </c>
      <c r="C15" s="15" t="s">
        <v>16088</v>
      </c>
      <c r="D15" s="15" t="s">
        <v>316</v>
      </c>
      <c r="E15" s="15" t="s">
        <v>305</v>
      </c>
      <c r="F15" s="15" t="s">
        <v>16089</v>
      </c>
      <c r="G15" s="15"/>
      <c r="H15" s="15"/>
      <c r="I15" s="15" t="s">
        <v>528</v>
      </c>
      <c r="J15" s="15" t="s">
        <v>15991</v>
      </c>
    </row>
  </sheetData>
  <pageMargins left="0.75" right="0.75" top="1" bottom="1" header="0.5" footer="0.5"/>
  <pageSetup paperSize="1" orientation="portrait" horizontalDpi="300" verticalDpi="300"/>
  <headerFooter alignWithMargins="0" scaleWithDoc="0"/>
</worksheet>
</file>

<file path=xl/worksheets/sheet1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6"/>
  <sheetViews>
    <sheetView zoomScaleSheetLayoutView="60" workbookViewId="0">
      <selection activeCell="D16" sqref="D16"/>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52" t="str">
        <f>HYPERLINK("#表结构清单!A1","返回")</f>
        <v>返回</v>
      </c>
      <c r="B1" t="s">
        <v>136</v>
      </c>
    </row>
    <row r="2" spans="2:10">
      <c r="B2" s="13" t="s">
        <v>15982</v>
      </c>
      <c r="C2" s="13" t="s">
        <v>297</v>
      </c>
      <c r="D2" s="13" t="s">
        <v>11870</v>
      </c>
      <c r="E2" s="13" t="s">
        <v>15983</v>
      </c>
      <c r="F2" s="13" t="s">
        <v>15984</v>
      </c>
      <c r="G2" s="13" t="s">
        <v>300</v>
      </c>
      <c r="H2" s="13" t="s">
        <v>301</v>
      </c>
      <c r="I2" s="13" t="s">
        <v>15985</v>
      </c>
      <c r="J2" s="13" t="s">
        <v>15986</v>
      </c>
    </row>
    <row r="3" spans="2:10">
      <c r="B3" s="15" t="s">
        <v>19598</v>
      </c>
      <c r="C3" s="15" t="s">
        <v>17224</v>
      </c>
      <c r="D3" s="15" t="s">
        <v>316</v>
      </c>
      <c r="E3" s="15" t="s">
        <v>15989</v>
      </c>
      <c r="F3" s="15" t="s">
        <v>19599</v>
      </c>
      <c r="G3" s="15"/>
      <c r="H3" s="15"/>
      <c r="I3" s="15" t="s">
        <v>528</v>
      </c>
      <c r="J3" s="15" t="s">
        <v>15991</v>
      </c>
    </row>
    <row r="4" spans="2:10">
      <c r="B4" s="15" t="s">
        <v>19598</v>
      </c>
      <c r="C4" s="15" t="s">
        <v>19600</v>
      </c>
      <c r="D4" s="15" t="s">
        <v>506</v>
      </c>
      <c r="E4" s="15" t="s">
        <v>305</v>
      </c>
      <c r="F4" s="15" t="s">
        <v>19601</v>
      </c>
      <c r="G4" s="15"/>
      <c r="H4" s="15"/>
      <c r="I4" s="15" t="s">
        <v>528</v>
      </c>
      <c r="J4" s="15" t="s">
        <v>15991</v>
      </c>
    </row>
    <row r="5" spans="2:10">
      <c r="B5" s="15" t="s">
        <v>19598</v>
      </c>
      <c r="C5" s="15" t="s">
        <v>19602</v>
      </c>
      <c r="D5" s="15" t="s">
        <v>316</v>
      </c>
      <c r="E5" s="15" t="s">
        <v>305</v>
      </c>
      <c r="F5" s="15" t="s">
        <v>19603</v>
      </c>
      <c r="G5" s="52" t="str">
        <f>HYPERLINK("#码值映射清单!B441","EvaluateModelType")</f>
        <v>EvaluateModelType</v>
      </c>
      <c r="H5" s="15"/>
      <c r="I5" s="15" t="s">
        <v>528</v>
      </c>
      <c r="J5" s="15" t="s">
        <v>15991</v>
      </c>
    </row>
    <row r="6" spans="2:10">
      <c r="B6" s="15" t="s">
        <v>19598</v>
      </c>
      <c r="C6" s="15" t="s">
        <v>19604</v>
      </c>
      <c r="D6" s="15" t="s">
        <v>327</v>
      </c>
      <c r="E6" s="15" t="s">
        <v>305</v>
      </c>
      <c r="F6" s="15" t="s">
        <v>19605</v>
      </c>
      <c r="G6" s="15"/>
      <c r="H6" s="15"/>
      <c r="I6" s="15" t="s">
        <v>528</v>
      </c>
      <c r="J6" s="15" t="s">
        <v>15991</v>
      </c>
    </row>
    <row r="7" spans="2:10">
      <c r="B7" s="15" t="s">
        <v>19598</v>
      </c>
      <c r="C7" s="15" t="s">
        <v>16086</v>
      </c>
      <c r="D7" s="15" t="s">
        <v>327</v>
      </c>
      <c r="E7" s="15" t="s">
        <v>305</v>
      </c>
      <c r="F7" s="15" t="s">
        <v>301</v>
      </c>
      <c r="G7" s="15"/>
      <c r="H7" s="15"/>
      <c r="I7" s="15" t="s">
        <v>528</v>
      </c>
      <c r="J7" s="15" t="s">
        <v>15991</v>
      </c>
    </row>
    <row r="8" spans="2:10">
      <c r="B8" s="15" t="s">
        <v>19598</v>
      </c>
      <c r="C8" s="15" t="s">
        <v>16009</v>
      </c>
      <c r="D8" s="15" t="s">
        <v>316</v>
      </c>
      <c r="E8" s="15" t="s">
        <v>305</v>
      </c>
      <c r="F8" s="15" t="s">
        <v>16010</v>
      </c>
      <c r="G8" s="15"/>
      <c r="H8" s="15"/>
      <c r="I8" s="15" t="s">
        <v>528</v>
      </c>
      <c r="J8" s="15" t="s">
        <v>15991</v>
      </c>
    </row>
    <row r="9" spans="2:10">
      <c r="B9" s="15" t="s">
        <v>19598</v>
      </c>
      <c r="C9" s="15" t="s">
        <v>16011</v>
      </c>
      <c r="D9" s="15" t="s">
        <v>316</v>
      </c>
      <c r="E9" s="15" t="s">
        <v>305</v>
      </c>
      <c r="F9" s="15" t="s">
        <v>16012</v>
      </c>
      <c r="G9" s="15"/>
      <c r="H9" s="15"/>
      <c r="I9" s="15" t="s">
        <v>528</v>
      </c>
      <c r="J9" s="15" t="s">
        <v>15991</v>
      </c>
    </row>
    <row r="10" spans="2:10">
      <c r="B10" s="15" t="s">
        <v>19598</v>
      </c>
      <c r="C10" s="15" t="s">
        <v>16013</v>
      </c>
      <c r="D10" s="15" t="s">
        <v>371</v>
      </c>
      <c r="E10" s="15" t="s">
        <v>305</v>
      </c>
      <c r="F10" s="15" t="s">
        <v>16014</v>
      </c>
      <c r="G10" s="15"/>
      <c r="H10" s="15"/>
      <c r="I10" s="15" t="s">
        <v>528</v>
      </c>
      <c r="J10" s="15" t="s">
        <v>15991</v>
      </c>
    </row>
    <row r="11" spans="2:10">
      <c r="B11" s="15" t="s">
        <v>19598</v>
      </c>
      <c r="C11" s="15" t="s">
        <v>16015</v>
      </c>
      <c r="D11" s="15" t="s">
        <v>316</v>
      </c>
      <c r="E11" s="15" t="s">
        <v>305</v>
      </c>
      <c r="F11" s="15" t="s">
        <v>16016</v>
      </c>
      <c r="G11" s="15"/>
      <c r="H11" s="15"/>
      <c r="I11" s="15" t="s">
        <v>528</v>
      </c>
      <c r="J11" s="15" t="s">
        <v>15991</v>
      </c>
    </row>
    <row r="12" spans="2:10">
      <c r="B12" s="15" t="s">
        <v>19598</v>
      </c>
      <c r="C12" s="15" t="s">
        <v>16017</v>
      </c>
      <c r="D12" s="15" t="s">
        <v>316</v>
      </c>
      <c r="E12" s="15" t="s">
        <v>305</v>
      </c>
      <c r="F12" s="15" t="s">
        <v>16018</v>
      </c>
      <c r="G12" s="15"/>
      <c r="H12" s="15"/>
      <c r="I12" s="15" t="s">
        <v>528</v>
      </c>
      <c r="J12" s="15" t="s">
        <v>15991</v>
      </c>
    </row>
    <row r="13" spans="2:10">
      <c r="B13" s="15" t="s">
        <v>19598</v>
      </c>
      <c r="C13" s="15" t="s">
        <v>16019</v>
      </c>
      <c r="D13" s="15" t="s">
        <v>371</v>
      </c>
      <c r="E13" s="15" t="s">
        <v>305</v>
      </c>
      <c r="F13" s="15" t="s">
        <v>16020</v>
      </c>
      <c r="G13" s="15"/>
      <c r="H13" s="15"/>
      <c r="I13" s="15" t="s">
        <v>528</v>
      </c>
      <c r="J13" s="15" t="s">
        <v>15991</v>
      </c>
    </row>
    <row r="14" spans="2:10">
      <c r="B14" s="15" t="s">
        <v>19598</v>
      </c>
      <c r="C14" s="15" t="s">
        <v>19606</v>
      </c>
      <c r="D14" s="15" t="s">
        <v>513</v>
      </c>
      <c r="E14" s="15" t="s">
        <v>305</v>
      </c>
      <c r="F14" s="15" t="s">
        <v>19607</v>
      </c>
      <c r="G14" s="15"/>
      <c r="H14" s="15"/>
      <c r="I14" s="15" t="s">
        <v>528</v>
      </c>
      <c r="J14" s="15" t="s">
        <v>15991</v>
      </c>
    </row>
    <row r="15" spans="2:10">
      <c r="B15" s="15" t="s">
        <v>19598</v>
      </c>
      <c r="C15" s="15" t="s">
        <v>19608</v>
      </c>
      <c r="D15" s="15" t="s">
        <v>16115</v>
      </c>
      <c r="E15" s="15" t="s">
        <v>305</v>
      </c>
      <c r="F15" s="15" t="s">
        <v>19609</v>
      </c>
      <c r="G15" s="15"/>
      <c r="H15" s="15"/>
      <c r="I15" s="15" t="s">
        <v>528</v>
      </c>
      <c r="J15" s="15" t="s">
        <v>15991</v>
      </c>
    </row>
    <row r="16" spans="2:10">
      <c r="B16" s="15" t="s">
        <v>19598</v>
      </c>
      <c r="C16" s="15" t="s">
        <v>19610</v>
      </c>
      <c r="D16" s="15" t="s">
        <v>16115</v>
      </c>
      <c r="E16" s="15" t="s">
        <v>305</v>
      </c>
      <c r="F16" s="15" t="s">
        <v>19611</v>
      </c>
      <c r="G16" s="15"/>
      <c r="H16" s="15"/>
      <c r="I16" s="15" t="s">
        <v>528</v>
      </c>
      <c r="J16" s="15" t="s">
        <v>15991</v>
      </c>
    </row>
  </sheetData>
  <pageMargins left="0.75" right="0.75" top="1" bottom="1" header="0.5" footer="0.5"/>
  <pageSetup paperSize="1" orientation="portrait" horizontalDpi="300" verticalDpi="300"/>
  <headerFooter alignWithMargins="0" scaleWithDoc="0"/>
</worksheet>
</file>

<file path=xl/worksheets/sheet1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5"/>
  <sheetViews>
    <sheetView zoomScaleSheetLayoutView="60" workbookViewId="0">
      <selection activeCell="D15" sqref="D15"/>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52" t="str">
        <f>HYPERLINK("#表结构清单!A1","返回")</f>
        <v>返回</v>
      </c>
      <c r="B1" t="s">
        <v>137</v>
      </c>
    </row>
    <row r="2" spans="2:10">
      <c r="B2" s="13" t="s">
        <v>15982</v>
      </c>
      <c r="C2" s="13" t="s">
        <v>297</v>
      </c>
      <c r="D2" s="13" t="s">
        <v>11870</v>
      </c>
      <c r="E2" s="13" t="s">
        <v>15983</v>
      </c>
      <c r="F2" s="13" t="s">
        <v>15984</v>
      </c>
      <c r="G2" s="13" t="s">
        <v>300</v>
      </c>
      <c r="H2" s="13" t="s">
        <v>301</v>
      </c>
      <c r="I2" s="13" t="s">
        <v>15985</v>
      </c>
      <c r="J2" s="13" t="s">
        <v>15986</v>
      </c>
    </row>
    <row r="3" spans="2:10">
      <c r="B3" s="15" t="s">
        <v>19612</v>
      </c>
      <c r="C3" s="15" t="s">
        <v>16483</v>
      </c>
      <c r="D3" s="15" t="s">
        <v>316</v>
      </c>
      <c r="E3" s="15" t="s">
        <v>15989</v>
      </c>
      <c r="F3" s="15" t="s">
        <v>9239</v>
      </c>
      <c r="G3" s="15"/>
      <c r="H3" s="15"/>
      <c r="I3" s="15" t="s">
        <v>528</v>
      </c>
      <c r="J3" s="15" t="s">
        <v>15991</v>
      </c>
    </row>
    <row r="4" spans="2:10">
      <c r="B4" s="15" t="s">
        <v>19612</v>
      </c>
      <c r="C4" s="15" t="s">
        <v>16484</v>
      </c>
      <c r="D4" s="15" t="s">
        <v>316</v>
      </c>
      <c r="E4" s="15" t="s">
        <v>15989</v>
      </c>
      <c r="F4" s="15" t="s">
        <v>16762</v>
      </c>
      <c r="G4" s="15"/>
      <c r="H4" s="15"/>
      <c r="I4" s="15" t="s">
        <v>528</v>
      </c>
      <c r="J4" s="15" t="s">
        <v>15991</v>
      </c>
    </row>
    <row r="5" spans="2:10">
      <c r="B5" s="15" t="s">
        <v>19612</v>
      </c>
      <c r="C5" s="15" t="s">
        <v>15988</v>
      </c>
      <c r="D5" s="15" t="s">
        <v>316</v>
      </c>
      <c r="E5" s="15" t="s">
        <v>15989</v>
      </c>
      <c r="F5" s="15" t="s">
        <v>15990</v>
      </c>
      <c r="G5" s="15"/>
      <c r="H5" s="15"/>
      <c r="I5" s="15" t="s">
        <v>528</v>
      </c>
      <c r="J5" s="15" t="s">
        <v>15991</v>
      </c>
    </row>
    <row r="6" spans="2:10">
      <c r="B6" s="15" t="s">
        <v>19612</v>
      </c>
      <c r="C6" s="15" t="s">
        <v>630</v>
      </c>
      <c r="D6" s="15" t="s">
        <v>316</v>
      </c>
      <c r="E6" s="15" t="s">
        <v>15989</v>
      </c>
      <c r="F6" s="15" t="s">
        <v>19613</v>
      </c>
      <c r="G6" s="15"/>
      <c r="H6" s="15"/>
      <c r="I6" s="15" t="s">
        <v>528</v>
      </c>
      <c r="J6" s="15" t="s">
        <v>15991</v>
      </c>
    </row>
    <row r="7" spans="2:10">
      <c r="B7" s="15" t="s">
        <v>19612</v>
      </c>
      <c r="C7" s="15" t="s">
        <v>19614</v>
      </c>
      <c r="D7" s="15" t="s">
        <v>506</v>
      </c>
      <c r="E7" s="15" t="s">
        <v>305</v>
      </c>
      <c r="F7" s="15" t="s">
        <v>19615</v>
      </c>
      <c r="G7" s="15"/>
      <c r="H7" s="15"/>
      <c r="I7" s="15" t="s">
        <v>528</v>
      </c>
      <c r="J7" s="15" t="s">
        <v>15991</v>
      </c>
    </row>
    <row r="8" spans="2:10">
      <c r="B8" s="15" t="s">
        <v>19612</v>
      </c>
      <c r="C8" s="15" t="s">
        <v>19616</v>
      </c>
      <c r="D8" s="15" t="s">
        <v>350</v>
      </c>
      <c r="E8" s="15" t="s">
        <v>305</v>
      </c>
      <c r="F8" s="15" t="s">
        <v>19617</v>
      </c>
      <c r="G8" s="15"/>
      <c r="H8" s="15"/>
      <c r="I8" s="15" t="s">
        <v>528</v>
      </c>
      <c r="J8" s="15" t="s">
        <v>15991</v>
      </c>
    </row>
    <row r="9" spans="2:10">
      <c r="B9" s="15" t="s">
        <v>19612</v>
      </c>
      <c r="C9" s="15" t="s">
        <v>16009</v>
      </c>
      <c r="D9" s="15" t="s">
        <v>316</v>
      </c>
      <c r="E9" s="15" t="s">
        <v>305</v>
      </c>
      <c r="F9" s="15" t="s">
        <v>16010</v>
      </c>
      <c r="G9" s="15"/>
      <c r="H9" s="15"/>
      <c r="I9" s="15" t="s">
        <v>528</v>
      </c>
      <c r="J9" s="15" t="s">
        <v>15991</v>
      </c>
    </row>
    <row r="10" spans="2:10">
      <c r="B10" s="15" t="s">
        <v>19612</v>
      </c>
      <c r="C10" s="15" t="s">
        <v>16011</v>
      </c>
      <c r="D10" s="15" t="s">
        <v>316</v>
      </c>
      <c r="E10" s="15" t="s">
        <v>305</v>
      </c>
      <c r="F10" s="15" t="s">
        <v>16012</v>
      </c>
      <c r="G10" s="15"/>
      <c r="H10" s="15"/>
      <c r="I10" s="15" t="s">
        <v>528</v>
      </c>
      <c r="J10" s="15" t="s">
        <v>15991</v>
      </c>
    </row>
    <row r="11" spans="2:10">
      <c r="B11" s="15" t="s">
        <v>19612</v>
      </c>
      <c r="C11" s="15" t="s">
        <v>16013</v>
      </c>
      <c r="D11" s="15" t="s">
        <v>371</v>
      </c>
      <c r="E11" s="15" t="s">
        <v>305</v>
      </c>
      <c r="F11" s="15" t="s">
        <v>16014</v>
      </c>
      <c r="G11" s="15"/>
      <c r="H11" s="15"/>
      <c r="I11" s="15" t="s">
        <v>528</v>
      </c>
      <c r="J11" s="15" t="s">
        <v>15991</v>
      </c>
    </row>
    <row r="12" spans="2:10">
      <c r="B12" s="15" t="s">
        <v>19612</v>
      </c>
      <c r="C12" s="15" t="s">
        <v>16015</v>
      </c>
      <c r="D12" s="15" t="s">
        <v>316</v>
      </c>
      <c r="E12" s="15" t="s">
        <v>305</v>
      </c>
      <c r="F12" s="15" t="s">
        <v>16016</v>
      </c>
      <c r="G12" s="15"/>
      <c r="H12" s="15"/>
      <c r="I12" s="15" t="s">
        <v>528</v>
      </c>
      <c r="J12" s="15" t="s">
        <v>15991</v>
      </c>
    </row>
    <row r="13" spans="2:10">
      <c r="B13" s="15" t="s">
        <v>19612</v>
      </c>
      <c r="C13" s="15" t="s">
        <v>16017</v>
      </c>
      <c r="D13" s="15" t="s">
        <v>316</v>
      </c>
      <c r="E13" s="15" t="s">
        <v>305</v>
      </c>
      <c r="F13" s="15" t="s">
        <v>16018</v>
      </c>
      <c r="G13" s="15"/>
      <c r="H13" s="15"/>
      <c r="I13" s="15" t="s">
        <v>528</v>
      </c>
      <c r="J13" s="15" t="s">
        <v>15991</v>
      </c>
    </row>
    <row r="14" spans="2:10">
      <c r="B14" s="15" t="s">
        <v>19612</v>
      </c>
      <c r="C14" s="15" t="s">
        <v>16019</v>
      </c>
      <c r="D14" s="15" t="s">
        <v>371</v>
      </c>
      <c r="E14" s="15" t="s">
        <v>305</v>
      </c>
      <c r="F14" s="15" t="s">
        <v>16020</v>
      </c>
      <c r="G14" s="15"/>
      <c r="H14" s="15"/>
      <c r="I14" s="15" t="s">
        <v>528</v>
      </c>
      <c r="J14" s="15" t="s">
        <v>15991</v>
      </c>
    </row>
    <row r="15" spans="2:10">
      <c r="B15" s="15" t="s">
        <v>19612</v>
      </c>
      <c r="C15" s="15" t="s">
        <v>16088</v>
      </c>
      <c r="D15" s="15" t="s">
        <v>316</v>
      </c>
      <c r="E15" s="15" t="s">
        <v>305</v>
      </c>
      <c r="F15" s="15" t="s">
        <v>16089</v>
      </c>
      <c r="G15" s="15"/>
      <c r="H15" s="15"/>
      <c r="I15" s="15" t="s">
        <v>528</v>
      </c>
      <c r="J15" s="15" t="s">
        <v>15991</v>
      </c>
    </row>
  </sheetData>
  <pageMargins left="0.75" right="0.75" top="1" bottom="1" header="0.5" footer="0.5"/>
  <pageSetup paperSize="1" orientation="portrait" horizontalDpi="300" verticalDpi="300"/>
  <headerFooter alignWithMargins="0" scaleWithDoc="0"/>
</worksheet>
</file>

<file path=xl/worksheets/sheet1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4"/>
  <sheetViews>
    <sheetView zoomScaleSheetLayoutView="60" workbookViewId="0">
      <selection activeCell="D24" sqref="D24"/>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52" t="str">
        <f>HYPERLINK("#表结构清单!A1","返回")</f>
        <v>返回</v>
      </c>
      <c r="B1" t="s">
        <v>138</v>
      </c>
    </row>
    <row r="2" spans="2:10">
      <c r="B2" s="13" t="s">
        <v>15982</v>
      </c>
      <c r="C2" s="13" t="s">
        <v>297</v>
      </c>
      <c r="D2" s="13" t="s">
        <v>11870</v>
      </c>
      <c r="E2" s="13" t="s">
        <v>15983</v>
      </c>
      <c r="F2" s="13" t="s">
        <v>15984</v>
      </c>
      <c r="G2" s="13" t="s">
        <v>300</v>
      </c>
      <c r="H2" s="13" t="s">
        <v>301</v>
      </c>
      <c r="I2" s="13" t="s">
        <v>15985</v>
      </c>
      <c r="J2" s="13" t="s">
        <v>15986</v>
      </c>
    </row>
    <row r="3" spans="2:10">
      <c r="B3" s="15" t="s">
        <v>19618</v>
      </c>
      <c r="C3" s="15" t="s">
        <v>17224</v>
      </c>
      <c r="D3" s="15" t="s">
        <v>316</v>
      </c>
      <c r="E3" s="15" t="s">
        <v>15989</v>
      </c>
      <c r="F3" s="15" t="s">
        <v>19599</v>
      </c>
      <c r="G3" s="15"/>
      <c r="H3" s="15"/>
      <c r="I3" s="15" t="s">
        <v>528</v>
      </c>
      <c r="J3" s="15" t="s">
        <v>15991</v>
      </c>
    </row>
    <row r="4" spans="2:10">
      <c r="B4" s="15" t="s">
        <v>19618</v>
      </c>
      <c r="C4" s="15" t="s">
        <v>630</v>
      </c>
      <c r="D4" s="15" t="s">
        <v>316</v>
      </c>
      <c r="E4" s="15" t="s">
        <v>15989</v>
      </c>
      <c r="F4" s="15" t="s">
        <v>16534</v>
      </c>
      <c r="G4" s="15"/>
      <c r="H4" s="15"/>
      <c r="I4" s="15" t="s">
        <v>528</v>
      </c>
      <c r="J4" s="15" t="s">
        <v>15991</v>
      </c>
    </row>
    <row r="5" spans="2:10">
      <c r="B5" s="15" t="s">
        <v>19618</v>
      </c>
      <c r="C5" s="15" t="s">
        <v>631</v>
      </c>
      <c r="D5" s="15" t="s">
        <v>506</v>
      </c>
      <c r="E5" s="15" t="s">
        <v>305</v>
      </c>
      <c r="F5" s="15" t="s">
        <v>16535</v>
      </c>
      <c r="G5" s="15"/>
      <c r="H5" s="15"/>
      <c r="I5" s="15" t="s">
        <v>528</v>
      </c>
      <c r="J5" s="15" t="s">
        <v>15991</v>
      </c>
    </row>
    <row r="6" spans="2:10">
      <c r="B6" s="15" t="s">
        <v>19618</v>
      </c>
      <c r="C6" s="15" t="s">
        <v>19619</v>
      </c>
      <c r="D6" s="15" t="s">
        <v>327</v>
      </c>
      <c r="E6" s="15" t="s">
        <v>305</v>
      </c>
      <c r="F6" s="15" t="s">
        <v>19620</v>
      </c>
      <c r="G6" s="15"/>
      <c r="H6" s="15"/>
      <c r="I6" s="15" t="s">
        <v>528</v>
      </c>
      <c r="J6" s="15" t="s">
        <v>15991</v>
      </c>
    </row>
    <row r="7" spans="2:10">
      <c r="B7" s="15" t="s">
        <v>19618</v>
      </c>
      <c r="C7" s="15" t="s">
        <v>19621</v>
      </c>
      <c r="D7" s="15" t="s">
        <v>316</v>
      </c>
      <c r="E7" s="15" t="s">
        <v>305</v>
      </c>
      <c r="F7" s="15" t="s">
        <v>16374</v>
      </c>
      <c r="G7" s="52" t="str">
        <f>HYPERLINK("#码值映射清单!B5562","DataType")</f>
        <v>DataType</v>
      </c>
      <c r="H7" s="15"/>
      <c r="I7" s="15" t="s">
        <v>528</v>
      </c>
      <c r="J7" s="15" t="s">
        <v>15991</v>
      </c>
    </row>
    <row r="8" spans="2:10">
      <c r="B8" s="15" t="s">
        <v>19618</v>
      </c>
      <c r="C8" s="15" t="s">
        <v>19622</v>
      </c>
      <c r="D8" s="15" t="s">
        <v>506</v>
      </c>
      <c r="E8" s="15" t="s">
        <v>305</v>
      </c>
      <c r="F8" s="15" t="s">
        <v>19623</v>
      </c>
      <c r="G8" s="15"/>
      <c r="H8" s="15"/>
      <c r="I8" s="15" t="s">
        <v>528</v>
      </c>
      <c r="J8" s="15" t="s">
        <v>15991</v>
      </c>
    </row>
    <row r="9" spans="2:10">
      <c r="B9" s="15" t="s">
        <v>19618</v>
      </c>
      <c r="C9" s="15" t="s">
        <v>19624</v>
      </c>
      <c r="D9" s="15" t="s">
        <v>506</v>
      </c>
      <c r="E9" s="15" t="s">
        <v>305</v>
      </c>
      <c r="F9" s="15" t="s">
        <v>19625</v>
      </c>
      <c r="G9" s="15"/>
      <c r="H9" s="15"/>
      <c r="I9" s="15" t="s">
        <v>528</v>
      </c>
      <c r="J9" s="15" t="s">
        <v>15991</v>
      </c>
    </row>
    <row r="10" spans="2:10">
      <c r="B10" s="15" t="s">
        <v>19618</v>
      </c>
      <c r="C10" s="15" t="s">
        <v>19626</v>
      </c>
      <c r="D10" s="15" t="s">
        <v>16087</v>
      </c>
      <c r="E10" s="15" t="s">
        <v>305</v>
      </c>
      <c r="F10" s="15" t="s">
        <v>19627</v>
      </c>
      <c r="G10" s="15"/>
      <c r="H10" s="15"/>
      <c r="I10" s="15" t="s">
        <v>528</v>
      </c>
      <c r="J10" s="15" t="s">
        <v>15991</v>
      </c>
    </row>
    <row r="11" spans="2:10">
      <c r="B11" s="15" t="s">
        <v>19618</v>
      </c>
      <c r="C11" s="15" t="s">
        <v>16086</v>
      </c>
      <c r="D11" s="15" t="s">
        <v>16087</v>
      </c>
      <c r="E11" s="15" t="s">
        <v>305</v>
      </c>
      <c r="F11" s="15" t="s">
        <v>301</v>
      </c>
      <c r="G11" s="15"/>
      <c r="H11" s="15"/>
      <c r="I11" s="15" t="s">
        <v>528</v>
      </c>
      <c r="J11" s="15" t="s">
        <v>15991</v>
      </c>
    </row>
    <row r="12" spans="2:10">
      <c r="B12" s="15" t="s">
        <v>19618</v>
      </c>
      <c r="C12" s="15" t="s">
        <v>16009</v>
      </c>
      <c r="D12" s="15" t="s">
        <v>316</v>
      </c>
      <c r="E12" s="15" t="s">
        <v>305</v>
      </c>
      <c r="F12" s="15" t="s">
        <v>16010</v>
      </c>
      <c r="G12" s="15"/>
      <c r="H12" s="15"/>
      <c r="I12" s="15" t="s">
        <v>528</v>
      </c>
      <c r="J12" s="15" t="s">
        <v>15991</v>
      </c>
    </row>
    <row r="13" spans="2:10">
      <c r="B13" s="15" t="s">
        <v>19618</v>
      </c>
      <c r="C13" s="15" t="s">
        <v>16011</v>
      </c>
      <c r="D13" s="15" t="s">
        <v>316</v>
      </c>
      <c r="E13" s="15" t="s">
        <v>305</v>
      </c>
      <c r="F13" s="15" t="s">
        <v>16012</v>
      </c>
      <c r="G13" s="15"/>
      <c r="H13" s="15"/>
      <c r="I13" s="15" t="s">
        <v>528</v>
      </c>
      <c r="J13" s="15" t="s">
        <v>15991</v>
      </c>
    </row>
    <row r="14" spans="2:10">
      <c r="B14" s="15" t="s">
        <v>19618</v>
      </c>
      <c r="C14" s="15" t="s">
        <v>16013</v>
      </c>
      <c r="D14" s="15" t="s">
        <v>371</v>
      </c>
      <c r="E14" s="15" t="s">
        <v>305</v>
      </c>
      <c r="F14" s="15" t="s">
        <v>16014</v>
      </c>
      <c r="G14" s="15"/>
      <c r="H14" s="15"/>
      <c r="I14" s="15" t="s">
        <v>528</v>
      </c>
      <c r="J14" s="15" t="s">
        <v>15991</v>
      </c>
    </row>
    <row r="15" spans="2:10">
      <c r="B15" s="15" t="s">
        <v>19618</v>
      </c>
      <c r="C15" s="15" t="s">
        <v>16015</v>
      </c>
      <c r="D15" s="15" t="s">
        <v>316</v>
      </c>
      <c r="E15" s="15" t="s">
        <v>305</v>
      </c>
      <c r="F15" s="15" t="s">
        <v>16016</v>
      </c>
      <c r="G15" s="15"/>
      <c r="H15" s="15"/>
      <c r="I15" s="15" t="s">
        <v>528</v>
      </c>
      <c r="J15" s="15" t="s">
        <v>15991</v>
      </c>
    </row>
    <row r="16" spans="2:10">
      <c r="B16" s="15" t="s">
        <v>19618</v>
      </c>
      <c r="C16" s="15" t="s">
        <v>16017</v>
      </c>
      <c r="D16" s="15" t="s">
        <v>316</v>
      </c>
      <c r="E16" s="15" t="s">
        <v>305</v>
      </c>
      <c r="F16" s="15" t="s">
        <v>16018</v>
      </c>
      <c r="G16" s="15"/>
      <c r="H16" s="15"/>
      <c r="I16" s="15" t="s">
        <v>528</v>
      </c>
      <c r="J16" s="15" t="s">
        <v>15991</v>
      </c>
    </row>
    <row r="17" spans="2:10">
      <c r="B17" s="15" t="s">
        <v>19618</v>
      </c>
      <c r="C17" s="15" t="s">
        <v>16019</v>
      </c>
      <c r="D17" s="15" t="s">
        <v>371</v>
      </c>
      <c r="E17" s="15" t="s">
        <v>305</v>
      </c>
      <c r="F17" s="15" t="s">
        <v>16020</v>
      </c>
      <c r="G17" s="15"/>
      <c r="H17" s="15"/>
      <c r="I17" s="15" t="s">
        <v>528</v>
      </c>
      <c r="J17" s="15" t="s">
        <v>15991</v>
      </c>
    </row>
    <row r="18" spans="2:10">
      <c r="B18" s="15" t="s">
        <v>19618</v>
      </c>
      <c r="C18" s="15" t="s">
        <v>19628</v>
      </c>
      <c r="D18" s="15" t="s">
        <v>321</v>
      </c>
      <c r="E18" s="15" t="s">
        <v>305</v>
      </c>
      <c r="F18" s="15" t="s">
        <v>19629</v>
      </c>
      <c r="G18" s="52" t="str">
        <f>HYPERLINK("#码值映射清单!B5150","YesNo")</f>
        <v>YesNo</v>
      </c>
      <c r="H18" s="15"/>
      <c r="I18" s="15" t="s">
        <v>528</v>
      </c>
      <c r="J18" s="15" t="s">
        <v>15991</v>
      </c>
    </row>
    <row r="19" spans="2:10">
      <c r="B19" s="15" t="s">
        <v>19618</v>
      </c>
      <c r="C19" s="15" t="s">
        <v>19630</v>
      </c>
      <c r="D19" s="15" t="s">
        <v>506</v>
      </c>
      <c r="E19" s="15" t="s">
        <v>305</v>
      </c>
      <c r="F19" s="15" t="s">
        <v>19631</v>
      </c>
      <c r="G19" s="15"/>
      <c r="H19" s="15"/>
      <c r="I19" s="15" t="s">
        <v>528</v>
      </c>
      <c r="J19" s="15" t="s">
        <v>15991</v>
      </c>
    </row>
    <row r="20" spans="2:10">
      <c r="B20" s="15" t="s">
        <v>19618</v>
      </c>
      <c r="C20" s="15" t="s">
        <v>19632</v>
      </c>
      <c r="D20" s="15" t="s">
        <v>316</v>
      </c>
      <c r="E20" s="15" t="s">
        <v>305</v>
      </c>
      <c r="F20" s="15" t="s">
        <v>19633</v>
      </c>
      <c r="G20" s="15"/>
      <c r="H20" s="15"/>
      <c r="I20" s="15" t="s">
        <v>528</v>
      </c>
      <c r="J20" s="15" t="s">
        <v>15991</v>
      </c>
    </row>
    <row r="21" spans="2:10">
      <c r="B21" s="15" t="s">
        <v>19618</v>
      </c>
      <c r="C21" s="15" t="s">
        <v>19522</v>
      </c>
      <c r="D21" s="15" t="s">
        <v>16087</v>
      </c>
      <c r="E21" s="15" t="s">
        <v>305</v>
      </c>
      <c r="F21" s="15" t="s">
        <v>19634</v>
      </c>
      <c r="G21" s="15"/>
      <c r="H21" s="15"/>
      <c r="I21" s="15" t="s">
        <v>528</v>
      </c>
      <c r="J21" s="15" t="s">
        <v>15991</v>
      </c>
    </row>
    <row r="22" spans="2:10">
      <c r="B22" s="15" t="s">
        <v>19618</v>
      </c>
      <c r="C22" s="15" t="s">
        <v>19635</v>
      </c>
      <c r="D22" s="15" t="s">
        <v>350</v>
      </c>
      <c r="E22" s="15" t="s">
        <v>305</v>
      </c>
      <c r="F22" s="15" t="s">
        <v>19636</v>
      </c>
      <c r="G22" s="15"/>
      <c r="H22" s="15"/>
      <c r="I22" s="15" t="s">
        <v>528</v>
      </c>
      <c r="J22" s="15" t="s">
        <v>15991</v>
      </c>
    </row>
    <row r="23" spans="2:10">
      <c r="B23" s="15" t="s">
        <v>19618</v>
      </c>
      <c r="C23" s="15" t="s">
        <v>19637</v>
      </c>
      <c r="D23" s="15" t="s">
        <v>16115</v>
      </c>
      <c r="E23" s="15" t="s">
        <v>305</v>
      </c>
      <c r="F23" s="15" t="s">
        <v>2681</v>
      </c>
      <c r="G23" s="15"/>
      <c r="H23" s="15"/>
      <c r="I23" s="15" t="s">
        <v>528</v>
      </c>
      <c r="J23" s="15" t="s">
        <v>15991</v>
      </c>
    </row>
    <row r="24" spans="2:10">
      <c r="B24" s="15" t="s">
        <v>19618</v>
      </c>
      <c r="C24" s="15" t="s">
        <v>19638</v>
      </c>
      <c r="D24" s="15" t="s">
        <v>16087</v>
      </c>
      <c r="E24" s="15" t="s">
        <v>305</v>
      </c>
      <c r="F24" s="15" t="s">
        <v>2681</v>
      </c>
      <c r="G24" s="15"/>
      <c r="H24" s="15"/>
      <c r="I24" s="15" t="s">
        <v>528</v>
      </c>
      <c r="J24" s="15" t="s">
        <v>15991</v>
      </c>
    </row>
  </sheetData>
  <pageMargins left="0.75" right="0.75" top="1" bottom="1" header="0.5" footer="0.5"/>
  <pageSetup paperSize="1" orientation="portrait" horizontalDpi="300" verticalDpi="300"/>
  <headerFooter alignWithMargins="0" scaleWithDoc="0"/>
</worksheet>
</file>

<file path=xl/worksheets/sheet1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2"/>
  <sheetViews>
    <sheetView zoomScaleSheetLayoutView="60" workbookViewId="0">
      <selection activeCell="D24" sqref="D24"/>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52" t="str">
        <f>HYPERLINK("#表结构清单!A1","返回")</f>
        <v>返回</v>
      </c>
      <c r="B1" t="s">
        <v>139</v>
      </c>
    </row>
    <row r="2" spans="2:10">
      <c r="B2" s="13" t="s">
        <v>15982</v>
      </c>
      <c r="C2" s="13" t="s">
        <v>297</v>
      </c>
      <c r="D2" s="13" t="s">
        <v>11870</v>
      </c>
      <c r="E2" s="13" t="s">
        <v>15983</v>
      </c>
      <c r="F2" s="13" t="s">
        <v>15984</v>
      </c>
      <c r="G2" s="13" t="s">
        <v>300</v>
      </c>
      <c r="H2" s="13" t="s">
        <v>301</v>
      </c>
      <c r="I2" s="13" t="s">
        <v>15985</v>
      </c>
      <c r="J2" s="13" t="s">
        <v>15986</v>
      </c>
    </row>
    <row r="3" spans="2:10">
      <c r="B3" s="15" t="s">
        <v>19639</v>
      </c>
      <c r="C3" s="15" t="s">
        <v>15988</v>
      </c>
      <c r="D3" s="15" t="s">
        <v>316</v>
      </c>
      <c r="E3" s="15" t="s">
        <v>15989</v>
      </c>
      <c r="F3" s="15" t="s">
        <v>15990</v>
      </c>
      <c r="G3" s="15"/>
      <c r="H3" s="15"/>
      <c r="I3" s="15" t="s">
        <v>528</v>
      </c>
      <c r="J3" s="15" t="s">
        <v>15991</v>
      </c>
    </row>
    <row r="4" spans="2:10">
      <c r="B4" s="15" t="s">
        <v>19639</v>
      </c>
      <c r="C4" s="15" t="s">
        <v>16484</v>
      </c>
      <c r="D4" s="15" t="s">
        <v>316</v>
      </c>
      <c r="E4" s="15" t="s">
        <v>305</v>
      </c>
      <c r="F4" s="15" t="s">
        <v>16895</v>
      </c>
      <c r="G4" s="15"/>
      <c r="H4" s="15"/>
      <c r="I4" s="15" t="s">
        <v>528</v>
      </c>
      <c r="J4" s="15" t="s">
        <v>15991</v>
      </c>
    </row>
    <row r="5" spans="2:10">
      <c r="B5" s="15" t="s">
        <v>19639</v>
      </c>
      <c r="C5" s="15" t="s">
        <v>16483</v>
      </c>
      <c r="D5" s="15" t="s">
        <v>316</v>
      </c>
      <c r="E5" s="15" t="s">
        <v>305</v>
      </c>
      <c r="F5" s="15" t="s">
        <v>9239</v>
      </c>
      <c r="G5" s="15"/>
      <c r="H5" s="15"/>
      <c r="I5" s="15" t="s">
        <v>528</v>
      </c>
      <c r="J5" s="15" t="s">
        <v>15991</v>
      </c>
    </row>
    <row r="6" spans="2:10">
      <c r="B6" s="15" t="s">
        <v>19639</v>
      </c>
      <c r="C6" s="15" t="s">
        <v>17224</v>
      </c>
      <c r="D6" s="15" t="s">
        <v>316</v>
      </c>
      <c r="E6" s="15" t="s">
        <v>305</v>
      </c>
      <c r="F6" s="15" t="s">
        <v>138</v>
      </c>
      <c r="G6" s="61" t="str">
        <f>HYPERLINK("#码值映射清单!B8605","ScorereSource")</f>
        <v>ScorereSource</v>
      </c>
      <c r="H6" s="15"/>
      <c r="I6" s="15" t="s">
        <v>528</v>
      </c>
      <c r="J6" s="15" t="s">
        <v>15991</v>
      </c>
    </row>
    <row r="7" spans="2:10">
      <c r="B7" s="15" t="s">
        <v>19639</v>
      </c>
      <c r="C7" s="15" t="s">
        <v>19640</v>
      </c>
      <c r="D7" s="15" t="s">
        <v>371</v>
      </c>
      <c r="E7" s="15" t="s">
        <v>305</v>
      </c>
      <c r="F7" s="15" t="s">
        <v>19641</v>
      </c>
      <c r="G7" s="15"/>
      <c r="H7" s="15"/>
      <c r="I7" s="15" t="s">
        <v>528</v>
      </c>
      <c r="J7" s="15" t="s">
        <v>15991</v>
      </c>
    </row>
    <row r="8" spans="2:10">
      <c r="B8" s="15" t="s">
        <v>19639</v>
      </c>
      <c r="C8" s="15" t="s">
        <v>19616</v>
      </c>
      <c r="D8" s="15" t="s">
        <v>350</v>
      </c>
      <c r="E8" s="15" t="s">
        <v>305</v>
      </c>
      <c r="F8" s="15" t="s">
        <v>19642</v>
      </c>
      <c r="G8" s="15"/>
      <c r="H8" s="15"/>
      <c r="I8" s="15" t="s">
        <v>528</v>
      </c>
      <c r="J8" s="15" t="s">
        <v>15991</v>
      </c>
    </row>
    <row r="9" spans="2:10">
      <c r="B9" s="15" t="s">
        <v>19639</v>
      </c>
      <c r="C9" s="15" t="s">
        <v>19643</v>
      </c>
      <c r="D9" s="15" t="s">
        <v>506</v>
      </c>
      <c r="E9" s="15" t="s">
        <v>305</v>
      </c>
      <c r="F9" s="15" t="s">
        <v>19644</v>
      </c>
      <c r="G9" s="62" t="str">
        <f>HYPERLINK("#码值映射清单!B10077","Score")</f>
        <v>Score</v>
      </c>
      <c r="H9" s="15"/>
      <c r="I9" s="15" t="s">
        <v>528</v>
      </c>
      <c r="J9" s="15" t="s">
        <v>15991</v>
      </c>
    </row>
    <row r="10" spans="2:10">
      <c r="B10" s="15" t="s">
        <v>19639</v>
      </c>
      <c r="C10" s="15" t="s">
        <v>16622</v>
      </c>
      <c r="D10" s="15" t="s">
        <v>316</v>
      </c>
      <c r="E10" s="15" t="s">
        <v>305</v>
      </c>
      <c r="F10" s="15" t="s">
        <v>4</v>
      </c>
      <c r="G10" s="15"/>
      <c r="H10" s="15"/>
      <c r="I10" s="15" t="s">
        <v>528</v>
      </c>
      <c r="J10" s="15" t="s">
        <v>15991</v>
      </c>
    </row>
    <row r="11" spans="2:10">
      <c r="B11" s="15" t="s">
        <v>19639</v>
      </c>
      <c r="C11" s="15" t="s">
        <v>16579</v>
      </c>
      <c r="D11" s="15" t="s">
        <v>506</v>
      </c>
      <c r="E11" s="15" t="s">
        <v>305</v>
      </c>
      <c r="F11" s="15" t="s">
        <v>19645</v>
      </c>
      <c r="G11" s="15"/>
      <c r="H11" s="15"/>
      <c r="I11" s="15" t="s">
        <v>528</v>
      </c>
      <c r="J11" s="15" t="s">
        <v>15991</v>
      </c>
    </row>
    <row r="12" spans="2:10">
      <c r="B12" s="15" t="s">
        <v>19639</v>
      </c>
      <c r="C12" s="15" t="s">
        <v>19646</v>
      </c>
      <c r="D12" s="15" t="s">
        <v>371</v>
      </c>
      <c r="E12" s="15" t="s">
        <v>305</v>
      </c>
      <c r="F12" s="15" t="s">
        <v>19647</v>
      </c>
      <c r="G12" s="15"/>
      <c r="H12" s="15"/>
      <c r="I12" s="15" t="s">
        <v>528</v>
      </c>
      <c r="J12" s="15" t="s">
        <v>15991</v>
      </c>
    </row>
    <row r="13" spans="2:10">
      <c r="B13" s="15" t="s">
        <v>19639</v>
      </c>
      <c r="C13" s="15" t="s">
        <v>19648</v>
      </c>
      <c r="D13" s="15" t="s">
        <v>350</v>
      </c>
      <c r="E13" s="15" t="s">
        <v>305</v>
      </c>
      <c r="F13" s="15" t="s">
        <v>19649</v>
      </c>
      <c r="G13" s="15"/>
      <c r="H13" s="15"/>
      <c r="I13" s="15" t="s">
        <v>528</v>
      </c>
      <c r="J13" s="15" t="s">
        <v>15991</v>
      </c>
    </row>
    <row r="14" spans="2:10">
      <c r="B14" s="15" t="s">
        <v>19639</v>
      </c>
      <c r="C14" s="15" t="s">
        <v>19650</v>
      </c>
      <c r="D14" s="15" t="s">
        <v>506</v>
      </c>
      <c r="E14" s="15" t="s">
        <v>305</v>
      </c>
      <c r="F14" s="15" t="s">
        <v>19651</v>
      </c>
      <c r="G14" s="55" t="str">
        <f>HYPERLINK("#码值映射清单!B10077","Score")</f>
        <v>Score</v>
      </c>
      <c r="H14" s="15"/>
      <c r="I14" s="15" t="s">
        <v>528</v>
      </c>
      <c r="J14" s="15" t="s">
        <v>15991</v>
      </c>
    </row>
    <row r="15" spans="2:10">
      <c r="B15" s="15" t="s">
        <v>19639</v>
      </c>
      <c r="C15" s="15" t="s">
        <v>19652</v>
      </c>
      <c r="D15" s="15" t="s">
        <v>506</v>
      </c>
      <c r="E15" s="15" t="s">
        <v>305</v>
      </c>
      <c r="F15" s="15" t="s">
        <v>19653</v>
      </c>
      <c r="G15" s="15"/>
      <c r="H15" s="15"/>
      <c r="I15" s="15" t="s">
        <v>528</v>
      </c>
      <c r="J15" s="15" t="s">
        <v>15991</v>
      </c>
    </row>
    <row r="16" spans="2:10">
      <c r="B16" s="15" t="s">
        <v>19639</v>
      </c>
      <c r="C16" s="15" t="s">
        <v>19654</v>
      </c>
      <c r="D16" s="15" t="s">
        <v>506</v>
      </c>
      <c r="E16" s="15" t="s">
        <v>305</v>
      </c>
      <c r="F16" s="15" t="s">
        <v>16148</v>
      </c>
      <c r="G16" s="15"/>
      <c r="H16" s="15"/>
      <c r="I16" s="15" t="s">
        <v>528</v>
      </c>
      <c r="J16" s="15" t="s">
        <v>15991</v>
      </c>
    </row>
    <row r="17" spans="2:10">
      <c r="B17" s="15" t="s">
        <v>19639</v>
      </c>
      <c r="C17" s="15" t="s">
        <v>19655</v>
      </c>
      <c r="D17" s="15" t="s">
        <v>327</v>
      </c>
      <c r="E17" s="15" t="s">
        <v>305</v>
      </c>
      <c r="F17" s="15" t="s">
        <v>19656</v>
      </c>
      <c r="G17" s="15"/>
      <c r="H17" s="15"/>
      <c r="I17" s="15" t="s">
        <v>528</v>
      </c>
      <c r="J17" s="15" t="s">
        <v>15991</v>
      </c>
    </row>
    <row r="18" spans="2:10">
      <c r="B18" s="15" t="s">
        <v>19639</v>
      </c>
      <c r="C18" s="15" t="s">
        <v>19657</v>
      </c>
      <c r="D18" s="15" t="s">
        <v>316</v>
      </c>
      <c r="E18" s="15" t="s">
        <v>305</v>
      </c>
      <c r="F18" s="15" t="s">
        <v>19658</v>
      </c>
      <c r="G18" s="52" t="str">
        <f>HYPERLINK("#码值映射清单!B107","ScoreLevel")</f>
        <v>ScoreLevel</v>
      </c>
      <c r="H18" s="15"/>
      <c r="I18" s="15" t="s">
        <v>528</v>
      </c>
      <c r="J18" s="15" t="s">
        <v>15991</v>
      </c>
    </row>
    <row r="19" spans="2:10">
      <c r="B19" s="15" t="s">
        <v>19639</v>
      </c>
      <c r="C19" s="15" t="s">
        <v>19659</v>
      </c>
      <c r="D19" s="15" t="s">
        <v>371</v>
      </c>
      <c r="E19" s="15" t="s">
        <v>305</v>
      </c>
      <c r="F19" s="15" t="s">
        <v>16152</v>
      </c>
      <c r="G19" s="15"/>
      <c r="H19" s="15"/>
      <c r="I19" s="15" t="s">
        <v>528</v>
      </c>
      <c r="J19" s="15" t="s">
        <v>15991</v>
      </c>
    </row>
    <row r="20" spans="2:10">
      <c r="B20" s="15" t="s">
        <v>19639</v>
      </c>
      <c r="C20" s="15" t="s">
        <v>16086</v>
      </c>
      <c r="D20" s="15" t="s">
        <v>327</v>
      </c>
      <c r="E20" s="15" t="s">
        <v>305</v>
      </c>
      <c r="F20" s="15" t="s">
        <v>301</v>
      </c>
      <c r="G20" s="15"/>
      <c r="H20" s="15"/>
      <c r="I20" s="15" t="s">
        <v>528</v>
      </c>
      <c r="J20" s="15" t="s">
        <v>15991</v>
      </c>
    </row>
    <row r="21" spans="2:10">
      <c r="B21" s="15" t="s">
        <v>19639</v>
      </c>
      <c r="C21" s="15" t="s">
        <v>16096</v>
      </c>
      <c r="D21" s="15" t="s">
        <v>316</v>
      </c>
      <c r="E21" s="15" t="s">
        <v>305</v>
      </c>
      <c r="F21" s="15" t="s">
        <v>16097</v>
      </c>
      <c r="G21" s="15"/>
      <c r="H21" s="15"/>
      <c r="I21" s="15" t="s">
        <v>528</v>
      </c>
      <c r="J21" s="15" t="s">
        <v>15991</v>
      </c>
    </row>
    <row r="22" spans="2:10">
      <c r="B22" s="15" t="s">
        <v>19639</v>
      </c>
      <c r="C22" s="15" t="s">
        <v>16009</v>
      </c>
      <c r="D22" s="15" t="s">
        <v>316</v>
      </c>
      <c r="E22" s="15" t="s">
        <v>305</v>
      </c>
      <c r="F22" s="15" t="s">
        <v>16010</v>
      </c>
      <c r="G22" s="15"/>
      <c r="H22" s="15"/>
      <c r="I22" s="15" t="s">
        <v>528</v>
      </c>
      <c r="J22" s="15" t="s">
        <v>15991</v>
      </c>
    </row>
    <row r="23" spans="2:10">
      <c r="B23" s="15" t="s">
        <v>19639</v>
      </c>
      <c r="C23" s="15" t="s">
        <v>16011</v>
      </c>
      <c r="D23" s="15" t="s">
        <v>316</v>
      </c>
      <c r="E23" s="15" t="s">
        <v>305</v>
      </c>
      <c r="F23" s="15" t="s">
        <v>16012</v>
      </c>
      <c r="G23" s="15"/>
      <c r="H23" s="15"/>
      <c r="I23" s="15" t="s">
        <v>528</v>
      </c>
      <c r="J23" s="15" t="s">
        <v>15991</v>
      </c>
    </row>
    <row r="24" spans="2:10">
      <c r="B24" s="15" t="s">
        <v>19639</v>
      </c>
      <c r="C24" s="15" t="s">
        <v>16013</v>
      </c>
      <c r="D24" s="15" t="s">
        <v>371</v>
      </c>
      <c r="E24" s="15" t="s">
        <v>305</v>
      </c>
      <c r="F24" s="15" t="s">
        <v>16014</v>
      </c>
      <c r="G24" s="15"/>
      <c r="H24" s="15"/>
      <c r="I24" s="15" t="s">
        <v>528</v>
      </c>
      <c r="J24" s="15" t="s">
        <v>15991</v>
      </c>
    </row>
    <row r="25" spans="2:10">
      <c r="B25" s="15" t="s">
        <v>19639</v>
      </c>
      <c r="C25" s="15" t="s">
        <v>16015</v>
      </c>
      <c r="D25" s="15" t="s">
        <v>316</v>
      </c>
      <c r="E25" s="15" t="s">
        <v>305</v>
      </c>
      <c r="F25" s="15" t="s">
        <v>16016</v>
      </c>
      <c r="G25" s="15"/>
      <c r="H25" s="15"/>
      <c r="I25" s="15" t="s">
        <v>528</v>
      </c>
      <c r="J25" s="15" t="s">
        <v>15991</v>
      </c>
    </row>
    <row r="26" spans="2:10">
      <c r="B26" s="15" t="s">
        <v>19639</v>
      </c>
      <c r="C26" s="15" t="s">
        <v>16017</v>
      </c>
      <c r="D26" s="15" t="s">
        <v>316</v>
      </c>
      <c r="E26" s="15" t="s">
        <v>305</v>
      </c>
      <c r="F26" s="15" t="s">
        <v>16018</v>
      </c>
      <c r="G26" s="15"/>
      <c r="H26" s="15"/>
      <c r="I26" s="15" t="s">
        <v>528</v>
      </c>
      <c r="J26" s="15" t="s">
        <v>15991</v>
      </c>
    </row>
    <row r="27" spans="2:10">
      <c r="B27" s="15" t="s">
        <v>19639</v>
      </c>
      <c r="C27" s="15" t="s">
        <v>16019</v>
      </c>
      <c r="D27" s="15" t="s">
        <v>371</v>
      </c>
      <c r="E27" s="15" t="s">
        <v>305</v>
      </c>
      <c r="F27" s="15" t="s">
        <v>16020</v>
      </c>
      <c r="G27" s="15"/>
      <c r="H27" s="15"/>
      <c r="I27" s="15" t="s">
        <v>528</v>
      </c>
      <c r="J27" s="15" t="s">
        <v>15991</v>
      </c>
    </row>
    <row r="28" spans="2:10">
      <c r="B28" s="15" t="s">
        <v>19639</v>
      </c>
      <c r="C28" s="15" t="s">
        <v>19660</v>
      </c>
      <c r="D28" s="15" t="s">
        <v>316</v>
      </c>
      <c r="E28" s="15" t="s">
        <v>305</v>
      </c>
      <c r="F28" s="15" t="s">
        <v>19661</v>
      </c>
      <c r="G28" s="15"/>
      <c r="H28" s="15"/>
      <c r="I28" s="15" t="s">
        <v>528</v>
      </c>
      <c r="J28" s="15" t="s">
        <v>15991</v>
      </c>
    </row>
    <row r="29" spans="2:10">
      <c r="B29" s="15" t="s">
        <v>19639</v>
      </c>
      <c r="C29" s="15" t="s">
        <v>19662</v>
      </c>
      <c r="D29" s="15" t="s">
        <v>513</v>
      </c>
      <c r="E29" s="15" t="s">
        <v>305</v>
      </c>
      <c r="F29" s="15" t="s">
        <v>19663</v>
      </c>
      <c r="G29" s="15"/>
      <c r="H29" s="15"/>
      <c r="I29" s="15" t="s">
        <v>528</v>
      </c>
      <c r="J29" s="15" t="s">
        <v>15991</v>
      </c>
    </row>
    <row r="30" spans="2:10">
      <c r="B30" s="15" t="s">
        <v>19639</v>
      </c>
      <c r="C30" s="15" t="s">
        <v>19664</v>
      </c>
      <c r="D30" s="15" t="s">
        <v>506</v>
      </c>
      <c r="E30" s="15" t="s">
        <v>305</v>
      </c>
      <c r="F30" s="15" t="s">
        <v>8887</v>
      </c>
      <c r="G30" s="15"/>
      <c r="H30" s="15"/>
      <c r="I30" s="15" t="s">
        <v>528</v>
      </c>
      <c r="J30" s="15" t="s">
        <v>15991</v>
      </c>
    </row>
    <row r="31" spans="2:10">
      <c r="B31" s="15" t="s">
        <v>19639</v>
      </c>
      <c r="C31" s="15" t="s">
        <v>19665</v>
      </c>
      <c r="D31" s="15" t="s">
        <v>506</v>
      </c>
      <c r="E31" s="15" t="s">
        <v>305</v>
      </c>
      <c r="F31" s="15" t="s">
        <v>6734</v>
      </c>
      <c r="G31" s="15"/>
      <c r="H31" s="15"/>
      <c r="I31" s="15" t="s">
        <v>528</v>
      </c>
      <c r="J31" s="15" t="s">
        <v>15991</v>
      </c>
    </row>
    <row r="32" spans="2:10">
      <c r="B32" s="15" t="s">
        <v>19639</v>
      </c>
      <c r="C32" s="15" t="s">
        <v>16088</v>
      </c>
      <c r="D32" s="15" t="s">
        <v>316</v>
      </c>
      <c r="E32" s="15" t="s">
        <v>305</v>
      </c>
      <c r="F32" s="15" t="s">
        <v>16089</v>
      </c>
      <c r="G32" s="15"/>
      <c r="H32" s="15"/>
      <c r="I32" s="15" t="s">
        <v>528</v>
      </c>
      <c r="J32" s="15" t="s">
        <v>15991</v>
      </c>
    </row>
  </sheetData>
  <pageMargins left="0.75" right="0.75" top="1" bottom="1" header="0.5" footer="0.5"/>
  <pageSetup paperSize="1" orientation="portrait" horizontalDpi="300" verticalDpi="300"/>
  <headerFooter alignWithMargins="0" scaleWithDoc="0"/>
</worksheet>
</file>

<file path=xl/worksheets/sheet1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8"/>
  <sheetViews>
    <sheetView zoomScaleSheetLayoutView="60" workbookViewId="0">
      <selection activeCell="F3" sqref="F3:F18"/>
    </sheetView>
  </sheetViews>
  <sheetFormatPr defaultColWidth="9.14285714285714" defaultRowHeight="15.2"/>
  <cols>
    <col min="2" max="2" width="19.5357142857143" customWidth="1"/>
    <col min="3" max="4" width="15.625" customWidth="1"/>
    <col min="5" max="5" width="7.79464285714286" customWidth="1"/>
    <col min="6" max="6" width="39.0625" customWidth="1"/>
    <col min="7" max="7" width="15.625" customWidth="1"/>
    <col min="10" max="10" width="11.6875" customWidth="1"/>
  </cols>
  <sheetData>
    <row r="1" spans="1:2">
      <c r="A1" s="51" t="str">
        <f>HYPERLINK("#表结构清单!A1","返回")</f>
        <v>返回</v>
      </c>
      <c r="B1" t="s">
        <v>19666</v>
      </c>
    </row>
    <row r="2" spans="2:10">
      <c r="B2" s="13" t="s">
        <v>15982</v>
      </c>
      <c r="C2" s="13" t="s">
        <v>297</v>
      </c>
      <c r="D2" s="13" t="s">
        <v>11870</v>
      </c>
      <c r="E2" s="13" t="s">
        <v>15983</v>
      </c>
      <c r="F2" s="13" t="s">
        <v>15984</v>
      </c>
      <c r="G2" s="13" t="s">
        <v>300</v>
      </c>
      <c r="H2" s="13" t="s">
        <v>301</v>
      </c>
      <c r="I2" s="13" t="s">
        <v>15985</v>
      </c>
      <c r="J2" s="13" t="s">
        <v>15986</v>
      </c>
    </row>
    <row r="3" spans="2:10">
      <c r="B3" s="15" t="s">
        <v>19667</v>
      </c>
      <c r="C3" s="15" t="s">
        <v>19668</v>
      </c>
      <c r="D3" s="15" t="s">
        <v>506</v>
      </c>
      <c r="E3" s="15" t="s">
        <v>15989</v>
      </c>
      <c r="F3" s="15" t="s">
        <v>19669</v>
      </c>
      <c r="G3" s="15"/>
      <c r="H3" s="15"/>
      <c r="I3" s="15" t="s">
        <v>528</v>
      </c>
      <c r="J3" s="15" t="s">
        <v>15991</v>
      </c>
    </row>
    <row r="4" spans="2:10">
      <c r="B4" s="15" t="s">
        <v>19667</v>
      </c>
      <c r="C4" s="15" t="s">
        <v>19670</v>
      </c>
      <c r="D4" s="15" t="s">
        <v>327</v>
      </c>
      <c r="E4" s="15" t="s">
        <v>305</v>
      </c>
      <c r="F4" s="15" t="s">
        <v>19671</v>
      </c>
      <c r="G4" s="15"/>
      <c r="H4" s="15"/>
      <c r="I4" s="15" t="s">
        <v>528</v>
      </c>
      <c r="J4" s="15" t="s">
        <v>15991</v>
      </c>
    </row>
    <row r="5" spans="2:10">
      <c r="B5" s="15" t="s">
        <v>19667</v>
      </c>
      <c r="C5" s="15" t="s">
        <v>19672</v>
      </c>
      <c r="D5" s="15" t="s">
        <v>506</v>
      </c>
      <c r="E5" s="15" t="s">
        <v>305</v>
      </c>
      <c r="F5" s="15" t="s">
        <v>19673</v>
      </c>
      <c r="G5" s="15"/>
      <c r="H5" s="15"/>
      <c r="I5" s="15" t="s">
        <v>528</v>
      </c>
      <c r="J5" s="15" t="s">
        <v>15991</v>
      </c>
    </row>
    <row r="6" spans="2:10">
      <c r="B6" s="15" t="s">
        <v>19667</v>
      </c>
      <c r="C6" s="15" t="s">
        <v>19674</v>
      </c>
      <c r="D6" s="15" t="s">
        <v>16022</v>
      </c>
      <c r="E6" s="15" t="s">
        <v>305</v>
      </c>
      <c r="F6" s="15" t="s">
        <v>19675</v>
      </c>
      <c r="G6" s="15"/>
      <c r="H6" s="15"/>
      <c r="I6" s="15" t="s">
        <v>528</v>
      </c>
      <c r="J6" s="15" t="s">
        <v>15991</v>
      </c>
    </row>
    <row r="7" spans="2:10">
      <c r="B7" s="15" t="s">
        <v>19667</v>
      </c>
      <c r="C7" s="15" t="s">
        <v>19676</v>
      </c>
      <c r="D7" s="15" t="s">
        <v>16115</v>
      </c>
      <c r="E7" s="15" t="s">
        <v>305</v>
      </c>
      <c r="F7" s="15" t="s">
        <v>19677</v>
      </c>
      <c r="G7" s="15"/>
      <c r="H7" s="15"/>
      <c r="I7" s="15" t="s">
        <v>528</v>
      </c>
      <c r="J7" s="15" t="s">
        <v>15991</v>
      </c>
    </row>
    <row r="8" spans="2:10">
      <c r="B8" s="15" t="s">
        <v>19667</v>
      </c>
      <c r="C8" s="15" t="s">
        <v>19678</v>
      </c>
      <c r="D8" s="15" t="s">
        <v>16022</v>
      </c>
      <c r="E8" s="15" t="s">
        <v>305</v>
      </c>
      <c r="F8" s="15" t="s">
        <v>19679</v>
      </c>
      <c r="G8" s="15"/>
      <c r="H8" s="15"/>
      <c r="I8" s="15" t="s">
        <v>528</v>
      </c>
      <c r="J8" s="15" t="s">
        <v>15991</v>
      </c>
    </row>
    <row r="9" spans="2:10">
      <c r="B9" s="15" t="s">
        <v>19667</v>
      </c>
      <c r="C9" s="15" t="s">
        <v>19680</v>
      </c>
      <c r="D9" s="15" t="s">
        <v>321</v>
      </c>
      <c r="E9" s="15" t="s">
        <v>305</v>
      </c>
      <c r="F9" s="15" t="s">
        <v>19681</v>
      </c>
      <c r="G9" s="15"/>
      <c r="H9" s="15"/>
      <c r="I9" s="15" t="s">
        <v>528</v>
      </c>
      <c r="J9" s="15" t="s">
        <v>15991</v>
      </c>
    </row>
    <row r="10" spans="2:10">
      <c r="B10" s="15" t="s">
        <v>19667</v>
      </c>
      <c r="C10" s="15" t="s">
        <v>19682</v>
      </c>
      <c r="D10" s="15" t="s">
        <v>506</v>
      </c>
      <c r="E10" s="15" t="s">
        <v>305</v>
      </c>
      <c r="F10" s="15" t="s">
        <v>19683</v>
      </c>
      <c r="G10" s="15"/>
      <c r="H10" s="15"/>
      <c r="I10" s="15" t="s">
        <v>528</v>
      </c>
      <c r="J10" s="15" t="s">
        <v>15991</v>
      </c>
    </row>
    <row r="11" spans="2:10">
      <c r="B11" s="15" t="s">
        <v>19667</v>
      </c>
      <c r="C11" s="15" t="s">
        <v>16224</v>
      </c>
      <c r="D11" s="15" t="s">
        <v>371</v>
      </c>
      <c r="E11" s="15" t="s">
        <v>305</v>
      </c>
      <c r="F11" s="15" t="s">
        <v>16225</v>
      </c>
      <c r="G11" s="15"/>
      <c r="H11" s="15"/>
      <c r="I11" s="15" t="s">
        <v>528</v>
      </c>
      <c r="J11" s="15" t="s">
        <v>15991</v>
      </c>
    </row>
    <row r="12" spans="2:10">
      <c r="B12" s="15" t="s">
        <v>19667</v>
      </c>
      <c r="C12" s="15" t="s">
        <v>16017</v>
      </c>
      <c r="D12" s="15" t="s">
        <v>506</v>
      </c>
      <c r="E12" s="15" t="s">
        <v>305</v>
      </c>
      <c r="F12" s="15" t="s">
        <v>16018</v>
      </c>
      <c r="G12" s="15"/>
      <c r="H12" s="15"/>
      <c r="I12" s="15" t="s">
        <v>528</v>
      </c>
      <c r="J12" s="15" t="s">
        <v>15991</v>
      </c>
    </row>
    <row r="13" spans="2:10">
      <c r="B13" s="15" t="s">
        <v>19667</v>
      </c>
      <c r="C13" s="15" t="s">
        <v>16239</v>
      </c>
      <c r="D13" s="15" t="s">
        <v>371</v>
      </c>
      <c r="E13" s="15" t="s">
        <v>305</v>
      </c>
      <c r="F13" s="15" t="s">
        <v>16236</v>
      </c>
      <c r="G13" s="15"/>
      <c r="H13" s="15"/>
      <c r="I13" s="15" t="s">
        <v>528</v>
      </c>
      <c r="J13" s="15" t="s">
        <v>15991</v>
      </c>
    </row>
    <row r="14" spans="2:10">
      <c r="B14" s="15" t="s">
        <v>19667</v>
      </c>
      <c r="C14" s="15" t="s">
        <v>19684</v>
      </c>
      <c r="D14" s="15" t="s">
        <v>16056</v>
      </c>
      <c r="E14" s="15" t="s">
        <v>305</v>
      </c>
      <c r="F14" s="15" t="s">
        <v>19685</v>
      </c>
      <c r="G14" s="15"/>
      <c r="H14" s="15"/>
      <c r="I14" s="15" t="s">
        <v>528</v>
      </c>
      <c r="J14" s="15" t="s">
        <v>15991</v>
      </c>
    </row>
    <row r="15" spans="2:10">
      <c r="B15" s="15" t="s">
        <v>19667</v>
      </c>
      <c r="C15" s="15" t="s">
        <v>19686</v>
      </c>
      <c r="D15" s="15" t="s">
        <v>16056</v>
      </c>
      <c r="E15" s="15" t="s">
        <v>305</v>
      </c>
      <c r="F15" s="15" t="s">
        <v>19687</v>
      </c>
      <c r="G15" s="15"/>
      <c r="H15" s="15"/>
      <c r="I15" s="15" t="s">
        <v>528</v>
      </c>
      <c r="J15" s="15" t="s">
        <v>15991</v>
      </c>
    </row>
    <row r="16" spans="2:10">
      <c r="B16" s="15" t="s">
        <v>19667</v>
      </c>
      <c r="C16" s="15" t="s">
        <v>19688</v>
      </c>
      <c r="D16" s="15" t="s">
        <v>16022</v>
      </c>
      <c r="E16" s="15" t="s">
        <v>305</v>
      </c>
      <c r="F16" s="15" t="s">
        <v>19689</v>
      </c>
      <c r="G16" s="15"/>
      <c r="H16" s="15"/>
      <c r="I16" s="15" t="s">
        <v>528</v>
      </c>
      <c r="J16" s="15" t="s">
        <v>15991</v>
      </c>
    </row>
    <row r="17" spans="2:10">
      <c r="B17" s="15" t="s">
        <v>19667</v>
      </c>
      <c r="C17" s="15" t="s">
        <v>19690</v>
      </c>
      <c r="D17" s="15" t="s">
        <v>16115</v>
      </c>
      <c r="E17" s="15" t="s">
        <v>305</v>
      </c>
      <c r="F17" s="15" t="s">
        <v>19691</v>
      </c>
      <c r="G17" s="15"/>
      <c r="H17" s="15"/>
      <c r="I17" s="15" t="s">
        <v>528</v>
      </c>
      <c r="J17" s="15" t="s">
        <v>15991</v>
      </c>
    </row>
    <row r="18" spans="2:10">
      <c r="B18" s="15" t="s">
        <v>19667</v>
      </c>
      <c r="C18" s="15" t="s">
        <v>16325</v>
      </c>
      <c r="D18" s="15" t="s">
        <v>16056</v>
      </c>
      <c r="E18" s="15" t="s">
        <v>305</v>
      </c>
      <c r="F18" s="15" t="s">
        <v>16326</v>
      </c>
      <c r="G18" s="15"/>
      <c r="H18" s="15"/>
      <c r="I18" s="15" t="s">
        <v>528</v>
      </c>
      <c r="J18" s="15" t="s">
        <v>15991</v>
      </c>
    </row>
  </sheetData>
  <pageMargins left="0.75" right="0.75" top="1" bottom="1" header="0.5" footer="0.5"/>
  <pageSetup paperSize="1" orientation="portrait" horizontalDpi="300" verticalDpi="300"/>
  <headerFooter alignWithMargins="0" scaleWithDoc="0"/>
</worksheet>
</file>

<file path=xl/worksheets/sheet1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9"/>
  <sheetViews>
    <sheetView zoomScaleSheetLayoutView="60" workbookViewId="0">
      <selection activeCell="F3" sqref="F3:F9"/>
    </sheetView>
  </sheetViews>
  <sheetFormatPr defaultColWidth="9.14285714285714" defaultRowHeight="15.2"/>
  <cols>
    <col min="2" max="2" width="19.5357142857143" customWidth="1"/>
    <col min="3" max="4" width="15.625" customWidth="1"/>
    <col min="5" max="5" width="7.79464285714286" customWidth="1"/>
    <col min="6" max="6" width="39.0625" customWidth="1"/>
    <col min="7" max="7" width="15.625" customWidth="1"/>
    <col min="10" max="10" width="11.6875" customWidth="1"/>
  </cols>
  <sheetData>
    <row r="1" spans="1:2">
      <c r="A1" s="52" t="str">
        <f>HYPERLINK("#表结构清单!A1","返回")</f>
        <v>返回</v>
      </c>
      <c r="B1" t="s">
        <v>101</v>
      </c>
    </row>
    <row r="2" spans="2:10">
      <c r="B2" s="13" t="s">
        <v>15982</v>
      </c>
      <c r="C2" s="13" t="s">
        <v>297</v>
      </c>
      <c r="D2" s="13" t="s">
        <v>11870</v>
      </c>
      <c r="E2" s="13" t="s">
        <v>15983</v>
      </c>
      <c r="F2" s="13" t="s">
        <v>15984</v>
      </c>
      <c r="G2" s="13" t="s">
        <v>300</v>
      </c>
      <c r="H2" s="13" t="s">
        <v>301</v>
      </c>
      <c r="I2" s="13" t="s">
        <v>15985</v>
      </c>
      <c r="J2" s="13" t="s">
        <v>15986</v>
      </c>
    </row>
    <row r="3" spans="2:10">
      <c r="B3" s="15" t="s">
        <v>19692</v>
      </c>
      <c r="C3" s="15" t="s">
        <v>19693</v>
      </c>
      <c r="D3" s="15" t="s">
        <v>506</v>
      </c>
      <c r="E3" s="15" t="s">
        <v>15989</v>
      </c>
      <c r="F3" s="15" t="s">
        <v>19694</v>
      </c>
      <c r="G3" s="15"/>
      <c r="H3" s="15"/>
      <c r="I3" s="15" t="s">
        <v>528</v>
      </c>
      <c r="J3" s="15" t="s">
        <v>15991</v>
      </c>
    </row>
    <row r="4" spans="2:10">
      <c r="B4" s="15" t="s">
        <v>19692</v>
      </c>
      <c r="C4" s="15" t="s">
        <v>19695</v>
      </c>
      <c r="D4" s="15" t="s">
        <v>327</v>
      </c>
      <c r="E4" s="15" t="s">
        <v>305</v>
      </c>
      <c r="F4" s="15" t="s">
        <v>19696</v>
      </c>
      <c r="G4" s="15"/>
      <c r="H4" s="15"/>
      <c r="I4" s="15" t="s">
        <v>528</v>
      </c>
      <c r="J4" s="15" t="s">
        <v>15991</v>
      </c>
    </row>
    <row r="5" spans="2:10">
      <c r="B5" s="15" t="s">
        <v>19692</v>
      </c>
      <c r="C5" s="15" t="s">
        <v>19697</v>
      </c>
      <c r="D5" s="15" t="s">
        <v>16022</v>
      </c>
      <c r="E5" s="15" t="s">
        <v>305</v>
      </c>
      <c r="F5" s="15" t="s">
        <v>19698</v>
      </c>
      <c r="G5" s="15"/>
      <c r="H5" s="15"/>
      <c r="I5" s="15" t="s">
        <v>528</v>
      </c>
      <c r="J5" s="15" t="s">
        <v>15991</v>
      </c>
    </row>
    <row r="6" spans="2:10">
      <c r="B6" s="15" t="s">
        <v>19692</v>
      </c>
      <c r="C6" s="15" t="s">
        <v>16224</v>
      </c>
      <c r="D6" s="15" t="s">
        <v>371</v>
      </c>
      <c r="E6" s="15" t="s">
        <v>305</v>
      </c>
      <c r="F6" s="15" t="s">
        <v>16225</v>
      </c>
      <c r="G6" s="15"/>
      <c r="H6" s="15"/>
      <c r="I6" s="15" t="s">
        <v>528</v>
      </c>
      <c r="J6" s="15" t="s">
        <v>15991</v>
      </c>
    </row>
    <row r="7" spans="2:10">
      <c r="B7" s="15" t="s">
        <v>19692</v>
      </c>
      <c r="C7" s="15" t="s">
        <v>16222</v>
      </c>
      <c r="D7" s="15" t="s">
        <v>506</v>
      </c>
      <c r="E7" s="15" t="s">
        <v>305</v>
      </c>
      <c r="F7" s="15" t="s">
        <v>19699</v>
      </c>
      <c r="G7" s="15"/>
      <c r="H7" s="15"/>
      <c r="I7" s="15" t="s">
        <v>528</v>
      </c>
      <c r="J7" s="15" t="s">
        <v>15991</v>
      </c>
    </row>
    <row r="8" spans="2:10">
      <c r="B8" s="15" t="s">
        <v>19692</v>
      </c>
      <c r="C8" s="15" t="s">
        <v>16239</v>
      </c>
      <c r="D8" s="15" t="s">
        <v>371</v>
      </c>
      <c r="E8" s="15" t="s">
        <v>305</v>
      </c>
      <c r="F8" s="15" t="s">
        <v>16236</v>
      </c>
      <c r="G8" s="15"/>
      <c r="H8" s="15"/>
      <c r="I8" s="15" t="s">
        <v>528</v>
      </c>
      <c r="J8" s="15" t="s">
        <v>15991</v>
      </c>
    </row>
    <row r="9" spans="2:10">
      <c r="B9" s="15" t="s">
        <v>19692</v>
      </c>
      <c r="C9" s="15" t="s">
        <v>16243</v>
      </c>
      <c r="D9" s="15" t="s">
        <v>506</v>
      </c>
      <c r="E9" s="15" t="s">
        <v>305</v>
      </c>
      <c r="F9" s="15" t="s">
        <v>16018</v>
      </c>
      <c r="G9" s="15"/>
      <c r="H9" s="15"/>
      <c r="I9" s="15" t="s">
        <v>528</v>
      </c>
      <c r="J9" s="15" t="s">
        <v>15991</v>
      </c>
    </row>
  </sheetData>
  <pageMargins left="0.75" right="0.75" top="1" bottom="1" header="0.5" footer="0.5"/>
  <pageSetup paperSize="1" orientation="portrait" horizontalDpi="300" verticalDpi="300"/>
  <headerFooter alignWithMargins="0" scaleWithDoc="0"/>
</worksheet>
</file>

<file path=xl/worksheets/sheet1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9"/>
  <sheetViews>
    <sheetView zoomScaleSheetLayoutView="60" workbookViewId="0">
      <selection activeCell="F7" sqref="F7"/>
    </sheetView>
  </sheetViews>
  <sheetFormatPr defaultColWidth="9.14285714285714" defaultRowHeight="15.2"/>
  <cols>
    <col min="2" max="2" width="19.5357142857143" customWidth="1"/>
    <col min="3" max="4" width="15.625" customWidth="1"/>
    <col min="5" max="5" width="7.79464285714286" customWidth="1"/>
    <col min="6" max="6" width="39.0625" customWidth="1"/>
    <col min="7" max="7" width="15.625" customWidth="1"/>
    <col min="10" max="10" width="11.6875" customWidth="1"/>
  </cols>
  <sheetData>
    <row r="1" spans="1:2">
      <c r="A1" s="52" t="str">
        <f>HYPERLINK("#表结构清单!A1","返回")</f>
        <v>返回</v>
      </c>
      <c r="B1" t="s">
        <v>102</v>
      </c>
    </row>
    <row r="2" spans="2:10">
      <c r="B2" s="13" t="s">
        <v>15982</v>
      </c>
      <c r="C2" s="13" t="s">
        <v>297</v>
      </c>
      <c r="D2" s="13" t="s">
        <v>11870</v>
      </c>
      <c r="E2" s="13" t="s">
        <v>15983</v>
      </c>
      <c r="F2" s="13" t="s">
        <v>15984</v>
      </c>
      <c r="G2" s="13" t="s">
        <v>300</v>
      </c>
      <c r="H2" s="13" t="s">
        <v>301</v>
      </c>
      <c r="I2" s="13" t="s">
        <v>15985</v>
      </c>
      <c r="J2" s="13" t="s">
        <v>15986</v>
      </c>
    </row>
    <row r="3" spans="2:10">
      <c r="B3" s="15" t="s">
        <v>19700</v>
      </c>
      <c r="C3" s="15" t="s">
        <v>19701</v>
      </c>
      <c r="D3" s="15" t="s">
        <v>506</v>
      </c>
      <c r="E3" s="15" t="s">
        <v>15989</v>
      </c>
      <c r="F3" s="53" t="s">
        <v>16428</v>
      </c>
      <c r="G3" s="15"/>
      <c r="H3" s="15"/>
      <c r="I3" s="15" t="s">
        <v>528</v>
      </c>
      <c r="J3" s="15" t="s">
        <v>15991</v>
      </c>
    </row>
    <row r="4" spans="2:10">
      <c r="B4" s="15" t="s">
        <v>19700</v>
      </c>
      <c r="C4" s="15" t="s">
        <v>19702</v>
      </c>
      <c r="D4" s="15" t="s">
        <v>327</v>
      </c>
      <c r="E4" s="15" t="s">
        <v>305</v>
      </c>
      <c r="F4" s="53" t="s">
        <v>11462</v>
      </c>
      <c r="G4" s="15"/>
      <c r="H4" s="15"/>
      <c r="I4" s="15" t="s">
        <v>528</v>
      </c>
      <c r="J4" s="15" t="s">
        <v>15991</v>
      </c>
    </row>
    <row r="5" spans="2:10">
      <c r="B5" s="15" t="s">
        <v>19700</v>
      </c>
      <c r="C5" s="15" t="s">
        <v>19703</v>
      </c>
      <c r="D5" s="15" t="s">
        <v>16022</v>
      </c>
      <c r="E5" s="15" t="s">
        <v>305</v>
      </c>
      <c r="F5" s="53" t="s">
        <v>301</v>
      </c>
      <c r="G5" s="15"/>
      <c r="H5" s="15"/>
      <c r="I5" s="15" t="s">
        <v>528</v>
      </c>
      <c r="J5" s="15" t="s">
        <v>15991</v>
      </c>
    </row>
    <row r="6" spans="2:10">
      <c r="B6" s="15" t="s">
        <v>19700</v>
      </c>
      <c r="C6" s="15" t="s">
        <v>16224</v>
      </c>
      <c r="D6" s="15" t="s">
        <v>371</v>
      </c>
      <c r="E6" s="15" t="s">
        <v>305</v>
      </c>
      <c r="F6" s="53" t="s">
        <v>16225</v>
      </c>
      <c r="G6" s="15"/>
      <c r="H6" s="15"/>
      <c r="I6" s="15" t="s">
        <v>528</v>
      </c>
      <c r="J6" s="15" t="s">
        <v>15991</v>
      </c>
    </row>
    <row r="7" spans="2:10">
      <c r="B7" s="15" t="s">
        <v>19700</v>
      </c>
      <c r="C7" s="15" t="s">
        <v>16239</v>
      </c>
      <c r="D7" s="15" t="s">
        <v>371</v>
      </c>
      <c r="E7" s="15" t="s">
        <v>305</v>
      </c>
      <c r="F7" s="53" t="s">
        <v>16236</v>
      </c>
      <c r="G7" s="15"/>
      <c r="H7" s="15"/>
      <c r="I7" s="15" t="s">
        <v>528</v>
      </c>
      <c r="J7" s="15" t="s">
        <v>15991</v>
      </c>
    </row>
    <row r="8" spans="2:10">
      <c r="B8" s="15" t="s">
        <v>19700</v>
      </c>
      <c r="C8" s="15" t="s">
        <v>19682</v>
      </c>
      <c r="D8" s="15" t="s">
        <v>506</v>
      </c>
      <c r="E8" s="15" t="s">
        <v>305</v>
      </c>
      <c r="F8" s="15" t="s">
        <v>19699</v>
      </c>
      <c r="G8" s="15"/>
      <c r="H8" s="15"/>
      <c r="I8" s="15" t="s">
        <v>528</v>
      </c>
      <c r="J8" s="15" t="s">
        <v>15991</v>
      </c>
    </row>
    <row r="9" spans="2:10">
      <c r="B9" s="15" t="s">
        <v>19700</v>
      </c>
      <c r="C9" s="15" t="s">
        <v>16017</v>
      </c>
      <c r="D9" s="15" t="s">
        <v>506</v>
      </c>
      <c r="E9" s="15" t="s">
        <v>305</v>
      </c>
      <c r="F9" s="15" t="s">
        <v>16018</v>
      </c>
      <c r="G9" s="15"/>
      <c r="H9" s="15"/>
      <c r="I9" s="15" t="s">
        <v>528</v>
      </c>
      <c r="J9" s="15" t="s">
        <v>15991</v>
      </c>
    </row>
  </sheetData>
  <pageMargins left="0.75" right="0.75" top="1" bottom="1" header="0.5" footer="0.5"/>
  <pageSetup paperSize="1" orientation="portrait" horizontalDpi="300" verticalDpi="300"/>
  <headerFooter alignWithMargins="0" scaleWithDoc="0"/>
</worksheet>
</file>

<file path=xl/worksheets/sheet1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0"/>
  <sheetViews>
    <sheetView zoomScaleSheetLayoutView="60" workbookViewId="0">
      <selection activeCell="D20" sqref="D20"/>
    </sheetView>
  </sheetViews>
  <sheetFormatPr defaultColWidth="9.14285714285714" defaultRowHeight="15.2"/>
  <cols>
    <col min="2" max="2" width="19.5357142857143" customWidth="1"/>
    <col min="3" max="4" width="15.625" customWidth="1"/>
    <col min="5" max="5" width="7.79464285714286" customWidth="1"/>
    <col min="6" max="6" width="39.0625" customWidth="1"/>
    <col min="7" max="7" width="15.625" customWidth="1"/>
    <col min="10" max="10" width="11.6875" customWidth="1"/>
  </cols>
  <sheetData>
    <row r="1" spans="1:2">
      <c r="A1" s="52" t="str">
        <f>HYPERLINK("#表结构清单!A1","返回")</f>
        <v>返回</v>
      </c>
      <c r="B1" t="s">
        <v>103</v>
      </c>
    </row>
    <row r="2" spans="2:10">
      <c r="B2" s="13" t="s">
        <v>15982</v>
      </c>
      <c r="C2" s="13" t="s">
        <v>297</v>
      </c>
      <c r="D2" s="13" t="s">
        <v>11870</v>
      </c>
      <c r="E2" s="13" t="s">
        <v>15983</v>
      </c>
      <c r="F2" s="13" t="s">
        <v>15984</v>
      </c>
      <c r="G2" s="13" t="s">
        <v>300</v>
      </c>
      <c r="H2" s="13" t="s">
        <v>301</v>
      </c>
      <c r="I2" s="13" t="s">
        <v>15985</v>
      </c>
      <c r="J2" s="13" t="s">
        <v>15986</v>
      </c>
    </row>
    <row r="3" spans="2:10">
      <c r="B3" s="15" t="s">
        <v>19704</v>
      </c>
      <c r="C3" s="15" t="s">
        <v>19705</v>
      </c>
      <c r="D3" s="15" t="s">
        <v>506</v>
      </c>
      <c r="E3" s="15" t="s">
        <v>15989</v>
      </c>
      <c r="F3" s="53" t="s">
        <v>16428</v>
      </c>
      <c r="G3" s="15"/>
      <c r="H3" s="15"/>
      <c r="I3" s="15" t="s">
        <v>528</v>
      </c>
      <c r="J3" s="15" t="s">
        <v>15991</v>
      </c>
    </row>
    <row r="4" spans="2:10">
      <c r="B4" s="15" t="s">
        <v>19704</v>
      </c>
      <c r="C4" s="15" t="s">
        <v>19706</v>
      </c>
      <c r="D4" s="15" t="s">
        <v>327</v>
      </c>
      <c r="E4" s="15" t="s">
        <v>305</v>
      </c>
      <c r="F4" s="15" t="s">
        <v>11462</v>
      </c>
      <c r="G4" s="15"/>
      <c r="H4" s="15"/>
      <c r="I4" s="15" t="s">
        <v>528</v>
      </c>
      <c r="J4" s="15" t="s">
        <v>15991</v>
      </c>
    </row>
    <row r="5" spans="2:10">
      <c r="B5" s="15" t="s">
        <v>19704</v>
      </c>
      <c r="C5" s="15" t="s">
        <v>19707</v>
      </c>
      <c r="D5" s="15" t="s">
        <v>16022</v>
      </c>
      <c r="E5" s="15" t="s">
        <v>305</v>
      </c>
      <c r="F5" s="15" t="s">
        <v>301</v>
      </c>
      <c r="G5" s="15"/>
      <c r="H5" s="15"/>
      <c r="I5" s="15" t="s">
        <v>528</v>
      </c>
      <c r="J5" s="15" t="s">
        <v>15991</v>
      </c>
    </row>
    <row r="6" spans="2:10">
      <c r="B6" s="15" t="s">
        <v>19704</v>
      </c>
      <c r="C6" s="15" t="s">
        <v>19701</v>
      </c>
      <c r="D6" s="15" t="s">
        <v>506</v>
      </c>
      <c r="E6" s="15" t="s">
        <v>305</v>
      </c>
      <c r="F6" s="53" t="s">
        <v>19708</v>
      </c>
      <c r="G6" s="15"/>
      <c r="H6" s="15"/>
      <c r="I6" s="15" t="s">
        <v>528</v>
      </c>
      <c r="J6" s="15" t="s">
        <v>15991</v>
      </c>
    </row>
    <row r="7" spans="2:10">
      <c r="B7" s="15" t="s">
        <v>19704</v>
      </c>
      <c r="C7" s="15" t="s">
        <v>16224</v>
      </c>
      <c r="D7" s="15" t="s">
        <v>371</v>
      </c>
      <c r="E7" s="15" t="s">
        <v>305</v>
      </c>
      <c r="F7" s="15" t="s">
        <v>16225</v>
      </c>
      <c r="G7" s="15"/>
      <c r="H7" s="15"/>
      <c r="I7" s="15" t="s">
        <v>528</v>
      </c>
      <c r="J7" s="15" t="s">
        <v>15991</v>
      </c>
    </row>
    <row r="8" spans="2:10">
      <c r="B8" s="15" t="s">
        <v>19704</v>
      </c>
      <c r="C8" s="15" t="s">
        <v>19682</v>
      </c>
      <c r="D8" s="15" t="s">
        <v>506</v>
      </c>
      <c r="E8" s="15" t="s">
        <v>305</v>
      </c>
      <c r="F8" s="53" t="s">
        <v>19699</v>
      </c>
      <c r="G8" s="15"/>
      <c r="H8" s="15"/>
      <c r="I8" s="15" t="s">
        <v>528</v>
      </c>
      <c r="J8" s="15" t="s">
        <v>15991</v>
      </c>
    </row>
    <row r="9" spans="2:10">
      <c r="B9" s="15" t="s">
        <v>19704</v>
      </c>
      <c r="C9" s="15" t="s">
        <v>16239</v>
      </c>
      <c r="D9" s="15" t="s">
        <v>371</v>
      </c>
      <c r="E9" s="15" t="s">
        <v>305</v>
      </c>
      <c r="F9" s="53" t="s">
        <v>16236</v>
      </c>
      <c r="G9" s="15"/>
      <c r="H9" s="15"/>
      <c r="I9" s="15" t="s">
        <v>528</v>
      </c>
      <c r="J9" s="15" t="s">
        <v>15991</v>
      </c>
    </row>
    <row r="10" spans="2:10">
      <c r="B10" s="15" t="s">
        <v>19704</v>
      </c>
      <c r="C10" s="15" t="s">
        <v>16017</v>
      </c>
      <c r="D10" s="15" t="s">
        <v>506</v>
      </c>
      <c r="E10" s="15" t="s">
        <v>305</v>
      </c>
      <c r="F10" s="53" t="s">
        <v>16018</v>
      </c>
      <c r="G10" s="15"/>
      <c r="H10" s="15"/>
      <c r="I10" s="15" t="s">
        <v>528</v>
      </c>
      <c r="J10" s="15" t="s">
        <v>15991</v>
      </c>
    </row>
  </sheetData>
  <pageMargins left="0.75" right="0.75" top="1" bottom="1" header="0.5" footer="0.5"/>
  <pageSetup paperSize="1" orientation="portrait" horizontalDpi="300" verticalDpi="300"/>
  <headerFooter alignWithMargins="0" scaleWithDoc="0"/>
</worksheet>
</file>

<file path=xl/worksheets/sheet1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5"/>
  <sheetViews>
    <sheetView zoomScaleSheetLayoutView="60" workbookViewId="0">
      <selection activeCell="E36" sqref="E36"/>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52" t="str">
        <f>HYPERLINK("#表结构清单!A1","返回")</f>
        <v>返回</v>
      </c>
      <c r="B1" t="s">
        <v>95</v>
      </c>
    </row>
    <row r="2" spans="2:10">
      <c r="B2" s="13" t="s">
        <v>15982</v>
      </c>
      <c r="C2" s="13" t="s">
        <v>297</v>
      </c>
      <c r="D2" s="13" t="s">
        <v>11870</v>
      </c>
      <c r="E2" s="13" t="s">
        <v>15983</v>
      </c>
      <c r="F2" s="13" t="s">
        <v>15984</v>
      </c>
      <c r="G2" s="13" t="s">
        <v>300</v>
      </c>
      <c r="H2" s="13" t="s">
        <v>301</v>
      </c>
      <c r="I2" s="13" t="s">
        <v>15985</v>
      </c>
      <c r="J2" s="13" t="s">
        <v>15986</v>
      </c>
    </row>
    <row r="3" spans="2:10">
      <c r="B3" s="15" t="s">
        <v>19709</v>
      </c>
      <c r="C3" s="15" t="s">
        <v>19710</v>
      </c>
      <c r="D3" s="15" t="s">
        <v>506</v>
      </c>
      <c r="E3" s="15" t="s">
        <v>15989</v>
      </c>
      <c r="F3" s="15" t="s">
        <v>19711</v>
      </c>
      <c r="G3" s="15"/>
      <c r="H3" s="15"/>
      <c r="I3" s="15" t="s">
        <v>528</v>
      </c>
      <c r="J3" s="15" t="s">
        <v>15991</v>
      </c>
    </row>
    <row r="4" spans="2:10">
      <c r="B4" s="15" t="s">
        <v>19709</v>
      </c>
      <c r="C4" s="15" t="s">
        <v>19712</v>
      </c>
      <c r="D4" s="15" t="s">
        <v>506</v>
      </c>
      <c r="E4" s="15" t="s">
        <v>305</v>
      </c>
      <c r="F4" s="15" t="s">
        <v>19713</v>
      </c>
      <c r="G4" s="15"/>
      <c r="H4" s="15"/>
      <c r="I4" s="15" t="s">
        <v>528</v>
      </c>
      <c r="J4" s="15" t="s">
        <v>15991</v>
      </c>
    </row>
    <row r="5" spans="2:10">
      <c r="B5" s="15" t="s">
        <v>19709</v>
      </c>
      <c r="C5" s="15" t="s">
        <v>16098</v>
      </c>
      <c r="D5" s="15" t="s">
        <v>506</v>
      </c>
      <c r="E5" s="15" t="s">
        <v>305</v>
      </c>
      <c r="F5" s="15" t="s">
        <v>16099</v>
      </c>
      <c r="G5" s="52" t="str">
        <f>HYPERLINK("#码值映射清单!B5219","ApplyType")</f>
        <v>ApplyType</v>
      </c>
      <c r="H5" s="15"/>
      <c r="I5" s="15" t="s">
        <v>528</v>
      </c>
      <c r="J5" s="15" t="s">
        <v>15991</v>
      </c>
    </row>
    <row r="6" spans="2:10">
      <c r="B6" s="15" t="s">
        <v>19709</v>
      </c>
      <c r="C6" s="15" t="s">
        <v>19714</v>
      </c>
      <c r="D6" s="15" t="s">
        <v>327</v>
      </c>
      <c r="E6" s="15" t="s">
        <v>305</v>
      </c>
      <c r="F6" s="15" t="s">
        <v>19715</v>
      </c>
      <c r="G6" s="15"/>
      <c r="H6" s="15"/>
      <c r="I6" s="15" t="s">
        <v>528</v>
      </c>
      <c r="J6" s="15" t="s">
        <v>15991</v>
      </c>
    </row>
    <row r="7" spans="2:10">
      <c r="B7" s="15" t="s">
        <v>19709</v>
      </c>
      <c r="C7" s="15" t="s">
        <v>19716</v>
      </c>
      <c r="D7" s="15" t="s">
        <v>327</v>
      </c>
      <c r="E7" s="15" t="s">
        <v>305</v>
      </c>
      <c r="F7" s="15" t="s">
        <v>19717</v>
      </c>
      <c r="G7" s="15"/>
      <c r="H7" s="15"/>
      <c r="I7" s="15" t="s">
        <v>528</v>
      </c>
      <c r="J7" s="15" t="s">
        <v>15991</v>
      </c>
    </row>
    <row r="8" spans="2:10">
      <c r="B8" s="15" t="s">
        <v>19709</v>
      </c>
      <c r="C8" s="15" t="s">
        <v>19718</v>
      </c>
      <c r="D8" s="15" t="s">
        <v>321</v>
      </c>
      <c r="E8" s="15" t="s">
        <v>305</v>
      </c>
      <c r="F8" s="15" t="s">
        <v>19719</v>
      </c>
      <c r="G8" s="15"/>
      <c r="H8" s="15"/>
      <c r="I8" s="15" t="s">
        <v>528</v>
      </c>
      <c r="J8" s="15" t="s">
        <v>15991</v>
      </c>
    </row>
    <row r="9" spans="2:10">
      <c r="B9" s="15" t="s">
        <v>19709</v>
      </c>
      <c r="C9" s="15" t="s">
        <v>19720</v>
      </c>
      <c r="D9" s="15" t="s">
        <v>316</v>
      </c>
      <c r="E9" s="15" t="s">
        <v>305</v>
      </c>
      <c r="F9" s="15" t="s">
        <v>19721</v>
      </c>
      <c r="G9" s="15"/>
      <c r="H9" s="15"/>
      <c r="I9" s="15" t="s">
        <v>528</v>
      </c>
      <c r="J9" s="15" t="s">
        <v>15991</v>
      </c>
    </row>
    <row r="10" spans="2:10">
      <c r="B10" s="15" t="s">
        <v>19709</v>
      </c>
      <c r="C10" s="15" t="s">
        <v>19722</v>
      </c>
      <c r="D10" s="15" t="s">
        <v>16056</v>
      </c>
      <c r="E10" s="15" t="s">
        <v>305</v>
      </c>
      <c r="F10" s="15" t="s">
        <v>19723</v>
      </c>
      <c r="G10" s="15"/>
      <c r="H10" s="15"/>
      <c r="I10" s="15" t="s">
        <v>528</v>
      </c>
      <c r="J10" s="15" t="s">
        <v>15991</v>
      </c>
    </row>
    <row r="11" spans="2:10">
      <c r="B11" s="15" t="s">
        <v>19709</v>
      </c>
      <c r="C11" s="15" t="s">
        <v>19724</v>
      </c>
      <c r="D11" s="15" t="s">
        <v>316</v>
      </c>
      <c r="E11" s="15" t="s">
        <v>305</v>
      </c>
      <c r="F11" s="15" t="s">
        <v>19725</v>
      </c>
      <c r="G11" s="15"/>
      <c r="H11" s="15"/>
      <c r="I11" s="15" t="s">
        <v>528</v>
      </c>
      <c r="J11" s="15" t="s">
        <v>15991</v>
      </c>
    </row>
    <row r="12" spans="2:10">
      <c r="B12" s="15" t="s">
        <v>19709</v>
      </c>
      <c r="C12" s="15" t="s">
        <v>16255</v>
      </c>
      <c r="D12" s="15" t="s">
        <v>321</v>
      </c>
      <c r="E12" s="15" t="s">
        <v>305</v>
      </c>
      <c r="F12" s="15" t="s">
        <v>2211</v>
      </c>
      <c r="G12" s="52" t="str">
        <f>HYPERLINK("#码值映射清单!B5150","YesNo")</f>
        <v>YesNo</v>
      </c>
      <c r="H12" s="15"/>
      <c r="I12" s="15" t="s">
        <v>528</v>
      </c>
      <c r="J12" s="15" t="s">
        <v>15991</v>
      </c>
    </row>
    <row r="13" spans="2:10">
      <c r="B13" s="15" t="s">
        <v>19709</v>
      </c>
      <c r="C13" s="15" t="s">
        <v>19726</v>
      </c>
      <c r="D13" s="15" t="s">
        <v>513</v>
      </c>
      <c r="E13" s="15" t="s">
        <v>15989</v>
      </c>
      <c r="F13" s="15" t="s">
        <v>19727</v>
      </c>
      <c r="G13" s="15"/>
      <c r="H13" s="15"/>
      <c r="I13" s="15" t="s">
        <v>528</v>
      </c>
      <c r="J13" s="15" t="s">
        <v>15991</v>
      </c>
    </row>
    <row r="14" spans="2:10">
      <c r="B14" s="15" t="s">
        <v>19709</v>
      </c>
      <c r="C14" s="15" t="s">
        <v>19728</v>
      </c>
      <c r="D14" s="15" t="s">
        <v>316</v>
      </c>
      <c r="E14" s="15" t="s">
        <v>305</v>
      </c>
      <c r="F14" s="15" t="s">
        <v>19729</v>
      </c>
      <c r="G14" s="15"/>
      <c r="H14" s="15"/>
      <c r="I14" s="15" t="s">
        <v>528</v>
      </c>
      <c r="J14" s="15" t="s">
        <v>15991</v>
      </c>
    </row>
    <row r="15" spans="2:10">
      <c r="B15" s="15" t="s">
        <v>19709</v>
      </c>
      <c r="C15" s="15" t="s">
        <v>19730</v>
      </c>
      <c r="D15" s="15" t="s">
        <v>506</v>
      </c>
      <c r="E15" s="15" t="s">
        <v>305</v>
      </c>
      <c r="F15" s="15" t="s">
        <v>19713</v>
      </c>
      <c r="G15" s="15"/>
      <c r="H15" s="15"/>
      <c r="I15" s="15" t="s">
        <v>528</v>
      </c>
      <c r="J15" s="15" t="s">
        <v>15991</v>
      </c>
    </row>
    <row r="16" spans="2:10">
      <c r="B16" s="15" t="s">
        <v>19709</v>
      </c>
      <c r="C16" s="15" t="s">
        <v>16009</v>
      </c>
      <c r="D16" s="15" t="s">
        <v>316</v>
      </c>
      <c r="E16" s="15" t="s">
        <v>305</v>
      </c>
      <c r="F16" s="15" t="s">
        <v>16010</v>
      </c>
      <c r="G16" s="15"/>
      <c r="H16" s="15"/>
      <c r="I16" s="15" t="s">
        <v>528</v>
      </c>
      <c r="J16" s="15" t="s">
        <v>15991</v>
      </c>
    </row>
    <row r="17" spans="2:10">
      <c r="B17" s="15" t="s">
        <v>19709</v>
      </c>
      <c r="C17" s="15" t="s">
        <v>16011</v>
      </c>
      <c r="D17" s="15" t="s">
        <v>316</v>
      </c>
      <c r="E17" s="15" t="s">
        <v>305</v>
      </c>
      <c r="F17" s="15" t="s">
        <v>16012</v>
      </c>
      <c r="G17" s="15"/>
      <c r="H17" s="15"/>
      <c r="I17" s="15" t="s">
        <v>528</v>
      </c>
      <c r="J17" s="15" t="s">
        <v>15991</v>
      </c>
    </row>
    <row r="18" spans="2:10">
      <c r="B18" s="15" t="s">
        <v>19709</v>
      </c>
      <c r="C18" s="15" t="s">
        <v>16013</v>
      </c>
      <c r="D18" s="15" t="s">
        <v>371</v>
      </c>
      <c r="E18" s="15" t="s">
        <v>305</v>
      </c>
      <c r="F18" s="15" t="s">
        <v>16014</v>
      </c>
      <c r="G18" s="15"/>
      <c r="H18" s="15"/>
      <c r="I18" s="15" t="s">
        <v>528</v>
      </c>
      <c r="J18" s="15" t="s">
        <v>15991</v>
      </c>
    </row>
    <row r="19" spans="2:10">
      <c r="B19" s="15" t="s">
        <v>19709</v>
      </c>
      <c r="C19" s="15" t="s">
        <v>16015</v>
      </c>
      <c r="D19" s="15" t="s">
        <v>316</v>
      </c>
      <c r="E19" s="15" t="s">
        <v>305</v>
      </c>
      <c r="F19" s="15" t="s">
        <v>16016</v>
      </c>
      <c r="G19" s="15"/>
      <c r="H19" s="15"/>
      <c r="I19" s="15" t="s">
        <v>528</v>
      </c>
      <c r="J19" s="15" t="s">
        <v>15991</v>
      </c>
    </row>
    <row r="20" spans="2:10">
      <c r="B20" s="15" t="s">
        <v>19709</v>
      </c>
      <c r="C20" s="15" t="s">
        <v>16017</v>
      </c>
      <c r="D20" s="15" t="s">
        <v>316</v>
      </c>
      <c r="E20" s="15" t="s">
        <v>305</v>
      </c>
      <c r="F20" s="15" t="s">
        <v>16018</v>
      </c>
      <c r="G20" s="15"/>
      <c r="H20" s="15"/>
      <c r="I20" s="15" t="s">
        <v>528</v>
      </c>
      <c r="J20" s="15" t="s">
        <v>15991</v>
      </c>
    </row>
    <row r="21" spans="2:10">
      <c r="B21" s="15" t="s">
        <v>19709</v>
      </c>
      <c r="C21" s="15" t="s">
        <v>16019</v>
      </c>
      <c r="D21" s="15" t="s">
        <v>371</v>
      </c>
      <c r="E21" s="15" t="s">
        <v>305</v>
      </c>
      <c r="F21" s="15" t="s">
        <v>16020</v>
      </c>
      <c r="G21" s="15"/>
      <c r="H21" s="15"/>
      <c r="I21" s="15" t="s">
        <v>528</v>
      </c>
      <c r="J21" s="15" t="s">
        <v>15991</v>
      </c>
    </row>
    <row r="22" spans="2:10">
      <c r="B22" s="15" t="s">
        <v>19709</v>
      </c>
      <c r="C22" s="15" t="s">
        <v>16088</v>
      </c>
      <c r="D22" s="15" t="s">
        <v>316</v>
      </c>
      <c r="E22" s="15" t="s">
        <v>305</v>
      </c>
      <c r="F22" s="15" t="s">
        <v>16089</v>
      </c>
      <c r="G22" s="15"/>
      <c r="H22" s="15"/>
      <c r="I22" s="15" t="s">
        <v>528</v>
      </c>
      <c r="J22" s="15" t="s">
        <v>15991</v>
      </c>
    </row>
    <row r="23" spans="2:10">
      <c r="B23" s="15" t="s">
        <v>19709</v>
      </c>
      <c r="C23" s="15" t="s">
        <v>19731</v>
      </c>
      <c r="D23" s="15" t="s">
        <v>16115</v>
      </c>
      <c r="E23" s="15" t="s">
        <v>305</v>
      </c>
      <c r="F23" s="15" t="s">
        <v>19732</v>
      </c>
      <c r="G23" s="15"/>
      <c r="H23" s="15"/>
      <c r="I23" s="15" t="s">
        <v>528</v>
      </c>
      <c r="J23" s="15" t="s">
        <v>15991</v>
      </c>
    </row>
    <row r="24" spans="2:10">
      <c r="B24" s="15" t="s">
        <v>19709</v>
      </c>
      <c r="C24" s="15" t="s">
        <v>19733</v>
      </c>
      <c r="D24" s="15" t="s">
        <v>16115</v>
      </c>
      <c r="E24" s="15" t="s">
        <v>305</v>
      </c>
      <c r="F24" s="15" t="s">
        <v>19734</v>
      </c>
      <c r="G24" s="15"/>
      <c r="H24" s="15"/>
      <c r="I24" s="15" t="s">
        <v>528</v>
      </c>
      <c r="J24" s="15" t="s">
        <v>15991</v>
      </c>
    </row>
    <row r="25" spans="2:10">
      <c r="B25" s="15" t="s">
        <v>19709</v>
      </c>
      <c r="C25" s="15" t="s">
        <v>19735</v>
      </c>
      <c r="D25" s="15" t="s">
        <v>506</v>
      </c>
      <c r="E25" s="15" t="s">
        <v>305</v>
      </c>
      <c r="F25" s="15" t="s">
        <v>102</v>
      </c>
      <c r="G25" s="15"/>
      <c r="H25" s="15"/>
      <c r="I25" s="15" t="s">
        <v>528</v>
      </c>
      <c r="J25" s="15" t="s">
        <v>15991</v>
      </c>
    </row>
  </sheetData>
  <pageMargins left="0.75" right="0.75" top="1" bottom="1" header="0.5" footer="0.5"/>
  <pageSetup paperSize="1" orientation="portrait" horizontalDpi="300" verticalDpi="300"/>
  <headerFooter alignWithMargins="0" scaleWithDoc="0"/>
</worksheet>
</file>

<file path=xl/worksheets/sheet1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6"/>
  <sheetViews>
    <sheetView zoomScaleSheetLayoutView="60" workbookViewId="0">
      <selection activeCell="F3" sqref="F3:F16"/>
    </sheetView>
  </sheetViews>
  <sheetFormatPr defaultColWidth="9.14285714285714" defaultRowHeight="15.2"/>
  <cols>
    <col min="2" max="2" width="19.5357142857143" customWidth="1"/>
    <col min="3" max="4" width="15.625" customWidth="1"/>
    <col min="5" max="5" width="7.79464285714286" customWidth="1"/>
    <col min="6" max="6" width="39.0625" customWidth="1"/>
    <col min="7" max="7" width="15.625" customWidth="1"/>
    <col min="10" max="10" width="11.6875" customWidth="1"/>
  </cols>
  <sheetData>
    <row r="1" spans="1:2">
      <c r="A1" s="52" t="str">
        <f>HYPERLINK("#表结构清单!A1","返回")</f>
        <v>返回</v>
      </c>
      <c r="B1" t="s">
        <v>104</v>
      </c>
    </row>
    <row r="2" spans="2:10">
      <c r="B2" s="13" t="s">
        <v>15982</v>
      </c>
      <c r="C2" s="13" t="s">
        <v>297</v>
      </c>
      <c r="D2" s="13" t="s">
        <v>11870</v>
      </c>
      <c r="E2" s="13" t="s">
        <v>15983</v>
      </c>
      <c r="F2" s="13" t="s">
        <v>15984</v>
      </c>
      <c r="G2" s="13" t="s">
        <v>300</v>
      </c>
      <c r="H2" s="13" t="s">
        <v>301</v>
      </c>
      <c r="I2" s="13" t="s">
        <v>15985</v>
      </c>
      <c r="J2" s="13" t="s">
        <v>15986</v>
      </c>
    </row>
    <row r="3" spans="2:10">
      <c r="B3" s="15" t="s">
        <v>19736</v>
      </c>
      <c r="C3" s="15" t="s">
        <v>19737</v>
      </c>
      <c r="D3" s="15" t="s">
        <v>367</v>
      </c>
      <c r="E3" s="15" t="s">
        <v>15989</v>
      </c>
      <c r="F3" s="15" t="s">
        <v>19738</v>
      </c>
      <c r="G3" s="15"/>
      <c r="H3" s="15"/>
      <c r="I3" s="15" t="s">
        <v>528</v>
      </c>
      <c r="J3" s="15" t="s">
        <v>15991</v>
      </c>
    </row>
    <row r="4" spans="2:10">
      <c r="B4" s="15" t="s">
        <v>19736</v>
      </c>
      <c r="C4" s="15" t="s">
        <v>19739</v>
      </c>
      <c r="D4" s="15" t="s">
        <v>327</v>
      </c>
      <c r="E4" s="15" t="s">
        <v>305</v>
      </c>
      <c r="F4" s="15" t="s">
        <v>19740</v>
      </c>
      <c r="G4" s="15"/>
      <c r="H4" s="15"/>
      <c r="I4" s="15" t="s">
        <v>528</v>
      </c>
      <c r="J4" s="15" t="s">
        <v>15991</v>
      </c>
    </row>
    <row r="5" spans="2:10">
      <c r="B5" s="15" t="s">
        <v>19736</v>
      </c>
      <c r="C5" s="15" t="s">
        <v>19741</v>
      </c>
      <c r="D5" s="15" t="s">
        <v>506</v>
      </c>
      <c r="E5" s="15" t="s">
        <v>305</v>
      </c>
      <c r="F5" s="15" t="s">
        <v>19742</v>
      </c>
      <c r="G5" s="15"/>
      <c r="H5" s="15"/>
      <c r="I5" s="15" t="s">
        <v>528</v>
      </c>
      <c r="J5" s="15" t="s">
        <v>15991</v>
      </c>
    </row>
    <row r="6" spans="2:10">
      <c r="B6" s="15" t="s">
        <v>19736</v>
      </c>
      <c r="C6" s="15" t="s">
        <v>19743</v>
      </c>
      <c r="D6" s="15" t="s">
        <v>16056</v>
      </c>
      <c r="E6" s="15" t="s">
        <v>305</v>
      </c>
      <c r="F6" s="15" t="s">
        <v>19727</v>
      </c>
      <c r="G6" s="15"/>
      <c r="H6" s="15"/>
      <c r="I6" s="15" t="s">
        <v>528</v>
      </c>
      <c r="J6" s="15" t="s">
        <v>15991</v>
      </c>
    </row>
    <row r="7" spans="2:10">
      <c r="B7" s="15" t="s">
        <v>19736</v>
      </c>
      <c r="C7" s="15" t="s">
        <v>16407</v>
      </c>
      <c r="D7" s="15" t="s">
        <v>506</v>
      </c>
      <c r="E7" s="15" t="s">
        <v>305</v>
      </c>
      <c r="F7" s="15" t="s">
        <v>19744</v>
      </c>
      <c r="G7" s="15"/>
      <c r="H7" s="15"/>
      <c r="I7" s="15" t="s">
        <v>528</v>
      </c>
      <c r="J7" s="15" t="s">
        <v>15991</v>
      </c>
    </row>
    <row r="8" spans="2:10">
      <c r="B8" s="15" t="s">
        <v>19736</v>
      </c>
      <c r="C8" s="15" t="s">
        <v>19745</v>
      </c>
      <c r="D8" s="15" t="s">
        <v>506</v>
      </c>
      <c r="E8" s="15" t="s">
        <v>305</v>
      </c>
      <c r="F8" s="15" t="s">
        <v>19746</v>
      </c>
      <c r="G8" s="15"/>
      <c r="H8" s="15"/>
      <c r="I8" s="15" t="s">
        <v>528</v>
      </c>
      <c r="J8" s="15" t="s">
        <v>15991</v>
      </c>
    </row>
    <row r="9" spans="2:10">
      <c r="B9" s="15" t="s">
        <v>19736</v>
      </c>
      <c r="C9" s="15" t="s">
        <v>19747</v>
      </c>
      <c r="D9" s="15" t="s">
        <v>19748</v>
      </c>
      <c r="E9" s="15" t="s">
        <v>305</v>
      </c>
      <c r="F9" s="15" t="s">
        <v>19749</v>
      </c>
      <c r="G9" s="15"/>
      <c r="H9" s="15"/>
      <c r="I9" s="15" t="s">
        <v>528</v>
      </c>
      <c r="J9" s="15" t="s">
        <v>15991</v>
      </c>
    </row>
    <row r="10" spans="2:10">
      <c r="B10" s="15" t="s">
        <v>19736</v>
      </c>
      <c r="C10" s="15" t="s">
        <v>19750</v>
      </c>
      <c r="D10" s="15" t="s">
        <v>19748</v>
      </c>
      <c r="E10" s="15" t="s">
        <v>305</v>
      </c>
      <c r="F10" s="15" t="s">
        <v>19751</v>
      </c>
      <c r="G10" s="15"/>
      <c r="H10" s="15"/>
      <c r="I10" s="15" t="s">
        <v>528</v>
      </c>
      <c r="J10" s="15" t="s">
        <v>15991</v>
      </c>
    </row>
    <row r="11" spans="2:10">
      <c r="B11" s="15" t="s">
        <v>19736</v>
      </c>
      <c r="C11" s="15" t="s">
        <v>16255</v>
      </c>
      <c r="D11" s="15" t="s">
        <v>321</v>
      </c>
      <c r="E11" s="15" t="s">
        <v>305</v>
      </c>
      <c r="F11" s="15" t="s">
        <v>16492</v>
      </c>
      <c r="G11" s="15"/>
      <c r="H11" s="15"/>
      <c r="I11" s="15" t="s">
        <v>528</v>
      </c>
      <c r="J11" s="15" t="s">
        <v>15991</v>
      </c>
    </row>
    <row r="12" spans="2:10">
      <c r="B12" s="15" t="s">
        <v>19736</v>
      </c>
      <c r="C12" s="15" t="s">
        <v>19752</v>
      </c>
      <c r="D12" s="15" t="s">
        <v>16022</v>
      </c>
      <c r="E12" s="15" t="s">
        <v>305</v>
      </c>
      <c r="F12" s="15" t="s">
        <v>301</v>
      </c>
      <c r="G12" s="15"/>
      <c r="H12" s="15"/>
      <c r="I12" s="15" t="s">
        <v>528</v>
      </c>
      <c r="J12" s="15" t="s">
        <v>15991</v>
      </c>
    </row>
    <row r="13" spans="2:10">
      <c r="B13" s="15" t="s">
        <v>19736</v>
      </c>
      <c r="C13" s="15" t="s">
        <v>16224</v>
      </c>
      <c r="D13" s="15" t="s">
        <v>371</v>
      </c>
      <c r="E13" s="15" t="s">
        <v>305</v>
      </c>
      <c r="F13" s="15" t="s">
        <v>16225</v>
      </c>
      <c r="G13" s="15"/>
      <c r="H13" s="15"/>
      <c r="I13" s="15" t="s">
        <v>528</v>
      </c>
      <c r="J13" s="15" t="s">
        <v>15991</v>
      </c>
    </row>
    <row r="14" spans="2:10">
      <c r="B14" s="16" t="s">
        <v>19736</v>
      </c>
      <c r="C14" s="16" t="s">
        <v>19682</v>
      </c>
      <c r="D14" s="16" t="s">
        <v>506</v>
      </c>
      <c r="E14" s="16" t="s">
        <v>305</v>
      </c>
      <c r="F14" s="16" t="s">
        <v>19699</v>
      </c>
      <c r="G14" s="16"/>
      <c r="H14" s="16"/>
      <c r="I14" s="16" t="s">
        <v>528</v>
      </c>
      <c r="J14" s="16" t="s">
        <v>15991</v>
      </c>
    </row>
    <row r="15" spans="2:10">
      <c r="B15" s="4" t="s">
        <v>19736</v>
      </c>
      <c r="C15" s="5" t="s">
        <v>19753</v>
      </c>
      <c r="D15" s="4" t="s">
        <v>506</v>
      </c>
      <c r="E15" s="4" t="s">
        <v>305</v>
      </c>
      <c r="F15" s="5" t="s">
        <v>16526</v>
      </c>
      <c r="G15" s="5"/>
      <c r="H15" s="5"/>
      <c r="I15" s="5"/>
      <c r="J15" s="16" t="s">
        <v>15991</v>
      </c>
    </row>
    <row r="16" spans="2:10">
      <c r="B16" s="4" t="s">
        <v>19736</v>
      </c>
      <c r="C16" s="5" t="s">
        <v>19754</v>
      </c>
      <c r="D16" s="4" t="s">
        <v>506</v>
      </c>
      <c r="E16" s="4" t="s">
        <v>305</v>
      </c>
      <c r="F16" s="5" t="s">
        <v>19755</v>
      </c>
      <c r="G16" s="5"/>
      <c r="H16" s="5"/>
      <c r="I16" s="5"/>
      <c r="J16" s="16" t="s">
        <v>15991</v>
      </c>
    </row>
  </sheetData>
  <pageMargins left="0.75" right="0.75" top="1" bottom="1" header="0.5" footer="0.5"/>
  <pageSetup paperSize="1" orientation="portrait" horizontalDpi="300" verticalDpi="300"/>
  <headerFooter alignWithMargins="0" scaleWithDoc="0"/>
</worksheet>
</file>

<file path=xl/worksheets/sheet1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8"/>
  <sheetViews>
    <sheetView zoomScaleSheetLayoutView="60" workbookViewId="0">
      <selection activeCell="F4" sqref="F3:F8"/>
    </sheetView>
  </sheetViews>
  <sheetFormatPr defaultColWidth="9.14285714285714" defaultRowHeight="15.2" outlineLevelRow="7"/>
  <cols>
    <col min="2" max="2" width="19.5357142857143" customWidth="1"/>
    <col min="3" max="4" width="15.625" customWidth="1"/>
    <col min="5" max="5" width="7.79464285714286" customWidth="1"/>
    <col min="6" max="6" width="39.0625" customWidth="1"/>
    <col min="7" max="7" width="15.625" customWidth="1"/>
    <col min="10" max="10" width="11.6875" customWidth="1"/>
  </cols>
  <sheetData>
    <row r="1" spans="1:2">
      <c r="A1" s="52" t="str">
        <f>HYPERLINK("#表结构清单!A1","返回")</f>
        <v>返回</v>
      </c>
      <c r="B1" t="s">
        <v>105</v>
      </c>
    </row>
    <row r="2" spans="2:10">
      <c r="B2" s="13" t="s">
        <v>15982</v>
      </c>
      <c r="C2" s="13" t="s">
        <v>297</v>
      </c>
      <c r="D2" s="13" t="s">
        <v>11870</v>
      </c>
      <c r="E2" s="13" t="s">
        <v>15983</v>
      </c>
      <c r="F2" s="13" t="s">
        <v>15984</v>
      </c>
      <c r="G2" s="13" t="s">
        <v>300</v>
      </c>
      <c r="H2" s="13" t="s">
        <v>301</v>
      </c>
      <c r="I2" s="13" t="s">
        <v>15985</v>
      </c>
      <c r="J2" s="13" t="s">
        <v>15986</v>
      </c>
    </row>
    <row r="3" spans="2:10">
      <c r="B3" s="15" t="s">
        <v>19756</v>
      </c>
      <c r="C3" s="15" t="s">
        <v>19745</v>
      </c>
      <c r="D3" s="15" t="s">
        <v>506</v>
      </c>
      <c r="E3" s="15" t="s">
        <v>15989</v>
      </c>
      <c r="F3" s="15" t="s">
        <v>15990</v>
      </c>
      <c r="G3" s="15"/>
      <c r="H3" s="15"/>
      <c r="I3" s="15" t="s">
        <v>528</v>
      </c>
      <c r="J3" s="15" t="s">
        <v>15991</v>
      </c>
    </row>
    <row r="4" spans="2:10">
      <c r="B4" s="15" t="s">
        <v>19756</v>
      </c>
      <c r="C4" s="15" t="s">
        <v>19757</v>
      </c>
      <c r="D4" s="15" t="s">
        <v>327</v>
      </c>
      <c r="E4" s="15" t="s">
        <v>305</v>
      </c>
      <c r="F4" s="15" t="s">
        <v>11462</v>
      </c>
      <c r="G4" s="15"/>
      <c r="H4" s="15"/>
      <c r="I4" s="15" t="s">
        <v>528</v>
      </c>
      <c r="J4" s="15" t="s">
        <v>15991</v>
      </c>
    </row>
    <row r="5" spans="2:10">
      <c r="B5" s="15" t="s">
        <v>19756</v>
      </c>
      <c r="C5" s="15" t="s">
        <v>19758</v>
      </c>
      <c r="D5" s="15" t="s">
        <v>16022</v>
      </c>
      <c r="E5" s="15" t="s">
        <v>305</v>
      </c>
      <c r="F5" s="15" t="s">
        <v>19759</v>
      </c>
      <c r="G5" s="15"/>
      <c r="H5" s="15"/>
      <c r="I5" s="15" t="s">
        <v>528</v>
      </c>
      <c r="J5" s="15" t="s">
        <v>15991</v>
      </c>
    </row>
    <row r="6" spans="2:10">
      <c r="B6" s="15" t="s">
        <v>19756</v>
      </c>
      <c r="C6" s="15" t="s">
        <v>19760</v>
      </c>
      <c r="D6" s="15" t="s">
        <v>16022</v>
      </c>
      <c r="E6" s="15" t="s">
        <v>305</v>
      </c>
      <c r="F6" s="15" t="s">
        <v>301</v>
      </c>
      <c r="G6" s="15"/>
      <c r="H6" s="15"/>
      <c r="I6" s="15" t="s">
        <v>528</v>
      </c>
      <c r="J6" s="15" t="s">
        <v>15991</v>
      </c>
    </row>
    <row r="7" spans="2:10">
      <c r="B7" s="15" t="s">
        <v>19756</v>
      </c>
      <c r="C7" s="15" t="s">
        <v>16224</v>
      </c>
      <c r="D7" s="15" t="s">
        <v>371</v>
      </c>
      <c r="E7" s="15" t="s">
        <v>305</v>
      </c>
      <c r="F7" s="15" t="s">
        <v>16225</v>
      </c>
      <c r="G7" s="15"/>
      <c r="H7" s="15"/>
      <c r="I7" s="15" t="s">
        <v>528</v>
      </c>
      <c r="J7" s="15" t="s">
        <v>15991</v>
      </c>
    </row>
    <row r="8" spans="2:10">
      <c r="B8" s="15" t="s">
        <v>19756</v>
      </c>
      <c r="C8" s="15" t="s">
        <v>19682</v>
      </c>
      <c r="D8" s="15" t="s">
        <v>506</v>
      </c>
      <c r="E8" s="15" t="s">
        <v>305</v>
      </c>
      <c r="F8" s="15" t="s">
        <v>19699</v>
      </c>
      <c r="G8" s="15"/>
      <c r="H8" s="15"/>
      <c r="I8" s="15" t="s">
        <v>528</v>
      </c>
      <c r="J8" s="15" t="s">
        <v>15991</v>
      </c>
    </row>
  </sheetData>
  <pageMargins left="0.75" right="0.75" top="1" bottom="1" header="0.5" footer="0.5"/>
  <pageSetup paperSize="1" orientation="portrait" horizontalDpi="300" verticalDpi="300"/>
  <headerFooter alignWithMargins="0" scaleWithDoc="0"/>
</worksheet>
</file>

<file path=xl/worksheets/sheet1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4"/>
  <sheetViews>
    <sheetView zoomScaleSheetLayoutView="60" workbookViewId="0">
      <selection activeCell="F3" sqref="F3:F14"/>
    </sheetView>
  </sheetViews>
  <sheetFormatPr defaultColWidth="9.14285714285714" defaultRowHeight="15.2"/>
  <cols>
    <col min="2" max="2" width="19.5357142857143" customWidth="1"/>
    <col min="3" max="4" width="15.625" customWidth="1"/>
    <col min="5" max="5" width="7.79464285714286" customWidth="1"/>
    <col min="6" max="6" width="39.0625" customWidth="1"/>
    <col min="7" max="7" width="15.625" customWidth="1"/>
    <col min="10" max="10" width="11.6875" customWidth="1"/>
  </cols>
  <sheetData>
    <row r="1" spans="1:2">
      <c r="A1" s="52" t="str">
        <f>HYPERLINK("#表结构清单!A1","返回")</f>
        <v>返回</v>
      </c>
      <c r="B1" t="s">
        <v>106</v>
      </c>
    </row>
    <row r="2" spans="2:10">
      <c r="B2" s="13" t="s">
        <v>15982</v>
      </c>
      <c r="C2" s="13" t="s">
        <v>297</v>
      </c>
      <c r="D2" s="13" t="s">
        <v>11870</v>
      </c>
      <c r="E2" s="13" t="s">
        <v>15983</v>
      </c>
      <c r="F2" s="13" t="s">
        <v>15984</v>
      </c>
      <c r="G2" s="13" t="s">
        <v>300</v>
      </c>
      <c r="H2" s="13" t="s">
        <v>301</v>
      </c>
      <c r="I2" s="13" t="s">
        <v>15985</v>
      </c>
      <c r="J2" s="13" t="s">
        <v>15986</v>
      </c>
    </row>
    <row r="3" spans="2:10">
      <c r="B3" s="15" t="s">
        <v>19761</v>
      </c>
      <c r="C3" s="15" t="s">
        <v>16407</v>
      </c>
      <c r="D3" s="15" t="s">
        <v>506</v>
      </c>
      <c r="E3" s="15" t="s">
        <v>15989</v>
      </c>
      <c r="F3" s="15" t="s">
        <v>16322</v>
      </c>
      <c r="G3" s="15"/>
      <c r="H3" s="15"/>
      <c r="I3" s="15" t="s">
        <v>528</v>
      </c>
      <c r="J3" s="15" t="s">
        <v>15991</v>
      </c>
    </row>
    <row r="4" spans="2:10">
      <c r="B4" s="15" t="s">
        <v>19761</v>
      </c>
      <c r="C4" s="15" t="s">
        <v>16513</v>
      </c>
      <c r="D4" s="15" t="s">
        <v>327</v>
      </c>
      <c r="E4" s="15" t="s">
        <v>305</v>
      </c>
      <c r="F4" s="15" t="s">
        <v>16324</v>
      </c>
      <c r="G4" s="15"/>
      <c r="H4" s="15"/>
      <c r="I4" s="15" t="s">
        <v>528</v>
      </c>
      <c r="J4" s="15" t="s">
        <v>15991</v>
      </c>
    </row>
    <row r="5" spans="2:10">
      <c r="B5" s="15" t="s">
        <v>19761</v>
      </c>
      <c r="C5" s="15" t="s">
        <v>19762</v>
      </c>
      <c r="D5" s="15" t="s">
        <v>506</v>
      </c>
      <c r="E5" s="15" t="s">
        <v>305</v>
      </c>
      <c r="F5" s="15" t="s">
        <v>19763</v>
      </c>
      <c r="G5" s="15"/>
      <c r="H5" s="15"/>
      <c r="I5" s="15" t="s">
        <v>528</v>
      </c>
      <c r="J5" s="15" t="s">
        <v>15991</v>
      </c>
    </row>
    <row r="6" spans="2:10">
      <c r="B6" s="15" t="s">
        <v>19761</v>
      </c>
      <c r="C6" s="15" t="s">
        <v>19764</v>
      </c>
      <c r="D6" s="15" t="s">
        <v>16022</v>
      </c>
      <c r="E6" s="15" t="s">
        <v>305</v>
      </c>
      <c r="F6" s="15" t="s">
        <v>301</v>
      </c>
      <c r="G6" s="15"/>
      <c r="H6" s="15"/>
      <c r="I6" s="15" t="s">
        <v>528</v>
      </c>
      <c r="J6" s="15" t="s">
        <v>15991</v>
      </c>
    </row>
    <row r="7" spans="2:10">
      <c r="B7" s="15" t="s">
        <v>19761</v>
      </c>
      <c r="C7" s="15" t="s">
        <v>16224</v>
      </c>
      <c r="D7" s="15" t="s">
        <v>371</v>
      </c>
      <c r="E7" s="15" t="s">
        <v>305</v>
      </c>
      <c r="F7" s="15" t="s">
        <v>16225</v>
      </c>
      <c r="G7" s="15"/>
      <c r="H7" s="15"/>
      <c r="I7" s="15" t="s">
        <v>528</v>
      </c>
      <c r="J7" s="15" t="s">
        <v>15991</v>
      </c>
    </row>
    <row r="8" spans="2:10">
      <c r="B8" s="15" t="s">
        <v>19761</v>
      </c>
      <c r="C8" s="15" t="s">
        <v>19682</v>
      </c>
      <c r="D8" s="15" t="s">
        <v>506</v>
      </c>
      <c r="E8" s="15" t="s">
        <v>305</v>
      </c>
      <c r="F8" s="15" t="s">
        <v>19699</v>
      </c>
      <c r="G8" s="15"/>
      <c r="H8" s="15"/>
      <c r="I8" s="15" t="s">
        <v>528</v>
      </c>
      <c r="J8" s="15" t="s">
        <v>15991</v>
      </c>
    </row>
    <row r="9" spans="2:10">
      <c r="B9" s="15" t="s">
        <v>19761</v>
      </c>
      <c r="C9" s="15" t="s">
        <v>16239</v>
      </c>
      <c r="D9" s="15" t="s">
        <v>371</v>
      </c>
      <c r="E9" s="15" t="s">
        <v>305</v>
      </c>
      <c r="F9" s="15" t="s">
        <v>16008</v>
      </c>
      <c r="G9" s="15"/>
      <c r="H9" s="15"/>
      <c r="I9" s="15" t="s">
        <v>528</v>
      </c>
      <c r="J9" s="15" t="s">
        <v>15991</v>
      </c>
    </row>
    <row r="10" spans="2:10">
      <c r="B10" s="15" t="s">
        <v>19761</v>
      </c>
      <c r="C10" s="15" t="s">
        <v>16017</v>
      </c>
      <c r="D10" s="15" t="s">
        <v>506</v>
      </c>
      <c r="E10" s="15" t="s">
        <v>305</v>
      </c>
      <c r="F10" s="15" t="s">
        <v>19765</v>
      </c>
      <c r="G10" s="15"/>
      <c r="H10" s="15"/>
      <c r="I10" s="15" t="s">
        <v>528</v>
      </c>
      <c r="J10" s="15" t="s">
        <v>15991</v>
      </c>
    </row>
    <row r="11" spans="2:10">
      <c r="B11" s="16" t="s">
        <v>19761</v>
      </c>
      <c r="C11" s="16" t="s">
        <v>19766</v>
      </c>
      <c r="D11" s="16" t="s">
        <v>367</v>
      </c>
      <c r="E11" s="16" t="s">
        <v>305</v>
      </c>
      <c r="F11" s="16" t="s">
        <v>19767</v>
      </c>
      <c r="G11" s="16"/>
      <c r="H11" s="16"/>
      <c r="I11" s="16" t="s">
        <v>528</v>
      </c>
      <c r="J11" s="16" t="s">
        <v>15991</v>
      </c>
    </row>
    <row r="12" spans="2:10">
      <c r="B12" s="4" t="s">
        <v>19761</v>
      </c>
      <c r="C12" s="5" t="s">
        <v>19753</v>
      </c>
      <c r="D12" s="5" t="s">
        <v>506</v>
      </c>
      <c r="E12" s="16" t="s">
        <v>305</v>
      </c>
      <c r="F12" s="5" t="s">
        <v>16526</v>
      </c>
      <c r="G12" s="5"/>
      <c r="H12" s="5"/>
      <c r="I12" s="5"/>
      <c r="J12" s="16" t="s">
        <v>15991</v>
      </c>
    </row>
    <row r="13" spans="2:10">
      <c r="B13" s="4" t="s">
        <v>19761</v>
      </c>
      <c r="C13" s="5" t="s">
        <v>16015</v>
      </c>
      <c r="D13" s="5" t="s">
        <v>506</v>
      </c>
      <c r="E13" s="16" t="s">
        <v>305</v>
      </c>
      <c r="F13" s="5" t="s">
        <v>16016</v>
      </c>
      <c r="G13" s="5"/>
      <c r="H13" s="5"/>
      <c r="I13" s="5"/>
      <c r="J13" s="16" t="s">
        <v>15991</v>
      </c>
    </row>
    <row r="14" spans="2:10">
      <c r="B14" s="4" t="s">
        <v>19761</v>
      </c>
      <c r="C14" s="5" t="s">
        <v>19754</v>
      </c>
      <c r="D14" s="5" t="s">
        <v>506</v>
      </c>
      <c r="E14" s="4" t="s">
        <v>305</v>
      </c>
      <c r="F14" s="5" t="s">
        <v>19755</v>
      </c>
      <c r="G14" s="5"/>
      <c r="H14" s="5"/>
      <c r="I14" s="5"/>
      <c r="J14" s="16" t="s">
        <v>15991</v>
      </c>
    </row>
  </sheetData>
  <pageMargins left="0.75" right="0.75" top="1" bottom="1" header="0.5" footer="0.5"/>
  <pageSetup paperSize="1" orientation="portrait" horizontalDpi="300" verticalDpi="300"/>
  <headerFooter alignWithMargins="0" scaleWithDoc="0"/>
</worksheet>
</file>

<file path=xl/worksheets/sheet1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4"/>
  <sheetViews>
    <sheetView zoomScaleSheetLayoutView="60" workbookViewId="0">
      <selection activeCell="F3" sqref="F3:F14"/>
    </sheetView>
  </sheetViews>
  <sheetFormatPr defaultColWidth="9.14285714285714" defaultRowHeight="15.2"/>
  <cols>
    <col min="2" max="2" width="19.5357142857143" customWidth="1"/>
    <col min="3" max="4" width="15.625" customWidth="1"/>
    <col min="5" max="5" width="7.79464285714286" customWidth="1"/>
    <col min="6" max="6" width="39.0625" customWidth="1"/>
    <col min="7" max="7" width="15.625" customWidth="1"/>
    <col min="10" max="10" width="11.6875" customWidth="1"/>
  </cols>
  <sheetData>
    <row r="1" spans="1:2">
      <c r="A1" s="52" t="str">
        <f>HYPERLINK("#表结构清单!A1","返回")</f>
        <v>返回</v>
      </c>
      <c r="B1" t="s">
        <v>107</v>
      </c>
    </row>
    <row r="2" spans="2:10">
      <c r="B2" s="13" t="s">
        <v>15982</v>
      </c>
      <c r="C2" s="13" t="s">
        <v>297</v>
      </c>
      <c r="D2" s="13" t="s">
        <v>11870</v>
      </c>
      <c r="E2" s="13" t="s">
        <v>15983</v>
      </c>
      <c r="F2" s="13" t="s">
        <v>15984</v>
      </c>
      <c r="G2" s="13" t="s">
        <v>300</v>
      </c>
      <c r="H2" s="13" t="s">
        <v>301</v>
      </c>
      <c r="I2" s="13" t="s">
        <v>15985</v>
      </c>
      <c r="J2" s="13" t="s">
        <v>15986</v>
      </c>
    </row>
    <row r="3" spans="2:10">
      <c r="B3" s="15" t="s">
        <v>19768</v>
      </c>
      <c r="C3" s="15" t="s">
        <v>15988</v>
      </c>
      <c r="D3" s="15" t="s">
        <v>506</v>
      </c>
      <c r="E3" s="15" t="s">
        <v>15989</v>
      </c>
      <c r="F3" s="15" t="s">
        <v>15990</v>
      </c>
      <c r="G3" s="15"/>
      <c r="H3" s="15"/>
      <c r="I3" s="15" t="s">
        <v>528</v>
      </c>
      <c r="J3" s="15" t="s">
        <v>15991</v>
      </c>
    </row>
    <row r="4" spans="2:10">
      <c r="B4" s="15" t="s">
        <v>19768</v>
      </c>
      <c r="C4" s="15" t="s">
        <v>19741</v>
      </c>
      <c r="D4" s="15" t="s">
        <v>506</v>
      </c>
      <c r="E4" s="15" t="s">
        <v>305</v>
      </c>
      <c r="F4" s="15" t="s">
        <v>19742</v>
      </c>
      <c r="G4" s="15"/>
      <c r="H4" s="15"/>
      <c r="I4" s="15" t="s">
        <v>528</v>
      </c>
      <c r="J4" s="15" t="s">
        <v>15991</v>
      </c>
    </row>
    <row r="5" spans="2:10">
      <c r="B5" s="15" t="s">
        <v>19768</v>
      </c>
      <c r="C5" s="15" t="s">
        <v>19600</v>
      </c>
      <c r="D5" s="15" t="s">
        <v>327</v>
      </c>
      <c r="E5" s="15" t="s">
        <v>305</v>
      </c>
      <c r="F5" s="15" t="s">
        <v>19769</v>
      </c>
      <c r="G5" s="15"/>
      <c r="H5" s="15"/>
      <c r="I5" s="15" t="s">
        <v>528</v>
      </c>
      <c r="J5" s="15" t="s">
        <v>15991</v>
      </c>
    </row>
    <row r="6" spans="2:10">
      <c r="B6" s="15" t="s">
        <v>19768</v>
      </c>
      <c r="C6" s="15" t="s">
        <v>19770</v>
      </c>
      <c r="D6" s="15" t="s">
        <v>327</v>
      </c>
      <c r="E6" s="15" t="s">
        <v>305</v>
      </c>
      <c r="F6" s="15" t="s">
        <v>19771</v>
      </c>
      <c r="G6" s="15"/>
      <c r="H6" s="15"/>
      <c r="I6" s="15" t="s">
        <v>528</v>
      </c>
      <c r="J6" s="15" t="s">
        <v>15991</v>
      </c>
    </row>
    <row r="7" spans="2:10">
      <c r="B7" s="15" t="s">
        <v>19768</v>
      </c>
      <c r="C7" s="15" t="s">
        <v>19772</v>
      </c>
      <c r="D7" s="15" t="s">
        <v>16022</v>
      </c>
      <c r="E7" s="15" t="s">
        <v>305</v>
      </c>
      <c r="F7" s="15" t="s">
        <v>19773</v>
      </c>
      <c r="G7" s="15"/>
      <c r="H7" s="15"/>
      <c r="I7" s="15" t="s">
        <v>528</v>
      </c>
      <c r="J7" s="15" t="s">
        <v>15991</v>
      </c>
    </row>
    <row r="8" spans="2:10">
      <c r="B8" s="15" t="s">
        <v>19768</v>
      </c>
      <c r="C8" s="15" t="s">
        <v>16407</v>
      </c>
      <c r="D8" s="15" t="s">
        <v>506</v>
      </c>
      <c r="E8" s="15" t="s">
        <v>305</v>
      </c>
      <c r="F8" s="15" t="s">
        <v>19744</v>
      </c>
      <c r="G8" s="15"/>
      <c r="H8" s="15"/>
      <c r="I8" s="15" t="s">
        <v>528</v>
      </c>
      <c r="J8" s="15" t="s">
        <v>15991</v>
      </c>
    </row>
    <row r="9" spans="2:10">
      <c r="B9" s="15" t="s">
        <v>19768</v>
      </c>
      <c r="C9" s="15" t="s">
        <v>19747</v>
      </c>
      <c r="D9" s="15" t="s">
        <v>19748</v>
      </c>
      <c r="E9" s="15" t="s">
        <v>305</v>
      </c>
      <c r="F9" s="15" t="s">
        <v>19774</v>
      </c>
      <c r="G9" s="15"/>
      <c r="H9" s="15"/>
      <c r="I9" s="15" t="s">
        <v>528</v>
      </c>
      <c r="J9" s="15" t="s">
        <v>15991</v>
      </c>
    </row>
    <row r="10" spans="2:10">
      <c r="B10" s="15" t="s">
        <v>19768</v>
      </c>
      <c r="C10" s="15" t="s">
        <v>19750</v>
      </c>
      <c r="D10" s="15" t="s">
        <v>19748</v>
      </c>
      <c r="E10" s="15" t="s">
        <v>305</v>
      </c>
      <c r="F10" s="15" t="s">
        <v>19775</v>
      </c>
      <c r="G10" s="15"/>
      <c r="H10" s="15"/>
      <c r="I10" s="15" t="s">
        <v>528</v>
      </c>
      <c r="J10" s="15" t="s">
        <v>15991</v>
      </c>
    </row>
    <row r="11" spans="2:10">
      <c r="B11" s="15" t="s">
        <v>19768</v>
      </c>
      <c r="C11" s="15" t="s">
        <v>16224</v>
      </c>
      <c r="D11" s="15" t="s">
        <v>371</v>
      </c>
      <c r="E11" s="15" t="s">
        <v>305</v>
      </c>
      <c r="F11" s="15" t="s">
        <v>16225</v>
      </c>
      <c r="G11" s="15"/>
      <c r="H11" s="15"/>
      <c r="I11" s="15" t="s">
        <v>528</v>
      </c>
      <c r="J11" s="15" t="s">
        <v>15991</v>
      </c>
    </row>
    <row r="12" spans="2:10">
      <c r="B12" s="15" t="s">
        <v>19768</v>
      </c>
      <c r="C12" s="15" t="s">
        <v>19682</v>
      </c>
      <c r="D12" s="15" t="s">
        <v>506</v>
      </c>
      <c r="E12" s="15" t="s">
        <v>305</v>
      </c>
      <c r="F12" s="15" t="s">
        <v>19699</v>
      </c>
      <c r="G12" s="15"/>
      <c r="H12" s="15"/>
      <c r="I12" s="15" t="s">
        <v>528</v>
      </c>
      <c r="J12" s="15" t="s">
        <v>15991</v>
      </c>
    </row>
    <row r="13" spans="2:10">
      <c r="B13" s="15" t="s">
        <v>19768</v>
      </c>
      <c r="C13" s="15" t="s">
        <v>16239</v>
      </c>
      <c r="D13" s="15" t="s">
        <v>371</v>
      </c>
      <c r="E13" s="15" t="s">
        <v>305</v>
      </c>
      <c r="F13" s="15" t="s">
        <v>16236</v>
      </c>
      <c r="G13" s="15"/>
      <c r="H13" s="15"/>
      <c r="I13" s="15" t="s">
        <v>528</v>
      </c>
      <c r="J13" s="15" t="s">
        <v>15991</v>
      </c>
    </row>
    <row r="14" spans="2:10">
      <c r="B14" s="15" t="s">
        <v>19768</v>
      </c>
      <c r="C14" s="15" t="s">
        <v>16017</v>
      </c>
      <c r="D14" s="15" t="s">
        <v>506</v>
      </c>
      <c r="E14" s="15" t="s">
        <v>305</v>
      </c>
      <c r="F14" s="15" t="s">
        <v>16018</v>
      </c>
      <c r="G14" s="15"/>
      <c r="H14" s="15"/>
      <c r="I14" s="15" t="s">
        <v>528</v>
      </c>
      <c r="J14" s="15" t="s">
        <v>15991</v>
      </c>
    </row>
  </sheetData>
  <pageMargins left="0.75" right="0.75" top="1" bottom="1" header="0.5" footer="0.5"/>
  <pageSetup paperSize="1" orientation="portrait" horizontalDpi="300" verticalDpi="300"/>
  <headerFooter alignWithMargins="0" scaleWithDoc="0"/>
</worksheet>
</file>

<file path=xl/worksheets/sheet1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2"/>
  <sheetViews>
    <sheetView zoomScaleSheetLayoutView="60" workbookViewId="0">
      <selection activeCell="F3" sqref="F3:F12"/>
    </sheetView>
  </sheetViews>
  <sheetFormatPr defaultColWidth="9.14285714285714" defaultRowHeight="15.2"/>
  <cols>
    <col min="2" max="2" width="19.5357142857143" customWidth="1"/>
    <col min="3" max="4" width="15.625" customWidth="1"/>
    <col min="5" max="5" width="7.79464285714286" customWidth="1"/>
    <col min="6" max="6" width="39.0625" customWidth="1"/>
    <col min="7" max="7" width="15.625" customWidth="1"/>
    <col min="10" max="10" width="11.6875" customWidth="1"/>
  </cols>
  <sheetData>
    <row r="1" spans="1:2">
      <c r="A1" s="52" t="str">
        <f>HYPERLINK("#表结构清单!A1","返回")</f>
        <v>返回</v>
      </c>
      <c r="B1" t="s">
        <v>19776</v>
      </c>
    </row>
    <row r="2" spans="2:10">
      <c r="B2" s="13" t="s">
        <v>15982</v>
      </c>
      <c r="C2" s="13" t="s">
        <v>297</v>
      </c>
      <c r="D2" s="13" t="s">
        <v>11870</v>
      </c>
      <c r="E2" s="13" t="s">
        <v>15983</v>
      </c>
      <c r="F2" s="13" t="s">
        <v>15984</v>
      </c>
      <c r="G2" s="13" t="s">
        <v>300</v>
      </c>
      <c r="H2" s="13" t="s">
        <v>301</v>
      </c>
      <c r="I2" s="13" t="s">
        <v>15985</v>
      </c>
      <c r="J2" s="13" t="s">
        <v>15986</v>
      </c>
    </row>
    <row r="3" spans="2:10">
      <c r="B3" s="15" t="s">
        <v>19777</v>
      </c>
      <c r="C3" s="15" t="s">
        <v>16585</v>
      </c>
      <c r="D3" s="15" t="s">
        <v>506</v>
      </c>
      <c r="E3" s="15" t="s">
        <v>15989</v>
      </c>
      <c r="F3" s="15" t="s">
        <v>16428</v>
      </c>
      <c r="G3" s="15"/>
      <c r="H3" s="15"/>
      <c r="I3" s="15" t="s">
        <v>528</v>
      </c>
      <c r="J3" s="15" t="s">
        <v>15991</v>
      </c>
    </row>
    <row r="4" spans="2:10">
      <c r="B4" s="15" t="s">
        <v>19777</v>
      </c>
      <c r="C4" s="15" t="s">
        <v>19778</v>
      </c>
      <c r="D4" s="15" t="s">
        <v>327</v>
      </c>
      <c r="E4" s="15" t="s">
        <v>305</v>
      </c>
      <c r="F4" s="15" t="s">
        <v>11462</v>
      </c>
      <c r="G4" s="15"/>
      <c r="H4" s="15"/>
      <c r="I4" s="15" t="s">
        <v>528</v>
      </c>
      <c r="J4" s="15" t="s">
        <v>15991</v>
      </c>
    </row>
    <row r="5" spans="2:10">
      <c r="B5" s="15" t="s">
        <v>19777</v>
      </c>
      <c r="C5" s="15" t="s">
        <v>19779</v>
      </c>
      <c r="D5" s="15" t="s">
        <v>19748</v>
      </c>
      <c r="E5" s="15" t="s">
        <v>305</v>
      </c>
      <c r="F5" s="15" t="s">
        <v>16487</v>
      </c>
      <c r="G5" s="15"/>
      <c r="H5" s="15"/>
      <c r="I5" s="15" t="s">
        <v>528</v>
      </c>
      <c r="J5" s="15" t="s">
        <v>15991</v>
      </c>
    </row>
    <row r="6" spans="2:10">
      <c r="B6" s="15" t="s">
        <v>19777</v>
      </c>
      <c r="C6" s="15" t="s">
        <v>19780</v>
      </c>
      <c r="D6" s="15" t="s">
        <v>327</v>
      </c>
      <c r="E6" s="15" t="s">
        <v>305</v>
      </c>
      <c r="F6" s="15" t="s">
        <v>19781</v>
      </c>
      <c r="G6" s="15"/>
      <c r="H6" s="15"/>
      <c r="I6" s="15" t="s">
        <v>528</v>
      </c>
      <c r="J6" s="15" t="s">
        <v>15991</v>
      </c>
    </row>
    <row r="7" spans="2:10">
      <c r="B7" s="15" t="s">
        <v>19777</v>
      </c>
      <c r="C7" s="15" t="s">
        <v>19782</v>
      </c>
      <c r="D7" s="15" t="s">
        <v>327</v>
      </c>
      <c r="E7" s="15" t="s">
        <v>305</v>
      </c>
      <c r="F7" s="15" t="s">
        <v>8339</v>
      </c>
      <c r="G7" s="15"/>
      <c r="H7" s="15"/>
      <c r="I7" s="15" t="s">
        <v>528</v>
      </c>
      <c r="J7" s="15" t="s">
        <v>15991</v>
      </c>
    </row>
    <row r="8" spans="2:10">
      <c r="B8" s="15" t="s">
        <v>19777</v>
      </c>
      <c r="C8" s="15" t="s">
        <v>16255</v>
      </c>
      <c r="D8" s="15" t="s">
        <v>321</v>
      </c>
      <c r="E8" s="15" t="s">
        <v>305</v>
      </c>
      <c r="F8" s="15" t="s">
        <v>19783</v>
      </c>
      <c r="G8" s="15"/>
      <c r="H8" s="15"/>
      <c r="I8" s="15" t="s">
        <v>528</v>
      </c>
      <c r="J8" s="15" t="s">
        <v>15991</v>
      </c>
    </row>
    <row r="9" spans="2:10">
      <c r="B9" s="15" t="s">
        <v>19777</v>
      </c>
      <c r="C9" s="15" t="s">
        <v>16224</v>
      </c>
      <c r="D9" s="15" t="s">
        <v>371</v>
      </c>
      <c r="E9" s="15" t="s">
        <v>305</v>
      </c>
      <c r="F9" s="15" t="s">
        <v>16225</v>
      </c>
      <c r="G9" s="15"/>
      <c r="H9" s="15"/>
      <c r="I9" s="15" t="s">
        <v>528</v>
      </c>
      <c r="J9" s="15" t="s">
        <v>15991</v>
      </c>
    </row>
    <row r="10" spans="2:10">
      <c r="B10" s="15" t="s">
        <v>19777</v>
      </c>
      <c r="C10" s="15" t="s">
        <v>19682</v>
      </c>
      <c r="D10" s="15" t="s">
        <v>506</v>
      </c>
      <c r="E10" s="15" t="s">
        <v>305</v>
      </c>
      <c r="F10" s="15" t="s">
        <v>19699</v>
      </c>
      <c r="G10" s="15"/>
      <c r="H10" s="15"/>
      <c r="I10" s="15" t="s">
        <v>528</v>
      </c>
      <c r="J10" s="15" t="s">
        <v>15991</v>
      </c>
    </row>
    <row r="11" spans="2:10">
      <c r="B11" s="15" t="s">
        <v>19777</v>
      </c>
      <c r="C11" s="15" t="s">
        <v>16239</v>
      </c>
      <c r="D11" s="15" t="s">
        <v>371</v>
      </c>
      <c r="E11" s="15" t="s">
        <v>305</v>
      </c>
      <c r="F11" s="15" t="s">
        <v>16236</v>
      </c>
      <c r="G11" s="15"/>
      <c r="H11" s="15"/>
      <c r="I11" s="15" t="s">
        <v>528</v>
      </c>
      <c r="J11" s="15" t="s">
        <v>15991</v>
      </c>
    </row>
    <row r="12" spans="2:10">
      <c r="B12" s="15" t="s">
        <v>19777</v>
      </c>
      <c r="C12" s="15" t="s">
        <v>16017</v>
      </c>
      <c r="D12" s="15" t="s">
        <v>506</v>
      </c>
      <c r="E12" s="15" t="s">
        <v>305</v>
      </c>
      <c r="F12" s="15" t="s">
        <v>16018</v>
      </c>
      <c r="G12" s="15"/>
      <c r="H12" s="15"/>
      <c r="I12" s="15" t="s">
        <v>528</v>
      </c>
      <c r="J12" s="15" t="s">
        <v>15991</v>
      </c>
    </row>
  </sheetData>
  <pageMargins left="0.75" right="0.75" top="1" bottom="1" header="0.5" footer="0.5"/>
  <pageSetup paperSize="1" orientation="portrait" horizontalDpi="300" verticalDpi="300"/>
  <headerFooter alignWithMargins="0" scaleWithDoc="0"/>
</worksheet>
</file>

<file path=xl/worksheets/sheet1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55"/>
  <sheetViews>
    <sheetView zoomScaleSheetLayoutView="60" workbookViewId="0">
      <selection activeCell="F26" sqref="F26"/>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52" t="str">
        <f>HYPERLINK("#表结构清单!A1","返回")</f>
        <v>返回</v>
      </c>
      <c r="B1" t="s">
        <v>19784</v>
      </c>
    </row>
    <row r="2" spans="2:10">
      <c r="B2" s="13" t="s">
        <v>15982</v>
      </c>
      <c r="C2" s="13" t="s">
        <v>297</v>
      </c>
      <c r="D2" s="13" t="s">
        <v>11870</v>
      </c>
      <c r="E2" s="13" t="s">
        <v>15983</v>
      </c>
      <c r="F2" s="13" t="s">
        <v>15984</v>
      </c>
      <c r="G2" s="13" t="s">
        <v>300</v>
      </c>
      <c r="H2" s="13" t="s">
        <v>301</v>
      </c>
      <c r="I2" s="13" t="s">
        <v>15985</v>
      </c>
      <c r="J2" s="13" t="s">
        <v>15986</v>
      </c>
    </row>
    <row r="3" spans="2:10">
      <c r="B3" s="15" t="s">
        <v>19785</v>
      </c>
      <c r="C3" s="15" t="s">
        <v>19710</v>
      </c>
      <c r="D3" s="15" t="s">
        <v>316</v>
      </c>
      <c r="E3" s="15" t="s">
        <v>15989</v>
      </c>
      <c r="F3" s="15" t="s">
        <v>19711</v>
      </c>
      <c r="G3" s="15"/>
      <c r="H3" s="15"/>
      <c r="I3" s="15" t="s">
        <v>528</v>
      </c>
      <c r="J3" s="15" t="s">
        <v>15991</v>
      </c>
    </row>
    <row r="4" spans="2:10">
      <c r="B4" s="15" t="s">
        <v>19785</v>
      </c>
      <c r="C4" s="15" t="s">
        <v>19786</v>
      </c>
      <c r="D4" s="15" t="s">
        <v>316</v>
      </c>
      <c r="E4" s="15" t="s">
        <v>15989</v>
      </c>
      <c r="F4" s="15" t="s">
        <v>19787</v>
      </c>
      <c r="G4" s="15"/>
      <c r="H4" s="15"/>
      <c r="I4" s="15" t="s">
        <v>528</v>
      </c>
      <c r="J4" s="15" t="s">
        <v>15991</v>
      </c>
    </row>
    <row r="5" spans="2:10">
      <c r="B5" s="15" t="s">
        <v>19785</v>
      </c>
      <c r="C5" s="15" t="s">
        <v>19788</v>
      </c>
      <c r="D5" s="15" t="s">
        <v>316</v>
      </c>
      <c r="E5" s="15" t="s">
        <v>305</v>
      </c>
      <c r="F5" s="15" t="s">
        <v>19789</v>
      </c>
      <c r="G5" s="15"/>
      <c r="H5" s="15"/>
      <c r="I5" s="15" t="s">
        <v>528</v>
      </c>
      <c r="J5" s="15" t="s">
        <v>15991</v>
      </c>
    </row>
    <row r="6" spans="2:10">
      <c r="B6" s="15" t="s">
        <v>19785</v>
      </c>
      <c r="C6" s="15" t="s">
        <v>19790</v>
      </c>
      <c r="D6" s="15" t="s">
        <v>506</v>
      </c>
      <c r="E6" s="15" t="s">
        <v>305</v>
      </c>
      <c r="F6" s="15" t="s">
        <v>1920</v>
      </c>
      <c r="G6" s="15"/>
      <c r="H6" s="15"/>
      <c r="I6" s="15" t="s">
        <v>528</v>
      </c>
      <c r="J6" s="15" t="s">
        <v>15991</v>
      </c>
    </row>
    <row r="7" spans="2:10">
      <c r="B7" s="15" t="s">
        <v>19785</v>
      </c>
      <c r="C7" s="15" t="s">
        <v>19791</v>
      </c>
      <c r="D7" s="15" t="s">
        <v>327</v>
      </c>
      <c r="E7" s="15" t="s">
        <v>305</v>
      </c>
      <c r="F7" s="15" t="s">
        <v>19792</v>
      </c>
      <c r="G7" s="15"/>
      <c r="H7" s="15"/>
      <c r="I7" s="15" t="s">
        <v>528</v>
      </c>
      <c r="J7" s="15" t="s">
        <v>15991</v>
      </c>
    </row>
    <row r="8" spans="2:10">
      <c r="B8" s="15" t="s">
        <v>19785</v>
      </c>
      <c r="C8" s="15" t="s">
        <v>19793</v>
      </c>
      <c r="D8" s="15" t="s">
        <v>506</v>
      </c>
      <c r="E8" s="15" t="s">
        <v>305</v>
      </c>
      <c r="F8" s="15" t="s">
        <v>19794</v>
      </c>
      <c r="G8" s="15"/>
      <c r="H8" s="15"/>
      <c r="I8" s="15" t="s">
        <v>528</v>
      </c>
      <c r="J8" s="15" t="s">
        <v>15991</v>
      </c>
    </row>
    <row r="9" spans="2:10">
      <c r="B9" s="15" t="s">
        <v>19785</v>
      </c>
      <c r="C9" s="15" t="s">
        <v>19795</v>
      </c>
      <c r="D9" s="15" t="s">
        <v>327</v>
      </c>
      <c r="E9" s="15" t="s">
        <v>305</v>
      </c>
      <c r="F9" s="15" t="s">
        <v>19796</v>
      </c>
      <c r="G9" s="15"/>
      <c r="H9" s="15"/>
      <c r="I9" s="15" t="s">
        <v>528</v>
      </c>
      <c r="J9" s="15" t="s">
        <v>15991</v>
      </c>
    </row>
    <row r="10" spans="2:10">
      <c r="B10" s="15" t="s">
        <v>19785</v>
      </c>
      <c r="C10" s="15" t="s">
        <v>19797</v>
      </c>
      <c r="D10" s="15" t="s">
        <v>16440</v>
      </c>
      <c r="E10" s="15" t="s">
        <v>305</v>
      </c>
      <c r="F10" s="15" t="s">
        <v>19798</v>
      </c>
      <c r="G10" s="15"/>
      <c r="H10" s="15"/>
      <c r="I10" s="15" t="s">
        <v>528</v>
      </c>
      <c r="J10" s="15" t="s">
        <v>15991</v>
      </c>
    </row>
    <row r="11" spans="2:10">
      <c r="B11" s="15" t="s">
        <v>19785</v>
      </c>
      <c r="C11" s="15" t="s">
        <v>19799</v>
      </c>
      <c r="D11" s="15" t="s">
        <v>327</v>
      </c>
      <c r="E11" s="15" t="s">
        <v>305</v>
      </c>
      <c r="F11" s="15" t="s">
        <v>19800</v>
      </c>
      <c r="G11" s="15"/>
      <c r="H11" s="15"/>
      <c r="I11" s="15" t="s">
        <v>528</v>
      </c>
      <c r="J11" s="15" t="s">
        <v>15991</v>
      </c>
    </row>
    <row r="12" spans="2:10">
      <c r="B12" s="15" t="s">
        <v>19785</v>
      </c>
      <c r="C12" s="15" t="s">
        <v>19801</v>
      </c>
      <c r="D12" s="15" t="s">
        <v>327</v>
      </c>
      <c r="E12" s="15" t="s">
        <v>305</v>
      </c>
      <c r="F12" s="15" t="s">
        <v>19802</v>
      </c>
      <c r="G12" s="15"/>
      <c r="H12" s="15"/>
      <c r="I12" s="15" t="s">
        <v>528</v>
      </c>
      <c r="J12" s="15" t="s">
        <v>15991</v>
      </c>
    </row>
    <row r="13" spans="2:10">
      <c r="B13" s="15" t="s">
        <v>19785</v>
      </c>
      <c r="C13" s="15" t="s">
        <v>19803</v>
      </c>
      <c r="D13" s="15" t="s">
        <v>16440</v>
      </c>
      <c r="E13" s="15" t="s">
        <v>305</v>
      </c>
      <c r="F13" s="15" t="s">
        <v>19804</v>
      </c>
      <c r="G13" s="15"/>
      <c r="H13" s="15"/>
      <c r="I13" s="15" t="s">
        <v>528</v>
      </c>
      <c r="J13" s="15" t="s">
        <v>15991</v>
      </c>
    </row>
    <row r="14" spans="2:10">
      <c r="B14" s="15" t="s">
        <v>19785</v>
      </c>
      <c r="C14" s="15" t="s">
        <v>19805</v>
      </c>
      <c r="D14" s="15" t="s">
        <v>16440</v>
      </c>
      <c r="E14" s="15" t="s">
        <v>305</v>
      </c>
      <c r="F14" s="15" t="s">
        <v>19806</v>
      </c>
      <c r="G14" s="15"/>
      <c r="H14" s="15"/>
      <c r="I14" s="15" t="s">
        <v>528</v>
      </c>
      <c r="J14" s="15" t="s">
        <v>15991</v>
      </c>
    </row>
    <row r="15" spans="2:10">
      <c r="B15" s="15" t="s">
        <v>19785</v>
      </c>
      <c r="C15" s="15" t="s">
        <v>19807</v>
      </c>
      <c r="D15" s="15" t="s">
        <v>16440</v>
      </c>
      <c r="E15" s="15" t="s">
        <v>305</v>
      </c>
      <c r="F15" s="15" t="s">
        <v>19808</v>
      </c>
      <c r="G15" s="15"/>
      <c r="H15" s="15"/>
      <c r="I15" s="15" t="s">
        <v>528</v>
      </c>
      <c r="J15" s="15" t="s">
        <v>15991</v>
      </c>
    </row>
    <row r="16" spans="2:10">
      <c r="B16" s="15" t="s">
        <v>19785</v>
      </c>
      <c r="C16" s="15" t="s">
        <v>16179</v>
      </c>
      <c r="D16" s="15" t="s">
        <v>327</v>
      </c>
      <c r="E16" s="15" t="s">
        <v>305</v>
      </c>
      <c r="F16" s="15" t="s">
        <v>16521</v>
      </c>
      <c r="G16" s="15"/>
      <c r="H16" s="15"/>
      <c r="I16" s="15" t="s">
        <v>528</v>
      </c>
      <c r="J16" s="15" t="s">
        <v>15991</v>
      </c>
    </row>
    <row r="17" spans="2:10">
      <c r="B17" s="15" t="s">
        <v>19785</v>
      </c>
      <c r="C17" s="15" t="s">
        <v>16181</v>
      </c>
      <c r="D17" s="15" t="s">
        <v>327</v>
      </c>
      <c r="E17" s="15" t="s">
        <v>305</v>
      </c>
      <c r="F17" s="15" t="s">
        <v>16522</v>
      </c>
      <c r="G17" s="15"/>
      <c r="H17" s="15"/>
      <c r="I17" s="15" t="s">
        <v>528</v>
      </c>
      <c r="J17" s="15" t="s">
        <v>15991</v>
      </c>
    </row>
    <row r="18" spans="2:10">
      <c r="B18" s="15" t="s">
        <v>19785</v>
      </c>
      <c r="C18" s="15" t="s">
        <v>16183</v>
      </c>
      <c r="D18" s="15" t="s">
        <v>327</v>
      </c>
      <c r="E18" s="15" t="s">
        <v>305</v>
      </c>
      <c r="F18" s="15" t="s">
        <v>16523</v>
      </c>
      <c r="G18" s="52" t="str">
        <f>HYPERLINK("#码值映射清单!B5118","OpinionViwRightType")</f>
        <v>OpinionViwRightType</v>
      </c>
      <c r="H18" s="15"/>
      <c r="I18" s="15" t="s">
        <v>528</v>
      </c>
      <c r="J18" s="15" t="s">
        <v>15991</v>
      </c>
    </row>
    <row r="19" spans="2:10">
      <c r="B19" s="15" t="s">
        <v>19785</v>
      </c>
      <c r="C19" s="15" t="s">
        <v>16185</v>
      </c>
      <c r="D19" s="15" t="s">
        <v>327</v>
      </c>
      <c r="E19" s="15" t="s">
        <v>305</v>
      </c>
      <c r="F19" s="15" t="s">
        <v>16524</v>
      </c>
      <c r="G19" s="15"/>
      <c r="H19" s="15"/>
      <c r="I19" s="15" t="s">
        <v>528</v>
      </c>
      <c r="J19" s="15" t="s">
        <v>15991</v>
      </c>
    </row>
    <row r="20" spans="2:10">
      <c r="B20" s="15" t="s">
        <v>19785</v>
      </c>
      <c r="C20" s="15" t="s">
        <v>16192</v>
      </c>
      <c r="D20" s="15" t="s">
        <v>327</v>
      </c>
      <c r="E20" s="15" t="s">
        <v>305</v>
      </c>
      <c r="F20" s="15" t="s">
        <v>16525</v>
      </c>
      <c r="G20" s="15"/>
      <c r="H20" s="15"/>
      <c r="I20" s="15" t="s">
        <v>528</v>
      </c>
      <c r="J20" s="15" t="s">
        <v>15991</v>
      </c>
    </row>
    <row r="21" spans="2:10">
      <c r="B21" s="15" t="s">
        <v>19785</v>
      </c>
      <c r="C21" s="15" t="s">
        <v>16187</v>
      </c>
      <c r="D21" s="15" t="s">
        <v>327</v>
      </c>
      <c r="E21" s="15" t="s">
        <v>305</v>
      </c>
      <c r="F21" s="15" t="s">
        <v>18435</v>
      </c>
      <c r="G21" s="15"/>
      <c r="H21" s="15"/>
      <c r="I21" s="15" t="s">
        <v>528</v>
      </c>
      <c r="J21" s="15" t="s">
        <v>15991</v>
      </c>
    </row>
    <row r="22" spans="2:10">
      <c r="B22" s="15" t="s">
        <v>19785</v>
      </c>
      <c r="C22" s="15" t="s">
        <v>16189</v>
      </c>
      <c r="D22" s="15" t="s">
        <v>327</v>
      </c>
      <c r="E22" s="15" t="s">
        <v>305</v>
      </c>
      <c r="F22" s="15" t="s">
        <v>18437</v>
      </c>
      <c r="G22" s="15"/>
      <c r="H22" s="15"/>
      <c r="I22" s="15" t="s">
        <v>528</v>
      </c>
      <c r="J22" s="15" t="s">
        <v>15991</v>
      </c>
    </row>
    <row r="23" spans="2:10">
      <c r="B23" s="15" t="s">
        <v>19785</v>
      </c>
      <c r="C23" s="15" t="s">
        <v>16479</v>
      </c>
      <c r="D23" s="15" t="s">
        <v>327</v>
      </c>
      <c r="E23" s="15" t="s">
        <v>305</v>
      </c>
      <c r="F23" s="15" t="s">
        <v>18439</v>
      </c>
      <c r="G23" s="15"/>
      <c r="H23" s="15"/>
      <c r="I23" s="15" t="s">
        <v>528</v>
      </c>
      <c r="J23" s="15" t="s">
        <v>15991</v>
      </c>
    </row>
    <row r="24" spans="2:10">
      <c r="B24" s="15" t="s">
        <v>19785</v>
      </c>
      <c r="C24" s="15" t="s">
        <v>16765</v>
      </c>
      <c r="D24" s="15" t="s">
        <v>327</v>
      </c>
      <c r="E24" s="15" t="s">
        <v>305</v>
      </c>
      <c r="F24" s="15" t="s">
        <v>18441</v>
      </c>
      <c r="G24" s="15"/>
      <c r="H24" s="15"/>
      <c r="I24" s="15" t="s">
        <v>528</v>
      </c>
      <c r="J24" s="15" t="s">
        <v>15991</v>
      </c>
    </row>
    <row r="25" spans="2:10">
      <c r="B25" s="15" t="s">
        <v>19785</v>
      </c>
      <c r="C25" s="15" t="s">
        <v>16767</v>
      </c>
      <c r="D25" s="15" t="s">
        <v>327</v>
      </c>
      <c r="E25" s="15" t="s">
        <v>305</v>
      </c>
      <c r="F25" s="15" t="s">
        <v>18443</v>
      </c>
      <c r="G25" s="15"/>
      <c r="H25" s="15"/>
      <c r="I25" s="15" t="s">
        <v>528</v>
      </c>
      <c r="J25" s="15" t="s">
        <v>15991</v>
      </c>
    </row>
    <row r="26" spans="2:10">
      <c r="B26" s="15" t="s">
        <v>19785</v>
      </c>
      <c r="C26" s="15" t="s">
        <v>19718</v>
      </c>
      <c r="D26" s="15" t="s">
        <v>16072</v>
      </c>
      <c r="E26" s="15" t="s">
        <v>305</v>
      </c>
      <c r="F26" s="53" t="s">
        <v>19809</v>
      </c>
      <c r="G26" s="52" t="str">
        <f>HYPERLINK("#码值映射清单!B5150","YesNo")</f>
        <v>YesNo</v>
      </c>
      <c r="H26" s="15"/>
      <c r="I26" s="15" t="s">
        <v>528</v>
      </c>
      <c r="J26" s="15" t="s">
        <v>15991</v>
      </c>
    </row>
    <row r="27" spans="2:10">
      <c r="B27" s="15" t="s">
        <v>19785</v>
      </c>
      <c r="C27" s="15" t="s">
        <v>19810</v>
      </c>
      <c r="D27" s="15" t="s">
        <v>16440</v>
      </c>
      <c r="E27" s="15" t="s">
        <v>305</v>
      </c>
      <c r="F27" s="15" t="s">
        <v>19811</v>
      </c>
      <c r="G27" s="15"/>
      <c r="H27" s="15"/>
      <c r="I27" s="15" t="s">
        <v>528</v>
      </c>
      <c r="J27" s="15" t="s">
        <v>15991</v>
      </c>
    </row>
    <row r="28" spans="2:10">
      <c r="B28" s="15" t="s">
        <v>19785</v>
      </c>
      <c r="C28" s="15" t="s">
        <v>19812</v>
      </c>
      <c r="D28" s="15" t="s">
        <v>327</v>
      </c>
      <c r="E28" s="15" t="s">
        <v>305</v>
      </c>
      <c r="F28" s="15" t="s">
        <v>19813</v>
      </c>
      <c r="G28" s="15"/>
      <c r="H28" s="15"/>
      <c r="I28" s="15" t="s">
        <v>528</v>
      </c>
      <c r="J28" s="15" t="s">
        <v>15991</v>
      </c>
    </row>
    <row r="29" spans="2:10">
      <c r="B29" s="15" t="s">
        <v>19785</v>
      </c>
      <c r="C29" s="15" t="s">
        <v>19814</v>
      </c>
      <c r="D29" s="15" t="s">
        <v>327</v>
      </c>
      <c r="E29" s="15" t="s">
        <v>305</v>
      </c>
      <c r="F29" s="15" t="s">
        <v>19815</v>
      </c>
      <c r="G29" s="15"/>
      <c r="H29" s="15"/>
      <c r="I29" s="15" t="s">
        <v>528</v>
      </c>
      <c r="J29" s="15" t="s">
        <v>15991</v>
      </c>
    </row>
    <row r="30" spans="2:10">
      <c r="B30" s="15" t="s">
        <v>19785</v>
      </c>
      <c r="C30" s="15" t="s">
        <v>19816</v>
      </c>
      <c r="D30" s="15" t="s">
        <v>16056</v>
      </c>
      <c r="E30" s="15" t="s">
        <v>305</v>
      </c>
      <c r="F30" s="15" t="s">
        <v>19817</v>
      </c>
      <c r="G30" s="15"/>
      <c r="H30" s="15"/>
      <c r="I30" s="15" t="s">
        <v>528</v>
      </c>
      <c r="J30" s="15" t="s">
        <v>15991</v>
      </c>
    </row>
    <row r="31" spans="2:10">
      <c r="B31" s="15" t="s">
        <v>19785</v>
      </c>
      <c r="C31" s="15" t="s">
        <v>19818</v>
      </c>
      <c r="D31" s="15" t="s">
        <v>16056</v>
      </c>
      <c r="E31" s="15" t="s">
        <v>305</v>
      </c>
      <c r="F31" s="15" t="s">
        <v>19819</v>
      </c>
      <c r="G31" s="15"/>
      <c r="H31" s="15"/>
      <c r="I31" s="15" t="s">
        <v>528</v>
      </c>
      <c r="J31" s="15" t="s">
        <v>15991</v>
      </c>
    </row>
    <row r="32" spans="2:10">
      <c r="B32" s="15" t="s">
        <v>19785</v>
      </c>
      <c r="C32" s="15" t="s">
        <v>19820</v>
      </c>
      <c r="D32" s="15" t="s">
        <v>316</v>
      </c>
      <c r="E32" s="15" t="s">
        <v>305</v>
      </c>
      <c r="F32" s="15" t="s">
        <v>19821</v>
      </c>
      <c r="G32" s="15"/>
      <c r="H32" s="15"/>
      <c r="I32" s="15" t="s">
        <v>528</v>
      </c>
      <c r="J32" s="15" t="s">
        <v>15991</v>
      </c>
    </row>
    <row r="33" spans="2:10">
      <c r="B33" s="15" t="s">
        <v>19785</v>
      </c>
      <c r="C33" s="15" t="s">
        <v>19822</v>
      </c>
      <c r="D33" s="15" t="s">
        <v>16087</v>
      </c>
      <c r="E33" s="15" t="s">
        <v>305</v>
      </c>
      <c r="F33" s="15" t="s">
        <v>19823</v>
      </c>
      <c r="G33" s="15"/>
      <c r="H33" s="15"/>
      <c r="I33" s="15" t="s">
        <v>528</v>
      </c>
      <c r="J33" s="15" t="s">
        <v>15991</v>
      </c>
    </row>
    <row r="34" spans="2:10">
      <c r="B34" s="15" t="s">
        <v>19785</v>
      </c>
      <c r="C34" s="15" t="s">
        <v>19824</v>
      </c>
      <c r="D34" s="15" t="s">
        <v>316</v>
      </c>
      <c r="E34" s="15" t="s">
        <v>305</v>
      </c>
      <c r="F34" s="15" t="s">
        <v>19825</v>
      </c>
      <c r="G34" s="15"/>
      <c r="H34" s="15"/>
      <c r="I34" s="15" t="s">
        <v>528</v>
      </c>
      <c r="J34" s="15" t="s">
        <v>15991</v>
      </c>
    </row>
    <row r="35" spans="2:10">
      <c r="B35" s="15" t="s">
        <v>19785</v>
      </c>
      <c r="C35" s="15" t="s">
        <v>19826</v>
      </c>
      <c r="D35" s="15" t="s">
        <v>16440</v>
      </c>
      <c r="E35" s="15" t="s">
        <v>305</v>
      </c>
      <c r="F35" s="15" t="s">
        <v>19827</v>
      </c>
      <c r="G35" s="15"/>
      <c r="H35" s="15"/>
      <c r="I35" s="15" t="s">
        <v>528</v>
      </c>
      <c r="J35" s="15" t="s">
        <v>15991</v>
      </c>
    </row>
    <row r="36" spans="2:10">
      <c r="B36" s="15" t="s">
        <v>19785</v>
      </c>
      <c r="C36" s="15" t="s">
        <v>19828</v>
      </c>
      <c r="D36" s="15" t="s">
        <v>316</v>
      </c>
      <c r="E36" s="15" t="s">
        <v>305</v>
      </c>
      <c r="F36" s="15" t="s">
        <v>19829</v>
      </c>
      <c r="G36" s="15"/>
      <c r="H36" s="15"/>
      <c r="I36" s="15" t="s">
        <v>528</v>
      </c>
      <c r="J36" s="15" t="s">
        <v>15991</v>
      </c>
    </row>
    <row r="37" spans="2:10">
      <c r="B37" s="15" t="s">
        <v>19785</v>
      </c>
      <c r="C37" s="15" t="s">
        <v>19830</v>
      </c>
      <c r="D37" s="15" t="s">
        <v>16087</v>
      </c>
      <c r="E37" s="15" t="s">
        <v>305</v>
      </c>
      <c r="F37" s="15" t="s">
        <v>19831</v>
      </c>
      <c r="G37" s="15"/>
      <c r="H37" s="15"/>
      <c r="I37" s="15" t="s">
        <v>528</v>
      </c>
      <c r="J37" s="15" t="s">
        <v>15991</v>
      </c>
    </row>
    <row r="38" spans="2:10">
      <c r="B38" s="15" t="s">
        <v>19785</v>
      </c>
      <c r="C38" s="15" t="s">
        <v>16053</v>
      </c>
      <c r="D38" s="15" t="s">
        <v>316</v>
      </c>
      <c r="E38" s="15" t="s">
        <v>305</v>
      </c>
      <c r="F38" s="15" t="s">
        <v>16240</v>
      </c>
      <c r="G38" s="15"/>
      <c r="H38" s="15"/>
      <c r="I38" s="15" t="s">
        <v>528</v>
      </c>
      <c r="J38" s="15" t="s">
        <v>15991</v>
      </c>
    </row>
    <row r="39" spans="2:10">
      <c r="B39" s="15" t="s">
        <v>19785</v>
      </c>
      <c r="C39" s="15" t="s">
        <v>16237</v>
      </c>
      <c r="D39" s="15" t="s">
        <v>316</v>
      </c>
      <c r="E39" s="15" t="s">
        <v>305</v>
      </c>
      <c r="F39" s="15" t="s">
        <v>16238</v>
      </c>
      <c r="G39" s="15"/>
      <c r="H39" s="15"/>
      <c r="I39" s="15" t="s">
        <v>528</v>
      </c>
      <c r="J39" s="15" t="s">
        <v>15991</v>
      </c>
    </row>
    <row r="40" spans="2:10">
      <c r="B40" s="15" t="s">
        <v>19785</v>
      </c>
      <c r="C40" s="15" t="s">
        <v>16243</v>
      </c>
      <c r="D40" s="15" t="s">
        <v>316</v>
      </c>
      <c r="E40" s="15" t="s">
        <v>305</v>
      </c>
      <c r="F40" s="15" t="s">
        <v>16018</v>
      </c>
      <c r="G40" s="15"/>
      <c r="H40" s="15"/>
      <c r="I40" s="15" t="s">
        <v>528</v>
      </c>
      <c r="J40" s="15" t="s">
        <v>15991</v>
      </c>
    </row>
    <row r="41" spans="2:10">
      <c r="B41" s="15" t="s">
        <v>19785</v>
      </c>
      <c r="C41" s="15" t="s">
        <v>16239</v>
      </c>
      <c r="D41" s="15" t="s">
        <v>316</v>
      </c>
      <c r="E41" s="15" t="s">
        <v>305</v>
      </c>
      <c r="F41" s="15" t="s">
        <v>16236</v>
      </c>
      <c r="G41" s="15"/>
      <c r="H41" s="15"/>
      <c r="I41" s="15" t="s">
        <v>528</v>
      </c>
      <c r="J41" s="15" t="s">
        <v>15991</v>
      </c>
    </row>
    <row r="42" spans="2:10">
      <c r="B42" s="15" t="s">
        <v>19785</v>
      </c>
      <c r="C42" s="15" t="s">
        <v>19832</v>
      </c>
      <c r="D42" s="15" t="s">
        <v>316</v>
      </c>
      <c r="E42" s="15" t="s">
        <v>305</v>
      </c>
      <c r="F42" s="15" t="s">
        <v>19833</v>
      </c>
      <c r="G42" s="15"/>
      <c r="H42" s="15"/>
      <c r="I42" s="15" t="s">
        <v>528</v>
      </c>
      <c r="J42" s="15" t="s">
        <v>15991</v>
      </c>
    </row>
    <row r="43" spans="2:10">
      <c r="B43" s="15" t="s">
        <v>19785</v>
      </c>
      <c r="C43" s="15" t="s">
        <v>19834</v>
      </c>
      <c r="D43" s="15" t="s">
        <v>316</v>
      </c>
      <c r="E43" s="15" t="s">
        <v>305</v>
      </c>
      <c r="F43" s="15" t="s">
        <v>19835</v>
      </c>
      <c r="G43" s="15"/>
      <c r="H43" s="15"/>
      <c r="I43" s="15" t="s">
        <v>528</v>
      </c>
      <c r="J43" s="15" t="s">
        <v>15991</v>
      </c>
    </row>
    <row r="44" spans="2:10">
      <c r="B44" s="15" t="s">
        <v>19785</v>
      </c>
      <c r="C44" s="15" t="s">
        <v>19836</v>
      </c>
      <c r="D44" s="15" t="s">
        <v>316</v>
      </c>
      <c r="E44" s="15" t="s">
        <v>305</v>
      </c>
      <c r="F44" s="15" t="s">
        <v>19837</v>
      </c>
      <c r="G44" s="15"/>
      <c r="H44" s="15"/>
      <c r="I44" s="15" t="s">
        <v>528</v>
      </c>
      <c r="J44" s="15" t="s">
        <v>15991</v>
      </c>
    </row>
    <row r="45" spans="2:10">
      <c r="B45" s="15" t="s">
        <v>19785</v>
      </c>
      <c r="C45" s="15" t="s">
        <v>19234</v>
      </c>
      <c r="D45" s="15" t="s">
        <v>16087</v>
      </c>
      <c r="E45" s="15" t="s">
        <v>305</v>
      </c>
      <c r="F45" s="15" t="s">
        <v>19838</v>
      </c>
      <c r="G45" s="15"/>
      <c r="H45" s="15"/>
      <c r="I45" s="15" t="s">
        <v>528</v>
      </c>
      <c r="J45" s="15" t="s">
        <v>15991</v>
      </c>
    </row>
    <row r="46" spans="2:10">
      <c r="B46" s="15" t="s">
        <v>19785</v>
      </c>
      <c r="C46" s="15" t="s">
        <v>19839</v>
      </c>
      <c r="D46" s="15" t="s">
        <v>513</v>
      </c>
      <c r="E46" s="15" t="s">
        <v>305</v>
      </c>
      <c r="F46" s="15" t="s">
        <v>19840</v>
      </c>
      <c r="G46" s="15"/>
      <c r="H46" s="15"/>
      <c r="I46" s="15" t="s">
        <v>528</v>
      </c>
      <c r="J46" s="15" t="s">
        <v>15991</v>
      </c>
    </row>
    <row r="47" spans="2:10">
      <c r="B47" s="15" t="s">
        <v>19785</v>
      </c>
      <c r="C47" s="15" t="s">
        <v>19841</v>
      </c>
      <c r="D47" s="15" t="s">
        <v>513</v>
      </c>
      <c r="E47" s="15" t="s">
        <v>305</v>
      </c>
      <c r="F47" s="15" t="s">
        <v>19842</v>
      </c>
      <c r="G47" s="15"/>
      <c r="H47" s="15"/>
      <c r="I47" s="15" t="s">
        <v>528</v>
      </c>
      <c r="J47" s="15" t="s">
        <v>15991</v>
      </c>
    </row>
    <row r="48" spans="2:10">
      <c r="B48" s="15" t="s">
        <v>19785</v>
      </c>
      <c r="C48" s="15" t="s">
        <v>19843</v>
      </c>
      <c r="D48" s="15" t="s">
        <v>513</v>
      </c>
      <c r="E48" s="15" t="s">
        <v>305</v>
      </c>
      <c r="F48" s="15" t="s">
        <v>19844</v>
      </c>
      <c r="G48" s="15"/>
      <c r="H48" s="15"/>
      <c r="I48" s="15" t="s">
        <v>528</v>
      </c>
      <c r="J48" s="15" t="s">
        <v>15991</v>
      </c>
    </row>
    <row r="49" spans="2:10">
      <c r="B49" s="15" t="s">
        <v>19785</v>
      </c>
      <c r="C49" s="15" t="s">
        <v>19251</v>
      </c>
      <c r="D49" s="15" t="s">
        <v>513</v>
      </c>
      <c r="E49" s="15" t="s">
        <v>305</v>
      </c>
      <c r="F49" s="15" t="s">
        <v>19845</v>
      </c>
      <c r="G49" s="15"/>
      <c r="H49" s="15"/>
      <c r="I49" s="15" t="s">
        <v>528</v>
      </c>
      <c r="J49" s="15" t="s">
        <v>15991</v>
      </c>
    </row>
    <row r="50" spans="2:10">
      <c r="B50" s="15" t="s">
        <v>19785</v>
      </c>
      <c r="C50" s="15" t="s">
        <v>19726</v>
      </c>
      <c r="D50" s="15" t="s">
        <v>513</v>
      </c>
      <c r="E50" s="15" t="s">
        <v>15989</v>
      </c>
      <c r="F50" s="15" t="s">
        <v>19727</v>
      </c>
      <c r="G50" s="15"/>
      <c r="H50" s="15"/>
      <c r="I50" s="15" t="s">
        <v>528</v>
      </c>
      <c r="J50" s="15" t="s">
        <v>15991</v>
      </c>
    </row>
    <row r="51" spans="2:10">
      <c r="B51" s="15" t="s">
        <v>19785</v>
      </c>
      <c r="C51" s="15" t="s">
        <v>19846</v>
      </c>
      <c r="D51" s="15" t="s">
        <v>316</v>
      </c>
      <c r="E51" s="15" t="s">
        <v>305</v>
      </c>
      <c r="F51" s="15" t="s">
        <v>19847</v>
      </c>
      <c r="G51" s="15"/>
      <c r="H51" s="15"/>
      <c r="I51" s="15" t="s">
        <v>528</v>
      </c>
      <c r="J51" s="15" t="s">
        <v>15991</v>
      </c>
    </row>
    <row r="52" spans="2:10">
      <c r="B52" s="15" t="s">
        <v>19785</v>
      </c>
      <c r="C52" s="15" t="s">
        <v>19848</v>
      </c>
      <c r="D52" s="15" t="s">
        <v>16440</v>
      </c>
      <c r="E52" s="15" t="s">
        <v>305</v>
      </c>
      <c r="F52" s="15" t="s">
        <v>19849</v>
      </c>
      <c r="G52" s="15"/>
      <c r="H52" s="15"/>
      <c r="I52" s="15" t="s">
        <v>528</v>
      </c>
      <c r="J52" s="15" t="s">
        <v>15991</v>
      </c>
    </row>
    <row r="53" spans="2:10">
      <c r="B53" s="15" t="s">
        <v>19785</v>
      </c>
      <c r="C53" s="15" t="s">
        <v>19850</v>
      </c>
      <c r="D53" s="15" t="s">
        <v>316</v>
      </c>
      <c r="E53" s="15" t="s">
        <v>305</v>
      </c>
      <c r="F53" s="15" t="s">
        <v>19851</v>
      </c>
      <c r="G53" s="15"/>
      <c r="H53" s="15"/>
      <c r="I53" s="15" t="s">
        <v>528</v>
      </c>
      <c r="J53" s="15" t="s">
        <v>15991</v>
      </c>
    </row>
    <row r="54" spans="2:10">
      <c r="B54" s="15" t="s">
        <v>19785</v>
      </c>
      <c r="C54" s="15" t="s">
        <v>16088</v>
      </c>
      <c r="D54" s="15" t="s">
        <v>316</v>
      </c>
      <c r="E54" s="15" t="s">
        <v>305</v>
      </c>
      <c r="F54" s="15" t="s">
        <v>16089</v>
      </c>
      <c r="G54" s="15"/>
      <c r="H54" s="15"/>
      <c r="I54" s="15" t="s">
        <v>528</v>
      </c>
      <c r="J54" s="15" t="s">
        <v>15991</v>
      </c>
    </row>
    <row r="55" spans="2:10">
      <c r="B55" s="15" t="s">
        <v>19785</v>
      </c>
      <c r="C55" s="15" t="s">
        <v>19852</v>
      </c>
      <c r="D55" s="15" t="s">
        <v>367</v>
      </c>
      <c r="E55" s="15" t="s">
        <v>305</v>
      </c>
      <c r="F55" s="15" t="s">
        <v>19853</v>
      </c>
      <c r="G55" s="15"/>
      <c r="H55" s="15"/>
      <c r="I55" s="15" t="s">
        <v>528</v>
      </c>
      <c r="J55" s="15" t="s">
        <v>15991</v>
      </c>
    </row>
  </sheetData>
  <pageMargins left="0.75" right="0.75" top="1" bottom="1" header="0.5" footer="0.5"/>
  <pageSetup paperSize="1" orientation="portrait" horizontalDpi="300" verticalDpi="300"/>
  <headerFooter alignWithMargins="0" scaleWithDoc="0"/>
</worksheet>
</file>

<file path=xl/worksheets/sheet1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6"/>
  <sheetViews>
    <sheetView topLeftCell="B1" workbookViewId="0">
      <selection activeCell="F3" sqref="F3"/>
    </sheetView>
  </sheetViews>
  <sheetFormatPr defaultColWidth="9" defaultRowHeight="15.2" outlineLevelRow="5"/>
  <cols>
    <col min="2" max="2" width="16.625" customWidth="1"/>
    <col min="3" max="3" width="18.375" customWidth="1"/>
    <col min="4" max="4" width="11.5" customWidth="1"/>
    <col min="10" max="10" width="10.375" customWidth="1"/>
  </cols>
  <sheetData>
    <row r="1" spans="1:2">
      <c r="A1" s="51" t="str">
        <f>HYPERLINK("#表结构清单!A1","返回")</f>
        <v>返回</v>
      </c>
      <c r="B1" s="54" t="s">
        <v>114</v>
      </c>
    </row>
    <row r="2" spans="2:10">
      <c r="B2" s="13" t="s">
        <v>15982</v>
      </c>
      <c r="C2" s="13" t="s">
        <v>297</v>
      </c>
      <c r="D2" s="13" t="s">
        <v>11870</v>
      </c>
      <c r="E2" s="13" t="s">
        <v>15983</v>
      </c>
      <c r="F2" s="13" t="s">
        <v>15984</v>
      </c>
      <c r="G2" s="13" t="s">
        <v>300</v>
      </c>
      <c r="H2" s="13" t="s">
        <v>301</v>
      </c>
      <c r="I2" s="13" t="s">
        <v>15985</v>
      </c>
      <c r="J2" s="13" t="s">
        <v>15986</v>
      </c>
    </row>
    <row r="3" spans="2:10">
      <c r="B3" s="15" t="s">
        <v>19854</v>
      </c>
      <c r="C3" s="15" t="s">
        <v>19834</v>
      </c>
      <c r="D3" s="15" t="s">
        <v>506</v>
      </c>
      <c r="E3" s="15" t="s">
        <v>15989</v>
      </c>
      <c r="F3" s="15" t="s">
        <v>19855</v>
      </c>
      <c r="G3" s="15"/>
      <c r="H3" s="15"/>
      <c r="I3" s="15" t="s">
        <v>528</v>
      </c>
      <c r="J3" s="15" t="s">
        <v>15991</v>
      </c>
    </row>
    <row r="4" spans="2:10">
      <c r="B4" s="15" t="s">
        <v>19854</v>
      </c>
      <c r="C4" s="15" t="s">
        <v>19741</v>
      </c>
      <c r="D4" s="15" t="s">
        <v>327</v>
      </c>
      <c r="E4" s="15" t="s">
        <v>15989</v>
      </c>
      <c r="F4" s="15" t="s">
        <v>19856</v>
      </c>
      <c r="G4" s="15"/>
      <c r="H4" s="15"/>
      <c r="I4" s="15" t="s">
        <v>528</v>
      </c>
      <c r="J4" s="15" t="s">
        <v>15991</v>
      </c>
    </row>
    <row r="5" spans="2:10">
      <c r="B5" s="15" t="s">
        <v>19854</v>
      </c>
      <c r="C5" s="15" t="s">
        <v>19754</v>
      </c>
      <c r="D5" s="15" t="s">
        <v>19748</v>
      </c>
      <c r="E5" s="15" t="s">
        <v>15989</v>
      </c>
      <c r="F5" s="15" t="s">
        <v>19755</v>
      </c>
      <c r="G5" s="15"/>
      <c r="H5" s="15"/>
      <c r="I5" s="15" t="s">
        <v>528</v>
      </c>
      <c r="J5" s="15" t="s">
        <v>15991</v>
      </c>
    </row>
    <row r="6" spans="2:10">
      <c r="B6" s="15" t="s">
        <v>19854</v>
      </c>
      <c r="C6" s="15" t="s">
        <v>16407</v>
      </c>
      <c r="D6" s="15" t="s">
        <v>327</v>
      </c>
      <c r="E6" s="15" t="s">
        <v>305</v>
      </c>
      <c r="F6" s="15" t="s">
        <v>19857</v>
      </c>
      <c r="G6" s="15"/>
      <c r="H6" s="15"/>
      <c r="I6" s="15" t="s">
        <v>528</v>
      </c>
      <c r="J6" s="15" t="s">
        <v>15991</v>
      </c>
    </row>
  </sheetData>
  <pageMargins left="0.75" right="0.75" top="1" bottom="1" header="0.5" footer="0.5"/>
  <headerFooter/>
</worksheet>
</file>

<file path=xl/worksheets/sheet1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2"/>
  <sheetViews>
    <sheetView zoomScaleSheetLayoutView="60" workbookViewId="0">
      <selection activeCell="F32" sqref="F32"/>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52" t="str">
        <f>HYPERLINK("#表结构清单!A1","返回")</f>
        <v>返回</v>
      </c>
      <c r="B1" t="s">
        <v>116</v>
      </c>
    </row>
    <row r="2" spans="2:10">
      <c r="B2" s="13" t="s">
        <v>15982</v>
      </c>
      <c r="C2" s="13" t="s">
        <v>297</v>
      </c>
      <c r="D2" s="13" t="s">
        <v>11870</v>
      </c>
      <c r="E2" s="13" t="s">
        <v>15983</v>
      </c>
      <c r="F2" s="13" t="s">
        <v>15984</v>
      </c>
      <c r="G2" s="13" t="s">
        <v>300</v>
      </c>
      <c r="H2" s="13" t="s">
        <v>301</v>
      </c>
      <c r="I2" s="13" t="s">
        <v>15985</v>
      </c>
      <c r="J2" s="13" t="s">
        <v>15986</v>
      </c>
    </row>
    <row r="3" spans="2:10">
      <c r="B3" s="15" t="s">
        <v>19858</v>
      </c>
      <c r="C3" s="15" t="s">
        <v>16483</v>
      </c>
      <c r="D3" s="15" t="s">
        <v>316</v>
      </c>
      <c r="E3" s="15" t="s">
        <v>15989</v>
      </c>
      <c r="F3" s="53" t="s">
        <v>9239</v>
      </c>
      <c r="G3" s="15"/>
      <c r="H3" s="15"/>
      <c r="I3" s="15" t="s">
        <v>528</v>
      </c>
      <c r="J3" s="15" t="s">
        <v>15991</v>
      </c>
    </row>
    <row r="4" spans="2:10">
      <c r="B4" s="15" t="s">
        <v>19858</v>
      </c>
      <c r="C4" s="15" t="s">
        <v>16484</v>
      </c>
      <c r="D4" s="15" t="s">
        <v>316</v>
      </c>
      <c r="E4" s="15" t="s">
        <v>15989</v>
      </c>
      <c r="F4" s="53" t="s">
        <v>16762</v>
      </c>
      <c r="G4" s="15"/>
      <c r="H4" s="15"/>
      <c r="I4" s="15" t="s">
        <v>528</v>
      </c>
      <c r="J4" s="15" t="s">
        <v>15991</v>
      </c>
    </row>
    <row r="5" spans="2:10">
      <c r="B5" s="15" t="s">
        <v>19858</v>
      </c>
      <c r="C5" s="15" t="s">
        <v>19788</v>
      </c>
      <c r="D5" s="15" t="s">
        <v>316</v>
      </c>
      <c r="E5" s="15" t="s">
        <v>305</v>
      </c>
      <c r="F5" s="15" t="s">
        <v>19789</v>
      </c>
      <c r="G5" s="15"/>
      <c r="H5" s="15"/>
      <c r="I5" s="15" t="s">
        <v>528</v>
      </c>
      <c r="J5" s="15" t="s">
        <v>15991</v>
      </c>
    </row>
    <row r="6" spans="2:10">
      <c r="B6" s="15" t="s">
        <v>19858</v>
      </c>
      <c r="C6" s="15" t="s">
        <v>16095</v>
      </c>
      <c r="D6" s="15" t="s">
        <v>316</v>
      </c>
      <c r="E6" s="15" t="s">
        <v>305</v>
      </c>
      <c r="F6" s="15" t="s">
        <v>6971</v>
      </c>
      <c r="G6" s="52" t="str">
        <f>HYPERLINK("#码值映射清单!B5219","ApplyType")</f>
        <v>ApplyType</v>
      </c>
      <c r="H6" s="15"/>
      <c r="I6" s="15" t="s">
        <v>528</v>
      </c>
      <c r="J6" s="15" t="s">
        <v>15991</v>
      </c>
    </row>
    <row r="7" spans="2:10">
      <c r="B7" s="15" t="s">
        <v>19858</v>
      </c>
      <c r="C7" s="15" t="s">
        <v>19710</v>
      </c>
      <c r="D7" s="15" t="s">
        <v>316</v>
      </c>
      <c r="E7" s="15" t="s">
        <v>305</v>
      </c>
      <c r="F7" s="53" t="s">
        <v>19859</v>
      </c>
      <c r="G7" s="52" t="str">
        <f>HYPERLINK("#码值映射清单!B5391","OperateType1")</f>
        <v>OperateType1</v>
      </c>
      <c r="H7" s="15"/>
      <c r="I7" s="15" t="s">
        <v>528</v>
      </c>
      <c r="J7" s="15" t="s">
        <v>15991</v>
      </c>
    </row>
    <row r="8" spans="2:10">
      <c r="B8" s="15" t="s">
        <v>19858</v>
      </c>
      <c r="C8" s="15" t="s">
        <v>19712</v>
      </c>
      <c r="D8" s="15" t="s">
        <v>506</v>
      </c>
      <c r="E8" s="15" t="s">
        <v>305</v>
      </c>
      <c r="F8" s="15" t="s">
        <v>19860</v>
      </c>
      <c r="G8" s="52" t="str">
        <f>HYPERLINK("#码值映射清单!B5150","YesNo")</f>
        <v>YesNo</v>
      </c>
      <c r="H8" s="15"/>
      <c r="I8" s="15" t="s">
        <v>528</v>
      </c>
      <c r="J8" s="15" t="s">
        <v>15991</v>
      </c>
    </row>
    <row r="9" spans="2:10">
      <c r="B9" s="15" t="s">
        <v>19858</v>
      </c>
      <c r="C9" s="15" t="s">
        <v>19786</v>
      </c>
      <c r="D9" s="15" t="s">
        <v>316</v>
      </c>
      <c r="E9" s="15" t="s">
        <v>305</v>
      </c>
      <c r="F9" s="15" t="s">
        <v>19861</v>
      </c>
      <c r="G9" s="15"/>
      <c r="H9" s="15"/>
      <c r="I9" s="15" t="s">
        <v>528</v>
      </c>
      <c r="J9" s="15" t="s">
        <v>15991</v>
      </c>
    </row>
    <row r="10" spans="2:10">
      <c r="B10" s="15" t="s">
        <v>19858</v>
      </c>
      <c r="C10" s="15" t="s">
        <v>19790</v>
      </c>
      <c r="D10" s="15" t="s">
        <v>506</v>
      </c>
      <c r="E10" s="15" t="s">
        <v>305</v>
      </c>
      <c r="F10" s="15" t="s">
        <v>19862</v>
      </c>
      <c r="G10" s="15"/>
      <c r="H10" s="15"/>
      <c r="I10" s="15" t="s">
        <v>528</v>
      </c>
      <c r="J10" s="15" t="s">
        <v>15991</v>
      </c>
    </row>
    <row r="11" spans="2:10">
      <c r="B11" s="15" t="s">
        <v>19858</v>
      </c>
      <c r="C11" s="15" t="s">
        <v>19863</v>
      </c>
      <c r="D11" s="15" t="s">
        <v>327</v>
      </c>
      <c r="E11" s="15" t="s">
        <v>305</v>
      </c>
      <c r="F11" s="15" t="s">
        <v>19715</v>
      </c>
      <c r="G11" s="15"/>
      <c r="H11" s="15"/>
      <c r="I11" s="15" t="s">
        <v>528</v>
      </c>
      <c r="J11" s="15" t="s">
        <v>15991</v>
      </c>
    </row>
    <row r="12" spans="2:10">
      <c r="B12" s="15" t="s">
        <v>19858</v>
      </c>
      <c r="C12" s="15" t="s">
        <v>19864</v>
      </c>
      <c r="D12" s="15" t="s">
        <v>367</v>
      </c>
      <c r="E12" s="15" t="s">
        <v>305</v>
      </c>
      <c r="F12" s="15" t="s">
        <v>19865</v>
      </c>
      <c r="G12" s="15"/>
      <c r="H12" s="15"/>
      <c r="I12" s="15" t="s">
        <v>528</v>
      </c>
      <c r="J12" s="15" t="s">
        <v>15991</v>
      </c>
    </row>
    <row r="13" spans="2:10">
      <c r="B13" s="15" t="s">
        <v>19858</v>
      </c>
      <c r="C13" s="15" t="s">
        <v>19866</v>
      </c>
      <c r="D13" s="15" t="s">
        <v>367</v>
      </c>
      <c r="E13" s="15" t="s">
        <v>305</v>
      </c>
      <c r="F13" s="15" t="s">
        <v>19867</v>
      </c>
      <c r="G13" s="15"/>
      <c r="H13" s="15"/>
      <c r="I13" s="15" t="s">
        <v>528</v>
      </c>
      <c r="J13" s="15" t="s">
        <v>15991</v>
      </c>
    </row>
    <row r="14" spans="2:10">
      <c r="B14" s="15" t="s">
        <v>19858</v>
      </c>
      <c r="C14" s="15" t="s">
        <v>19868</v>
      </c>
      <c r="D14" s="15" t="s">
        <v>367</v>
      </c>
      <c r="E14" s="15" t="s">
        <v>305</v>
      </c>
      <c r="F14" s="15" t="s">
        <v>19869</v>
      </c>
      <c r="G14" s="15"/>
      <c r="H14" s="15"/>
      <c r="I14" s="15" t="s">
        <v>528</v>
      </c>
      <c r="J14" s="15" t="s">
        <v>15991</v>
      </c>
    </row>
    <row r="15" spans="2:10">
      <c r="B15" s="15" t="s">
        <v>19858</v>
      </c>
      <c r="C15" s="15" t="s">
        <v>19870</v>
      </c>
      <c r="D15" s="15" t="s">
        <v>367</v>
      </c>
      <c r="E15" s="15" t="s">
        <v>305</v>
      </c>
      <c r="F15" s="15" t="s">
        <v>19871</v>
      </c>
      <c r="G15" s="15"/>
      <c r="H15" s="15"/>
      <c r="I15" s="15" t="s">
        <v>528</v>
      </c>
      <c r="J15" s="15" t="s">
        <v>15991</v>
      </c>
    </row>
    <row r="16" spans="2:10">
      <c r="B16" s="15" t="s">
        <v>19858</v>
      </c>
      <c r="C16" s="15" t="s">
        <v>19872</v>
      </c>
      <c r="D16" s="15" t="s">
        <v>367</v>
      </c>
      <c r="E16" s="15" t="s">
        <v>305</v>
      </c>
      <c r="F16" s="15" t="s">
        <v>19873</v>
      </c>
      <c r="G16" s="15"/>
      <c r="H16" s="15"/>
      <c r="I16" s="15" t="s">
        <v>528</v>
      </c>
      <c r="J16" s="15" t="s">
        <v>15991</v>
      </c>
    </row>
    <row r="17" spans="2:10">
      <c r="B17" s="15" t="s">
        <v>19858</v>
      </c>
      <c r="C17" s="15" t="s">
        <v>16622</v>
      </c>
      <c r="D17" s="15" t="s">
        <v>316</v>
      </c>
      <c r="E17" s="15" t="s">
        <v>305</v>
      </c>
      <c r="F17" s="15" t="s">
        <v>16526</v>
      </c>
      <c r="G17" s="15"/>
      <c r="H17" s="15"/>
      <c r="I17" s="15" t="s">
        <v>528</v>
      </c>
      <c r="J17" s="15" t="s">
        <v>15991</v>
      </c>
    </row>
    <row r="18" spans="2:10">
      <c r="B18" s="15" t="s">
        <v>19858</v>
      </c>
      <c r="C18" s="15" t="s">
        <v>19874</v>
      </c>
      <c r="D18" s="15" t="s">
        <v>506</v>
      </c>
      <c r="E18" s="15" t="s">
        <v>305</v>
      </c>
      <c r="F18" s="15" t="s">
        <v>19875</v>
      </c>
      <c r="G18" s="15"/>
      <c r="H18" s="15"/>
      <c r="I18" s="15" t="s">
        <v>528</v>
      </c>
      <c r="J18" s="15" t="s">
        <v>15991</v>
      </c>
    </row>
    <row r="19" spans="2:10">
      <c r="B19" s="15" t="s">
        <v>19858</v>
      </c>
      <c r="C19" s="15" t="s">
        <v>16579</v>
      </c>
      <c r="D19" s="15" t="s">
        <v>316</v>
      </c>
      <c r="E19" s="15" t="s">
        <v>305</v>
      </c>
      <c r="F19" s="15" t="s">
        <v>19699</v>
      </c>
      <c r="G19" s="15"/>
      <c r="H19" s="15"/>
      <c r="I19" s="15" t="s">
        <v>528</v>
      </c>
      <c r="J19" s="15" t="s">
        <v>15991</v>
      </c>
    </row>
    <row r="20" spans="2:10">
      <c r="B20" s="15" t="s">
        <v>19858</v>
      </c>
      <c r="C20" s="15" t="s">
        <v>19876</v>
      </c>
      <c r="D20" s="15" t="s">
        <v>506</v>
      </c>
      <c r="E20" s="15" t="s">
        <v>305</v>
      </c>
      <c r="F20" s="15" t="s">
        <v>19877</v>
      </c>
      <c r="G20" s="15"/>
      <c r="H20" s="15"/>
      <c r="I20" s="15" t="s">
        <v>528</v>
      </c>
      <c r="J20" s="15" t="s">
        <v>15991</v>
      </c>
    </row>
    <row r="21" spans="2:10">
      <c r="B21" s="15" t="s">
        <v>19858</v>
      </c>
      <c r="C21" s="15" t="s">
        <v>16013</v>
      </c>
      <c r="D21" s="15" t="s">
        <v>371</v>
      </c>
      <c r="E21" s="15" t="s">
        <v>305</v>
      </c>
      <c r="F21" s="15" t="s">
        <v>16014</v>
      </c>
      <c r="G21" s="15"/>
      <c r="H21" s="15"/>
      <c r="I21" s="15" t="s">
        <v>528</v>
      </c>
      <c r="J21" s="15" t="s">
        <v>15991</v>
      </c>
    </row>
    <row r="22" spans="2:10">
      <c r="B22" s="15" t="s">
        <v>19858</v>
      </c>
      <c r="C22" s="15" t="s">
        <v>19878</v>
      </c>
      <c r="D22" s="15" t="s">
        <v>371</v>
      </c>
      <c r="E22" s="15" t="s">
        <v>305</v>
      </c>
      <c r="F22" s="15" t="s">
        <v>19879</v>
      </c>
      <c r="G22" s="15"/>
      <c r="H22" s="15"/>
      <c r="I22" s="15" t="s">
        <v>528</v>
      </c>
      <c r="J22" s="15" t="s">
        <v>15991</v>
      </c>
    </row>
    <row r="23" spans="2:10">
      <c r="B23" s="15" t="s">
        <v>19858</v>
      </c>
      <c r="C23" s="15" t="s">
        <v>19197</v>
      </c>
      <c r="D23" s="15" t="s">
        <v>316</v>
      </c>
      <c r="E23" s="15" t="s">
        <v>305</v>
      </c>
      <c r="F23" s="15" t="s">
        <v>19880</v>
      </c>
      <c r="G23" s="15"/>
      <c r="H23" s="15"/>
      <c r="I23" s="15" t="s">
        <v>528</v>
      </c>
      <c r="J23" s="15" t="s">
        <v>15991</v>
      </c>
    </row>
    <row r="24" spans="2:10">
      <c r="B24" s="15" t="s">
        <v>19858</v>
      </c>
      <c r="C24" s="15" t="s">
        <v>19881</v>
      </c>
      <c r="D24" s="15" t="s">
        <v>367</v>
      </c>
      <c r="E24" s="15" t="s">
        <v>305</v>
      </c>
      <c r="F24" t="s">
        <v>19882</v>
      </c>
      <c r="G24" s="15"/>
      <c r="H24" s="15"/>
      <c r="I24" s="15" t="s">
        <v>528</v>
      </c>
      <c r="J24" s="15" t="s">
        <v>15991</v>
      </c>
    </row>
    <row r="25" spans="2:10">
      <c r="B25" s="15" t="s">
        <v>19858</v>
      </c>
      <c r="C25" s="15" t="s">
        <v>19883</v>
      </c>
      <c r="D25" s="15" t="s">
        <v>316</v>
      </c>
      <c r="E25" s="15" t="s">
        <v>305</v>
      </c>
      <c r="F25" s="15" t="s">
        <v>19884</v>
      </c>
      <c r="G25" s="15"/>
      <c r="H25" s="15"/>
      <c r="I25" s="15" t="s">
        <v>528</v>
      </c>
      <c r="J25" s="15" t="s">
        <v>15991</v>
      </c>
    </row>
    <row r="26" spans="2:10">
      <c r="B26" s="15" t="s">
        <v>19858</v>
      </c>
      <c r="C26" s="15" t="s">
        <v>19885</v>
      </c>
      <c r="D26" s="15" t="s">
        <v>316</v>
      </c>
      <c r="E26" s="15" t="s">
        <v>305</v>
      </c>
      <c r="F26" s="53" t="s">
        <v>19886</v>
      </c>
      <c r="G26" s="15"/>
      <c r="H26" s="15"/>
      <c r="I26" s="15" t="s">
        <v>528</v>
      </c>
      <c r="J26" s="15" t="s">
        <v>15991</v>
      </c>
    </row>
    <row r="27" spans="2:10">
      <c r="B27" s="15" t="s">
        <v>19858</v>
      </c>
      <c r="C27" s="15" t="s">
        <v>19887</v>
      </c>
      <c r="D27" s="15" t="s">
        <v>316</v>
      </c>
      <c r="E27" s="15" t="s">
        <v>305</v>
      </c>
      <c r="F27" s="53" t="s">
        <v>19888</v>
      </c>
      <c r="G27" s="15"/>
      <c r="H27" s="15"/>
      <c r="I27" s="15" t="s">
        <v>528</v>
      </c>
      <c r="J27" s="15" t="s">
        <v>15991</v>
      </c>
    </row>
    <row r="28" spans="2:10">
      <c r="B28" s="15" t="s">
        <v>19858</v>
      </c>
      <c r="C28" s="15" t="s">
        <v>19889</v>
      </c>
      <c r="D28" s="15" t="s">
        <v>316</v>
      </c>
      <c r="E28" s="15" t="s">
        <v>305</v>
      </c>
      <c r="F28" s="53" t="s">
        <v>19890</v>
      </c>
      <c r="G28" s="15"/>
      <c r="H28" s="15"/>
      <c r="I28" s="15" t="s">
        <v>528</v>
      </c>
      <c r="J28" s="15" t="s">
        <v>15991</v>
      </c>
    </row>
    <row r="29" spans="2:10">
      <c r="B29" s="15" t="s">
        <v>19858</v>
      </c>
      <c r="C29" s="15" t="s">
        <v>15988</v>
      </c>
      <c r="D29" s="15" t="s">
        <v>316</v>
      </c>
      <c r="E29" s="15" t="s">
        <v>305</v>
      </c>
      <c r="F29" s="15" t="s">
        <v>19891</v>
      </c>
      <c r="G29" s="15"/>
      <c r="H29" s="15"/>
      <c r="I29" s="15" t="s">
        <v>528</v>
      </c>
      <c r="J29" s="15" t="s">
        <v>15991</v>
      </c>
    </row>
    <row r="30" spans="2:10">
      <c r="B30" s="15" t="s">
        <v>19858</v>
      </c>
      <c r="C30" s="15" t="s">
        <v>19892</v>
      </c>
      <c r="D30" s="15" t="s">
        <v>316</v>
      </c>
      <c r="E30" s="15" t="s">
        <v>305</v>
      </c>
      <c r="F30" s="15" t="s">
        <v>16099</v>
      </c>
      <c r="G30" s="15"/>
      <c r="H30" s="15"/>
      <c r="I30" s="15" t="s">
        <v>528</v>
      </c>
      <c r="J30" s="15" t="s">
        <v>15991</v>
      </c>
    </row>
    <row r="31" spans="2:10">
      <c r="B31" s="15" t="s">
        <v>19858</v>
      </c>
      <c r="C31" s="15" t="s">
        <v>19726</v>
      </c>
      <c r="D31" s="15" t="s">
        <v>316</v>
      </c>
      <c r="E31" s="15" t="s">
        <v>305</v>
      </c>
      <c r="F31" s="53" t="s">
        <v>19727</v>
      </c>
      <c r="G31" s="15"/>
      <c r="H31" s="15"/>
      <c r="I31" s="15" t="s">
        <v>528</v>
      </c>
      <c r="J31" s="15" t="s">
        <v>15991</v>
      </c>
    </row>
    <row r="32" spans="2:10">
      <c r="B32" s="15" t="s">
        <v>19858</v>
      </c>
      <c r="C32" s="15" t="s">
        <v>19728</v>
      </c>
      <c r="D32" s="15" t="s">
        <v>316</v>
      </c>
      <c r="E32" s="15" t="s">
        <v>305</v>
      </c>
      <c r="F32" s="53" t="s">
        <v>19729</v>
      </c>
      <c r="G32" s="15"/>
      <c r="H32" s="15"/>
      <c r="I32" s="15" t="s">
        <v>528</v>
      </c>
      <c r="J32" s="15" t="s">
        <v>15991</v>
      </c>
    </row>
  </sheetData>
  <pageMargins left="0.75" right="0.75" top="1" bottom="1" header="0.5" footer="0.5"/>
  <pageSetup paperSize="1" orientation="portrait" horizontalDpi="300" verticalDpi="300"/>
  <headerFooter alignWithMargins="0" scaleWithDoc="0"/>
</worksheet>
</file>

<file path=xl/worksheets/sheet1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9"/>
  <sheetViews>
    <sheetView zoomScaleSheetLayoutView="60" workbookViewId="0">
      <selection activeCell="A1" sqref="A1"/>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52" t="str">
        <f>HYPERLINK("#表结构清单!A1","返回")</f>
        <v>返回</v>
      </c>
      <c r="B1" t="s">
        <v>116</v>
      </c>
    </row>
    <row r="2" spans="2:10">
      <c r="B2" s="13" t="s">
        <v>15982</v>
      </c>
      <c r="C2" s="13" t="s">
        <v>297</v>
      </c>
      <c r="D2" s="13" t="s">
        <v>11870</v>
      </c>
      <c r="E2" s="13" t="s">
        <v>15983</v>
      </c>
      <c r="F2" s="13" t="s">
        <v>15984</v>
      </c>
      <c r="G2" s="13" t="s">
        <v>300</v>
      </c>
      <c r="H2" s="13" t="s">
        <v>301</v>
      </c>
      <c r="I2" s="13" t="s">
        <v>15985</v>
      </c>
      <c r="J2" s="13" t="s">
        <v>15986</v>
      </c>
    </row>
    <row r="3" spans="2:10">
      <c r="B3" s="15" t="s">
        <v>19893</v>
      </c>
      <c r="C3" s="15" t="s">
        <v>16095</v>
      </c>
      <c r="D3" s="15" t="s">
        <v>316</v>
      </c>
      <c r="E3" s="15" t="s">
        <v>15989</v>
      </c>
      <c r="F3" s="15" t="s">
        <v>6971</v>
      </c>
      <c r="G3" s="15"/>
      <c r="H3" s="15"/>
      <c r="I3" s="15" t="s">
        <v>528</v>
      </c>
      <c r="J3" s="15" t="s">
        <v>15991</v>
      </c>
    </row>
    <row r="4" spans="2:10">
      <c r="B4" s="15" t="s">
        <v>19893</v>
      </c>
      <c r="C4" s="15" t="s">
        <v>16484</v>
      </c>
      <c r="D4" s="15" t="s">
        <v>316</v>
      </c>
      <c r="E4" s="15" t="s">
        <v>15989</v>
      </c>
      <c r="F4" s="15" t="s">
        <v>19894</v>
      </c>
      <c r="G4" s="15"/>
      <c r="H4" s="15"/>
      <c r="I4" s="15" t="s">
        <v>528</v>
      </c>
      <c r="J4" s="15" t="s">
        <v>15991</v>
      </c>
    </row>
    <row r="5" spans="2:10">
      <c r="B5" s="15" t="s">
        <v>19893</v>
      </c>
      <c r="C5" s="15" t="s">
        <v>19895</v>
      </c>
      <c r="D5" s="15" t="s">
        <v>16087</v>
      </c>
      <c r="E5" s="15" t="s">
        <v>305</v>
      </c>
      <c r="F5" s="15" t="s">
        <v>19896</v>
      </c>
      <c r="G5" s="15"/>
      <c r="H5" s="15"/>
      <c r="I5" s="15" t="s">
        <v>528</v>
      </c>
      <c r="J5" s="15" t="s">
        <v>15991</v>
      </c>
    </row>
    <row r="6" spans="2:10">
      <c r="B6" s="15" t="s">
        <v>19893</v>
      </c>
      <c r="C6" s="15" t="s">
        <v>19897</v>
      </c>
      <c r="D6" s="15" t="s">
        <v>16087</v>
      </c>
      <c r="E6" s="15" t="s">
        <v>305</v>
      </c>
      <c r="F6" s="15" t="s">
        <v>19898</v>
      </c>
      <c r="G6" s="15"/>
      <c r="H6" s="15"/>
      <c r="I6" s="15" t="s">
        <v>528</v>
      </c>
      <c r="J6" s="15" t="s">
        <v>15991</v>
      </c>
    </row>
    <row r="7" spans="2:10">
      <c r="B7" s="15" t="s">
        <v>19893</v>
      </c>
      <c r="C7" s="15" t="s">
        <v>16096</v>
      </c>
      <c r="D7" s="15" t="s">
        <v>316</v>
      </c>
      <c r="E7" s="15" t="s">
        <v>305</v>
      </c>
      <c r="F7" s="15" t="s">
        <v>19899</v>
      </c>
      <c r="G7" s="15"/>
      <c r="H7" s="15"/>
      <c r="I7" s="15" t="s">
        <v>528</v>
      </c>
      <c r="J7" s="15" t="s">
        <v>15991</v>
      </c>
    </row>
    <row r="8" spans="2:10">
      <c r="B8" s="15" t="s">
        <v>19893</v>
      </c>
      <c r="C8" s="15" t="s">
        <v>16011</v>
      </c>
      <c r="D8" s="15" t="s">
        <v>316</v>
      </c>
      <c r="E8" s="15" t="s">
        <v>305</v>
      </c>
      <c r="F8" s="15" t="s">
        <v>16012</v>
      </c>
      <c r="G8" s="15"/>
      <c r="H8" s="15"/>
      <c r="I8" s="15" t="s">
        <v>528</v>
      </c>
      <c r="J8" s="15" t="s">
        <v>15991</v>
      </c>
    </row>
    <row r="9" spans="2:10">
      <c r="B9" s="15" t="s">
        <v>19893</v>
      </c>
      <c r="C9" s="15" t="s">
        <v>16009</v>
      </c>
      <c r="D9" s="15" t="s">
        <v>316</v>
      </c>
      <c r="E9" s="15" t="s">
        <v>305</v>
      </c>
      <c r="F9" s="15" t="s">
        <v>16010</v>
      </c>
      <c r="G9" s="15"/>
      <c r="H9" s="15"/>
      <c r="I9" s="15" t="s">
        <v>528</v>
      </c>
      <c r="J9" s="15" t="s">
        <v>15991</v>
      </c>
    </row>
    <row r="10" spans="2:10">
      <c r="B10" s="15" t="s">
        <v>19893</v>
      </c>
      <c r="C10" s="15" t="s">
        <v>16013</v>
      </c>
      <c r="D10" s="15" t="s">
        <v>371</v>
      </c>
      <c r="E10" s="15" t="s">
        <v>305</v>
      </c>
      <c r="F10" s="15" t="s">
        <v>16014</v>
      </c>
      <c r="G10" s="15"/>
      <c r="H10" s="15"/>
      <c r="I10" s="15" t="s">
        <v>528</v>
      </c>
      <c r="J10" s="15" t="s">
        <v>15991</v>
      </c>
    </row>
    <row r="11" spans="2:10">
      <c r="B11" s="15" t="s">
        <v>19893</v>
      </c>
      <c r="C11" s="15" t="s">
        <v>16017</v>
      </c>
      <c r="D11" s="15" t="s">
        <v>316</v>
      </c>
      <c r="E11" s="15" t="s">
        <v>305</v>
      </c>
      <c r="F11" s="15" t="s">
        <v>16018</v>
      </c>
      <c r="G11" s="15"/>
      <c r="H11" s="15"/>
      <c r="I11" s="15" t="s">
        <v>528</v>
      </c>
      <c r="J11" s="15" t="s">
        <v>15991</v>
      </c>
    </row>
    <row r="12" spans="2:10">
      <c r="B12" s="15" t="s">
        <v>19893</v>
      </c>
      <c r="C12" s="15" t="s">
        <v>16015</v>
      </c>
      <c r="D12" s="15" t="s">
        <v>316</v>
      </c>
      <c r="E12" s="15" t="s">
        <v>305</v>
      </c>
      <c r="F12" s="15" t="s">
        <v>16016</v>
      </c>
      <c r="G12" s="15"/>
      <c r="H12" s="15"/>
      <c r="I12" s="15" t="s">
        <v>528</v>
      </c>
      <c r="J12" s="15" t="s">
        <v>15991</v>
      </c>
    </row>
    <row r="13" spans="2:10">
      <c r="B13" s="15" t="s">
        <v>19893</v>
      </c>
      <c r="C13" s="15" t="s">
        <v>16019</v>
      </c>
      <c r="D13" s="15" t="s">
        <v>371</v>
      </c>
      <c r="E13" s="15" t="s">
        <v>305</v>
      </c>
      <c r="F13" s="15" t="s">
        <v>16020</v>
      </c>
      <c r="G13" s="15"/>
      <c r="H13" s="15"/>
      <c r="I13" s="15" t="s">
        <v>528</v>
      </c>
      <c r="J13" s="15" t="s">
        <v>15991</v>
      </c>
    </row>
    <row r="14" spans="2:10">
      <c r="B14" s="15" t="s">
        <v>19893</v>
      </c>
      <c r="C14" s="15" t="s">
        <v>16088</v>
      </c>
      <c r="D14" s="15" t="s">
        <v>316</v>
      </c>
      <c r="E14" s="15" t="s">
        <v>305</v>
      </c>
      <c r="F14" s="15" t="s">
        <v>16089</v>
      </c>
      <c r="G14" s="15"/>
      <c r="H14" s="15"/>
      <c r="I14" s="15" t="s">
        <v>528</v>
      </c>
      <c r="J14" s="15" t="s">
        <v>15991</v>
      </c>
    </row>
    <row r="15" spans="2:10">
      <c r="B15" s="15" t="s">
        <v>19893</v>
      </c>
      <c r="C15" s="15" t="s">
        <v>16579</v>
      </c>
      <c r="D15" s="15" t="s">
        <v>316</v>
      </c>
      <c r="E15" s="15" t="s">
        <v>305</v>
      </c>
      <c r="F15" s="15" t="s">
        <v>19900</v>
      </c>
      <c r="G15" s="15"/>
      <c r="H15" s="15"/>
      <c r="I15" s="15" t="s">
        <v>528</v>
      </c>
      <c r="J15" s="15" t="s">
        <v>15991</v>
      </c>
    </row>
    <row r="16" spans="2:10">
      <c r="B16" s="15" t="s">
        <v>19893</v>
      </c>
      <c r="C16" s="15" t="s">
        <v>15988</v>
      </c>
      <c r="D16" s="15" t="s">
        <v>316</v>
      </c>
      <c r="E16" s="15" t="s">
        <v>15989</v>
      </c>
      <c r="F16" s="15" t="s">
        <v>16934</v>
      </c>
      <c r="G16" s="15"/>
      <c r="H16" s="15"/>
      <c r="I16" s="15" t="s">
        <v>528</v>
      </c>
      <c r="J16" s="15" t="s">
        <v>15991</v>
      </c>
    </row>
    <row r="17" spans="2:10">
      <c r="B17" s="15" t="s">
        <v>19893</v>
      </c>
      <c r="C17" s="15" t="s">
        <v>19901</v>
      </c>
      <c r="D17" s="15" t="s">
        <v>321</v>
      </c>
      <c r="E17" s="15" t="s">
        <v>305</v>
      </c>
      <c r="F17" s="15" t="s">
        <v>19902</v>
      </c>
      <c r="G17" s="15"/>
      <c r="H17" s="15"/>
      <c r="I17" s="15" t="s">
        <v>528</v>
      </c>
      <c r="J17" s="15" t="s">
        <v>15991</v>
      </c>
    </row>
    <row r="18" spans="2:10">
      <c r="B18" s="15" t="s">
        <v>19893</v>
      </c>
      <c r="C18" s="15" t="s">
        <v>19903</v>
      </c>
      <c r="D18" s="15" t="s">
        <v>506</v>
      </c>
      <c r="E18" s="15" t="s">
        <v>305</v>
      </c>
      <c r="F18" s="15" t="s">
        <v>19904</v>
      </c>
      <c r="G18" s="15"/>
      <c r="H18" s="15"/>
      <c r="I18" s="15" t="s">
        <v>528</v>
      </c>
      <c r="J18" s="15" t="s">
        <v>15991</v>
      </c>
    </row>
    <row r="19" spans="2:10">
      <c r="B19" s="15" t="s">
        <v>19893</v>
      </c>
      <c r="C19" s="15" t="s">
        <v>19905</v>
      </c>
      <c r="D19" s="15" t="s">
        <v>16087</v>
      </c>
      <c r="E19" s="15" t="s">
        <v>305</v>
      </c>
      <c r="F19" s="15" t="s">
        <v>19906</v>
      </c>
      <c r="G19" s="15"/>
      <c r="H19" s="15"/>
      <c r="I19" s="15" t="s">
        <v>528</v>
      </c>
      <c r="J19" s="15" t="s">
        <v>15991</v>
      </c>
    </row>
  </sheetData>
  <pageMargins left="0.75" right="0.75" top="1" bottom="1" header="0.5" footer="0.5"/>
  <pageSetup paperSize="1" orientation="portrait" horizontalDpi="300" verticalDpi="300"/>
  <headerFooter alignWithMargins="0" scaleWithDoc="0"/>
</worksheet>
</file>

<file path=xl/worksheets/sheet1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8"/>
  <sheetViews>
    <sheetView zoomScaleSheetLayoutView="60" workbookViewId="0">
      <selection activeCell="F44" sqref="F44"/>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52" t="str">
        <f>HYPERLINK("#表结构清单!A1","返回")</f>
        <v>返回</v>
      </c>
      <c r="B1" t="s">
        <v>97</v>
      </c>
    </row>
    <row r="2" spans="2:10">
      <c r="B2" s="13" t="s">
        <v>15982</v>
      </c>
      <c r="C2" s="13" t="s">
        <v>297</v>
      </c>
      <c r="D2" s="13" t="s">
        <v>11870</v>
      </c>
      <c r="E2" s="13" t="s">
        <v>15983</v>
      </c>
      <c r="F2" s="13" t="s">
        <v>15984</v>
      </c>
      <c r="G2" s="13" t="s">
        <v>300</v>
      </c>
      <c r="H2" s="13" t="s">
        <v>301</v>
      </c>
      <c r="I2" s="13" t="s">
        <v>15985</v>
      </c>
      <c r="J2" s="13" t="s">
        <v>15986</v>
      </c>
    </row>
    <row r="3" spans="2:10">
      <c r="B3" s="15" t="s">
        <v>19907</v>
      </c>
      <c r="C3" s="15" t="s">
        <v>15988</v>
      </c>
      <c r="D3" s="15" t="s">
        <v>316</v>
      </c>
      <c r="E3" s="15" t="s">
        <v>15989</v>
      </c>
      <c r="F3" s="15" t="s">
        <v>19908</v>
      </c>
      <c r="G3" s="15"/>
      <c r="H3" s="15"/>
      <c r="I3" s="15" t="s">
        <v>528</v>
      </c>
      <c r="J3" s="15" t="s">
        <v>15991</v>
      </c>
    </row>
    <row r="4" spans="2:10">
      <c r="B4" s="15" t="s">
        <v>19907</v>
      </c>
      <c r="C4" s="15" t="s">
        <v>19909</v>
      </c>
      <c r="D4" s="15" t="s">
        <v>316</v>
      </c>
      <c r="E4" s="15" t="s">
        <v>15989</v>
      </c>
      <c r="F4" s="15" t="s">
        <v>19910</v>
      </c>
      <c r="G4" s="15"/>
      <c r="H4" s="15"/>
      <c r="I4" s="15" t="s">
        <v>528</v>
      </c>
      <c r="J4" s="15" t="s">
        <v>15991</v>
      </c>
    </row>
    <row r="5" spans="2:10">
      <c r="B5" s="15" t="s">
        <v>19907</v>
      </c>
      <c r="C5" s="15" t="s">
        <v>16483</v>
      </c>
      <c r="D5" s="15" t="s">
        <v>316</v>
      </c>
      <c r="E5" s="15" t="s">
        <v>305</v>
      </c>
      <c r="F5" s="15" t="s">
        <v>19911</v>
      </c>
      <c r="G5" s="15"/>
      <c r="H5" s="15"/>
      <c r="I5" s="15" t="s">
        <v>528</v>
      </c>
      <c r="J5" s="15" t="s">
        <v>15991</v>
      </c>
    </row>
    <row r="6" spans="2:10">
      <c r="B6" s="15" t="s">
        <v>19907</v>
      </c>
      <c r="C6" s="15" t="s">
        <v>16484</v>
      </c>
      <c r="D6" s="15" t="s">
        <v>316</v>
      </c>
      <c r="E6" s="15" t="s">
        <v>305</v>
      </c>
      <c r="F6" s="15" t="s">
        <v>19912</v>
      </c>
      <c r="G6" s="15"/>
      <c r="H6" s="15"/>
      <c r="I6" s="15" t="s">
        <v>528</v>
      </c>
      <c r="J6" s="15" t="s">
        <v>15991</v>
      </c>
    </row>
    <row r="7" spans="2:10">
      <c r="B7" s="15" t="s">
        <v>19907</v>
      </c>
      <c r="C7" s="15" t="s">
        <v>16894</v>
      </c>
      <c r="D7" s="15" t="s">
        <v>316</v>
      </c>
      <c r="E7" s="15" t="s">
        <v>305</v>
      </c>
      <c r="F7" s="15" t="s">
        <v>16895</v>
      </c>
      <c r="G7" s="15"/>
      <c r="H7" s="15"/>
      <c r="I7" s="15" t="s">
        <v>528</v>
      </c>
      <c r="J7" s="15" t="s">
        <v>15991</v>
      </c>
    </row>
    <row r="8" spans="2:10">
      <c r="B8" s="15" t="s">
        <v>19907</v>
      </c>
      <c r="C8" s="15" t="s">
        <v>16941</v>
      </c>
      <c r="D8" s="15" t="s">
        <v>506</v>
      </c>
      <c r="E8" s="15" t="s">
        <v>305</v>
      </c>
      <c r="F8" s="15" t="s">
        <v>309</v>
      </c>
      <c r="G8" s="15"/>
      <c r="H8" s="15"/>
      <c r="I8" s="15" t="s">
        <v>528</v>
      </c>
      <c r="J8" s="15" t="s">
        <v>15991</v>
      </c>
    </row>
    <row r="9" spans="2:10">
      <c r="B9" s="15" t="s">
        <v>19907</v>
      </c>
      <c r="C9" s="15" t="s">
        <v>19913</v>
      </c>
      <c r="D9" s="15" t="s">
        <v>316</v>
      </c>
      <c r="E9" s="15" t="s">
        <v>305</v>
      </c>
      <c r="F9" s="15" t="s">
        <v>19914</v>
      </c>
      <c r="G9" s="52" t="str">
        <f>HYPERLINK("#码值映射清单!B2469","Currency")</f>
        <v>Currency</v>
      </c>
      <c r="H9" s="15"/>
      <c r="I9" s="15" t="s">
        <v>528</v>
      </c>
      <c r="J9" s="15" t="s">
        <v>15991</v>
      </c>
    </row>
    <row r="10" spans="2:10">
      <c r="B10" s="15" t="s">
        <v>19907</v>
      </c>
      <c r="C10" s="15" t="s">
        <v>16943</v>
      </c>
      <c r="D10" s="15" t="s">
        <v>350</v>
      </c>
      <c r="E10" s="15" t="s">
        <v>305</v>
      </c>
      <c r="F10" s="15" t="s">
        <v>19915</v>
      </c>
      <c r="G10" s="15"/>
      <c r="H10" s="15"/>
      <c r="I10" s="15" t="s">
        <v>528</v>
      </c>
      <c r="J10" s="15" t="s">
        <v>15991</v>
      </c>
    </row>
    <row r="11" spans="2:10">
      <c r="B11" s="15" t="s">
        <v>19907</v>
      </c>
      <c r="C11" s="15" t="s">
        <v>19916</v>
      </c>
      <c r="D11" s="15" t="s">
        <v>16056</v>
      </c>
      <c r="E11" s="15" t="s">
        <v>305</v>
      </c>
      <c r="F11" s="15" t="s">
        <v>19917</v>
      </c>
      <c r="G11" s="15"/>
      <c r="H11" s="15"/>
      <c r="I11" s="15" t="s">
        <v>528</v>
      </c>
      <c r="J11" s="15" t="s">
        <v>15991</v>
      </c>
    </row>
    <row r="12" spans="2:10">
      <c r="B12" s="15" t="s">
        <v>19907</v>
      </c>
      <c r="C12" s="15" t="s">
        <v>19918</v>
      </c>
      <c r="D12" s="15" t="s">
        <v>16056</v>
      </c>
      <c r="E12" s="15" t="s">
        <v>305</v>
      </c>
      <c r="F12" s="15" t="s">
        <v>19917</v>
      </c>
      <c r="G12" s="15"/>
      <c r="H12" s="15"/>
      <c r="I12" s="15" t="s">
        <v>528</v>
      </c>
      <c r="J12" s="15" t="s">
        <v>15991</v>
      </c>
    </row>
    <row r="13" spans="2:10">
      <c r="B13" s="15" t="s">
        <v>19907</v>
      </c>
      <c r="C13" s="15" t="s">
        <v>19919</v>
      </c>
      <c r="D13" s="15" t="s">
        <v>16056</v>
      </c>
      <c r="E13" s="15" t="s">
        <v>305</v>
      </c>
      <c r="F13" s="15" t="s">
        <v>19917</v>
      </c>
      <c r="G13" s="15"/>
      <c r="H13" s="15"/>
      <c r="I13" s="15" t="s">
        <v>528</v>
      </c>
      <c r="J13" s="15" t="s">
        <v>15991</v>
      </c>
    </row>
    <row r="14" spans="2:10">
      <c r="B14" s="15" t="s">
        <v>19907</v>
      </c>
      <c r="C14" s="15" t="s">
        <v>19920</v>
      </c>
      <c r="D14" s="15" t="s">
        <v>316</v>
      </c>
      <c r="E14" s="15" t="s">
        <v>305</v>
      </c>
      <c r="F14" s="15" t="s">
        <v>2533</v>
      </c>
      <c r="G14" s="15"/>
      <c r="H14" s="15"/>
      <c r="I14" s="15" t="s">
        <v>528</v>
      </c>
      <c r="J14" s="15" t="s">
        <v>15991</v>
      </c>
    </row>
    <row r="15" spans="2:10">
      <c r="B15" s="15" t="s">
        <v>19907</v>
      </c>
      <c r="C15" s="15" t="s">
        <v>19921</v>
      </c>
      <c r="D15" s="15" t="s">
        <v>316</v>
      </c>
      <c r="E15" s="15" t="s">
        <v>305</v>
      </c>
      <c r="F15" s="15" t="s">
        <v>8072</v>
      </c>
      <c r="G15" s="52" t="str">
        <f>HYPERLINK("#码值映射清单!B6162","RateFloatType")</f>
        <v>RateFloatType</v>
      </c>
      <c r="H15" s="15"/>
      <c r="I15" s="15" t="s">
        <v>528</v>
      </c>
      <c r="J15" s="15" t="s">
        <v>15991</v>
      </c>
    </row>
    <row r="16" spans="2:10">
      <c r="B16" s="15" t="s">
        <v>19907</v>
      </c>
      <c r="C16" s="15" t="s">
        <v>19922</v>
      </c>
      <c r="D16" s="15" t="s">
        <v>363</v>
      </c>
      <c r="E16" s="15" t="s">
        <v>305</v>
      </c>
      <c r="F16" s="53" t="s">
        <v>19923</v>
      </c>
      <c r="G16" s="15"/>
      <c r="H16" s="15"/>
      <c r="I16" s="15" t="s">
        <v>528</v>
      </c>
      <c r="J16" s="15" t="s">
        <v>15991</v>
      </c>
    </row>
    <row r="17" spans="2:10">
      <c r="B17" s="15" t="s">
        <v>19907</v>
      </c>
      <c r="C17" s="15" t="s">
        <v>19924</v>
      </c>
      <c r="D17" s="15" t="s">
        <v>316</v>
      </c>
      <c r="E17" s="15" t="s">
        <v>305</v>
      </c>
      <c r="F17" s="15" t="s">
        <v>19925</v>
      </c>
      <c r="G17" s="15"/>
      <c r="H17" s="15"/>
      <c r="I17" s="15" t="s">
        <v>528</v>
      </c>
      <c r="J17" s="15" t="s">
        <v>15991</v>
      </c>
    </row>
    <row r="18" spans="2:10">
      <c r="B18" s="15" t="s">
        <v>19907</v>
      </c>
      <c r="C18" s="15" t="s">
        <v>19926</v>
      </c>
      <c r="D18" s="15" t="s">
        <v>363</v>
      </c>
      <c r="E18" s="15" t="s">
        <v>305</v>
      </c>
      <c r="F18" s="53" t="s">
        <v>19927</v>
      </c>
      <c r="G18" s="15"/>
      <c r="H18" s="15"/>
      <c r="I18" s="15" t="s">
        <v>528</v>
      </c>
      <c r="J18" s="15" t="s">
        <v>15991</v>
      </c>
    </row>
    <row r="19" spans="2:10">
      <c r="B19" s="15" t="s">
        <v>19907</v>
      </c>
      <c r="C19" s="15" t="s">
        <v>19928</v>
      </c>
      <c r="D19" s="15" t="s">
        <v>363</v>
      </c>
      <c r="E19" s="15" t="s">
        <v>305</v>
      </c>
      <c r="F19" s="53" t="s">
        <v>19929</v>
      </c>
      <c r="G19" s="15"/>
      <c r="H19" s="15"/>
      <c r="I19" s="15" t="s">
        <v>528</v>
      </c>
      <c r="J19" s="15" t="s">
        <v>15991</v>
      </c>
    </row>
    <row r="20" spans="2:10">
      <c r="B20" s="15" t="s">
        <v>19907</v>
      </c>
      <c r="C20" s="15" t="s">
        <v>19930</v>
      </c>
      <c r="D20" s="15" t="s">
        <v>350</v>
      </c>
      <c r="E20" s="15" t="s">
        <v>305</v>
      </c>
      <c r="F20" s="15" t="s">
        <v>19931</v>
      </c>
      <c r="G20" s="15"/>
      <c r="H20" s="15"/>
      <c r="I20" s="15" t="s">
        <v>528</v>
      </c>
      <c r="J20" s="15" t="s">
        <v>15991</v>
      </c>
    </row>
    <row r="21" spans="2:10">
      <c r="B21" s="15" t="s">
        <v>19907</v>
      </c>
      <c r="C21" s="15" t="s">
        <v>19932</v>
      </c>
      <c r="D21" s="15" t="s">
        <v>363</v>
      </c>
      <c r="E21" s="15" t="s">
        <v>305</v>
      </c>
      <c r="F21" s="53" t="s">
        <v>19933</v>
      </c>
      <c r="G21" s="15"/>
      <c r="H21" s="15"/>
      <c r="I21" s="15" t="s">
        <v>528</v>
      </c>
      <c r="J21" s="15" t="s">
        <v>15991</v>
      </c>
    </row>
    <row r="22" spans="2:10">
      <c r="B22" s="15" t="s">
        <v>19907</v>
      </c>
      <c r="C22" s="15" t="s">
        <v>19934</v>
      </c>
      <c r="D22" s="15" t="s">
        <v>350</v>
      </c>
      <c r="E22" s="15" t="s">
        <v>305</v>
      </c>
      <c r="F22" s="15" t="s">
        <v>19935</v>
      </c>
      <c r="G22" s="15"/>
      <c r="H22" s="15"/>
      <c r="I22" s="15" t="s">
        <v>528</v>
      </c>
      <c r="J22" s="15" t="s">
        <v>15991</v>
      </c>
    </row>
    <row r="23" spans="2:10">
      <c r="B23" s="15" t="s">
        <v>19907</v>
      </c>
      <c r="C23" s="15" t="s">
        <v>19936</v>
      </c>
      <c r="D23" s="15" t="s">
        <v>363</v>
      </c>
      <c r="E23" s="15" t="s">
        <v>305</v>
      </c>
      <c r="F23" s="53" t="s">
        <v>19937</v>
      </c>
      <c r="G23" s="15"/>
      <c r="H23" s="15"/>
      <c r="I23" s="15" t="s">
        <v>528</v>
      </c>
      <c r="J23" s="15" t="s">
        <v>15991</v>
      </c>
    </row>
    <row r="24" spans="2:10">
      <c r="B24" s="15" t="s">
        <v>19907</v>
      </c>
      <c r="C24" s="15" t="s">
        <v>19938</v>
      </c>
      <c r="D24" s="15" t="s">
        <v>327</v>
      </c>
      <c r="E24" s="15" t="s">
        <v>305</v>
      </c>
      <c r="F24" s="15" t="s">
        <v>19939</v>
      </c>
      <c r="G24" s="52" t="str">
        <f>HYPERLINK("#码值映射清单!B3680","AgreeOrNot")</f>
        <v>AgreeOrNot</v>
      </c>
      <c r="H24" s="15"/>
      <c r="I24" s="15" t="s">
        <v>528</v>
      </c>
      <c r="J24" s="15" t="s">
        <v>15991</v>
      </c>
    </row>
    <row r="25" spans="2:10">
      <c r="B25" s="15" t="s">
        <v>19907</v>
      </c>
      <c r="C25" s="15" t="s">
        <v>19940</v>
      </c>
      <c r="D25" s="15" t="s">
        <v>327</v>
      </c>
      <c r="E25" s="15" t="s">
        <v>305</v>
      </c>
      <c r="F25" s="15" t="s">
        <v>19941</v>
      </c>
      <c r="G25" s="52" t="str">
        <f>HYPERLINK("#码值映射清单!B4094","ClassifyResult")</f>
        <v>ClassifyResult</v>
      </c>
      <c r="H25" s="15"/>
      <c r="I25" s="15" t="s">
        <v>528</v>
      </c>
      <c r="J25" s="15" t="s">
        <v>15991</v>
      </c>
    </row>
    <row r="26" spans="2:10">
      <c r="B26" s="15" t="s">
        <v>19907</v>
      </c>
      <c r="C26" s="15" t="s">
        <v>19942</v>
      </c>
      <c r="D26" s="15" t="s">
        <v>327</v>
      </c>
      <c r="E26" s="15" t="s">
        <v>305</v>
      </c>
      <c r="F26" s="15" t="s">
        <v>19943</v>
      </c>
      <c r="G26" s="15"/>
      <c r="H26" s="15"/>
      <c r="I26" s="15" t="s">
        <v>528</v>
      </c>
      <c r="J26" s="15" t="s">
        <v>15991</v>
      </c>
    </row>
    <row r="27" spans="2:10">
      <c r="B27" s="15" t="s">
        <v>19907</v>
      </c>
      <c r="C27" s="15" t="s">
        <v>19944</v>
      </c>
      <c r="D27" s="15" t="s">
        <v>327</v>
      </c>
      <c r="E27" s="15" t="s">
        <v>305</v>
      </c>
      <c r="F27" s="15" t="s">
        <v>19945</v>
      </c>
      <c r="G27" s="15"/>
      <c r="H27" s="15"/>
      <c r="I27" s="15" t="s">
        <v>528</v>
      </c>
      <c r="J27" s="15" t="s">
        <v>15991</v>
      </c>
    </row>
    <row r="28" spans="2:10">
      <c r="B28" s="15" t="s">
        <v>19907</v>
      </c>
      <c r="C28" s="15" t="s">
        <v>19946</v>
      </c>
      <c r="D28" s="15" t="s">
        <v>350</v>
      </c>
      <c r="E28" s="15" t="s">
        <v>305</v>
      </c>
      <c r="F28" s="15" t="s">
        <v>19947</v>
      </c>
      <c r="G28" s="15"/>
      <c r="H28" s="15"/>
      <c r="I28" s="15" t="s">
        <v>528</v>
      </c>
      <c r="J28" s="15" t="s">
        <v>15991</v>
      </c>
    </row>
    <row r="29" spans="2:10">
      <c r="B29" s="15" t="s">
        <v>19907</v>
      </c>
      <c r="C29" s="15" t="s">
        <v>19948</v>
      </c>
      <c r="D29" s="15" t="s">
        <v>513</v>
      </c>
      <c r="E29" s="15" t="s">
        <v>305</v>
      </c>
      <c r="F29" s="15" t="s">
        <v>19949</v>
      </c>
      <c r="G29" s="15"/>
      <c r="H29" s="15"/>
      <c r="I29" s="15" t="s">
        <v>528</v>
      </c>
      <c r="J29" s="15" t="s">
        <v>15991</v>
      </c>
    </row>
    <row r="30" spans="2:10">
      <c r="B30" s="15" t="s">
        <v>19907</v>
      </c>
      <c r="C30" s="15" t="s">
        <v>16241</v>
      </c>
      <c r="D30" s="15" t="s">
        <v>316</v>
      </c>
      <c r="E30" s="15" t="s">
        <v>305</v>
      </c>
      <c r="F30" s="15" t="s">
        <v>16010</v>
      </c>
      <c r="G30" s="15"/>
      <c r="H30" s="15"/>
      <c r="I30" s="15" t="s">
        <v>528</v>
      </c>
      <c r="J30" s="15" t="s">
        <v>15991</v>
      </c>
    </row>
    <row r="31" spans="2:10">
      <c r="B31" s="15" t="s">
        <v>19907</v>
      </c>
      <c r="C31" s="15" t="s">
        <v>16053</v>
      </c>
      <c r="D31" s="15" t="s">
        <v>316</v>
      </c>
      <c r="E31" s="15" t="s">
        <v>305</v>
      </c>
      <c r="F31" s="15" t="s">
        <v>16012</v>
      </c>
      <c r="G31" s="15"/>
      <c r="H31" s="15"/>
      <c r="I31" s="15" t="s">
        <v>528</v>
      </c>
      <c r="J31" s="15" t="s">
        <v>15991</v>
      </c>
    </row>
    <row r="32" spans="2:10">
      <c r="B32" s="15" t="s">
        <v>19907</v>
      </c>
      <c r="C32" s="15" t="s">
        <v>16013</v>
      </c>
      <c r="D32" s="15" t="s">
        <v>371</v>
      </c>
      <c r="E32" s="15" t="s">
        <v>305</v>
      </c>
      <c r="F32" s="15" t="s">
        <v>16014</v>
      </c>
      <c r="G32" s="15"/>
      <c r="H32" s="15"/>
      <c r="I32" s="15" t="s">
        <v>528</v>
      </c>
      <c r="J32" s="15" t="s">
        <v>15991</v>
      </c>
    </row>
    <row r="33" spans="2:10">
      <c r="B33" s="15" t="s">
        <v>19907</v>
      </c>
      <c r="C33" s="15" t="s">
        <v>16532</v>
      </c>
      <c r="D33" s="15" t="s">
        <v>316</v>
      </c>
      <c r="E33" s="15" t="s">
        <v>305</v>
      </c>
      <c r="F33" s="15" t="s">
        <v>16016</v>
      </c>
      <c r="G33" s="15"/>
      <c r="H33" s="15"/>
      <c r="I33" s="15" t="s">
        <v>528</v>
      </c>
      <c r="J33" s="15" t="s">
        <v>15991</v>
      </c>
    </row>
    <row r="34" spans="2:10">
      <c r="B34" s="15" t="s">
        <v>19907</v>
      </c>
      <c r="C34" s="15" t="s">
        <v>16243</v>
      </c>
      <c r="D34" s="15" t="s">
        <v>316</v>
      </c>
      <c r="E34" s="15" t="s">
        <v>305</v>
      </c>
      <c r="F34" s="15" t="s">
        <v>16018</v>
      </c>
      <c r="G34" s="15"/>
      <c r="H34" s="15"/>
      <c r="I34" s="15" t="s">
        <v>528</v>
      </c>
      <c r="J34" s="15" t="s">
        <v>15991</v>
      </c>
    </row>
    <row r="35" spans="2:10">
      <c r="B35" s="15" t="s">
        <v>19907</v>
      </c>
      <c r="C35" s="15" t="s">
        <v>16019</v>
      </c>
      <c r="D35" s="15" t="s">
        <v>371</v>
      </c>
      <c r="E35" s="15" t="s">
        <v>305</v>
      </c>
      <c r="F35" s="15" t="s">
        <v>16020</v>
      </c>
      <c r="G35" s="15"/>
      <c r="H35" s="15"/>
      <c r="I35" s="15" t="s">
        <v>528</v>
      </c>
      <c r="J35" s="15" t="s">
        <v>15991</v>
      </c>
    </row>
    <row r="36" spans="2:10">
      <c r="B36" s="15" t="s">
        <v>19907</v>
      </c>
      <c r="C36" s="15" t="s">
        <v>16237</v>
      </c>
      <c r="D36" s="15" t="s">
        <v>371</v>
      </c>
      <c r="E36" s="15" t="s">
        <v>305</v>
      </c>
      <c r="F36" s="15" t="s">
        <v>16274</v>
      </c>
      <c r="G36" s="15"/>
      <c r="H36" s="15"/>
      <c r="I36" s="15" t="s">
        <v>528</v>
      </c>
      <c r="J36" s="15" t="s">
        <v>15991</v>
      </c>
    </row>
    <row r="37" spans="2:10">
      <c r="B37" s="15" t="s">
        <v>19907</v>
      </c>
      <c r="C37" s="15" t="s">
        <v>16239</v>
      </c>
      <c r="D37" s="15" t="s">
        <v>371</v>
      </c>
      <c r="E37" s="15" t="s">
        <v>305</v>
      </c>
      <c r="F37" s="15" t="s">
        <v>16236</v>
      </c>
      <c r="G37" s="15"/>
      <c r="H37" s="15"/>
      <c r="I37" s="15" t="s">
        <v>528</v>
      </c>
      <c r="J37" s="15" t="s">
        <v>15991</v>
      </c>
    </row>
    <row r="38" spans="2:10">
      <c r="B38" s="15" t="s">
        <v>19907</v>
      </c>
      <c r="C38" s="15" t="s">
        <v>19950</v>
      </c>
      <c r="D38" s="15" t="s">
        <v>16087</v>
      </c>
      <c r="E38" s="15" t="s">
        <v>305</v>
      </c>
      <c r="F38" s="15" t="s">
        <v>19951</v>
      </c>
      <c r="G38" s="15"/>
      <c r="H38" s="15"/>
      <c r="I38" s="15" t="s">
        <v>528</v>
      </c>
      <c r="J38" s="15" t="s">
        <v>15991</v>
      </c>
    </row>
  </sheetData>
  <pageMargins left="0.75" right="0.75" top="1" bottom="1" header="0.5" footer="0.5"/>
  <pageSetup paperSize="1" orientation="portrait" horizontalDpi="300" verticalDpi="300"/>
  <headerFooter alignWithMargins="0" scaleWithDoc="0"/>
</worksheet>
</file>

<file path=xl/worksheets/sheet1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9"/>
  <sheetViews>
    <sheetView zoomScaleSheetLayoutView="60" workbookViewId="0">
      <selection activeCell="F3" sqref="F3:F9"/>
    </sheetView>
  </sheetViews>
  <sheetFormatPr defaultColWidth="9.14285714285714" defaultRowHeight="15.2"/>
  <cols>
    <col min="2" max="2" width="19.5357142857143" customWidth="1"/>
    <col min="3" max="4" width="15.625" customWidth="1"/>
    <col min="5" max="5" width="7.79464285714286" customWidth="1"/>
    <col min="6" max="6" width="39.0625" customWidth="1"/>
    <col min="7" max="7" width="15.625" customWidth="1"/>
    <col min="10" max="10" width="11.6875" customWidth="1"/>
  </cols>
  <sheetData>
    <row r="1" spans="1:2">
      <c r="A1" s="52" t="str">
        <f>HYPERLINK("#表结构清单!A1","返回")</f>
        <v>返回</v>
      </c>
      <c r="B1" t="s">
        <v>109</v>
      </c>
    </row>
    <row r="2" spans="2:10">
      <c r="B2" s="13" t="s">
        <v>15982</v>
      </c>
      <c r="C2" s="13" t="s">
        <v>297</v>
      </c>
      <c r="D2" s="13" t="s">
        <v>11870</v>
      </c>
      <c r="E2" s="13" t="s">
        <v>15983</v>
      </c>
      <c r="F2" s="13" t="s">
        <v>15984</v>
      </c>
      <c r="G2" s="13" t="s">
        <v>300</v>
      </c>
      <c r="H2" s="13" t="s">
        <v>301</v>
      </c>
      <c r="I2" s="13" t="s">
        <v>15985</v>
      </c>
      <c r="J2" s="13" t="s">
        <v>15986</v>
      </c>
    </row>
    <row r="3" spans="2:10">
      <c r="B3" s="15" t="s">
        <v>19952</v>
      </c>
      <c r="C3" s="15" t="s">
        <v>19953</v>
      </c>
      <c r="D3" s="15" t="s">
        <v>506</v>
      </c>
      <c r="E3" s="15" t="s">
        <v>15989</v>
      </c>
      <c r="F3" s="15" t="s">
        <v>16428</v>
      </c>
      <c r="G3" s="15"/>
      <c r="H3" s="15"/>
      <c r="I3" s="15" t="s">
        <v>528</v>
      </c>
      <c r="J3" s="15" t="s">
        <v>15991</v>
      </c>
    </row>
    <row r="4" spans="2:10">
      <c r="B4" s="15" t="s">
        <v>19952</v>
      </c>
      <c r="C4" s="15" t="s">
        <v>19954</v>
      </c>
      <c r="D4" s="15" t="s">
        <v>327</v>
      </c>
      <c r="E4" s="15" t="s">
        <v>305</v>
      </c>
      <c r="F4" s="15" t="s">
        <v>11462</v>
      </c>
      <c r="G4" s="15"/>
      <c r="H4" s="15"/>
      <c r="I4" s="15" t="s">
        <v>528</v>
      </c>
      <c r="J4" s="15" t="s">
        <v>15991</v>
      </c>
    </row>
    <row r="5" spans="2:10">
      <c r="B5" s="15" t="s">
        <v>19952</v>
      </c>
      <c r="C5" s="15" t="s">
        <v>19955</v>
      </c>
      <c r="D5" s="15" t="s">
        <v>16022</v>
      </c>
      <c r="E5" s="15" t="s">
        <v>305</v>
      </c>
      <c r="F5" s="15" t="s">
        <v>301</v>
      </c>
      <c r="G5" s="15"/>
      <c r="H5" s="15"/>
      <c r="I5" s="15" t="s">
        <v>528</v>
      </c>
      <c r="J5" s="15" t="s">
        <v>15991</v>
      </c>
    </row>
    <row r="6" spans="2:10">
      <c r="B6" s="15" t="s">
        <v>19952</v>
      </c>
      <c r="C6" s="15" t="s">
        <v>19682</v>
      </c>
      <c r="D6" s="15" t="s">
        <v>506</v>
      </c>
      <c r="E6" s="15" t="s">
        <v>305</v>
      </c>
      <c r="F6" s="15" t="s">
        <v>19699</v>
      </c>
      <c r="G6" s="15"/>
      <c r="H6" s="15"/>
      <c r="I6" s="15" t="s">
        <v>528</v>
      </c>
      <c r="J6" s="15" t="s">
        <v>15991</v>
      </c>
    </row>
    <row r="7" spans="2:10">
      <c r="B7" s="15" t="s">
        <v>19952</v>
      </c>
      <c r="C7" s="15" t="s">
        <v>16224</v>
      </c>
      <c r="D7" s="15" t="s">
        <v>371</v>
      </c>
      <c r="E7" s="15" t="s">
        <v>305</v>
      </c>
      <c r="F7" s="15" t="s">
        <v>16225</v>
      </c>
      <c r="G7" s="15"/>
      <c r="H7" s="15"/>
      <c r="I7" s="15" t="s">
        <v>528</v>
      </c>
      <c r="J7" s="15" t="s">
        <v>15991</v>
      </c>
    </row>
    <row r="8" spans="2:10">
      <c r="B8" s="15" t="s">
        <v>19952</v>
      </c>
      <c r="C8" s="15" t="s">
        <v>16017</v>
      </c>
      <c r="D8" s="15" t="s">
        <v>506</v>
      </c>
      <c r="E8" s="15" t="s">
        <v>305</v>
      </c>
      <c r="F8" s="15" t="s">
        <v>16018</v>
      </c>
      <c r="G8" s="15"/>
      <c r="H8" s="15"/>
      <c r="I8" s="15" t="s">
        <v>528</v>
      </c>
      <c r="J8" s="15" t="s">
        <v>15991</v>
      </c>
    </row>
    <row r="9" spans="2:10">
      <c r="B9" s="15" t="s">
        <v>19952</v>
      </c>
      <c r="C9" s="15" t="s">
        <v>16239</v>
      </c>
      <c r="D9" s="15" t="s">
        <v>371</v>
      </c>
      <c r="E9" s="15" t="s">
        <v>305</v>
      </c>
      <c r="F9" s="15" t="s">
        <v>16236</v>
      </c>
      <c r="G9" s="15"/>
      <c r="H9" s="15"/>
      <c r="I9" s="15" t="s">
        <v>528</v>
      </c>
      <c r="J9" s="15" t="s">
        <v>15991</v>
      </c>
    </row>
  </sheetData>
  <pageMargins left="0.75" right="0.75" top="1" bottom="1" header="0.5" footer="0.5"/>
  <pageSetup paperSize="1" orientation="portrait" horizontalDpi="300" verticalDpi="300"/>
  <headerFooter alignWithMargins="0" scaleWithDoc="0"/>
</worksheet>
</file>

<file path=xl/worksheets/sheet1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3"/>
  <sheetViews>
    <sheetView zoomScaleSheetLayoutView="60" workbookViewId="0">
      <selection activeCell="F3" sqref="F3:F13"/>
    </sheetView>
  </sheetViews>
  <sheetFormatPr defaultColWidth="9.14285714285714" defaultRowHeight="15.2"/>
  <cols>
    <col min="2" max="2" width="19.5357142857143" customWidth="1"/>
    <col min="3" max="4" width="15.625" customWidth="1"/>
    <col min="5" max="5" width="7.79464285714286" customWidth="1"/>
    <col min="6" max="6" width="39.0625" customWidth="1"/>
    <col min="7" max="7" width="15.625" customWidth="1"/>
    <col min="10" max="10" width="11.6875" customWidth="1"/>
  </cols>
  <sheetData>
    <row r="1" spans="1:2">
      <c r="A1" s="52" t="str">
        <f>HYPERLINK("#表结构清单!A1","返回")</f>
        <v>返回</v>
      </c>
      <c r="B1" t="s">
        <v>121</v>
      </c>
    </row>
    <row r="2" spans="2:10">
      <c r="B2" s="13" t="s">
        <v>15982</v>
      </c>
      <c r="C2" s="13" t="s">
        <v>297</v>
      </c>
      <c r="D2" s="13" t="s">
        <v>11870</v>
      </c>
      <c r="E2" s="13" t="s">
        <v>15983</v>
      </c>
      <c r="F2" s="13" t="s">
        <v>15984</v>
      </c>
      <c r="G2" s="13" t="s">
        <v>300</v>
      </c>
      <c r="H2" s="13" t="s">
        <v>301</v>
      </c>
      <c r="I2" s="13" t="s">
        <v>15985</v>
      </c>
      <c r="J2" s="13" t="s">
        <v>15986</v>
      </c>
    </row>
    <row r="3" spans="2:10">
      <c r="B3" s="15" t="s">
        <v>19956</v>
      </c>
      <c r="C3" s="15" t="s">
        <v>19957</v>
      </c>
      <c r="D3" s="15" t="s">
        <v>506</v>
      </c>
      <c r="E3" s="15" t="s">
        <v>15989</v>
      </c>
      <c r="F3" s="15" t="s">
        <v>16428</v>
      </c>
      <c r="G3" s="15"/>
      <c r="H3" s="15"/>
      <c r="I3" s="15" t="s">
        <v>528</v>
      </c>
      <c r="J3" s="15" t="s">
        <v>15991</v>
      </c>
    </row>
    <row r="4" spans="2:10">
      <c r="B4" s="15" t="s">
        <v>19956</v>
      </c>
      <c r="C4" s="15" t="s">
        <v>19958</v>
      </c>
      <c r="D4" s="15" t="s">
        <v>327</v>
      </c>
      <c r="E4" s="15" t="s">
        <v>305</v>
      </c>
      <c r="F4" s="15" t="s">
        <v>11462</v>
      </c>
      <c r="G4" s="15"/>
      <c r="H4" s="15"/>
      <c r="I4" s="15" t="s">
        <v>528</v>
      </c>
      <c r="J4" s="15" t="s">
        <v>15991</v>
      </c>
    </row>
    <row r="5" spans="2:10">
      <c r="B5" s="15" t="s">
        <v>19956</v>
      </c>
      <c r="C5" s="15" t="s">
        <v>19959</v>
      </c>
      <c r="D5" s="15" t="s">
        <v>16022</v>
      </c>
      <c r="E5" s="15" t="s">
        <v>305</v>
      </c>
      <c r="F5" s="15" t="s">
        <v>16250</v>
      </c>
      <c r="G5" s="15"/>
      <c r="H5" s="15"/>
      <c r="I5" s="15" t="s">
        <v>528</v>
      </c>
      <c r="J5" s="15" t="s">
        <v>15991</v>
      </c>
    </row>
    <row r="6" spans="2:10">
      <c r="B6" s="15" t="s">
        <v>19956</v>
      </c>
      <c r="C6" s="15" t="s">
        <v>19680</v>
      </c>
      <c r="D6" s="15" t="s">
        <v>506</v>
      </c>
      <c r="E6" s="15" t="s">
        <v>305</v>
      </c>
      <c r="F6" s="15" t="s">
        <v>19960</v>
      </c>
      <c r="G6" s="15"/>
      <c r="H6" s="15"/>
      <c r="I6" s="15" t="s">
        <v>528</v>
      </c>
      <c r="J6" s="15" t="s">
        <v>15991</v>
      </c>
    </row>
    <row r="7" spans="2:10">
      <c r="B7" s="15" t="s">
        <v>19956</v>
      </c>
      <c r="C7" s="15" t="s">
        <v>19961</v>
      </c>
      <c r="D7" s="15" t="s">
        <v>327</v>
      </c>
      <c r="E7" s="15" t="s">
        <v>305</v>
      </c>
      <c r="F7" s="15" t="s">
        <v>19962</v>
      </c>
      <c r="G7" s="15"/>
      <c r="H7" s="15"/>
      <c r="I7" s="15" t="s">
        <v>528</v>
      </c>
      <c r="J7" s="15" t="s">
        <v>15991</v>
      </c>
    </row>
    <row r="8" spans="2:10">
      <c r="B8" s="15" t="s">
        <v>19956</v>
      </c>
      <c r="C8" s="15" t="s">
        <v>16224</v>
      </c>
      <c r="D8" s="15" t="s">
        <v>371</v>
      </c>
      <c r="E8" s="15" t="s">
        <v>305</v>
      </c>
      <c r="F8" s="15" t="s">
        <v>16225</v>
      </c>
      <c r="G8" s="15"/>
      <c r="H8" s="15"/>
      <c r="I8" s="15" t="s">
        <v>528</v>
      </c>
      <c r="J8" s="15" t="s">
        <v>15991</v>
      </c>
    </row>
    <row r="9" spans="2:10">
      <c r="B9" s="15" t="s">
        <v>19956</v>
      </c>
      <c r="C9" s="15" t="s">
        <v>19682</v>
      </c>
      <c r="D9" s="15" t="s">
        <v>506</v>
      </c>
      <c r="E9" s="15" t="s">
        <v>305</v>
      </c>
      <c r="F9" s="15" t="s">
        <v>19699</v>
      </c>
      <c r="G9" s="15"/>
      <c r="H9" s="15"/>
      <c r="I9" s="15" t="s">
        <v>528</v>
      </c>
      <c r="J9" s="15" t="s">
        <v>15991</v>
      </c>
    </row>
    <row r="10" spans="2:10">
      <c r="B10" s="15" t="s">
        <v>19956</v>
      </c>
      <c r="C10" s="15" t="s">
        <v>16239</v>
      </c>
      <c r="D10" s="15" t="s">
        <v>371</v>
      </c>
      <c r="E10" s="15" t="s">
        <v>305</v>
      </c>
      <c r="F10" s="15" t="s">
        <v>16236</v>
      </c>
      <c r="G10" s="15"/>
      <c r="H10" s="15"/>
      <c r="I10" s="15" t="s">
        <v>528</v>
      </c>
      <c r="J10" s="15" t="s">
        <v>15991</v>
      </c>
    </row>
    <row r="11" spans="2:10">
      <c r="B11" s="15" t="s">
        <v>19956</v>
      </c>
      <c r="C11" s="15" t="s">
        <v>16017</v>
      </c>
      <c r="D11" s="15" t="s">
        <v>506</v>
      </c>
      <c r="E11" s="15" t="s">
        <v>305</v>
      </c>
      <c r="F11" s="15" t="s">
        <v>16018</v>
      </c>
      <c r="G11" s="15"/>
      <c r="H11" s="15"/>
      <c r="I11" s="15" t="s">
        <v>528</v>
      </c>
      <c r="J11" s="15" t="s">
        <v>15991</v>
      </c>
    </row>
    <row r="12" spans="2:10">
      <c r="B12" s="15" t="s">
        <v>19956</v>
      </c>
      <c r="C12" s="15" t="s">
        <v>19963</v>
      </c>
      <c r="D12" s="15" t="s">
        <v>16022</v>
      </c>
      <c r="E12" s="15" t="s">
        <v>305</v>
      </c>
      <c r="F12" s="15" t="s">
        <v>19964</v>
      </c>
      <c r="G12" s="15"/>
      <c r="H12" s="15"/>
      <c r="I12" s="15" t="s">
        <v>528</v>
      </c>
      <c r="J12" s="15" t="s">
        <v>15991</v>
      </c>
    </row>
    <row r="13" spans="2:10">
      <c r="B13" s="15" t="s">
        <v>19956</v>
      </c>
      <c r="C13" s="15" t="s">
        <v>16325</v>
      </c>
      <c r="D13" s="15" t="s">
        <v>16056</v>
      </c>
      <c r="E13" s="15" t="s">
        <v>305</v>
      </c>
      <c r="F13" s="15" t="s">
        <v>16269</v>
      </c>
      <c r="G13" s="15"/>
      <c r="H13" s="15"/>
      <c r="I13" s="15" t="s">
        <v>528</v>
      </c>
      <c r="J13" s="15" t="s">
        <v>15991</v>
      </c>
    </row>
  </sheetData>
  <pageMargins left="0.75" right="0.75" top="1" bottom="1" header="0.5" footer="0.5"/>
  <pageSetup paperSize="1" orientation="portrait" horizontalDpi="300" verticalDpi="300"/>
  <headerFooter alignWithMargins="0" scaleWithDoc="0"/>
</worksheet>
</file>

<file path=xl/worksheets/sheet1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6"/>
  <sheetViews>
    <sheetView zoomScaleSheetLayoutView="60" workbookViewId="0">
      <selection activeCell="F3" sqref="F3:F16"/>
    </sheetView>
  </sheetViews>
  <sheetFormatPr defaultColWidth="9.14285714285714" defaultRowHeight="15.2"/>
  <cols>
    <col min="2" max="2" width="19.5357142857143" customWidth="1"/>
    <col min="3" max="4" width="15.625" customWidth="1"/>
    <col min="5" max="5" width="7.79464285714286" customWidth="1"/>
    <col min="6" max="6" width="39.0625" customWidth="1"/>
    <col min="7" max="7" width="15.625" customWidth="1"/>
    <col min="10" max="10" width="11.6875" customWidth="1"/>
  </cols>
  <sheetData>
    <row r="1" spans="1:2">
      <c r="A1" s="52" t="str">
        <f>HYPERLINK("#表结构清单!A1","返回")</f>
        <v>返回</v>
      </c>
      <c r="B1" t="s">
        <v>110</v>
      </c>
    </row>
    <row r="2" spans="2:10">
      <c r="B2" s="13" t="s">
        <v>15982</v>
      </c>
      <c r="C2" s="13" t="s">
        <v>297</v>
      </c>
      <c r="D2" s="13" t="s">
        <v>11870</v>
      </c>
      <c r="E2" s="13" t="s">
        <v>15983</v>
      </c>
      <c r="F2" s="13" t="s">
        <v>15984</v>
      </c>
      <c r="G2" s="13" t="s">
        <v>300</v>
      </c>
      <c r="H2" s="13" t="s">
        <v>301</v>
      </c>
      <c r="I2" s="13" t="s">
        <v>15985</v>
      </c>
      <c r="J2" s="13" t="s">
        <v>15986</v>
      </c>
    </row>
    <row r="3" spans="2:10">
      <c r="B3" s="15" t="s">
        <v>19965</v>
      </c>
      <c r="C3" s="15" t="s">
        <v>19741</v>
      </c>
      <c r="D3" s="15" t="s">
        <v>506</v>
      </c>
      <c r="E3" s="15" t="s">
        <v>15989</v>
      </c>
      <c r="F3" s="15" t="s">
        <v>19742</v>
      </c>
      <c r="G3" s="15"/>
      <c r="H3" s="15"/>
      <c r="I3" s="15" t="s">
        <v>528</v>
      </c>
      <c r="J3" s="15" t="s">
        <v>15991</v>
      </c>
    </row>
    <row r="4" spans="2:10">
      <c r="B4" s="15" t="s">
        <v>19965</v>
      </c>
      <c r="C4" s="15" t="s">
        <v>19600</v>
      </c>
      <c r="D4" s="15" t="s">
        <v>327</v>
      </c>
      <c r="E4" s="15" t="s">
        <v>305</v>
      </c>
      <c r="F4" s="15" t="s">
        <v>19771</v>
      </c>
      <c r="G4" s="15"/>
      <c r="H4" s="15"/>
      <c r="I4" s="15" t="s">
        <v>528</v>
      </c>
      <c r="J4" s="15" t="s">
        <v>15991</v>
      </c>
    </row>
    <row r="5" spans="2:10">
      <c r="B5" s="15" t="s">
        <v>19965</v>
      </c>
      <c r="C5" s="15" t="s">
        <v>19770</v>
      </c>
      <c r="D5" s="15" t="s">
        <v>327</v>
      </c>
      <c r="E5" s="15" t="s">
        <v>305</v>
      </c>
      <c r="F5" s="15" t="s">
        <v>19769</v>
      </c>
      <c r="G5" s="15"/>
      <c r="H5" s="15"/>
      <c r="I5" s="15" t="s">
        <v>528</v>
      </c>
      <c r="J5" s="15" t="s">
        <v>15991</v>
      </c>
    </row>
    <row r="6" spans="2:10">
      <c r="B6" s="15" t="s">
        <v>19965</v>
      </c>
      <c r="C6" s="15" t="s">
        <v>19772</v>
      </c>
      <c r="D6" s="15" t="s">
        <v>16022</v>
      </c>
      <c r="E6" s="15" t="s">
        <v>305</v>
      </c>
      <c r="F6" s="15" t="s">
        <v>19773</v>
      </c>
      <c r="G6" s="15"/>
      <c r="H6" s="15"/>
      <c r="I6" s="15" t="s">
        <v>528</v>
      </c>
      <c r="J6" s="15" t="s">
        <v>15991</v>
      </c>
    </row>
    <row r="7" spans="2:10">
      <c r="B7" s="15" t="s">
        <v>19965</v>
      </c>
      <c r="C7" s="15" t="s">
        <v>16407</v>
      </c>
      <c r="D7" s="15" t="s">
        <v>506</v>
      </c>
      <c r="E7" s="15" t="s">
        <v>305</v>
      </c>
      <c r="F7" s="15" t="s">
        <v>19744</v>
      </c>
      <c r="G7" s="15"/>
      <c r="H7" s="15"/>
      <c r="I7" s="15" t="s">
        <v>528</v>
      </c>
      <c r="J7" s="15" t="s">
        <v>15991</v>
      </c>
    </row>
    <row r="8" spans="2:10">
      <c r="B8" s="15" t="s">
        <v>19965</v>
      </c>
      <c r="C8" s="15" t="s">
        <v>19747</v>
      </c>
      <c r="D8" s="15" t="s">
        <v>19748</v>
      </c>
      <c r="E8" s="15" t="s">
        <v>305</v>
      </c>
      <c r="F8" s="15" t="s">
        <v>19966</v>
      </c>
      <c r="G8" s="15"/>
      <c r="H8" s="15"/>
      <c r="I8" s="15" t="s">
        <v>528</v>
      </c>
      <c r="J8" s="15" t="s">
        <v>15991</v>
      </c>
    </row>
    <row r="9" spans="2:10">
      <c r="B9" s="15" t="s">
        <v>19965</v>
      </c>
      <c r="C9" s="15" t="s">
        <v>19750</v>
      </c>
      <c r="D9" s="15" t="s">
        <v>19748</v>
      </c>
      <c r="E9" s="15" t="s">
        <v>305</v>
      </c>
      <c r="F9" s="15" t="s">
        <v>19967</v>
      </c>
      <c r="G9" s="15"/>
      <c r="H9" s="15"/>
      <c r="I9" s="15" t="s">
        <v>528</v>
      </c>
      <c r="J9" s="15" t="s">
        <v>15991</v>
      </c>
    </row>
    <row r="10" spans="2:10">
      <c r="B10" s="15" t="s">
        <v>19965</v>
      </c>
      <c r="C10" s="15" t="s">
        <v>16224</v>
      </c>
      <c r="D10" s="15" t="s">
        <v>371</v>
      </c>
      <c r="E10" s="15" t="s">
        <v>305</v>
      </c>
      <c r="F10" s="15" t="s">
        <v>16225</v>
      </c>
      <c r="G10" s="15"/>
      <c r="H10" s="15"/>
      <c r="I10" s="15" t="s">
        <v>528</v>
      </c>
      <c r="J10" s="15" t="s">
        <v>15991</v>
      </c>
    </row>
    <row r="11" spans="2:10">
      <c r="B11" s="15" t="s">
        <v>19965</v>
      </c>
      <c r="C11" s="15" t="s">
        <v>19682</v>
      </c>
      <c r="D11" s="15" t="s">
        <v>506</v>
      </c>
      <c r="E11" s="15" t="s">
        <v>305</v>
      </c>
      <c r="F11" s="15" t="s">
        <v>19699</v>
      </c>
      <c r="G11" s="15"/>
      <c r="H11" s="15"/>
      <c r="I11" s="15" t="s">
        <v>528</v>
      </c>
      <c r="J11" s="15" t="s">
        <v>15991</v>
      </c>
    </row>
    <row r="12" spans="2:10">
      <c r="B12" s="15" t="s">
        <v>19965</v>
      </c>
      <c r="C12" s="15" t="s">
        <v>16239</v>
      </c>
      <c r="D12" s="15" t="s">
        <v>371</v>
      </c>
      <c r="E12" s="15" t="s">
        <v>305</v>
      </c>
      <c r="F12" s="15" t="s">
        <v>16236</v>
      </c>
      <c r="G12" s="15"/>
      <c r="H12" s="15"/>
      <c r="I12" s="15" t="s">
        <v>528</v>
      </c>
      <c r="J12" s="15" t="s">
        <v>15991</v>
      </c>
    </row>
    <row r="13" spans="2:10">
      <c r="B13" s="16" t="s">
        <v>19965</v>
      </c>
      <c r="C13" s="16" t="s">
        <v>16017</v>
      </c>
      <c r="D13" s="16" t="s">
        <v>506</v>
      </c>
      <c r="E13" s="16" t="s">
        <v>305</v>
      </c>
      <c r="F13" s="16" t="s">
        <v>16018</v>
      </c>
      <c r="G13" s="16"/>
      <c r="H13" s="16"/>
      <c r="I13" s="16" t="s">
        <v>528</v>
      </c>
      <c r="J13" s="16" t="s">
        <v>15991</v>
      </c>
    </row>
    <row r="14" spans="2:10">
      <c r="B14" s="4" t="s">
        <v>19965</v>
      </c>
      <c r="C14" s="5" t="s">
        <v>19754</v>
      </c>
      <c r="D14" s="5" t="s">
        <v>506</v>
      </c>
      <c r="E14" s="4" t="s">
        <v>305</v>
      </c>
      <c r="F14" s="5" t="s">
        <v>19755</v>
      </c>
      <c r="G14" s="5"/>
      <c r="H14" s="5"/>
      <c r="I14" s="5"/>
      <c r="J14" s="16" t="s">
        <v>15991</v>
      </c>
    </row>
    <row r="15" spans="2:10">
      <c r="B15" s="4" t="s">
        <v>19965</v>
      </c>
      <c r="C15" s="5" t="s">
        <v>19753</v>
      </c>
      <c r="D15" s="5" t="s">
        <v>506</v>
      </c>
      <c r="E15" s="4" t="s">
        <v>305</v>
      </c>
      <c r="F15" s="5" t="s">
        <v>16526</v>
      </c>
      <c r="G15" s="5"/>
      <c r="H15" s="5"/>
      <c r="I15" s="5"/>
      <c r="J15" s="16" t="s">
        <v>15991</v>
      </c>
    </row>
    <row r="16" spans="2:10">
      <c r="B16" s="4" t="s">
        <v>19965</v>
      </c>
      <c r="C16" s="5" t="s">
        <v>16015</v>
      </c>
      <c r="D16" s="5" t="s">
        <v>506</v>
      </c>
      <c r="E16" s="4" t="s">
        <v>305</v>
      </c>
      <c r="F16" s="5" t="s">
        <v>16016</v>
      </c>
      <c r="G16" s="5"/>
      <c r="H16" s="5"/>
      <c r="I16" s="5"/>
      <c r="J16" s="16" t="s">
        <v>15991</v>
      </c>
    </row>
  </sheetData>
  <pageMargins left="0.75" right="0.75" top="1" bottom="1" header="0.5" footer="0.5"/>
  <pageSetup paperSize="1" orientation="portrait" horizontalDpi="300" verticalDpi="300"/>
  <headerFooter alignWithMargins="0" scaleWithDoc="0"/>
</worksheet>
</file>

<file path=xl/worksheets/sheet1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2"/>
  <sheetViews>
    <sheetView zoomScaleSheetLayoutView="60" workbookViewId="0">
      <selection activeCell="A1" sqref="A1"/>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52" t="str">
        <f>HYPERLINK("#表结构清单!A1","返回")</f>
        <v>返回</v>
      </c>
      <c r="B1" t="s">
        <v>117</v>
      </c>
    </row>
    <row r="2" spans="2:10">
      <c r="B2" s="13" t="s">
        <v>15982</v>
      </c>
      <c r="C2" s="13" t="s">
        <v>297</v>
      </c>
      <c r="D2" s="13" t="s">
        <v>11870</v>
      </c>
      <c r="E2" s="13" t="s">
        <v>15983</v>
      </c>
      <c r="F2" s="13" t="s">
        <v>15984</v>
      </c>
      <c r="G2" s="13" t="s">
        <v>300</v>
      </c>
      <c r="H2" s="13" t="s">
        <v>301</v>
      </c>
      <c r="I2" s="13" t="s">
        <v>15985</v>
      </c>
      <c r="J2" s="13" t="s">
        <v>15986</v>
      </c>
    </row>
    <row r="3" spans="2:10">
      <c r="B3" s="15" t="s">
        <v>19968</v>
      </c>
      <c r="C3" s="15" t="s">
        <v>19969</v>
      </c>
      <c r="D3" s="15" t="s">
        <v>316</v>
      </c>
      <c r="E3" s="15" t="s">
        <v>15989</v>
      </c>
      <c r="F3" s="15" t="s">
        <v>16428</v>
      </c>
      <c r="G3" s="15"/>
      <c r="H3" s="15"/>
      <c r="I3" s="15" t="s">
        <v>528</v>
      </c>
      <c r="J3" s="15" t="s">
        <v>15991</v>
      </c>
    </row>
    <row r="4" spans="2:10">
      <c r="B4" s="15" t="s">
        <v>19968</v>
      </c>
      <c r="C4" s="15" t="s">
        <v>19970</v>
      </c>
      <c r="D4" s="15" t="s">
        <v>506</v>
      </c>
      <c r="E4" s="15" t="s">
        <v>305</v>
      </c>
      <c r="F4" s="15" t="s">
        <v>11462</v>
      </c>
      <c r="G4" s="15"/>
      <c r="H4" s="15"/>
      <c r="I4" s="15" t="s">
        <v>528</v>
      </c>
      <c r="J4" s="15" t="s">
        <v>15991</v>
      </c>
    </row>
    <row r="5" spans="2:10">
      <c r="B5" s="15" t="s">
        <v>19968</v>
      </c>
      <c r="C5" s="15" t="s">
        <v>16325</v>
      </c>
      <c r="D5" s="15" t="s">
        <v>316</v>
      </c>
      <c r="E5" s="15" t="s">
        <v>305</v>
      </c>
      <c r="F5" s="15" t="s">
        <v>16326</v>
      </c>
      <c r="G5" s="15"/>
      <c r="H5" s="15"/>
      <c r="I5" s="15" t="s">
        <v>528</v>
      </c>
      <c r="J5" s="15" t="s">
        <v>15991</v>
      </c>
    </row>
    <row r="6" spans="2:10">
      <c r="B6" s="15" t="s">
        <v>19968</v>
      </c>
      <c r="C6" s="15" t="s">
        <v>19971</v>
      </c>
      <c r="D6" s="15" t="s">
        <v>506</v>
      </c>
      <c r="E6" s="15" t="s">
        <v>305</v>
      </c>
      <c r="F6" s="15" t="s">
        <v>19972</v>
      </c>
      <c r="G6" s="15"/>
      <c r="H6" s="15"/>
      <c r="I6" s="15" t="s">
        <v>528</v>
      </c>
      <c r="J6" s="15" t="s">
        <v>15991</v>
      </c>
    </row>
    <row r="7" spans="2:10">
      <c r="B7" s="15" t="s">
        <v>19968</v>
      </c>
      <c r="C7" s="15" t="s">
        <v>16009</v>
      </c>
      <c r="D7" s="15" t="s">
        <v>316</v>
      </c>
      <c r="E7" s="15" t="s">
        <v>305</v>
      </c>
      <c r="F7" s="15" t="s">
        <v>16010</v>
      </c>
      <c r="G7" s="15"/>
      <c r="H7" s="15"/>
      <c r="I7" s="15" t="s">
        <v>528</v>
      </c>
      <c r="J7" s="15" t="s">
        <v>15991</v>
      </c>
    </row>
    <row r="8" spans="2:10">
      <c r="B8" s="15" t="s">
        <v>19968</v>
      </c>
      <c r="C8" s="15" t="s">
        <v>16011</v>
      </c>
      <c r="D8" s="15" t="s">
        <v>316</v>
      </c>
      <c r="E8" s="15" t="s">
        <v>305</v>
      </c>
      <c r="F8" s="15" t="s">
        <v>16012</v>
      </c>
      <c r="G8" s="15"/>
      <c r="H8" s="15"/>
      <c r="I8" s="15" t="s">
        <v>528</v>
      </c>
      <c r="J8" s="15" t="s">
        <v>15991</v>
      </c>
    </row>
    <row r="9" spans="2:10">
      <c r="B9" s="15" t="s">
        <v>19968</v>
      </c>
      <c r="C9" s="15" t="s">
        <v>16013</v>
      </c>
      <c r="D9" s="15" t="s">
        <v>371</v>
      </c>
      <c r="E9" s="15" t="s">
        <v>305</v>
      </c>
      <c r="F9" s="15" t="s">
        <v>16014</v>
      </c>
      <c r="G9" s="15"/>
      <c r="H9" s="15"/>
      <c r="I9" s="15" t="s">
        <v>528</v>
      </c>
      <c r="J9" s="15" t="s">
        <v>15991</v>
      </c>
    </row>
    <row r="10" spans="2:10">
      <c r="B10" s="15" t="s">
        <v>19968</v>
      </c>
      <c r="C10" s="15" t="s">
        <v>16015</v>
      </c>
      <c r="D10" s="15" t="s">
        <v>316</v>
      </c>
      <c r="E10" s="15" t="s">
        <v>305</v>
      </c>
      <c r="F10" s="15" t="s">
        <v>16016</v>
      </c>
      <c r="G10" s="15"/>
      <c r="H10" s="15"/>
      <c r="I10" s="15" t="s">
        <v>528</v>
      </c>
      <c r="J10" s="15" t="s">
        <v>15991</v>
      </c>
    </row>
    <row r="11" spans="2:10">
      <c r="B11" s="15" t="s">
        <v>19968</v>
      </c>
      <c r="C11" s="15" t="s">
        <v>16017</v>
      </c>
      <c r="D11" s="15" t="s">
        <v>316</v>
      </c>
      <c r="E11" s="15" t="s">
        <v>305</v>
      </c>
      <c r="F11" s="15" t="s">
        <v>16018</v>
      </c>
      <c r="G11" s="15"/>
      <c r="H11" s="15"/>
      <c r="I11" s="15" t="s">
        <v>528</v>
      </c>
      <c r="J11" s="15" t="s">
        <v>15991</v>
      </c>
    </row>
    <row r="12" spans="2:10">
      <c r="B12" s="15" t="s">
        <v>19968</v>
      </c>
      <c r="C12" s="15" t="s">
        <v>16019</v>
      </c>
      <c r="D12" s="15" t="s">
        <v>371</v>
      </c>
      <c r="E12" s="15" t="s">
        <v>305</v>
      </c>
      <c r="F12" s="15" t="s">
        <v>16020</v>
      </c>
      <c r="G12" s="15"/>
      <c r="H12" s="15"/>
      <c r="I12" s="15" t="s">
        <v>528</v>
      </c>
      <c r="J12" s="15" t="s">
        <v>15991</v>
      </c>
    </row>
  </sheetData>
  <pageMargins left="0.75" right="0.75" top="1" bottom="1" header="0.5" footer="0.5"/>
  <pageSetup paperSize="1" orientation="portrait" horizontalDpi="300" verticalDpi="300"/>
  <headerFooter alignWithMargins="0" scaleWithDoc="0"/>
</worksheet>
</file>

<file path=xl/worksheets/sheet1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50"/>
  <sheetViews>
    <sheetView zoomScaleSheetLayoutView="60" topLeftCell="A17" workbookViewId="0">
      <selection activeCell="A1" sqref="A1"/>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52" t="str">
        <f>HYPERLINK("#表结构清单!A1","返回")</f>
        <v>返回</v>
      </c>
      <c r="B1" t="s">
        <v>19973</v>
      </c>
    </row>
    <row r="2" spans="2:10">
      <c r="B2" s="13" t="s">
        <v>15982</v>
      </c>
      <c r="C2" s="13" t="s">
        <v>297</v>
      </c>
      <c r="D2" s="13" t="s">
        <v>11870</v>
      </c>
      <c r="E2" s="13" t="s">
        <v>15983</v>
      </c>
      <c r="F2" s="13" t="s">
        <v>15984</v>
      </c>
      <c r="G2" s="13" t="s">
        <v>300</v>
      </c>
      <c r="H2" s="13" t="s">
        <v>301</v>
      </c>
      <c r="I2" s="13" t="s">
        <v>15985</v>
      </c>
      <c r="J2" s="13" t="s">
        <v>15986</v>
      </c>
    </row>
    <row r="3" spans="2:10">
      <c r="B3" s="15" t="s">
        <v>19974</v>
      </c>
      <c r="C3" s="15" t="s">
        <v>15988</v>
      </c>
      <c r="D3" s="15" t="s">
        <v>316</v>
      </c>
      <c r="E3" s="15" t="s">
        <v>15989</v>
      </c>
      <c r="F3" s="15" t="s">
        <v>19908</v>
      </c>
      <c r="G3" s="15"/>
      <c r="H3" s="15"/>
      <c r="I3" s="15" t="s">
        <v>528</v>
      </c>
      <c r="J3" s="15" t="s">
        <v>15991</v>
      </c>
    </row>
    <row r="4" spans="2:10">
      <c r="B4" s="15" t="s">
        <v>19974</v>
      </c>
      <c r="C4" s="15" t="s">
        <v>16484</v>
      </c>
      <c r="D4" s="15" t="s">
        <v>316</v>
      </c>
      <c r="E4" s="15" t="s">
        <v>305</v>
      </c>
      <c r="F4" s="15" t="s">
        <v>19912</v>
      </c>
      <c r="G4" s="15"/>
      <c r="H4" s="15"/>
      <c r="I4" s="15" t="s">
        <v>528</v>
      </c>
      <c r="J4" s="15" t="s">
        <v>15991</v>
      </c>
    </row>
    <row r="5" spans="2:10">
      <c r="B5" s="15" t="s">
        <v>19974</v>
      </c>
      <c r="C5" s="15" t="s">
        <v>16483</v>
      </c>
      <c r="D5" s="15" t="s">
        <v>316</v>
      </c>
      <c r="E5" s="15" t="s">
        <v>305</v>
      </c>
      <c r="F5" s="15" t="s">
        <v>19911</v>
      </c>
      <c r="G5" s="15"/>
      <c r="H5" s="15"/>
      <c r="I5" s="15" t="s">
        <v>528</v>
      </c>
      <c r="J5" s="15" t="s">
        <v>15991</v>
      </c>
    </row>
    <row r="6" spans="2:10">
      <c r="B6" s="15" t="s">
        <v>19974</v>
      </c>
      <c r="C6" s="15" t="s">
        <v>16139</v>
      </c>
      <c r="D6" s="15" t="s">
        <v>316</v>
      </c>
      <c r="E6" s="15" t="s">
        <v>305</v>
      </c>
      <c r="F6" s="15" t="s">
        <v>19975</v>
      </c>
      <c r="G6" s="15"/>
      <c r="H6" s="15"/>
      <c r="I6" s="15" t="s">
        <v>528</v>
      </c>
      <c r="J6" s="15" t="s">
        <v>15991</v>
      </c>
    </row>
    <row r="7" spans="2:10">
      <c r="B7" s="15" t="s">
        <v>19974</v>
      </c>
      <c r="C7" s="15" t="s">
        <v>19710</v>
      </c>
      <c r="D7" s="15" t="s">
        <v>316</v>
      </c>
      <c r="E7" s="15" t="s">
        <v>305</v>
      </c>
      <c r="F7" s="15" t="s">
        <v>19976</v>
      </c>
      <c r="G7" s="15"/>
      <c r="H7" s="15"/>
      <c r="I7" s="15" t="s">
        <v>528</v>
      </c>
      <c r="J7" s="15" t="s">
        <v>15991</v>
      </c>
    </row>
    <row r="8" spans="2:10">
      <c r="B8" s="15" t="s">
        <v>19974</v>
      </c>
      <c r="C8" s="15" t="s">
        <v>19712</v>
      </c>
      <c r="D8" s="15" t="s">
        <v>506</v>
      </c>
      <c r="E8" s="15" t="s">
        <v>305</v>
      </c>
      <c r="F8" s="15" t="s">
        <v>19977</v>
      </c>
      <c r="G8" s="15"/>
      <c r="H8" s="15"/>
      <c r="I8" s="15" t="s">
        <v>528</v>
      </c>
      <c r="J8" s="15" t="s">
        <v>15991</v>
      </c>
    </row>
    <row r="9" spans="2:10">
      <c r="B9" s="15" t="s">
        <v>19974</v>
      </c>
      <c r="C9" s="15" t="s">
        <v>19786</v>
      </c>
      <c r="D9" s="15" t="s">
        <v>316</v>
      </c>
      <c r="E9" s="15" t="s">
        <v>305</v>
      </c>
      <c r="F9" s="15" t="s">
        <v>19978</v>
      </c>
      <c r="G9" s="15"/>
      <c r="H9" s="15"/>
      <c r="I9" s="15" t="s">
        <v>528</v>
      </c>
      <c r="J9" s="15" t="s">
        <v>15991</v>
      </c>
    </row>
    <row r="10" spans="2:10">
      <c r="B10" s="15" t="s">
        <v>19974</v>
      </c>
      <c r="C10" s="15" t="s">
        <v>19790</v>
      </c>
      <c r="D10" s="15" t="s">
        <v>506</v>
      </c>
      <c r="E10" s="15" t="s">
        <v>305</v>
      </c>
      <c r="F10" s="15" t="s">
        <v>19862</v>
      </c>
      <c r="G10" s="15"/>
      <c r="H10" s="15"/>
      <c r="I10" s="15" t="s">
        <v>528</v>
      </c>
      <c r="J10" s="15" t="s">
        <v>15991</v>
      </c>
    </row>
    <row r="11" spans="2:10">
      <c r="B11" s="15" t="s">
        <v>19974</v>
      </c>
      <c r="C11" s="15" t="s">
        <v>19788</v>
      </c>
      <c r="D11" s="15" t="s">
        <v>316</v>
      </c>
      <c r="E11" s="15" t="s">
        <v>305</v>
      </c>
      <c r="F11" s="15" t="s">
        <v>19979</v>
      </c>
      <c r="G11" s="15"/>
      <c r="H11" s="15"/>
      <c r="I11" s="15" t="s">
        <v>528</v>
      </c>
      <c r="J11" s="15" t="s">
        <v>15991</v>
      </c>
    </row>
    <row r="12" spans="2:10">
      <c r="B12" s="15" t="s">
        <v>19974</v>
      </c>
      <c r="C12" s="15" t="s">
        <v>16095</v>
      </c>
      <c r="D12" s="15" t="s">
        <v>316</v>
      </c>
      <c r="E12" s="15" t="s">
        <v>305</v>
      </c>
      <c r="F12" s="15" t="s">
        <v>6971</v>
      </c>
      <c r="G12" s="52" t="str">
        <f>HYPERLINK("#码值映射清单!B5219","ApplyType")</f>
        <v>ApplyType</v>
      </c>
      <c r="H12" s="15"/>
      <c r="I12" s="15" t="s">
        <v>528</v>
      </c>
      <c r="J12" s="15" t="s">
        <v>15991</v>
      </c>
    </row>
    <row r="13" spans="2:10">
      <c r="B13" s="15" t="s">
        <v>19974</v>
      </c>
      <c r="C13" s="15" t="s">
        <v>16579</v>
      </c>
      <c r="D13" s="15" t="s">
        <v>316</v>
      </c>
      <c r="E13" s="15" t="s">
        <v>305</v>
      </c>
      <c r="F13" s="15" t="s">
        <v>16638</v>
      </c>
      <c r="G13" s="15"/>
      <c r="H13" s="15"/>
      <c r="I13" s="15" t="s">
        <v>528</v>
      </c>
      <c r="J13" s="15" t="s">
        <v>15991</v>
      </c>
    </row>
    <row r="14" spans="2:10">
      <c r="B14" s="15" t="s">
        <v>19974</v>
      </c>
      <c r="C14" s="15" t="s">
        <v>19876</v>
      </c>
      <c r="D14" s="15" t="s">
        <v>506</v>
      </c>
      <c r="E14" s="15" t="s">
        <v>305</v>
      </c>
      <c r="F14" s="15" t="s">
        <v>16738</v>
      </c>
      <c r="G14" s="15"/>
      <c r="H14" s="15"/>
      <c r="I14" s="15" t="s">
        <v>528</v>
      </c>
      <c r="J14" s="15" t="s">
        <v>15991</v>
      </c>
    </row>
    <row r="15" spans="2:10">
      <c r="B15" s="15" t="s">
        <v>19974</v>
      </c>
      <c r="C15" s="15" t="s">
        <v>16622</v>
      </c>
      <c r="D15" s="15" t="s">
        <v>316</v>
      </c>
      <c r="E15" s="15" t="s">
        <v>305</v>
      </c>
      <c r="F15" s="15" t="s">
        <v>16010</v>
      </c>
      <c r="G15" s="15"/>
      <c r="H15" s="15"/>
      <c r="I15" s="15" t="s">
        <v>528</v>
      </c>
      <c r="J15" s="15" t="s">
        <v>15991</v>
      </c>
    </row>
    <row r="16" spans="2:10">
      <c r="B16" s="15" t="s">
        <v>19974</v>
      </c>
      <c r="C16" s="15" t="s">
        <v>19874</v>
      </c>
      <c r="D16" s="15" t="s">
        <v>506</v>
      </c>
      <c r="E16" s="15" t="s">
        <v>305</v>
      </c>
      <c r="F16" s="15" t="s">
        <v>19980</v>
      </c>
      <c r="G16" s="15"/>
      <c r="H16" s="15"/>
      <c r="I16" s="15" t="s">
        <v>528</v>
      </c>
      <c r="J16" s="15" t="s">
        <v>15991</v>
      </c>
    </row>
    <row r="17" spans="2:10">
      <c r="B17" s="15" t="s">
        <v>19974</v>
      </c>
      <c r="C17" s="15" t="s">
        <v>16781</v>
      </c>
      <c r="D17" s="15" t="s">
        <v>371</v>
      </c>
      <c r="E17" s="15" t="s">
        <v>305</v>
      </c>
      <c r="F17" s="15" t="s">
        <v>19981</v>
      </c>
      <c r="G17" s="15"/>
      <c r="H17" s="15"/>
      <c r="I17" s="15" t="s">
        <v>528</v>
      </c>
      <c r="J17" s="15" t="s">
        <v>15991</v>
      </c>
    </row>
    <row r="18" spans="2:10">
      <c r="B18" s="15" t="s">
        <v>19974</v>
      </c>
      <c r="C18" s="15" t="s">
        <v>16782</v>
      </c>
      <c r="D18" s="15" t="s">
        <v>371</v>
      </c>
      <c r="E18" s="15" t="s">
        <v>305</v>
      </c>
      <c r="F18" s="15" t="s">
        <v>16783</v>
      </c>
      <c r="G18" s="15"/>
      <c r="H18" s="15"/>
      <c r="I18" s="15" t="s">
        <v>528</v>
      </c>
      <c r="J18" s="15" t="s">
        <v>15991</v>
      </c>
    </row>
    <row r="19" spans="2:10">
      <c r="B19" s="15" t="s">
        <v>19974</v>
      </c>
      <c r="C19" s="15" t="s">
        <v>19950</v>
      </c>
      <c r="D19" s="15" t="s">
        <v>327</v>
      </c>
      <c r="E19" s="15" t="s">
        <v>305</v>
      </c>
      <c r="F19" s="15" t="s">
        <v>19951</v>
      </c>
      <c r="G19" s="15"/>
      <c r="H19" s="15"/>
      <c r="I19" s="15" t="s">
        <v>528</v>
      </c>
      <c r="J19" s="15" t="s">
        <v>15991</v>
      </c>
    </row>
    <row r="20" spans="2:10">
      <c r="B20" s="15" t="s">
        <v>19974</v>
      </c>
      <c r="C20" s="15" t="s">
        <v>19982</v>
      </c>
      <c r="D20" s="15" t="s">
        <v>327</v>
      </c>
      <c r="E20" s="15" t="s">
        <v>305</v>
      </c>
      <c r="F20" s="15" t="s">
        <v>19983</v>
      </c>
      <c r="G20" s="15"/>
      <c r="H20" s="15"/>
      <c r="I20" s="15" t="s">
        <v>528</v>
      </c>
      <c r="J20" s="15" t="s">
        <v>15991</v>
      </c>
    </row>
    <row r="21" spans="2:10">
      <c r="B21" s="15" t="s">
        <v>19974</v>
      </c>
      <c r="C21" s="15" t="s">
        <v>19940</v>
      </c>
      <c r="D21" s="15" t="s">
        <v>327</v>
      </c>
      <c r="E21" s="15" t="s">
        <v>305</v>
      </c>
      <c r="F21" s="15" t="s">
        <v>19984</v>
      </c>
      <c r="G21" s="15"/>
      <c r="H21" s="15"/>
      <c r="I21" s="15" t="s">
        <v>528</v>
      </c>
      <c r="J21" s="15" t="s">
        <v>15991</v>
      </c>
    </row>
    <row r="22" spans="2:10">
      <c r="B22" s="15" t="s">
        <v>19974</v>
      </c>
      <c r="C22" s="15" t="s">
        <v>19942</v>
      </c>
      <c r="D22" s="15" t="s">
        <v>327</v>
      </c>
      <c r="E22" s="15" t="s">
        <v>305</v>
      </c>
      <c r="F22" s="15" t="s">
        <v>19943</v>
      </c>
      <c r="G22" s="15"/>
      <c r="H22" s="15"/>
      <c r="I22" s="15" t="s">
        <v>528</v>
      </c>
      <c r="J22" s="15" t="s">
        <v>15991</v>
      </c>
    </row>
    <row r="23" spans="2:10">
      <c r="B23" s="15" t="s">
        <v>19974</v>
      </c>
      <c r="C23" s="15" t="s">
        <v>19944</v>
      </c>
      <c r="D23" s="15" t="s">
        <v>327</v>
      </c>
      <c r="E23" s="15" t="s">
        <v>305</v>
      </c>
      <c r="F23" s="15" t="s">
        <v>19945</v>
      </c>
      <c r="G23" s="15"/>
      <c r="H23" s="15"/>
      <c r="I23" s="15" t="s">
        <v>528</v>
      </c>
      <c r="J23" s="15" t="s">
        <v>15991</v>
      </c>
    </row>
    <row r="24" spans="2:10">
      <c r="B24" s="15" t="s">
        <v>19974</v>
      </c>
      <c r="C24" s="15" t="s">
        <v>19985</v>
      </c>
      <c r="D24" s="15" t="s">
        <v>327</v>
      </c>
      <c r="E24" s="15" t="s">
        <v>305</v>
      </c>
      <c r="F24" s="15" t="s">
        <v>19986</v>
      </c>
      <c r="G24" s="15"/>
      <c r="H24" s="15"/>
      <c r="I24" s="15" t="s">
        <v>528</v>
      </c>
      <c r="J24" s="15" t="s">
        <v>15991</v>
      </c>
    </row>
    <row r="25" spans="2:10">
      <c r="B25" s="15" t="s">
        <v>19974</v>
      </c>
      <c r="C25" s="15" t="s">
        <v>19987</v>
      </c>
      <c r="D25" s="15" t="s">
        <v>367</v>
      </c>
      <c r="E25" s="15" t="s">
        <v>305</v>
      </c>
      <c r="F25" s="15" t="s">
        <v>19988</v>
      </c>
      <c r="G25" s="15"/>
      <c r="H25" s="15"/>
      <c r="I25" s="15" t="s">
        <v>528</v>
      </c>
      <c r="J25" s="15" t="s">
        <v>15991</v>
      </c>
    </row>
    <row r="26" spans="2:10">
      <c r="B26" s="15" t="s">
        <v>19974</v>
      </c>
      <c r="C26" s="15" t="s">
        <v>19989</v>
      </c>
      <c r="D26" s="15" t="s">
        <v>367</v>
      </c>
      <c r="E26" s="15" t="s">
        <v>305</v>
      </c>
      <c r="F26" s="15" t="s">
        <v>19990</v>
      </c>
      <c r="G26" s="15"/>
      <c r="H26" s="15"/>
      <c r="I26" s="15" t="s">
        <v>528</v>
      </c>
      <c r="J26" s="15" t="s">
        <v>15991</v>
      </c>
    </row>
    <row r="27" spans="2:10">
      <c r="B27" s="15" t="s">
        <v>19974</v>
      </c>
      <c r="C27" s="15" t="s">
        <v>19991</v>
      </c>
      <c r="D27" s="15" t="s">
        <v>367</v>
      </c>
      <c r="E27" s="15" t="s">
        <v>305</v>
      </c>
      <c r="F27" s="15" t="s">
        <v>19992</v>
      </c>
      <c r="G27" s="15"/>
      <c r="H27" s="15"/>
      <c r="I27" s="15" t="s">
        <v>528</v>
      </c>
      <c r="J27" s="15" t="s">
        <v>15991</v>
      </c>
    </row>
    <row r="28" spans="2:10">
      <c r="B28" s="15" t="s">
        <v>19974</v>
      </c>
      <c r="C28" s="15" t="s">
        <v>19816</v>
      </c>
      <c r="D28" s="15" t="s">
        <v>371</v>
      </c>
      <c r="E28" s="15" t="s">
        <v>305</v>
      </c>
      <c r="F28" s="15" t="s">
        <v>19993</v>
      </c>
      <c r="G28" s="15"/>
      <c r="H28" s="15"/>
      <c r="I28" s="15" t="s">
        <v>528</v>
      </c>
      <c r="J28" s="15" t="s">
        <v>15991</v>
      </c>
    </row>
    <row r="29" spans="2:10">
      <c r="B29" s="15" t="s">
        <v>19974</v>
      </c>
      <c r="C29" s="15" t="s">
        <v>19818</v>
      </c>
      <c r="D29" s="15" t="s">
        <v>371</v>
      </c>
      <c r="E29" s="15" t="s">
        <v>305</v>
      </c>
      <c r="F29" s="15" t="s">
        <v>19994</v>
      </c>
      <c r="G29" s="15"/>
      <c r="H29" s="15"/>
      <c r="I29" s="15" t="s">
        <v>528</v>
      </c>
      <c r="J29" s="15" t="s">
        <v>15991</v>
      </c>
    </row>
    <row r="30" spans="2:10">
      <c r="B30" s="15" t="s">
        <v>19974</v>
      </c>
      <c r="C30" s="15" t="s">
        <v>19820</v>
      </c>
      <c r="D30" s="15" t="s">
        <v>316</v>
      </c>
      <c r="E30" s="15" t="s">
        <v>305</v>
      </c>
      <c r="F30" s="15" t="s">
        <v>19995</v>
      </c>
      <c r="G30" s="15"/>
      <c r="H30" s="15"/>
      <c r="I30" s="15" t="s">
        <v>528</v>
      </c>
      <c r="J30" s="15" t="s">
        <v>15991</v>
      </c>
    </row>
    <row r="31" spans="2:10">
      <c r="B31" s="15" t="s">
        <v>19974</v>
      </c>
      <c r="C31" s="15" t="s">
        <v>19996</v>
      </c>
      <c r="D31" s="15" t="s">
        <v>16056</v>
      </c>
      <c r="E31" s="15" t="s">
        <v>305</v>
      </c>
      <c r="F31" s="15" t="s">
        <v>19997</v>
      </c>
      <c r="G31" s="15"/>
      <c r="H31" s="15"/>
      <c r="I31" s="15" t="s">
        <v>528</v>
      </c>
      <c r="J31" s="15" t="s">
        <v>15991</v>
      </c>
    </row>
    <row r="32" spans="2:10">
      <c r="B32" s="15" t="s">
        <v>19974</v>
      </c>
      <c r="C32" s="15" t="s">
        <v>19998</v>
      </c>
      <c r="D32" s="15" t="s">
        <v>16056</v>
      </c>
      <c r="E32" s="15" t="s">
        <v>305</v>
      </c>
      <c r="F32" s="15" t="s">
        <v>19999</v>
      </c>
      <c r="G32" s="15"/>
      <c r="H32" s="15"/>
      <c r="I32" s="15" t="s">
        <v>528</v>
      </c>
      <c r="J32" s="15" t="s">
        <v>15991</v>
      </c>
    </row>
    <row r="33" spans="2:10">
      <c r="B33" s="15" t="s">
        <v>19974</v>
      </c>
      <c r="C33" s="15" t="s">
        <v>19843</v>
      </c>
      <c r="D33" s="15" t="s">
        <v>16056</v>
      </c>
      <c r="E33" s="15" t="s">
        <v>305</v>
      </c>
      <c r="F33" s="15" t="s">
        <v>20000</v>
      </c>
      <c r="G33" s="15"/>
      <c r="H33" s="15"/>
      <c r="I33" s="15" t="s">
        <v>528</v>
      </c>
      <c r="J33" s="15" t="s">
        <v>15991</v>
      </c>
    </row>
    <row r="34" spans="2:10">
      <c r="B34" s="15" t="s">
        <v>19974</v>
      </c>
      <c r="C34" s="15" t="s">
        <v>20001</v>
      </c>
      <c r="D34" s="15" t="s">
        <v>16056</v>
      </c>
      <c r="E34" s="15" t="s">
        <v>305</v>
      </c>
      <c r="F34" s="15" t="s">
        <v>20002</v>
      </c>
      <c r="G34" s="15"/>
      <c r="H34" s="15"/>
      <c r="I34" s="15" t="s">
        <v>528</v>
      </c>
      <c r="J34" s="15" t="s">
        <v>15991</v>
      </c>
    </row>
    <row r="35" spans="2:10">
      <c r="B35" s="15" t="s">
        <v>19974</v>
      </c>
      <c r="C35" s="15" t="s">
        <v>20003</v>
      </c>
      <c r="D35" s="15" t="s">
        <v>316</v>
      </c>
      <c r="E35" s="15" t="s">
        <v>305</v>
      </c>
      <c r="F35" s="15" t="s">
        <v>19891</v>
      </c>
      <c r="G35" s="15"/>
      <c r="H35" s="15"/>
      <c r="I35" s="15" t="s">
        <v>528</v>
      </c>
      <c r="J35" s="15" t="s">
        <v>15991</v>
      </c>
    </row>
    <row r="36" spans="2:10">
      <c r="B36" s="15" t="s">
        <v>19974</v>
      </c>
      <c r="C36" s="15" t="s">
        <v>19885</v>
      </c>
      <c r="D36" s="15" t="s">
        <v>316</v>
      </c>
      <c r="E36" s="15" t="s">
        <v>305</v>
      </c>
      <c r="F36" s="15" t="s">
        <v>19886</v>
      </c>
      <c r="G36" s="15"/>
      <c r="H36" s="15"/>
      <c r="I36" s="15" t="s">
        <v>528</v>
      </c>
      <c r="J36" s="15" t="s">
        <v>15991</v>
      </c>
    </row>
    <row r="37" spans="2:10">
      <c r="B37" s="15" t="s">
        <v>19974</v>
      </c>
      <c r="C37" s="15" t="s">
        <v>19887</v>
      </c>
      <c r="D37" s="15" t="s">
        <v>316</v>
      </c>
      <c r="E37" s="15" t="s">
        <v>305</v>
      </c>
      <c r="F37" s="15" t="s">
        <v>19888</v>
      </c>
      <c r="G37" s="15"/>
      <c r="H37" s="15"/>
      <c r="I37" s="15" t="s">
        <v>528</v>
      </c>
      <c r="J37" s="15" t="s">
        <v>15991</v>
      </c>
    </row>
    <row r="38" spans="2:10">
      <c r="B38" s="15" t="s">
        <v>19974</v>
      </c>
      <c r="C38" s="15" t="s">
        <v>19883</v>
      </c>
      <c r="D38" s="15" t="s">
        <v>367</v>
      </c>
      <c r="E38" s="15" t="s">
        <v>305</v>
      </c>
      <c r="F38" s="15" t="s">
        <v>19884</v>
      </c>
      <c r="G38" s="15"/>
      <c r="H38" s="15"/>
      <c r="I38" s="15" t="s">
        <v>528</v>
      </c>
      <c r="J38" s="15" t="s">
        <v>15991</v>
      </c>
    </row>
    <row r="39" spans="2:10">
      <c r="B39" s="15" t="s">
        <v>19974</v>
      </c>
      <c r="C39" s="15" t="s">
        <v>20004</v>
      </c>
      <c r="D39" s="15" t="s">
        <v>316</v>
      </c>
      <c r="E39" s="15" t="s">
        <v>305</v>
      </c>
      <c r="F39" s="15" t="s">
        <v>20005</v>
      </c>
      <c r="G39" s="15"/>
      <c r="H39" s="15"/>
      <c r="I39" s="15" t="s">
        <v>528</v>
      </c>
      <c r="J39" s="15" t="s">
        <v>15991</v>
      </c>
    </row>
    <row r="40" spans="2:10">
      <c r="B40" s="15" t="s">
        <v>19974</v>
      </c>
      <c r="C40" s="15" t="s">
        <v>20006</v>
      </c>
      <c r="D40" s="15" t="s">
        <v>513</v>
      </c>
      <c r="E40" s="15" t="s">
        <v>305</v>
      </c>
      <c r="F40" s="15" t="s">
        <v>20007</v>
      </c>
      <c r="G40" s="15"/>
      <c r="H40" s="15"/>
      <c r="I40" s="15" t="s">
        <v>528</v>
      </c>
      <c r="J40" s="15" t="s">
        <v>15991</v>
      </c>
    </row>
    <row r="41" spans="2:10">
      <c r="B41" s="15" t="s">
        <v>19974</v>
      </c>
      <c r="C41" s="15" t="s">
        <v>20008</v>
      </c>
      <c r="D41" s="15" t="s">
        <v>513</v>
      </c>
      <c r="E41" s="15" t="s">
        <v>305</v>
      </c>
      <c r="F41" s="15" t="s">
        <v>20009</v>
      </c>
      <c r="G41" s="15"/>
      <c r="H41" s="15"/>
      <c r="I41" s="15" t="s">
        <v>528</v>
      </c>
      <c r="J41" s="15" t="s">
        <v>15991</v>
      </c>
    </row>
    <row r="42" spans="2:10">
      <c r="B42" s="15" t="s">
        <v>19974</v>
      </c>
      <c r="C42" s="15" t="s">
        <v>19726</v>
      </c>
      <c r="D42" s="15" t="s">
        <v>513</v>
      </c>
      <c r="E42" s="15" t="s">
        <v>305</v>
      </c>
      <c r="F42" s="15" t="s">
        <v>19727</v>
      </c>
      <c r="G42" s="15"/>
      <c r="H42" s="15"/>
      <c r="I42" s="15" t="s">
        <v>528</v>
      </c>
      <c r="J42" s="15" t="s">
        <v>15991</v>
      </c>
    </row>
    <row r="43" spans="2:10">
      <c r="B43" s="15" t="s">
        <v>19974</v>
      </c>
      <c r="C43" s="15" t="s">
        <v>19728</v>
      </c>
      <c r="D43" s="15" t="s">
        <v>316</v>
      </c>
      <c r="E43" s="15" t="s">
        <v>305</v>
      </c>
      <c r="F43" s="15" t="s">
        <v>19729</v>
      </c>
      <c r="G43" s="15"/>
      <c r="H43" s="15"/>
      <c r="I43" s="15" t="s">
        <v>528</v>
      </c>
      <c r="J43" s="15" t="s">
        <v>15991</v>
      </c>
    </row>
    <row r="44" spans="2:10">
      <c r="B44" s="15" t="s">
        <v>19974</v>
      </c>
      <c r="C44" s="15" t="s">
        <v>20010</v>
      </c>
      <c r="D44" s="15" t="s">
        <v>316</v>
      </c>
      <c r="E44" s="15" t="s">
        <v>305</v>
      </c>
      <c r="F44" s="15" t="s">
        <v>20011</v>
      </c>
      <c r="G44" s="15"/>
      <c r="H44" s="15"/>
      <c r="I44" s="15" t="s">
        <v>528</v>
      </c>
      <c r="J44" s="15" t="s">
        <v>15991</v>
      </c>
    </row>
    <row r="45" spans="2:10">
      <c r="B45" s="15" t="s">
        <v>19974</v>
      </c>
      <c r="C45" s="15" t="s">
        <v>20012</v>
      </c>
      <c r="D45" s="15" t="s">
        <v>316</v>
      </c>
      <c r="E45" s="15" t="s">
        <v>305</v>
      </c>
      <c r="F45" s="15" t="s">
        <v>20013</v>
      </c>
      <c r="G45" s="15"/>
      <c r="H45" s="15"/>
      <c r="I45" s="15" t="s">
        <v>528</v>
      </c>
      <c r="J45" s="15" t="s">
        <v>15991</v>
      </c>
    </row>
    <row r="46" spans="2:10">
      <c r="B46" s="15" t="s">
        <v>19974</v>
      </c>
      <c r="C46" s="15" t="s">
        <v>20014</v>
      </c>
      <c r="D46" s="15" t="s">
        <v>367</v>
      </c>
      <c r="E46" s="15" t="s">
        <v>305</v>
      </c>
      <c r="F46" s="15" t="s">
        <v>20015</v>
      </c>
      <c r="G46" s="15"/>
      <c r="H46" s="15"/>
      <c r="I46" s="15" t="s">
        <v>528</v>
      </c>
      <c r="J46" s="15" t="s">
        <v>15991</v>
      </c>
    </row>
    <row r="47" spans="2:10">
      <c r="B47" s="15" t="s">
        <v>19974</v>
      </c>
      <c r="C47" s="15" t="s">
        <v>20016</v>
      </c>
      <c r="D47" s="15" t="s">
        <v>316</v>
      </c>
      <c r="E47" s="15" t="s">
        <v>305</v>
      </c>
      <c r="F47" s="15" t="s">
        <v>20017</v>
      </c>
      <c r="G47" s="15"/>
      <c r="H47" s="15"/>
      <c r="I47" s="15" t="s">
        <v>528</v>
      </c>
      <c r="J47" s="15" t="s">
        <v>15991</v>
      </c>
    </row>
    <row r="48" spans="2:10">
      <c r="B48" s="15" t="s">
        <v>19974</v>
      </c>
      <c r="C48" s="15" t="s">
        <v>17041</v>
      </c>
      <c r="D48" s="15" t="s">
        <v>316</v>
      </c>
      <c r="E48" s="15" t="s">
        <v>305</v>
      </c>
      <c r="F48" s="15" t="s">
        <v>20018</v>
      </c>
      <c r="G48" s="15"/>
      <c r="H48" s="15"/>
      <c r="I48" s="15" t="s">
        <v>528</v>
      </c>
      <c r="J48" s="15" t="s">
        <v>15991</v>
      </c>
    </row>
    <row r="49" spans="2:10">
      <c r="B49" s="15" t="s">
        <v>19974</v>
      </c>
      <c r="C49" s="15" t="s">
        <v>19938</v>
      </c>
      <c r="D49" s="15" t="s">
        <v>16115</v>
      </c>
      <c r="E49" s="15" t="s">
        <v>305</v>
      </c>
      <c r="F49" s="15" t="s">
        <v>20019</v>
      </c>
      <c r="G49" s="15"/>
      <c r="H49" s="15"/>
      <c r="I49" s="15" t="s">
        <v>528</v>
      </c>
      <c r="J49" s="15" t="s">
        <v>15991</v>
      </c>
    </row>
    <row r="50" spans="2:10">
      <c r="B50" s="15" t="s">
        <v>19974</v>
      </c>
      <c r="C50" s="15" t="s">
        <v>20020</v>
      </c>
      <c r="D50" s="15" t="s">
        <v>16115</v>
      </c>
      <c r="E50" s="15" t="s">
        <v>305</v>
      </c>
      <c r="F50" s="15" t="s">
        <v>20021</v>
      </c>
      <c r="G50" s="15"/>
      <c r="H50" s="15"/>
      <c r="I50" s="15" t="s">
        <v>528</v>
      </c>
      <c r="J50" s="15" t="s">
        <v>15991</v>
      </c>
    </row>
  </sheetData>
  <pageMargins left="0.75" right="0.75" top="1" bottom="1" header="0.5" footer="0.5"/>
  <pageSetup paperSize="1" orientation="portrait" horizontalDpi="300" verticalDpi="300"/>
  <headerFooter alignWithMargins="0" scaleWithDoc="0"/>
</worksheet>
</file>

<file path=xl/worksheets/sheet1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5"/>
  <sheetViews>
    <sheetView zoomScaleSheetLayoutView="60" workbookViewId="0">
      <selection activeCell="A1" sqref="A1"/>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52" t="str">
        <f>HYPERLINK("#表结构清单!A1","返回")</f>
        <v>返回</v>
      </c>
      <c r="B1" t="s">
        <v>119</v>
      </c>
    </row>
    <row r="2" spans="2:10">
      <c r="B2" s="13" t="s">
        <v>15982</v>
      </c>
      <c r="C2" s="13" t="s">
        <v>297</v>
      </c>
      <c r="D2" s="13" t="s">
        <v>11870</v>
      </c>
      <c r="E2" s="13" t="s">
        <v>15983</v>
      </c>
      <c r="F2" s="13" t="s">
        <v>15984</v>
      </c>
      <c r="G2" s="13" t="s">
        <v>300</v>
      </c>
      <c r="H2" s="13" t="s">
        <v>301</v>
      </c>
      <c r="I2" s="13" t="s">
        <v>15985</v>
      </c>
      <c r="J2" s="13" t="s">
        <v>15986</v>
      </c>
    </row>
    <row r="3" spans="2:10">
      <c r="B3" s="15" t="s">
        <v>20022</v>
      </c>
      <c r="C3" s="15" t="s">
        <v>15988</v>
      </c>
      <c r="D3" s="15" t="s">
        <v>316</v>
      </c>
      <c r="E3" s="15" t="s">
        <v>15989</v>
      </c>
      <c r="F3" s="15" t="s">
        <v>15990</v>
      </c>
      <c r="G3" s="15"/>
      <c r="H3" s="15"/>
      <c r="I3" s="15" t="s">
        <v>528</v>
      </c>
      <c r="J3" s="15" t="s">
        <v>15991</v>
      </c>
    </row>
    <row r="4" spans="2:10">
      <c r="B4" s="15" t="s">
        <v>20022</v>
      </c>
      <c r="C4" s="15" t="s">
        <v>16484</v>
      </c>
      <c r="D4" s="15" t="s">
        <v>316</v>
      </c>
      <c r="E4" s="15" t="s">
        <v>305</v>
      </c>
      <c r="F4" s="15" t="s">
        <v>16762</v>
      </c>
      <c r="G4" s="15"/>
      <c r="H4" s="15"/>
      <c r="I4" s="15" t="s">
        <v>528</v>
      </c>
      <c r="J4" s="15" t="s">
        <v>15991</v>
      </c>
    </row>
    <row r="5" spans="2:10">
      <c r="B5" s="15" t="s">
        <v>20022</v>
      </c>
      <c r="C5" s="15" t="s">
        <v>16483</v>
      </c>
      <c r="D5" s="15" t="s">
        <v>316</v>
      </c>
      <c r="E5" s="15" t="s">
        <v>305</v>
      </c>
      <c r="F5" s="15" t="s">
        <v>9239</v>
      </c>
      <c r="G5" s="15"/>
      <c r="H5" s="15"/>
      <c r="I5" s="15" t="s">
        <v>528</v>
      </c>
      <c r="J5" s="15" t="s">
        <v>15991</v>
      </c>
    </row>
    <row r="6" spans="2:10">
      <c r="B6" s="15" t="s">
        <v>20022</v>
      </c>
      <c r="C6" s="15" t="s">
        <v>16139</v>
      </c>
      <c r="D6" s="15" t="s">
        <v>316</v>
      </c>
      <c r="E6" s="15" t="s">
        <v>305</v>
      </c>
      <c r="F6" s="15" t="s">
        <v>20023</v>
      </c>
      <c r="G6" s="15"/>
      <c r="H6" s="15"/>
      <c r="I6" s="15" t="s">
        <v>528</v>
      </c>
      <c r="J6" s="15" t="s">
        <v>15991</v>
      </c>
    </row>
    <row r="7" spans="2:10">
      <c r="B7" s="15" t="s">
        <v>20022</v>
      </c>
      <c r="C7" s="15" t="s">
        <v>19710</v>
      </c>
      <c r="D7" s="15" t="s">
        <v>316</v>
      </c>
      <c r="E7" s="15" t="s">
        <v>305</v>
      </c>
      <c r="F7" s="15" t="s">
        <v>19711</v>
      </c>
      <c r="G7" s="15"/>
      <c r="H7" s="15"/>
      <c r="I7" s="15" t="s">
        <v>528</v>
      </c>
      <c r="J7" s="15" t="s">
        <v>15991</v>
      </c>
    </row>
    <row r="8" spans="2:10">
      <c r="B8" s="15" t="s">
        <v>20022</v>
      </c>
      <c r="C8" s="15" t="s">
        <v>19712</v>
      </c>
      <c r="D8" s="15" t="s">
        <v>506</v>
      </c>
      <c r="E8" s="15" t="s">
        <v>305</v>
      </c>
      <c r="F8" s="15" t="s">
        <v>19713</v>
      </c>
      <c r="G8" s="15"/>
      <c r="H8" s="15"/>
      <c r="I8" s="15" t="s">
        <v>528</v>
      </c>
      <c r="J8" s="15" t="s">
        <v>15991</v>
      </c>
    </row>
    <row r="9" spans="2:10">
      <c r="B9" s="15" t="s">
        <v>20022</v>
      </c>
      <c r="C9" s="15" t="s">
        <v>19786</v>
      </c>
      <c r="D9" s="15" t="s">
        <v>316</v>
      </c>
      <c r="E9" s="15" t="s">
        <v>305</v>
      </c>
      <c r="F9" s="15" t="s">
        <v>20024</v>
      </c>
      <c r="G9" s="15"/>
      <c r="H9" s="15"/>
      <c r="I9" s="15" t="s">
        <v>528</v>
      </c>
      <c r="J9" s="15" t="s">
        <v>15991</v>
      </c>
    </row>
    <row r="10" spans="2:10">
      <c r="B10" s="15" t="s">
        <v>20022</v>
      </c>
      <c r="C10" s="15" t="s">
        <v>19790</v>
      </c>
      <c r="D10" s="15" t="s">
        <v>506</v>
      </c>
      <c r="E10" s="15" t="s">
        <v>305</v>
      </c>
      <c r="F10" s="15" t="s">
        <v>1920</v>
      </c>
      <c r="G10" s="15"/>
      <c r="H10" s="15"/>
      <c r="I10" s="15" t="s">
        <v>528</v>
      </c>
      <c r="J10" s="15" t="s">
        <v>15991</v>
      </c>
    </row>
    <row r="11" spans="2:10">
      <c r="B11" s="15" t="s">
        <v>20022</v>
      </c>
      <c r="C11" s="15" t="s">
        <v>19788</v>
      </c>
      <c r="D11" s="15" t="s">
        <v>506</v>
      </c>
      <c r="E11" s="15" t="s">
        <v>305</v>
      </c>
      <c r="F11" s="15" t="s">
        <v>19789</v>
      </c>
      <c r="G11" s="15"/>
      <c r="H11" s="15"/>
      <c r="I11" s="15" t="s">
        <v>528</v>
      </c>
      <c r="J11" s="15" t="s">
        <v>15991</v>
      </c>
    </row>
    <row r="12" spans="2:10">
      <c r="B12" s="15" t="s">
        <v>20022</v>
      </c>
      <c r="C12" s="15" t="s">
        <v>16095</v>
      </c>
      <c r="D12" s="15" t="s">
        <v>316</v>
      </c>
      <c r="E12" s="15" t="s">
        <v>305</v>
      </c>
      <c r="F12" s="15" t="s">
        <v>6971</v>
      </c>
      <c r="G12" s="15"/>
      <c r="H12" s="15"/>
      <c r="I12" s="15" t="s">
        <v>528</v>
      </c>
      <c r="J12" s="15" t="s">
        <v>15991</v>
      </c>
    </row>
    <row r="13" spans="2:10">
      <c r="B13" s="15" t="s">
        <v>20022</v>
      </c>
      <c r="C13" s="15" t="s">
        <v>16579</v>
      </c>
      <c r="D13" s="15" t="s">
        <v>316</v>
      </c>
      <c r="E13" s="15" t="s">
        <v>305</v>
      </c>
      <c r="F13" s="15" t="s">
        <v>20025</v>
      </c>
      <c r="G13" s="15"/>
      <c r="H13" s="15"/>
      <c r="I13" s="15" t="s">
        <v>528</v>
      </c>
      <c r="J13" s="15" t="s">
        <v>15991</v>
      </c>
    </row>
    <row r="14" spans="2:10">
      <c r="B14" s="15" t="s">
        <v>20022</v>
      </c>
      <c r="C14" s="15" t="s">
        <v>19876</v>
      </c>
      <c r="D14" s="15" t="s">
        <v>506</v>
      </c>
      <c r="E14" s="15" t="s">
        <v>305</v>
      </c>
      <c r="F14" s="15" t="s">
        <v>20026</v>
      </c>
      <c r="G14" s="15"/>
      <c r="H14" s="15"/>
      <c r="I14" s="15" t="s">
        <v>528</v>
      </c>
      <c r="J14" s="15" t="s">
        <v>15991</v>
      </c>
    </row>
    <row r="15" spans="2:10">
      <c r="B15" s="15" t="s">
        <v>20022</v>
      </c>
      <c r="C15" s="15" t="s">
        <v>16622</v>
      </c>
      <c r="D15" s="15" t="s">
        <v>316</v>
      </c>
      <c r="E15" s="15" t="s">
        <v>305</v>
      </c>
      <c r="F15" s="15" t="s">
        <v>20027</v>
      </c>
      <c r="G15" s="15"/>
      <c r="H15" s="15"/>
      <c r="I15" s="15" t="s">
        <v>528</v>
      </c>
      <c r="J15" s="15" t="s">
        <v>15991</v>
      </c>
    </row>
    <row r="16" spans="2:10">
      <c r="B16" s="15" t="s">
        <v>20022</v>
      </c>
      <c r="C16" s="15" t="s">
        <v>19874</v>
      </c>
      <c r="D16" s="15" t="s">
        <v>316</v>
      </c>
      <c r="E16" s="15" t="s">
        <v>305</v>
      </c>
      <c r="F16" s="15" t="s">
        <v>20028</v>
      </c>
      <c r="G16" s="15"/>
      <c r="H16" s="15"/>
      <c r="I16" s="15" t="s">
        <v>528</v>
      </c>
      <c r="J16" s="15" t="s">
        <v>15991</v>
      </c>
    </row>
    <row r="17" spans="2:10">
      <c r="B17" s="15" t="s">
        <v>20022</v>
      </c>
      <c r="C17" s="15" t="s">
        <v>16781</v>
      </c>
      <c r="D17" s="15" t="s">
        <v>513</v>
      </c>
      <c r="E17" s="15" t="s">
        <v>305</v>
      </c>
      <c r="F17" s="15" t="s">
        <v>20029</v>
      </c>
      <c r="G17" s="15"/>
      <c r="H17" s="15"/>
      <c r="I17" s="15" t="s">
        <v>528</v>
      </c>
      <c r="J17" s="15" t="s">
        <v>15991</v>
      </c>
    </row>
    <row r="18" spans="2:10">
      <c r="B18" s="15" t="s">
        <v>20022</v>
      </c>
      <c r="C18" s="15" t="s">
        <v>16782</v>
      </c>
      <c r="D18" s="15" t="s">
        <v>513</v>
      </c>
      <c r="E18" s="15" t="s">
        <v>305</v>
      </c>
      <c r="F18" s="15" t="s">
        <v>20030</v>
      </c>
      <c r="G18" s="15"/>
      <c r="H18" s="15"/>
      <c r="I18" s="15" t="s">
        <v>528</v>
      </c>
      <c r="J18" s="15" t="s">
        <v>15991</v>
      </c>
    </row>
    <row r="19" spans="2:10">
      <c r="B19" s="15" t="s">
        <v>20022</v>
      </c>
      <c r="C19" s="15" t="s">
        <v>19950</v>
      </c>
      <c r="D19" s="15" t="s">
        <v>367</v>
      </c>
      <c r="E19" s="15" t="s">
        <v>305</v>
      </c>
      <c r="F19" s="15" t="s">
        <v>19951</v>
      </c>
      <c r="G19" s="15"/>
      <c r="H19" s="15"/>
      <c r="I19" s="15" t="s">
        <v>528</v>
      </c>
      <c r="J19" s="15" t="s">
        <v>15991</v>
      </c>
    </row>
    <row r="20" spans="2:10">
      <c r="B20" s="15" t="s">
        <v>20022</v>
      </c>
      <c r="C20" s="15" t="s">
        <v>19982</v>
      </c>
      <c r="D20" s="15" t="s">
        <v>327</v>
      </c>
      <c r="E20" s="15" t="s">
        <v>305</v>
      </c>
      <c r="F20" s="15" t="s">
        <v>20031</v>
      </c>
      <c r="G20" s="15"/>
      <c r="H20" s="15"/>
      <c r="I20" s="15" t="s">
        <v>528</v>
      </c>
      <c r="J20" s="15" t="s">
        <v>15991</v>
      </c>
    </row>
    <row r="21" spans="2:10">
      <c r="B21" s="15" t="s">
        <v>20022</v>
      </c>
      <c r="C21" s="15" t="s">
        <v>19940</v>
      </c>
      <c r="D21" s="15" t="s">
        <v>327</v>
      </c>
      <c r="E21" s="15" t="s">
        <v>305</v>
      </c>
      <c r="F21" s="15" t="s">
        <v>19941</v>
      </c>
      <c r="G21" s="15"/>
      <c r="H21" s="15"/>
      <c r="I21" s="15" t="s">
        <v>528</v>
      </c>
      <c r="J21" s="15" t="s">
        <v>15991</v>
      </c>
    </row>
    <row r="22" spans="2:10">
      <c r="B22" s="15" t="s">
        <v>20022</v>
      </c>
      <c r="C22" s="15" t="s">
        <v>19942</v>
      </c>
      <c r="D22" s="15" t="s">
        <v>327</v>
      </c>
      <c r="E22" s="15" t="s">
        <v>305</v>
      </c>
      <c r="F22" s="15" t="s">
        <v>19943</v>
      </c>
      <c r="G22" s="15"/>
      <c r="H22" s="15"/>
      <c r="I22" s="15" t="s">
        <v>528</v>
      </c>
      <c r="J22" s="15" t="s">
        <v>15991</v>
      </c>
    </row>
    <row r="23" spans="2:10">
      <c r="B23" s="15" t="s">
        <v>20022</v>
      </c>
      <c r="C23" s="15" t="s">
        <v>19944</v>
      </c>
      <c r="D23" s="15" t="s">
        <v>327</v>
      </c>
      <c r="E23" s="15" t="s">
        <v>305</v>
      </c>
      <c r="F23" s="15" t="s">
        <v>19945</v>
      </c>
      <c r="G23" s="15"/>
      <c r="H23" s="15"/>
      <c r="I23" s="15" t="s">
        <v>528</v>
      </c>
      <c r="J23" s="15" t="s">
        <v>15991</v>
      </c>
    </row>
    <row r="24" spans="2:10">
      <c r="B24" s="15" t="s">
        <v>20022</v>
      </c>
      <c r="C24" s="15" t="s">
        <v>19985</v>
      </c>
      <c r="D24" s="15" t="s">
        <v>327</v>
      </c>
      <c r="E24" s="15" t="s">
        <v>305</v>
      </c>
      <c r="F24" s="15" t="s">
        <v>19986</v>
      </c>
      <c r="G24" s="15"/>
      <c r="H24" s="15"/>
      <c r="I24" s="15" t="s">
        <v>528</v>
      </c>
      <c r="J24" s="15" t="s">
        <v>15991</v>
      </c>
    </row>
    <row r="25" spans="2:10">
      <c r="B25" s="15" t="s">
        <v>20022</v>
      </c>
      <c r="C25" s="15" t="s">
        <v>19938</v>
      </c>
      <c r="D25" s="15" t="s">
        <v>327</v>
      </c>
      <c r="E25" s="15" t="s">
        <v>305</v>
      </c>
      <c r="F25" s="15" t="s">
        <v>20019</v>
      </c>
      <c r="G25" s="15"/>
      <c r="H25" s="15"/>
      <c r="I25" s="15" t="s">
        <v>528</v>
      </c>
      <c r="J25" s="15" t="s">
        <v>15991</v>
      </c>
    </row>
  </sheetData>
  <pageMargins left="0.75" right="0.75" top="1" bottom="1" header="0.5" footer="0.5"/>
  <pageSetup paperSize="1" orientation="portrait" horizontalDpi="300" verticalDpi="300"/>
  <headerFooter alignWithMargins="0" scaleWithDoc="0"/>
</worksheet>
</file>

<file path=xl/worksheets/sheet1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2"/>
  <sheetViews>
    <sheetView zoomScaleSheetLayoutView="60" workbookViewId="0">
      <selection activeCell="F11" sqref="F11"/>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52" t="str">
        <f>HYPERLINK("#表结构清单!A1","返回")</f>
        <v>返回</v>
      </c>
      <c r="B1" t="s">
        <v>120</v>
      </c>
    </row>
    <row r="2" spans="2:10">
      <c r="B2" s="13" t="s">
        <v>15982</v>
      </c>
      <c r="C2" s="13" t="s">
        <v>297</v>
      </c>
      <c r="D2" s="13" t="s">
        <v>11870</v>
      </c>
      <c r="E2" s="13" t="s">
        <v>15983</v>
      </c>
      <c r="F2" s="13" t="s">
        <v>15984</v>
      </c>
      <c r="G2" s="13" t="s">
        <v>300</v>
      </c>
      <c r="H2" s="13" t="s">
        <v>301</v>
      </c>
      <c r="I2" s="13" t="s">
        <v>15985</v>
      </c>
      <c r="J2" s="13" t="s">
        <v>15986</v>
      </c>
    </row>
    <row r="3" spans="2:10">
      <c r="B3" s="15" t="s">
        <v>20032</v>
      </c>
      <c r="C3" s="15" t="s">
        <v>15988</v>
      </c>
      <c r="D3" s="15" t="s">
        <v>316</v>
      </c>
      <c r="E3" s="15" t="s">
        <v>15989</v>
      </c>
      <c r="F3" s="15" t="s">
        <v>15990</v>
      </c>
      <c r="G3" s="15"/>
      <c r="H3" s="15"/>
      <c r="I3" s="15" t="s">
        <v>528</v>
      </c>
      <c r="J3" s="15" t="s">
        <v>15991</v>
      </c>
    </row>
    <row r="4" spans="2:10">
      <c r="B4" s="15" t="s">
        <v>20032</v>
      </c>
      <c r="C4" s="15" t="s">
        <v>16483</v>
      </c>
      <c r="D4" s="15" t="s">
        <v>316</v>
      </c>
      <c r="E4" s="15" t="s">
        <v>305</v>
      </c>
      <c r="F4" s="15" t="s">
        <v>9239</v>
      </c>
      <c r="G4" s="15"/>
      <c r="H4" s="15"/>
      <c r="I4" s="15" t="s">
        <v>528</v>
      </c>
      <c r="J4" s="15" t="s">
        <v>15991</v>
      </c>
    </row>
    <row r="5" spans="2:10">
      <c r="B5" s="15" t="s">
        <v>20032</v>
      </c>
      <c r="C5" s="15" t="s">
        <v>16484</v>
      </c>
      <c r="D5" s="15" t="s">
        <v>316</v>
      </c>
      <c r="E5" s="15" t="s">
        <v>305</v>
      </c>
      <c r="F5" s="15" t="s">
        <v>16762</v>
      </c>
      <c r="G5" s="15"/>
      <c r="H5" s="15"/>
      <c r="I5" s="15" t="s">
        <v>528</v>
      </c>
      <c r="J5" s="15" t="s">
        <v>15991</v>
      </c>
    </row>
    <row r="6" spans="2:10">
      <c r="B6" s="15" t="s">
        <v>20032</v>
      </c>
      <c r="C6" s="15" t="s">
        <v>16737</v>
      </c>
      <c r="D6" s="15" t="s">
        <v>316</v>
      </c>
      <c r="E6" s="15" t="s">
        <v>305</v>
      </c>
      <c r="F6" s="15" t="s">
        <v>20033</v>
      </c>
      <c r="G6" s="15"/>
      <c r="H6" s="15"/>
      <c r="I6" s="15" t="s">
        <v>528</v>
      </c>
      <c r="J6" s="15" t="s">
        <v>15991</v>
      </c>
    </row>
    <row r="7" spans="2:10">
      <c r="B7" s="15" t="s">
        <v>20032</v>
      </c>
      <c r="C7" s="15" t="s">
        <v>19710</v>
      </c>
      <c r="D7" s="15" t="s">
        <v>316</v>
      </c>
      <c r="E7" s="15" t="s">
        <v>305</v>
      </c>
      <c r="F7" s="15" t="s">
        <v>19729</v>
      </c>
      <c r="G7" s="15"/>
      <c r="H7" s="15"/>
      <c r="I7" s="15" t="s">
        <v>528</v>
      </c>
      <c r="J7" s="15" t="s">
        <v>15991</v>
      </c>
    </row>
    <row r="8" spans="2:10">
      <c r="B8" s="15" t="s">
        <v>20032</v>
      </c>
      <c r="C8" s="15" t="s">
        <v>16579</v>
      </c>
      <c r="D8" s="15" t="s">
        <v>316</v>
      </c>
      <c r="E8" s="15" t="s">
        <v>305</v>
      </c>
      <c r="F8" s="15" t="s">
        <v>20034</v>
      </c>
      <c r="G8" s="15"/>
      <c r="H8" s="15"/>
      <c r="I8" s="15" t="s">
        <v>528</v>
      </c>
      <c r="J8" s="15" t="s">
        <v>15991</v>
      </c>
    </row>
    <row r="9" spans="2:10">
      <c r="B9" s="15" t="s">
        <v>20032</v>
      </c>
      <c r="C9" s="15" t="s">
        <v>20035</v>
      </c>
      <c r="D9" s="15" t="s">
        <v>316</v>
      </c>
      <c r="E9" s="15" t="s">
        <v>305</v>
      </c>
      <c r="F9" s="15" t="s">
        <v>20036</v>
      </c>
      <c r="G9" s="15"/>
      <c r="H9" s="15"/>
      <c r="I9" s="15" t="s">
        <v>528</v>
      </c>
      <c r="J9" s="15" t="s">
        <v>15991</v>
      </c>
    </row>
    <row r="10" spans="2:10">
      <c r="B10" s="15" t="s">
        <v>20032</v>
      </c>
      <c r="C10" s="15" t="s">
        <v>16237</v>
      </c>
      <c r="D10" s="15" t="s">
        <v>316</v>
      </c>
      <c r="E10" s="15" t="s">
        <v>305</v>
      </c>
      <c r="F10" s="53" t="s">
        <v>20037</v>
      </c>
      <c r="G10" s="15"/>
      <c r="H10" s="15"/>
      <c r="I10" s="15" t="s">
        <v>528</v>
      </c>
      <c r="J10" s="15" t="s">
        <v>15991</v>
      </c>
    </row>
    <row r="11" spans="2:10">
      <c r="B11" s="15" t="s">
        <v>20032</v>
      </c>
      <c r="C11" s="15" t="s">
        <v>16239</v>
      </c>
      <c r="D11" s="15" t="s">
        <v>316</v>
      </c>
      <c r="E11" s="15" t="s">
        <v>305</v>
      </c>
      <c r="F11" s="53" t="s">
        <v>16236</v>
      </c>
      <c r="G11" s="15"/>
      <c r="H11" s="15"/>
      <c r="I11" s="15" t="s">
        <v>528</v>
      </c>
      <c r="J11" s="15" t="s">
        <v>15991</v>
      </c>
    </row>
    <row r="12" spans="2:10">
      <c r="B12" s="15" t="s">
        <v>20032</v>
      </c>
      <c r="C12" s="15" t="s">
        <v>16126</v>
      </c>
      <c r="D12" s="15" t="s">
        <v>321</v>
      </c>
      <c r="E12" s="15" t="s">
        <v>305</v>
      </c>
      <c r="F12" s="53" t="s">
        <v>905</v>
      </c>
      <c r="G12" s="55" t="str">
        <f>HYPERLINK("#码值映射清单!B13688","AssistStatus")</f>
        <v>AssistStatus</v>
      </c>
      <c r="H12" s="15"/>
      <c r="I12" s="15" t="s">
        <v>528</v>
      </c>
      <c r="J12" s="15" t="s">
        <v>15991</v>
      </c>
    </row>
  </sheetData>
  <pageMargins left="0.75" right="0.75" top="1" bottom="1" header="0.5" footer="0.5"/>
  <pageSetup paperSize="1" orientation="portrait" horizontalDpi="300" verticalDpi="300"/>
  <headerFooter alignWithMargins="0" scaleWithDoc="0"/>
</worksheet>
</file>

<file path=xl/worksheets/sheet1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5"/>
  <sheetViews>
    <sheetView zoomScaleSheetLayoutView="60" workbookViewId="0">
      <selection activeCell="F3" sqref="F3:F15"/>
    </sheetView>
  </sheetViews>
  <sheetFormatPr defaultColWidth="9.14285714285714" defaultRowHeight="15.2"/>
  <cols>
    <col min="2" max="2" width="19.5357142857143" customWidth="1"/>
    <col min="3" max="4" width="15.625" customWidth="1"/>
    <col min="5" max="5" width="7.79464285714286" customWidth="1"/>
    <col min="6" max="6" width="39.0625" customWidth="1"/>
    <col min="7" max="7" width="15.625" customWidth="1"/>
    <col min="10" max="10" width="11.6875" customWidth="1"/>
  </cols>
  <sheetData>
    <row r="1" spans="1:2">
      <c r="A1" s="52" t="str">
        <f>HYPERLINK("#表结构清单!A1","返回")</f>
        <v>返回</v>
      </c>
      <c r="B1" t="s">
        <v>111</v>
      </c>
    </row>
    <row r="2" spans="2:10">
      <c r="B2" s="13" t="s">
        <v>15982</v>
      </c>
      <c r="C2" s="13" t="s">
        <v>297</v>
      </c>
      <c r="D2" s="13" t="s">
        <v>11870</v>
      </c>
      <c r="E2" s="13" t="s">
        <v>15983</v>
      </c>
      <c r="F2" s="13" t="s">
        <v>15984</v>
      </c>
      <c r="G2" s="13" t="s">
        <v>300</v>
      </c>
      <c r="H2" s="13" t="s">
        <v>301</v>
      </c>
      <c r="I2" s="13" t="s">
        <v>15985</v>
      </c>
      <c r="J2" s="13" t="s">
        <v>15986</v>
      </c>
    </row>
    <row r="3" spans="2:10">
      <c r="B3" s="15" t="s">
        <v>20038</v>
      </c>
      <c r="C3" s="15" t="s">
        <v>20039</v>
      </c>
      <c r="D3" s="15" t="s">
        <v>506</v>
      </c>
      <c r="E3" s="15" t="s">
        <v>15989</v>
      </c>
      <c r="F3" s="15" t="s">
        <v>16428</v>
      </c>
      <c r="G3" s="15"/>
      <c r="H3" s="15"/>
      <c r="I3" s="15" t="s">
        <v>528</v>
      </c>
      <c r="J3" s="15" t="s">
        <v>15991</v>
      </c>
    </row>
    <row r="4" spans="2:10">
      <c r="B4" s="15" t="s">
        <v>20038</v>
      </c>
      <c r="C4" s="15" t="s">
        <v>20040</v>
      </c>
      <c r="D4" s="15" t="s">
        <v>327</v>
      </c>
      <c r="E4" s="15" t="s">
        <v>305</v>
      </c>
      <c r="F4" s="15" t="s">
        <v>11462</v>
      </c>
      <c r="G4" s="15"/>
      <c r="H4" s="15"/>
      <c r="I4" s="15" t="s">
        <v>528</v>
      </c>
      <c r="J4" s="15" t="s">
        <v>15991</v>
      </c>
    </row>
    <row r="5" spans="2:10">
      <c r="B5" s="15" t="s">
        <v>20038</v>
      </c>
      <c r="C5" s="15" t="s">
        <v>20041</v>
      </c>
      <c r="D5" s="15" t="s">
        <v>321</v>
      </c>
      <c r="E5" s="15" t="s">
        <v>305</v>
      </c>
      <c r="F5" s="15" t="s">
        <v>20042</v>
      </c>
      <c r="G5" s="15"/>
      <c r="H5" s="15"/>
      <c r="I5" s="15" t="s">
        <v>528</v>
      </c>
      <c r="J5" s="15" t="s">
        <v>15991</v>
      </c>
    </row>
    <row r="6" spans="2:10">
      <c r="B6" s="15" t="s">
        <v>20038</v>
      </c>
      <c r="C6" s="15" t="s">
        <v>20043</v>
      </c>
      <c r="D6" s="15" t="s">
        <v>321</v>
      </c>
      <c r="E6" s="15" t="s">
        <v>305</v>
      </c>
      <c r="F6" s="15" t="s">
        <v>20044</v>
      </c>
      <c r="G6" s="15"/>
      <c r="H6" s="15"/>
      <c r="I6" s="15" t="s">
        <v>528</v>
      </c>
      <c r="J6" s="15" t="s">
        <v>15991</v>
      </c>
    </row>
    <row r="7" spans="2:10">
      <c r="B7" s="15" t="s">
        <v>20038</v>
      </c>
      <c r="C7" s="15" t="s">
        <v>20045</v>
      </c>
      <c r="D7" s="15" t="s">
        <v>321</v>
      </c>
      <c r="E7" s="15" t="s">
        <v>305</v>
      </c>
      <c r="F7" s="15" t="s">
        <v>20046</v>
      </c>
      <c r="G7" s="15"/>
      <c r="H7" s="15"/>
      <c r="I7" s="15" t="s">
        <v>528</v>
      </c>
      <c r="J7" s="15" t="s">
        <v>15991</v>
      </c>
    </row>
    <row r="8" spans="2:10">
      <c r="B8" s="15" t="s">
        <v>20038</v>
      </c>
      <c r="C8" s="15" t="s">
        <v>20047</v>
      </c>
      <c r="D8" s="15" t="s">
        <v>321</v>
      </c>
      <c r="E8" s="15" t="s">
        <v>305</v>
      </c>
      <c r="F8" s="15" t="s">
        <v>20048</v>
      </c>
      <c r="G8" s="15"/>
      <c r="H8" s="15"/>
      <c r="I8" s="15" t="s">
        <v>528</v>
      </c>
      <c r="J8" s="15" t="s">
        <v>15991</v>
      </c>
    </row>
    <row r="9" spans="2:10">
      <c r="B9" s="15" t="s">
        <v>20038</v>
      </c>
      <c r="C9" s="15" t="s">
        <v>20049</v>
      </c>
      <c r="D9" s="15" t="s">
        <v>327</v>
      </c>
      <c r="E9" s="15" t="s">
        <v>305</v>
      </c>
      <c r="F9" s="15" t="s">
        <v>20050</v>
      </c>
      <c r="G9" s="15"/>
      <c r="H9" s="15"/>
      <c r="I9" s="15" t="s">
        <v>528</v>
      </c>
      <c r="J9" s="15" t="s">
        <v>15991</v>
      </c>
    </row>
    <row r="10" spans="2:10">
      <c r="B10" s="15" t="s">
        <v>20038</v>
      </c>
      <c r="C10" s="15" t="s">
        <v>20051</v>
      </c>
      <c r="D10" s="15" t="s">
        <v>16022</v>
      </c>
      <c r="E10" s="15" t="s">
        <v>305</v>
      </c>
      <c r="F10" s="15" t="s">
        <v>301</v>
      </c>
      <c r="G10" s="15"/>
      <c r="H10" s="15"/>
      <c r="I10" s="15" t="s">
        <v>528</v>
      </c>
      <c r="J10" s="15" t="s">
        <v>15991</v>
      </c>
    </row>
    <row r="11" spans="2:10">
      <c r="B11" s="15" t="s">
        <v>20038</v>
      </c>
      <c r="C11" s="15" t="s">
        <v>16224</v>
      </c>
      <c r="D11" s="15" t="s">
        <v>371</v>
      </c>
      <c r="E11" s="15" t="s">
        <v>305</v>
      </c>
      <c r="F11" s="15" t="s">
        <v>16225</v>
      </c>
      <c r="G11" s="15"/>
      <c r="H11" s="15"/>
      <c r="I11" s="15" t="s">
        <v>528</v>
      </c>
      <c r="J11" s="15" t="s">
        <v>15991</v>
      </c>
    </row>
    <row r="12" spans="2:10">
      <c r="B12" s="15" t="s">
        <v>20038</v>
      </c>
      <c r="C12" s="15" t="s">
        <v>19682</v>
      </c>
      <c r="D12" s="15" t="s">
        <v>506</v>
      </c>
      <c r="E12" s="15" t="s">
        <v>305</v>
      </c>
      <c r="F12" s="15" t="s">
        <v>19699</v>
      </c>
      <c r="G12" s="15"/>
      <c r="H12" s="15"/>
      <c r="I12" s="15" t="s">
        <v>528</v>
      </c>
      <c r="J12" s="15" t="s">
        <v>15991</v>
      </c>
    </row>
    <row r="13" spans="2:10">
      <c r="B13" s="15" t="s">
        <v>20038</v>
      </c>
      <c r="C13" s="15" t="s">
        <v>16239</v>
      </c>
      <c r="D13" s="15" t="s">
        <v>371</v>
      </c>
      <c r="E13" s="15" t="s">
        <v>305</v>
      </c>
      <c r="F13" s="15" t="s">
        <v>16236</v>
      </c>
      <c r="G13" s="15"/>
      <c r="H13" s="15"/>
      <c r="I13" s="15" t="s">
        <v>528</v>
      </c>
      <c r="J13" s="15" t="s">
        <v>15991</v>
      </c>
    </row>
    <row r="14" spans="2:10">
      <c r="B14" s="15" t="s">
        <v>20038</v>
      </c>
      <c r="C14" s="15" t="s">
        <v>16017</v>
      </c>
      <c r="D14" s="15" t="s">
        <v>506</v>
      </c>
      <c r="E14" s="15" t="s">
        <v>305</v>
      </c>
      <c r="F14" s="15" t="s">
        <v>16018</v>
      </c>
      <c r="G14" s="15"/>
      <c r="H14" s="15"/>
      <c r="I14" s="15" t="s">
        <v>528</v>
      </c>
      <c r="J14" s="15" t="s">
        <v>15991</v>
      </c>
    </row>
    <row r="15" spans="2:10">
      <c r="B15" s="15" t="s">
        <v>20038</v>
      </c>
      <c r="C15" s="15" t="s">
        <v>20052</v>
      </c>
      <c r="D15" s="15" t="s">
        <v>321</v>
      </c>
      <c r="E15" s="15" t="s">
        <v>305</v>
      </c>
      <c r="F15" s="15" t="s">
        <v>20053</v>
      </c>
      <c r="G15" s="15"/>
      <c r="H15" s="15"/>
      <c r="I15" s="15" t="s">
        <v>528</v>
      </c>
      <c r="J15" s="15" t="s">
        <v>15991</v>
      </c>
    </row>
  </sheetData>
  <pageMargins left="0.75" right="0.75" top="1" bottom="1" header="0.5" footer="0.5"/>
  <pageSetup paperSize="1" orientation="portrait" horizontalDpi="300" verticalDpi="300"/>
  <headerFooter alignWithMargins="0" scaleWithDoc="0"/>
</worksheet>
</file>

<file path=xl/worksheets/sheet1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2"/>
  <sheetViews>
    <sheetView zoomScaleSheetLayoutView="60" workbookViewId="0">
      <selection activeCell="F44" sqref="F44"/>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52" t="str">
        <f>HYPERLINK("#表结构清单!A1","返回")</f>
        <v>返回</v>
      </c>
      <c r="B1" t="s">
        <v>20054</v>
      </c>
    </row>
    <row r="2" spans="2:10">
      <c r="B2" s="13" t="s">
        <v>15982</v>
      </c>
      <c r="C2" s="13" t="s">
        <v>297</v>
      </c>
      <c r="D2" s="13" t="s">
        <v>11870</v>
      </c>
      <c r="E2" s="13" t="s">
        <v>15983</v>
      </c>
      <c r="F2" s="13" t="s">
        <v>15984</v>
      </c>
      <c r="G2" s="13" t="s">
        <v>300</v>
      </c>
      <c r="H2" s="13" t="s">
        <v>301</v>
      </c>
      <c r="I2" s="13" t="s">
        <v>15985</v>
      </c>
      <c r="J2" s="13" t="s">
        <v>15986</v>
      </c>
    </row>
    <row r="3" spans="2:10">
      <c r="B3" s="15" t="s">
        <v>20055</v>
      </c>
      <c r="C3" s="15" t="s">
        <v>15988</v>
      </c>
      <c r="D3" s="15" t="s">
        <v>316</v>
      </c>
      <c r="E3" s="15" t="s">
        <v>15989</v>
      </c>
      <c r="F3" s="15" t="s">
        <v>15990</v>
      </c>
      <c r="G3" s="15"/>
      <c r="H3" s="15"/>
      <c r="I3" s="15" t="s">
        <v>528</v>
      </c>
      <c r="J3" s="15" t="s">
        <v>15991</v>
      </c>
    </row>
    <row r="4" spans="2:10">
      <c r="B4" s="15" t="s">
        <v>20055</v>
      </c>
      <c r="C4" s="15" t="s">
        <v>20056</v>
      </c>
      <c r="D4" s="15" t="s">
        <v>316</v>
      </c>
      <c r="E4" s="15" t="s">
        <v>305</v>
      </c>
      <c r="F4" s="15" t="s">
        <v>18671</v>
      </c>
      <c r="G4" s="15"/>
      <c r="H4" s="15"/>
      <c r="I4" s="15" t="s">
        <v>528</v>
      </c>
      <c r="J4" s="15" t="s">
        <v>15991</v>
      </c>
    </row>
    <row r="5" spans="2:10">
      <c r="B5" s="15" t="s">
        <v>20055</v>
      </c>
      <c r="C5" s="15" t="s">
        <v>16894</v>
      </c>
      <c r="D5" s="15" t="s">
        <v>316</v>
      </c>
      <c r="E5" s="15" t="s">
        <v>305</v>
      </c>
      <c r="F5" s="15" t="s">
        <v>20057</v>
      </c>
      <c r="G5" s="15"/>
      <c r="H5" s="15"/>
      <c r="I5" s="15" t="s">
        <v>528</v>
      </c>
      <c r="J5" s="15" t="s">
        <v>15991</v>
      </c>
    </row>
    <row r="6" spans="2:10">
      <c r="B6" s="15" t="s">
        <v>20055</v>
      </c>
      <c r="C6" s="15" t="s">
        <v>20058</v>
      </c>
      <c r="D6" s="15" t="s">
        <v>506</v>
      </c>
      <c r="E6" s="15" t="s">
        <v>305</v>
      </c>
      <c r="F6" s="15" t="s">
        <v>20059</v>
      </c>
      <c r="G6" s="15"/>
      <c r="H6" s="15"/>
      <c r="I6" s="15" t="s">
        <v>528</v>
      </c>
      <c r="J6" s="15" t="s">
        <v>15991</v>
      </c>
    </row>
    <row r="7" spans="2:10">
      <c r="B7" s="15" t="s">
        <v>20055</v>
      </c>
      <c r="C7" s="15" t="s">
        <v>20060</v>
      </c>
      <c r="D7" s="15" t="s">
        <v>321</v>
      </c>
      <c r="E7" s="15" t="s">
        <v>305</v>
      </c>
      <c r="F7" s="15" t="s">
        <v>20061</v>
      </c>
      <c r="G7" s="15"/>
      <c r="H7" s="15"/>
      <c r="I7" s="15" t="s">
        <v>528</v>
      </c>
      <c r="J7" s="15" t="s">
        <v>15991</v>
      </c>
    </row>
    <row r="8" spans="2:10">
      <c r="B8" s="15" t="s">
        <v>20055</v>
      </c>
      <c r="C8" s="15" t="s">
        <v>20062</v>
      </c>
      <c r="D8" s="15" t="s">
        <v>513</v>
      </c>
      <c r="E8" s="15" t="s">
        <v>305</v>
      </c>
      <c r="F8" s="15" t="s">
        <v>20063</v>
      </c>
      <c r="G8" s="52" t="str">
        <f>HYPERLINK("#码值映射清单!B321","CertType")</f>
        <v>CertType</v>
      </c>
      <c r="H8" s="15"/>
      <c r="I8" s="15" t="s">
        <v>528</v>
      </c>
      <c r="J8" s="15" t="s">
        <v>15991</v>
      </c>
    </row>
    <row r="9" spans="2:10">
      <c r="B9" s="15" t="s">
        <v>20055</v>
      </c>
      <c r="C9" s="15" t="s">
        <v>20064</v>
      </c>
      <c r="D9" s="15" t="s">
        <v>316</v>
      </c>
      <c r="E9" s="15" t="s">
        <v>305</v>
      </c>
      <c r="F9" s="15" t="s">
        <v>20065</v>
      </c>
      <c r="G9" s="15"/>
      <c r="H9" s="15"/>
      <c r="I9" s="15" t="s">
        <v>528</v>
      </c>
      <c r="J9" s="15" t="s">
        <v>15991</v>
      </c>
    </row>
    <row r="10" spans="2:10">
      <c r="B10" s="15" t="s">
        <v>20055</v>
      </c>
      <c r="C10" s="15" t="s">
        <v>20066</v>
      </c>
      <c r="D10" s="15" t="s">
        <v>316</v>
      </c>
      <c r="E10" s="15" t="s">
        <v>305</v>
      </c>
      <c r="F10" s="15" t="s">
        <v>20067</v>
      </c>
      <c r="G10" s="15"/>
      <c r="H10" s="15"/>
      <c r="I10" s="15" t="s">
        <v>528</v>
      </c>
      <c r="J10" s="15" t="s">
        <v>15991</v>
      </c>
    </row>
    <row r="11" spans="2:10">
      <c r="B11" s="15" t="s">
        <v>20055</v>
      </c>
      <c r="C11" s="15" t="s">
        <v>341</v>
      </c>
      <c r="D11" s="15" t="s">
        <v>316</v>
      </c>
      <c r="E11" s="15" t="s">
        <v>305</v>
      </c>
      <c r="F11" s="15" t="s">
        <v>20068</v>
      </c>
      <c r="G11" s="15"/>
      <c r="H11" s="15"/>
      <c r="I11" s="15" t="s">
        <v>528</v>
      </c>
      <c r="J11" s="15" t="s">
        <v>15991</v>
      </c>
    </row>
    <row r="12" spans="2:10">
      <c r="B12" s="15" t="s">
        <v>20055</v>
      </c>
      <c r="C12" s="15" t="s">
        <v>20069</v>
      </c>
      <c r="D12" s="15" t="s">
        <v>350</v>
      </c>
      <c r="E12" s="15" t="s">
        <v>305</v>
      </c>
      <c r="F12" s="15" t="s">
        <v>20070</v>
      </c>
      <c r="G12" s="15"/>
      <c r="H12" s="15"/>
      <c r="I12" s="15" t="s">
        <v>528</v>
      </c>
      <c r="J12" s="15" t="s">
        <v>15991</v>
      </c>
    </row>
    <row r="13" spans="2:10">
      <c r="B13" s="15" t="s">
        <v>20055</v>
      </c>
      <c r="C13" s="15" t="s">
        <v>20071</v>
      </c>
      <c r="D13" s="15" t="s">
        <v>321</v>
      </c>
      <c r="E13" s="15" t="s">
        <v>305</v>
      </c>
      <c r="F13" s="15" t="s">
        <v>6148</v>
      </c>
      <c r="G13" s="52" t="str">
        <f>HYPERLINK("#码值映射清单!B4495","GuaranteeForm")</f>
        <v>GuaranteeForm</v>
      </c>
      <c r="H13" s="15"/>
      <c r="I13" s="15" t="s">
        <v>528</v>
      </c>
      <c r="J13" s="15" t="s">
        <v>15991</v>
      </c>
    </row>
    <row r="14" spans="2:10">
      <c r="B14" s="15" t="s">
        <v>20055</v>
      </c>
      <c r="C14" s="15" t="s">
        <v>20072</v>
      </c>
      <c r="D14" s="15" t="s">
        <v>321</v>
      </c>
      <c r="E14" s="15" t="s">
        <v>305</v>
      </c>
      <c r="F14" s="15" t="s">
        <v>20073</v>
      </c>
      <c r="G14" s="15"/>
      <c r="H14" s="15"/>
      <c r="I14" s="15" t="s">
        <v>528</v>
      </c>
      <c r="J14" s="15" t="s">
        <v>15991</v>
      </c>
    </row>
    <row r="15" spans="2:10">
      <c r="B15" s="15" t="s">
        <v>20055</v>
      </c>
      <c r="C15" s="15" t="s">
        <v>16086</v>
      </c>
      <c r="D15" s="15" t="s">
        <v>16087</v>
      </c>
      <c r="E15" s="15" t="s">
        <v>305</v>
      </c>
      <c r="F15" s="15" t="s">
        <v>301</v>
      </c>
      <c r="G15" s="15"/>
      <c r="H15" s="15"/>
      <c r="I15" s="15" t="s">
        <v>528</v>
      </c>
      <c r="J15" s="15" t="s">
        <v>15991</v>
      </c>
    </row>
    <row r="16" spans="2:10">
      <c r="B16" s="15" t="s">
        <v>20055</v>
      </c>
      <c r="C16" s="15" t="s">
        <v>16009</v>
      </c>
      <c r="D16" s="15" t="s">
        <v>316</v>
      </c>
      <c r="E16" s="15" t="s">
        <v>305</v>
      </c>
      <c r="F16" s="15" t="s">
        <v>16010</v>
      </c>
      <c r="G16" s="15"/>
      <c r="H16" s="15"/>
      <c r="I16" s="15" t="s">
        <v>528</v>
      </c>
      <c r="J16" s="15" t="s">
        <v>15991</v>
      </c>
    </row>
    <row r="17" spans="2:10">
      <c r="B17" s="15" t="s">
        <v>20055</v>
      </c>
      <c r="C17" s="15" t="s">
        <v>16011</v>
      </c>
      <c r="D17" s="15" t="s">
        <v>316</v>
      </c>
      <c r="E17" s="15" t="s">
        <v>305</v>
      </c>
      <c r="F17" s="15" t="s">
        <v>16012</v>
      </c>
      <c r="G17" s="15"/>
      <c r="H17" s="15"/>
      <c r="I17" s="15" t="s">
        <v>528</v>
      </c>
      <c r="J17" s="15" t="s">
        <v>15991</v>
      </c>
    </row>
    <row r="18" spans="2:10">
      <c r="B18" s="15" t="s">
        <v>20055</v>
      </c>
      <c r="C18" s="15" t="s">
        <v>16013</v>
      </c>
      <c r="D18" s="15" t="s">
        <v>371</v>
      </c>
      <c r="E18" s="15" t="s">
        <v>305</v>
      </c>
      <c r="F18" s="15" t="s">
        <v>16014</v>
      </c>
      <c r="G18" s="15"/>
      <c r="H18" s="15"/>
      <c r="I18" s="15" t="s">
        <v>528</v>
      </c>
      <c r="J18" s="15" t="s">
        <v>15991</v>
      </c>
    </row>
    <row r="19" spans="2:10">
      <c r="B19" s="15" t="s">
        <v>20055</v>
      </c>
      <c r="C19" s="15" t="s">
        <v>16015</v>
      </c>
      <c r="D19" s="15" t="s">
        <v>316</v>
      </c>
      <c r="E19" s="15" t="s">
        <v>305</v>
      </c>
      <c r="F19" s="15" t="s">
        <v>16016</v>
      </c>
      <c r="G19" s="15"/>
      <c r="H19" s="15"/>
      <c r="I19" s="15" t="s">
        <v>528</v>
      </c>
      <c r="J19" s="15" t="s">
        <v>15991</v>
      </c>
    </row>
    <row r="20" spans="2:10">
      <c r="B20" s="15" t="s">
        <v>20055</v>
      </c>
      <c r="C20" s="15" t="s">
        <v>16017</v>
      </c>
      <c r="D20" s="15" t="s">
        <v>316</v>
      </c>
      <c r="E20" s="15" t="s">
        <v>305</v>
      </c>
      <c r="F20" s="15" t="s">
        <v>16018</v>
      </c>
      <c r="G20" s="15"/>
      <c r="H20" s="15"/>
      <c r="I20" s="15" t="s">
        <v>528</v>
      </c>
      <c r="J20" s="15" t="s">
        <v>15991</v>
      </c>
    </row>
    <row r="21" spans="2:10">
      <c r="B21" s="15" t="s">
        <v>20055</v>
      </c>
      <c r="C21" s="15" t="s">
        <v>16019</v>
      </c>
      <c r="D21" s="15" t="s">
        <v>371</v>
      </c>
      <c r="E21" s="15" t="s">
        <v>305</v>
      </c>
      <c r="F21" s="15" t="s">
        <v>16020</v>
      </c>
      <c r="G21" s="15"/>
      <c r="H21" s="15"/>
      <c r="I21" s="15" t="s">
        <v>528</v>
      </c>
      <c r="J21" s="15" t="s">
        <v>15991</v>
      </c>
    </row>
    <row r="22" spans="2:10">
      <c r="B22" s="15" t="s">
        <v>20055</v>
      </c>
      <c r="C22" s="15" t="s">
        <v>16088</v>
      </c>
      <c r="D22" s="15" t="s">
        <v>316</v>
      </c>
      <c r="E22" s="15" t="s">
        <v>305</v>
      </c>
      <c r="F22" s="15" t="s">
        <v>16089</v>
      </c>
      <c r="G22" s="15"/>
      <c r="H22" s="15"/>
      <c r="I22" s="15" t="s">
        <v>528</v>
      </c>
      <c r="J22" s="15" t="s">
        <v>15991</v>
      </c>
    </row>
  </sheetData>
  <pageMargins left="0.75" right="0.75" top="1" bottom="1" header="0.5" footer="0.5"/>
  <pageSetup paperSize="1" orientation="portrait" horizontalDpi="300" verticalDpi="300"/>
  <headerFooter alignWithMargins="0" scaleWithDoc="0"/>
</worksheet>
</file>

<file path=xl/worksheets/sheet1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2"/>
  <sheetViews>
    <sheetView zoomScaleSheetLayoutView="60" workbookViewId="0">
      <selection activeCell="D12" sqref="D12"/>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52" t="str">
        <f>HYPERLINK("#表结构清单!A1","返回")</f>
        <v>返回</v>
      </c>
      <c r="B1" t="s">
        <v>20074</v>
      </c>
    </row>
    <row r="2" spans="2:10">
      <c r="B2" s="13" t="s">
        <v>15982</v>
      </c>
      <c r="C2" s="13" t="s">
        <v>297</v>
      </c>
      <c r="D2" s="13" t="s">
        <v>11870</v>
      </c>
      <c r="E2" s="13" t="s">
        <v>15983</v>
      </c>
      <c r="F2" s="13" t="s">
        <v>15984</v>
      </c>
      <c r="G2" s="13" t="s">
        <v>300</v>
      </c>
      <c r="H2" s="13" t="s">
        <v>301</v>
      </c>
      <c r="I2" s="13" t="s">
        <v>15985</v>
      </c>
      <c r="J2" s="13" t="s">
        <v>15986</v>
      </c>
    </row>
    <row r="3" spans="2:10">
      <c r="B3" s="15" t="s">
        <v>20075</v>
      </c>
      <c r="C3" s="15" t="s">
        <v>18670</v>
      </c>
      <c r="D3" s="15" t="s">
        <v>316</v>
      </c>
      <c r="E3" s="15" t="s">
        <v>15989</v>
      </c>
      <c r="F3" s="15" t="s">
        <v>18671</v>
      </c>
      <c r="G3" s="15"/>
      <c r="H3" s="15"/>
      <c r="I3" s="15" t="s">
        <v>528</v>
      </c>
      <c r="J3" s="15" t="s">
        <v>15991</v>
      </c>
    </row>
    <row r="4" spans="2:10">
      <c r="B4" s="15" t="s">
        <v>20075</v>
      </c>
      <c r="C4" s="15" t="s">
        <v>20076</v>
      </c>
      <c r="D4" s="15" t="s">
        <v>321</v>
      </c>
      <c r="E4" s="15" t="s">
        <v>305</v>
      </c>
      <c r="F4" s="15" t="s">
        <v>20077</v>
      </c>
      <c r="G4" s="52" t="str">
        <f>HYPERLINK("#码值映射清单!B1867","GuarantyType")</f>
        <v>GuarantyType</v>
      </c>
      <c r="H4" s="15"/>
      <c r="I4" s="15" t="s">
        <v>528</v>
      </c>
      <c r="J4" s="15" t="s">
        <v>15991</v>
      </c>
    </row>
    <row r="5" spans="2:10">
      <c r="B5" s="15" t="s">
        <v>20075</v>
      </c>
      <c r="C5" s="15" t="s">
        <v>19096</v>
      </c>
      <c r="D5" s="15" t="s">
        <v>321</v>
      </c>
      <c r="E5" s="15" t="s">
        <v>305</v>
      </c>
      <c r="F5" s="15" t="s">
        <v>20078</v>
      </c>
      <c r="G5" s="52" t="str">
        <f>HYPERLINK("#码值映射清单!B5924","GuarantyStyle")</f>
        <v>GuarantyStyle</v>
      </c>
      <c r="H5" s="15"/>
      <c r="I5" s="15" t="s">
        <v>528</v>
      </c>
      <c r="J5" s="15" t="s">
        <v>15991</v>
      </c>
    </row>
    <row r="6" spans="2:10">
      <c r="B6" s="15" t="s">
        <v>20075</v>
      </c>
      <c r="C6" s="15" t="s">
        <v>20079</v>
      </c>
      <c r="D6" s="15" t="s">
        <v>321</v>
      </c>
      <c r="E6" s="15" t="s">
        <v>305</v>
      </c>
      <c r="F6" s="15" t="s">
        <v>20080</v>
      </c>
      <c r="G6" s="52" t="str">
        <f>HYPERLINK("#码值映射清单!B4904","GuarantyStatus")</f>
        <v>GuarantyStatus</v>
      </c>
      <c r="H6" s="15"/>
      <c r="I6" s="15" t="s">
        <v>528</v>
      </c>
      <c r="J6" s="15" t="s">
        <v>15991</v>
      </c>
    </row>
    <row r="7" spans="2:10">
      <c r="B7" s="15" t="s">
        <v>20075</v>
      </c>
      <c r="C7" s="15" t="s">
        <v>20081</v>
      </c>
      <c r="D7" s="15" t="s">
        <v>513</v>
      </c>
      <c r="E7" s="15" t="s">
        <v>305</v>
      </c>
      <c r="F7" s="15" t="s">
        <v>20082</v>
      </c>
      <c r="G7" s="15"/>
      <c r="H7" s="15"/>
      <c r="I7" s="15" t="s">
        <v>528</v>
      </c>
      <c r="J7" s="15" t="s">
        <v>15991</v>
      </c>
    </row>
    <row r="8" spans="2:10">
      <c r="B8" s="15" t="s">
        <v>20075</v>
      </c>
      <c r="C8" s="15" t="s">
        <v>18279</v>
      </c>
      <c r="D8" s="15" t="s">
        <v>513</v>
      </c>
      <c r="E8" s="15" t="s">
        <v>305</v>
      </c>
      <c r="F8" s="15" t="s">
        <v>16950</v>
      </c>
      <c r="G8" s="15"/>
      <c r="H8" s="15"/>
      <c r="I8" s="15" t="s">
        <v>528</v>
      </c>
      <c r="J8" s="15" t="s">
        <v>15991</v>
      </c>
    </row>
    <row r="9" spans="2:10">
      <c r="B9" s="15" t="s">
        <v>20075</v>
      </c>
      <c r="C9" s="15" t="s">
        <v>20083</v>
      </c>
      <c r="D9" s="15" t="s">
        <v>316</v>
      </c>
      <c r="E9" s="15" t="s">
        <v>305</v>
      </c>
      <c r="F9" s="15" t="s">
        <v>20057</v>
      </c>
      <c r="G9" s="15"/>
      <c r="H9" s="15"/>
      <c r="I9" s="15" t="s">
        <v>528</v>
      </c>
      <c r="J9" s="15" t="s">
        <v>15991</v>
      </c>
    </row>
    <row r="10" spans="2:10">
      <c r="B10" s="15" t="s">
        <v>20075</v>
      </c>
      <c r="C10" s="15" t="s">
        <v>20058</v>
      </c>
      <c r="D10" s="15" t="s">
        <v>506</v>
      </c>
      <c r="E10" s="15" t="s">
        <v>305</v>
      </c>
      <c r="F10" s="15" t="s">
        <v>20059</v>
      </c>
      <c r="G10" s="15"/>
      <c r="H10" s="15"/>
      <c r="I10" s="15" t="s">
        <v>528</v>
      </c>
      <c r="J10" s="15" t="s">
        <v>15991</v>
      </c>
    </row>
    <row r="11" spans="2:10">
      <c r="B11" s="15" t="s">
        <v>20075</v>
      </c>
      <c r="C11" s="15" t="s">
        <v>20084</v>
      </c>
      <c r="D11" s="15" t="s">
        <v>513</v>
      </c>
      <c r="E11" s="15" t="s">
        <v>305</v>
      </c>
      <c r="F11" s="15" t="s">
        <v>20085</v>
      </c>
      <c r="G11" s="52" t="str">
        <f>HYPERLINK("#码值映射清单!B2469","Currency")</f>
        <v>Currency</v>
      </c>
      <c r="H11" s="15"/>
      <c r="I11" s="15" t="s">
        <v>528</v>
      </c>
      <c r="J11" s="15" t="s">
        <v>15991</v>
      </c>
    </row>
    <row r="12" spans="2:10">
      <c r="B12" s="15" t="s">
        <v>20075</v>
      </c>
      <c r="C12" s="15" t="s">
        <v>510</v>
      </c>
      <c r="D12" s="15" t="s">
        <v>350</v>
      </c>
      <c r="E12" s="15" t="s">
        <v>305</v>
      </c>
      <c r="F12" s="15" t="s">
        <v>20086</v>
      </c>
      <c r="G12" s="15"/>
      <c r="H12" s="15"/>
      <c r="I12" s="15" t="s">
        <v>528</v>
      </c>
      <c r="J12" s="15" t="s">
        <v>15991</v>
      </c>
    </row>
    <row r="13" spans="2:10">
      <c r="B13" s="15" t="s">
        <v>20075</v>
      </c>
      <c r="C13" s="15" t="s">
        <v>20087</v>
      </c>
      <c r="D13" s="15" t="s">
        <v>513</v>
      </c>
      <c r="E13" s="15" t="s">
        <v>305</v>
      </c>
      <c r="F13" s="15" t="s">
        <v>20063</v>
      </c>
      <c r="G13" s="52" t="str">
        <f>HYPERLINK("#码值映射清单!B321","CertType")</f>
        <v>CertType</v>
      </c>
      <c r="H13" s="15"/>
      <c r="I13" s="15" t="s">
        <v>528</v>
      </c>
      <c r="J13" s="15" t="s">
        <v>15991</v>
      </c>
    </row>
    <row r="14" spans="2:10">
      <c r="B14" s="15" t="s">
        <v>20075</v>
      </c>
      <c r="C14" s="15" t="s">
        <v>16045</v>
      </c>
      <c r="D14" s="15" t="s">
        <v>506</v>
      </c>
      <c r="E14" s="15" t="s">
        <v>305</v>
      </c>
      <c r="F14" s="15" t="s">
        <v>20088</v>
      </c>
      <c r="G14" s="15"/>
      <c r="H14" s="15"/>
      <c r="I14" s="15" t="s">
        <v>528</v>
      </c>
      <c r="J14" s="15" t="s">
        <v>15991</v>
      </c>
    </row>
    <row r="15" spans="2:10">
      <c r="B15" s="15" t="s">
        <v>20075</v>
      </c>
      <c r="C15" s="15" t="s">
        <v>16009</v>
      </c>
      <c r="D15" s="15" t="s">
        <v>316</v>
      </c>
      <c r="E15" s="15" t="s">
        <v>305</v>
      </c>
      <c r="F15" s="15" t="s">
        <v>16010</v>
      </c>
      <c r="G15" s="15"/>
      <c r="H15" s="15"/>
      <c r="I15" s="15" t="s">
        <v>528</v>
      </c>
      <c r="J15" s="15" t="s">
        <v>15991</v>
      </c>
    </row>
    <row r="16" spans="2:10">
      <c r="B16" s="15" t="s">
        <v>20075</v>
      </c>
      <c r="C16" s="15" t="s">
        <v>16011</v>
      </c>
      <c r="D16" s="15" t="s">
        <v>506</v>
      </c>
      <c r="E16" s="15" t="s">
        <v>305</v>
      </c>
      <c r="F16" s="15" t="s">
        <v>16012</v>
      </c>
      <c r="G16" s="15"/>
      <c r="H16" s="15"/>
      <c r="I16" s="15" t="s">
        <v>528</v>
      </c>
      <c r="J16" s="15" t="s">
        <v>15991</v>
      </c>
    </row>
    <row r="17" spans="2:10">
      <c r="B17" s="15" t="s">
        <v>20075</v>
      </c>
      <c r="C17" s="15" t="s">
        <v>16013</v>
      </c>
      <c r="D17" s="15" t="s">
        <v>371</v>
      </c>
      <c r="E17" s="15" t="s">
        <v>305</v>
      </c>
      <c r="F17" s="15" t="s">
        <v>16014</v>
      </c>
      <c r="G17" s="15"/>
      <c r="H17" s="15"/>
      <c r="I17" s="15" t="s">
        <v>528</v>
      </c>
      <c r="J17" s="15" t="s">
        <v>15991</v>
      </c>
    </row>
    <row r="18" spans="2:10">
      <c r="B18" s="15" t="s">
        <v>20075</v>
      </c>
      <c r="C18" s="15" t="s">
        <v>16015</v>
      </c>
      <c r="D18" s="15" t="s">
        <v>316</v>
      </c>
      <c r="E18" s="15" t="s">
        <v>305</v>
      </c>
      <c r="F18" s="15" t="s">
        <v>16016</v>
      </c>
      <c r="G18" s="15"/>
      <c r="H18" s="15"/>
      <c r="I18" s="15" t="s">
        <v>528</v>
      </c>
      <c r="J18" s="15" t="s">
        <v>15991</v>
      </c>
    </row>
    <row r="19" spans="2:10">
      <c r="B19" s="15" t="s">
        <v>20075</v>
      </c>
      <c r="C19" s="15" t="s">
        <v>16017</v>
      </c>
      <c r="D19" s="15" t="s">
        <v>506</v>
      </c>
      <c r="E19" s="15" t="s">
        <v>305</v>
      </c>
      <c r="F19" s="15" t="s">
        <v>16018</v>
      </c>
      <c r="G19" s="15"/>
      <c r="H19" s="15"/>
      <c r="I19" s="15" t="s">
        <v>528</v>
      </c>
      <c r="J19" s="15" t="s">
        <v>15991</v>
      </c>
    </row>
    <row r="20" spans="2:10">
      <c r="B20" s="15" t="s">
        <v>20075</v>
      </c>
      <c r="C20" s="15" t="s">
        <v>16019</v>
      </c>
      <c r="D20" s="15" t="s">
        <v>371</v>
      </c>
      <c r="E20" s="15" t="s">
        <v>305</v>
      </c>
      <c r="F20" s="15" t="s">
        <v>16020</v>
      </c>
      <c r="G20" s="15"/>
      <c r="H20" s="15"/>
      <c r="I20" s="15" t="s">
        <v>528</v>
      </c>
      <c r="J20" s="15" t="s">
        <v>15991</v>
      </c>
    </row>
    <row r="21" spans="2:10">
      <c r="B21" s="15" t="s">
        <v>20075</v>
      </c>
      <c r="C21" s="15" t="s">
        <v>16088</v>
      </c>
      <c r="D21" s="15" t="s">
        <v>316</v>
      </c>
      <c r="E21" s="15" t="s">
        <v>305</v>
      </c>
      <c r="F21" s="15" t="s">
        <v>16089</v>
      </c>
      <c r="G21" s="15"/>
      <c r="H21" s="15"/>
      <c r="I21" s="15" t="s">
        <v>528</v>
      </c>
      <c r="J21" s="15" t="s">
        <v>15991</v>
      </c>
    </row>
    <row r="22" spans="2:10">
      <c r="B22" s="15" t="s">
        <v>20075</v>
      </c>
      <c r="C22" s="15" t="s">
        <v>16953</v>
      </c>
      <c r="D22" s="15" t="s">
        <v>513</v>
      </c>
      <c r="E22" s="15" t="s">
        <v>305</v>
      </c>
      <c r="F22" s="15" t="s">
        <v>16954</v>
      </c>
      <c r="G22" s="15"/>
      <c r="H22" s="15"/>
      <c r="I22" s="15" t="s">
        <v>528</v>
      </c>
      <c r="J22" s="15" t="s">
        <v>15991</v>
      </c>
    </row>
  </sheetData>
  <pageMargins left="0.75" right="0.75" top="1" bottom="1" header="0.5" footer="0.5"/>
  <pageSetup paperSize="1" orientation="portrait" horizontalDpi="300" verticalDpi="300"/>
  <headerFooter alignWithMargins="0" scaleWithDoc="0"/>
</worksheet>
</file>

<file path=xl/worksheets/sheet1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7"/>
  <sheetViews>
    <sheetView zoomScaleSheetLayoutView="60" workbookViewId="0">
      <selection activeCell="A1" sqref="A1"/>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1" t="str">
        <f>HYPERLINK("#表结构清单!A1","返回")</f>
        <v>返回</v>
      </c>
      <c r="B1" t="s">
        <v>20089</v>
      </c>
    </row>
    <row r="2" spans="2:10">
      <c r="B2" s="13" t="s">
        <v>15982</v>
      </c>
      <c r="C2" s="13" t="s">
        <v>297</v>
      </c>
      <c r="D2" s="13" t="s">
        <v>11870</v>
      </c>
      <c r="E2" s="13" t="s">
        <v>15983</v>
      </c>
      <c r="F2" s="13" t="s">
        <v>15984</v>
      </c>
      <c r="G2" s="13" t="s">
        <v>300</v>
      </c>
      <c r="H2" s="13" t="s">
        <v>301</v>
      </c>
      <c r="I2" s="13" t="s">
        <v>15985</v>
      </c>
      <c r="J2" s="13" t="s">
        <v>15986</v>
      </c>
    </row>
    <row r="3" spans="2:10">
      <c r="B3" s="15" t="s">
        <v>20090</v>
      </c>
      <c r="C3" s="15" t="s">
        <v>16483</v>
      </c>
      <c r="D3" s="15" t="s">
        <v>316</v>
      </c>
      <c r="E3" s="15" t="s">
        <v>15989</v>
      </c>
      <c r="F3" s="15" t="s">
        <v>9239</v>
      </c>
      <c r="G3" s="15"/>
      <c r="H3" s="20" t="s">
        <v>20091</v>
      </c>
      <c r="I3" s="15" t="s">
        <v>528</v>
      </c>
      <c r="J3" s="15" t="s">
        <v>15991</v>
      </c>
    </row>
    <row r="4" spans="2:10">
      <c r="B4" s="15" t="s">
        <v>20090</v>
      </c>
      <c r="C4" s="15" t="s">
        <v>16484</v>
      </c>
      <c r="D4" s="15" t="s">
        <v>316</v>
      </c>
      <c r="E4" s="15" t="s">
        <v>15989</v>
      </c>
      <c r="F4" s="20" t="s">
        <v>16762</v>
      </c>
      <c r="G4" s="15"/>
      <c r="H4" s="15"/>
      <c r="I4" s="15" t="s">
        <v>528</v>
      </c>
      <c r="J4" s="15" t="s">
        <v>15991</v>
      </c>
    </row>
    <row r="5" spans="2:10">
      <c r="B5" s="15" t="s">
        <v>20090</v>
      </c>
      <c r="C5" s="15" t="s">
        <v>20056</v>
      </c>
      <c r="D5" s="15" t="s">
        <v>316</v>
      </c>
      <c r="E5" s="15" t="s">
        <v>15989</v>
      </c>
      <c r="F5" s="15" t="s">
        <v>18671</v>
      </c>
      <c r="G5" s="15"/>
      <c r="H5" s="15"/>
      <c r="I5" s="15" t="s">
        <v>528</v>
      </c>
      <c r="J5" s="15" t="s">
        <v>15991</v>
      </c>
    </row>
    <row r="6" spans="2:10">
      <c r="B6" s="15" t="s">
        <v>20090</v>
      </c>
      <c r="C6" s="15" t="s">
        <v>16103</v>
      </c>
      <c r="D6" s="15" t="s">
        <v>316</v>
      </c>
      <c r="E6" s="15" t="s">
        <v>15989</v>
      </c>
      <c r="F6" s="15" t="s">
        <v>20092</v>
      </c>
      <c r="G6" s="15"/>
      <c r="H6" s="15"/>
      <c r="I6" s="15" t="s">
        <v>528</v>
      </c>
      <c r="J6" s="15" t="s">
        <v>15991</v>
      </c>
    </row>
    <row r="7" spans="2:10">
      <c r="B7" s="15" t="s">
        <v>20090</v>
      </c>
      <c r="C7" s="15" t="s">
        <v>20093</v>
      </c>
      <c r="D7" s="15" t="s">
        <v>513</v>
      </c>
      <c r="E7" s="15" t="s">
        <v>305</v>
      </c>
      <c r="F7" s="20" t="s">
        <v>18866</v>
      </c>
      <c r="G7" s="15"/>
      <c r="H7" s="15"/>
      <c r="I7" s="15" t="s">
        <v>528</v>
      </c>
      <c r="J7" s="15" t="s">
        <v>15991</v>
      </c>
    </row>
    <row r="8" spans="2:10">
      <c r="B8" s="15" t="s">
        <v>20090</v>
      </c>
      <c r="C8" s="15" t="s">
        <v>20094</v>
      </c>
      <c r="D8" s="15" t="s">
        <v>321</v>
      </c>
      <c r="E8" s="15" t="s">
        <v>305</v>
      </c>
      <c r="F8" s="15" t="s">
        <v>20095</v>
      </c>
      <c r="G8" s="15"/>
      <c r="H8" s="15"/>
      <c r="I8" s="15" t="s">
        <v>528</v>
      </c>
      <c r="J8" s="15" t="s">
        <v>15991</v>
      </c>
    </row>
    <row r="9" spans="2:10">
      <c r="B9" s="15" t="s">
        <v>20090</v>
      </c>
      <c r="C9" s="15" t="s">
        <v>20096</v>
      </c>
      <c r="D9" s="15" t="s">
        <v>321</v>
      </c>
      <c r="E9" s="15" t="s">
        <v>305</v>
      </c>
      <c r="F9" s="15" t="s">
        <v>20097</v>
      </c>
      <c r="G9" s="15"/>
      <c r="H9" s="15"/>
      <c r="I9" s="15" t="s">
        <v>528</v>
      </c>
      <c r="J9" s="15" t="s">
        <v>15991</v>
      </c>
    </row>
    <row r="10" spans="2:10">
      <c r="B10" s="15" t="s">
        <v>20090</v>
      </c>
      <c r="C10" s="15" t="s">
        <v>460</v>
      </c>
      <c r="D10" s="15" t="s">
        <v>316</v>
      </c>
      <c r="E10" s="15" t="s">
        <v>305</v>
      </c>
      <c r="F10" s="15" t="s">
        <v>459</v>
      </c>
      <c r="G10" s="15"/>
      <c r="H10" s="15"/>
      <c r="I10" s="15" t="s">
        <v>528</v>
      </c>
      <c r="J10" s="15" t="s">
        <v>15991</v>
      </c>
    </row>
    <row r="11" spans="2:10">
      <c r="B11" s="15" t="s">
        <v>20090</v>
      </c>
      <c r="C11" s="15" t="s">
        <v>19368</v>
      </c>
      <c r="D11" s="15" t="s">
        <v>350</v>
      </c>
      <c r="E11" s="15" t="s">
        <v>305</v>
      </c>
      <c r="F11" s="15" t="s">
        <v>19369</v>
      </c>
      <c r="G11" s="15"/>
      <c r="H11" s="15"/>
      <c r="I11" s="15" t="s">
        <v>528</v>
      </c>
      <c r="J11" s="15" t="s">
        <v>15991</v>
      </c>
    </row>
    <row r="12" spans="2:10">
      <c r="B12" s="15" t="s">
        <v>20090</v>
      </c>
      <c r="C12" s="15" t="s">
        <v>20098</v>
      </c>
      <c r="D12" s="15" t="s">
        <v>367</v>
      </c>
      <c r="E12" s="15" t="s">
        <v>305</v>
      </c>
      <c r="F12" s="15" t="s">
        <v>20099</v>
      </c>
      <c r="G12" s="15"/>
      <c r="H12" s="15"/>
      <c r="I12" s="15" t="s">
        <v>528</v>
      </c>
      <c r="J12" s="15" t="s">
        <v>15991</v>
      </c>
    </row>
    <row r="13" spans="2:10">
      <c r="B13" s="15" t="s">
        <v>20090</v>
      </c>
      <c r="C13" s="15" t="s">
        <v>20100</v>
      </c>
      <c r="D13" s="15" t="s">
        <v>513</v>
      </c>
      <c r="E13" s="15" t="s">
        <v>305</v>
      </c>
      <c r="F13" s="15" t="s">
        <v>20101</v>
      </c>
      <c r="G13" s="15"/>
      <c r="H13" s="15"/>
      <c r="I13" s="15" t="s">
        <v>528</v>
      </c>
      <c r="J13" s="15" t="s">
        <v>15991</v>
      </c>
    </row>
    <row r="14" spans="2:10">
      <c r="B14" s="15" t="s">
        <v>20090</v>
      </c>
      <c r="C14" s="15" t="s">
        <v>16086</v>
      </c>
      <c r="D14" s="15" t="s">
        <v>16087</v>
      </c>
      <c r="E14" s="15" t="s">
        <v>305</v>
      </c>
      <c r="F14" s="15" t="s">
        <v>301</v>
      </c>
      <c r="G14" s="15"/>
      <c r="H14" s="15"/>
      <c r="I14" s="15" t="s">
        <v>528</v>
      </c>
      <c r="J14" s="15" t="s">
        <v>15991</v>
      </c>
    </row>
    <row r="15" spans="2:10">
      <c r="B15" s="15" t="s">
        <v>20090</v>
      </c>
      <c r="C15" s="15" t="s">
        <v>16009</v>
      </c>
      <c r="D15" s="15" t="s">
        <v>316</v>
      </c>
      <c r="E15" s="15" t="s">
        <v>305</v>
      </c>
      <c r="F15" s="15" t="s">
        <v>16010</v>
      </c>
      <c r="G15" s="15"/>
      <c r="H15" s="15"/>
      <c r="I15" s="15" t="s">
        <v>528</v>
      </c>
      <c r="J15" s="15" t="s">
        <v>15991</v>
      </c>
    </row>
    <row r="16" spans="2:10">
      <c r="B16" s="15" t="s">
        <v>20090</v>
      </c>
      <c r="C16" s="15" t="s">
        <v>16011</v>
      </c>
      <c r="D16" s="15" t="s">
        <v>506</v>
      </c>
      <c r="E16" s="15" t="s">
        <v>305</v>
      </c>
      <c r="F16" s="15" t="s">
        <v>16012</v>
      </c>
      <c r="G16" s="15"/>
      <c r="H16" s="15"/>
      <c r="I16" s="15" t="s">
        <v>528</v>
      </c>
      <c r="J16" s="15" t="s">
        <v>15991</v>
      </c>
    </row>
    <row r="17" spans="2:10">
      <c r="B17" s="15" t="s">
        <v>20090</v>
      </c>
      <c r="C17" s="15" t="s">
        <v>16013</v>
      </c>
      <c r="D17" s="15" t="s">
        <v>371</v>
      </c>
      <c r="E17" s="15" t="s">
        <v>305</v>
      </c>
      <c r="F17" s="15" t="s">
        <v>16014</v>
      </c>
      <c r="G17" s="15"/>
      <c r="H17" s="15"/>
      <c r="I17" s="15" t="s">
        <v>528</v>
      </c>
      <c r="J17" s="15" t="s">
        <v>15991</v>
      </c>
    </row>
    <row r="18" spans="2:10">
      <c r="B18" s="15" t="s">
        <v>20090</v>
      </c>
      <c r="C18" s="15" t="s">
        <v>16015</v>
      </c>
      <c r="D18" s="15" t="s">
        <v>316</v>
      </c>
      <c r="E18" s="15" t="s">
        <v>305</v>
      </c>
      <c r="F18" s="15" t="s">
        <v>16016</v>
      </c>
      <c r="G18" s="15"/>
      <c r="H18" s="15"/>
      <c r="I18" s="15" t="s">
        <v>528</v>
      </c>
      <c r="J18" s="15" t="s">
        <v>15991</v>
      </c>
    </row>
    <row r="19" spans="2:10">
      <c r="B19" s="15" t="s">
        <v>20090</v>
      </c>
      <c r="C19" s="15" t="s">
        <v>16017</v>
      </c>
      <c r="D19" s="15" t="s">
        <v>506</v>
      </c>
      <c r="E19" s="15" t="s">
        <v>305</v>
      </c>
      <c r="F19" s="15" t="s">
        <v>16018</v>
      </c>
      <c r="G19" s="15"/>
      <c r="H19" s="15"/>
      <c r="I19" s="15" t="s">
        <v>528</v>
      </c>
      <c r="J19" s="15" t="s">
        <v>15991</v>
      </c>
    </row>
    <row r="20" spans="2:10">
      <c r="B20" s="15" t="s">
        <v>20090</v>
      </c>
      <c r="C20" s="15" t="s">
        <v>16019</v>
      </c>
      <c r="D20" s="15" t="s">
        <v>371</v>
      </c>
      <c r="E20" s="15" t="s">
        <v>305</v>
      </c>
      <c r="F20" s="15" t="s">
        <v>16020</v>
      </c>
      <c r="G20" s="15"/>
      <c r="H20" s="15"/>
      <c r="I20" s="15" t="s">
        <v>528</v>
      </c>
      <c r="J20" s="15" t="s">
        <v>15991</v>
      </c>
    </row>
    <row r="21" spans="2:10">
      <c r="B21" s="15" t="s">
        <v>20090</v>
      </c>
      <c r="C21" s="15" t="s">
        <v>18801</v>
      </c>
      <c r="D21" s="15" t="s">
        <v>513</v>
      </c>
      <c r="E21" s="15" t="s">
        <v>305</v>
      </c>
      <c r="F21" s="15" t="s">
        <v>18802</v>
      </c>
      <c r="G21" s="15"/>
      <c r="H21" s="15"/>
      <c r="I21" s="15" t="s">
        <v>528</v>
      </c>
      <c r="J21" s="15" t="s">
        <v>15991</v>
      </c>
    </row>
    <row r="22" spans="2:10">
      <c r="B22" s="15" t="s">
        <v>20090</v>
      </c>
      <c r="C22" s="16" t="s">
        <v>18803</v>
      </c>
      <c r="D22" s="15" t="s">
        <v>513</v>
      </c>
      <c r="E22" s="16" t="s">
        <v>305</v>
      </c>
      <c r="F22" s="16" t="s">
        <v>18804</v>
      </c>
      <c r="G22" s="16"/>
      <c r="H22" s="16"/>
      <c r="I22" s="16" t="s">
        <v>528</v>
      </c>
      <c r="J22" s="15" t="s">
        <v>15991</v>
      </c>
    </row>
    <row r="23" spans="2:10">
      <c r="B23" s="56" t="s">
        <v>20090</v>
      </c>
      <c r="C23" s="57" t="s">
        <v>16126</v>
      </c>
      <c r="D23" s="58" t="s">
        <v>18854</v>
      </c>
      <c r="E23" s="57" t="s">
        <v>305</v>
      </c>
      <c r="F23" s="59" t="s">
        <v>905</v>
      </c>
      <c r="G23" s="57"/>
      <c r="H23" s="59" t="s">
        <v>20102</v>
      </c>
      <c r="I23" s="57"/>
      <c r="J23" s="50">
        <v>45740</v>
      </c>
    </row>
    <row r="24" ht="16" spans="2:10">
      <c r="B24" s="56" t="s">
        <v>20090</v>
      </c>
      <c r="C24" s="57" t="s">
        <v>20103</v>
      </c>
      <c r="D24" s="58" t="s">
        <v>316</v>
      </c>
      <c r="E24" s="57" t="s">
        <v>305</v>
      </c>
      <c r="F24" s="59" t="s">
        <v>20104</v>
      </c>
      <c r="G24" s="57"/>
      <c r="H24" s="60" t="s">
        <v>20105</v>
      </c>
      <c r="I24" s="57"/>
      <c r="J24" s="50">
        <v>45740</v>
      </c>
    </row>
    <row r="25" spans="2:10">
      <c r="B25" s="56" t="s">
        <v>20090</v>
      </c>
      <c r="C25" s="57" t="s">
        <v>20106</v>
      </c>
      <c r="D25" s="58" t="s">
        <v>316</v>
      </c>
      <c r="E25" s="57" t="s">
        <v>305</v>
      </c>
      <c r="F25" s="59" t="s">
        <v>20107</v>
      </c>
      <c r="G25" s="57"/>
      <c r="H25" s="57"/>
      <c r="I25" s="57"/>
      <c r="J25" s="50">
        <v>45740</v>
      </c>
    </row>
    <row r="26" spans="2:10">
      <c r="B26" s="56" t="s">
        <v>20090</v>
      </c>
      <c r="C26" s="57" t="s">
        <v>19874</v>
      </c>
      <c r="D26" s="58" t="s">
        <v>316</v>
      </c>
      <c r="E26" s="57" t="s">
        <v>305</v>
      </c>
      <c r="F26" s="59" t="s">
        <v>20108</v>
      </c>
      <c r="G26" s="57"/>
      <c r="H26" s="57"/>
      <c r="I26" s="57"/>
      <c r="J26" s="50">
        <v>45740</v>
      </c>
    </row>
    <row r="27" spans="2:10">
      <c r="B27" s="56" t="s">
        <v>20090</v>
      </c>
      <c r="C27" s="57" t="s">
        <v>20109</v>
      </c>
      <c r="D27" s="58" t="s">
        <v>316</v>
      </c>
      <c r="E27" s="57" t="s">
        <v>305</v>
      </c>
      <c r="F27" s="59" t="s">
        <v>20110</v>
      </c>
      <c r="G27" s="57"/>
      <c r="H27" s="57"/>
      <c r="I27" s="57"/>
      <c r="J27" s="50">
        <v>45740</v>
      </c>
    </row>
  </sheetData>
  <pageMargins left="0.75" right="0.75" top="1" bottom="1" header="0.5" footer="0.5"/>
  <pageSetup paperSize="1" orientation="portrait" horizontalDpi="300" verticalDpi="300"/>
  <headerFooter alignWithMargins="0" scaleWithDoc="0"/>
</worksheet>
</file>

<file path=xl/worksheets/sheet1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8"/>
  <sheetViews>
    <sheetView zoomScaleSheetLayoutView="60" workbookViewId="0">
      <selection activeCell="D20" sqref="D20:D21"/>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52" t="str">
        <f>HYPERLINK("#表结构清单!A1","返回")</f>
        <v>返回</v>
      </c>
      <c r="B1" t="s">
        <v>20111</v>
      </c>
    </row>
    <row r="2" spans="2:10">
      <c r="B2" s="13" t="s">
        <v>15982</v>
      </c>
      <c r="C2" s="13" t="s">
        <v>297</v>
      </c>
      <c r="D2" s="13" t="s">
        <v>11870</v>
      </c>
      <c r="E2" s="13" t="s">
        <v>15983</v>
      </c>
      <c r="F2" s="13" t="s">
        <v>15984</v>
      </c>
      <c r="G2" s="13" t="s">
        <v>300</v>
      </c>
      <c r="H2" s="13" t="s">
        <v>301</v>
      </c>
      <c r="I2" s="13" t="s">
        <v>15985</v>
      </c>
      <c r="J2" s="13" t="s">
        <v>15986</v>
      </c>
    </row>
    <row r="3" spans="2:10">
      <c r="B3" s="15" t="s">
        <v>20112</v>
      </c>
      <c r="C3" s="15" t="s">
        <v>20113</v>
      </c>
      <c r="D3" s="15" t="s">
        <v>316</v>
      </c>
      <c r="E3" s="15" t="s">
        <v>305</v>
      </c>
      <c r="F3" s="15" t="s">
        <v>20114</v>
      </c>
      <c r="G3" s="15"/>
      <c r="H3" s="15"/>
      <c r="I3" s="15" t="s">
        <v>528</v>
      </c>
      <c r="J3" s="15" t="s">
        <v>15991</v>
      </c>
    </row>
    <row r="4" spans="2:10">
      <c r="B4" s="15" t="s">
        <v>20112</v>
      </c>
      <c r="C4" s="15" t="s">
        <v>16579</v>
      </c>
      <c r="D4" s="15" t="s">
        <v>316</v>
      </c>
      <c r="E4" s="15" t="s">
        <v>305</v>
      </c>
      <c r="F4" s="15" t="s">
        <v>16638</v>
      </c>
      <c r="G4" s="15"/>
      <c r="H4" s="15"/>
      <c r="I4" s="15" t="s">
        <v>528</v>
      </c>
      <c r="J4" s="15" t="s">
        <v>15991</v>
      </c>
    </row>
    <row r="5" spans="2:10">
      <c r="B5" s="15" t="s">
        <v>20112</v>
      </c>
      <c r="C5" s="15" t="s">
        <v>19876</v>
      </c>
      <c r="D5" s="15" t="s">
        <v>506</v>
      </c>
      <c r="E5" s="15" t="s">
        <v>305</v>
      </c>
      <c r="F5" s="15" t="s">
        <v>16738</v>
      </c>
      <c r="G5" s="15"/>
      <c r="H5" s="15"/>
      <c r="I5" s="15" t="s">
        <v>528</v>
      </c>
      <c r="J5" s="15" t="s">
        <v>15991</v>
      </c>
    </row>
    <row r="6" spans="2:10">
      <c r="B6" s="15" t="s">
        <v>20112</v>
      </c>
      <c r="C6" s="15" t="s">
        <v>20115</v>
      </c>
      <c r="D6" s="15" t="s">
        <v>316</v>
      </c>
      <c r="E6" s="15" t="s">
        <v>305</v>
      </c>
      <c r="F6" s="15" t="s">
        <v>20116</v>
      </c>
      <c r="G6" s="15"/>
      <c r="H6" s="15"/>
      <c r="I6" s="15" t="s">
        <v>528</v>
      </c>
      <c r="J6" s="15" t="s">
        <v>15991</v>
      </c>
    </row>
    <row r="7" spans="2:10">
      <c r="B7" s="15" t="s">
        <v>20112</v>
      </c>
      <c r="C7" s="15" t="s">
        <v>20117</v>
      </c>
      <c r="D7" s="15" t="s">
        <v>506</v>
      </c>
      <c r="E7" s="15" t="s">
        <v>305</v>
      </c>
      <c r="F7" s="15" t="s">
        <v>20118</v>
      </c>
      <c r="G7" s="15"/>
      <c r="H7" s="15"/>
      <c r="I7" s="15" t="s">
        <v>528</v>
      </c>
      <c r="J7" s="15" t="s">
        <v>15991</v>
      </c>
    </row>
    <row r="8" spans="2:10">
      <c r="B8" s="15" t="s">
        <v>20112</v>
      </c>
      <c r="C8" s="15" t="s">
        <v>16781</v>
      </c>
      <c r="D8" s="15" t="s">
        <v>316</v>
      </c>
      <c r="E8" s="15" t="s">
        <v>305</v>
      </c>
      <c r="F8" s="15" t="s">
        <v>20119</v>
      </c>
      <c r="G8" s="15"/>
      <c r="H8" s="15"/>
      <c r="I8" s="15" t="s">
        <v>528</v>
      </c>
      <c r="J8" s="15" t="s">
        <v>15991</v>
      </c>
    </row>
    <row r="9" spans="2:10">
      <c r="B9" s="15" t="s">
        <v>20112</v>
      </c>
      <c r="C9" s="15" t="s">
        <v>16086</v>
      </c>
      <c r="D9" s="15" t="s">
        <v>327</v>
      </c>
      <c r="E9" s="15" t="s">
        <v>305</v>
      </c>
      <c r="F9" s="15" t="s">
        <v>301</v>
      </c>
      <c r="G9" s="15"/>
      <c r="H9" s="15"/>
      <c r="I9" s="15" t="s">
        <v>528</v>
      </c>
      <c r="J9" s="15" t="s">
        <v>15991</v>
      </c>
    </row>
    <row r="10" spans="2:10">
      <c r="B10" s="15" t="s">
        <v>20112</v>
      </c>
      <c r="C10" s="15" t="s">
        <v>20120</v>
      </c>
      <c r="D10" s="15" t="s">
        <v>327</v>
      </c>
      <c r="E10" s="15" t="s">
        <v>305</v>
      </c>
      <c r="F10" s="15" t="s">
        <v>20121</v>
      </c>
      <c r="G10" s="15"/>
      <c r="H10" s="15"/>
      <c r="I10" s="15" t="s">
        <v>528</v>
      </c>
      <c r="J10" s="15" t="s">
        <v>15991</v>
      </c>
    </row>
    <row r="11" spans="2:10">
      <c r="B11" s="15" t="s">
        <v>20112</v>
      </c>
      <c r="C11" s="15" t="s">
        <v>20122</v>
      </c>
      <c r="D11" s="15" t="s">
        <v>327</v>
      </c>
      <c r="E11" s="15" t="s">
        <v>305</v>
      </c>
      <c r="F11" s="15" t="s">
        <v>20123</v>
      </c>
      <c r="G11" s="15"/>
      <c r="H11" s="15"/>
      <c r="I11" s="15" t="s">
        <v>528</v>
      </c>
      <c r="J11" s="15" t="s">
        <v>15991</v>
      </c>
    </row>
    <row r="12" spans="2:10">
      <c r="B12" s="15" t="s">
        <v>20112</v>
      </c>
      <c r="C12" s="15" t="s">
        <v>20124</v>
      </c>
      <c r="D12" s="15" t="s">
        <v>316</v>
      </c>
      <c r="E12" s="15" t="s">
        <v>15989</v>
      </c>
      <c r="F12" s="15" t="s">
        <v>20125</v>
      </c>
      <c r="G12" s="15"/>
      <c r="H12" s="15"/>
      <c r="I12" s="15" t="s">
        <v>528</v>
      </c>
      <c r="J12" s="15" t="s">
        <v>15991</v>
      </c>
    </row>
    <row r="13" spans="2:10">
      <c r="B13" s="15" t="s">
        <v>20112</v>
      </c>
      <c r="C13" s="15" t="s">
        <v>16009</v>
      </c>
      <c r="D13" s="15" t="s">
        <v>316</v>
      </c>
      <c r="E13" s="15" t="s">
        <v>305</v>
      </c>
      <c r="F13" s="15" t="s">
        <v>16010</v>
      </c>
      <c r="G13" s="15"/>
      <c r="H13" s="15"/>
      <c r="I13" s="15" t="s">
        <v>528</v>
      </c>
      <c r="J13" s="15" t="s">
        <v>15991</v>
      </c>
    </row>
    <row r="14" spans="2:10">
      <c r="B14" s="15" t="s">
        <v>20112</v>
      </c>
      <c r="C14" s="15" t="s">
        <v>16011</v>
      </c>
      <c r="D14" s="15" t="s">
        <v>316</v>
      </c>
      <c r="E14" s="15" t="s">
        <v>305</v>
      </c>
      <c r="F14" s="15" t="s">
        <v>16012</v>
      </c>
      <c r="G14" s="15"/>
      <c r="H14" s="15"/>
      <c r="I14" s="15" t="s">
        <v>528</v>
      </c>
      <c r="J14" s="15" t="s">
        <v>15991</v>
      </c>
    </row>
    <row r="15" spans="2:10">
      <c r="B15" s="15" t="s">
        <v>20112</v>
      </c>
      <c r="C15" s="15" t="s">
        <v>16013</v>
      </c>
      <c r="D15" s="15" t="s">
        <v>371</v>
      </c>
      <c r="E15" s="15" t="s">
        <v>305</v>
      </c>
      <c r="F15" s="15" t="s">
        <v>16014</v>
      </c>
      <c r="G15" s="15"/>
      <c r="H15" s="15"/>
      <c r="I15" s="15" t="s">
        <v>528</v>
      </c>
      <c r="J15" s="15" t="s">
        <v>15991</v>
      </c>
    </row>
    <row r="16" spans="2:10">
      <c r="B16" s="15" t="s">
        <v>20112</v>
      </c>
      <c r="C16" s="15" t="s">
        <v>16015</v>
      </c>
      <c r="D16" s="15" t="s">
        <v>316</v>
      </c>
      <c r="E16" s="15" t="s">
        <v>305</v>
      </c>
      <c r="F16" s="15" t="s">
        <v>16016</v>
      </c>
      <c r="G16" s="15"/>
      <c r="H16" s="15"/>
      <c r="I16" s="15" t="s">
        <v>528</v>
      </c>
      <c r="J16" s="15" t="s">
        <v>15991</v>
      </c>
    </row>
    <row r="17" spans="2:10">
      <c r="B17" s="15" t="s">
        <v>20112</v>
      </c>
      <c r="C17" s="15" t="s">
        <v>16017</v>
      </c>
      <c r="D17" s="15" t="s">
        <v>316</v>
      </c>
      <c r="E17" s="15" t="s">
        <v>305</v>
      </c>
      <c r="F17" s="15" t="s">
        <v>16018</v>
      </c>
      <c r="G17" s="15"/>
      <c r="H17" s="15"/>
      <c r="I17" s="15" t="s">
        <v>528</v>
      </c>
      <c r="J17" s="15" t="s">
        <v>15991</v>
      </c>
    </row>
    <row r="18" spans="2:10">
      <c r="B18" s="15" t="s">
        <v>20112</v>
      </c>
      <c r="C18" s="15" t="s">
        <v>16019</v>
      </c>
      <c r="D18" s="15" t="s">
        <v>371</v>
      </c>
      <c r="E18" s="15" t="s">
        <v>305</v>
      </c>
      <c r="F18" s="15" t="s">
        <v>16020</v>
      </c>
      <c r="G18" s="15"/>
      <c r="H18" s="15"/>
      <c r="I18" s="15" t="s">
        <v>528</v>
      </c>
      <c r="J18" s="15" t="s">
        <v>15991</v>
      </c>
    </row>
  </sheetData>
  <pageMargins left="0.75" right="0.75" top="1" bottom="1" header="0.5" footer="0.5"/>
  <pageSetup paperSize="1" orientation="portrait" horizontalDpi="300" verticalDpi="300"/>
  <headerFooter alignWithMargins="0" scaleWithDoc="0"/>
</worksheet>
</file>

<file path=xl/worksheets/sheet1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5"/>
  <sheetViews>
    <sheetView zoomScaleSheetLayoutView="60" workbookViewId="0">
      <selection activeCell="A1" sqref="A1"/>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52" t="str">
        <f>HYPERLINK("#表结构清单!A1","返回")</f>
        <v>返回</v>
      </c>
      <c r="B1" t="s">
        <v>149</v>
      </c>
    </row>
    <row r="2" spans="2:10">
      <c r="B2" s="13" t="s">
        <v>15982</v>
      </c>
      <c r="C2" s="13" t="s">
        <v>297</v>
      </c>
      <c r="D2" s="13" t="s">
        <v>11870</v>
      </c>
      <c r="E2" s="13" t="s">
        <v>15983</v>
      </c>
      <c r="F2" s="13" t="s">
        <v>15984</v>
      </c>
      <c r="G2" s="13" t="s">
        <v>300</v>
      </c>
      <c r="H2" s="13" t="s">
        <v>301</v>
      </c>
      <c r="I2" s="13" t="s">
        <v>15985</v>
      </c>
      <c r="J2" s="13" t="s">
        <v>15986</v>
      </c>
    </row>
    <row r="3" spans="2:10">
      <c r="B3" s="15" t="s">
        <v>20126</v>
      </c>
      <c r="C3" s="15" t="s">
        <v>16483</v>
      </c>
      <c r="D3" s="15" t="s">
        <v>316</v>
      </c>
      <c r="E3" s="15" t="s">
        <v>15989</v>
      </c>
      <c r="F3" s="15" t="s">
        <v>16652</v>
      </c>
      <c r="G3" s="15"/>
      <c r="H3" s="15"/>
      <c r="I3" s="15" t="s">
        <v>528</v>
      </c>
      <c r="J3" s="15" t="s">
        <v>15991</v>
      </c>
    </row>
    <row r="4" spans="2:10">
      <c r="B4" s="15" t="s">
        <v>20126</v>
      </c>
      <c r="C4" s="15" t="s">
        <v>16484</v>
      </c>
      <c r="D4" s="15" t="s">
        <v>316</v>
      </c>
      <c r="E4" s="15" t="s">
        <v>15989</v>
      </c>
      <c r="F4" s="15" t="s">
        <v>16428</v>
      </c>
      <c r="G4" s="15"/>
      <c r="H4" s="15"/>
      <c r="I4" s="15" t="s">
        <v>528</v>
      </c>
      <c r="J4" s="15" t="s">
        <v>15991</v>
      </c>
    </row>
    <row r="5" spans="2:10">
      <c r="B5" s="15" t="s">
        <v>20126</v>
      </c>
      <c r="C5" s="15" t="s">
        <v>15988</v>
      </c>
      <c r="D5" s="15" t="s">
        <v>316</v>
      </c>
      <c r="E5" s="15" t="s">
        <v>15989</v>
      </c>
      <c r="F5" s="15" t="s">
        <v>20127</v>
      </c>
      <c r="G5" s="15"/>
      <c r="H5" s="15"/>
      <c r="I5" s="15" t="s">
        <v>528</v>
      </c>
      <c r="J5" s="15" t="s">
        <v>15991</v>
      </c>
    </row>
    <row r="6" spans="2:10">
      <c r="B6" s="15" t="s">
        <v>20126</v>
      </c>
      <c r="C6" s="15" t="s">
        <v>20128</v>
      </c>
      <c r="D6" s="15" t="s">
        <v>316</v>
      </c>
      <c r="E6" s="15" t="s">
        <v>305</v>
      </c>
      <c r="F6" s="15" t="s">
        <v>7761</v>
      </c>
      <c r="G6" s="15"/>
      <c r="H6" s="15"/>
      <c r="I6" s="15" t="s">
        <v>528</v>
      </c>
      <c r="J6" s="15" t="s">
        <v>15991</v>
      </c>
    </row>
    <row r="7" spans="2:10">
      <c r="B7" s="15" t="s">
        <v>20126</v>
      </c>
      <c r="C7" s="15" t="s">
        <v>20129</v>
      </c>
      <c r="D7" s="15" t="s">
        <v>316</v>
      </c>
      <c r="E7" s="15" t="s">
        <v>305</v>
      </c>
      <c r="F7" s="15" t="s">
        <v>20130</v>
      </c>
      <c r="G7" s="15"/>
      <c r="H7" s="15"/>
      <c r="I7" s="15" t="s">
        <v>528</v>
      </c>
      <c r="J7" s="15" t="s">
        <v>15991</v>
      </c>
    </row>
    <row r="8" spans="2:10">
      <c r="B8" s="15" t="s">
        <v>20126</v>
      </c>
      <c r="C8" s="15" t="s">
        <v>20131</v>
      </c>
      <c r="D8" s="15" t="s">
        <v>506</v>
      </c>
      <c r="E8" s="15" t="s">
        <v>305</v>
      </c>
      <c r="F8" s="15" t="s">
        <v>20130</v>
      </c>
      <c r="G8" s="15"/>
      <c r="H8" s="15"/>
      <c r="I8" s="15" t="s">
        <v>528</v>
      </c>
      <c r="J8" s="15" t="s">
        <v>15991</v>
      </c>
    </row>
    <row r="9" spans="2:10">
      <c r="B9" s="15" t="s">
        <v>20126</v>
      </c>
      <c r="C9" s="15" t="s">
        <v>20132</v>
      </c>
      <c r="D9" s="15" t="s">
        <v>316</v>
      </c>
      <c r="E9" s="15" t="s">
        <v>305</v>
      </c>
      <c r="F9" s="15" t="s">
        <v>20133</v>
      </c>
      <c r="G9" s="15"/>
      <c r="H9" s="15"/>
      <c r="I9" s="15" t="s">
        <v>528</v>
      </c>
      <c r="J9" s="15" t="s">
        <v>15991</v>
      </c>
    </row>
    <row r="10" spans="2:10">
      <c r="B10" s="15" t="s">
        <v>20126</v>
      </c>
      <c r="C10" s="15" t="s">
        <v>20134</v>
      </c>
      <c r="D10" s="15" t="s">
        <v>506</v>
      </c>
      <c r="E10" s="15" t="s">
        <v>305</v>
      </c>
      <c r="F10" s="15" t="s">
        <v>20133</v>
      </c>
      <c r="G10" s="15"/>
      <c r="H10" s="15"/>
      <c r="I10" s="15" t="s">
        <v>528</v>
      </c>
      <c r="J10" s="15" t="s">
        <v>15991</v>
      </c>
    </row>
    <row r="11" spans="2:10">
      <c r="B11" s="15" t="s">
        <v>20126</v>
      </c>
      <c r="C11" s="15" t="s">
        <v>20135</v>
      </c>
      <c r="D11" s="15" t="s">
        <v>316</v>
      </c>
      <c r="E11" s="15" t="s">
        <v>305</v>
      </c>
      <c r="F11" s="15" t="s">
        <v>20136</v>
      </c>
      <c r="G11" s="15"/>
      <c r="H11" s="15"/>
      <c r="I11" s="15" t="s">
        <v>528</v>
      </c>
      <c r="J11" s="15" t="s">
        <v>15991</v>
      </c>
    </row>
    <row r="12" spans="2:10">
      <c r="B12" s="15" t="s">
        <v>20126</v>
      </c>
      <c r="C12" s="15" t="s">
        <v>20137</v>
      </c>
      <c r="D12" s="15" t="s">
        <v>506</v>
      </c>
      <c r="E12" s="15" t="s">
        <v>305</v>
      </c>
      <c r="F12" s="15" t="s">
        <v>20136</v>
      </c>
      <c r="G12" s="15"/>
      <c r="H12" s="15"/>
      <c r="I12" s="15" t="s">
        <v>528</v>
      </c>
      <c r="J12" s="15" t="s">
        <v>15991</v>
      </c>
    </row>
    <row r="13" spans="2:10">
      <c r="B13" s="15" t="s">
        <v>20126</v>
      </c>
      <c r="C13" s="15" t="s">
        <v>20138</v>
      </c>
      <c r="D13" s="15" t="s">
        <v>316</v>
      </c>
      <c r="E13" s="15" t="s">
        <v>305</v>
      </c>
      <c r="F13" s="15" t="s">
        <v>20139</v>
      </c>
      <c r="G13" s="15"/>
      <c r="H13" s="15"/>
      <c r="I13" s="15" t="s">
        <v>528</v>
      </c>
      <c r="J13" s="15" t="s">
        <v>15991</v>
      </c>
    </row>
    <row r="14" spans="2:10">
      <c r="B14" s="15" t="s">
        <v>20126</v>
      </c>
      <c r="C14" s="15" t="s">
        <v>20140</v>
      </c>
      <c r="D14" s="15" t="s">
        <v>506</v>
      </c>
      <c r="E14" s="15" t="s">
        <v>305</v>
      </c>
      <c r="F14" s="15" t="s">
        <v>20139</v>
      </c>
      <c r="G14" s="15"/>
      <c r="H14" s="15"/>
      <c r="I14" s="15" t="s">
        <v>528</v>
      </c>
      <c r="J14" s="15" t="s">
        <v>15991</v>
      </c>
    </row>
    <row r="15" spans="2:10">
      <c r="B15" s="15" t="s">
        <v>20126</v>
      </c>
      <c r="C15" s="15" t="s">
        <v>20141</v>
      </c>
      <c r="D15" s="15" t="s">
        <v>327</v>
      </c>
      <c r="E15" s="15" t="s">
        <v>305</v>
      </c>
      <c r="F15" s="15" t="s">
        <v>20142</v>
      </c>
      <c r="G15" s="15"/>
      <c r="H15" s="15"/>
      <c r="I15" s="15" t="s">
        <v>528</v>
      </c>
      <c r="J15" s="15" t="s">
        <v>15991</v>
      </c>
    </row>
    <row r="16" spans="2:10">
      <c r="B16" s="15" t="s">
        <v>20126</v>
      </c>
      <c r="C16" s="15" t="s">
        <v>20143</v>
      </c>
      <c r="D16" s="15" t="s">
        <v>316</v>
      </c>
      <c r="E16" s="15" t="s">
        <v>305</v>
      </c>
      <c r="F16" s="15" t="s">
        <v>20144</v>
      </c>
      <c r="G16" s="15"/>
      <c r="H16" s="15"/>
      <c r="I16" s="15" t="s">
        <v>528</v>
      </c>
      <c r="J16" s="15" t="s">
        <v>15991</v>
      </c>
    </row>
    <row r="17" spans="2:10">
      <c r="B17" s="15" t="s">
        <v>20126</v>
      </c>
      <c r="C17" s="15" t="s">
        <v>20115</v>
      </c>
      <c r="D17" s="15" t="s">
        <v>316</v>
      </c>
      <c r="E17" s="15" t="s">
        <v>305</v>
      </c>
      <c r="F17" s="15" t="s">
        <v>20145</v>
      </c>
      <c r="G17" s="15"/>
      <c r="H17" s="15"/>
      <c r="I17" s="15" t="s">
        <v>528</v>
      </c>
      <c r="J17" s="15" t="s">
        <v>15991</v>
      </c>
    </row>
    <row r="18" spans="2:10">
      <c r="B18" s="15" t="s">
        <v>20126</v>
      </c>
      <c r="C18" s="15" t="s">
        <v>20146</v>
      </c>
      <c r="D18" s="15" t="s">
        <v>371</v>
      </c>
      <c r="E18" s="15" t="s">
        <v>305</v>
      </c>
      <c r="F18" s="15" t="s">
        <v>20147</v>
      </c>
      <c r="G18" s="15"/>
      <c r="H18" s="15"/>
      <c r="I18" s="15" t="s">
        <v>528</v>
      </c>
      <c r="J18" s="15" t="s">
        <v>15991</v>
      </c>
    </row>
    <row r="19" spans="2:10">
      <c r="B19" s="15" t="s">
        <v>20126</v>
      </c>
      <c r="C19" s="15" t="s">
        <v>16086</v>
      </c>
      <c r="D19" s="15" t="s">
        <v>327</v>
      </c>
      <c r="E19" s="15" t="s">
        <v>305</v>
      </c>
      <c r="F19" s="15" t="s">
        <v>301</v>
      </c>
      <c r="G19" s="15"/>
      <c r="H19" s="15"/>
      <c r="I19" s="15" t="s">
        <v>528</v>
      </c>
      <c r="J19" s="15" t="s">
        <v>15991</v>
      </c>
    </row>
    <row r="20" spans="2:10">
      <c r="B20" s="15" t="s">
        <v>20126</v>
      </c>
      <c r="C20" s="15" t="s">
        <v>16009</v>
      </c>
      <c r="D20" s="15" t="s">
        <v>316</v>
      </c>
      <c r="E20" s="15" t="s">
        <v>305</v>
      </c>
      <c r="F20" s="15" t="s">
        <v>16010</v>
      </c>
      <c r="G20" s="15"/>
      <c r="H20" s="15"/>
      <c r="I20" s="15" t="s">
        <v>528</v>
      </c>
      <c r="J20" s="15" t="s">
        <v>15991</v>
      </c>
    </row>
    <row r="21" spans="2:10">
      <c r="B21" s="15" t="s">
        <v>20126</v>
      </c>
      <c r="C21" s="15" t="s">
        <v>16011</v>
      </c>
      <c r="D21" s="15" t="s">
        <v>316</v>
      </c>
      <c r="E21" s="15" t="s">
        <v>305</v>
      </c>
      <c r="F21" s="15" t="s">
        <v>16012</v>
      </c>
      <c r="G21" s="15"/>
      <c r="H21" s="15"/>
      <c r="I21" s="15" t="s">
        <v>528</v>
      </c>
      <c r="J21" s="15" t="s">
        <v>15991</v>
      </c>
    </row>
    <row r="22" spans="2:10">
      <c r="B22" s="15" t="s">
        <v>20126</v>
      </c>
      <c r="C22" s="15" t="s">
        <v>16013</v>
      </c>
      <c r="D22" s="15" t="s">
        <v>371</v>
      </c>
      <c r="E22" s="15" t="s">
        <v>305</v>
      </c>
      <c r="F22" s="15" t="s">
        <v>16014</v>
      </c>
      <c r="G22" s="15"/>
      <c r="H22" s="15"/>
      <c r="I22" s="15" t="s">
        <v>528</v>
      </c>
      <c r="J22" s="15" t="s">
        <v>15991</v>
      </c>
    </row>
    <row r="23" spans="2:10">
      <c r="B23" s="15" t="s">
        <v>20126</v>
      </c>
      <c r="C23" s="15" t="s">
        <v>16015</v>
      </c>
      <c r="D23" s="15" t="s">
        <v>316</v>
      </c>
      <c r="E23" s="15" t="s">
        <v>305</v>
      </c>
      <c r="F23" s="15" t="s">
        <v>16016</v>
      </c>
      <c r="G23" s="15"/>
      <c r="H23" s="15"/>
      <c r="I23" s="15" t="s">
        <v>528</v>
      </c>
      <c r="J23" s="15" t="s">
        <v>15991</v>
      </c>
    </row>
    <row r="24" spans="2:10">
      <c r="B24" s="15" t="s">
        <v>20126</v>
      </c>
      <c r="C24" s="15" t="s">
        <v>16017</v>
      </c>
      <c r="D24" s="15" t="s">
        <v>316</v>
      </c>
      <c r="E24" s="15" t="s">
        <v>305</v>
      </c>
      <c r="F24" s="15" t="s">
        <v>16018</v>
      </c>
      <c r="G24" s="15"/>
      <c r="H24" s="15"/>
      <c r="I24" s="15" t="s">
        <v>528</v>
      </c>
      <c r="J24" s="15" t="s">
        <v>15991</v>
      </c>
    </row>
    <row r="25" spans="2:10">
      <c r="B25" s="15" t="s">
        <v>20126</v>
      </c>
      <c r="C25" s="15" t="s">
        <v>16019</v>
      </c>
      <c r="D25" s="15" t="s">
        <v>371</v>
      </c>
      <c r="E25" s="15" t="s">
        <v>305</v>
      </c>
      <c r="F25" s="15" t="s">
        <v>16020</v>
      </c>
      <c r="G25" s="15"/>
      <c r="H25" s="15"/>
      <c r="I25" s="15" t="s">
        <v>528</v>
      </c>
      <c r="J25" s="15" t="s">
        <v>15991</v>
      </c>
    </row>
  </sheetData>
  <pageMargins left="0.75" right="0.75" top="1" bottom="1" header="0.5" footer="0.5"/>
  <pageSetup paperSize="1" orientation="portrait" horizontalDpi="300" verticalDpi="300"/>
  <headerFooter alignWithMargins="0" scaleWithDoc="0"/>
</worksheet>
</file>

<file path=xl/worksheets/sheet1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0"/>
  <sheetViews>
    <sheetView zoomScaleSheetLayoutView="60" workbookViewId="0">
      <selection activeCell="A1" sqref="A1"/>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52" t="str">
        <f>HYPERLINK("#表结构清单!A1","返回")</f>
        <v>返回</v>
      </c>
      <c r="B1" t="s">
        <v>36</v>
      </c>
    </row>
    <row r="2" spans="2:10">
      <c r="B2" s="13" t="s">
        <v>15982</v>
      </c>
      <c r="C2" s="13" t="s">
        <v>297</v>
      </c>
      <c r="D2" s="13" t="s">
        <v>11870</v>
      </c>
      <c r="E2" s="13" t="s">
        <v>15983</v>
      </c>
      <c r="F2" s="13" t="s">
        <v>15984</v>
      </c>
      <c r="G2" s="13" t="s">
        <v>300</v>
      </c>
      <c r="H2" s="13" t="s">
        <v>301</v>
      </c>
      <c r="I2" s="13" t="s">
        <v>15985</v>
      </c>
      <c r="J2" s="13" t="s">
        <v>15986</v>
      </c>
    </row>
    <row r="3" spans="2:10">
      <c r="B3" s="15" t="s">
        <v>20148</v>
      </c>
      <c r="C3" s="15" t="s">
        <v>16483</v>
      </c>
      <c r="D3" s="15" t="s">
        <v>316</v>
      </c>
      <c r="E3" s="15" t="s">
        <v>15989</v>
      </c>
      <c r="F3" s="15" t="s">
        <v>20149</v>
      </c>
      <c r="G3" s="15"/>
      <c r="H3" s="15"/>
      <c r="I3" s="15" t="s">
        <v>528</v>
      </c>
      <c r="J3" s="15" t="s">
        <v>15991</v>
      </c>
    </row>
    <row r="4" spans="2:10">
      <c r="B4" s="15" t="s">
        <v>20148</v>
      </c>
      <c r="C4" s="15" t="s">
        <v>20150</v>
      </c>
      <c r="D4" s="15" t="s">
        <v>316</v>
      </c>
      <c r="E4" s="15" t="s">
        <v>15989</v>
      </c>
      <c r="F4" s="15" t="s">
        <v>20151</v>
      </c>
      <c r="G4" s="15"/>
      <c r="H4" s="15"/>
      <c r="I4" s="15" t="s">
        <v>528</v>
      </c>
      <c r="J4" s="15" t="s">
        <v>15991</v>
      </c>
    </row>
    <row r="5" spans="2:10">
      <c r="B5" s="15" t="s">
        <v>20148</v>
      </c>
      <c r="C5" s="15" t="s">
        <v>16325</v>
      </c>
      <c r="D5" s="15" t="s">
        <v>316</v>
      </c>
      <c r="E5" s="15" t="s">
        <v>305</v>
      </c>
      <c r="F5" s="15" t="s">
        <v>16326</v>
      </c>
      <c r="G5" s="15"/>
      <c r="H5" s="15"/>
      <c r="I5" s="15" t="s">
        <v>528</v>
      </c>
      <c r="J5" s="15" t="s">
        <v>15991</v>
      </c>
    </row>
    <row r="6" spans="2:10">
      <c r="B6" s="15" t="s">
        <v>20148</v>
      </c>
      <c r="C6" s="15" t="s">
        <v>16255</v>
      </c>
      <c r="D6" s="15" t="s">
        <v>321</v>
      </c>
      <c r="E6" s="15" t="s">
        <v>305</v>
      </c>
      <c r="F6" s="15" t="s">
        <v>16492</v>
      </c>
      <c r="G6" s="52" t="str">
        <f>HYPERLINK("#码值映射清单!B1110","IsInUse")</f>
        <v>IsInUse</v>
      </c>
      <c r="H6" s="15"/>
      <c r="I6" s="15" t="s">
        <v>528</v>
      </c>
      <c r="J6" s="15" t="s">
        <v>15991</v>
      </c>
    </row>
    <row r="7" spans="2:10">
      <c r="B7" s="15" t="s">
        <v>20148</v>
      </c>
      <c r="C7" s="15" t="s">
        <v>20152</v>
      </c>
      <c r="D7" s="15" t="s">
        <v>367</v>
      </c>
      <c r="E7" s="15" t="s">
        <v>305</v>
      </c>
      <c r="F7" s="15" t="s">
        <v>20153</v>
      </c>
      <c r="G7" s="15"/>
      <c r="H7" s="15"/>
      <c r="I7" s="15" t="s">
        <v>528</v>
      </c>
      <c r="J7" s="15" t="s">
        <v>15991</v>
      </c>
    </row>
    <row r="8" spans="2:10">
      <c r="B8" s="15" t="s">
        <v>20148</v>
      </c>
      <c r="C8" s="15" t="s">
        <v>20154</v>
      </c>
      <c r="D8" s="15" t="s">
        <v>367</v>
      </c>
      <c r="E8" s="15" t="s">
        <v>305</v>
      </c>
      <c r="F8" s="15" t="s">
        <v>20155</v>
      </c>
      <c r="G8" s="15"/>
      <c r="H8" s="15"/>
      <c r="I8" s="15" t="s">
        <v>528</v>
      </c>
      <c r="J8" s="15" t="s">
        <v>15991</v>
      </c>
    </row>
    <row r="9" spans="2:10">
      <c r="B9" s="15" t="s">
        <v>20148</v>
      </c>
      <c r="C9" s="15" t="s">
        <v>16086</v>
      </c>
      <c r="D9" s="15" t="s">
        <v>327</v>
      </c>
      <c r="E9" s="15" t="s">
        <v>305</v>
      </c>
      <c r="F9" s="15" t="s">
        <v>301</v>
      </c>
      <c r="G9" s="15"/>
      <c r="H9" s="15"/>
      <c r="I9" s="15" t="s">
        <v>528</v>
      </c>
      <c r="J9" s="15" t="s">
        <v>15991</v>
      </c>
    </row>
    <row r="10" spans="2:10">
      <c r="B10" s="15" t="s">
        <v>20148</v>
      </c>
      <c r="C10" s="15" t="s">
        <v>16009</v>
      </c>
      <c r="D10" s="15" t="s">
        <v>316</v>
      </c>
      <c r="E10" s="15" t="s">
        <v>305</v>
      </c>
      <c r="F10" s="15" t="s">
        <v>16010</v>
      </c>
      <c r="G10" s="15"/>
      <c r="H10" s="15"/>
      <c r="I10" s="15" t="s">
        <v>528</v>
      </c>
      <c r="J10" s="15" t="s">
        <v>15991</v>
      </c>
    </row>
    <row r="11" spans="2:10">
      <c r="B11" s="15" t="s">
        <v>20148</v>
      </c>
      <c r="C11" s="15" t="s">
        <v>16011</v>
      </c>
      <c r="D11" s="15" t="s">
        <v>316</v>
      </c>
      <c r="E11" s="15" t="s">
        <v>305</v>
      </c>
      <c r="F11" s="15" t="s">
        <v>16012</v>
      </c>
      <c r="G11" s="15"/>
      <c r="H11" s="15"/>
      <c r="I11" s="15" t="s">
        <v>528</v>
      </c>
      <c r="J11" s="15" t="s">
        <v>15991</v>
      </c>
    </row>
    <row r="12" spans="2:10">
      <c r="B12" s="15" t="s">
        <v>20148</v>
      </c>
      <c r="C12" s="15" t="s">
        <v>16013</v>
      </c>
      <c r="D12" s="15" t="s">
        <v>513</v>
      </c>
      <c r="E12" s="15" t="s">
        <v>305</v>
      </c>
      <c r="F12" s="15" t="s">
        <v>16014</v>
      </c>
      <c r="G12" s="15"/>
      <c r="H12" s="15"/>
      <c r="I12" s="15" t="s">
        <v>528</v>
      </c>
      <c r="J12" s="15" t="s">
        <v>15991</v>
      </c>
    </row>
    <row r="13" spans="2:10">
      <c r="B13" s="15" t="s">
        <v>20148</v>
      </c>
      <c r="C13" s="15" t="s">
        <v>16015</v>
      </c>
      <c r="D13" s="15" t="s">
        <v>316</v>
      </c>
      <c r="E13" s="15" t="s">
        <v>305</v>
      </c>
      <c r="F13" s="15" t="s">
        <v>16016</v>
      </c>
      <c r="G13" s="15"/>
      <c r="H13" s="15"/>
      <c r="I13" s="15" t="s">
        <v>528</v>
      </c>
      <c r="J13" s="15" t="s">
        <v>15991</v>
      </c>
    </row>
    <row r="14" spans="2:10">
      <c r="B14" s="15" t="s">
        <v>20148</v>
      </c>
      <c r="C14" s="15" t="s">
        <v>16017</v>
      </c>
      <c r="D14" s="15" t="s">
        <v>316</v>
      </c>
      <c r="E14" s="15" t="s">
        <v>305</v>
      </c>
      <c r="F14" s="15" t="s">
        <v>16018</v>
      </c>
      <c r="G14" s="15"/>
      <c r="H14" s="15"/>
      <c r="I14" s="15" t="s">
        <v>528</v>
      </c>
      <c r="J14" s="15" t="s">
        <v>15991</v>
      </c>
    </row>
    <row r="15" spans="2:10">
      <c r="B15" s="15" t="s">
        <v>20148</v>
      </c>
      <c r="C15" s="15" t="s">
        <v>16019</v>
      </c>
      <c r="D15" s="15" t="s">
        <v>513</v>
      </c>
      <c r="E15" s="15" t="s">
        <v>305</v>
      </c>
      <c r="F15" s="15" t="s">
        <v>16020</v>
      </c>
      <c r="G15" s="15"/>
      <c r="H15" s="15"/>
      <c r="I15" s="15" t="s">
        <v>528</v>
      </c>
      <c r="J15" s="15" t="s">
        <v>15991</v>
      </c>
    </row>
    <row r="16" spans="2:10">
      <c r="B16" s="15" t="s">
        <v>20148</v>
      </c>
      <c r="C16" s="15" t="s">
        <v>16237</v>
      </c>
      <c r="D16" s="15" t="s">
        <v>316</v>
      </c>
      <c r="E16" s="15" t="s">
        <v>305</v>
      </c>
      <c r="F16" s="15" t="s">
        <v>16274</v>
      </c>
      <c r="G16" s="15"/>
      <c r="H16" s="15"/>
      <c r="I16" s="15" t="s">
        <v>528</v>
      </c>
      <c r="J16" s="15" t="s">
        <v>15991</v>
      </c>
    </row>
    <row r="17" spans="2:10">
      <c r="B17" s="15" t="s">
        <v>20148</v>
      </c>
      <c r="C17" s="15" t="s">
        <v>16239</v>
      </c>
      <c r="D17" s="15" t="s">
        <v>316</v>
      </c>
      <c r="E17" s="15" t="s">
        <v>305</v>
      </c>
      <c r="F17" s="15" t="s">
        <v>16236</v>
      </c>
      <c r="G17" s="15"/>
      <c r="H17" s="15"/>
      <c r="I17" s="15" t="s">
        <v>528</v>
      </c>
      <c r="J17" s="15" t="s">
        <v>15991</v>
      </c>
    </row>
    <row r="18" spans="2:10">
      <c r="B18" s="15" t="s">
        <v>20148</v>
      </c>
      <c r="C18" s="15" t="s">
        <v>16241</v>
      </c>
      <c r="D18" s="15" t="s">
        <v>506</v>
      </c>
      <c r="E18" s="15" t="s">
        <v>305</v>
      </c>
      <c r="F18" s="15" t="s">
        <v>16010</v>
      </c>
      <c r="G18" s="15"/>
      <c r="H18" s="15"/>
      <c r="I18" s="15" t="s">
        <v>528</v>
      </c>
      <c r="J18" s="15" t="s">
        <v>15991</v>
      </c>
    </row>
    <row r="19" spans="2:10">
      <c r="B19" s="15" t="s">
        <v>20148</v>
      </c>
      <c r="C19" s="15" t="s">
        <v>16053</v>
      </c>
      <c r="D19" s="15" t="s">
        <v>506</v>
      </c>
      <c r="E19" s="15" t="s">
        <v>305</v>
      </c>
      <c r="F19" s="15" t="s">
        <v>16012</v>
      </c>
      <c r="G19" s="15"/>
      <c r="H19" s="15"/>
      <c r="I19" s="15" t="s">
        <v>528</v>
      </c>
      <c r="J19" s="15" t="s">
        <v>15991</v>
      </c>
    </row>
    <row r="20" spans="2:10">
      <c r="B20" s="15" t="s">
        <v>20148</v>
      </c>
      <c r="C20" s="15" t="s">
        <v>16243</v>
      </c>
      <c r="D20" s="15" t="s">
        <v>506</v>
      </c>
      <c r="E20" s="15" t="s">
        <v>305</v>
      </c>
      <c r="F20" s="15" t="s">
        <v>16018</v>
      </c>
      <c r="G20" s="15"/>
      <c r="H20" s="15"/>
      <c r="I20" s="15" t="s">
        <v>528</v>
      </c>
      <c r="J20" s="15" t="s">
        <v>15991</v>
      </c>
    </row>
  </sheetData>
  <pageMargins left="0.75" right="0.75" top="1" bottom="1" header="0.5" footer="0.5"/>
  <pageSetup paperSize="1" orientation="portrait" horizontalDpi="300" verticalDpi="300"/>
  <headerFooter alignWithMargins="0" scaleWithDoc="0"/>
</worksheet>
</file>

<file path=xl/worksheets/sheet1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3"/>
  <sheetViews>
    <sheetView zoomScaleSheetLayoutView="60" workbookViewId="0">
      <selection activeCell="A1" sqref="A1"/>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52" t="str">
        <f>HYPERLINK("#表结构清单!A1","返回")</f>
        <v>返回</v>
      </c>
      <c r="B1" t="s">
        <v>20156</v>
      </c>
    </row>
    <row r="2" spans="2:10">
      <c r="B2" s="13" t="s">
        <v>15982</v>
      </c>
      <c r="C2" s="13" t="s">
        <v>297</v>
      </c>
      <c r="D2" s="13" t="s">
        <v>11870</v>
      </c>
      <c r="E2" s="13" t="s">
        <v>15983</v>
      </c>
      <c r="F2" s="13" t="s">
        <v>15984</v>
      </c>
      <c r="G2" s="13" t="s">
        <v>300</v>
      </c>
      <c r="H2" s="13" t="s">
        <v>301</v>
      </c>
      <c r="I2" s="13" t="s">
        <v>15985</v>
      </c>
      <c r="J2" s="13" t="s">
        <v>15986</v>
      </c>
    </row>
    <row r="3" spans="2:10">
      <c r="B3" s="15" t="s">
        <v>20157</v>
      </c>
      <c r="C3" s="15" t="s">
        <v>20158</v>
      </c>
      <c r="D3" s="15" t="s">
        <v>506</v>
      </c>
      <c r="E3" s="15" t="s">
        <v>15989</v>
      </c>
      <c r="F3" s="15" t="s">
        <v>15982</v>
      </c>
      <c r="G3" s="15"/>
      <c r="H3" s="15"/>
      <c r="I3" s="15" t="s">
        <v>528</v>
      </c>
      <c r="J3" s="15" t="s">
        <v>15991</v>
      </c>
    </row>
    <row r="4" spans="2:10">
      <c r="B4" s="15" t="s">
        <v>20157</v>
      </c>
      <c r="C4" s="15" t="s">
        <v>20159</v>
      </c>
      <c r="D4" s="15" t="s">
        <v>506</v>
      </c>
      <c r="E4" s="15" t="s">
        <v>305</v>
      </c>
      <c r="F4" s="15" t="s">
        <v>297</v>
      </c>
      <c r="G4" s="15"/>
      <c r="H4" s="15"/>
      <c r="I4" s="15" t="s">
        <v>528</v>
      </c>
      <c r="J4" s="15" t="s">
        <v>15991</v>
      </c>
    </row>
    <row r="5" spans="2:10">
      <c r="B5" s="15" t="s">
        <v>20157</v>
      </c>
      <c r="C5" s="15" t="s">
        <v>20160</v>
      </c>
      <c r="D5" s="15" t="s">
        <v>506</v>
      </c>
      <c r="E5" s="15" t="s">
        <v>15989</v>
      </c>
      <c r="F5" s="15" t="s">
        <v>20161</v>
      </c>
      <c r="G5" s="15"/>
      <c r="H5" s="15"/>
      <c r="I5" s="15" t="s">
        <v>528</v>
      </c>
      <c r="J5" s="15" t="s">
        <v>15991</v>
      </c>
    </row>
    <row r="6" spans="2:10">
      <c r="B6" s="15" t="s">
        <v>20157</v>
      </c>
      <c r="C6" s="15" t="s">
        <v>20162</v>
      </c>
      <c r="D6" s="15" t="s">
        <v>316</v>
      </c>
      <c r="E6" s="15" t="s">
        <v>305</v>
      </c>
      <c r="F6" s="15" t="s">
        <v>20163</v>
      </c>
      <c r="G6" s="15"/>
      <c r="H6" s="15"/>
      <c r="I6" s="15" t="s">
        <v>528</v>
      </c>
      <c r="J6" s="15" t="s">
        <v>15991</v>
      </c>
    </row>
    <row r="7" spans="2:10">
      <c r="B7" s="15" t="s">
        <v>20157</v>
      </c>
      <c r="C7" s="15" t="s">
        <v>20164</v>
      </c>
      <c r="D7" s="15" t="s">
        <v>316</v>
      </c>
      <c r="E7" s="15" t="s">
        <v>305</v>
      </c>
      <c r="F7" s="15" t="s">
        <v>20165</v>
      </c>
      <c r="G7" s="15"/>
      <c r="H7" s="15"/>
      <c r="I7" s="15" t="s">
        <v>528</v>
      </c>
      <c r="J7" s="15" t="s">
        <v>15991</v>
      </c>
    </row>
    <row r="8" spans="2:10">
      <c r="B8" s="15" t="s">
        <v>20157</v>
      </c>
      <c r="C8" s="15" t="s">
        <v>16009</v>
      </c>
      <c r="D8" s="15" t="s">
        <v>316</v>
      </c>
      <c r="E8" s="15" t="s">
        <v>305</v>
      </c>
      <c r="F8" s="15" t="s">
        <v>16010</v>
      </c>
      <c r="G8" s="15"/>
      <c r="H8" s="15"/>
      <c r="I8" s="15" t="s">
        <v>528</v>
      </c>
      <c r="J8" s="15" t="s">
        <v>15991</v>
      </c>
    </row>
    <row r="9" spans="2:10">
      <c r="B9" s="15" t="s">
        <v>20157</v>
      </c>
      <c r="C9" s="15" t="s">
        <v>16011</v>
      </c>
      <c r="D9" s="15" t="s">
        <v>316</v>
      </c>
      <c r="E9" s="15" t="s">
        <v>305</v>
      </c>
      <c r="F9" s="15" t="s">
        <v>16012</v>
      </c>
      <c r="G9" s="15"/>
      <c r="H9" s="15"/>
      <c r="I9" s="15" t="s">
        <v>528</v>
      </c>
      <c r="J9" s="15" t="s">
        <v>15991</v>
      </c>
    </row>
    <row r="10" spans="2:10">
      <c r="B10" s="15" t="s">
        <v>20157</v>
      </c>
      <c r="C10" s="15" t="s">
        <v>16013</v>
      </c>
      <c r="D10" s="15" t="s">
        <v>371</v>
      </c>
      <c r="E10" s="15" t="s">
        <v>305</v>
      </c>
      <c r="F10" s="15" t="s">
        <v>16014</v>
      </c>
      <c r="G10" s="15"/>
      <c r="H10" s="15"/>
      <c r="I10" s="15" t="s">
        <v>528</v>
      </c>
      <c r="J10" s="15" t="s">
        <v>15991</v>
      </c>
    </row>
    <row r="11" spans="2:10">
      <c r="B11" s="15" t="s">
        <v>20157</v>
      </c>
      <c r="C11" s="15" t="s">
        <v>16017</v>
      </c>
      <c r="D11" s="15" t="s">
        <v>316</v>
      </c>
      <c r="E11" s="15" t="s">
        <v>305</v>
      </c>
      <c r="F11" s="15" t="s">
        <v>16018</v>
      </c>
      <c r="G11" s="15"/>
      <c r="H11" s="15"/>
      <c r="I11" s="15" t="s">
        <v>528</v>
      </c>
      <c r="J11" s="15" t="s">
        <v>15991</v>
      </c>
    </row>
    <row r="12" spans="2:10">
      <c r="B12" s="15" t="s">
        <v>20157</v>
      </c>
      <c r="C12" s="15" t="s">
        <v>16015</v>
      </c>
      <c r="D12" s="15" t="s">
        <v>316</v>
      </c>
      <c r="E12" s="15" t="s">
        <v>305</v>
      </c>
      <c r="F12" s="15" t="s">
        <v>16016</v>
      </c>
      <c r="G12" s="15"/>
      <c r="H12" s="15"/>
      <c r="I12" s="15" t="s">
        <v>528</v>
      </c>
      <c r="J12" s="15" t="s">
        <v>15991</v>
      </c>
    </row>
    <row r="13" spans="2:10">
      <c r="B13" s="15" t="s">
        <v>20157</v>
      </c>
      <c r="C13" s="15" t="s">
        <v>16019</v>
      </c>
      <c r="D13" s="15" t="s">
        <v>371</v>
      </c>
      <c r="E13" s="15" t="s">
        <v>305</v>
      </c>
      <c r="F13" s="15" t="s">
        <v>16020</v>
      </c>
      <c r="G13" s="15"/>
      <c r="H13" s="15"/>
      <c r="I13" s="15" t="s">
        <v>528</v>
      </c>
      <c r="J13" s="15" t="s">
        <v>15991</v>
      </c>
    </row>
  </sheetData>
  <pageMargins left="0.75" right="0.75" top="1" bottom="1" header="0.5" footer="0.5"/>
  <pageSetup paperSize="1" orientation="portrait" horizontalDpi="300" verticalDpi="300"/>
  <headerFooter alignWithMargins="0" scaleWithDoc="0"/>
</worksheet>
</file>

<file path=xl/worksheets/sheet1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2"/>
  <sheetViews>
    <sheetView zoomScaleSheetLayoutView="60" workbookViewId="0">
      <selection activeCell="D28" sqref="D28:D32"/>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51" t="str">
        <f>HYPERLINK("#表结构清单!A1","返回")</f>
        <v>返回</v>
      </c>
      <c r="B1" t="s">
        <v>20166</v>
      </c>
    </row>
    <row r="2" spans="2:10">
      <c r="B2" s="13" t="s">
        <v>15982</v>
      </c>
      <c r="C2" s="13" t="s">
        <v>297</v>
      </c>
      <c r="D2" s="13" t="s">
        <v>11870</v>
      </c>
      <c r="E2" s="13" t="s">
        <v>15983</v>
      </c>
      <c r="F2" s="13" t="s">
        <v>15984</v>
      </c>
      <c r="G2" s="13" t="s">
        <v>300</v>
      </c>
      <c r="H2" s="13" t="s">
        <v>301</v>
      </c>
      <c r="I2" s="13" t="s">
        <v>15985</v>
      </c>
      <c r="J2" s="13" t="s">
        <v>15986</v>
      </c>
    </row>
    <row r="3" spans="2:10">
      <c r="B3" s="15" t="s">
        <v>20167</v>
      </c>
      <c r="C3" s="15" t="s">
        <v>16483</v>
      </c>
      <c r="D3" s="15" t="s">
        <v>316</v>
      </c>
      <c r="E3" s="15" t="s">
        <v>15989</v>
      </c>
      <c r="F3" s="15" t="s">
        <v>9239</v>
      </c>
      <c r="G3" s="15"/>
      <c r="H3" s="15"/>
      <c r="I3" s="15" t="s">
        <v>528</v>
      </c>
      <c r="J3" s="15" t="s">
        <v>15991</v>
      </c>
    </row>
    <row r="4" spans="2:10">
      <c r="B4" s="15" t="s">
        <v>20167</v>
      </c>
      <c r="C4" s="15" t="s">
        <v>19593</v>
      </c>
      <c r="D4" s="15" t="s">
        <v>506</v>
      </c>
      <c r="E4" s="15" t="s">
        <v>305</v>
      </c>
      <c r="F4" s="15" t="s">
        <v>20168</v>
      </c>
      <c r="G4" s="15"/>
      <c r="H4" s="15"/>
      <c r="I4" s="15" t="s">
        <v>528</v>
      </c>
      <c r="J4" s="15" t="s">
        <v>15991</v>
      </c>
    </row>
    <row r="5" spans="2:10">
      <c r="B5" s="15" t="s">
        <v>20167</v>
      </c>
      <c r="C5" s="15" t="s">
        <v>16325</v>
      </c>
      <c r="D5" s="15" t="s">
        <v>316</v>
      </c>
      <c r="E5" s="15" t="s">
        <v>305</v>
      </c>
      <c r="F5" s="15" t="s">
        <v>16326</v>
      </c>
      <c r="G5" s="15"/>
      <c r="H5" s="15"/>
      <c r="I5" s="15" t="s">
        <v>528</v>
      </c>
      <c r="J5" s="15" t="s">
        <v>15991</v>
      </c>
    </row>
    <row r="6" spans="2:10">
      <c r="B6" s="15" t="s">
        <v>20167</v>
      </c>
      <c r="C6" s="15" t="s">
        <v>20169</v>
      </c>
      <c r="D6" s="15" t="s">
        <v>367</v>
      </c>
      <c r="E6" s="15" t="s">
        <v>305</v>
      </c>
      <c r="F6" s="15" t="s">
        <v>20170</v>
      </c>
      <c r="G6" s="15"/>
      <c r="H6" s="15"/>
      <c r="I6" s="15" t="s">
        <v>528</v>
      </c>
      <c r="J6" s="15" t="s">
        <v>15991</v>
      </c>
    </row>
    <row r="7" spans="2:10">
      <c r="B7" s="15" t="s">
        <v>20167</v>
      </c>
      <c r="C7" s="15" t="s">
        <v>20171</v>
      </c>
      <c r="D7" s="15" t="s">
        <v>367</v>
      </c>
      <c r="E7" s="15" t="s">
        <v>305</v>
      </c>
      <c r="F7" s="15" t="s">
        <v>20172</v>
      </c>
      <c r="G7" s="15"/>
      <c r="H7" s="15"/>
      <c r="I7" s="15" t="s">
        <v>528</v>
      </c>
      <c r="J7" s="15" t="s">
        <v>15991</v>
      </c>
    </row>
    <row r="8" spans="2:10">
      <c r="B8" s="15" t="s">
        <v>20167</v>
      </c>
      <c r="C8" s="15" t="s">
        <v>20173</v>
      </c>
      <c r="D8" s="15" t="s">
        <v>327</v>
      </c>
      <c r="E8" s="15" t="s">
        <v>305</v>
      </c>
      <c r="F8" s="15" t="s">
        <v>20173</v>
      </c>
      <c r="G8" s="15"/>
      <c r="H8" s="15"/>
      <c r="I8" s="15" t="s">
        <v>528</v>
      </c>
      <c r="J8" s="15" t="s">
        <v>15991</v>
      </c>
    </row>
    <row r="9" spans="2:10">
      <c r="B9" s="15" t="s">
        <v>20167</v>
      </c>
      <c r="C9" s="15" t="s">
        <v>20174</v>
      </c>
      <c r="D9" s="15" t="s">
        <v>367</v>
      </c>
      <c r="E9" s="15" t="s">
        <v>305</v>
      </c>
      <c r="F9" s="15" t="s">
        <v>20175</v>
      </c>
      <c r="G9" s="15"/>
      <c r="H9" s="15"/>
      <c r="I9" s="15" t="s">
        <v>528</v>
      </c>
      <c r="J9" s="15" t="s">
        <v>15991</v>
      </c>
    </row>
    <row r="10" spans="2:10">
      <c r="B10" s="15" t="s">
        <v>20167</v>
      </c>
      <c r="C10" s="15" t="s">
        <v>20176</v>
      </c>
      <c r="D10" s="15" t="s">
        <v>327</v>
      </c>
      <c r="E10" s="15" t="s">
        <v>305</v>
      </c>
      <c r="F10" s="15" t="s">
        <v>20177</v>
      </c>
      <c r="G10" s="15"/>
      <c r="H10" s="15"/>
      <c r="I10" s="15" t="s">
        <v>528</v>
      </c>
      <c r="J10" s="15" t="s">
        <v>15991</v>
      </c>
    </row>
    <row r="11" spans="2:10">
      <c r="B11" s="15" t="s">
        <v>20167</v>
      </c>
      <c r="C11" s="15" t="s">
        <v>20178</v>
      </c>
      <c r="D11" s="15" t="s">
        <v>506</v>
      </c>
      <c r="E11" s="15" t="s">
        <v>305</v>
      </c>
      <c r="F11" s="15" t="s">
        <v>20179</v>
      </c>
      <c r="G11" s="15"/>
      <c r="H11" s="15"/>
      <c r="I11" s="15" t="s">
        <v>528</v>
      </c>
      <c r="J11" s="15" t="s">
        <v>15991</v>
      </c>
    </row>
    <row r="12" spans="2:10">
      <c r="B12" s="15" t="s">
        <v>20167</v>
      </c>
      <c r="C12" s="15" t="s">
        <v>20180</v>
      </c>
      <c r="D12" s="15" t="s">
        <v>316</v>
      </c>
      <c r="E12" s="15" t="s">
        <v>305</v>
      </c>
      <c r="F12" s="15" t="s">
        <v>20181</v>
      </c>
      <c r="G12" s="15"/>
      <c r="H12" s="15"/>
      <c r="I12" s="15" t="s">
        <v>528</v>
      </c>
      <c r="J12" s="15" t="s">
        <v>15991</v>
      </c>
    </row>
    <row r="13" spans="2:10">
      <c r="B13" s="15" t="s">
        <v>20167</v>
      </c>
      <c r="C13" s="15" t="s">
        <v>20182</v>
      </c>
      <c r="D13" s="15" t="s">
        <v>316</v>
      </c>
      <c r="E13" s="15" t="s">
        <v>305</v>
      </c>
      <c r="F13" s="15" t="s">
        <v>20183</v>
      </c>
      <c r="G13" s="15"/>
      <c r="H13" s="15"/>
      <c r="I13" s="15" t="s">
        <v>528</v>
      </c>
      <c r="J13" s="15" t="s">
        <v>15991</v>
      </c>
    </row>
    <row r="14" spans="2:10">
      <c r="B14" s="15" t="s">
        <v>20167</v>
      </c>
      <c r="C14" s="15" t="s">
        <v>20184</v>
      </c>
      <c r="D14" s="15" t="s">
        <v>327</v>
      </c>
      <c r="E14" s="15" t="s">
        <v>305</v>
      </c>
      <c r="F14" s="15" t="s">
        <v>20185</v>
      </c>
      <c r="G14" s="15"/>
      <c r="H14" s="15"/>
      <c r="I14" s="15" t="s">
        <v>528</v>
      </c>
      <c r="J14" s="15" t="s">
        <v>15991</v>
      </c>
    </row>
    <row r="15" spans="2:10">
      <c r="B15" s="15" t="s">
        <v>20167</v>
      </c>
      <c r="C15" s="15" t="s">
        <v>20186</v>
      </c>
      <c r="D15" s="15" t="s">
        <v>327</v>
      </c>
      <c r="E15" s="15" t="s">
        <v>305</v>
      </c>
      <c r="F15" s="15" t="s">
        <v>20187</v>
      </c>
      <c r="G15" s="15"/>
      <c r="H15" s="15"/>
      <c r="I15" s="15" t="s">
        <v>528</v>
      </c>
      <c r="J15" s="15" t="s">
        <v>15991</v>
      </c>
    </row>
    <row r="16" spans="2:10">
      <c r="B16" s="15" t="s">
        <v>20167</v>
      </c>
      <c r="C16" s="15" t="s">
        <v>16179</v>
      </c>
      <c r="D16" s="15" t="s">
        <v>367</v>
      </c>
      <c r="E16" s="15" t="s">
        <v>305</v>
      </c>
      <c r="F16" s="15" t="s">
        <v>20188</v>
      </c>
      <c r="G16" s="15"/>
      <c r="H16" s="15"/>
      <c r="I16" s="15" t="s">
        <v>528</v>
      </c>
      <c r="J16" s="15" t="s">
        <v>15991</v>
      </c>
    </row>
    <row r="17" spans="2:10">
      <c r="B17" s="15" t="s">
        <v>20167</v>
      </c>
      <c r="C17" s="15" t="s">
        <v>16181</v>
      </c>
      <c r="D17" s="15" t="s">
        <v>367</v>
      </c>
      <c r="E17" s="15" t="s">
        <v>305</v>
      </c>
      <c r="F17" s="15" t="s">
        <v>20189</v>
      </c>
      <c r="G17" s="15"/>
      <c r="H17" s="15"/>
      <c r="I17" s="15" t="s">
        <v>528</v>
      </c>
      <c r="J17" s="15" t="s">
        <v>15991</v>
      </c>
    </row>
    <row r="18" spans="2:10">
      <c r="B18" s="15" t="s">
        <v>20167</v>
      </c>
      <c r="C18" s="15" t="s">
        <v>16183</v>
      </c>
      <c r="D18" s="15" t="s">
        <v>367</v>
      </c>
      <c r="E18" s="15" t="s">
        <v>305</v>
      </c>
      <c r="F18" s="15" t="s">
        <v>20190</v>
      </c>
      <c r="G18" s="15"/>
      <c r="H18" s="15"/>
      <c r="I18" s="15" t="s">
        <v>528</v>
      </c>
      <c r="J18" s="15" t="s">
        <v>15991</v>
      </c>
    </row>
    <row r="19" spans="2:10">
      <c r="B19" s="15" t="s">
        <v>20167</v>
      </c>
      <c r="C19" s="15" t="s">
        <v>16241</v>
      </c>
      <c r="D19" s="15" t="s">
        <v>506</v>
      </c>
      <c r="E19" s="15" t="s">
        <v>305</v>
      </c>
      <c r="F19" s="15" t="s">
        <v>16010</v>
      </c>
      <c r="G19" s="15"/>
      <c r="H19" s="15"/>
      <c r="I19" s="15" t="s">
        <v>528</v>
      </c>
      <c r="J19" s="15" t="s">
        <v>15991</v>
      </c>
    </row>
    <row r="20" spans="2:10">
      <c r="B20" s="15" t="s">
        <v>20167</v>
      </c>
      <c r="C20" s="15" t="s">
        <v>16053</v>
      </c>
      <c r="D20" s="15" t="s">
        <v>506</v>
      </c>
      <c r="E20" s="15" t="s">
        <v>305</v>
      </c>
      <c r="F20" s="15" t="s">
        <v>16012</v>
      </c>
      <c r="G20" s="15"/>
      <c r="H20" s="15"/>
      <c r="I20" s="15" t="s">
        <v>528</v>
      </c>
      <c r="J20" s="15" t="s">
        <v>15991</v>
      </c>
    </row>
    <row r="21" spans="2:10">
      <c r="B21" s="15" t="s">
        <v>20167</v>
      </c>
      <c r="C21" s="15" t="s">
        <v>16237</v>
      </c>
      <c r="D21" s="15" t="s">
        <v>371</v>
      </c>
      <c r="E21" s="15" t="s">
        <v>305</v>
      </c>
      <c r="F21" s="15" t="s">
        <v>16014</v>
      </c>
      <c r="G21" s="15"/>
      <c r="H21" s="15"/>
      <c r="I21" s="15" t="s">
        <v>528</v>
      </c>
      <c r="J21" s="15" t="s">
        <v>15991</v>
      </c>
    </row>
    <row r="22" spans="2:10">
      <c r="B22" s="15" t="s">
        <v>20167</v>
      </c>
      <c r="C22" s="15" t="s">
        <v>16243</v>
      </c>
      <c r="D22" s="15" t="s">
        <v>506</v>
      </c>
      <c r="E22" s="15" t="s">
        <v>305</v>
      </c>
      <c r="F22" s="15" t="s">
        <v>16018</v>
      </c>
      <c r="G22" s="15"/>
      <c r="H22" s="15"/>
      <c r="I22" s="15" t="s">
        <v>528</v>
      </c>
      <c r="J22" s="15" t="s">
        <v>15991</v>
      </c>
    </row>
    <row r="23" spans="2:10">
      <c r="B23" s="15" t="s">
        <v>20167</v>
      </c>
      <c r="C23" s="15" t="s">
        <v>16239</v>
      </c>
      <c r="D23" s="15" t="s">
        <v>371</v>
      </c>
      <c r="E23" s="15" t="s">
        <v>305</v>
      </c>
      <c r="F23" s="15" t="s">
        <v>16236</v>
      </c>
      <c r="G23" s="15"/>
      <c r="H23" s="15"/>
      <c r="I23" s="15" t="s">
        <v>528</v>
      </c>
      <c r="J23" s="15" t="s">
        <v>15991</v>
      </c>
    </row>
    <row r="24" spans="2:10">
      <c r="B24" s="15" t="s">
        <v>20167</v>
      </c>
      <c r="C24" s="15" t="s">
        <v>16086</v>
      </c>
      <c r="D24" s="15" t="s">
        <v>327</v>
      </c>
      <c r="E24" s="15" t="s">
        <v>305</v>
      </c>
      <c r="F24" s="15" t="s">
        <v>301</v>
      </c>
      <c r="G24" s="15"/>
      <c r="H24" s="15"/>
      <c r="I24" s="15" t="s">
        <v>528</v>
      </c>
      <c r="J24" s="15" t="s">
        <v>15991</v>
      </c>
    </row>
    <row r="25" spans="2:10">
      <c r="B25" s="15" t="s">
        <v>20167</v>
      </c>
      <c r="C25" s="15" t="s">
        <v>20191</v>
      </c>
      <c r="D25" s="15" t="s">
        <v>367</v>
      </c>
      <c r="E25" s="15" t="s">
        <v>305</v>
      </c>
      <c r="F25" s="15" t="s">
        <v>20192</v>
      </c>
      <c r="G25" s="15"/>
      <c r="H25" s="15"/>
      <c r="I25" s="15" t="s">
        <v>528</v>
      </c>
      <c r="J25" s="15" t="s">
        <v>15991</v>
      </c>
    </row>
    <row r="26" spans="2:10">
      <c r="B26" s="15" t="s">
        <v>20167</v>
      </c>
      <c r="C26" s="15" t="s">
        <v>20193</v>
      </c>
      <c r="D26" s="15" t="s">
        <v>316</v>
      </c>
      <c r="E26" s="15" t="s">
        <v>305</v>
      </c>
      <c r="F26" s="15" t="s">
        <v>20193</v>
      </c>
      <c r="G26" s="15"/>
      <c r="H26" s="15"/>
      <c r="I26" s="15" t="s">
        <v>528</v>
      </c>
      <c r="J26" s="15" t="s">
        <v>15991</v>
      </c>
    </row>
    <row r="27" spans="2:10">
      <c r="B27" s="15" t="s">
        <v>20167</v>
      </c>
      <c r="C27" s="15" t="s">
        <v>20194</v>
      </c>
      <c r="D27" s="15" t="s">
        <v>327</v>
      </c>
      <c r="E27" s="15" t="s">
        <v>305</v>
      </c>
      <c r="F27" s="15" t="s">
        <v>20195</v>
      </c>
      <c r="G27" s="15"/>
      <c r="H27" s="15"/>
      <c r="I27" s="15" t="s">
        <v>528</v>
      </c>
      <c r="J27" s="15" t="s">
        <v>15991</v>
      </c>
    </row>
    <row r="28" spans="2:10">
      <c r="B28" s="15" t="s">
        <v>20167</v>
      </c>
      <c r="C28" s="15" t="s">
        <v>20196</v>
      </c>
      <c r="D28" s="15" t="s">
        <v>327</v>
      </c>
      <c r="E28" s="15" t="s">
        <v>305</v>
      </c>
      <c r="F28" s="15" t="s">
        <v>20197</v>
      </c>
      <c r="G28" s="15"/>
      <c r="H28" s="15"/>
      <c r="I28" s="15" t="s">
        <v>528</v>
      </c>
      <c r="J28" s="15" t="s">
        <v>15991</v>
      </c>
    </row>
    <row r="29" spans="2:10">
      <c r="B29" s="15" t="s">
        <v>20167</v>
      </c>
      <c r="C29" s="15" t="s">
        <v>20198</v>
      </c>
      <c r="D29" s="15" t="s">
        <v>327</v>
      </c>
      <c r="E29" s="15" t="s">
        <v>305</v>
      </c>
      <c r="F29" s="15" t="s">
        <v>20199</v>
      </c>
      <c r="G29" s="15"/>
      <c r="H29" s="15"/>
      <c r="I29" s="15" t="s">
        <v>528</v>
      </c>
      <c r="J29" s="15" t="s">
        <v>15991</v>
      </c>
    </row>
    <row r="30" spans="2:10">
      <c r="B30" s="15" t="s">
        <v>20167</v>
      </c>
      <c r="C30" s="15" t="s">
        <v>20200</v>
      </c>
      <c r="D30" s="15" t="s">
        <v>327</v>
      </c>
      <c r="E30" s="15" t="s">
        <v>305</v>
      </c>
      <c r="F30" s="15" t="s">
        <v>20201</v>
      </c>
      <c r="G30" s="15"/>
      <c r="H30" s="15"/>
      <c r="I30" s="15" t="s">
        <v>528</v>
      </c>
      <c r="J30" s="15" t="s">
        <v>15991</v>
      </c>
    </row>
    <row r="31" spans="2:10">
      <c r="B31" s="15" t="s">
        <v>20167</v>
      </c>
      <c r="C31" s="15" t="s">
        <v>16009</v>
      </c>
      <c r="D31" s="15" t="s">
        <v>316</v>
      </c>
      <c r="E31" s="15" t="s">
        <v>305</v>
      </c>
      <c r="F31" s="15" t="s">
        <v>16010</v>
      </c>
      <c r="G31" s="15"/>
      <c r="H31" s="15"/>
      <c r="I31" s="15" t="s">
        <v>528</v>
      </c>
      <c r="J31" s="15" t="s">
        <v>15991</v>
      </c>
    </row>
    <row r="32" spans="2:10">
      <c r="B32" s="15" t="s">
        <v>20167</v>
      </c>
      <c r="C32" s="15" t="s">
        <v>16011</v>
      </c>
      <c r="D32" s="15" t="s">
        <v>316</v>
      </c>
      <c r="E32" s="15" t="s">
        <v>305</v>
      </c>
      <c r="F32" s="15" t="s">
        <v>16012</v>
      </c>
      <c r="G32" s="15"/>
      <c r="H32" s="15"/>
      <c r="I32" s="15" t="s">
        <v>528</v>
      </c>
      <c r="J32" s="15" t="s">
        <v>15991</v>
      </c>
    </row>
  </sheetData>
  <pageMargins left="0.75" right="0.75" top="1" bottom="1" header="0.5" footer="0.5"/>
  <pageSetup paperSize="1" orientation="portrait" horizontalDpi="300" verticalDpi="300"/>
  <headerFooter alignWithMargins="0" scaleWithDoc="0"/>
</worksheet>
</file>

<file path=xl/worksheets/sheet1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6"/>
  <sheetViews>
    <sheetView zoomScaleSheetLayoutView="60" workbookViewId="0">
      <selection activeCell="A1" sqref="A1"/>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52" t="str">
        <f>HYPERLINK("#表结构清单!A1","返回")</f>
        <v>返回</v>
      </c>
      <c r="B1" t="s">
        <v>35</v>
      </c>
    </row>
    <row r="2" spans="2:10">
      <c r="B2" s="13" t="s">
        <v>15982</v>
      </c>
      <c r="C2" s="13" t="s">
        <v>297</v>
      </c>
      <c r="D2" s="13" t="s">
        <v>11870</v>
      </c>
      <c r="E2" s="13" t="s">
        <v>15983</v>
      </c>
      <c r="F2" s="13" t="s">
        <v>15984</v>
      </c>
      <c r="G2" s="13" t="s">
        <v>300</v>
      </c>
      <c r="H2" s="13" t="s">
        <v>301</v>
      </c>
      <c r="I2" s="13" t="s">
        <v>15985</v>
      </c>
      <c r="J2" s="13" t="s">
        <v>15986</v>
      </c>
    </row>
    <row r="3" spans="2:10">
      <c r="B3" s="15" t="s">
        <v>20202</v>
      </c>
      <c r="C3" s="15" t="s">
        <v>16483</v>
      </c>
      <c r="D3" s="15" t="s">
        <v>316</v>
      </c>
      <c r="E3" s="15" t="s">
        <v>15989</v>
      </c>
      <c r="F3" s="15" t="s">
        <v>20149</v>
      </c>
      <c r="G3" s="15"/>
      <c r="H3" s="15"/>
      <c r="I3" s="15" t="s">
        <v>528</v>
      </c>
      <c r="J3" s="15" t="s">
        <v>15991</v>
      </c>
    </row>
    <row r="4" spans="2:10">
      <c r="B4" s="15" t="s">
        <v>20202</v>
      </c>
      <c r="C4" s="15" t="s">
        <v>18939</v>
      </c>
      <c r="D4" s="15" t="s">
        <v>367</v>
      </c>
      <c r="E4" s="15" t="s">
        <v>15989</v>
      </c>
      <c r="F4" s="15" t="s">
        <v>7448</v>
      </c>
      <c r="G4" s="15"/>
      <c r="H4" s="15"/>
      <c r="I4" s="15" t="s">
        <v>528</v>
      </c>
      <c r="J4" s="15" t="s">
        <v>15991</v>
      </c>
    </row>
    <row r="5" spans="2:10">
      <c r="B5" s="15" t="s">
        <v>20202</v>
      </c>
      <c r="C5" s="15" t="s">
        <v>16325</v>
      </c>
      <c r="D5" s="15" t="s">
        <v>316</v>
      </c>
      <c r="E5" s="15" t="s">
        <v>305</v>
      </c>
      <c r="F5" s="15" t="s">
        <v>16326</v>
      </c>
      <c r="G5" s="15"/>
      <c r="H5" s="15"/>
      <c r="I5" s="15" t="s">
        <v>528</v>
      </c>
      <c r="J5" s="15" t="s">
        <v>15991</v>
      </c>
    </row>
    <row r="6" spans="2:10">
      <c r="B6" s="15" t="s">
        <v>20202</v>
      </c>
      <c r="C6" s="15" t="s">
        <v>16565</v>
      </c>
      <c r="D6" s="15" t="s">
        <v>506</v>
      </c>
      <c r="E6" s="15" t="s">
        <v>305</v>
      </c>
      <c r="F6" s="15" t="s">
        <v>20203</v>
      </c>
      <c r="G6" s="15"/>
      <c r="H6" s="15"/>
      <c r="I6" s="15" t="s">
        <v>528</v>
      </c>
      <c r="J6" s="15" t="s">
        <v>15991</v>
      </c>
    </row>
    <row r="7" spans="2:10">
      <c r="B7" s="15" t="s">
        <v>20202</v>
      </c>
      <c r="C7" s="15" t="s">
        <v>20204</v>
      </c>
      <c r="D7" s="15" t="s">
        <v>316</v>
      </c>
      <c r="E7" s="15" t="s">
        <v>305</v>
      </c>
      <c r="F7" s="15" t="s">
        <v>20205</v>
      </c>
      <c r="G7" s="15"/>
      <c r="H7" s="15"/>
      <c r="I7" s="15" t="s">
        <v>528</v>
      </c>
      <c r="J7" s="15" t="s">
        <v>15991</v>
      </c>
    </row>
    <row r="8" spans="2:10">
      <c r="B8" s="15" t="s">
        <v>20202</v>
      </c>
      <c r="C8" s="15" t="s">
        <v>20206</v>
      </c>
      <c r="D8" s="15" t="s">
        <v>327</v>
      </c>
      <c r="E8" s="15" t="s">
        <v>305</v>
      </c>
      <c r="F8" s="15" t="s">
        <v>20207</v>
      </c>
      <c r="G8" s="15"/>
      <c r="H8" s="15"/>
      <c r="I8" s="15" t="s">
        <v>528</v>
      </c>
      <c r="J8" s="15" t="s">
        <v>15991</v>
      </c>
    </row>
    <row r="9" spans="2:10">
      <c r="B9" s="15" t="s">
        <v>20202</v>
      </c>
      <c r="C9" s="15" t="s">
        <v>20208</v>
      </c>
      <c r="D9" s="15" t="s">
        <v>327</v>
      </c>
      <c r="E9" s="15" t="s">
        <v>305</v>
      </c>
      <c r="F9" s="15" t="s">
        <v>20209</v>
      </c>
      <c r="G9" s="15"/>
      <c r="H9" s="15"/>
      <c r="I9" s="15" t="s">
        <v>528</v>
      </c>
      <c r="J9" s="15" t="s">
        <v>15991</v>
      </c>
    </row>
    <row r="10" spans="2:10">
      <c r="B10" s="15" t="s">
        <v>20202</v>
      </c>
      <c r="C10" s="15" t="s">
        <v>20210</v>
      </c>
      <c r="D10" s="15" t="s">
        <v>327</v>
      </c>
      <c r="E10" s="15" t="s">
        <v>305</v>
      </c>
      <c r="F10" s="15" t="s">
        <v>20211</v>
      </c>
      <c r="G10" s="15"/>
      <c r="H10" s="15"/>
      <c r="I10" s="15" t="s">
        <v>528</v>
      </c>
      <c r="J10" s="15" t="s">
        <v>15991</v>
      </c>
    </row>
    <row r="11" spans="2:10">
      <c r="B11" s="15" t="s">
        <v>20202</v>
      </c>
      <c r="C11" s="15" t="s">
        <v>16255</v>
      </c>
      <c r="D11" s="15" t="s">
        <v>321</v>
      </c>
      <c r="E11" s="15" t="s">
        <v>305</v>
      </c>
      <c r="F11" s="15" t="s">
        <v>16492</v>
      </c>
      <c r="G11" s="52" t="str">
        <f>HYPERLINK("#码值映射清单!B1110","IsInUse")</f>
        <v>IsInUse</v>
      </c>
      <c r="H11" s="15"/>
      <c r="I11" s="15" t="s">
        <v>528</v>
      </c>
      <c r="J11" s="15" t="s">
        <v>15991</v>
      </c>
    </row>
    <row r="12" spans="2:10">
      <c r="B12" s="15" t="s">
        <v>20202</v>
      </c>
      <c r="C12" s="15" t="s">
        <v>16179</v>
      </c>
      <c r="D12" s="15" t="s">
        <v>327</v>
      </c>
      <c r="E12" s="15" t="s">
        <v>305</v>
      </c>
      <c r="F12" s="15" t="s">
        <v>16521</v>
      </c>
      <c r="G12" s="15"/>
      <c r="H12" s="15"/>
      <c r="I12" s="15" t="s">
        <v>528</v>
      </c>
      <c r="J12" s="15" t="s">
        <v>15991</v>
      </c>
    </row>
    <row r="13" spans="2:10">
      <c r="B13" s="15" t="s">
        <v>20202</v>
      </c>
      <c r="C13" s="15" t="s">
        <v>16181</v>
      </c>
      <c r="D13" s="15" t="s">
        <v>327</v>
      </c>
      <c r="E13" s="15" t="s">
        <v>305</v>
      </c>
      <c r="F13" s="15" t="s">
        <v>16522</v>
      </c>
      <c r="G13" s="15"/>
      <c r="H13" s="15"/>
      <c r="I13" s="15" t="s">
        <v>528</v>
      </c>
      <c r="J13" s="15" t="s">
        <v>15991</v>
      </c>
    </row>
    <row r="14" spans="2:10">
      <c r="B14" s="15" t="s">
        <v>20202</v>
      </c>
      <c r="C14" s="15" t="s">
        <v>16183</v>
      </c>
      <c r="D14" s="15" t="s">
        <v>327</v>
      </c>
      <c r="E14" s="15" t="s">
        <v>305</v>
      </c>
      <c r="F14" s="15" t="s">
        <v>16523</v>
      </c>
      <c r="G14" s="15"/>
      <c r="H14" s="15"/>
      <c r="I14" s="15" t="s">
        <v>528</v>
      </c>
      <c r="J14" s="15" t="s">
        <v>15991</v>
      </c>
    </row>
    <row r="15" spans="2:10">
      <c r="B15" s="15" t="s">
        <v>20202</v>
      </c>
      <c r="C15" s="15" t="s">
        <v>16086</v>
      </c>
      <c r="D15" s="15" t="s">
        <v>327</v>
      </c>
      <c r="E15" s="15" t="s">
        <v>305</v>
      </c>
      <c r="F15" s="15" t="s">
        <v>301</v>
      </c>
      <c r="G15" s="15"/>
      <c r="H15" s="15"/>
      <c r="I15" s="15" t="s">
        <v>528</v>
      </c>
      <c r="J15" s="15" t="s">
        <v>15991</v>
      </c>
    </row>
    <row r="16" spans="2:10">
      <c r="B16" s="15" t="s">
        <v>20202</v>
      </c>
      <c r="C16" s="15" t="s">
        <v>16009</v>
      </c>
      <c r="D16" s="15" t="s">
        <v>316</v>
      </c>
      <c r="E16" s="15" t="s">
        <v>305</v>
      </c>
      <c r="F16" s="15" t="s">
        <v>16010</v>
      </c>
      <c r="G16" s="15"/>
      <c r="H16" s="15"/>
      <c r="I16" s="15" t="s">
        <v>528</v>
      </c>
      <c r="J16" s="15" t="s">
        <v>15991</v>
      </c>
    </row>
    <row r="17" spans="2:10">
      <c r="B17" s="15" t="s">
        <v>20202</v>
      </c>
      <c r="C17" s="15" t="s">
        <v>16011</v>
      </c>
      <c r="D17" s="15" t="s">
        <v>316</v>
      </c>
      <c r="E17" s="15" t="s">
        <v>305</v>
      </c>
      <c r="F17" s="15" t="s">
        <v>16012</v>
      </c>
      <c r="G17" s="15"/>
      <c r="H17" s="15"/>
      <c r="I17" s="15" t="s">
        <v>528</v>
      </c>
      <c r="J17" s="15" t="s">
        <v>15991</v>
      </c>
    </row>
    <row r="18" spans="2:10">
      <c r="B18" s="15" t="s">
        <v>20202</v>
      </c>
      <c r="C18" s="15" t="s">
        <v>16013</v>
      </c>
      <c r="D18" s="15" t="s">
        <v>371</v>
      </c>
      <c r="E18" s="15" t="s">
        <v>305</v>
      </c>
      <c r="F18" s="15" t="s">
        <v>16014</v>
      </c>
      <c r="G18" s="15"/>
      <c r="H18" s="15"/>
      <c r="I18" s="15" t="s">
        <v>528</v>
      </c>
      <c r="J18" s="15" t="s">
        <v>15991</v>
      </c>
    </row>
    <row r="19" spans="2:10">
      <c r="B19" s="15" t="s">
        <v>20202</v>
      </c>
      <c r="C19" s="15" t="s">
        <v>16015</v>
      </c>
      <c r="D19" s="15" t="s">
        <v>316</v>
      </c>
      <c r="E19" s="15" t="s">
        <v>305</v>
      </c>
      <c r="F19" s="15" t="s">
        <v>16016</v>
      </c>
      <c r="G19" s="15"/>
      <c r="H19" s="15"/>
      <c r="I19" s="15" t="s">
        <v>528</v>
      </c>
      <c r="J19" s="15" t="s">
        <v>15991</v>
      </c>
    </row>
    <row r="20" spans="2:10">
      <c r="B20" s="15" t="s">
        <v>20202</v>
      </c>
      <c r="C20" s="15" t="s">
        <v>16017</v>
      </c>
      <c r="D20" s="15" t="s">
        <v>316</v>
      </c>
      <c r="E20" s="15" t="s">
        <v>305</v>
      </c>
      <c r="F20" s="15" t="s">
        <v>16018</v>
      </c>
      <c r="G20" s="15"/>
      <c r="H20" s="15"/>
      <c r="I20" s="15" t="s">
        <v>528</v>
      </c>
      <c r="J20" s="15" t="s">
        <v>15991</v>
      </c>
    </row>
    <row r="21" spans="2:10">
      <c r="B21" s="15" t="s">
        <v>20202</v>
      </c>
      <c r="C21" s="15" t="s">
        <v>16019</v>
      </c>
      <c r="D21" s="15" t="s">
        <v>371</v>
      </c>
      <c r="E21" s="15" t="s">
        <v>305</v>
      </c>
      <c r="F21" s="15" t="s">
        <v>16020</v>
      </c>
      <c r="G21" s="15"/>
      <c r="H21" s="15"/>
      <c r="I21" s="15" t="s">
        <v>528</v>
      </c>
      <c r="J21" s="15" t="s">
        <v>15991</v>
      </c>
    </row>
    <row r="22" spans="2:10">
      <c r="B22" s="15" t="s">
        <v>20202</v>
      </c>
      <c r="C22" s="15" t="s">
        <v>16237</v>
      </c>
      <c r="D22" s="15" t="s">
        <v>371</v>
      </c>
      <c r="E22" s="15" t="s">
        <v>305</v>
      </c>
      <c r="F22" s="15" t="s">
        <v>16014</v>
      </c>
      <c r="G22" s="15"/>
      <c r="H22" s="15"/>
      <c r="I22" s="15" t="s">
        <v>528</v>
      </c>
      <c r="J22" s="15" t="s">
        <v>15991</v>
      </c>
    </row>
    <row r="23" spans="2:10">
      <c r="B23" s="15" t="s">
        <v>20202</v>
      </c>
      <c r="C23" s="15" t="s">
        <v>16239</v>
      </c>
      <c r="D23" s="15" t="s">
        <v>371</v>
      </c>
      <c r="E23" s="15" t="s">
        <v>305</v>
      </c>
      <c r="F23" s="15" t="s">
        <v>16020</v>
      </c>
      <c r="G23" s="15"/>
      <c r="H23" s="15"/>
      <c r="I23" s="15" t="s">
        <v>528</v>
      </c>
      <c r="J23" s="15" t="s">
        <v>15991</v>
      </c>
    </row>
    <row r="24" spans="2:10">
      <c r="B24" s="15" t="s">
        <v>20202</v>
      </c>
      <c r="C24" s="15" t="s">
        <v>16241</v>
      </c>
      <c r="D24" s="15" t="s">
        <v>506</v>
      </c>
      <c r="E24" s="15" t="s">
        <v>305</v>
      </c>
      <c r="F24" s="15" t="s">
        <v>16010</v>
      </c>
      <c r="G24" s="15"/>
      <c r="H24" s="15"/>
      <c r="I24" s="15" t="s">
        <v>528</v>
      </c>
      <c r="J24" s="15" t="s">
        <v>15991</v>
      </c>
    </row>
    <row r="25" spans="2:10">
      <c r="B25" s="15" t="s">
        <v>20202</v>
      </c>
      <c r="C25" s="15" t="s">
        <v>16053</v>
      </c>
      <c r="D25" s="15" t="s">
        <v>506</v>
      </c>
      <c r="E25" s="15" t="s">
        <v>305</v>
      </c>
      <c r="F25" s="15" t="s">
        <v>16012</v>
      </c>
      <c r="G25" s="15"/>
      <c r="H25" s="15"/>
      <c r="I25" s="15" t="s">
        <v>528</v>
      </c>
      <c r="J25" s="15" t="s">
        <v>15991</v>
      </c>
    </row>
    <row r="26" spans="2:10">
      <c r="B26" s="15" t="s">
        <v>20202</v>
      </c>
      <c r="C26" s="15" t="s">
        <v>16243</v>
      </c>
      <c r="D26" s="15" t="s">
        <v>506</v>
      </c>
      <c r="E26" s="15" t="s">
        <v>305</v>
      </c>
      <c r="F26" s="15" t="s">
        <v>16018</v>
      </c>
      <c r="G26" s="15"/>
      <c r="H26" s="15"/>
      <c r="I26" s="15" t="s">
        <v>528</v>
      </c>
      <c r="J26" s="15" t="s">
        <v>15991</v>
      </c>
    </row>
  </sheetData>
  <pageMargins left="0.75" right="0.75" top="1" bottom="1" header="0.5" footer="0.5"/>
  <pageSetup paperSize="1" orientation="portrait" horizontalDpi="300" verticalDpi="300"/>
  <headerFooter alignWithMargins="0" scaleWithDoc="0"/>
</worksheet>
</file>

<file path=xl/worksheets/sheet1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1"/>
  <sheetViews>
    <sheetView zoomScaleSheetLayoutView="60" workbookViewId="0">
      <selection activeCell="A1" sqref="A1"/>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52" t="str">
        <f>HYPERLINK("#表结构清单!A1","返回")</f>
        <v>返回</v>
      </c>
      <c r="B1" t="s">
        <v>20212</v>
      </c>
    </row>
    <row r="2" spans="2:10">
      <c r="B2" s="13" t="s">
        <v>15982</v>
      </c>
      <c r="C2" s="13" t="s">
        <v>297</v>
      </c>
      <c r="D2" s="13" t="s">
        <v>11870</v>
      </c>
      <c r="E2" s="13" t="s">
        <v>15983</v>
      </c>
      <c r="F2" s="13" t="s">
        <v>15984</v>
      </c>
      <c r="G2" s="13" t="s">
        <v>300</v>
      </c>
      <c r="H2" s="13" t="s">
        <v>301</v>
      </c>
      <c r="I2" s="13" t="s">
        <v>15985</v>
      </c>
      <c r="J2" s="13" t="s">
        <v>15986</v>
      </c>
    </row>
    <row r="3" spans="2:10">
      <c r="B3" s="15" t="s">
        <v>20213</v>
      </c>
      <c r="C3" s="15" t="s">
        <v>16622</v>
      </c>
      <c r="D3" s="15" t="s">
        <v>316</v>
      </c>
      <c r="E3" s="15" t="s">
        <v>15989</v>
      </c>
      <c r="F3" s="15" t="s">
        <v>20214</v>
      </c>
      <c r="G3" s="15"/>
      <c r="H3" s="15"/>
      <c r="I3" s="15" t="s">
        <v>528</v>
      </c>
      <c r="J3" s="15" t="s">
        <v>15991</v>
      </c>
    </row>
    <row r="4" spans="2:10">
      <c r="B4" s="15" t="s">
        <v>20213</v>
      </c>
      <c r="C4" s="15" t="s">
        <v>20215</v>
      </c>
      <c r="D4" s="15" t="s">
        <v>321</v>
      </c>
      <c r="E4" s="15" t="s">
        <v>15989</v>
      </c>
      <c r="F4" s="15" t="s">
        <v>20216</v>
      </c>
      <c r="G4" s="15"/>
      <c r="H4" s="15"/>
      <c r="I4" s="15" t="s">
        <v>528</v>
      </c>
      <c r="J4" s="15" t="s">
        <v>15991</v>
      </c>
    </row>
    <row r="5" spans="2:10">
      <c r="B5" s="15" t="s">
        <v>20213</v>
      </c>
      <c r="C5" s="15" t="s">
        <v>20217</v>
      </c>
      <c r="D5" s="15" t="s">
        <v>316</v>
      </c>
      <c r="E5" s="15" t="s">
        <v>15989</v>
      </c>
      <c r="F5" s="15" t="s">
        <v>20218</v>
      </c>
      <c r="G5" s="15"/>
      <c r="H5" s="15"/>
      <c r="I5" s="15" t="s">
        <v>528</v>
      </c>
      <c r="J5" s="15" t="s">
        <v>15991</v>
      </c>
    </row>
    <row r="6" spans="2:10">
      <c r="B6" s="15" t="s">
        <v>20213</v>
      </c>
      <c r="C6" s="15" t="s">
        <v>16009</v>
      </c>
      <c r="D6" s="15" t="s">
        <v>316</v>
      </c>
      <c r="E6" s="15" t="s">
        <v>305</v>
      </c>
      <c r="F6" s="15" t="s">
        <v>16010</v>
      </c>
      <c r="G6" s="15"/>
      <c r="H6" s="15"/>
      <c r="I6" s="15" t="s">
        <v>528</v>
      </c>
      <c r="J6" s="15" t="s">
        <v>15991</v>
      </c>
    </row>
    <row r="7" spans="2:10">
      <c r="B7" s="15" t="s">
        <v>20213</v>
      </c>
      <c r="C7" s="15" t="s">
        <v>16011</v>
      </c>
      <c r="D7" s="15" t="s">
        <v>316</v>
      </c>
      <c r="E7" s="15" t="s">
        <v>305</v>
      </c>
      <c r="F7" s="15" t="s">
        <v>20219</v>
      </c>
      <c r="G7" s="15"/>
      <c r="H7" s="15"/>
      <c r="I7" s="15" t="s">
        <v>528</v>
      </c>
      <c r="J7" s="15" t="s">
        <v>15991</v>
      </c>
    </row>
    <row r="8" spans="2:10">
      <c r="B8" s="15" t="s">
        <v>20213</v>
      </c>
      <c r="C8" s="15" t="s">
        <v>16013</v>
      </c>
      <c r="D8" s="15" t="s">
        <v>371</v>
      </c>
      <c r="E8" s="15" t="s">
        <v>305</v>
      </c>
      <c r="F8" s="15" t="s">
        <v>16014</v>
      </c>
      <c r="G8" s="15"/>
      <c r="H8" s="15"/>
      <c r="I8" s="15" t="s">
        <v>528</v>
      </c>
      <c r="J8" s="15" t="s">
        <v>15991</v>
      </c>
    </row>
    <row r="9" spans="2:10">
      <c r="B9" s="15" t="s">
        <v>20213</v>
      </c>
      <c r="C9" s="15" t="s">
        <v>16015</v>
      </c>
      <c r="D9" s="15" t="s">
        <v>316</v>
      </c>
      <c r="E9" s="15" t="s">
        <v>305</v>
      </c>
      <c r="F9" s="15" t="s">
        <v>16016</v>
      </c>
      <c r="G9" s="15"/>
      <c r="H9" s="15"/>
      <c r="I9" s="15" t="s">
        <v>528</v>
      </c>
      <c r="J9" s="15" t="s">
        <v>15991</v>
      </c>
    </row>
    <row r="10" spans="2:10">
      <c r="B10" s="15" t="s">
        <v>20213</v>
      </c>
      <c r="C10" s="15" t="s">
        <v>16017</v>
      </c>
      <c r="D10" s="15" t="s">
        <v>316</v>
      </c>
      <c r="E10" s="15" t="s">
        <v>305</v>
      </c>
      <c r="F10" s="15" t="s">
        <v>20220</v>
      </c>
      <c r="G10" s="15"/>
      <c r="H10" s="15"/>
      <c r="I10" s="15" t="s">
        <v>528</v>
      </c>
      <c r="J10" s="15" t="s">
        <v>15991</v>
      </c>
    </row>
    <row r="11" spans="2:10">
      <c r="B11" s="15" t="s">
        <v>20213</v>
      </c>
      <c r="C11" s="15" t="s">
        <v>16019</v>
      </c>
      <c r="D11" s="15" t="s">
        <v>371</v>
      </c>
      <c r="E11" s="15" t="s">
        <v>305</v>
      </c>
      <c r="F11" s="15" t="s">
        <v>16020</v>
      </c>
      <c r="G11" s="15"/>
      <c r="H11" s="15"/>
      <c r="I11" s="15" t="s">
        <v>528</v>
      </c>
      <c r="J11" s="15" t="s">
        <v>15991</v>
      </c>
    </row>
  </sheetData>
  <pageMargins left="0.75" right="0.75" top="1" bottom="1" header="0.5" footer="0.5"/>
  <pageSetup paperSize="1" orientation="portrait" horizontalDpi="300" verticalDpi="300"/>
  <headerFooter alignWithMargins="0" scaleWithDoc="0"/>
</worksheet>
</file>

<file path=xl/worksheets/sheet1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44"/>
  <sheetViews>
    <sheetView zoomScaleSheetLayoutView="60" workbookViewId="0">
      <selection activeCell="A1" sqref="A1"/>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52" t="str">
        <f>HYPERLINK("#表结构清单!A1","返回")</f>
        <v>返回</v>
      </c>
      <c r="B1" t="s">
        <v>20221</v>
      </c>
    </row>
    <row r="2" spans="2:10">
      <c r="B2" s="13" t="s">
        <v>15982</v>
      </c>
      <c r="C2" s="13" t="s">
        <v>297</v>
      </c>
      <c r="D2" s="13" t="s">
        <v>11870</v>
      </c>
      <c r="E2" s="13" t="s">
        <v>15983</v>
      </c>
      <c r="F2" s="13" t="s">
        <v>15984</v>
      </c>
      <c r="G2" s="13" t="s">
        <v>300</v>
      </c>
      <c r="H2" s="13" t="s">
        <v>301</v>
      </c>
      <c r="I2" s="13" t="s">
        <v>15985</v>
      </c>
      <c r="J2" s="13" t="s">
        <v>15986</v>
      </c>
    </row>
    <row r="3" spans="2:10">
      <c r="B3" s="15" t="s">
        <v>20222</v>
      </c>
      <c r="C3" s="15" t="s">
        <v>16622</v>
      </c>
      <c r="D3" s="15" t="s">
        <v>316</v>
      </c>
      <c r="E3" s="15" t="s">
        <v>15989</v>
      </c>
      <c r="F3" s="15" t="s">
        <v>20214</v>
      </c>
      <c r="G3" s="15"/>
      <c r="H3" s="15"/>
      <c r="I3" s="15" t="s">
        <v>528</v>
      </c>
      <c r="J3" s="15" t="s">
        <v>15991</v>
      </c>
    </row>
    <row r="4" spans="2:10">
      <c r="B4" s="15" t="s">
        <v>20222</v>
      </c>
      <c r="C4" s="15" t="s">
        <v>16325</v>
      </c>
      <c r="D4" s="15" t="s">
        <v>316</v>
      </c>
      <c r="E4" s="15" t="s">
        <v>305</v>
      </c>
      <c r="F4" s="15" t="s">
        <v>16326</v>
      </c>
      <c r="G4" s="15"/>
      <c r="H4" s="15"/>
      <c r="I4" s="15" t="s">
        <v>528</v>
      </c>
      <c r="J4" s="15" t="s">
        <v>15991</v>
      </c>
    </row>
    <row r="5" spans="2:10">
      <c r="B5" s="15" t="s">
        <v>20222</v>
      </c>
      <c r="C5" s="15" t="s">
        <v>19874</v>
      </c>
      <c r="D5" s="15" t="s">
        <v>506</v>
      </c>
      <c r="E5" s="15" t="s">
        <v>305</v>
      </c>
      <c r="F5" s="15" t="s">
        <v>19980</v>
      </c>
      <c r="G5" s="15"/>
      <c r="H5" s="15"/>
      <c r="I5" s="15" t="s">
        <v>528</v>
      </c>
      <c r="J5" s="15" t="s">
        <v>15991</v>
      </c>
    </row>
    <row r="6" spans="2:10">
      <c r="B6" s="15" t="s">
        <v>20222</v>
      </c>
      <c r="C6" s="15" t="s">
        <v>20223</v>
      </c>
      <c r="D6" s="15" t="s">
        <v>316</v>
      </c>
      <c r="E6" s="15" t="s">
        <v>305</v>
      </c>
      <c r="F6" s="15" t="s">
        <v>20224</v>
      </c>
      <c r="G6" s="52" t="str">
        <f>HYPERLINK("#码值映射清单!B7700","OrgLevel")</f>
        <v>OrgLevel</v>
      </c>
      <c r="H6" s="15"/>
      <c r="I6" s="15" t="s">
        <v>528</v>
      </c>
      <c r="J6" s="15" t="s">
        <v>15991</v>
      </c>
    </row>
    <row r="7" spans="2:10">
      <c r="B7" s="15" t="s">
        <v>20222</v>
      </c>
      <c r="C7" s="15" t="s">
        <v>20225</v>
      </c>
      <c r="D7" s="15" t="s">
        <v>327</v>
      </c>
      <c r="E7" s="15" t="s">
        <v>305</v>
      </c>
      <c r="F7" s="15" t="s">
        <v>20226</v>
      </c>
      <c r="G7" s="15"/>
      <c r="H7" s="15"/>
      <c r="I7" s="15" t="s">
        <v>528</v>
      </c>
      <c r="J7" s="15" t="s">
        <v>15991</v>
      </c>
    </row>
    <row r="8" spans="2:10">
      <c r="B8" s="15" t="s">
        <v>20222</v>
      </c>
      <c r="C8" s="15" t="s">
        <v>20227</v>
      </c>
      <c r="D8" s="15" t="s">
        <v>316</v>
      </c>
      <c r="E8" s="15" t="s">
        <v>305</v>
      </c>
      <c r="F8" s="15" t="s">
        <v>20228</v>
      </c>
      <c r="G8" s="15"/>
      <c r="H8" s="15"/>
      <c r="I8" s="15" t="s">
        <v>528</v>
      </c>
      <c r="J8" s="15" t="s">
        <v>15991</v>
      </c>
    </row>
    <row r="9" spans="2:10">
      <c r="B9" s="15" t="s">
        <v>20222</v>
      </c>
      <c r="C9" s="15" t="s">
        <v>20229</v>
      </c>
      <c r="D9" s="15" t="s">
        <v>316</v>
      </c>
      <c r="E9" s="15" t="s">
        <v>305</v>
      </c>
      <c r="F9" s="15" t="s">
        <v>20230</v>
      </c>
      <c r="G9" s="15"/>
      <c r="H9" s="15"/>
      <c r="I9" s="15" t="s">
        <v>528</v>
      </c>
      <c r="J9" s="15" t="s">
        <v>15991</v>
      </c>
    </row>
    <row r="10" spans="2:10">
      <c r="B10" s="15" t="s">
        <v>20222</v>
      </c>
      <c r="C10" s="15" t="s">
        <v>20231</v>
      </c>
      <c r="D10" s="15" t="s">
        <v>316</v>
      </c>
      <c r="E10" s="15" t="s">
        <v>305</v>
      </c>
      <c r="F10" s="15" t="s">
        <v>20232</v>
      </c>
      <c r="G10" s="15"/>
      <c r="H10" s="15"/>
      <c r="I10" s="15" t="s">
        <v>528</v>
      </c>
      <c r="J10" s="15" t="s">
        <v>15991</v>
      </c>
    </row>
    <row r="11" spans="2:10">
      <c r="B11" s="15" t="s">
        <v>20222</v>
      </c>
      <c r="C11" s="15" t="s">
        <v>20233</v>
      </c>
      <c r="D11" s="15" t="s">
        <v>316</v>
      </c>
      <c r="E11" s="15" t="s">
        <v>305</v>
      </c>
      <c r="F11" s="15" t="s">
        <v>20234</v>
      </c>
      <c r="G11" s="15"/>
      <c r="H11" s="15"/>
      <c r="I11" s="15" t="s">
        <v>528</v>
      </c>
      <c r="J11" s="15" t="s">
        <v>15991</v>
      </c>
    </row>
    <row r="12" spans="2:10">
      <c r="B12" s="15" t="s">
        <v>20222</v>
      </c>
      <c r="C12" s="15" t="s">
        <v>20235</v>
      </c>
      <c r="D12" s="15" t="s">
        <v>316</v>
      </c>
      <c r="E12" s="15" t="s">
        <v>305</v>
      </c>
      <c r="F12" s="15" t="s">
        <v>20236</v>
      </c>
      <c r="G12" s="15"/>
      <c r="H12" s="15"/>
      <c r="I12" s="15" t="s">
        <v>528</v>
      </c>
      <c r="J12" s="15" t="s">
        <v>15991</v>
      </c>
    </row>
    <row r="13" spans="2:10">
      <c r="B13" s="15" t="s">
        <v>20222</v>
      </c>
      <c r="C13" s="15" t="s">
        <v>20237</v>
      </c>
      <c r="D13" s="15" t="s">
        <v>316</v>
      </c>
      <c r="E13" s="15" t="s">
        <v>305</v>
      </c>
      <c r="F13" s="15" t="s">
        <v>20238</v>
      </c>
      <c r="G13" s="15"/>
      <c r="H13" s="15"/>
      <c r="I13" s="15" t="s">
        <v>528</v>
      </c>
      <c r="J13" s="15" t="s">
        <v>15991</v>
      </c>
    </row>
    <row r="14" spans="2:10">
      <c r="B14" s="15" t="s">
        <v>20222</v>
      </c>
      <c r="C14" s="15" t="s">
        <v>17782</v>
      </c>
      <c r="D14" s="15" t="s">
        <v>316</v>
      </c>
      <c r="E14" s="15" t="s">
        <v>305</v>
      </c>
      <c r="F14" s="15" t="s">
        <v>17783</v>
      </c>
      <c r="G14" s="15"/>
      <c r="H14" s="15"/>
      <c r="I14" s="15" t="s">
        <v>528</v>
      </c>
      <c r="J14" s="15" t="s">
        <v>15991</v>
      </c>
    </row>
    <row r="15" spans="2:10">
      <c r="B15" s="15" t="s">
        <v>20222</v>
      </c>
      <c r="C15" s="15" t="s">
        <v>20239</v>
      </c>
      <c r="D15" s="15" t="s">
        <v>316</v>
      </c>
      <c r="E15" s="15" t="s">
        <v>305</v>
      </c>
      <c r="F15" s="15" t="s">
        <v>20240</v>
      </c>
      <c r="G15" s="15"/>
      <c r="H15" s="15"/>
      <c r="I15" s="15" t="s">
        <v>528</v>
      </c>
      <c r="J15" s="15" t="s">
        <v>15991</v>
      </c>
    </row>
    <row r="16" spans="2:10">
      <c r="B16" s="15" t="s">
        <v>20222</v>
      </c>
      <c r="C16" s="15" t="s">
        <v>20241</v>
      </c>
      <c r="D16" s="15" t="s">
        <v>316</v>
      </c>
      <c r="E16" s="15" t="s">
        <v>305</v>
      </c>
      <c r="F16" s="15" t="s">
        <v>20242</v>
      </c>
      <c r="G16" s="15"/>
      <c r="H16" s="15"/>
      <c r="I16" s="15" t="s">
        <v>528</v>
      </c>
      <c r="J16" s="15" t="s">
        <v>15991</v>
      </c>
    </row>
    <row r="17" spans="2:10">
      <c r="B17" s="15" t="s">
        <v>20222</v>
      </c>
      <c r="C17" s="15" t="s">
        <v>20243</v>
      </c>
      <c r="D17" s="15" t="s">
        <v>316</v>
      </c>
      <c r="E17" s="15" t="s">
        <v>305</v>
      </c>
      <c r="F17" s="15" t="s">
        <v>20244</v>
      </c>
      <c r="G17" s="15"/>
      <c r="H17" s="15"/>
      <c r="I17" s="15" t="s">
        <v>528</v>
      </c>
      <c r="J17" s="15" t="s">
        <v>15991</v>
      </c>
    </row>
    <row r="18" spans="2:10">
      <c r="B18" s="15" t="s">
        <v>20222</v>
      </c>
      <c r="C18" s="15" t="s">
        <v>20245</v>
      </c>
      <c r="D18" s="15" t="s">
        <v>506</v>
      </c>
      <c r="E18" s="15" t="s">
        <v>305</v>
      </c>
      <c r="F18" s="15" t="s">
        <v>20246</v>
      </c>
      <c r="G18" s="15"/>
      <c r="H18" s="15"/>
      <c r="I18" s="15" t="s">
        <v>528</v>
      </c>
      <c r="J18" s="15" t="s">
        <v>15991</v>
      </c>
    </row>
    <row r="19" spans="2:10">
      <c r="B19" s="15" t="s">
        <v>20222</v>
      </c>
      <c r="C19" s="15" t="s">
        <v>20247</v>
      </c>
      <c r="D19" s="15" t="s">
        <v>513</v>
      </c>
      <c r="E19" s="15" t="s">
        <v>305</v>
      </c>
      <c r="F19" s="15" t="s">
        <v>20248</v>
      </c>
      <c r="G19" s="15"/>
      <c r="H19" s="15"/>
      <c r="I19" s="15" t="s">
        <v>528</v>
      </c>
      <c r="J19" s="15" t="s">
        <v>15991</v>
      </c>
    </row>
    <row r="20" spans="2:10">
      <c r="B20" s="15" t="s">
        <v>20222</v>
      </c>
      <c r="C20" s="15" t="s">
        <v>20249</v>
      </c>
      <c r="D20" s="15" t="s">
        <v>506</v>
      </c>
      <c r="E20" s="15" t="s">
        <v>305</v>
      </c>
      <c r="F20" s="15" t="s">
        <v>16032</v>
      </c>
      <c r="G20" s="15"/>
      <c r="H20" s="15"/>
      <c r="I20" s="15" t="s">
        <v>528</v>
      </c>
      <c r="J20" s="15" t="s">
        <v>15991</v>
      </c>
    </row>
    <row r="21" spans="2:10">
      <c r="B21" s="15" t="s">
        <v>20222</v>
      </c>
      <c r="C21" s="15" t="s">
        <v>20250</v>
      </c>
      <c r="D21" s="15" t="s">
        <v>513</v>
      </c>
      <c r="E21" s="15" t="s">
        <v>305</v>
      </c>
      <c r="F21" s="15" t="s">
        <v>20251</v>
      </c>
      <c r="G21" s="15"/>
      <c r="H21" s="15"/>
      <c r="I21" s="15" t="s">
        <v>528</v>
      </c>
      <c r="J21" s="15" t="s">
        <v>15991</v>
      </c>
    </row>
    <row r="22" spans="2:10">
      <c r="B22" s="15" t="s">
        <v>20222</v>
      </c>
      <c r="C22" s="15" t="s">
        <v>20252</v>
      </c>
      <c r="D22" s="15" t="s">
        <v>506</v>
      </c>
      <c r="E22" s="15" t="s">
        <v>305</v>
      </c>
      <c r="F22" s="15" t="s">
        <v>20253</v>
      </c>
      <c r="G22" s="15"/>
      <c r="H22" s="15"/>
      <c r="I22" s="15" t="s">
        <v>528</v>
      </c>
      <c r="J22" s="15" t="s">
        <v>15991</v>
      </c>
    </row>
    <row r="23" spans="2:10">
      <c r="B23" s="15" t="s">
        <v>20222</v>
      </c>
      <c r="C23" s="15" t="s">
        <v>20254</v>
      </c>
      <c r="D23" s="15" t="s">
        <v>16056</v>
      </c>
      <c r="E23" s="15" t="s">
        <v>305</v>
      </c>
      <c r="F23" s="15" t="s">
        <v>20255</v>
      </c>
      <c r="G23" s="15"/>
      <c r="H23" s="15"/>
      <c r="I23" s="15" t="s">
        <v>528</v>
      </c>
      <c r="J23" s="15" t="s">
        <v>15991</v>
      </c>
    </row>
    <row r="24" spans="2:10">
      <c r="B24" s="15" t="s">
        <v>20222</v>
      </c>
      <c r="C24" s="15" t="s">
        <v>20256</v>
      </c>
      <c r="D24" s="15" t="s">
        <v>16056</v>
      </c>
      <c r="E24" s="15" t="s">
        <v>305</v>
      </c>
      <c r="F24" s="15" t="s">
        <v>20257</v>
      </c>
      <c r="G24" s="15"/>
      <c r="H24" s="15"/>
      <c r="I24" s="15" t="s">
        <v>528</v>
      </c>
      <c r="J24" s="15" t="s">
        <v>15991</v>
      </c>
    </row>
    <row r="25" spans="2:10">
      <c r="B25" s="15" t="s">
        <v>20222</v>
      </c>
      <c r="C25" s="15" t="s">
        <v>20258</v>
      </c>
      <c r="D25" s="15" t="s">
        <v>506</v>
      </c>
      <c r="E25" s="15" t="s">
        <v>305</v>
      </c>
      <c r="F25" s="15" t="s">
        <v>20259</v>
      </c>
      <c r="G25" s="15"/>
      <c r="H25" s="15"/>
      <c r="I25" s="15" t="s">
        <v>528</v>
      </c>
      <c r="J25" s="15" t="s">
        <v>15991</v>
      </c>
    </row>
    <row r="26" spans="2:10">
      <c r="B26" s="15" t="s">
        <v>20222</v>
      </c>
      <c r="C26" s="15" t="s">
        <v>16086</v>
      </c>
      <c r="D26" s="15" t="s">
        <v>327</v>
      </c>
      <c r="E26" s="15" t="s">
        <v>305</v>
      </c>
      <c r="F26" s="15" t="s">
        <v>301</v>
      </c>
      <c r="G26" s="15"/>
      <c r="H26" s="15"/>
      <c r="I26" s="15" t="s">
        <v>528</v>
      </c>
      <c r="J26" s="15" t="s">
        <v>15991</v>
      </c>
    </row>
    <row r="27" spans="2:10">
      <c r="B27" s="15" t="s">
        <v>20222</v>
      </c>
      <c r="C27" s="15" t="s">
        <v>20217</v>
      </c>
      <c r="D27" s="15" t="s">
        <v>316</v>
      </c>
      <c r="E27" s="15" t="s">
        <v>305</v>
      </c>
      <c r="F27" s="15" t="s">
        <v>20260</v>
      </c>
      <c r="G27" s="15"/>
      <c r="H27" s="15"/>
      <c r="I27" s="15" t="s">
        <v>528</v>
      </c>
      <c r="J27" s="15" t="s">
        <v>15991</v>
      </c>
    </row>
    <row r="28" spans="2:10">
      <c r="B28" s="15" t="s">
        <v>20222</v>
      </c>
      <c r="C28" s="15" t="s">
        <v>20261</v>
      </c>
      <c r="D28" s="15" t="s">
        <v>513</v>
      </c>
      <c r="E28" s="15" t="s">
        <v>305</v>
      </c>
      <c r="F28" s="15" t="s">
        <v>20262</v>
      </c>
      <c r="G28" s="15"/>
      <c r="H28" s="15"/>
      <c r="I28" s="15" t="s">
        <v>528</v>
      </c>
      <c r="J28" s="15" t="s">
        <v>15991</v>
      </c>
    </row>
    <row r="29" spans="2:10">
      <c r="B29" s="15" t="s">
        <v>20222</v>
      </c>
      <c r="C29" s="15" t="s">
        <v>20263</v>
      </c>
      <c r="D29" s="15" t="s">
        <v>16056</v>
      </c>
      <c r="E29" s="15" t="s">
        <v>305</v>
      </c>
      <c r="F29" s="15" t="s">
        <v>20264</v>
      </c>
      <c r="G29" s="15"/>
      <c r="H29" s="15"/>
      <c r="I29" s="15" t="s">
        <v>528</v>
      </c>
      <c r="J29" s="15" t="s">
        <v>15991</v>
      </c>
    </row>
    <row r="30" spans="2:10">
      <c r="B30" s="15" t="s">
        <v>20222</v>
      </c>
      <c r="C30" s="15" t="s">
        <v>20265</v>
      </c>
      <c r="D30" s="15" t="s">
        <v>316</v>
      </c>
      <c r="E30" s="15" t="s">
        <v>305</v>
      </c>
      <c r="F30" s="15" t="s">
        <v>20266</v>
      </c>
      <c r="G30" s="15"/>
      <c r="H30" s="15"/>
      <c r="I30" s="15" t="s">
        <v>528</v>
      </c>
      <c r="J30" s="15" t="s">
        <v>15991</v>
      </c>
    </row>
    <row r="31" spans="2:10">
      <c r="B31" s="15" t="s">
        <v>20222</v>
      </c>
      <c r="C31" s="15" t="s">
        <v>16088</v>
      </c>
      <c r="D31" s="15" t="s">
        <v>316</v>
      </c>
      <c r="E31" s="15" t="s">
        <v>305</v>
      </c>
      <c r="F31" s="15" t="s">
        <v>20267</v>
      </c>
      <c r="G31" s="15"/>
      <c r="H31" s="15"/>
      <c r="I31" s="15" t="s">
        <v>528</v>
      </c>
      <c r="J31" s="15" t="s">
        <v>15991</v>
      </c>
    </row>
    <row r="32" spans="2:10">
      <c r="B32" s="15" t="s">
        <v>20222</v>
      </c>
      <c r="C32" s="15" t="s">
        <v>16009</v>
      </c>
      <c r="D32" s="15" t="s">
        <v>316</v>
      </c>
      <c r="E32" s="15" t="s">
        <v>305</v>
      </c>
      <c r="F32" s="15" t="s">
        <v>20268</v>
      </c>
      <c r="G32" s="15"/>
      <c r="H32" s="15"/>
      <c r="I32" s="15" t="s">
        <v>528</v>
      </c>
      <c r="J32" s="15" t="s">
        <v>15991</v>
      </c>
    </row>
    <row r="33" spans="2:10">
      <c r="B33" s="15" t="s">
        <v>20222</v>
      </c>
      <c r="C33" s="15" t="s">
        <v>16011</v>
      </c>
      <c r="D33" s="15" t="s">
        <v>316</v>
      </c>
      <c r="E33" s="15" t="s">
        <v>305</v>
      </c>
      <c r="F33" s="15" t="s">
        <v>20269</v>
      </c>
      <c r="G33" s="15"/>
      <c r="H33" s="15"/>
      <c r="I33" s="15" t="s">
        <v>528</v>
      </c>
      <c r="J33" s="15" t="s">
        <v>15991</v>
      </c>
    </row>
    <row r="34" spans="2:10">
      <c r="B34" s="15" t="s">
        <v>20222</v>
      </c>
      <c r="C34" s="15" t="s">
        <v>16015</v>
      </c>
      <c r="D34" s="15" t="s">
        <v>316</v>
      </c>
      <c r="E34" s="15" t="s">
        <v>305</v>
      </c>
      <c r="F34" s="15" t="s">
        <v>20270</v>
      </c>
      <c r="G34" s="15"/>
      <c r="H34" s="15"/>
      <c r="I34" s="15" t="s">
        <v>528</v>
      </c>
      <c r="J34" s="15" t="s">
        <v>15991</v>
      </c>
    </row>
    <row r="35" spans="2:10">
      <c r="B35" s="15" t="s">
        <v>20222</v>
      </c>
      <c r="C35" s="15" t="s">
        <v>16017</v>
      </c>
      <c r="D35" s="15" t="s">
        <v>316</v>
      </c>
      <c r="E35" s="15" t="s">
        <v>305</v>
      </c>
      <c r="F35" s="15" t="s">
        <v>20271</v>
      </c>
      <c r="G35" s="15"/>
      <c r="H35" s="15"/>
      <c r="I35" s="15" t="s">
        <v>528</v>
      </c>
      <c r="J35" s="15" t="s">
        <v>15991</v>
      </c>
    </row>
    <row r="36" spans="2:10">
      <c r="B36" s="15" t="s">
        <v>20222</v>
      </c>
      <c r="C36" s="15" t="s">
        <v>16237</v>
      </c>
      <c r="D36" s="15" t="s">
        <v>316</v>
      </c>
      <c r="E36" s="15" t="s">
        <v>305</v>
      </c>
      <c r="F36" s="15" t="s">
        <v>16938</v>
      </c>
      <c r="G36" s="15"/>
      <c r="H36" s="15"/>
      <c r="I36" s="15" t="s">
        <v>528</v>
      </c>
      <c r="J36" s="15" t="s">
        <v>15991</v>
      </c>
    </row>
    <row r="37" spans="2:10">
      <c r="B37" s="15" t="s">
        <v>20222</v>
      </c>
      <c r="C37" s="15" t="s">
        <v>16239</v>
      </c>
      <c r="D37" s="15" t="s">
        <v>316</v>
      </c>
      <c r="E37" s="15" t="s">
        <v>305</v>
      </c>
      <c r="F37" s="15" t="s">
        <v>20272</v>
      </c>
      <c r="G37" s="15"/>
      <c r="H37" s="15"/>
      <c r="I37" s="15" t="s">
        <v>528</v>
      </c>
      <c r="J37" s="15" t="s">
        <v>15991</v>
      </c>
    </row>
    <row r="38" spans="2:10">
      <c r="B38" s="15" t="s">
        <v>20222</v>
      </c>
      <c r="C38" s="15" t="s">
        <v>16243</v>
      </c>
      <c r="D38" s="15" t="s">
        <v>316</v>
      </c>
      <c r="E38" s="15" t="s">
        <v>305</v>
      </c>
      <c r="F38" s="15" t="s">
        <v>19538</v>
      </c>
      <c r="G38" s="15"/>
      <c r="H38" s="15"/>
      <c r="I38" s="15" t="s">
        <v>528</v>
      </c>
      <c r="J38" s="15" t="s">
        <v>15991</v>
      </c>
    </row>
    <row r="39" spans="2:10">
      <c r="B39" s="15" t="s">
        <v>20222</v>
      </c>
      <c r="C39" s="15" t="s">
        <v>16053</v>
      </c>
      <c r="D39" s="15" t="s">
        <v>316</v>
      </c>
      <c r="E39" s="15" t="s">
        <v>305</v>
      </c>
      <c r="F39" s="15" t="s">
        <v>16935</v>
      </c>
      <c r="G39" s="15"/>
      <c r="H39" s="15"/>
      <c r="I39" s="15" t="s">
        <v>528</v>
      </c>
      <c r="J39" s="15" t="s">
        <v>15991</v>
      </c>
    </row>
    <row r="40" spans="2:10">
      <c r="B40" s="15" t="s">
        <v>20222</v>
      </c>
      <c r="C40" s="15" t="s">
        <v>16241</v>
      </c>
      <c r="D40" s="15" t="s">
        <v>316</v>
      </c>
      <c r="E40" s="15" t="s">
        <v>305</v>
      </c>
      <c r="F40" s="15" t="s">
        <v>19537</v>
      </c>
      <c r="G40" s="15"/>
      <c r="H40" s="15"/>
      <c r="I40" s="15" t="s">
        <v>528</v>
      </c>
      <c r="J40" s="15" t="s">
        <v>15991</v>
      </c>
    </row>
    <row r="41" spans="2:10">
      <c r="B41" s="15" t="s">
        <v>20222</v>
      </c>
      <c r="C41" s="15" t="s">
        <v>16532</v>
      </c>
      <c r="D41" s="15" t="s">
        <v>316</v>
      </c>
      <c r="E41" s="15" t="s">
        <v>305</v>
      </c>
      <c r="F41" s="15" t="s">
        <v>19539</v>
      </c>
      <c r="G41" s="15"/>
      <c r="H41" s="15"/>
      <c r="I41" s="15" t="s">
        <v>528</v>
      </c>
      <c r="J41" s="15" t="s">
        <v>15991</v>
      </c>
    </row>
    <row r="42" spans="2:10">
      <c r="B42" s="15" t="s">
        <v>20222</v>
      </c>
      <c r="C42" s="15" t="s">
        <v>16013</v>
      </c>
      <c r="D42" s="15" t="s">
        <v>316</v>
      </c>
      <c r="E42" s="15" t="s">
        <v>305</v>
      </c>
      <c r="F42" s="15" t="s">
        <v>16014</v>
      </c>
      <c r="G42" s="15"/>
      <c r="H42" s="15"/>
      <c r="I42" s="15" t="s">
        <v>528</v>
      </c>
      <c r="J42" s="15" t="s">
        <v>15991</v>
      </c>
    </row>
    <row r="43" spans="2:10">
      <c r="B43" s="15" t="s">
        <v>20222</v>
      </c>
      <c r="C43" s="15" t="s">
        <v>16019</v>
      </c>
      <c r="D43" s="15" t="s">
        <v>316</v>
      </c>
      <c r="E43" s="15" t="s">
        <v>305</v>
      </c>
      <c r="F43" s="15" t="s">
        <v>16020</v>
      </c>
      <c r="G43" s="15"/>
      <c r="H43" s="15"/>
      <c r="I43" s="15" t="s">
        <v>528</v>
      </c>
      <c r="J43" s="15" t="s">
        <v>15991</v>
      </c>
    </row>
    <row r="44" spans="2:10">
      <c r="B44" s="15" t="s">
        <v>20222</v>
      </c>
      <c r="C44" s="15" t="s">
        <v>20273</v>
      </c>
      <c r="D44" s="15" t="s">
        <v>513</v>
      </c>
      <c r="E44" s="15" t="s">
        <v>305</v>
      </c>
      <c r="F44" s="15" t="s">
        <v>905</v>
      </c>
      <c r="G44" s="52" t="str">
        <f>HYPERLINK("#码值映射清单!B1110","IsInUse")</f>
        <v>IsInUse</v>
      </c>
      <c r="H44" s="15"/>
      <c r="I44" s="15" t="s">
        <v>528</v>
      </c>
      <c r="J44" s="15" t="s">
        <v>15991</v>
      </c>
    </row>
  </sheetData>
  <pageMargins left="0.75" right="0.75" top="1" bottom="1" header="0.5" footer="0.5"/>
  <pageSetup paperSize="1" orientation="portrait" horizontalDpi="300" verticalDpi="300"/>
  <headerFooter alignWithMargins="0" scaleWithDoc="0"/>
</worksheet>
</file>

<file path=xl/worksheets/sheet1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6"/>
  <sheetViews>
    <sheetView zoomScaleSheetLayoutView="60" workbookViewId="0">
      <selection activeCell="A1" sqref="A1"/>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30.4196428571429" customWidth="1"/>
    <col min="10" max="10" width="11.7053571428571" customWidth="1"/>
  </cols>
  <sheetData>
    <row r="1" spans="1:2">
      <c r="A1" s="51" t="str">
        <f>HYPERLINK("#表结构清单!A1","返回")</f>
        <v>返回</v>
      </c>
      <c r="B1" t="s">
        <v>152</v>
      </c>
    </row>
    <row r="2" spans="2:10">
      <c r="B2" s="13" t="s">
        <v>15982</v>
      </c>
      <c r="C2" s="13" t="s">
        <v>297</v>
      </c>
      <c r="D2" s="13" t="s">
        <v>11870</v>
      </c>
      <c r="E2" s="13" t="s">
        <v>15983</v>
      </c>
      <c r="F2" s="13" t="s">
        <v>15984</v>
      </c>
      <c r="G2" s="13" t="s">
        <v>300</v>
      </c>
      <c r="H2" s="13" t="s">
        <v>301</v>
      </c>
      <c r="I2" s="13" t="s">
        <v>15985</v>
      </c>
      <c r="J2" s="13" t="s">
        <v>15986</v>
      </c>
    </row>
    <row r="3" spans="2:10">
      <c r="B3" s="15" t="s">
        <v>20274</v>
      </c>
      <c r="C3" s="15" t="s">
        <v>15988</v>
      </c>
      <c r="D3" s="15" t="s">
        <v>316</v>
      </c>
      <c r="E3" s="15" t="s">
        <v>15989</v>
      </c>
      <c r="F3" s="15" t="s">
        <v>15990</v>
      </c>
      <c r="G3" s="15"/>
      <c r="H3" s="15"/>
      <c r="I3" s="15" t="s">
        <v>528</v>
      </c>
      <c r="J3" s="15" t="s">
        <v>15991</v>
      </c>
    </row>
    <row r="4" spans="2:10">
      <c r="B4" s="15" t="s">
        <v>20274</v>
      </c>
      <c r="C4" s="15" t="s">
        <v>20275</v>
      </c>
      <c r="D4" s="15" t="s">
        <v>316</v>
      </c>
      <c r="E4" s="15" t="s">
        <v>305</v>
      </c>
      <c r="F4" s="15" t="s">
        <v>20276</v>
      </c>
      <c r="G4" s="52"/>
      <c r="H4" s="15"/>
      <c r="I4" s="15" t="s">
        <v>528</v>
      </c>
      <c r="J4" s="15" t="s">
        <v>15991</v>
      </c>
    </row>
    <row r="5" spans="2:10">
      <c r="B5" s="15" t="s">
        <v>20274</v>
      </c>
      <c r="C5" s="15" t="s">
        <v>20277</v>
      </c>
      <c r="D5" s="15" t="s">
        <v>316</v>
      </c>
      <c r="E5" s="15" t="s">
        <v>305</v>
      </c>
      <c r="F5" s="15" t="s">
        <v>20278</v>
      </c>
      <c r="G5" s="15"/>
      <c r="H5" s="15"/>
      <c r="I5" s="15" t="s">
        <v>528</v>
      </c>
      <c r="J5" s="15" t="s">
        <v>15991</v>
      </c>
    </row>
    <row r="6" spans="2:10">
      <c r="B6" s="15" t="s">
        <v>20274</v>
      </c>
      <c r="C6" s="15" t="s">
        <v>20279</v>
      </c>
      <c r="D6" s="15" t="s">
        <v>371</v>
      </c>
      <c r="E6" s="15" t="s">
        <v>305</v>
      </c>
      <c r="F6" s="15" t="s">
        <v>20280</v>
      </c>
      <c r="G6" s="15"/>
      <c r="H6" s="15"/>
      <c r="I6" s="15" t="s">
        <v>528</v>
      </c>
      <c r="J6" s="15" t="s">
        <v>15991</v>
      </c>
    </row>
    <row r="7" spans="2:10">
      <c r="B7" s="15" t="s">
        <v>20274</v>
      </c>
      <c r="C7" s="15" t="s">
        <v>20281</v>
      </c>
      <c r="D7" s="15" t="s">
        <v>371</v>
      </c>
      <c r="E7" s="15" t="s">
        <v>305</v>
      </c>
      <c r="F7" s="15" t="s">
        <v>20282</v>
      </c>
      <c r="G7" s="15"/>
      <c r="H7" s="15"/>
      <c r="I7" s="15" t="s">
        <v>528</v>
      </c>
      <c r="J7" s="15" t="s">
        <v>15991</v>
      </c>
    </row>
    <row r="8" spans="2:10">
      <c r="B8" s="15" t="s">
        <v>20274</v>
      </c>
      <c r="C8" s="15" t="s">
        <v>20283</v>
      </c>
      <c r="D8" s="15" t="s">
        <v>16087</v>
      </c>
      <c r="E8" s="15" t="s">
        <v>305</v>
      </c>
      <c r="F8" s="15" t="s">
        <v>20284</v>
      </c>
      <c r="G8" s="15"/>
      <c r="H8" s="15"/>
      <c r="I8" s="15" t="s">
        <v>528</v>
      </c>
      <c r="J8" s="15" t="s">
        <v>15991</v>
      </c>
    </row>
    <row r="9" spans="2:10">
      <c r="B9" s="15" t="s">
        <v>20274</v>
      </c>
      <c r="C9" s="15" t="s">
        <v>16086</v>
      </c>
      <c r="D9" s="15" t="s">
        <v>16087</v>
      </c>
      <c r="E9" s="15" t="s">
        <v>305</v>
      </c>
      <c r="F9" s="15" t="s">
        <v>301</v>
      </c>
      <c r="G9" s="15"/>
      <c r="H9" s="15"/>
      <c r="I9" s="15" t="s">
        <v>528</v>
      </c>
      <c r="J9" s="15" t="s">
        <v>15991</v>
      </c>
    </row>
    <row r="10" spans="2:10">
      <c r="B10" s="15" t="s">
        <v>20274</v>
      </c>
      <c r="C10" s="15" t="s">
        <v>16009</v>
      </c>
      <c r="D10" s="15" t="s">
        <v>316</v>
      </c>
      <c r="E10" s="15" t="s">
        <v>305</v>
      </c>
      <c r="F10" s="15" t="s">
        <v>16010</v>
      </c>
      <c r="G10" s="15"/>
      <c r="H10" s="15"/>
      <c r="I10" s="15" t="s">
        <v>528</v>
      </c>
      <c r="J10" s="15" t="s">
        <v>15991</v>
      </c>
    </row>
    <row r="11" spans="2:10">
      <c r="B11" s="15" t="s">
        <v>20274</v>
      </c>
      <c r="C11" s="15" t="s">
        <v>16011</v>
      </c>
      <c r="D11" s="15" t="s">
        <v>316</v>
      </c>
      <c r="E11" s="15" t="s">
        <v>305</v>
      </c>
      <c r="F11" s="15" t="s">
        <v>16012</v>
      </c>
      <c r="G11" s="15"/>
      <c r="H11" s="15"/>
      <c r="I11" s="15" t="s">
        <v>528</v>
      </c>
      <c r="J11" s="15" t="s">
        <v>15991</v>
      </c>
    </row>
    <row r="12" spans="2:10">
      <c r="B12" s="15" t="s">
        <v>20274</v>
      </c>
      <c r="C12" s="15" t="s">
        <v>16013</v>
      </c>
      <c r="D12" s="15" t="s">
        <v>371</v>
      </c>
      <c r="E12" s="15" t="s">
        <v>305</v>
      </c>
      <c r="F12" s="15" t="s">
        <v>16014</v>
      </c>
      <c r="G12" s="15"/>
      <c r="H12" s="15"/>
      <c r="I12" s="15" t="s">
        <v>528</v>
      </c>
      <c r="J12" s="15" t="s">
        <v>15991</v>
      </c>
    </row>
    <row r="13" spans="2:10">
      <c r="B13" s="15" t="s">
        <v>20274</v>
      </c>
      <c r="C13" s="15" t="s">
        <v>16015</v>
      </c>
      <c r="D13" s="15" t="s">
        <v>316</v>
      </c>
      <c r="E13" s="15" t="s">
        <v>305</v>
      </c>
      <c r="F13" s="15" t="s">
        <v>16016</v>
      </c>
      <c r="G13" s="15"/>
      <c r="H13" s="15"/>
      <c r="I13" s="15" t="s">
        <v>528</v>
      </c>
      <c r="J13" s="15" t="s">
        <v>15991</v>
      </c>
    </row>
    <row r="14" spans="2:10">
      <c r="B14" s="15" t="s">
        <v>20274</v>
      </c>
      <c r="C14" s="15" t="s">
        <v>16017</v>
      </c>
      <c r="D14" s="15" t="s">
        <v>316</v>
      </c>
      <c r="E14" s="15" t="s">
        <v>305</v>
      </c>
      <c r="F14" s="15" t="s">
        <v>16018</v>
      </c>
      <c r="G14" s="15"/>
      <c r="H14" s="15"/>
      <c r="I14" s="15" t="s">
        <v>528</v>
      </c>
      <c r="J14" s="15" t="s">
        <v>15991</v>
      </c>
    </row>
    <row r="15" spans="2:10">
      <c r="B15" s="15" t="s">
        <v>20274</v>
      </c>
      <c r="C15" s="15" t="s">
        <v>16019</v>
      </c>
      <c r="D15" s="15" t="s">
        <v>371</v>
      </c>
      <c r="E15" s="15" t="s">
        <v>305</v>
      </c>
      <c r="F15" s="15" t="s">
        <v>16020</v>
      </c>
      <c r="G15" s="15"/>
      <c r="H15" s="15"/>
      <c r="I15" s="15" t="s">
        <v>528</v>
      </c>
      <c r="J15" s="15" t="s">
        <v>15991</v>
      </c>
    </row>
    <row r="16" spans="2:10">
      <c r="B16" s="15" t="s">
        <v>20274</v>
      </c>
      <c r="C16" s="15" t="s">
        <v>16088</v>
      </c>
      <c r="D16" s="15" t="s">
        <v>316</v>
      </c>
      <c r="E16" s="15" t="s">
        <v>305</v>
      </c>
      <c r="F16" s="15" t="s">
        <v>16089</v>
      </c>
      <c r="G16" s="15"/>
      <c r="H16" s="15"/>
      <c r="I16" s="15" t="s">
        <v>528</v>
      </c>
      <c r="J16" s="15" t="s">
        <v>15991</v>
      </c>
    </row>
  </sheetData>
  <pageMargins left="0.75" right="0.75" top="1" bottom="1" header="0.5" footer="0.5"/>
  <pageSetup paperSize="1" orientation="portrait" horizontalDpi="300" verticalDpi="300"/>
  <headerFooter alignWithMargins="0" scaleWithDoc="0"/>
</worksheet>
</file>

<file path=xl/worksheets/sheet1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9"/>
  <sheetViews>
    <sheetView zoomScaleSheetLayoutView="60" workbookViewId="0">
      <selection activeCell="F9" sqref="F9"/>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52" t="str">
        <f>HYPERLINK("#表结构清单!A1","返回")</f>
        <v>返回</v>
      </c>
      <c r="B1" t="s">
        <v>153</v>
      </c>
    </row>
    <row r="2" spans="2:10">
      <c r="B2" s="13" t="s">
        <v>15982</v>
      </c>
      <c r="C2" s="13" t="s">
        <v>297</v>
      </c>
      <c r="D2" s="13" t="s">
        <v>11870</v>
      </c>
      <c r="E2" s="13" t="s">
        <v>15983</v>
      </c>
      <c r="F2" s="13" t="s">
        <v>15984</v>
      </c>
      <c r="G2" s="13" t="s">
        <v>300</v>
      </c>
      <c r="H2" s="13" t="s">
        <v>301</v>
      </c>
      <c r="I2" s="13" t="s">
        <v>15985</v>
      </c>
      <c r="J2" s="13" t="s">
        <v>15986</v>
      </c>
    </row>
    <row r="3" spans="2:10">
      <c r="B3" s="15" t="s">
        <v>20285</v>
      </c>
      <c r="C3" s="15" t="s">
        <v>20286</v>
      </c>
      <c r="D3" s="15" t="s">
        <v>316</v>
      </c>
      <c r="E3" s="15" t="s">
        <v>15989</v>
      </c>
      <c r="F3" s="15" t="s">
        <v>20287</v>
      </c>
      <c r="G3" s="15"/>
      <c r="H3" s="15"/>
      <c r="I3" s="15" t="s">
        <v>528</v>
      </c>
      <c r="J3" s="15" t="s">
        <v>15991</v>
      </c>
    </row>
    <row r="4" spans="2:10">
      <c r="B4" s="15" t="s">
        <v>20285</v>
      </c>
      <c r="C4" s="15" t="s">
        <v>391</v>
      </c>
      <c r="D4" s="15" t="s">
        <v>506</v>
      </c>
      <c r="E4" s="15" t="s">
        <v>15989</v>
      </c>
      <c r="F4" s="15" t="s">
        <v>20288</v>
      </c>
      <c r="G4" s="52" t="str">
        <f>HYPERLINK("#码值映射清单!B1366","BaseRateType")</f>
        <v>BaseRateType</v>
      </c>
      <c r="H4" s="15"/>
      <c r="I4" s="15" t="s">
        <v>528</v>
      </c>
      <c r="J4" s="15" t="s">
        <v>15991</v>
      </c>
    </row>
    <row r="5" spans="2:10">
      <c r="B5" s="15" t="s">
        <v>20285</v>
      </c>
      <c r="C5" s="15" t="s">
        <v>512</v>
      </c>
      <c r="D5" s="15" t="s">
        <v>316</v>
      </c>
      <c r="E5" s="15" t="s">
        <v>15989</v>
      </c>
      <c r="F5" s="15" t="s">
        <v>334</v>
      </c>
      <c r="G5" s="15"/>
      <c r="H5" s="15"/>
      <c r="I5" s="15" t="s">
        <v>528</v>
      </c>
      <c r="J5" s="15" t="s">
        <v>15991</v>
      </c>
    </row>
    <row r="6" spans="2:10">
      <c r="B6" s="15" t="s">
        <v>20285</v>
      </c>
      <c r="C6" s="15" t="s">
        <v>19533</v>
      </c>
      <c r="D6" s="15" t="s">
        <v>513</v>
      </c>
      <c r="E6" s="15" t="s">
        <v>15989</v>
      </c>
      <c r="F6" s="15" t="s">
        <v>16123</v>
      </c>
      <c r="G6" s="15"/>
      <c r="H6" s="15"/>
      <c r="I6" s="15" t="s">
        <v>528</v>
      </c>
      <c r="J6" s="15" t="s">
        <v>15991</v>
      </c>
    </row>
    <row r="7" spans="2:10">
      <c r="B7" s="15" t="s">
        <v>20285</v>
      </c>
      <c r="C7" s="15" t="s">
        <v>20289</v>
      </c>
      <c r="D7" s="15" t="s">
        <v>316</v>
      </c>
      <c r="E7" s="15" t="s">
        <v>15989</v>
      </c>
      <c r="F7" s="15" t="s">
        <v>20290</v>
      </c>
      <c r="G7" s="52" t="str">
        <f>HYPERLINK("#码值映射清单!B6724","TermUnit")</f>
        <v>TermUnit</v>
      </c>
      <c r="H7" s="15"/>
      <c r="I7" s="15" t="s">
        <v>528</v>
      </c>
      <c r="J7" s="15" t="s">
        <v>15991</v>
      </c>
    </row>
    <row r="8" spans="2:10">
      <c r="B8" s="15" t="s">
        <v>20285</v>
      </c>
      <c r="C8" s="15" t="s">
        <v>18368</v>
      </c>
      <c r="D8" s="15" t="s">
        <v>16056</v>
      </c>
      <c r="E8" s="15" t="s">
        <v>15989</v>
      </c>
      <c r="F8" s="15" t="s">
        <v>20291</v>
      </c>
      <c r="G8" s="15"/>
      <c r="H8" s="15"/>
      <c r="I8" s="15" t="s">
        <v>528</v>
      </c>
      <c r="J8" s="15" t="s">
        <v>15991</v>
      </c>
    </row>
    <row r="9" spans="2:10">
      <c r="B9" s="15" t="s">
        <v>20285</v>
      </c>
      <c r="C9" s="15" t="s">
        <v>20292</v>
      </c>
      <c r="D9" s="15" t="s">
        <v>363</v>
      </c>
      <c r="E9" s="15" t="s">
        <v>305</v>
      </c>
      <c r="F9" s="15" t="s">
        <v>5518</v>
      </c>
      <c r="G9" s="15"/>
      <c r="H9" s="15"/>
      <c r="I9" s="15" t="s">
        <v>528</v>
      </c>
      <c r="J9" s="15" t="s">
        <v>15991</v>
      </c>
    </row>
    <row r="10" spans="2:10">
      <c r="B10" s="15" t="s">
        <v>20285</v>
      </c>
      <c r="C10" s="15" t="s">
        <v>16126</v>
      </c>
      <c r="D10" s="15" t="s">
        <v>316</v>
      </c>
      <c r="E10" s="15" t="s">
        <v>305</v>
      </c>
      <c r="F10" s="15" t="s">
        <v>905</v>
      </c>
      <c r="G10" s="52" t="str">
        <f>HYPERLINK("#码值映射清单!B156","Status")</f>
        <v>Status</v>
      </c>
      <c r="H10" s="15"/>
      <c r="I10" s="15" t="s">
        <v>528</v>
      </c>
      <c r="J10" s="15" t="s">
        <v>15991</v>
      </c>
    </row>
    <row r="11" spans="2:10">
      <c r="B11" s="15" t="s">
        <v>20285</v>
      </c>
      <c r="C11" s="15" t="s">
        <v>16086</v>
      </c>
      <c r="D11" s="15" t="s">
        <v>327</v>
      </c>
      <c r="E11" s="15" t="s">
        <v>305</v>
      </c>
      <c r="F11" s="15" t="s">
        <v>301</v>
      </c>
      <c r="G11" s="15"/>
      <c r="H11" s="15"/>
      <c r="I11" s="15" t="s">
        <v>528</v>
      </c>
      <c r="J11" s="15" t="s">
        <v>15991</v>
      </c>
    </row>
    <row r="12" spans="2:10">
      <c r="B12" s="15" t="s">
        <v>20285</v>
      </c>
      <c r="C12" s="15" t="s">
        <v>20293</v>
      </c>
      <c r="D12" s="15" t="s">
        <v>316</v>
      </c>
      <c r="E12" s="15" t="s">
        <v>305</v>
      </c>
      <c r="F12" s="15" t="s">
        <v>20294</v>
      </c>
      <c r="G12" s="52" t="str">
        <f>HYPERLINK("#码值映射清单!B4491","RateUnit")</f>
        <v>RateUnit</v>
      </c>
      <c r="H12" s="15"/>
      <c r="I12" s="15" t="s">
        <v>528</v>
      </c>
      <c r="J12" s="15" t="s">
        <v>15991</v>
      </c>
    </row>
    <row r="13" spans="2:10">
      <c r="B13" s="15" t="s">
        <v>20285</v>
      </c>
      <c r="C13" s="15" t="s">
        <v>16009</v>
      </c>
      <c r="D13" s="15" t="s">
        <v>316</v>
      </c>
      <c r="E13" s="15" t="s">
        <v>305</v>
      </c>
      <c r="F13" s="15" t="s">
        <v>16010</v>
      </c>
      <c r="G13" s="15"/>
      <c r="H13" s="15"/>
      <c r="I13" s="15" t="s">
        <v>528</v>
      </c>
      <c r="J13" s="15" t="s">
        <v>15991</v>
      </c>
    </row>
    <row r="14" spans="2:10">
      <c r="B14" s="15" t="s">
        <v>20285</v>
      </c>
      <c r="C14" s="15" t="s">
        <v>16011</v>
      </c>
      <c r="D14" s="15" t="s">
        <v>316</v>
      </c>
      <c r="E14" s="15" t="s">
        <v>305</v>
      </c>
      <c r="F14" s="15" t="s">
        <v>16012</v>
      </c>
      <c r="G14" s="15"/>
      <c r="H14" s="15"/>
      <c r="I14" s="15" t="s">
        <v>528</v>
      </c>
      <c r="J14" s="15" t="s">
        <v>15991</v>
      </c>
    </row>
    <row r="15" spans="2:10">
      <c r="B15" s="15" t="s">
        <v>20285</v>
      </c>
      <c r="C15" s="15" t="s">
        <v>16013</v>
      </c>
      <c r="D15" s="15" t="s">
        <v>371</v>
      </c>
      <c r="E15" s="15" t="s">
        <v>305</v>
      </c>
      <c r="F15" s="15" t="s">
        <v>16014</v>
      </c>
      <c r="G15" s="15"/>
      <c r="H15" s="15"/>
      <c r="I15" s="15" t="s">
        <v>528</v>
      </c>
      <c r="J15" s="15" t="s">
        <v>15991</v>
      </c>
    </row>
    <row r="16" spans="2:10">
      <c r="B16" s="15" t="s">
        <v>20285</v>
      </c>
      <c r="C16" s="15" t="s">
        <v>16015</v>
      </c>
      <c r="D16" s="15" t="s">
        <v>316</v>
      </c>
      <c r="E16" s="15" t="s">
        <v>305</v>
      </c>
      <c r="F16" s="15" t="s">
        <v>16016</v>
      </c>
      <c r="G16" s="15"/>
      <c r="H16" s="15"/>
      <c r="I16" s="15" t="s">
        <v>528</v>
      </c>
      <c r="J16" s="15" t="s">
        <v>15991</v>
      </c>
    </row>
    <row r="17" spans="2:10">
      <c r="B17" s="15" t="s">
        <v>20285</v>
      </c>
      <c r="C17" s="15" t="s">
        <v>16017</v>
      </c>
      <c r="D17" s="15" t="s">
        <v>316</v>
      </c>
      <c r="E17" s="15" t="s">
        <v>305</v>
      </c>
      <c r="F17" s="15" t="s">
        <v>16018</v>
      </c>
      <c r="G17" s="15"/>
      <c r="H17" s="15"/>
      <c r="I17" s="15" t="s">
        <v>528</v>
      </c>
      <c r="J17" s="15" t="s">
        <v>15991</v>
      </c>
    </row>
    <row r="18" spans="2:10">
      <c r="B18" s="15" t="s">
        <v>20285</v>
      </c>
      <c r="C18" s="15" t="s">
        <v>16019</v>
      </c>
      <c r="D18" s="15" t="s">
        <v>371</v>
      </c>
      <c r="E18" s="15" t="s">
        <v>305</v>
      </c>
      <c r="F18" s="15" t="s">
        <v>16020</v>
      </c>
      <c r="G18" s="15"/>
      <c r="H18" s="15"/>
      <c r="I18" s="15" t="s">
        <v>528</v>
      </c>
      <c r="J18" s="15" t="s">
        <v>15991</v>
      </c>
    </row>
    <row r="19" spans="2:10">
      <c r="B19" s="15" t="s">
        <v>20285</v>
      </c>
      <c r="C19" s="15" t="s">
        <v>16088</v>
      </c>
      <c r="D19" s="15" t="s">
        <v>316</v>
      </c>
      <c r="E19" s="15" t="s">
        <v>305</v>
      </c>
      <c r="F19" s="15" t="s">
        <v>16089</v>
      </c>
      <c r="G19" s="15"/>
      <c r="H19" s="15"/>
      <c r="I19" s="15" t="s">
        <v>528</v>
      </c>
      <c r="J19" s="15" t="s">
        <v>15991</v>
      </c>
    </row>
  </sheetData>
  <pageMargins left="0.75" right="0.75" top="1" bottom="1" header="0.5" footer="0.5"/>
  <pageSetup paperSize="1" orientation="portrait" horizontalDpi="300" verticalDpi="300"/>
  <headerFooter alignWithMargins="0" scaleWithDoc="0"/>
</worksheet>
</file>

<file path=xl/worksheets/sheet1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1"/>
  <sheetViews>
    <sheetView zoomScaleSheetLayoutView="60" workbookViewId="0">
      <selection activeCell="D11" sqref="D11"/>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52" t="str">
        <f>HYPERLINK("#表结构清单!A1","返回")</f>
        <v>返回</v>
      </c>
      <c r="B1" t="s">
        <v>154</v>
      </c>
    </row>
    <row r="2" spans="2:10">
      <c r="B2" s="13" t="s">
        <v>15982</v>
      </c>
      <c r="C2" s="13" t="s">
        <v>297</v>
      </c>
      <c r="D2" s="13" t="s">
        <v>11870</v>
      </c>
      <c r="E2" s="13" t="s">
        <v>15983</v>
      </c>
      <c r="F2" s="13" t="s">
        <v>15984</v>
      </c>
      <c r="G2" s="13" t="s">
        <v>300</v>
      </c>
      <c r="H2" s="13" t="s">
        <v>301</v>
      </c>
      <c r="I2" s="13" t="s">
        <v>15985</v>
      </c>
      <c r="J2" s="13" t="s">
        <v>15986</v>
      </c>
    </row>
    <row r="3" spans="2:10">
      <c r="B3" s="15" t="s">
        <v>20295</v>
      </c>
      <c r="C3" s="15" t="s">
        <v>16671</v>
      </c>
      <c r="D3" s="15" t="s">
        <v>316</v>
      </c>
      <c r="E3" s="15" t="s">
        <v>15989</v>
      </c>
      <c r="F3" s="15" t="s">
        <v>16672</v>
      </c>
      <c r="G3" s="15"/>
      <c r="H3" s="15"/>
      <c r="I3" s="15" t="s">
        <v>528</v>
      </c>
      <c r="J3" s="15" t="s">
        <v>15991</v>
      </c>
    </row>
    <row r="4" spans="2:10">
      <c r="B4" s="15" t="s">
        <v>20295</v>
      </c>
      <c r="C4" s="15" t="s">
        <v>16325</v>
      </c>
      <c r="D4" s="15" t="s">
        <v>316</v>
      </c>
      <c r="E4" s="15" t="s">
        <v>305</v>
      </c>
      <c r="F4" s="15" t="s">
        <v>16326</v>
      </c>
      <c r="G4" s="15"/>
      <c r="H4" s="15"/>
      <c r="I4" s="15" t="s">
        <v>528</v>
      </c>
      <c r="J4" s="15" t="s">
        <v>15991</v>
      </c>
    </row>
    <row r="5" spans="2:10">
      <c r="B5" s="15" t="s">
        <v>20295</v>
      </c>
      <c r="C5" s="15" t="s">
        <v>20296</v>
      </c>
      <c r="D5" s="15" t="s">
        <v>506</v>
      </c>
      <c r="E5" s="15" t="s">
        <v>305</v>
      </c>
      <c r="F5" s="15" t="s">
        <v>20297</v>
      </c>
      <c r="G5" s="15"/>
      <c r="H5" s="15"/>
      <c r="I5" s="15" t="s">
        <v>528</v>
      </c>
      <c r="J5" s="15" t="s">
        <v>15991</v>
      </c>
    </row>
    <row r="6" spans="2:10">
      <c r="B6" s="15" t="s">
        <v>20295</v>
      </c>
      <c r="C6" s="15" t="s">
        <v>20298</v>
      </c>
      <c r="D6" s="15" t="s">
        <v>506</v>
      </c>
      <c r="E6" s="15" t="s">
        <v>305</v>
      </c>
      <c r="F6" s="15" t="s">
        <v>20299</v>
      </c>
      <c r="G6" s="15"/>
      <c r="H6" s="15"/>
      <c r="I6" s="15" t="s">
        <v>528</v>
      </c>
      <c r="J6" s="15" t="s">
        <v>15991</v>
      </c>
    </row>
    <row r="7" spans="2:10">
      <c r="B7" s="15" t="s">
        <v>20295</v>
      </c>
      <c r="C7" s="15" t="s">
        <v>20300</v>
      </c>
      <c r="D7" s="15" t="s">
        <v>327</v>
      </c>
      <c r="E7" s="15" t="s">
        <v>305</v>
      </c>
      <c r="F7" s="15" t="s">
        <v>20301</v>
      </c>
      <c r="G7" s="15"/>
      <c r="H7" s="15"/>
      <c r="I7" s="15" t="s">
        <v>528</v>
      </c>
      <c r="J7" s="15" t="s">
        <v>15991</v>
      </c>
    </row>
    <row r="8" spans="2:10">
      <c r="B8" s="15" t="s">
        <v>20295</v>
      </c>
      <c r="C8" s="15" t="s">
        <v>20302</v>
      </c>
      <c r="D8" s="15" t="s">
        <v>506</v>
      </c>
      <c r="E8" s="15" t="s">
        <v>305</v>
      </c>
      <c r="F8" s="15" t="s">
        <v>20303</v>
      </c>
      <c r="G8" s="52" t="str">
        <f>HYPERLINK("#码值映射清单!B1110","IsInUse")</f>
        <v>IsInUse</v>
      </c>
      <c r="H8" s="15"/>
      <c r="I8" s="15" t="s">
        <v>528</v>
      </c>
      <c r="J8" s="15" t="s">
        <v>15991</v>
      </c>
    </row>
    <row r="9" spans="2:10">
      <c r="B9" s="15" t="s">
        <v>20295</v>
      </c>
      <c r="C9" s="15" t="s">
        <v>16237</v>
      </c>
      <c r="D9" s="15" t="s">
        <v>316</v>
      </c>
      <c r="E9" s="15" t="s">
        <v>305</v>
      </c>
      <c r="F9" s="15" t="s">
        <v>16274</v>
      </c>
      <c r="G9" s="15"/>
      <c r="H9" s="15"/>
      <c r="I9" s="15" t="s">
        <v>528</v>
      </c>
      <c r="J9" s="15" t="s">
        <v>15991</v>
      </c>
    </row>
    <row r="10" spans="2:10">
      <c r="B10" s="15" t="s">
        <v>20295</v>
      </c>
      <c r="C10" s="15" t="s">
        <v>16086</v>
      </c>
      <c r="D10" s="15" t="s">
        <v>327</v>
      </c>
      <c r="E10" s="15" t="s">
        <v>305</v>
      </c>
      <c r="F10" s="15" t="s">
        <v>301</v>
      </c>
      <c r="G10" s="15"/>
      <c r="H10" s="15"/>
      <c r="I10" s="15" t="s">
        <v>528</v>
      </c>
      <c r="J10" s="15" t="s">
        <v>15991</v>
      </c>
    </row>
    <row r="11" spans="2:10">
      <c r="B11" s="15" t="s">
        <v>20295</v>
      </c>
      <c r="C11" s="15" t="s">
        <v>16009</v>
      </c>
      <c r="D11" s="15" t="s">
        <v>316</v>
      </c>
      <c r="E11" s="15" t="s">
        <v>305</v>
      </c>
      <c r="F11" s="15" t="s">
        <v>20304</v>
      </c>
      <c r="G11" s="15"/>
      <c r="H11" s="15"/>
      <c r="I11" s="15" t="s">
        <v>528</v>
      </c>
      <c r="J11" s="15" t="s">
        <v>15991</v>
      </c>
    </row>
    <row r="12" spans="2:10">
      <c r="B12" s="15" t="s">
        <v>20295</v>
      </c>
      <c r="C12" s="15" t="s">
        <v>16011</v>
      </c>
      <c r="D12" s="15" t="s">
        <v>316</v>
      </c>
      <c r="E12" s="15" t="s">
        <v>305</v>
      </c>
      <c r="F12" s="15" t="s">
        <v>20305</v>
      </c>
      <c r="G12" s="15"/>
      <c r="H12" s="15"/>
      <c r="I12" s="15" t="s">
        <v>528</v>
      </c>
      <c r="J12" s="15" t="s">
        <v>15991</v>
      </c>
    </row>
    <row r="13" spans="2:10">
      <c r="B13" s="15" t="s">
        <v>20295</v>
      </c>
      <c r="C13" s="15" t="s">
        <v>16015</v>
      </c>
      <c r="D13" s="15" t="s">
        <v>316</v>
      </c>
      <c r="E13" s="15" t="s">
        <v>305</v>
      </c>
      <c r="F13" s="15" t="s">
        <v>20306</v>
      </c>
      <c r="G13" s="15"/>
      <c r="H13" s="15"/>
      <c r="I13" s="15" t="s">
        <v>528</v>
      </c>
      <c r="J13" s="15" t="s">
        <v>15991</v>
      </c>
    </row>
    <row r="14" spans="2:10">
      <c r="B14" s="15" t="s">
        <v>20295</v>
      </c>
      <c r="C14" s="15" t="s">
        <v>16017</v>
      </c>
      <c r="D14" s="15" t="s">
        <v>316</v>
      </c>
      <c r="E14" s="15" t="s">
        <v>305</v>
      </c>
      <c r="F14" s="15" t="s">
        <v>20307</v>
      </c>
      <c r="G14" s="15"/>
      <c r="H14" s="15"/>
      <c r="I14" s="15" t="s">
        <v>528</v>
      </c>
      <c r="J14" s="15" t="s">
        <v>15991</v>
      </c>
    </row>
    <row r="15" spans="2:10">
      <c r="B15" s="15" t="s">
        <v>20295</v>
      </c>
      <c r="C15" s="15" t="s">
        <v>16243</v>
      </c>
      <c r="D15" s="15" t="s">
        <v>316</v>
      </c>
      <c r="E15" s="15" t="s">
        <v>305</v>
      </c>
      <c r="F15" s="15" t="s">
        <v>16018</v>
      </c>
      <c r="G15" s="15"/>
      <c r="H15" s="15"/>
      <c r="I15" s="15" t="s">
        <v>528</v>
      </c>
      <c r="J15" s="15" t="s">
        <v>15991</v>
      </c>
    </row>
    <row r="16" spans="2:10">
      <c r="B16" s="15" t="s">
        <v>20295</v>
      </c>
      <c r="C16" s="15" t="s">
        <v>16241</v>
      </c>
      <c r="D16" s="15" t="s">
        <v>316</v>
      </c>
      <c r="E16" s="15" t="s">
        <v>305</v>
      </c>
      <c r="F16" s="15" t="s">
        <v>16010</v>
      </c>
      <c r="G16" s="15"/>
      <c r="H16" s="15"/>
      <c r="I16" s="15" t="s">
        <v>528</v>
      </c>
      <c r="J16" s="15" t="s">
        <v>15991</v>
      </c>
    </row>
    <row r="17" spans="2:10">
      <c r="B17" s="15" t="s">
        <v>20295</v>
      </c>
      <c r="C17" s="15" t="s">
        <v>16053</v>
      </c>
      <c r="D17" s="15" t="s">
        <v>316</v>
      </c>
      <c r="E17" s="15" t="s">
        <v>305</v>
      </c>
      <c r="F17" s="15" t="s">
        <v>16012</v>
      </c>
      <c r="G17" s="15"/>
      <c r="H17" s="15"/>
      <c r="I17" s="15" t="s">
        <v>528</v>
      </c>
      <c r="J17" s="15" t="s">
        <v>15991</v>
      </c>
    </row>
    <row r="18" spans="2:10">
      <c r="B18" s="15" t="s">
        <v>20295</v>
      </c>
      <c r="C18" s="15" t="s">
        <v>16532</v>
      </c>
      <c r="D18" s="15" t="s">
        <v>316</v>
      </c>
      <c r="E18" s="15" t="s">
        <v>305</v>
      </c>
      <c r="F18" s="15" t="s">
        <v>16016</v>
      </c>
      <c r="G18" s="15"/>
      <c r="H18" s="15"/>
      <c r="I18" s="15" t="s">
        <v>528</v>
      </c>
      <c r="J18" s="15" t="s">
        <v>15991</v>
      </c>
    </row>
    <row r="19" spans="2:10">
      <c r="B19" s="15" t="s">
        <v>20295</v>
      </c>
      <c r="C19" s="15" t="s">
        <v>16239</v>
      </c>
      <c r="D19" s="15" t="s">
        <v>316</v>
      </c>
      <c r="E19" s="15" t="s">
        <v>305</v>
      </c>
      <c r="F19" s="15" t="s">
        <v>16236</v>
      </c>
      <c r="G19" s="15"/>
      <c r="H19" s="15"/>
      <c r="I19" s="15" t="s">
        <v>528</v>
      </c>
      <c r="J19" s="15" t="s">
        <v>15991</v>
      </c>
    </row>
    <row r="20" spans="2:10">
      <c r="B20" s="15" t="s">
        <v>20295</v>
      </c>
      <c r="C20" s="15" t="s">
        <v>16019</v>
      </c>
      <c r="D20" s="15" t="s">
        <v>316</v>
      </c>
      <c r="E20" s="15" t="s">
        <v>305</v>
      </c>
      <c r="F20" s="15" t="s">
        <v>16020</v>
      </c>
      <c r="G20" s="15"/>
      <c r="H20" s="15"/>
      <c r="I20" s="15" t="s">
        <v>528</v>
      </c>
      <c r="J20" s="15" t="s">
        <v>15991</v>
      </c>
    </row>
    <row r="21" spans="2:10">
      <c r="B21" s="15" t="s">
        <v>20295</v>
      </c>
      <c r="C21" s="15" t="s">
        <v>16013</v>
      </c>
      <c r="D21" s="15" t="s">
        <v>316</v>
      </c>
      <c r="E21" s="15" t="s">
        <v>305</v>
      </c>
      <c r="F21" s="15" t="s">
        <v>16014</v>
      </c>
      <c r="G21" s="15"/>
      <c r="H21" s="15"/>
      <c r="I21" s="15" t="s">
        <v>528</v>
      </c>
      <c r="J21" s="15" t="s">
        <v>15991</v>
      </c>
    </row>
  </sheetData>
  <pageMargins left="0.75" right="0.75" top="1" bottom="1" header="0.5" footer="0.5"/>
  <pageSetup paperSize="1" orientation="portrait" horizontalDpi="300" verticalDpi="300"/>
  <headerFooter alignWithMargins="0" scaleWithDoc="0"/>
</worksheet>
</file>

<file path=xl/worksheets/sheet1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1"/>
  <sheetViews>
    <sheetView zoomScaleSheetLayoutView="60" workbookViewId="0">
      <selection activeCell="D16" sqref="D16"/>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52" t="str">
        <f>HYPERLINK("#表结构清单!A1","返回")</f>
        <v>返回</v>
      </c>
      <c r="B1" t="s">
        <v>38</v>
      </c>
    </row>
    <row r="2" spans="2:10">
      <c r="B2" s="13" t="s">
        <v>15982</v>
      </c>
      <c r="C2" s="13" t="s">
        <v>297</v>
      </c>
      <c r="D2" s="13" t="s">
        <v>11870</v>
      </c>
      <c r="E2" s="13" t="s">
        <v>15983</v>
      </c>
      <c r="F2" s="13" t="s">
        <v>15984</v>
      </c>
      <c r="G2" s="13" t="s">
        <v>300</v>
      </c>
      <c r="H2" s="13" t="s">
        <v>301</v>
      </c>
      <c r="I2" s="13" t="s">
        <v>15985</v>
      </c>
      <c r="J2" s="13" t="s">
        <v>15986</v>
      </c>
    </row>
    <row r="3" spans="2:10">
      <c r="B3" s="15" t="s">
        <v>20308</v>
      </c>
      <c r="C3" s="15" t="s">
        <v>20309</v>
      </c>
      <c r="D3" s="15" t="s">
        <v>367</v>
      </c>
      <c r="E3" s="15" t="s">
        <v>15989</v>
      </c>
      <c r="F3" s="15" t="s">
        <v>16669</v>
      </c>
      <c r="G3" s="15"/>
      <c r="H3" s="15"/>
      <c r="I3" s="15" t="s">
        <v>528</v>
      </c>
      <c r="J3" s="15" t="s">
        <v>15991</v>
      </c>
    </row>
    <row r="4" spans="2:10">
      <c r="B4" s="15" t="s">
        <v>20308</v>
      </c>
      <c r="C4" s="15" t="s">
        <v>20310</v>
      </c>
      <c r="D4" s="15" t="s">
        <v>316</v>
      </c>
      <c r="E4" s="15" t="s">
        <v>15989</v>
      </c>
      <c r="F4" s="15" t="s">
        <v>16672</v>
      </c>
      <c r="G4" s="15"/>
      <c r="H4" s="15"/>
      <c r="I4" s="15" t="s">
        <v>528</v>
      </c>
      <c r="J4" s="15" t="s">
        <v>15991</v>
      </c>
    </row>
    <row r="5" spans="2:10">
      <c r="B5" s="15" t="s">
        <v>20308</v>
      </c>
      <c r="C5" s="15" t="s">
        <v>20311</v>
      </c>
      <c r="D5" s="15" t="s">
        <v>327</v>
      </c>
      <c r="E5" s="15" t="s">
        <v>305</v>
      </c>
      <c r="F5" s="15" t="s">
        <v>301</v>
      </c>
      <c r="G5" s="15"/>
      <c r="H5" s="15"/>
      <c r="I5" s="15" t="s">
        <v>528</v>
      </c>
      <c r="J5" s="15" t="s">
        <v>15991</v>
      </c>
    </row>
    <row r="6" spans="2:10">
      <c r="B6" s="15" t="s">
        <v>20308</v>
      </c>
      <c r="C6" s="15" t="s">
        <v>1743</v>
      </c>
      <c r="D6" s="15" t="s">
        <v>316</v>
      </c>
      <c r="E6" s="15" t="s">
        <v>305</v>
      </c>
      <c r="F6" s="15" t="s">
        <v>16012</v>
      </c>
      <c r="G6" s="15"/>
      <c r="H6" s="15"/>
      <c r="I6" s="15" t="s">
        <v>528</v>
      </c>
      <c r="J6" s="15" t="s">
        <v>15991</v>
      </c>
    </row>
    <row r="7" spans="2:10">
      <c r="B7" s="15" t="s">
        <v>20308</v>
      </c>
      <c r="C7" s="15" t="s">
        <v>1741</v>
      </c>
      <c r="D7" s="15" t="s">
        <v>316</v>
      </c>
      <c r="E7" s="15" t="s">
        <v>305</v>
      </c>
      <c r="F7" s="15" t="s">
        <v>16010</v>
      </c>
      <c r="G7" s="15"/>
      <c r="H7" s="15"/>
      <c r="I7" s="15" t="s">
        <v>528</v>
      </c>
      <c r="J7" s="15" t="s">
        <v>15991</v>
      </c>
    </row>
    <row r="8" spans="2:10">
      <c r="B8" s="15" t="s">
        <v>20308</v>
      </c>
      <c r="C8" s="15" t="s">
        <v>20312</v>
      </c>
      <c r="D8" s="15" t="s">
        <v>371</v>
      </c>
      <c r="E8" s="15" t="s">
        <v>305</v>
      </c>
      <c r="F8" s="15" t="s">
        <v>16014</v>
      </c>
      <c r="G8" s="15"/>
      <c r="H8" s="15"/>
      <c r="I8" s="15" t="s">
        <v>528</v>
      </c>
      <c r="J8" s="15" t="s">
        <v>15991</v>
      </c>
    </row>
    <row r="9" spans="2:10">
      <c r="B9" s="15" t="s">
        <v>20308</v>
      </c>
      <c r="C9" s="15" t="s">
        <v>20313</v>
      </c>
      <c r="D9" s="15" t="s">
        <v>316</v>
      </c>
      <c r="E9" s="15" t="s">
        <v>305</v>
      </c>
      <c r="F9" s="15" t="s">
        <v>16018</v>
      </c>
      <c r="G9" s="15"/>
      <c r="H9" s="15"/>
      <c r="I9" s="15" t="s">
        <v>528</v>
      </c>
      <c r="J9" s="15" t="s">
        <v>15991</v>
      </c>
    </row>
    <row r="10" spans="2:10">
      <c r="B10" s="15" t="s">
        <v>20308</v>
      </c>
      <c r="C10" s="15" t="s">
        <v>20314</v>
      </c>
      <c r="D10" s="15" t="s">
        <v>316</v>
      </c>
      <c r="E10" s="15" t="s">
        <v>305</v>
      </c>
      <c r="F10" s="15" t="s">
        <v>16016</v>
      </c>
      <c r="G10" s="15"/>
      <c r="H10" s="15"/>
      <c r="I10" s="15" t="s">
        <v>528</v>
      </c>
      <c r="J10" s="15" t="s">
        <v>15991</v>
      </c>
    </row>
    <row r="11" spans="2:10">
      <c r="B11" s="15" t="s">
        <v>20308</v>
      </c>
      <c r="C11" s="15" t="s">
        <v>20315</v>
      </c>
      <c r="D11" s="15" t="s">
        <v>371</v>
      </c>
      <c r="E11" s="15" t="s">
        <v>305</v>
      </c>
      <c r="F11" s="15" t="s">
        <v>16020</v>
      </c>
      <c r="G11" s="15"/>
      <c r="H11" s="15"/>
      <c r="I11" s="15" t="s">
        <v>528</v>
      </c>
      <c r="J11" s="15" t="s">
        <v>15991</v>
      </c>
    </row>
  </sheetData>
  <pageMargins left="0.75" right="0.75" top="1" bottom="1" header="0.5" footer="0.5"/>
  <pageSetup paperSize="1" orientation="portrait" horizontalDpi="300" verticalDpi="300"/>
  <headerFooter alignWithMargins="0" scaleWithDoc="0"/>
</worksheet>
</file>

<file path=xl/worksheets/sheet1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7"/>
  <sheetViews>
    <sheetView zoomScaleSheetLayoutView="60" workbookViewId="0">
      <selection activeCell="F8" sqref="F8"/>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52" t="str">
        <f>HYPERLINK("#表结构清单!A1","返回")</f>
        <v>返回</v>
      </c>
      <c r="B1" t="s">
        <v>81</v>
      </c>
    </row>
    <row r="2" spans="2:10">
      <c r="B2" s="13" t="s">
        <v>15982</v>
      </c>
      <c r="C2" s="13" t="s">
        <v>297</v>
      </c>
      <c r="D2" s="13" t="s">
        <v>11870</v>
      </c>
      <c r="E2" s="13" t="s">
        <v>15983</v>
      </c>
      <c r="F2" s="13" t="s">
        <v>15984</v>
      </c>
      <c r="G2" s="13" t="s">
        <v>300</v>
      </c>
      <c r="H2" s="13" t="s">
        <v>301</v>
      </c>
      <c r="I2" s="13" t="s">
        <v>15985</v>
      </c>
      <c r="J2" s="13" t="s">
        <v>15986</v>
      </c>
    </row>
    <row r="3" spans="2:10">
      <c r="B3" s="15" t="s">
        <v>20316</v>
      </c>
      <c r="C3" s="15" t="s">
        <v>20317</v>
      </c>
      <c r="D3" s="15" t="s">
        <v>316</v>
      </c>
      <c r="E3" s="15" t="s">
        <v>15989</v>
      </c>
      <c r="F3" s="15" t="s">
        <v>20318</v>
      </c>
      <c r="G3" s="15"/>
      <c r="H3" s="15"/>
      <c r="I3" s="15" t="s">
        <v>528</v>
      </c>
      <c r="J3" s="15" t="s">
        <v>15991</v>
      </c>
    </row>
    <row r="4" spans="2:10">
      <c r="B4" s="15" t="s">
        <v>20316</v>
      </c>
      <c r="C4" s="15" t="s">
        <v>20319</v>
      </c>
      <c r="D4" s="15" t="s">
        <v>316</v>
      </c>
      <c r="E4" s="15" t="s">
        <v>15989</v>
      </c>
      <c r="F4" s="15" t="s">
        <v>20320</v>
      </c>
      <c r="G4" s="15"/>
      <c r="H4" s="15"/>
      <c r="I4" s="15" t="s">
        <v>528</v>
      </c>
      <c r="J4" s="15" t="s">
        <v>15991</v>
      </c>
    </row>
    <row r="5" spans="2:10">
      <c r="B5" s="15" t="s">
        <v>20316</v>
      </c>
      <c r="C5" s="15" t="s">
        <v>16325</v>
      </c>
      <c r="D5" s="15" t="s">
        <v>316</v>
      </c>
      <c r="E5" s="15" t="s">
        <v>305</v>
      </c>
      <c r="F5" s="15" t="s">
        <v>16326</v>
      </c>
      <c r="G5" s="15"/>
      <c r="H5" s="15"/>
      <c r="I5" s="15" t="s">
        <v>528</v>
      </c>
      <c r="J5" s="15" t="s">
        <v>15991</v>
      </c>
    </row>
    <row r="6" spans="2:10">
      <c r="B6" s="15" t="s">
        <v>20316</v>
      </c>
      <c r="C6" s="15" t="s">
        <v>16260</v>
      </c>
      <c r="D6" s="15" t="s">
        <v>327</v>
      </c>
      <c r="E6" s="15" t="s">
        <v>305</v>
      </c>
      <c r="F6" s="15" t="s">
        <v>16370</v>
      </c>
      <c r="G6" s="15"/>
      <c r="H6" s="15"/>
      <c r="I6" s="15" t="s">
        <v>528</v>
      </c>
      <c r="J6" s="15" t="s">
        <v>15991</v>
      </c>
    </row>
    <row r="7" spans="2:10">
      <c r="B7" s="15" t="s">
        <v>20316</v>
      </c>
      <c r="C7" s="15" t="s">
        <v>20321</v>
      </c>
      <c r="D7" s="15" t="s">
        <v>321</v>
      </c>
      <c r="E7" s="15" t="s">
        <v>305</v>
      </c>
      <c r="F7" s="15" t="s">
        <v>20322</v>
      </c>
      <c r="G7" s="15"/>
      <c r="H7" s="15"/>
      <c r="I7" s="15" t="s">
        <v>528</v>
      </c>
      <c r="J7" s="15" t="s">
        <v>15991</v>
      </c>
    </row>
    <row r="8" spans="2:10">
      <c r="B8" s="15" t="s">
        <v>20316</v>
      </c>
      <c r="C8" s="15" t="s">
        <v>16126</v>
      </c>
      <c r="D8" s="15" t="s">
        <v>16072</v>
      </c>
      <c r="E8" s="15" t="s">
        <v>305</v>
      </c>
      <c r="F8" s="15" t="s">
        <v>2211</v>
      </c>
      <c r="G8" s="52" t="str">
        <f>HYPERLINK("#码值映射清单!B1110","IsInUse")</f>
        <v>IsInUse</v>
      </c>
      <c r="H8" s="15"/>
      <c r="I8" s="15" t="s">
        <v>528</v>
      </c>
      <c r="J8" s="15" t="s">
        <v>15991</v>
      </c>
    </row>
    <row r="9" spans="2:10">
      <c r="B9" s="15" t="s">
        <v>20316</v>
      </c>
      <c r="C9" s="15" t="s">
        <v>16086</v>
      </c>
      <c r="D9" s="15" t="s">
        <v>327</v>
      </c>
      <c r="E9" s="15" t="s">
        <v>305</v>
      </c>
      <c r="F9" s="15" t="s">
        <v>301</v>
      </c>
      <c r="G9" s="15"/>
      <c r="H9" s="15"/>
      <c r="I9" s="15" t="s">
        <v>528</v>
      </c>
      <c r="J9" s="15" t="s">
        <v>15991</v>
      </c>
    </row>
    <row r="10" spans="2:10">
      <c r="B10" s="15" t="s">
        <v>20316</v>
      </c>
      <c r="C10" s="15" t="s">
        <v>16009</v>
      </c>
      <c r="D10" s="15" t="s">
        <v>316</v>
      </c>
      <c r="E10" s="15" t="s">
        <v>305</v>
      </c>
      <c r="F10" s="15" t="s">
        <v>16242</v>
      </c>
      <c r="G10" s="15"/>
      <c r="H10" s="15"/>
      <c r="I10" s="15" t="s">
        <v>528</v>
      </c>
      <c r="J10" s="15" t="s">
        <v>15991</v>
      </c>
    </row>
    <row r="11" spans="2:10">
      <c r="B11" s="15" t="s">
        <v>20316</v>
      </c>
      <c r="C11" s="15" t="s">
        <v>16011</v>
      </c>
      <c r="D11" s="15" t="s">
        <v>316</v>
      </c>
      <c r="E11" s="15" t="s">
        <v>305</v>
      </c>
      <c r="F11" s="15" t="s">
        <v>16657</v>
      </c>
      <c r="G11" s="15"/>
      <c r="H11" s="15"/>
      <c r="I11" s="15" t="s">
        <v>528</v>
      </c>
      <c r="J11" s="15" t="s">
        <v>15991</v>
      </c>
    </row>
    <row r="12" spans="2:10">
      <c r="B12" s="15" t="s">
        <v>20316</v>
      </c>
      <c r="C12" s="15" t="s">
        <v>16013</v>
      </c>
      <c r="D12" s="15" t="s">
        <v>371</v>
      </c>
      <c r="E12" s="15" t="s">
        <v>305</v>
      </c>
      <c r="F12" s="15" t="s">
        <v>16583</v>
      </c>
      <c r="G12" s="15"/>
      <c r="H12" s="15"/>
      <c r="I12" s="15" t="s">
        <v>528</v>
      </c>
      <c r="J12" s="15" t="s">
        <v>15991</v>
      </c>
    </row>
    <row r="13" spans="2:10">
      <c r="B13" s="15" t="s">
        <v>20316</v>
      </c>
      <c r="C13" s="15" t="s">
        <v>16015</v>
      </c>
      <c r="D13" s="15" t="s">
        <v>316</v>
      </c>
      <c r="E13" s="15" t="s">
        <v>305</v>
      </c>
      <c r="F13" s="15" t="s">
        <v>16016</v>
      </c>
      <c r="G13" s="15"/>
      <c r="H13" s="15"/>
      <c r="I13" s="15" t="s">
        <v>528</v>
      </c>
      <c r="J13" s="15" t="s">
        <v>15991</v>
      </c>
    </row>
    <row r="14" spans="2:10">
      <c r="B14" s="15" t="s">
        <v>20316</v>
      </c>
      <c r="C14" s="15" t="s">
        <v>16017</v>
      </c>
      <c r="D14" s="15" t="s">
        <v>316</v>
      </c>
      <c r="E14" s="15" t="s">
        <v>305</v>
      </c>
      <c r="F14" s="15" t="s">
        <v>16510</v>
      </c>
      <c r="G14" s="15"/>
      <c r="H14" s="15"/>
      <c r="I14" s="15" t="s">
        <v>528</v>
      </c>
      <c r="J14" s="15" t="s">
        <v>15991</v>
      </c>
    </row>
    <row r="15" spans="2:10">
      <c r="B15" s="15" t="s">
        <v>20316</v>
      </c>
      <c r="C15" s="15" t="s">
        <v>16019</v>
      </c>
      <c r="D15" s="15" t="s">
        <v>371</v>
      </c>
      <c r="E15" s="15" t="s">
        <v>305</v>
      </c>
      <c r="F15" s="15" t="s">
        <v>16020</v>
      </c>
      <c r="G15" s="15"/>
      <c r="H15" s="15"/>
      <c r="I15" s="15" t="s">
        <v>528</v>
      </c>
      <c r="J15" s="15" t="s">
        <v>15991</v>
      </c>
    </row>
    <row r="16" spans="2:10">
      <c r="B16" s="15" t="s">
        <v>20316</v>
      </c>
      <c r="C16" s="15" t="s">
        <v>20323</v>
      </c>
      <c r="D16" s="15" t="s">
        <v>16087</v>
      </c>
      <c r="E16" s="15" t="s">
        <v>305</v>
      </c>
      <c r="F16" s="15" t="s">
        <v>20324</v>
      </c>
      <c r="G16" s="15"/>
      <c r="H16" s="15"/>
      <c r="I16" s="15" t="s">
        <v>528</v>
      </c>
      <c r="J16" s="15" t="s">
        <v>15991</v>
      </c>
    </row>
    <row r="17" spans="2:10">
      <c r="B17" s="15" t="s">
        <v>20316</v>
      </c>
      <c r="C17" s="15" t="s">
        <v>20325</v>
      </c>
      <c r="D17" s="15" t="s">
        <v>16087</v>
      </c>
      <c r="E17" s="15" t="s">
        <v>305</v>
      </c>
      <c r="F17" s="15" t="s">
        <v>20326</v>
      </c>
      <c r="G17" s="15"/>
      <c r="H17" s="15"/>
      <c r="I17" s="15" t="s">
        <v>528</v>
      </c>
      <c r="J17" s="15" t="s">
        <v>15991</v>
      </c>
    </row>
  </sheetData>
  <pageMargins left="0.75" right="0.75" top="1" bottom="1" header="0.5" footer="0.5"/>
  <pageSetup paperSize="1" orientation="portrait" horizontalDpi="300" verticalDpi="300"/>
  <headerFooter alignWithMargins="0" scaleWithDoc="0"/>
</worksheet>
</file>

<file path=xl/worksheets/sheet1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3"/>
  <sheetViews>
    <sheetView zoomScaleSheetLayoutView="60" workbookViewId="0">
      <selection activeCell="A1" sqref="A1"/>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52" t="str">
        <f>HYPERLINK("#表结构清单!A1","返回")</f>
        <v>返回</v>
      </c>
      <c r="B1" t="s">
        <v>83</v>
      </c>
    </row>
    <row r="2" spans="2:10">
      <c r="B2" s="13" t="s">
        <v>15982</v>
      </c>
      <c r="C2" s="13" t="s">
        <v>297</v>
      </c>
      <c r="D2" s="13" t="s">
        <v>11870</v>
      </c>
      <c r="E2" s="13" t="s">
        <v>15983</v>
      </c>
      <c r="F2" s="13" t="s">
        <v>15984</v>
      </c>
      <c r="G2" s="13" t="s">
        <v>300</v>
      </c>
      <c r="H2" s="13" t="s">
        <v>301</v>
      </c>
      <c r="I2" s="13" t="s">
        <v>15985</v>
      </c>
      <c r="J2" s="13" t="s">
        <v>15986</v>
      </c>
    </row>
    <row r="3" spans="2:10">
      <c r="B3" s="15" t="s">
        <v>20327</v>
      </c>
      <c r="C3" s="15" t="s">
        <v>20317</v>
      </c>
      <c r="D3" s="15" t="s">
        <v>316</v>
      </c>
      <c r="E3" s="15" t="s">
        <v>15989</v>
      </c>
      <c r="F3" s="15" t="s">
        <v>20318</v>
      </c>
      <c r="G3" s="15"/>
      <c r="H3" s="15"/>
      <c r="I3" s="15" t="s">
        <v>528</v>
      </c>
      <c r="J3" s="15" t="s">
        <v>15991</v>
      </c>
    </row>
    <row r="4" spans="2:10">
      <c r="B4" s="15" t="s">
        <v>20327</v>
      </c>
      <c r="C4" s="15" t="s">
        <v>20328</v>
      </c>
      <c r="D4" s="15" t="s">
        <v>506</v>
      </c>
      <c r="E4" s="15" t="s">
        <v>305</v>
      </c>
      <c r="F4" s="15" t="s">
        <v>20329</v>
      </c>
      <c r="G4" s="15"/>
      <c r="H4" s="15"/>
      <c r="I4" s="15" t="s">
        <v>528</v>
      </c>
      <c r="J4" s="15" t="s">
        <v>15991</v>
      </c>
    </row>
    <row r="5" spans="2:10">
      <c r="B5" s="15" t="s">
        <v>20327</v>
      </c>
      <c r="C5" s="15" t="s">
        <v>20330</v>
      </c>
      <c r="D5" s="15" t="s">
        <v>327</v>
      </c>
      <c r="E5" s="15" t="s">
        <v>305</v>
      </c>
      <c r="F5" s="15" t="s">
        <v>20331</v>
      </c>
      <c r="G5" s="15"/>
      <c r="H5" s="15"/>
      <c r="I5" s="15" t="s">
        <v>528</v>
      </c>
      <c r="J5" s="15" t="s">
        <v>15991</v>
      </c>
    </row>
    <row r="6" spans="2:10">
      <c r="B6" s="15" t="s">
        <v>20327</v>
      </c>
      <c r="C6" s="15" t="s">
        <v>16086</v>
      </c>
      <c r="D6" s="15" t="s">
        <v>327</v>
      </c>
      <c r="E6" s="15" t="s">
        <v>305</v>
      </c>
      <c r="F6" s="15" t="s">
        <v>301</v>
      </c>
      <c r="G6" s="15"/>
      <c r="H6" s="15"/>
      <c r="I6" s="15" t="s">
        <v>528</v>
      </c>
      <c r="J6" s="15" t="s">
        <v>15991</v>
      </c>
    </row>
    <row r="7" spans="2:10">
      <c r="B7" s="15" t="s">
        <v>20327</v>
      </c>
      <c r="C7" s="15" t="s">
        <v>16009</v>
      </c>
      <c r="D7" s="15" t="s">
        <v>316</v>
      </c>
      <c r="E7" s="15" t="s">
        <v>305</v>
      </c>
      <c r="F7" s="15" t="s">
        <v>16010</v>
      </c>
      <c r="G7" s="15"/>
      <c r="H7" s="15"/>
      <c r="I7" s="15" t="s">
        <v>528</v>
      </c>
      <c r="J7" s="15" t="s">
        <v>15991</v>
      </c>
    </row>
    <row r="8" spans="2:10">
      <c r="B8" s="15" t="s">
        <v>20327</v>
      </c>
      <c r="C8" s="15" t="s">
        <v>16011</v>
      </c>
      <c r="D8" s="15" t="s">
        <v>316</v>
      </c>
      <c r="E8" s="15" t="s">
        <v>305</v>
      </c>
      <c r="F8" s="15" t="s">
        <v>16012</v>
      </c>
      <c r="G8" s="15"/>
      <c r="H8" s="15"/>
      <c r="I8" s="15" t="s">
        <v>528</v>
      </c>
      <c r="J8" s="15" t="s">
        <v>15991</v>
      </c>
    </row>
    <row r="9" spans="2:10">
      <c r="B9" s="15" t="s">
        <v>20327</v>
      </c>
      <c r="C9" s="15" t="s">
        <v>16013</v>
      </c>
      <c r="D9" s="15" t="s">
        <v>371</v>
      </c>
      <c r="E9" s="15" t="s">
        <v>305</v>
      </c>
      <c r="F9" s="15" t="s">
        <v>16014</v>
      </c>
      <c r="G9" s="15"/>
      <c r="H9" s="15"/>
      <c r="I9" s="15" t="s">
        <v>528</v>
      </c>
      <c r="J9" s="15" t="s">
        <v>15991</v>
      </c>
    </row>
    <row r="10" spans="2:10">
      <c r="B10" s="15" t="s">
        <v>20327</v>
      </c>
      <c r="C10" s="15" t="s">
        <v>16015</v>
      </c>
      <c r="D10" s="15" t="s">
        <v>316</v>
      </c>
      <c r="E10" s="15" t="s">
        <v>305</v>
      </c>
      <c r="F10" s="15" t="s">
        <v>16016</v>
      </c>
      <c r="G10" s="15"/>
      <c r="H10" s="15"/>
      <c r="I10" s="15" t="s">
        <v>528</v>
      </c>
      <c r="J10" s="15" t="s">
        <v>15991</v>
      </c>
    </row>
    <row r="11" spans="2:10">
      <c r="B11" s="15" t="s">
        <v>20327</v>
      </c>
      <c r="C11" s="15" t="s">
        <v>16017</v>
      </c>
      <c r="D11" s="15" t="s">
        <v>316</v>
      </c>
      <c r="E11" s="15" t="s">
        <v>305</v>
      </c>
      <c r="F11" s="15" t="s">
        <v>16018</v>
      </c>
      <c r="G11" s="15"/>
      <c r="H11" s="15"/>
      <c r="I11" s="15" t="s">
        <v>528</v>
      </c>
      <c r="J11" s="15" t="s">
        <v>15991</v>
      </c>
    </row>
    <row r="12" spans="2:10">
      <c r="B12" s="15" t="s">
        <v>20327</v>
      </c>
      <c r="C12" s="15" t="s">
        <v>16019</v>
      </c>
      <c r="D12" s="15" t="s">
        <v>371</v>
      </c>
      <c r="E12" s="15" t="s">
        <v>305</v>
      </c>
      <c r="F12" s="15" t="s">
        <v>16020</v>
      </c>
      <c r="G12" s="15"/>
      <c r="H12" s="15"/>
      <c r="I12" s="15" t="s">
        <v>528</v>
      </c>
      <c r="J12" s="15" t="s">
        <v>15991</v>
      </c>
    </row>
    <row r="13" spans="2:10">
      <c r="B13" s="15" t="s">
        <v>20327</v>
      </c>
      <c r="C13" s="15" t="s">
        <v>16088</v>
      </c>
      <c r="D13" s="15" t="s">
        <v>316</v>
      </c>
      <c r="E13" s="15" t="s">
        <v>305</v>
      </c>
      <c r="F13" s="15" t="s">
        <v>16089</v>
      </c>
      <c r="G13" s="15"/>
      <c r="H13" s="15"/>
      <c r="I13" s="15" t="s">
        <v>528</v>
      </c>
      <c r="J13" s="15" t="s">
        <v>15991</v>
      </c>
    </row>
  </sheetData>
  <pageMargins left="0.75" right="0.75" top="1" bottom="1" header="0.5" footer="0.5"/>
  <pageSetup paperSize="1" orientation="portrait" horizontalDpi="300" verticalDpi="300"/>
  <headerFooter alignWithMargins="0" scaleWithDoc="0"/>
</worksheet>
</file>

<file path=xl/worksheets/sheet1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3"/>
  <sheetViews>
    <sheetView zoomScaleSheetLayoutView="60" workbookViewId="0">
      <selection activeCell="A1" sqref="A1"/>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52" t="str">
        <f>HYPERLINK("#表结构清单!A1","返回")</f>
        <v>返回</v>
      </c>
      <c r="B1" t="s">
        <v>84</v>
      </c>
    </row>
    <row r="2" spans="2:10">
      <c r="B2" s="13" t="s">
        <v>15982</v>
      </c>
      <c r="C2" s="13" t="s">
        <v>297</v>
      </c>
      <c r="D2" s="13" t="s">
        <v>11870</v>
      </c>
      <c r="E2" s="13" t="s">
        <v>15983</v>
      </c>
      <c r="F2" s="13" t="s">
        <v>15984</v>
      </c>
      <c r="G2" s="13" t="s">
        <v>300</v>
      </c>
      <c r="H2" s="13" t="s">
        <v>301</v>
      </c>
      <c r="I2" s="13" t="s">
        <v>15985</v>
      </c>
      <c r="J2" s="13" t="s">
        <v>15986</v>
      </c>
    </row>
    <row r="3" spans="2:10">
      <c r="B3" s="15" t="s">
        <v>20332</v>
      </c>
      <c r="C3" s="15" t="s">
        <v>16407</v>
      </c>
      <c r="D3" s="15" t="s">
        <v>316</v>
      </c>
      <c r="E3" s="15" t="s">
        <v>15989</v>
      </c>
      <c r="F3" s="15" t="s">
        <v>16322</v>
      </c>
      <c r="G3" s="15"/>
      <c r="H3" s="15"/>
      <c r="I3" s="15" t="s">
        <v>528</v>
      </c>
      <c r="J3" s="15" t="s">
        <v>15991</v>
      </c>
    </row>
    <row r="4" spans="2:10">
      <c r="B4" s="15" t="s">
        <v>20332</v>
      </c>
      <c r="C4" s="15" t="s">
        <v>16325</v>
      </c>
      <c r="D4" s="15" t="s">
        <v>316</v>
      </c>
      <c r="E4" s="15" t="s">
        <v>305</v>
      </c>
      <c r="F4" s="15" t="s">
        <v>16326</v>
      </c>
      <c r="G4" s="15"/>
      <c r="H4" s="15"/>
      <c r="I4" s="15" t="s">
        <v>528</v>
      </c>
      <c r="J4" s="15" t="s">
        <v>15991</v>
      </c>
    </row>
    <row r="5" spans="2:10">
      <c r="B5" s="15" t="s">
        <v>20332</v>
      </c>
      <c r="C5" s="15" t="s">
        <v>16513</v>
      </c>
      <c r="D5" s="15" t="s">
        <v>506</v>
      </c>
      <c r="E5" s="15" t="s">
        <v>305</v>
      </c>
      <c r="F5" s="15" t="s">
        <v>16324</v>
      </c>
      <c r="G5" s="15"/>
      <c r="H5" s="15"/>
      <c r="I5" s="15" t="s">
        <v>528</v>
      </c>
      <c r="J5" s="15" t="s">
        <v>15991</v>
      </c>
    </row>
    <row r="6" spans="2:10">
      <c r="B6" s="15" t="s">
        <v>20332</v>
      </c>
      <c r="C6" s="15" t="s">
        <v>16086</v>
      </c>
      <c r="D6" s="15" t="s">
        <v>327</v>
      </c>
      <c r="E6" s="15" t="s">
        <v>305</v>
      </c>
      <c r="F6" s="15" t="s">
        <v>301</v>
      </c>
      <c r="G6" s="15"/>
      <c r="H6" s="15"/>
      <c r="I6" s="15" t="s">
        <v>528</v>
      </c>
      <c r="J6" s="15" t="s">
        <v>15991</v>
      </c>
    </row>
    <row r="7" spans="2:10">
      <c r="B7" s="15" t="s">
        <v>20332</v>
      </c>
      <c r="C7" s="15" t="s">
        <v>16009</v>
      </c>
      <c r="D7" s="15" t="s">
        <v>316</v>
      </c>
      <c r="E7" s="15" t="s">
        <v>305</v>
      </c>
      <c r="F7" s="15" t="s">
        <v>16010</v>
      </c>
      <c r="G7" s="15"/>
      <c r="H7" s="15"/>
      <c r="I7" s="15" t="s">
        <v>528</v>
      </c>
      <c r="J7" s="15" t="s">
        <v>15991</v>
      </c>
    </row>
    <row r="8" spans="2:10">
      <c r="B8" s="15" t="s">
        <v>20332</v>
      </c>
      <c r="C8" s="15" t="s">
        <v>16011</v>
      </c>
      <c r="D8" s="15" t="s">
        <v>316</v>
      </c>
      <c r="E8" s="15" t="s">
        <v>305</v>
      </c>
      <c r="F8" s="15" t="s">
        <v>16012</v>
      </c>
      <c r="G8" s="15"/>
      <c r="H8" s="15"/>
      <c r="I8" s="15" t="s">
        <v>528</v>
      </c>
      <c r="J8" s="15" t="s">
        <v>15991</v>
      </c>
    </row>
    <row r="9" spans="2:10">
      <c r="B9" s="15" t="s">
        <v>20332</v>
      </c>
      <c r="C9" s="15" t="s">
        <v>16013</v>
      </c>
      <c r="D9" s="15" t="s">
        <v>371</v>
      </c>
      <c r="E9" s="15" t="s">
        <v>305</v>
      </c>
      <c r="F9" s="15" t="s">
        <v>16014</v>
      </c>
      <c r="G9" s="15"/>
      <c r="H9" s="15"/>
      <c r="I9" s="15" t="s">
        <v>528</v>
      </c>
      <c r="J9" s="15" t="s">
        <v>15991</v>
      </c>
    </row>
    <row r="10" spans="2:10">
      <c r="B10" s="15" t="s">
        <v>20332</v>
      </c>
      <c r="C10" s="15" t="s">
        <v>16015</v>
      </c>
      <c r="D10" s="15" t="s">
        <v>316</v>
      </c>
      <c r="E10" s="15" t="s">
        <v>305</v>
      </c>
      <c r="F10" s="15" t="s">
        <v>16016</v>
      </c>
      <c r="G10" s="15"/>
      <c r="H10" s="15"/>
      <c r="I10" s="15" t="s">
        <v>528</v>
      </c>
      <c r="J10" s="15" t="s">
        <v>15991</v>
      </c>
    </row>
    <row r="11" spans="2:10">
      <c r="B11" s="15" t="s">
        <v>20332</v>
      </c>
      <c r="C11" s="15" t="s">
        <v>16017</v>
      </c>
      <c r="D11" s="15" t="s">
        <v>316</v>
      </c>
      <c r="E11" s="15" t="s">
        <v>305</v>
      </c>
      <c r="F11" s="15" t="s">
        <v>16018</v>
      </c>
      <c r="G11" s="15"/>
      <c r="H11" s="15"/>
      <c r="I11" s="15" t="s">
        <v>528</v>
      </c>
      <c r="J11" s="15" t="s">
        <v>15991</v>
      </c>
    </row>
    <row r="12" spans="2:10">
      <c r="B12" s="15" t="s">
        <v>20332</v>
      </c>
      <c r="C12" s="15" t="s">
        <v>16019</v>
      </c>
      <c r="D12" s="15" t="s">
        <v>371</v>
      </c>
      <c r="E12" s="15" t="s">
        <v>305</v>
      </c>
      <c r="F12" s="15" t="s">
        <v>16020</v>
      </c>
      <c r="G12" s="15"/>
      <c r="H12" s="15"/>
      <c r="I12" s="15" t="s">
        <v>528</v>
      </c>
      <c r="J12" s="15" t="s">
        <v>15991</v>
      </c>
    </row>
    <row r="13" spans="2:10">
      <c r="B13" s="15" t="s">
        <v>20332</v>
      </c>
      <c r="C13" s="15" t="s">
        <v>16088</v>
      </c>
      <c r="D13" s="15" t="s">
        <v>316</v>
      </c>
      <c r="E13" s="15" t="s">
        <v>305</v>
      </c>
      <c r="F13" s="15" t="s">
        <v>16089</v>
      </c>
      <c r="G13" s="15"/>
      <c r="H13" s="15"/>
      <c r="I13" s="15" t="s">
        <v>528</v>
      </c>
      <c r="J13" s="15" t="s">
        <v>15991</v>
      </c>
    </row>
  </sheetData>
  <pageMargins left="0.75" right="0.75" top="1" bottom="1" header="0.5" footer="0.5"/>
  <pageSetup paperSize="1" orientation="portrait" horizontalDpi="300" verticalDpi="300"/>
  <headerFooter alignWithMargins="0" scaleWithDoc="0"/>
</worksheet>
</file>

<file path=xl/worksheets/sheet1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2"/>
  <sheetViews>
    <sheetView zoomScaleSheetLayoutView="60" workbookViewId="0">
      <selection activeCell="F34" sqref="F34"/>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52" t="str">
        <f>HYPERLINK("#表结构清单!A1","返回")</f>
        <v>返回</v>
      </c>
      <c r="B1" t="s">
        <v>85</v>
      </c>
    </row>
    <row r="2" spans="2:10">
      <c r="B2" s="13" t="s">
        <v>15982</v>
      </c>
      <c r="C2" s="13" t="s">
        <v>297</v>
      </c>
      <c r="D2" s="13" t="s">
        <v>11870</v>
      </c>
      <c r="E2" s="13" t="s">
        <v>15983</v>
      </c>
      <c r="F2" s="13" t="s">
        <v>15984</v>
      </c>
      <c r="G2" s="13" t="s">
        <v>300</v>
      </c>
      <c r="H2" s="13" t="s">
        <v>301</v>
      </c>
      <c r="I2" s="13" t="s">
        <v>15985</v>
      </c>
      <c r="J2" s="13" t="s">
        <v>15986</v>
      </c>
    </row>
    <row r="3" spans="2:10">
      <c r="B3" s="15" t="s">
        <v>20333</v>
      </c>
      <c r="C3" s="15" t="s">
        <v>20334</v>
      </c>
      <c r="D3" s="15" t="s">
        <v>316</v>
      </c>
      <c r="E3" s="15" t="s">
        <v>15989</v>
      </c>
      <c r="F3" s="53" t="s">
        <v>19742</v>
      </c>
      <c r="G3" s="15"/>
      <c r="H3" s="15"/>
      <c r="I3" s="15" t="s">
        <v>528</v>
      </c>
      <c r="J3" s="15" t="s">
        <v>15991</v>
      </c>
    </row>
    <row r="4" spans="2:10">
      <c r="B4" s="15" t="s">
        <v>20333</v>
      </c>
      <c r="C4" s="15" t="s">
        <v>20335</v>
      </c>
      <c r="D4" s="15" t="s">
        <v>316</v>
      </c>
      <c r="E4" s="15" t="s">
        <v>305</v>
      </c>
      <c r="F4" s="53" t="s">
        <v>16326</v>
      </c>
      <c r="G4" s="15"/>
      <c r="H4" s="15"/>
      <c r="I4" s="15" t="s">
        <v>528</v>
      </c>
      <c r="J4" s="15" t="s">
        <v>15991</v>
      </c>
    </row>
    <row r="5" spans="2:10">
      <c r="B5" s="15" t="s">
        <v>20333</v>
      </c>
      <c r="C5" s="15" t="s">
        <v>20336</v>
      </c>
      <c r="D5" s="15" t="s">
        <v>506</v>
      </c>
      <c r="E5" s="15" t="s">
        <v>305</v>
      </c>
      <c r="F5" s="15" t="s">
        <v>20337</v>
      </c>
      <c r="G5" s="15"/>
      <c r="H5" s="15"/>
      <c r="I5" s="15" t="s">
        <v>528</v>
      </c>
      <c r="J5" s="15" t="s">
        <v>15991</v>
      </c>
    </row>
    <row r="6" spans="2:10">
      <c r="B6" s="15" t="s">
        <v>20333</v>
      </c>
      <c r="C6" s="15" t="s">
        <v>10491</v>
      </c>
      <c r="D6" s="15" t="s">
        <v>321</v>
      </c>
      <c r="E6" s="15" t="s">
        <v>305</v>
      </c>
      <c r="F6" s="15" t="s">
        <v>10492</v>
      </c>
      <c r="G6" s="52" t="str">
        <f>HYPERLINK("#码值映射清单!B6591","AlarmModelType")</f>
        <v>AlarmModelType</v>
      </c>
      <c r="H6" s="15"/>
      <c r="I6" s="15" t="s">
        <v>528</v>
      </c>
      <c r="J6" s="15" t="s">
        <v>15991</v>
      </c>
    </row>
    <row r="7" spans="2:10">
      <c r="B7" s="15" t="s">
        <v>20333</v>
      </c>
      <c r="C7" s="15" t="s">
        <v>20338</v>
      </c>
      <c r="D7" s="15" t="s">
        <v>16022</v>
      </c>
      <c r="E7" s="15" t="s">
        <v>305</v>
      </c>
      <c r="F7" s="53" t="s">
        <v>20339</v>
      </c>
      <c r="G7" s="15"/>
      <c r="H7" s="15"/>
      <c r="I7" s="15" t="s">
        <v>528</v>
      </c>
      <c r="J7" s="15" t="s">
        <v>15991</v>
      </c>
    </row>
    <row r="8" spans="2:10">
      <c r="B8" s="15" t="s">
        <v>20333</v>
      </c>
      <c r="C8" s="15" t="s">
        <v>904</v>
      </c>
      <c r="D8" s="15" t="s">
        <v>16072</v>
      </c>
      <c r="E8" s="15" t="s">
        <v>305</v>
      </c>
      <c r="F8" s="53" t="s">
        <v>2211</v>
      </c>
      <c r="G8" s="52" t="str">
        <f>HYPERLINK("#码值映射清单!B1110","IsInUse")</f>
        <v>IsInUse</v>
      </c>
      <c r="H8" s="15"/>
      <c r="I8" s="15" t="s">
        <v>528</v>
      </c>
      <c r="J8" s="15" t="s">
        <v>15991</v>
      </c>
    </row>
    <row r="9" spans="2:10">
      <c r="B9" s="15" t="s">
        <v>20333</v>
      </c>
      <c r="C9" s="15" t="s">
        <v>20340</v>
      </c>
      <c r="D9" s="15" t="s">
        <v>16087</v>
      </c>
      <c r="E9" s="15" t="s">
        <v>305</v>
      </c>
      <c r="F9" s="15" t="s">
        <v>20341</v>
      </c>
      <c r="G9" s="15"/>
      <c r="H9" s="15"/>
      <c r="I9" s="15" t="s">
        <v>528</v>
      </c>
      <c r="J9" s="15" t="s">
        <v>15991</v>
      </c>
    </row>
    <row r="10" spans="2:10">
      <c r="B10" s="15" t="s">
        <v>20333</v>
      </c>
      <c r="C10" s="15" t="s">
        <v>20342</v>
      </c>
      <c r="D10" s="15" t="s">
        <v>16087</v>
      </c>
      <c r="E10" s="15" t="s">
        <v>305</v>
      </c>
      <c r="F10" s="15" t="s">
        <v>20343</v>
      </c>
      <c r="G10" s="15"/>
      <c r="H10" s="15"/>
      <c r="I10" s="15" t="s">
        <v>528</v>
      </c>
      <c r="J10" s="15" t="s">
        <v>15991</v>
      </c>
    </row>
    <row r="11" spans="2:10">
      <c r="B11" s="15" t="s">
        <v>20333</v>
      </c>
      <c r="C11" s="15" t="s">
        <v>20344</v>
      </c>
      <c r="D11" s="15" t="s">
        <v>16022</v>
      </c>
      <c r="E11" s="15" t="s">
        <v>305</v>
      </c>
      <c r="F11" s="15" t="s">
        <v>20324</v>
      </c>
      <c r="G11" s="15"/>
      <c r="H11" s="15"/>
      <c r="I11" s="15" t="s">
        <v>528</v>
      </c>
      <c r="J11" s="15" t="s">
        <v>15991</v>
      </c>
    </row>
    <row r="12" spans="2:10">
      <c r="B12" s="15" t="s">
        <v>20333</v>
      </c>
      <c r="C12" s="15" t="s">
        <v>20311</v>
      </c>
      <c r="D12" s="15" t="s">
        <v>327</v>
      </c>
      <c r="E12" s="15" t="s">
        <v>305</v>
      </c>
      <c r="F12" s="15" t="s">
        <v>301</v>
      </c>
      <c r="G12" s="15"/>
      <c r="H12" s="15"/>
      <c r="I12" s="15" t="s">
        <v>528</v>
      </c>
      <c r="J12" s="15" t="s">
        <v>15991</v>
      </c>
    </row>
    <row r="13" spans="2:10">
      <c r="B13" s="15" t="s">
        <v>20333</v>
      </c>
      <c r="C13" s="15" t="s">
        <v>20345</v>
      </c>
      <c r="D13" s="15" t="s">
        <v>316</v>
      </c>
      <c r="E13" s="15" t="s">
        <v>305</v>
      </c>
      <c r="F13" s="15" t="s">
        <v>16010</v>
      </c>
      <c r="G13" s="15"/>
      <c r="H13" s="15"/>
      <c r="I13" s="15" t="s">
        <v>528</v>
      </c>
      <c r="J13" s="15" t="s">
        <v>15991</v>
      </c>
    </row>
    <row r="14" spans="2:10">
      <c r="B14" s="15" t="s">
        <v>20333</v>
      </c>
      <c r="C14" s="15" t="s">
        <v>20346</v>
      </c>
      <c r="D14" s="15" t="s">
        <v>316</v>
      </c>
      <c r="E14" s="15" t="s">
        <v>305</v>
      </c>
      <c r="F14" s="15" t="s">
        <v>16012</v>
      </c>
      <c r="G14" s="15"/>
      <c r="H14" s="15"/>
      <c r="I14" s="15" t="s">
        <v>528</v>
      </c>
      <c r="J14" s="15" t="s">
        <v>15991</v>
      </c>
    </row>
    <row r="15" spans="2:10">
      <c r="B15" s="15" t="s">
        <v>20333</v>
      </c>
      <c r="C15" s="15" t="s">
        <v>20312</v>
      </c>
      <c r="D15" s="15" t="s">
        <v>371</v>
      </c>
      <c r="E15" s="15" t="s">
        <v>305</v>
      </c>
      <c r="F15" s="15" t="s">
        <v>16014</v>
      </c>
      <c r="G15" s="15"/>
      <c r="H15" s="15"/>
      <c r="I15" s="15" t="s">
        <v>528</v>
      </c>
      <c r="J15" s="15" t="s">
        <v>15991</v>
      </c>
    </row>
    <row r="16" spans="2:10">
      <c r="B16" s="15" t="s">
        <v>20333</v>
      </c>
      <c r="C16" s="15" t="s">
        <v>20347</v>
      </c>
      <c r="D16" s="15" t="s">
        <v>316</v>
      </c>
      <c r="E16" s="15" t="s">
        <v>305</v>
      </c>
      <c r="F16" s="15" t="s">
        <v>16016</v>
      </c>
      <c r="G16" s="15"/>
      <c r="H16" s="15"/>
      <c r="I16" s="15" t="s">
        <v>528</v>
      </c>
      <c r="J16" s="15" t="s">
        <v>15991</v>
      </c>
    </row>
    <row r="17" spans="2:10">
      <c r="B17" s="15" t="s">
        <v>20333</v>
      </c>
      <c r="C17" s="15" t="s">
        <v>20348</v>
      </c>
      <c r="D17" s="15" t="s">
        <v>316</v>
      </c>
      <c r="E17" s="15" t="s">
        <v>305</v>
      </c>
      <c r="F17" s="15" t="s">
        <v>16018</v>
      </c>
      <c r="G17" s="15"/>
      <c r="H17" s="15"/>
      <c r="I17" s="15" t="s">
        <v>528</v>
      </c>
      <c r="J17" s="15" t="s">
        <v>15991</v>
      </c>
    </row>
    <row r="18" spans="2:10">
      <c r="B18" s="15" t="s">
        <v>20333</v>
      </c>
      <c r="C18" s="15" t="s">
        <v>20315</v>
      </c>
      <c r="D18" s="15" t="s">
        <v>371</v>
      </c>
      <c r="E18" s="15" t="s">
        <v>305</v>
      </c>
      <c r="F18" s="15" t="s">
        <v>16020</v>
      </c>
      <c r="G18" s="15"/>
      <c r="H18" s="15"/>
      <c r="I18" s="15" t="s">
        <v>528</v>
      </c>
      <c r="J18" s="15" t="s">
        <v>15991</v>
      </c>
    </row>
    <row r="19" spans="2:10">
      <c r="B19" s="15" t="s">
        <v>20333</v>
      </c>
      <c r="C19" s="15" t="s">
        <v>20349</v>
      </c>
      <c r="D19" s="15" t="s">
        <v>327</v>
      </c>
      <c r="E19" s="15" t="s">
        <v>305</v>
      </c>
      <c r="F19" s="15" t="s">
        <v>20350</v>
      </c>
      <c r="G19" s="15"/>
      <c r="H19" s="15"/>
      <c r="I19" s="15" t="s">
        <v>528</v>
      </c>
      <c r="J19" s="15" t="s">
        <v>15991</v>
      </c>
    </row>
    <row r="20" spans="2:10">
      <c r="B20" s="15" t="s">
        <v>20333</v>
      </c>
      <c r="C20" s="15" t="s">
        <v>8586</v>
      </c>
      <c r="D20" s="15" t="s">
        <v>321</v>
      </c>
      <c r="E20" s="15" t="s">
        <v>305</v>
      </c>
      <c r="F20" s="15" t="s">
        <v>20351</v>
      </c>
      <c r="G20" s="52" t="str">
        <f>HYPERLINK("#码值映射清单!B6579","NoPassDeal")</f>
        <v>NoPassDeal</v>
      </c>
      <c r="H20" s="15"/>
      <c r="I20" s="15" t="s">
        <v>528</v>
      </c>
      <c r="J20" s="15" t="s">
        <v>15991</v>
      </c>
    </row>
    <row r="21" spans="2:10">
      <c r="B21" s="15" t="s">
        <v>20333</v>
      </c>
      <c r="C21" s="15" t="s">
        <v>20352</v>
      </c>
      <c r="D21" s="15" t="s">
        <v>316</v>
      </c>
      <c r="E21" s="15" t="s">
        <v>305</v>
      </c>
      <c r="F21" s="15" t="s">
        <v>16089</v>
      </c>
      <c r="G21" s="15"/>
      <c r="H21" s="15"/>
      <c r="I21" s="15" t="s">
        <v>528</v>
      </c>
      <c r="J21" s="15" t="s">
        <v>15991</v>
      </c>
    </row>
    <row r="22" spans="2:10">
      <c r="B22" s="15" t="s">
        <v>20333</v>
      </c>
      <c r="C22" s="15" t="s">
        <v>20353</v>
      </c>
      <c r="D22" s="15" t="s">
        <v>506</v>
      </c>
      <c r="E22" s="15" t="s">
        <v>305</v>
      </c>
      <c r="F22" s="15" t="s">
        <v>20354</v>
      </c>
      <c r="G22" s="15"/>
      <c r="H22" s="15"/>
      <c r="I22" s="15" t="s">
        <v>528</v>
      </c>
      <c r="J22" s="15" t="s">
        <v>15991</v>
      </c>
    </row>
  </sheetData>
  <pageMargins left="0.75" right="0.75" top="1" bottom="1" header="0.5" footer="0.5"/>
  <pageSetup paperSize="1" orientation="portrait" horizontalDpi="300" verticalDpi="300"/>
  <headerFooter alignWithMargins="0" scaleWithDoc="0"/>
</worksheet>
</file>

<file path=xl/worksheets/sheet1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1"/>
  <sheetViews>
    <sheetView zoomScaleSheetLayoutView="60" workbookViewId="0">
      <selection activeCell="C23" sqref="C23"/>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52" t="str">
        <f>HYPERLINK("#表结构清单!A1","返回")</f>
        <v>返回</v>
      </c>
      <c r="B1" t="s">
        <v>86</v>
      </c>
    </row>
    <row r="2" spans="2:10">
      <c r="B2" s="13" t="s">
        <v>15982</v>
      </c>
      <c r="C2" s="13" t="s">
        <v>297</v>
      </c>
      <c r="D2" s="13" t="s">
        <v>11870</v>
      </c>
      <c r="E2" s="13" t="s">
        <v>15983</v>
      </c>
      <c r="F2" s="13" t="s">
        <v>15984</v>
      </c>
      <c r="G2" s="13" t="s">
        <v>300</v>
      </c>
      <c r="H2" s="13" t="s">
        <v>301</v>
      </c>
      <c r="I2" s="13" t="s">
        <v>15985</v>
      </c>
      <c r="J2" s="13" t="s">
        <v>15986</v>
      </c>
    </row>
    <row r="3" spans="2:10">
      <c r="B3" s="15" t="s">
        <v>20355</v>
      </c>
      <c r="C3" s="15" t="s">
        <v>20317</v>
      </c>
      <c r="D3" s="15" t="s">
        <v>316</v>
      </c>
      <c r="E3" s="15" t="s">
        <v>15989</v>
      </c>
      <c r="F3" s="15" t="s">
        <v>20318</v>
      </c>
      <c r="G3" s="15"/>
      <c r="H3" s="15"/>
      <c r="I3" s="15" t="s">
        <v>528</v>
      </c>
      <c r="J3" s="15" t="s">
        <v>15991</v>
      </c>
    </row>
    <row r="4" spans="2:10">
      <c r="B4" s="15" t="s">
        <v>20355</v>
      </c>
      <c r="C4" s="15" t="s">
        <v>16407</v>
      </c>
      <c r="D4" s="15" t="s">
        <v>316</v>
      </c>
      <c r="E4" s="15" t="s">
        <v>15989</v>
      </c>
      <c r="F4" s="15" t="s">
        <v>16322</v>
      </c>
      <c r="G4" s="15"/>
      <c r="H4" s="15"/>
      <c r="I4" s="15" t="s">
        <v>528</v>
      </c>
      <c r="J4" s="15" t="s">
        <v>15991</v>
      </c>
    </row>
    <row r="5" spans="2:10">
      <c r="B5" s="15" t="s">
        <v>20355</v>
      </c>
      <c r="C5" s="15" t="s">
        <v>19741</v>
      </c>
      <c r="D5" s="15" t="s">
        <v>316</v>
      </c>
      <c r="E5" s="15" t="s">
        <v>15989</v>
      </c>
      <c r="F5" s="15" t="s">
        <v>19742</v>
      </c>
      <c r="G5" s="15"/>
      <c r="H5" s="15"/>
      <c r="I5" s="15" t="s">
        <v>528</v>
      </c>
      <c r="J5" s="15" t="s">
        <v>15991</v>
      </c>
    </row>
    <row r="6" spans="2:10">
      <c r="B6" s="15" t="s">
        <v>20355</v>
      </c>
      <c r="C6" s="15" t="s">
        <v>16011</v>
      </c>
      <c r="D6" s="15" t="s">
        <v>316</v>
      </c>
      <c r="E6" s="15" t="s">
        <v>305</v>
      </c>
      <c r="F6" s="15" t="s">
        <v>16012</v>
      </c>
      <c r="G6" s="15"/>
      <c r="H6" s="15"/>
      <c r="I6" s="15" t="s">
        <v>528</v>
      </c>
      <c r="J6" s="15" t="s">
        <v>15991</v>
      </c>
    </row>
    <row r="7" spans="2:10">
      <c r="B7" s="15" t="s">
        <v>20355</v>
      </c>
      <c r="C7" s="15" t="s">
        <v>16009</v>
      </c>
      <c r="D7" s="15" t="s">
        <v>316</v>
      </c>
      <c r="E7" s="15" t="s">
        <v>305</v>
      </c>
      <c r="F7" s="15" t="s">
        <v>16010</v>
      </c>
      <c r="G7" s="15"/>
      <c r="H7" s="15"/>
      <c r="I7" s="15" t="s">
        <v>528</v>
      </c>
      <c r="J7" s="15" t="s">
        <v>15991</v>
      </c>
    </row>
    <row r="8" spans="2:10">
      <c r="B8" s="15" t="s">
        <v>20355</v>
      </c>
      <c r="C8" s="15" t="s">
        <v>16013</v>
      </c>
      <c r="D8" s="15" t="s">
        <v>371</v>
      </c>
      <c r="E8" s="15" t="s">
        <v>305</v>
      </c>
      <c r="F8" s="15" t="s">
        <v>16274</v>
      </c>
      <c r="G8" s="15"/>
      <c r="H8" s="15"/>
      <c r="I8" s="15" t="s">
        <v>528</v>
      </c>
      <c r="J8" s="15" t="s">
        <v>15991</v>
      </c>
    </row>
    <row r="9" spans="2:10">
      <c r="B9" s="15" t="s">
        <v>20355</v>
      </c>
      <c r="C9" s="15" t="s">
        <v>16017</v>
      </c>
      <c r="D9" s="15" t="s">
        <v>316</v>
      </c>
      <c r="E9" s="15" t="s">
        <v>305</v>
      </c>
      <c r="F9" s="15" t="s">
        <v>16018</v>
      </c>
      <c r="G9" s="15"/>
      <c r="H9" s="15"/>
      <c r="I9" s="15" t="s">
        <v>528</v>
      </c>
      <c r="J9" s="15" t="s">
        <v>15991</v>
      </c>
    </row>
    <row r="10" spans="2:10">
      <c r="B10" s="15" t="s">
        <v>20355</v>
      </c>
      <c r="C10" s="15" t="s">
        <v>16015</v>
      </c>
      <c r="D10" s="15" t="s">
        <v>316</v>
      </c>
      <c r="E10" s="15" t="s">
        <v>305</v>
      </c>
      <c r="F10" s="15" t="s">
        <v>16016</v>
      </c>
      <c r="G10" s="15"/>
      <c r="H10" s="15"/>
      <c r="I10" s="15" t="s">
        <v>528</v>
      </c>
      <c r="J10" s="15" t="s">
        <v>15991</v>
      </c>
    </row>
    <row r="11" spans="2:10">
      <c r="B11" s="15" t="s">
        <v>20355</v>
      </c>
      <c r="C11" s="15" t="s">
        <v>16019</v>
      </c>
      <c r="D11" s="15" t="s">
        <v>371</v>
      </c>
      <c r="E11" s="15" t="s">
        <v>305</v>
      </c>
      <c r="F11" s="15" t="s">
        <v>16236</v>
      </c>
      <c r="G11" s="15"/>
      <c r="H11" s="15"/>
      <c r="I11" s="15" t="s">
        <v>528</v>
      </c>
      <c r="J11" s="15" t="s">
        <v>15991</v>
      </c>
    </row>
  </sheetData>
  <pageMargins left="0.75" right="0.75" top="1" bottom="1" header="0.5" footer="0.5"/>
  <pageSetup paperSize="1" orientation="portrait" horizontalDpi="300" verticalDpi="300"/>
  <headerFooter alignWithMargins="0" scaleWithDoc="0"/>
</worksheet>
</file>

<file path=xl/worksheets/sheet1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3"/>
  <sheetViews>
    <sheetView zoomScaleSheetLayoutView="60" workbookViewId="0">
      <selection activeCell="D24" sqref="D24"/>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52" t="str">
        <f>HYPERLINK("#表结构清单!A1","返回")</f>
        <v>返回</v>
      </c>
      <c r="B1" t="s">
        <v>39</v>
      </c>
    </row>
    <row r="2" spans="2:10">
      <c r="B2" s="13" t="s">
        <v>15982</v>
      </c>
      <c r="C2" s="13" t="s">
        <v>297</v>
      </c>
      <c r="D2" s="13" t="s">
        <v>11870</v>
      </c>
      <c r="E2" s="13" t="s">
        <v>15983</v>
      </c>
      <c r="F2" s="13" t="s">
        <v>15984</v>
      </c>
      <c r="G2" s="13" t="s">
        <v>300</v>
      </c>
      <c r="H2" s="13" t="s">
        <v>301</v>
      </c>
      <c r="I2" s="13" t="s">
        <v>15985</v>
      </c>
      <c r="J2" s="13" t="s">
        <v>15986</v>
      </c>
    </row>
    <row r="3" spans="2:10">
      <c r="B3" s="15" t="s">
        <v>20356</v>
      </c>
      <c r="C3" s="15" t="s">
        <v>20357</v>
      </c>
      <c r="D3" s="15" t="s">
        <v>316</v>
      </c>
      <c r="E3" s="15" t="s">
        <v>305</v>
      </c>
      <c r="F3" s="15" t="s">
        <v>2457</v>
      </c>
      <c r="G3" s="15"/>
      <c r="H3" s="15"/>
      <c r="I3" s="15" t="s">
        <v>528</v>
      </c>
      <c r="J3" s="15" t="s">
        <v>15991</v>
      </c>
    </row>
    <row r="4" spans="2:10">
      <c r="B4" s="15" t="s">
        <v>20356</v>
      </c>
      <c r="C4" s="15" t="s">
        <v>630</v>
      </c>
      <c r="D4" s="15" t="s">
        <v>316</v>
      </c>
      <c r="E4" s="15" t="s">
        <v>15989</v>
      </c>
      <c r="F4" s="15" t="s">
        <v>20358</v>
      </c>
      <c r="G4" s="15"/>
      <c r="H4" s="15"/>
      <c r="I4" s="15" t="s">
        <v>528</v>
      </c>
      <c r="J4" s="15" t="s">
        <v>15991</v>
      </c>
    </row>
    <row r="5" spans="2:10">
      <c r="B5" s="15" t="s">
        <v>20356</v>
      </c>
      <c r="C5" s="15" t="s">
        <v>631</v>
      </c>
      <c r="D5" s="15" t="s">
        <v>506</v>
      </c>
      <c r="E5" s="15" t="s">
        <v>305</v>
      </c>
      <c r="F5" s="15" t="s">
        <v>20359</v>
      </c>
      <c r="G5" s="15"/>
      <c r="H5" s="15"/>
      <c r="I5" s="15" t="s">
        <v>528</v>
      </c>
      <c r="J5" s="15" t="s">
        <v>15991</v>
      </c>
    </row>
    <row r="6" spans="2:10">
      <c r="B6" s="15" t="s">
        <v>20356</v>
      </c>
      <c r="C6" s="15" t="s">
        <v>19614</v>
      </c>
      <c r="D6" s="15" t="s">
        <v>316</v>
      </c>
      <c r="E6" s="15" t="s">
        <v>305</v>
      </c>
      <c r="F6" s="15" t="s">
        <v>20360</v>
      </c>
      <c r="G6" s="15"/>
      <c r="H6" s="15"/>
      <c r="I6" s="15" t="s">
        <v>528</v>
      </c>
      <c r="J6" s="15" t="s">
        <v>15991</v>
      </c>
    </row>
    <row r="7" spans="2:10">
      <c r="B7" s="15" t="s">
        <v>20356</v>
      </c>
      <c r="C7" s="15" t="s">
        <v>16255</v>
      </c>
      <c r="D7" s="15" t="s">
        <v>321</v>
      </c>
      <c r="E7" s="15" t="s">
        <v>305</v>
      </c>
      <c r="F7" s="15" t="s">
        <v>20361</v>
      </c>
      <c r="G7" s="15"/>
      <c r="H7" s="15"/>
      <c r="I7" s="15" t="s">
        <v>528</v>
      </c>
      <c r="J7" s="15" t="s">
        <v>15991</v>
      </c>
    </row>
    <row r="8" spans="2:10">
      <c r="B8" s="15" t="s">
        <v>20356</v>
      </c>
      <c r="C8" s="15" t="s">
        <v>16009</v>
      </c>
      <c r="D8" s="15" t="s">
        <v>316</v>
      </c>
      <c r="E8" s="15" t="s">
        <v>305</v>
      </c>
      <c r="F8" s="15" t="s">
        <v>16010</v>
      </c>
      <c r="G8" s="15"/>
      <c r="H8" s="15"/>
      <c r="I8" s="15" t="s">
        <v>528</v>
      </c>
      <c r="J8" s="15" t="s">
        <v>15991</v>
      </c>
    </row>
    <row r="9" spans="2:10">
      <c r="B9" s="15" t="s">
        <v>20356</v>
      </c>
      <c r="C9" s="15" t="s">
        <v>16011</v>
      </c>
      <c r="D9" s="15" t="s">
        <v>316</v>
      </c>
      <c r="E9" s="15" t="s">
        <v>305</v>
      </c>
      <c r="F9" s="15" t="s">
        <v>16012</v>
      </c>
      <c r="G9" s="15"/>
      <c r="H9" s="15"/>
      <c r="I9" s="15" t="s">
        <v>528</v>
      </c>
      <c r="J9" s="15" t="s">
        <v>15991</v>
      </c>
    </row>
    <row r="10" spans="2:10">
      <c r="B10" s="15" t="s">
        <v>20356</v>
      </c>
      <c r="C10" s="15" t="s">
        <v>16013</v>
      </c>
      <c r="D10" s="15" t="s">
        <v>371</v>
      </c>
      <c r="E10" s="15" t="s">
        <v>305</v>
      </c>
      <c r="F10" s="15" t="s">
        <v>16014</v>
      </c>
      <c r="G10" s="15"/>
      <c r="H10" s="15"/>
      <c r="I10" s="15" t="s">
        <v>528</v>
      </c>
      <c r="J10" s="15" t="s">
        <v>15991</v>
      </c>
    </row>
    <row r="11" spans="2:10">
      <c r="B11" s="15" t="s">
        <v>20356</v>
      </c>
      <c r="C11" s="15" t="s">
        <v>16015</v>
      </c>
      <c r="D11" s="15" t="s">
        <v>316</v>
      </c>
      <c r="E11" s="15" t="s">
        <v>305</v>
      </c>
      <c r="F11" s="15" t="s">
        <v>16016</v>
      </c>
      <c r="G11" s="15"/>
      <c r="H11" s="15"/>
      <c r="I11" s="15" t="s">
        <v>528</v>
      </c>
      <c r="J11" s="15" t="s">
        <v>15991</v>
      </c>
    </row>
    <row r="12" spans="2:10">
      <c r="B12" s="15" t="s">
        <v>20356</v>
      </c>
      <c r="C12" s="15" t="s">
        <v>16017</v>
      </c>
      <c r="D12" s="15" t="s">
        <v>316</v>
      </c>
      <c r="E12" s="15" t="s">
        <v>305</v>
      </c>
      <c r="F12" s="15" t="s">
        <v>16018</v>
      </c>
      <c r="G12" s="15"/>
      <c r="H12" s="15"/>
      <c r="I12" s="15" t="s">
        <v>528</v>
      </c>
      <c r="J12" s="15" t="s">
        <v>15991</v>
      </c>
    </row>
    <row r="13" spans="2:10">
      <c r="B13" s="15" t="s">
        <v>20356</v>
      </c>
      <c r="C13" s="15" t="s">
        <v>16019</v>
      </c>
      <c r="D13" s="15" t="s">
        <v>371</v>
      </c>
      <c r="E13" s="15" t="s">
        <v>305</v>
      </c>
      <c r="F13" s="15" t="s">
        <v>20362</v>
      </c>
      <c r="G13" s="15"/>
      <c r="H13" s="15"/>
      <c r="I13" s="15" t="s">
        <v>528</v>
      </c>
      <c r="J13" s="15" t="s">
        <v>15991</v>
      </c>
    </row>
  </sheetData>
  <pageMargins left="0.75" right="0.75" top="1" bottom="1" header="0.5" footer="0.5"/>
  <pageSetup paperSize="1" orientation="portrait" horizontalDpi="300" verticalDpi="300"/>
  <headerFooter alignWithMargins="0" scaleWithDoc="0"/>
</worksheet>
</file>

<file path=xl/worksheets/sheet1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1"/>
  <sheetViews>
    <sheetView zoomScaleSheetLayoutView="60" workbookViewId="0">
      <selection activeCell="D31" sqref="D31"/>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52" t="str">
        <f>HYPERLINK("#表结构清单!A1","返回")</f>
        <v>返回</v>
      </c>
      <c r="B1" t="s">
        <v>20363</v>
      </c>
    </row>
    <row r="2" spans="2:10">
      <c r="B2" s="13" t="s">
        <v>15982</v>
      </c>
      <c r="C2" s="13" t="s">
        <v>297</v>
      </c>
      <c r="D2" s="13" t="s">
        <v>11870</v>
      </c>
      <c r="E2" s="13" t="s">
        <v>15983</v>
      </c>
      <c r="F2" s="13" t="s">
        <v>15984</v>
      </c>
      <c r="G2" s="13" t="s">
        <v>300</v>
      </c>
      <c r="H2" s="13" t="s">
        <v>301</v>
      </c>
      <c r="I2" s="13" t="s">
        <v>15985</v>
      </c>
      <c r="J2" s="13" t="s">
        <v>15986</v>
      </c>
    </row>
    <row r="3" spans="2:10">
      <c r="B3" s="15" t="s">
        <v>20364</v>
      </c>
      <c r="C3" s="15" t="s">
        <v>20365</v>
      </c>
      <c r="D3" s="15" t="s">
        <v>506</v>
      </c>
      <c r="E3" s="15" t="s">
        <v>15989</v>
      </c>
      <c r="F3" s="15" t="s">
        <v>20366</v>
      </c>
      <c r="G3" s="15"/>
      <c r="H3" s="15"/>
      <c r="I3" s="15" t="s">
        <v>528</v>
      </c>
      <c r="J3" s="15" t="s">
        <v>15991</v>
      </c>
    </row>
    <row r="4" spans="2:10">
      <c r="B4" s="15" t="s">
        <v>20364</v>
      </c>
      <c r="C4" s="15" t="s">
        <v>20367</v>
      </c>
      <c r="D4" s="15" t="s">
        <v>316</v>
      </c>
      <c r="E4" s="15" t="s">
        <v>305</v>
      </c>
      <c r="F4" s="15" t="s">
        <v>20368</v>
      </c>
      <c r="G4" s="15"/>
      <c r="H4" s="15"/>
      <c r="I4" s="15" t="s">
        <v>528</v>
      </c>
      <c r="J4" s="15" t="s">
        <v>15991</v>
      </c>
    </row>
    <row r="5" spans="2:10">
      <c r="B5" s="15" t="s">
        <v>20364</v>
      </c>
      <c r="C5" s="15" t="s">
        <v>20369</v>
      </c>
      <c r="D5" s="15" t="s">
        <v>367</v>
      </c>
      <c r="E5" s="15" t="s">
        <v>305</v>
      </c>
      <c r="F5" s="15" t="s">
        <v>20370</v>
      </c>
      <c r="G5" s="15"/>
      <c r="H5" s="15"/>
      <c r="I5" s="15" t="s">
        <v>528</v>
      </c>
      <c r="J5" s="15" t="s">
        <v>15991</v>
      </c>
    </row>
    <row r="6" spans="2:10">
      <c r="B6" s="15" t="s">
        <v>20364</v>
      </c>
      <c r="C6" s="15" t="s">
        <v>20371</v>
      </c>
      <c r="D6" s="15" t="s">
        <v>506</v>
      </c>
      <c r="E6" s="15" t="s">
        <v>305</v>
      </c>
      <c r="F6" s="15" t="s">
        <v>20372</v>
      </c>
      <c r="G6" s="15"/>
      <c r="H6" s="15"/>
      <c r="I6" s="15" t="s">
        <v>528</v>
      </c>
      <c r="J6" s="15" t="s">
        <v>15991</v>
      </c>
    </row>
    <row r="7" spans="2:10">
      <c r="B7" s="15" t="s">
        <v>20364</v>
      </c>
      <c r="C7" s="15" t="s">
        <v>20373</v>
      </c>
      <c r="D7" s="15" t="s">
        <v>367</v>
      </c>
      <c r="E7" s="15" t="s">
        <v>305</v>
      </c>
      <c r="F7" s="15" t="s">
        <v>20374</v>
      </c>
      <c r="G7" s="15"/>
      <c r="H7" s="15"/>
      <c r="I7" s="15" t="s">
        <v>528</v>
      </c>
      <c r="J7" s="15" t="s">
        <v>15991</v>
      </c>
    </row>
    <row r="8" spans="2:10">
      <c r="B8" s="15" t="s">
        <v>20364</v>
      </c>
      <c r="C8" s="15" t="s">
        <v>20375</v>
      </c>
      <c r="D8" s="15" t="s">
        <v>316</v>
      </c>
      <c r="E8" s="15" t="s">
        <v>305</v>
      </c>
      <c r="F8" s="15" t="s">
        <v>20376</v>
      </c>
      <c r="G8" s="15"/>
      <c r="H8" s="15"/>
      <c r="I8" s="15" t="s">
        <v>528</v>
      </c>
      <c r="J8" s="15" t="s">
        <v>15991</v>
      </c>
    </row>
    <row r="9" spans="2:10">
      <c r="B9" s="15" t="s">
        <v>20364</v>
      </c>
      <c r="C9" s="15" t="s">
        <v>20377</v>
      </c>
      <c r="D9" s="15" t="s">
        <v>16087</v>
      </c>
      <c r="E9" s="15" t="s">
        <v>305</v>
      </c>
      <c r="F9" s="15" t="s">
        <v>20378</v>
      </c>
      <c r="G9" s="15"/>
      <c r="H9" s="15"/>
      <c r="I9" s="15" t="s">
        <v>528</v>
      </c>
      <c r="J9" s="15" t="s">
        <v>15991</v>
      </c>
    </row>
    <row r="10" spans="2:10">
      <c r="B10" s="15" t="s">
        <v>20364</v>
      </c>
      <c r="C10" s="15" t="s">
        <v>20379</v>
      </c>
      <c r="D10" s="15" t="s">
        <v>16087</v>
      </c>
      <c r="E10" s="15" t="s">
        <v>305</v>
      </c>
      <c r="F10" s="15" t="s">
        <v>20380</v>
      </c>
      <c r="G10" s="15"/>
      <c r="H10" s="15"/>
      <c r="I10" s="15" t="s">
        <v>528</v>
      </c>
      <c r="J10" s="15" t="s">
        <v>15991</v>
      </c>
    </row>
    <row r="11" spans="2:10">
      <c r="B11" s="15" t="s">
        <v>20364</v>
      </c>
      <c r="C11" s="15" t="s">
        <v>20381</v>
      </c>
      <c r="D11" s="15" t="s">
        <v>16087</v>
      </c>
      <c r="E11" s="15" t="s">
        <v>305</v>
      </c>
      <c r="F11" s="15" t="s">
        <v>20382</v>
      </c>
      <c r="G11" s="15"/>
      <c r="H11" s="15"/>
      <c r="I11" s="15" t="s">
        <v>528</v>
      </c>
      <c r="J11" s="15" t="s">
        <v>15991</v>
      </c>
    </row>
    <row r="12" spans="2:10">
      <c r="B12" s="15" t="s">
        <v>20364</v>
      </c>
      <c r="C12" s="15" t="s">
        <v>20383</v>
      </c>
      <c r="D12" s="15" t="s">
        <v>16087</v>
      </c>
      <c r="E12" s="15" t="s">
        <v>305</v>
      </c>
      <c r="F12" s="15" t="s">
        <v>20384</v>
      </c>
      <c r="G12" s="15"/>
      <c r="H12" s="15"/>
      <c r="I12" s="15" t="s">
        <v>528</v>
      </c>
      <c r="J12" s="15" t="s">
        <v>15991</v>
      </c>
    </row>
    <row r="13" spans="2:10">
      <c r="B13" s="15" t="s">
        <v>20364</v>
      </c>
      <c r="C13" s="15" t="s">
        <v>20385</v>
      </c>
      <c r="D13" s="15" t="s">
        <v>16087</v>
      </c>
      <c r="E13" s="15" t="s">
        <v>305</v>
      </c>
      <c r="F13" s="15" t="s">
        <v>20386</v>
      </c>
      <c r="G13" s="15"/>
      <c r="H13" s="15"/>
      <c r="I13" s="15" t="s">
        <v>528</v>
      </c>
      <c r="J13" s="15" t="s">
        <v>15991</v>
      </c>
    </row>
    <row r="14" spans="2:10">
      <c r="B14" s="15" t="s">
        <v>20364</v>
      </c>
      <c r="C14" s="15" t="s">
        <v>20387</v>
      </c>
      <c r="D14" s="15" t="s">
        <v>16087</v>
      </c>
      <c r="E14" s="15" t="s">
        <v>305</v>
      </c>
      <c r="F14" s="15" t="s">
        <v>20388</v>
      </c>
      <c r="G14" s="15"/>
      <c r="H14" s="15"/>
      <c r="I14" s="15" t="s">
        <v>528</v>
      </c>
      <c r="J14" s="15" t="s">
        <v>15991</v>
      </c>
    </row>
    <row r="15" spans="2:10">
      <c r="B15" s="15" t="s">
        <v>20364</v>
      </c>
      <c r="C15" s="15" t="s">
        <v>16255</v>
      </c>
      <c r="D15" s="15" t="s">
        <v>321</v>
      </c>
      <c r="E15" s="15" t="s">
        <v>305</v>
      </c>
      <c r="F15" s="15" t="s">
        <v>16492</v>
      </c>
      <c r="G15" s="52" t="str">
        <f>HYPERLINK("#码值映射清单!B1110","IsInUse")</f>
        <v>IsInUse</v>
      </c>
      <c r="H15" s="15"/>
      <c r="I15" s="15" t="s">
        <v>528</v>
      </c>
      <c r="J15" s="15" t="s">
        <v>15991</v>
      </c>
    </row>
    <row r="16" spans="2:10">
      <c r="B16" s="15" t="s">
        <v>20364</v>
      </c>
      <c r="C16" s="15" t="s">
        <v>20389</v>
      </c>
      <c r="D16" s="15" t="s">
        <v>316</v>
      </c>
      <c r="E16" s="15" t="s">
        <v>305</v>
      </c>
      <c r="F16" s="15" t="s">
        <v>20390</v>
      </c>
      <c r="G16" s="15"/>
      <c r="H16" s="15"/>
      <c r="I16" s="15" t="s">
        <v>528</v>
      </c>
      <c r="J16" s="15" t="s">
        <v>15991</v>
      </c>
    </row>
    <row r="17" spans="2:10">
      <c r="B17" s="15" t="s">
        <v>20364</v>
      </c>
      <c r="C17" s="15" t="s">
        <v>16179</v>
      </c>
      <c r="D17" s="15" t="s">
        <v>327</v>
      </c>
      <c r="E17" s="15" t="s">
        <v>305</v>
      </c>
      <c r="F17" s="15" t="s">
        <v>16521</v>
      </c>
      <c r="G17" s="15"/>
      <c r="H17" s="15"/>
      <c r="I17" s="15" t="s">
        <v>528</v>
      </c>
      <c r="J17" s="15" t="s">
        <v>15991</v>
      </c>
    </row>
    <row r="18" spans="2:10">
      <c r="B18" s="15" t="s">
        <v>20364</v>
      </c>
      <c r="C18" s="15" t="s">
        <v>16181</v>
      </c>
      <c r="D18" s="15" t="s">
        <v>327</v>
      </c>
      <c r="E18" s="15" t="s">
        <v>305</v>
      </c>
      <c r="F18" s="15" t="s">
        <v>16522</v>
      </c>
      <c r="G18" s="52" t="str">
        <f>HYPERLINK("#码值映射清单!B5150","YesNo")</f>
        <v>YesNo</v>
      </c>
      <c r="H18" s="15"/>
      <c r="I18" s="15" t="s">
        <v>528</v>
      </c>
      <c r="J18" s="15" t="s">
        <v>15991</v>
      </c>
    </row>
    <row r="19" spans="2:10">
      <c r="B19" s="15" t="s">
        <v>20364</v>
      </c>
      <c r="C19" s="15" t="s">
        <v>16183</v>
      </c>
      <c r="D19" s="15" t="s">
        <v>327</v>
      </c>
      <c r="E19" s="15" t="s">
        <v>305</v>
      </c>
      <c r="F19" s="15" t="s">
        <v>16523</v>
      </c>
      <c r="G19" s="15"/>
      <c r="H19" s="15"/>
      <c r="I19" s="15" t="s">
        <v>528</v>
      </c>
      <c r="J19" s="15" t="s">
        <v>15991</v>
      </c>
    </row>
    <row r="20" spans="2:10">
      <c r="B20" s="15" t="s">
        <v>20364</v>
      </c>
      <c r="C20" s="15" t="s">
        <v>16185</v>
      </c>
      <c r="D20" s="15" t="s">
        <v>327</v>
      </c>
      <c r="E20" s="15" t="s">
        <v>305</v>
      </c>
      <c r="F20" s="15" t="s">
        <v>16524</v>
      </c>
      <c r="G20" s="52" t="str">
        <f>HYPERLINK("#码值映射清单!B5150","YesNo")</f>
        <v>YesNo</v>
      </c>
      <c r="H20" s="15"/>
      <c r="I20" s="15" t="s">
        <v>528</v>
      </c>
      <c r="J20" s="15" t="s">
        <v>15991</v>
      </c>
    </row>
    <row r="21" spans="2:10">
      <c r="B21" s="15" t="s">
        <v>20364</v>
      </c>
      <c r="C21" s="15" t="s">
        <v>16192</v>
      </c>
      <c r="D21" s="15" t="s">
        <v>327</v>
      </c>
      <c r="E21" s="15" t="s">
        <v>305</v>
      </c>
      <c r="F21" s="15" t="s">
        <v>16525</v>
      </c>
      <c r="G21" s="15"/>
      <c r="H21" s="15"/>
      <c r="I21" s="15" t="s">
        <v>528</v>
      </c>
      <c r="J21" s="15" t="s">
        <v>15991</v>
      </c>
    </row>
    <row r="22" spans="2:10">
      <c r="B22" s="15" t="s">
        <v>20364</v>
      </c>
      <c r="C22" s="15" t="s">
        <v>16086</v>
      </c>
      <c r="D22" s="15" t="s">
        <v>327</v>
      </c>
      <c r="E22" s="15" t="s">
        <v>305</v>
      </c>
      <c r="F22" s="15" t="s">
        <v>301</v>
      </c>
      <c r="G22" s="15"/>
      <c r="H22" s="15"/>
      <c r="I22" s="15" t="s">
        <v>528</v>
      </c>
      <c r="J22" s="15" t="s">
        <v>15991</v>
      </c>
    </row>
    <row r="23" spans="2:10">
      <c r="B23" s="15" t="s">
        <v>20364</v>
      </c>
      <c r="C23" s="15" t="s">
        <v>16241</v>
      </c>
      <c r="D23" s="15" t="s">
        <v>316</v>
      </c>
      <c r="E23" s="15" t="s">
        <v>305</v>
      </c>
      <c r="F23" s="15" t="s">
        <v>16010</v>
      </c>
      <c r="G23" s="15"/>
      <c r="H23" s="15"/>
      <c r="I23" s="15" t="s">
        <v>528</v>
      </c>
      <c r="J23" s="15" t="s">
        <v>15991</v>
      </c>
    </row>
    <row r="24" spans="2:10">
      <c r="B24" s="15" t="s">
        <v>20364</v>
      </c>
      <c r="C24" s="15" t="s">
        <v>16053</v>
      </c>
      <c r="D24" s="15" t="s">
        <v>316</v>
      </c>
      <c r="E24" s="15" t="s">
        <v>305</v>
      </c>
      <c r="F24" s="15" t="s">
        <v>16012</v>
      </c>
      <c r="G24" s="15"/>
      <c r="H24" s="15"/>
      <c r="I24" s="15" t="s">
        <v>528</v>
      </c>
      <c r="J24" s="15" t="s">
        <v>15991</v>
      </c>
    </row>
    <row r="25" spans="2:10">
      <c r="B25" s="15" t="s">
        <v>20364</v>
      </c>
      <c r="C25" s="15" t="s">
        <v>16013</v>
      </c>
      <c r="D25" s="15" t="s">
        <v>371</v>
      </c>
      <c r="E25" s="15" t="s">
        <v>305</v>
      </c>
      <c r="F25" s="15" t="s">
        <v>16014</v>
      </c>
      <c r="G25" s="15"/>
      <c r="H25" s="15"/>
      <c r="I25" s="15" t="s">
        <v>528</v>
      </c>
      <c r="J25" s="15" t="s">
        <v>15991</v>
      </c>
    </row>
    <row r="26" spans="2:10">
      <c r="B26" s="15" t="s">
        <v>20364</v>
      </c>
      <c r="C26" s="15" t="s">
        <v>16532</v>
      </c>
      <c r="D26" s="15" t="s">
        <v>316</v>
      </c>
      <c r="E26" s="15" t="s">
        <v>305</v>
      </c>
      <c r="F26" s="15" t="s">
        <v>16016</v>
      </c>
      <c r="G26" s="15"/>
      <c r="H26" s="15"/>
      <c r="I26" s="15" t="s">
        <v>528</v>
      </c>
      <c r="J26" s="15" t="s">
        <v>15991</v>
      </c>
    </row>
    <row r="27" spans="2:10">
      <c r="B27" s="15" t="s">
        <v>20364</v>
      </c>
      <c r="C27" s="15" t="s">
        <v>16243</v>
      </c>
      <c r="D27" s="15" t="s">
        <v>316</v>
      </c>
      <c r="E27" s="15" t="s">
        <v>305</v>
      </c>
      <c r="F27" s="15" t="s">
        <v>16018</v>
      </c>
      <c r="G27" s="15"/>
      <c r="H27" s="15"/>
      <c r="I27" s="15" t="s">
        <v>528</v>
      </c>
      <c r="J27" s="15" t="s">
        <v>15991</v>
      </c>
    </row>
    <row r="28" spans="2:10">
      <c r="B28" s="15" t="s">
        <v>20364</v>
      </c>
      <c r="C28" s="15" t="s">
        <v>16019</v>
      </c>
      <c r="D28" s="15" t="s">
        <v>371</v>
      </c>
      <c r="E28" s="15" t="s">
        <v>305</v>
      </c>
      <c r="F28" s="15" t="s">
        <v>16020</v>
      </c>
      <c r="G28" s="15"/>
      <c r="H28" s="15"/>
      <c r="I28" s="15" t="s">
        <v>528</v>
      </c>
      <c r="J28" s="15" t="s">
        <v>15991</v>
      </c>
    </row>
    <row r="29" spans="2:10">
      <c r="B29" s="15" t="s">
        <v>20364</v>
      </c>
      <c r="C29" s="15" t="s">
        <v>16237</v>
      </c>
      <c r="D29" s="15" t="s">
        <v>371</v>
      </c>
      <c r="E29" s="15" t="s">
        <v>305</v>
      </c>
      <c r="F29" s="15" t="s">
        <v>16238</v>
      </c>
      <c r="G29" s="15"/>
      <c r="H29" s="15"/>
      <c r="I29" s="15" t="s">
        <v>528</v>
      </c>
      <c r="J29" s="15" t="s">
        <v>15991</v>
      </c>
    </row>
    <row r="30" spans="2:10">
      <c r="B30" s="15" t="s">
        <v>20364</v>
      </c>
      <c r="C30" s="15" t="s">
        <v>16239</v>
      </c>
      <c r="D30" s="15" t="s">
        <v>371</v>
      </c>
      <c r="E30" s="15" t="s">
        <v>305</v>
      </c>
      <c r="F30" s="15" t="s">
        <v>16236</v>
      </c>
      <c r="G30" s="15"/>
      <c r="H30" s="15"/>
      <c r="I30" s="15" t="s">
        <v>528</v>
      </c>
      <c r="J30" s="15" t="s">
        <v>15991</v>
      </c>
    </row>
    <row r="31" spans="2:10">
      <c r="B31" s="15" t="s">
        <v>20364</v>
      </c>
      <c r="C31" s="15" t="s">
        <v>20391</v>
      </c>
      <c r="D31" s="15" t="s">
        <v>16115</v>
      </c>
      <c r="E31" s="15" t="s">
        <v>305</v>
      </c>
      <c r="F31" s="15" t="s">
        <v>20392</v>
      </c>
      <c r="G31" s="15"/>
      <c r="H31" s="15"/>
      <c r="I31" s="15" t="s">
        <v>528</v>
      </c>
      <c r="J31" s="15" t="s">
        <v>15991</v>
      </c>
    </row>
  </sheetData>
  <pageMargins left="0.75" right="0.75" top="1" bottom="1" header="0.5" footer="0.5"/>
  <pageSetup paperSize="1" orientation="portrait" horizontalDpi="300" verticalDpi="300"/>
  <headerFooter alignWithMargins="0" scaleWithDoc="0"/>
</worksheet>
</file>

<file path=xl/worksheets/sheet1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7"/>
  <sheetViews>
    <sheetView zoomScaleSheetLayoutView="60" workbookViewId="0">
      <selection activeCell="A1" sqref="A1"/>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52" t="str">
        <f>HYPERLINK("#表结构清单!A1","返回")</f>
        <v>返回</v>
      </c>
      <c r="B1" t="s">
        <v>155</v>
      </c>
    </row>
    <row r="2" spans="2:10">
      <c r="B2" s="13" t="s">
        <v>15982</v>
      </c>
      <c r="C2" s="13" t="s">
        <v>297</v>
      </c>
      <c r="D2" s="13" t="s">
        <v>11870</v>
      </c>
      <c r="E2" s="13" t="s">
        <v>15983</v>
      </c>
      <c r="F2" s="13" t="s">
        <v>15984</v>
      </c>
      <c r="G2" s="13" t="s">
        <v>300</v>
      </c>
      <c r="H2" s="13" t="s">
        <v>301</v>
      </c>
      <c r="I2" s="13" t="s">
        <v>15985</v>
      </c>
      <c r="J2" s="13" t="s">
        <v>15986</v>
      </c>
    </row>
    <row r="3" spans="2:10">
      <c r="B3" s="15" t="s">
        <v>20393</v>
      </c>
      <c r="C3" s="15" t="s">
        <v>20394</v>
      </c>
      <c r="D3" s="15" t="s">
        <v>513</v>
      </c>
      <c r="E3" s="15" t="s">
        <v>15989</v>
      </c>
      <c r="F3" s="15" t="s">
        <v>20395</v>
      </c>
      <c r="G3" s="15"/>
      <c r="H3" s="15"/>
      <c r="I3" s="15" t="s">
        <v>528</v>
      </c>
      <c r="J3" s="15" t="s">
        <v>15991</v>
      </c>
    </row>
    <row r="4" spans="2:10">
      <c r="B4" s="15" t="s">
        <v>20393</v>
      </c>
      <c r="C4" s="15" t="s">
        <v>20396</v>
      </c>
      <c r="D4" s="15" t="s">
        <v>371</v>
      </c>
      <c r="E4" s="15" t="s">
        <v>305</v>
      </c>
      <c r="F4" s="15" t="s">
        <v>20397</v>
      </c>
      <c r="G4" s="15"/>
      <c r="H4" s="15"/>
      <c r="I4" s="15" t="s">
        <v>528</v>
      </c>
      <c r="J4" s="15" t="s">
        <v>15991</v>
      </c>
    </row>
    <row r="5" spans="2:10">
      <c r="B5" s="15" t="s">
        <v>20393</v>
      </c>
      <c r="C5" s="15" t="s">
        <v>20398</v>
      </c>
      <c r="D5" s="15" t="s">
        <v>371</v>
      </c>
      <c r="E5" s="15" t="s">
        <v>305</v>
      </c>
      <c r="F5" s="15" t="s">
        <v>20399</v>
      </c>
      <c r="G5" s="15"/>
      <c r="H5" s="15"/>
      <c r="I5" s="15" t="s">
        <v>528</v>
      </c>
      <c r="J5" s="15" t="s">
        <v>15991</v>
      </c>
    </row>
    <row r="6" spans="2:10">
      <c r="B6" s="15" t="s">
        <v>20393</v>
      </c>
      <c r="C6" s="15" t="s">
        <v>20400</v>
      </c>
      <c r="D6" s="15" t="s">
        <v>371</v>
      </c>
      <c r="E6" s="15" t="s">
        <v>305</v>
      </c>
      <c r="F6" s="15" t="s">
        <v>20401</v>
      </c>
      <c r="G6" s="15"/>
      <c r="H6" s="15"/>
      <c r="I6" s="15" t="s">
        <v>528</v>
      </c>
      <c r="J6" s="15" t="s">
        <v>15991</v>
      </c>
    </row>
    <row r="7" spans="2:10">
      <c r="B7" s="15" t="s">
        <v>20393</v>
      </c>
      <c r="C7" s="15" t="s">
        <v>20402</v>
      </c>
      <c r="D7" s="15" t="s">
        <v>371</v>
      </c>
      <c r="E7" s="15" t="s">
        <v>305</v>
      </c>
      <c r="F7" s="15" t="s">
        <v>20403</v>
      </c>
      <c r="G7" s="15"/>
      <c r="H7" s="15"/>
      <c r="I7" s="15" t="s">
        <v>528</v>
      </c>
      <c r="J7" s="15" t="s">
        <v>15991</v>
      </c>
    </row>
    <row r="8" spans="2:10">
      <c r="B8" s="15" t="s">
        <v>20393</v>
      </c>
      <c r="C8" s="15" t="s">
        <v>20404</v>
      </c>
      <c r="D8" s="15" t="s">
        <v>371</v>
      </c>
      <c r="E8" s="15" t="s">
        <v>305</v>
      </c>
      <c r="F8" s="15" t="s">
        <v>20405</v>
      </c>
      <c r="G8" s="15"/>
      <c r="H8" s="15"/>
      <c r="I8" s="15" t="s">
        <v>528</v>
      </c>
      <c r="J8" s="15" t="s">
        <v>15991</v>
      </c>
    </row>
    <row r="9" spans="2:10">
      <c r="B9" s="15" t="s">
        <v>20393</v>
      </c>
      <c r="C9" s="15" t="s">
        <v>20406</v>
      </c>
      <c r="D9" s="15" t="s">
        <v>371</v>
      </c>
      <c r="E9" s="15" t="s">
        <v>305</v>
      </c>
      <c r="F9" s="15" t="s">
        <v>20407</v>
      </c>
      <c r="G9" s="15"/>
      <c r="H9" s="15"/>
      <c r="I9" s="15" t="s">
        <v>528</v>
      </c>
      <c r="J9" s="15" t="s">
        <v>15991</v>
      </c>
    </row>
    <row r="10" spans="2:10">
      <c r="B10" s="15" t="s">
        <v>20393</v>
      </c>
      <c r="C10" s="15" t="s">
        <v>20408</v>
      </c>
      <c r="D10" s="15" t="s">
        <v>513</v>
      </c>
      <c r="E10" s="15" t="s">
        <v>305</v>
      </c>
      <c r="F10" s="15" t="s">
        <v>20409</v>
      </c>
      <c r="G10" s="15"/>
      <c r="H10" s="15"/>
      <c r="I10" s="15" t="s">
        <v>528</v>
      </c>
      <c r="J10" s="15" t="s">
        <v>15991</v>
      </c>
    </row>
    <row r="11" spans="2:10">
      <c r="B11" s="15" t="s">
        <v>20393</v>
      </c>
      <c r="C11" s="15" t="s">
        <v>20410</v>
      </c>
      <c r="D11" s="15" t="s">
        <v>513</v>
      </c>
      <c r="E11" s="15" t="s">
        <v>15989</v>
      </c>
      <c r="F11" s="15" t="s">
        <v>20411</v>
      </c>
      <c r="G11" s="15"/>
      <c r="H11" s="15"/>
      <c r="I11" s="15" t="s">
        <v>528</v>
      </c>
      <c r="J11" s="15" t="s">
        <v>15991</v>
      </c>
    </row>
    <row r="12" spans="2:10">
      <c r="B12" s="15" t="s">
        <v>20393</v>
      </c>
      <c r="C12" s="15" t="s">
        <v>16009</v>
      </c>
      <c r="D12" s="15" t="s">
        <v>316</v>
      </c>
      <c r="E12" s="15" t="s">
        <v>305</v>
      </c>
      <c r="F12" s="15" t="s">
        <v>16010</v>
      </c>
      <c r="G12" s="15"/>
      <c r="H12" s="15"/>
      <c r="I12" s="15" t="s">
        <v>528</v>
      </c>
      <c r="J12" s="15" t="s">
        <v>15991</v>
      </c>
    </row>
    <row r="13" spans="2:10">
      <c r="B13" s="15" t="s">
        <v>20393</v>
      </c>
      <c r="C13" s="15" t="s">
        <v>16011</v>
      </c>
      <c r="D13" s="15" t="s">
        <v>316</v>
      </c>
      <c r="E13" s="15" t="s">
        <v>305</v>
      </c>
      <c r="F13" s="15" t="s">
        <v>16012</v>
      </c>
      <c r="G13" s="15"/>
      <c r="H13" s="15"/>
      <c r="I13" s="15" t="s">
        <v>528</v>
      </c>
      <c r="J13" s="15" t="s">
        <v>15991</v>
      </c>
    </row>
    <row r="14" spans="2:10">
      <c r="B14" s="15" t="s">
        <v>20393</v>
      </c>
      <c r="C14" s="15" t="s">
        <v>16013</v>
      </c>
      <c r="D14" s="15" t="s">
        <v>371</v>
      </c>
      <c r="E14" s="15" t="s">
        <v>305</v>
      </c>
      <c r="F14" s="15" t="s">
        <v>16014</v>
      </c>
      <c r="G14" s="15"/>
      <c r="H14" s="15"/>
      <c r="I14" s="15" t="s">
        <v>528</v>
      </c>
      <c r="J14" s="15" t="s">
        <v>15991</v>
      </c>
    </row>
    <row r="15" spans="2:10">
      <c r="B15" s="15" t="s">
        <v>20393</v>
      </c>
      <c r="C15" s="15" t="s">
        <v>16015</v>
      </c>
      <c r="D15" s="15" t="s">
        <v>316</v>
      </c>
      <c r="E15" s="15" t="s">
        <v>305</v>
      </c>
      <c r="F15" s="15" t="s">
        <v>16016</v>
      </c>
      <c r="G15" s="15"/>
      <c r="H15" s="15"/>
      <c r="I15" s="15" t="s">
        <v>528</v>
      </c>
      <c r="J15" s="15" t="s">
        <v>15991</v>
      </c>
    </row>
    <row r="16" spans="2:10">
      <c r="B16" s="15" t="s">
        <v>20393</v>
      </c>
      <c r="C16" s="15" t="s">
        <v>16017</v>
      </c>
      <c r="D16" s="15" t="s">
        <v>316</v>
      </c>
      <c r="E16" s="15" t="s">
        <v>305</v>
      </c>
      <c r="F16" s="15" t="s">
        <v>16018</v>
      </c>
      <c r="G16" s="15"/>
      <c r="H16" s="15"/>
      <c r="I16" s="15" t="s">
        <v>528</v>
      </c>
      <c r="J16" s="15" t="s">
        <v>15991</v>
      </c>
    </row>
    <row r="17" spans="2:10">
      <c r="B17" s="15" t="s">
        <v>20393</v>
      </c>
      <c r="C17" s="15" t="s">
        <v>16019</v>
      </c>
      <c r="D17" s="15" t="s">
        <v>371</v>
      </c>
      <c r="E17" s="15" t="s">
        <v>305</v>
      </c>
      <c r="F17" s="15" t="s">
        <v>16020</v>
      </c>
      <c r="G17" s="15"/>
      <c r="H17" s="15"/>
      <c r="I17" s="15" t="s">
        <v>528</v>
      </c>
      <c r="J17" s="15" t="s">
        <v>15991</v>
      </c>
    </row>
  </sheetData>
  <pageMargins left="0.75" right="0.75" top="1" bottom="1" header="0.5" footer="0.5"/>
  <pageSetup paperSize="1" orientation="portrait" horizontalDpi="300" verticalDpi="300"/>
  <headerFooter alignWithMargins="0" scaleWithDoc="0"/>
</worksheet>
</file>

<file path=xl/worksheets/sheet1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8"/>
  <sheetViews>
    <sheetView zoomScaleSheetLayoutView="60" workbookViewId="0">
      <selection activeCell="A1" sqref="A1"/>
    </sheetView>
  </sheetViews>
  <sheetFormatPr defaultColWidth="9.14285714285714" defaultRowHeight="15.2" outlineLevelRow="7"/>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52" t="str">
        <f>HYPERLINK("#表结构清单!A1","返回")</f>
        <v>返回</v>
      </c>
      <c r="B1" t="s">
        <v>20412</v>
      </c>
    </row>
    <row r="2" spans="2:10">
      <c r="B2" s="13" t="s">
        <v>15982</v>
      </c>
      <c r="C2" s="13" t="s">
        <v>297</v>
      </c>
      <c r="D2" s="13" t="s">
        <v>11870</v>
      </c>
      <c r="E2" s="13" t="s">
        <v>15983</v>
      </c>
      <c r="F2" s="13" t="s">
        <v>15984</v>
      </c>
      <c r="G2" s="13" t="s">
        <v>300</v>
      </c>
      <c r="H2" s="13" t="s">
        <v>301</v>
      </c>
      <c r="I2" s="13" t="s">
        <v>15985</v>
      </c>
      <c r="J2" s="13" t="s">
        <v>15986</v>
      </c>
    </row>
    <row r="3" spans="2:10">
      <c r="B3" s="15" t="s">
        <v>20413</v>
      </c>
      <c r="C3" s="15" t="s">
        <v>20414</v>
      </c>
      <c r="D3" s="15" t="s">
        <v>513</v>
      </c>
      <c r="E3" s="15" t="s">
        <v>15989</v>
      </c>
      <c r="F3" s="15" t="s">
        <v>20415</v>
      </c>
      <c r="G3" s="15"/>
      <c r="H3" s="15"/>
      <c r="I3" s="15" t="s">
        <v>528</v>
      </c>
      <c r="J3" s="15" t="s">
        <v>15991</v>
      </c>
    </row>
    <row r="4" spans="2:10">
      <c r="B4" s="15" t="s">
        <v>20413</v>
      </c>
      <c r="C4" s="15" t="s">
        <v>16772</v>
      </c>
      <c r="D4" s="15" t="s">
        <v>513</v>
      </c>
      <c r="E4" s="15" t="s">
        <v>305</v>
      </c>
      <c r="F4" s="15" t="s">
        <v>20416</v>
      </c>
      <c r="G4" s="15"/>
      <c r="H4" s="15"/>
      <c r="I4" s="15" t="s">
        <v>528</v>
      </c>
      <c r="J4" s="15" t="s">
        <v>15991</v>
      </c>
    </row>
    <row r="5" spans="2:10">
      <c r="B5" s="15" t="s">
        <v>20413</v>
      </c>
      <c r="C5" s="15" t="s">
        <v>20417</v>
      </c>
      <c r="D5" s="15" t="s">
        <v>321</v>
      </c>
      <c r="E5" s="15" t="s">
        <v>305</v>
      </c>
      <c r="F5" s="15" t="s">
        <v>20418</v>
      </c>
      <c r="G5" s="15"/>
      <c r="H5" s="15"/>
      <c r="I5" s="15" t="s">
        <v>528</v>
      </c>
      <c r="J5" s="15" t="s">
        <v>15991</v>
      </c>
    </row>
    <row r="6" spans="2:10">
      <c r="B6" s="15" t="s">
        <v>20413</v>
      </c>
      <c r="C6" s="15" t="s">
        <v>20419</v>
      </c>
      <c r="D6" s="15" t="s">
        <v>321</v>
      </c>
      <c r="E6" s="15" t="s">
        <v>305</v>
      </c>
      <c r="F6" s="15" t="s">
        <v>16771</v>
      </c>
      <c r="G6" s="15"/>
      <c r="H6" s="15"/>
      <c r="I6" s="15" t="s">
        <v>528</v>
      </c>
      <c r="J6" s="15" t="s">
        <v>15991</v>
      </c>
    </row>
    <row r="7" spans="2:10">
      <c r="B7" s="15" t="s">
        <v>20413</v>
      </c>
      <c r="C7" s="15" t="s">
        <v>20420</v>
      </c>
      <c r="D7" s="15" t="s">
        <v>513</v>
      </c>
      <c r="E7" s="15" t="s">
        <v>305</v>
      </c>
      <c r="F7" s="15" t="s">
        <v>20421</v>
      </c>
      <c r="G7" s="15"/>
      <c r="H7" s="15"/>
      <c r="I7" s="15" t="s">
        <v>528</v>
      </c>
      <c r="J7" s="15" t="s">
        <v>15991</v>
      </c>
    </row>
    <row r="8" spans="2:10">
      <c r="B8" s="15" t="s">
        <v>20413</v>
      </c>
      <c r="C8" s="15" t="s">
        <v>16770</v>
      </c>
      <c r="D8" s="15" t="s">
        <v>513</v>
      </c>
      <c r="E8" s="15" t="s">
        <v>305</v>
      </c>
      <c r="F8" s="15" t="s">
        <v>20422</v>
      </c>
      <c r="G8" s="15"/>
      <c r="H8" s="15"/>
      <c r="I8" s="15" t="s">
        <v>528</v>
      </c>
      <c r="J8" s="15" t="s">
        <v>15991</v>
      </c>
    </row>
  </sheetData>
  <pageMargins left="0.75" right="0.75" top="1" bottom="1" header="0.5" footer="0.5"/>
  <pageSetup paperSize="1" orientation="portrait" horizontalDpi="300" verticalDpi="300"/>
  <headerFooter alignWithMargins="0" scaleWithDoc="0"/>
</worksheet>
</file>

<file path=xl/worksheets/sheet1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2"/>
  <sheetViews>
    <sheetView zoomScaleSheetLayoutView="60" workbookViewId="0">
      <selection activeCell="A1" sqref="A1"/>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52" t="str">
        <f>HYPERLINK("#表结构清单!A1","返回")</f>
        <v>返回</v>
      </c>
      <c r="B1" t="s">
        <v>20423</v>
      </c>
    </row>
    <row r="2" spans="2:10">
      <c r="B2" s="13" t="s">
        <v>15982</v>
      </c>
      <c r="C2" s="13" t="s">
        <v>297</v>
      </c>
      <c r="D2" s="13" t="s">
        <v>11870</v>
      </c>
      <c r="E2" s="13" t="s">
        <v>15983</v>
      </c>
      <c r="F2" s="13" t="s">
        <v>15984</v>
      </c>
      <c r="G2" s="13" t="s">
        <v>300</v>
      </c>
      <c r="H2" s="13" t="s">
        <v>301</v>
      </c>
      <c r="I2" s="13" t="s">
        <v>15985</v>
      </c>
      <c r="J2" s="13" t="s">
        <v>15986</v>
      </c>
    </row>
    <row r="3" spans="2:10">
      <c r="B3" s="15" t="s">
        <v>20424</v>
      </c>
      <c r="C3" s="15" t="s">
        <v>15988</v>
      </c>
      <c r="D3" s="15" t="s">
        <v>316</v>
      </c>
      <c r="E3" s="15" t="s">
        <v>15989</v>
      </c>
      <c r="F3" s="15" t="s">
        <v>20425</v>
      </c>
      <c r="G3" s="15"/>
      <c r="H3" s="15"/>
      <c r="I3" s="15" t="s">
        <v>528</v>
      </c>
      <c r="J3" s="15" t="s">
        <v>15991</v>
      </c>
    </row>
    <row r="4" spans="2:10">
      <c r="B4" s="15" t="s">
        <v>20424</v>
      </c>
      <c r="C4" s="15" t="s">
        <v>20426</v>
      </c>
      <c r="D4" s="15" t="s">
        <v>513</v>
      </c>
      <c r="E4" s="15" t="s">
        <v>15989</v>
      </c>
      <c r="F4" s="15" t="s">
        <v>20427</v>
      </c>
      <c r="G4" s="15"/>
      <c r="H4" s="15"/>
      <c r="I4" s="15" t="s">
        <v>528</v>
      </c>
      <c r="J4" s="15" t="s">
        <v>15991</v>
      </c>
    </row>
    <row r="5" spans="2:10">
      <c r="B5" s="15" t="s">
        <v>20424</v>
      </c>
      <c r="C5" s="15" t="s">
        <v>16760</v>
      </c>
      <c r="D5" s="15" t="s">
        <v>506</v>
      </c>
      <c r="E5" s="15" t="s">
        <v>305</v>
      </c>
      <c r="F5" s="15" t="s">
        <v>16761</v>
      </c>
      <c r="G5" s="15"/>
      <c r="H5" s="15"/>
      <c r="I5" s="15" t="s">
        <v>528</v>
      </c>
      <c r="J5" s="15" t="s">
        <v>15991</v>
      </c>
    </row>
    <row r="6" spans="2:10">
      <c r="B6" s="15" t="s">
        <v>20424</v>
      </c>
      <c r="C6" s="15" t="s">
        <v>16775</v>
      </c>
      <c r="D6" s="15" t="s">
        <v>327</v>
      </c>
      <c r="E6" s="15" t="s">
        <v>305</v>
      </c>
      <c r="F6" s="15" t="s">
        <v>16708</v>
      </c>
      <c r="G6" s="15"/>
      <c r="H6" s="15"/>
      <c r="I6" s="15" t="s">
        <v>528</v>
      </c>
      <c r="J6" s="15" t="s">
        <v>15991</v>
      </c>
    </row>
    <row r="7" spans="2:10">
      <c r="B7" s="15" t="s">
        <v>20424</v>
      </c>
      <c r="C7" s="15" t="s">
        <v>18369</v>
      </c>
      <c r="D7" s="15" t="s">
        <v>506</v>
      </c>
      <c r="E7" s="15" t="s">
        <v>305</v>
      </c>
      <c r="F7" s="15" t="s">
        <v>20428</v>
      </c>
      <c r="G7" s="15"/>
      <c r="H7" s="15"/>
      <c r="I7" s="15" t="s">
        <v>528</v>
      </c>
      <c r="J7" s="15" t="s">
        <v>15991</v>
      </c>
    </row>
    <row r="8" spans="2:10">
      <c r="B8" s="15" t="s">
        <v>20424</v>
      </c>
      <c r="C8" s="15" t="s">
        <v>20429</v>
      </c>
      <c r="D8" s="15" t="s">
        <v>327</v>
      </c>
      <c r="E8" s="15" t="s">
        <v>305</v>
      </c>
      <c r="F8" s="15" t="s">
        <v>20430</v>
      </c>
      <c r="G8" s="15"/>
      <c r="H8" s="15"/>
      <c r="I8" s="15" t="s">
        <v>528</v>
      </c>
      <c r="J8" s="15" t="s">
        <v>15991</v>
      </c>
    </row>
    <row r="9" spans="2:10">
      <c r="B9" s="15" t="s">
        <v>20424</v>
      </c>
      <c r="C9" s="15" t="s">
        <v>16126</v>
      </c>
      <c r="D9" s="15" t="s">
        <v>20431</v>
      </c>
      <c r="E9" s="15" t="s">
        <v>305</v>
      </c>
      <c r="F9" s="15" t="s">
        <v>20432</v>
      </c>
      <c r="G9" s="15"/>
      <c r="H9" s="15"/>
      <c r="I9" s="15" t="s">
        <v>528</v>
      </c>
      <c r="J9" s="15" t="s">
        <v>15991</v>
      </c>
    </row>
    <row r="10" spans="2:10">
      <c r="B10" s="15" t="s">
        <v>20424</v>
      </c>
      <c r="C10" s="15" t="s">
        <v>16013</v>
      </c>
      <c r="D10" s="15" t="s">
        <v>371</v>
      </c>
      <c r="E10" s="15" t="s">
        <v>305</v>
      </c>
      <c r="F10" s="15" t="s">
        <v>20433</v>
      </c>
      <c r="G10" s="15"/>
      <c r="H10" s="15"/>
      <c r="I10" s="15" t="s">
        <v>528</v>
      </c>
      <c r="J10" s="15" t="s">
        <v>15991</v>
      </c>
    </row>
    <row r="11" spans="2:10">
      <c r="B11" s="15" t="s">
        <v>20424</v>
      </c>
      <c r="C11" s="15" t="s">
        <v>16781</v>
      </c>
      <c r="D11" s="15" t="s">
        <v>371</v>
      </c>
      <c r="E11" s="15" t="s">
        <v>305</v>
      </c>
      <c r="F11" s="15" t="s">
        <v>20119</v>
      </c>
      <c r="G11" s="15"/>
      <c r="H11" s="15"/>
      <c r="I11" s="15" t="s">
        <v>528</v>
      </c>
      <c r="J11" s="15" t="s">
        <v>15991</v>
      </c>
    </row>
    <row r="12" spans="2:10">
      <c r="B12" s="15" t="s">
        <v>20424</v>
      </c>
      <c r="C12" s="15" t="s">
        <v>16782</v>
      </c>
      <c r="D12" s="15" t="s">
        <v>371</v>
      </c>
      <c r="E12" s="15" t="s">
        <v>305</v>
      </c>
      <c r="F12" s="15" t="s">
        <v>16783</v>
      </c>
      <c r="G12" s="15"/>
      <c r="H12" s="15"/>
      <c r="I12" s="15" t="s">
        <v>528</v>
      </c>
      <c r="J12" s="15" t="s">
        <v>15991</v>
      </c>
    </row>
  </sheetData>
  <pageMargins left="0.75" right="0.75" top="1" bottom="1" header="0.5" footer="0.5"/>
  <pageSetup paperSize="1" orientation="portrait" horizontalDpi="300" verticalDpi="300"/>
  <headerFooter alignWithMargins="0" scaleWithDoc="0"/>
</worksheet>
</file>

<file path=xl/worksheets/sheet1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7"/>
  <sheetViews>
    <sheetView zoomScaleSheetLayoutView="60" workbookViewId="0">
      <selection activeCell="A1" sqref="A1"/>
    </sheetView>
  </sheetViews>
  <sheetFormatPr defaultColWidth="9.14285714285714" defaultRowHeight="15.2" outlineLevelRow="6"/>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52" t="str">
        <f>HYPERLINK("#表结构清单!A1","返回")</f>
        <v>返回</v>
      </c>
      <c r="B1" t="s">
        <v>20434</v>
      </c>
    </row>
    <row r="2" spans="2:10">
      <c r="B2" s="13" t="s">
        <v>15982</v>
      </c>
      <c r="C2" s="13" t="s">
        <v>297</v>
      </c>
      <c r="D2" s="13" t="s">
        <v>11870</v>
      </c>
      <c r="E2" s="13" t="s">
        <v>15983</v>
      </c>
      <c r="F2" s="13" t="s">
        <v>15984</v>
      </c>
      <c r="G2" s="13" t="s">
        <v>300</v>
      </c>
      <c r="H2" s="13" t="s">
        <v>301</v>
      </c>
      <c r="I2" s="13" t="s">
        <v>15985</v>
      </c>
      <c r="J2" s="13" t="s">
        <v>15986</v>
      </c>
    </row>
    <row r="3" spans="2:10">
      <c r="B3" s="15" t="s">
        <v>20435</v>
      </c>
      <c r="C3" s="15" t="s">
        <v>15988</v>
      </c>
      <c r="D3" s="15" t="s">
        <v>20436</v>
      </c>
      <c r="E3" s="15" t="s">
        <v>15989</v>
      </c>
      <c r="F3" s="15" t="s">
        <v>20425</v>
      </c>
      <c r="G3" s="15"/>
      <c r="H3" s="15"/>
      <c r="I3" s="15" t="s">
        <v>528</v>
      </c>
      <c r="J3" s="15" t="s">
        <v>15991</v>
      </c>
    </row>
    <row r="4" spans="2:10">
      <c r="B4" s="15" t="s">
        <v>20435</v>
      </c>
      <c r="C4" s="15" t="s">
        <v>16760</v>
      </c>
      <c r="D4" s="15" t="s">
        <v>506</v>
      </c>
      <c r="E4" s="15" t="s">
        <v>15989</v>
      </c>
      <c r="F4" s="15" t="s">
        <v>16761</v>
      </c>
      <c r="G4" s="15"/>
      <c r="H4" s="15"/>
      <c r="I4" s="15" t="s">
        <v>528</v>
      </c>
      <c r="J4" s="15" t="s">
        <v>15991</v>
      </c>
    </row>
    <row r="5" spans="2:10">
      <c r="B5" s="15" t="s">
        <v>20435</v>
      </c>
      <c r="C5" s="15" t="s">
        <v>18369</v>
      </c>
      <c r="D5" s="15" t="s">
        <v>506</v>
      </c>
      <c r="E5" s="15" t="s">
        <v>305</v>
      </c>
      <c r="F5" s="15" t="s">
        <v>20428</v>
      </c>
      <c r="G5" s="15"/>
      <c r="H5" s="15"/>
      <c r="I5" s="15" t="s">
        <v>528</v>
      </c>
      <c r="J5" s="15" t="s">
        <v>15991</v>
      </c>
    </row>
    <row r="6" spans="2:10">
      <c r="B6" s="15" t="s">
        <v>20435</v>
      </c>
      <c r="C6" s="15" t="s">
        <v>20437</v>
      </c>
      <c r="D6" s="15" t="s">
        <v>513</v>
      </c>
      <c r="E6" s="15" t="s">
        <v>15989</v>
      </c>
      <c r="F6" s="15" t="s">
        <v>20438</v>
      </c>
      <c r="G6" s="15"/>
      <c r="H6" s="15"/>
      <c r="I6" s="15" t="s">
        <v>528</v>
      </c>
      <c r="J6" s="15" t="s">
        <v>15991</v>
      </c>
    </row>
    <row r="7" spans="2:10">
      <c r="B7" s="15" t="s">
        <v>20435</v>
      </c>
      <c r="C7" s="15" t="s">
        <v>16255</v>
      </c>
      <c r="D7" s="15" t="s">
        <v>20431</v>
      </c>
      <c r="E7" s="15" t="s">
        <v>305</v>
      </c>
      <c r="F7" s="15" t="s">
        <v>2211</v>
      </c>
      <c r="G7" s="15"/>
      <c r="H7" s="15"/>
      <c r="I7" s="15" t="s">
        <v>528</v>
      </c>
      <c r="J7" s="15" t="s">
        <v>15991</v>
      </c>
    </row>
  </sheetData>
  <pageMargins left="0.75" right="0.75" top="1" bottom="1" header="0.5" footer="0.5"/>
  <pageSetup paperSize="1" orientation="portrait" horizontalDpi="300" verticalDpi="300"/>
  <headerFooter alignWithMargins="0" scaleWithDoc="0"/>
</worksheet>
</file>

<file path=xl/worksheets/sheet1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2"/>
  <sheetViews>
    <sheetView zoomScaleSheetLayoutView="60" workbookViewId="0">
      <selection activeCell="A1" sqref="A1"/>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52" t="str">
        <f>HYPERLINK("#表结构清单!A1","返回")</f>
        <v>返回</v>
      </c>
      <c r="B1" t="s">
        <v>20439</v>
      </c>
    </row>
    <row r="2" spans="2:10">
      <c r="B2" s="13" t="s">
        <v>15982</v>
      </c>
      <c r="C2" s="13" t="s">
        <v>297</v>
      </c>
      <c r="D2" s="13" t="s">
        <v>11870</v>
      </c>
      <c r="E2" s="13" t="s">
        <v>15983</v>
      </c>
      <c r="F2" s="13" t="s">
        <v>15984</v>
      </c>
      <c r="G2" s="13" t="s">
        <v>300</v>
      </c>
      <c r="H2" s="13" t="s">
        <v>301</v>
      </c>
      <c r="I2" s="13" t="s">
        <v>15985</v>
      </c>
      <c r="J2" s="13" t="s">
        <v>15986</v>
      </c>
    </row>
    <row r="3" spans="2:10">
      <c r="B3" s="15" t="s">
        <v>20440</v>
      </c>
      <c r="C3" s="15" t="s">
        <v>15988</v>
      </c>
      <c r="D3" s="15" t="s">
        <v>20436</v>
      </c>
      <c r="E3" s="15" t="s">
        <v>15989</v>
      </c>
      <c r="F3" s="15" t="s">
        <v>20425</v>
      </c>
      <c r="G3" s="15"/>
      <c r="H3" s="15"/>
      <c r="I3" s="15" t="s">
        <v>528</v>
      </c>
      <c r="J3" s="15" t="s">
        <v>15991</v>
      </c>
    </row>
    <row r="4" spans="2:10">
      <c r="B4" s="15" t="s">
        <v>20440</v>
      </c>
      <c r="C4" s="15" t="s">
        <v>20426</v>
      </c>
      <c r="D4" s="15" t="s">
        <v>513</v>
      </c>
      <c r="E4" s="15" t="s">
        <v>15989</v>
      </c>
      <c r="F4" s="15" t="s">
        <v>20427</v>
      </c>
      <c r="G4" s="15"/>
      <c r="H4" s="15"/>
      <c r="I4" s="15" t="s">
        <v>528</v>
      </c>
      <c r="J4" s="15" t="s">
        <v>15991</v>
      </c>
    </row>
    <row r="5" spans="2:10">
      <c r="B5" s="15" t="s">
        <v>20440</v>
      </c>
      <c r="C5" s="15" t="s">
        <v>16760</v>
      </c>
      <c r="D5" s="15" t="s">
        <v>506</v>
      </c>
      <c r="E5" s="15" t="s">
        <v>305</v>
      </c>
      <c r="F5" s="15" t="s">
        <v>16761</v>
      </c>
      <c r="G5" s="15"/>
      <c r="H5" s="15"/>
      <c r="I5" s="15" t="s">
        <v>528</v>
      </c>
      <c r="J5" s="15" t="s">
        <v>15991</v>
      </c>
    </row>
    <row r="6" spans="2:10">
      <c r="B6" s="15" t="s">
        <v>20440</v>
      </c>
      <c r="C6" s="15" t="s">
        <v>16775</v>
      </c>
      <c r="D6" s="15" t="s">
        <v>327</v>
      </c>
      <c r="E6" s="15" t="s">
        <v>305</v>
      </c>
      <c r="F6" s="15" t="s">
        <v>16708</v>
      </c>
      <c r="G6" s="15"/>
      <c r="H6" s="15"/>
      <c r="I6" s="15" t="s">
        <v>528</v>
      </c>
      <c r="J6" s="15" t="s">
        <v>15991</v>
      </c>
    </row>
    <row r="7" spans="2:10">
      <c r="B7" s="15" t="s">
        <v>20440</v>
      </c>
      <c r="C7" s="15" t="s">
        <v>18369</v>
      </c>
      <c r="D7" s="15" t="s">
        <v>506</v>
      </c>
      <c r="E7" s="15" t="s">
        <v>305</v>
      </c>
      <c r="F7" s="15" t="s">
        <v>20428</v>
      </c>
      <c r="G7" s="15"/>
      <c r="H7" s="15"/>
      <c r="I7" s="15" t="s">
        <v>528</v>
      </c>
      <c r="J7" s="15" t="s">
        <v>15991</v>
      </c>
    </row>
    <row r="8" spans="2:10">
      <c r="B8" s="15" t="s">
        <v>20440</v>
      </c>
      <c r="C8" s="15" t="s">
        <v>20429</v>
      </c>
      <c r="D8" s="15" t="s">
        <v>327</v>
      </c>
      <c r="E8" s="15" t="s">
        <v>305</v>
      </c>
      <c r="F8" s="15" t="s">
        <v>20430</v>
      </c>
      <c r="G8" s="15"/>
      <c r="H8" s="15"/>
      <c r="I8" s="15" t="s">
        <v>528</v>
      </c>
      <c r="J8" s="15" t="s">
        <v>15991</v>
      </c>
    </row>
    <row r="9" spans="2:10">
      <c r="B9" s="15" t="s">
        <v>20440</v>
      </c>
      <c r="C9" s="15" t="s">
        <v>16126</v>
      </c>
      <c r="D9" s="15" t="s">
        <v>20431</v>
      </c>
      <c r="E9" s="15" t="s">
        <v>305</v>
      </c>
      <c r="F9" s="15" t="s">
        <v>20432</v>
      </c>
      <c r="G9" s="15"/>
      <c r="H9" s="15"/>
      <c r="I9" s="15" t="s">
        <v>528</v>
      </c>
      <c r="J9" s="15" t="s">
        <v>15991</v>
      </c>
    </row>
    <row r="10" spans="2:10">
      <c r="B10" s="15" t="s">
        <v>20440</v>
      </c>
      <c r="C10" s="15" t="s">
        <v>20441</v>
      </c>
      <c r="D10" s="15" t="s">
        <v>20442</v>
      </c>
      <c r="E10" s="15" t="s">
        <v>305</v>
      </c>
      <c r="F10" s="15" t="s">
        <v>20443</v>
      </c>
      <c r="G10" s="15"/>
      <c r="H10" s="15"/>
      <c r="I10" s="15" t="s">
        <v>528</v>
      </c>
      <c r="J10" s="15" t="s">
        <v>15991</v>
      </c>
    </row>
    <row r="11" spans="2:10">
      <c r="B11" s="15" t="s">
        <v>20440</v>
      </c>
      <c r="C11" s="15" t="s">
        <v>16781</v>
      </c>
      <c r="D11" s="15" t="s">
        <v>371</v>
      </c>
      <c r="E11" s="15" t="s">
        <v>305</v>
      </c>
      <c r="F11" s="15" t="s">
        <v>20119</v>
      </c>
      <c r="G11" s="15"/>
      <c r="H11" s="15"/>
      <c r="I11" s="15" t="s">
        <v>528</v>
      </c>
      <c r="J11" s="15" t="s">
        <v>15991</v>
      </c>
    </row>
    <row r="12" spans="2:10">
      <c r="B12" s="15" t="s">
        <v>20440</v>
      </c>
      <c r="C12" s="15" t="s">
        <v>16782</v>
      </c>
      <c r="D12" s="15" t="s">
        <v>371</v>
      </c>
      <c r="E12" s="15" t="s">
        <v>305</v>
      </c>
      <c r="F12" s="15" t="s">
        <v>16783</v>
      </c>
      <c r="G12" s="15"/>
      <c r="H12" s="15"/>
      <c r="I12" s="15" t="s">
        <v>528</v>
      </c>
      <c r="J12" s="15" t="s">
        <v>15991</v>
      </c>
    </row>
  </sheetData>
  <pageMargins left="0.75" right="0.75" top="1" bottom="1" header="0.5" footer="0.5"/>
  <pageSetup paperSize="1" orientation="portrait" horizontalDpi="300" verticalDpi="300"/>
  <headerFooter alignWithMargins="0" scaleWithDoc="0"/>
</worksheet>
</file>

<file path=xl/worksheets/sheet1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1"/>
  <sheetViews>
    <sheetView zoomScaleSheetLayoutView="60" workbookViewId="0">
      <selection activeCell="D3" sqref="D3:D7"/>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52" t="str">
        <f>HYPERLINK("#表结构清单!A1","返回")</f>
        <v>返回</v>
      </c>
      <c r="B1" t="s">
        <v>20444</v>
      </c>
    </row>
    <row r="2" spans="2:10">
      <c r="B2" s="13" t="s">
        <v>15982</v>
      </c>
      <c r="C2" s="13" t="s">
        <v>297</v>
      </c>
      <c r="D2" s="13" t="s">
        <v>11870</v>
      </c>
      <c r="E2" s="13" t="s">
        <v>15983</v>
      </c>
      <c r="F2" s="13" t="s">
        <v>15984</v>
      </c>
      <c r="G2" s="13" t="s">
        <v>300</v>
      </c>
      <c r="H2" s="13" t="s">
        <v>301</v>
      </c>
      <c r="I2" s="13" t="s">
        <v>15985</v>
      </c>
      <c r="J2" s="13" t="s">
        <v>15986</v>
      </c>
    </row>
    <row r="3" spans="2:10">
      <c r="B3" s="15" t="s">
        <v>20445</v>
      </c>
      <c r="C3" s="15" t="s">
        <v>16579</v>
      </c>
      <c r="D3" s="15" t="s">
        <v>316</v>
      </c>
      <c r="E3" s="15" t="s">
        <v>15989</v>
      </c>
      <c r="F3" s="15" t="s">
        <v>16638</v>
      </c>
      <c r="G3" s="15"/>
      <c r="H3" s="15"/>
      <c r="I3" s="15" t="s">
        <v>528</v>
      </c>
      <c r="J3" s="15" t="s">
        <v>15991</v>
      </c>
    </row>
    <row r="4" spans="2:10">
      <c r="B4" s="15" t="s">
        <v>20445</v>
      </c>
      <c r="C4" s="15" t="s">
        <v>16483</v>
      </c>
      <c r="D4" s="15" t="s">
        <v>316</v>
      </c>
      <c r="E4" s="15" t="s">
        <v>15989</v>
      </c>
      <c r="F4" s="15" t="s">
        <v>9239</v>
      </c>
      <c r="G4" s="15"/>
      <c r="H4" s="15"/>
      <c r="I4" s="15" t="s">
        <v>528</v>
      </c>
      <c r="J4" s="15" t="s">
        <v>15991</v>
      </c>
    </row>
    <row r="5" spans="2:10">
      <c r="B5" s="15" t="s">
        <v>20445</v>
      </c>
      <c r="C5" s="15" t="s">
        <v>16484</v>
      </c>
      <c r="D5" s="15" t="s">
        <v>316</v>
      </c>
      <c r="E5" s="15" t="s">
        <v>15989</v>
      </c>
      <c r="F5" s="15" t="s">
        <v>16762</v>
      </c>
      <c r="G5" s="15"/>
      <c r="H5" s="15"/>
      <c r="I5" s="15" t="s">
        <v>528</v>
      </c>
      <c r="J5" s="15" t="s">
        <v>15991</v>
      </c>
    </row>
    <row r="6" spans="2:10">
      <c r="B6" s="15" t="s">
        <v>20445</v>
      </c>
      <c r="C6" s="15" t="s">
        <v>16009</v>
      </c>
      <c r="D6" s="15" t="s">
        <v>316</v>
      </c>
      <c r="E6" s="15" t="s">
        <v>305</v>
      </c>
      <c r="F6" s="15" t="s">
        <v>16010</v>
      </c>
      <c r="G6" s="15"/>
      <c r="H6" s="15"/>
      <c r="I6" s="15" t="s">
        <v>528</v>
      </c>
      <c r="J6" s="15" t="s">
        <v>15991</v>
      </c>
    </row>
    <row r="7" spans="2:10">
      <c r="B7" s="15" t="s">
        <v>20445</v>
      </c>
      <c r="C7" s="15" t="s">
        <v>16011</v>
      </c>
      <c r="D7" s="15" t="s">
        <v>316</v>
      </c>
      <c r="E7" s="15" t="s">
        <v>305</v>
      </c>
      <c r="F7" s="15" t="s">
        <v>16012</v>
      </c>
      <c r="G7" s="15"/>
      <c r="H7" s="15"/>
      <c r="I7" s="15" t="s">
        <v>528</v>
      </c>
      <c r="J7" s="15" t="s">
        <v>15991</v>
      </c>
    </row>
    <row r="8" spans="2:10">
      <c r="B8" s="15" t="s">
        <v>20445</v>
      </c>
      <c r="C8" s="15" t="s">
        <v>16013</v>
      </c>
      <c r="D8" s="15" t="s">
        <v>371</v>
      </c>
      <c r="E8" s="15" t="s">
        <v>305</v>
      </c>
      <c r="F8" s="15" t="s">
        <v>16014</v>
      </c>
      <c r="G8" s="15"/>
      <c r="H8" s="15"/>
      <c r="I8" s="15" t="s">
        <v>528</v>
      </c>
      <c r="J8" s="15" t="s">
        <v>15991</v>
      </c>
    </row>
    <row r="9" spans="2:10">
      <c r="B9" s="15" t="s">
        <v>20445</v>
      </c>
      <c r="C9" s="15" t="s">
        <v>16015</v>
      </c>
      <c r="D9" s="15" t="s">
        <v>316</v>
      </c>
      <c r="E9" s="15" t="s">
        <v>305</v>
      </c>
      <c r="F9" s="15" t="s">
        <v>16016</v>
      </c>
      <c r="G9" s="15"/>
      <c r="H9" s="15"/>
      <c r="I9" s="15" t="s">
        <v>528</v>
      </c>
      <c r="J9" s="15" t="s">
        <v>15991</v>
      </c>
    </row>
    <row r="10" spans="2:10">
      <c r="B10" s="15" t="s">
        <v>20445</v>
      </c>
      <c r="C10" s="15" t="s">
        <v>16017</v>
      </c>
      <c r="D10" s="15" t="s">
        <v>316</v>
      </c>
      <c r="E10" s="15" t="s">
        <v>305</v>
      </c>
      <c r="F10" s="15" t="s">
        <v>16018</v>
      </c>
      <c r="G10" s="15"/>
      <c r="H10" s="15"/>
      <c r="I10" s="15" t="s">
        <v>528</v>
      </c>
      <c r="J10" s="15" t="s">
        <v>15991</v>
      </c>
    </row>
    <row r="11" spans="2:10">
      <c r="B11" s="15" t="s">
        <v>20445</v>
      </c>
      <c r="C11" s="15" t="s">
        <v>16019</v>
      </c>
      <c r="D11" s="15" t="s">
        <v>371</v>
      </c>
      <c r="E11" s="15" t="s">
        <v>305</v>
      </c>
      <c r="F11" s="15" t="s">
        <v>16020</v>
      </c>
      <c r="G11" s="15"/>
      <c r="H11" s="15"/>
      <c r="I11" s="15" t="s">
        <v>528</v>
      </c>
      <c r="J11" s="15" t="s">
        <v>15991</v>
      </c>
    </row>
  </sheetData>
  <pageMargins left="0.75" right="0.75" top="1" bottom="1" header="0.5" footer="0.5"/>
  <pageSetup paperSize="1" orientation="portrait" horizontalDpi="300" verticalDpi="300"/>
  <headerFooter alignWithMargins="0" scaleWithDoc="0"/>
</worksheet>
</file>

<file path=xl/worksheets/sheet1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7"/>
  <sheetViews>
    <sheetView zoomScaleSheetLayoutView="60" workbookViewId="0">
      <selection activeCell="F10" sqref="F10"/>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52" t="str">
        <f>HYPERLINK("#表结构清单!A1","返回")</f>
        <v>返回</v>
      </c>
      <c r="B1" t="s">
        <v>20446</v>
      </c>
    </row>
    <row r="2" spans="2:10">
      <c r="B2" s="13" t="s">
        <v>15982</v>
      </c>
      <c r="C2" s="13" t="s">
        <v>297</v>
      </c>
      <c r="D2" s="13" t="s">
        <v>11870</v>
      </c>
      <c r="E2" s="13" t="s">
        <v>15983</v>
      </c>
      <c r="F2" s="13" t="s">
        <v>15984</v>
      </c>
      <c r="G2" s="13" t="s">
        <v>300</v>
      </c>
      <c r="H2" s="13" t="s">
        <v>301</v>
      </c>
      <c r="I2" s="13" t="s">
        <v>15985</v>
      </c>
      <c r="J2" s="13" t="s">
        <v>15986</v>
      </c>
    </row>
    <row r="3" spans="2:10">
      <c r="B3" s="15" t="s">
        <v>20447</v>
      </c>
      <c r="C3" s="15" t="s">
        <v>20448</v>
      </c>
      <c r="D3" s="15" t="s">
        <v>316</v>
      </c>
      <c r="E3" s="15" t="s">
        <v>305</v>
      </c>
      <c r="F3" s="15" t="s">
        <v>20449</v>
      </c>
      <c r="G3" s="15"/>
      <c r="H3" s="15"/>
      <c r="I3" s="15" t="s">
        <v>528</v>
      </c>
      <c r="J3" s="15" t="s">
        <v>15991</v>
      </c>
    </row>
    <row r="4" spans="2:10">
      <c r="B4" s="15" t="s">
        <v>20447</v>
      </c>
      <c r="C4" s="15" t="s">
        <v>16579</v>
      </c>
      <c r="D4" s="15" t="s">
        <v>316</v>
      </c>
      <c r="E4" s="15" t="s">
        <v>305</v>
      </c>
      <c r="F4" s="15" t="s">
        <v>20450</v>
      </c>
      <c r="G4" s="15"/>
      <c r="H4" s="15"/>
      <c r="I4" s="15" t="s">
        <v>528</v>
      </c>
      <c r="J4" s="15" t="s">
        <v>15991</v>
      </c>
    </row>
    <row r="5" spans="2:10">
      <c r="B5" s="15" t="s">
        <v>20447</v>
      </c>
      <c r="C5" s="15" t="s">
        <v>19876</v>
      </c>
      <c r="D5" s="15" t="s">
        <v>316</v>
      </c>
      <c r="E5" s="15" t="s">
        <v>305</v>
      </c>
      <c r="F5" s="15" t="s">
        <v>16738</v>
      </c>
      <c r="G5" s="15"/>
      <c r="H5" s="15"/>
      <c r="I5" s="15" t="s">
        <v>528</v>
      </c>
      <c r="J5" s="15" t="s">
        <v>15991</v>
      </c>
    </row>
    <row r="6" spans="2:10">
      <c r="B6" s="15" t="s">
        <v>20447</v>
      </c>
      <c r="C6" s="15" t="s">
        <v>20451</v>
      </c>
      <c r="D6" s="15" t="s">
        <v>316</v>
      </c>
      <c r="E6" s="15" t="s">
        <v>305</v>
      </c>
      <c r="F6" s="15" t="s">
        <v>20452</v>
      </c>
      <c r="G6" s="15"/>
      <c r="H6" s="15"/>
      <c r="I6" s="15" t="s">
        <v>528</v>
      </c>
      <c r="J6" s="15" t="s">
        <v>15991</v>
      </c>
    </row>
    <row r="7" spans="2:10">
      <c r="B7" s="15" t="s">
        <v>20447</v>
      </c>
      <c r="C7" s="15" t="s">
        <v>20453</v>
      </c>
      <c r="D7" s="15" t="s">
        <v>506</v>
      </c>
      <c r="E7" s="15" t="s">
        <v>305</v>
      </c>
      <c r="F7" s="15" t="s">
        <v>20454</v>
      </c>
      <c r="G7" s="15"/>
      <c r="H7" s="15"/>
      <c r="I7" s="15" t="s">
        <v>528</v>
      </c>
      <c r="J7" s="15" t="s">
        <v>15991</v>
      </c>
    </row>
    <row r="8" spans="2:10">
      <c r="B8" s="15" t="s">
        <v>20447</v>
      </c>
      <c r="C8" s="15" t="s">
        <v>20455</v>
      </c>
      <c r="D8" s="15" t="s">
        <v>506</v>
      </c>
      <c r="E8" s="15" t="s">
        <v>305</v>
      </c>
      <c r="F8" s="15" t="s">
        <v>20456</v>
      </c>
      <c r="G8" s="15"/>
      <c r="H8" s="15"/>
      <c r="I8" s="15" t="s">
        <v>528</v>
      </c>
      <c r="J8" s="15" t="s">
        <v>15991</v>
      </c>
    </row>
    <row r="9" spans="2:10">
      <c r="B9" s="15" t="s">
        <v>20447</v>
      </c>
      <c r="C9" s="15" t="s">
        <v>20457</v>
      </c>
      <c r="D9" s="15" t="s">
        <v>513</v>
      </c>
      <c r="E9" s="15" t="s">
        <v>305</v>
      </c>
      <c r="F9" s="15" t="s">
        <v>20458</v>
      </c>
      <c r="G9" s="15"/>
      <c r="H9" s="15"/>
      <c r="I9" s="15" t="s">
        <v>528</v>
      </c>
      <c r="J9" s="15" t="s">
        <v>15991</v>
      </c>
    </row>
    <row r="10" spans="2:10">
      <c r="B10" s="15" t="s">
        <v>20447</v>
      </c>
      <c r="C10" s="15" t="s">
        <v>20459</v>
      </c>
      <c r="D10" s="15" t="s">
        <v>316</v>
      </c>
      <c r="E10" s="15" t="s">
        <v>15989</v>
      </c>
      <c r="F10" s="15" t="s">
        <v>16428</v>
      </c>
      <c r="G10" s="15"/>
      <c r="H10" s="15"/>
      <c r="I10" s="15" t="s">
        <v>528</v>
      </c>
      <c r="J10" s="15" t="s">
        <v>15991</v>
      </c>
    </row>
    <row r="11" spans="2:10">
      <c r="B11" s="15" t="s">
        <v>20447</v>
      </c>
      <c r="C11" s="15" t="s">
        <v>20460</v>
      </c>
      <c r="D11" s="15" t="s">
        <v>327</v>
      </c>
      <c r="E11" s="15" t="s">
        <v>305</v>
      </c>
      <c r="F11" s="15" t="s">
        <v>20461</v>
      </c>
      <c r="G11" s="15"/>
      <c r="H11" s="15"/>
      <c r="I11" s="15" t="s">
        <v>528</v>
      </c>
      <c r="J11" s="15" t="s">
        <v>15991</v>
      </c>
    </row>
    <row r="12" spans="2:10">
      <c r="B12" s="15" t="s">
        <v>20447</v>
      </c>
      <c r="C12" s="15" t="s">
        <v>16009</v>
      </c>
      <c r="D12" s="15" t="s">
        <v>316</v>
      </c>
      <c r="E12" s="15" t="s">
        <v>305</v>
      </c>
      <c r="F12" s="15" t="s">
        <v>16010</v>
      </c>
      <c r="G12" s="15"/>
      <c r="H12" s="15"/>
      <c r="I12" s="15" t="s">
        <v>528</v>
      </c>
      <c r="J12" s="15" t="s">
        <v>15991</v>
      </c>
    </row>
    <row r="13" spans="2:10">
      <c r="B13" s="15" t="s">
        <v>20447</v>
      </c>
      <c r="C13" s="15" t="s">
        <v>16011</v>
      </c>
      <c r="D13" s="15" t="s">
        <v>316</v>
      </c>
      <c r="E13" s="15" t="s">
        <v>305</v>
      </c>
      <c r="F13" s="15" t="s">
        <v>16012</v>
      </c>
      <c r="G13" s="15"/>
      <c r="H13" s="15"/>
      <c r="I13" s="15" t="s">
        <v>528</v>
      </c>
      <c r="J13" s="15" t="s">
        <v>15991</v>
      </c>
    </row>
    <row r="14" spans="2:10">
      <c r="B14" s="15" t="s">
        <v>20447</v>
      </c>
      <c r="C14" s="15" t="s">
        <v>16013</v>
      </c>
      <c r="D14" s="15" t="s">
        <v>371</v>
      </c>
      <c r="E14" s="15" t="s">
        <v>305</v>
      </c>
      <c r="F14" s="15" t="s">
        <v>16014</v>
      </c>
      <c r="G14" s="15"/>
      <c r="H14" s="15"/>
      <c r="I14" s="15" t="s">
        <v>528</v>
      </c>
      <c r="J14" s="15" t="s">
        <v>15991</v>
      </c>
    </row>
    <row r="15" spans="2:10">
      <c r="B15" s="15" t="s">
        <v>20447</v>
      </c>
      <c r="C15" s="15" t="s">
        <v>16015</v>
      </c>
      <c r="D15" s="15" t="s">
        <v>316</v>
      </c>
      <c r="E15" s="15" t="s">
        <v>305</v>
      </c>
      <c r="F15" s="15" t="s">
        <v>16016</v>
      </c>
      <c r="G15" s="15"/>
      <c r="H15" s="15"/>
      <c r="I15" s="15" t="s">
        <v>528</v>
      </c>
      <c r="J15" s="15" t="s">
        <v>15991</v>
      </c>
    </row>
    <row r="16" spans="2:10">
      <c r="B16" s="15" t="s">
        <v>20447</v>
      </c>
      <c r="C16" s="15" t="s">
        <v>16017</v>
      </c>
      <c r="D16" s="15" t="s">
        <v>316</v>
      </c>
      <c r="E16" s="15" t="s">
        <v>305</v>
      </c>
      <c r="F16" s="15" t="s">
        <v>16018</v>
      </c>
      <c r="G16" s="15"/>
      <c r="H16" s="15"/>
      <c r="I16" s="15" t="s">
        <v>528</v>
      </c>
      <c r="J16" s="15" t="s">
        <v>15991</v>
      </c>
    </row>
    <row r="17" spans="2:10">
      <c r="B17" s="15" t="s">
        <v>20447</v>
      </c>
      <c r="C17" s="15" t="s">
        <v>16019</v>
      </c>
      <c r="D17" s="15" t="s">
        <v>371</v>
      </c>
      <c r="E17" s="15" t="s">
        <v>305</v>
      </c>
      <c r="F17" s="15" t="s">
        <v>16020</v>
      </c>
      <c r="G17" s="15"/>
      <c r="H17" s="15"/>
      <c r="I17" s="15" t="s">
        <v>528</v>
      </c>
      <c r="J17" s="15" t="s">
        <v>15991</v>
      </c>
    </row>
  </sheetData>
  <pageMargins left="0.75" right="0.75" top="1" bottom="1" header="0.5" footer="0.5"/>
  <pageSetup paperSize="1" orientation="portrait" horizontalDpi="300" verticalDpi="300"/>
  <headerFooter alignWithMargins="0" scaleWithDoc="0"/>
</worksheet>
</file>

<file path=xl/worksheets/sheet1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59"/>
  <sheetViews>
    <sheetView zoomScaleSheetLayoutView="60" topLeftCell="A17" workbookViewId="0">
      <selection activeCell="F56" sqref="F56"/>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52" t="str">
        <f>HYPERLINK("#表结构清单!A1","返回")</f>
        <v>返回</v>
      </c>
      <c r="B1" t="s">
        <v>157</v>
      </c>
    </row>
    <row r="2" spans="2:10">
      <c r="B2" s="13" t="s">
        <v>15982</v>
      </c>
      <c r="C2" s="13" t="s">
        <v>297</v>
      </c>
      <c r="D2" s="13" t="s">
        <v>11870</v>
      </c>
      <c r="E2" s="13" t="s">
        <v>15983</v>
      </c>
      <c r="F2" s="13" t="s">
        <v>15984</v>
      </c>
      <c r="G2" s="13" t="s">
        <v>300</v>
      </c>
      <c r="H2" s="13" t="s">
        <v>301</v>
      </c>
      <c r="I2" s="13" t="s">
        <v>15985</v>
      </c>
      <c r="J2" s="13" t="s">
        <v>15986</v>
      </c>
    </row>
    <row r="3" spans="2:10">
      <c r="B3" s="15" t="s">
        <v>20462</v>
      </c>
      <c r="C3" s="15" t="s">
        <v>16579</v>
      </c>
      <c r="D3" s="15" t="s">
        <v>316</v>
      </c>
      <c r="E3" s="15" t="s">
        <v>15989</v>
      </c>
      <c r="F3" s="15" t="s">
        <v>16638</v>
      </c>
      <c r="G3" s="15"/>
      <c r="H3" s="15"/>
      <c r="I3" s="15" t="s">
        <v>528</v>
      </c>
      <c r="J3" s="15" t="s">
        <v>15991</v>
      </c>
    </row>
    <row r="4" spans="2:10">
      <c r="B4" s="15" t="s">
        <v>20462</v>
      </c>
      <c r="C4" s="15" t="s">
        <v>20463</v>
      </c>
      <c r="D4" s="15" t="s">
        <v>316</v>
      </c>
      <c r="E4" s="15" t="s">
        <v>305</v>
      </c>
      <c r="F4" s="15" t="s">
        <v>20464</v>
      </c>
      <c r="G4" s="15"/>
      <c r="H4" s="15"/>
      <c r="I4" s="15" t="s">
        <v>528</v>
      </c>
      <c r="J4" s="15" t="s">
        <v>15991</v>
      </c>
    </row>
    <row r="5" spans="2:10">
      <c r="B5" s="15" t="s">
        <v>20462</v>
      </c>
      <c r="C5" s="15" t="s">
        <v>19876</v>
      </c>
      <c r="D5" s="15" t="s">
        <v>506</v>
      </c>
      <c r="E5" s="15" t="s">
        <v>305</v>
      </c>
      <c r="F5" s="15" t="s">
        <v>20465</v>
      </c>
      <c r="G5" s="15"/>
      <c r="H5" s="15"/>
      <c r="I5" s="15" t="s">
        <v>528</v>
      </c>
      <c r="J5" s="15" t="s">
        <v>15991</v>
      </c>
    </row>
    <row r="6" spans="2:10">
      <c r="B6" s="15" t="s">
        <v>20462</v>
      </c>
      <c r="C6" s="15" t="s">
        <v>20466</v>
      </c>
      <c r="D6" s="15" t="s">
        <v>506</v>
      </c>
      <c r="E6" s="15" t="s">
        <v>305</v>
      </c>
      <c r="F6" s="15" t="s">
        <v>20467</v>
      </c>
      <c r="G6" s="15"/>
      <c r="H6" s="15"/>
      <c r="I6" s="15" t="s">
        <v>528</v>
      </c>
      <c r="J6" s="15" t="s">
        <v>15991</v>
      </c>
    </row>
    <row r="7" spans="2:10">
      <c r="B7" s="15" t="s">
        <v>20462</v>
      </c>
      <c r="C7" s="15" t="s">
        <v>20468</v>
      </c>
      <c r="D7" s="15" t="s">
        <v>316</v>
      </c>
      <c r="E7" s="15" t="s">
        <v>305</v>
      </c>
      <c r="F7" s="15" t="s">
        <v>20260</v>
      </c>
      <c r="G7" s="15"/>
      <c r="H7" s="15"/>
      <c r="I7" s="15" t="s">
        <v>528</v>
      </c>
      <c r="J7" s="15" t="s">
        <v>15991</v>
      </c>
    </row>
    <row r="8" spans="2:10">
      <c r="B8" s="15" t="s">
        <v>20462</v>
      </c>
      <c r="C8" s="15" t="s">
        <v>16179</v>
      </c>
      <c r="D8" s="15" t="s">
        <v>367</v>
      </c>
      <c r="E8" s="15" t="s">
        <v>305</v>
      </c>
      <c r="F8" s="15" t="s">
        <v>20188</v>
      </c>
      <c r="G8" s="15"/>
      <c r="H8" s="15"/>
      <c r="I8" s="15" t="s">
        <v>528</v>
      </c>
      <c r="J8" s="15" t="s">
        <v>15991</v>
      </c>
    </row>
    <row r="9" spans="2:10">
      <c r="B9" s="15" t="s">
        <v>20462</v>
      </c>
      <c r="C9" s="15" t="s">
        <v>16181</v>
      </c>
      <c r="D9" s="15" t="s">
        <v>367</v>
      </c>
      <c r="E9" s="15" t="s">
        <v>305</v>
      </c>
      <c r="F9" s="15" t="s">
        <v>20189</v>
      </c>
      <c r="G9" s="15"/>
      <c r="H9" s="15"/>
      <c r="I9" s="15" t="s">
        <v>528</v>
      </c>
      <c r="J9" s="15" t="s">
        <v>15991</v>
      </c>
    </row>
    <row r="10" spans="2:10">
      <c r="B10" s="15" t="s">
        <v>20462</v>
      </c>
      <c r="C10" s="15" t="s">
        <v>16183</v>
      </c>
      <c r="D10" s="15" t="s">
        <v>367</v>
      </c>
      <c r="E10" s="15" t="s">
        <v>305</v>
      </c>
      <c r="F10" s="15" t="s">
        <v>20190</v>
      </c>
      <c r="G10" s="15"/>
      <c r="H10" s="15"/>
      <c r="I10" s="15" t="s">
        <v>528</v>
      </c>
      <c r="J10" s="15" t="s">
        <v>15991</v>
      </c>
    </row>
    <row r="11" spans="2:10">
      <c r="B11" s="15" t="s">
        <v>20462</v>
      </c>
      <c r="C11" s="15" t="s">
        <v>16185</v>
      </c>
      <c r="D11" s="15" t="s">
        <v>367</v>
      </c>
      <c r="E11" s="15" t="s">
        <v>305</v>
      </c>
      <c r="F11" s="15" t="s">
        <v>20469</v>
      </c>
      <c r="G11" s="15"/>
      <c r="H11" s="15"/>
      <c r="I11" s="15" t="s">
        <v>528</v>
      </c>
      <c r="J11" s="15" t="s">
        <v>15991</v>
      </c>
    </row>
    <row r="12" spans="2:10">
      <c r="B12" s="15" t="s">
        <v>20462</v>
      </c>
      <c r="C12" s="15" t="s">
        <v>16192</v>
      </c>
      <c r="D12" s="15" t="s">
        <v>367</v>
      </c>
      <c r="E12" s="15" t="s">
        <v>305</v>
      </c>
      <c r="F12" s="15" t="s">
        <v>20470</v>
      </c>
      <c r="G12" s="15"/>
      <c r="H12" s="15"/>
      <c r="I12" s="15" t="s">
        <v>528</v>
      </c>
      <c r="J12" s="15" t="s">
        <v>15991</v>
      </c>
    </row>
    <row r="13" spans="2:10">
      <c r="B13" s="15" t="s">
        <v>20462</v>
      </c>
      <c r="C13" s="15" t="s">
        <v>16187</v>
      </c>
      <c r="D13" s="15" t="s">
        <v>367</v>
      </c>
      <c r="E13" s="15" t="s">
        <v>305</v>
      </c>
      <c r="F13" s="15" t="s">
        <v>20471</v>
      </c>
      <c r="G13" s="15"/>
      <c r="H13" s="15"/>
      <c r="I13" s="15" t="s">
        <v>528</v>
      </c>
      <c r="J13" s="15" t="s">
        <v>15991</v>
      </c>
    </row>
    <row r="14" spans="2:10">
      <c r="B14" s="15" t="s">
        <v>20462</v>
      </c>
      <c r="C14" s="15" t="s">
        <v>16189</v>
      </c>
      <c r="D14" s="15" t="s">
        <v>367</v>
      </c>
      <c r="E14" s="15" t="s">
        <v>305</v>
      </c>
      <c r="F14" s="15" t="s">
        <v>20472</v>
      </c>
      <c r="G14" s="15"/>
      <c r="H14" s="15"/>
      <c r="I14" s="15" t="s">
        <v>528</v>
      </c>
      <c r="J14" s="15" t="s">
        <v>15991</v>
      </c>
    </row>
    <row r="15" spans="2:10">
      <c r="B15" s="15" t="s">
        <v>20462</v>
      </c>
      <c r="C15" s="15" t="s">
        <v>16479</v>
      </c>
      <c r="D15" s="15" t="s">
        <v>367</v>
      </c>
      <c r="E15" s="15" t="s">
        <v>305</v>
      </c>
      <c r="F15" s="15" t="s">
        <v>20473</v>
      </c>
      <c r="G15" s="15"/>
      <c r="H15" s="15"/>
      <c r="I15" s="15" t="s">
        <v>528</v>
      </c>
      <c r="J15" s="15" t="s">
        <v>15991</v>
      </c>
    </row>
    <row r="16" spans="2:10">
      <c r="B16" s="15" t="s">
        <v>20462</v>
      </c>
      <c r="C16" s="15" t="s">
        <v>20474</v>
      </c>
      <c r="D16" s="15" t="s">
        <v>367</v>
      </c>
      <c r="E16" s="15" t="s">
        <v>305</v>
      </c>
      <c r="F16" s="15" t="s">
        <v>20226</v>
      </c>
      <c r="G16" s="15"/>
      <c r="H16" s="15"/>
      <c r="I16" s="15" t="s">
        <v>528</v>
      </c>
      <c r="J16" s="15" t="s">
        <v>15991</v>
      </c>
    </row>
    <row r="17" spans="2:10">
      <c r="B17" s="15" t="s">
        <v>20462</v>
      </c>
      <c r="C17" s="15" t="s">
        <v>18429</v>
      </c>
      <c r="D17" s="15" t="s">
        <v>327</v>
      </c>
      <c r="E17" s="15" t="s">
        <v>305</v>
      </c>
      <c r="F17" s="15" t="s">
        <v>20475</v>
      </c>
      <c r="G17" s="15"/>
      <c r="H17" s="15"/>
      <c r="I17" s="15" t="s">
        <v>528</v>
      </c>
      <c r="J17" s="15" t="s">
        <v>15991</v>
      </c>
    </row>
    <row r="18" spans="2:10">
      <c r="B18" s="15" t="s">
        <v>20462</v>
      </c>
      <c r="C18" s="15" t="s">
        <v>18430</v>
      </c>
      <c r="D18" s="15" t="s">
        <v>327</v>
      </c>
      <c r="E18" s="15" t="s">
        <v>305</v>
      </c>
      <c r="F18" s="15" t="s">
        <v>20476</v>
      </c>
      <c r="G18" s="15"/>
      <c r="H18" s="15"/>
      <c r="I18" s="15" t="s">
        <v>528</v>
      </c>
      <c r="J18" s="15" t="s">
        <v>15991</v>
      </c>
    </row>
    <row r="19" spans="2:10">
      <c r="B19" s="15" t="s">
        <v>20462</v>
      </c>
      <c r="C19" s="15" t="s">
        <v>18431</v>
      </c>
      <c r="D19" s="15" t="s">
        <v>327</v>
      </c>
      <c r="E19" s="15" t="s">
        <v>305</v>
      </c>
      <c r="F19" s="15" t="s">
        <v>20477</v>
      </c>
      <c r="G19" s="15"/>
      <c r="H19" s="15"/>
      <c r="I19" s="15" t="s">
        <v>528</v>
      </c>
      <c r="J19" s="15" t="s">
        <v>15991</v>
      </c>
    </row>
    <row r="20" spans="2:10">
      <c r="B20" s="15" t="s">
        <v>20462</v>
      </c>
      <c r="C20" s="15" t="s">
        <v>18432</v>
      </c>
      <c r="D20" s="15" t="s">
        <v>327</v>
      </c>
      <c r="E20" s="15" t="s">
        <v>305</v>
      </c>
      <c r="F20" s="15" t="s">
        <v>20478</v>
      </c>
      <c r="G20" s="15"/>
      <c r="H20" s="15"/>
      <c r="I20" s="15" t="s">
        <v>528</v>
      </c>
      <c r="J20" s="15" t="s">
        <v>15991</v>
      </c>
    </row>
    <row r="21" spans="2:10">
      <c r="B21" s="15" t="s">
        <v>20462</v>
      </c>
      <c r="C21" s="15" t="s">
        <v>16126</v>
      </c>
      <c r="D21" s="15" t="s">
        <v>321</v>
      </c>
      <c r="E21" s="15" t="s">
        <v>305</v>
      </c>
      <c r="F21" s="15" t="s">
        <v>905</v>
      </c>
      <c r="G21" s="52" t="str">
        <f>HYPERLINK("#码值映射清单!B1110","IsInUse")</f>
        <v>IsInUse</v>
      </c>
      <c r="H21" s="15"/>
      <c r="I21" s="15" t="s">
        <v>528</v>
      </c>
      <c r="J21" s="15" t="s">
        <v>15991</v>
      </c>
    </row>
    <row r="22" spans="2:10">
      <c r="B22" s="15" t="s">
        <v>20462</v>
      </c>
      <c r="C22" s="15" t="s">
        <v>20087</v>
      </c>
      <c r="D22" s="15" t="s">
        <v>506</v>
      </c>
      <c r="E22" s="15" t="s">
        <v>305</v>
      </c>
      <c r="F22" s="15" t="s">
        <v>1148</v>
      </c>
      <c r="G22" s="52" t="str">
        <f>HYPERLINK("#码值映射清单!B8893","IndCertType")</f>
        <v>IndCertType</v>
      </c>
      <c r="H22" s="15"/>
      <c r="I22" s="15" t="s">
        <v>528</v>
      </c>
      <c r="J22" s="15" t="s">
        <v>15991</v>
      </c>
    </row>
    <row r="23" spans="2:10">
      <c r="B23" s="15" t="s">
        <v>20462</v>
      </c>
      <c r="C23" s="15" t="s">
        <v>16045</v>
      </c>
      <c r="D23" s="15" t="s">
        <v>316</v>
      </c>
      <c r="E23" s="15" t="s">
        <v>305</v>
      </c>
      <c r="F23" s="15" t="s">
        <v>20479</v>
      </c>
      <c r="G23" s="15"/>
      <c r="H23" s="15"/>
      <c r="I23" s="15" t="s">
        <v>528</v>
      </c>
      <c r="J23" s="15" t="s">
        <v>15991</v>
      </c>
    </row>
    <row r="24" spans="2:10">
      <c r="B24" s="15" t="s">
        <v>20462</v>
      </c>
      <c r="C24" s="15" t="s">
        <v>20480</v>
      </c>
      <c r="D24" s="15" t="s">
        <v>316</v>
      </c>
      <c r="E24" s="15" t="s">
        <v>305</v>
      </c>
      <c r="F24" s="15" t="s">
        <v>20481</v>
      </c>
      <c r="G24" s="15"/>
      <c r="H24" s="15"/>
      <c r="I24" s="15" t="s">
        <v>528</v>
      </c>
      <c r="J24" s="15" t="s">
        <v>15991</v>
      </c>
    </row>
    <row r="25" spans="2:10">
      <c r="B25" s="15" t="s">
        <v>20462</v>
      </c>
      <c r="C25" s="15" t="s">
        <v>20482</v>
      </c>
      <c r="D25" s="15" t="s">
        <v>316</v>
      </c>
      <c r="E25" s="15" t="s">
        <v>305</v>
      </c>
      <c r="F25" s="15" t="s">
        <v>20483</v>
      </c>
      <c r="G25" s="15"/>
      <c r="H25" s="15"/>
      <c r="I25" s="15" t="s">
        <v>528</v>
      </c>
      <c r="J25" s="15" t="s">
        <v>15991</v>
      </c>
    </row>
    <row r="26" spans="2:10">
      <c r="B26" s="15" t="s">
        <v>20462</v>
      </c>
      <c r="C26" s="15" t="s">
        <v>20484</v>
      </c>
      <c r="D26" s="15" t="s">
        <v>367</v>
      </c>
      <c r="E26" s="15" t="s">
        <v>305</v>
      </c>
      <c r="F26" s="15" t="s">
        <v>5414</v>
      </c>
      <c r="G26" s="15"/>
      <c r="H26" s="15"/>
      <c r="I26" s="15" t="s">
        <v>528</v>
      </c>
      <c r="J26" s="15" t="s">
        <v>15991</v>
      </c>
    </row>
    <row r="27" spans="2:10">
      <c r="B27" s="15" t="s">
        <v>20462</v>
      </c>
      <c r="C27" s="15" t="s">
        <v>20485</v>
      </c>
      <c r="D27" s="15" t="s">
        <v>316</v>
      </c>
      <c r="E27" s="15" t="s">
        <v>305</v>
      </c>
      <c r="F27" s="15" t="s">
        <v>20486</v>
      </c>
      <c r="G27" s="15"/>
      <c r="H27" s="15"/>
      <c r="I27" s="15" t="s">
        <v>528</v>
      </c>
      <c r="J27" s="15" t="s">
        <v>15991</v>
      </c>
    </row>
    <row r="28" spans="2:10">
      <c r="B28" s="15" t="s">
        <v>20462</v>
      </c>
      <c r="C28" s="15" t="s">
        <v>20487</v>
      </c>
      <c r="D28" s="15" t="s">
        <v>316</v>
      </c>
      <c r="E28" s="15" t="s">
        <v>305</v>
      </c>
      <c r="F28" s="15" t="s">
        <v>20488</v>
      </c>
      <c r="G28" s="15"/>
      <c r="H28" s="15"/>
      <c r="I28" s="15" t="s">
        <v>528</v>
      </c>
      <c r="J28" s="15" t="s">
        <v>15991</v>
      </c>
    </row>
    <row r="29" spans="2:10">
      <c r="B29" s="15" t="s">
        <v>20462</v>
      </c>
      <c r="C29" s="15" t="s">
        <v>20489</v>
      </c>
      <c r="D29" s="15" t="s">
        <v>316</v>
      </c>
      <c r="E29" s="15" t="s">
        <v>305</v>
      </c>
      <c r="F29" s="15" t="s">
        <v>20490</v>
      </c>
      <c r="G29" s="15"/>
      <c r="H29" s="15"/>
      <c r="I29" s="15" t="s">
        <v>528</v>
      </c>
      <c r="J29" s="15" t="s">
        <v>15991</v>
      </c>
    </row>
    <row r="30" spans="2:10">
      <c r="B30" s="15" t="s">
        <v>20462</v>
      </c>
      <c r="C30" s="15" t="s">
        <v>20491</v>
      </c>
      <c r="D30" s="15" t="s">
        <v>350</v>
      </c>
      <c r="E30" s="15" t="s">
        <v>305</v>
      </c>
      <c r="F30" s="15" t="s">
        <v>20492</v>
      </c>
      <c r="G30" s="15"/>
      <c r="H30" s="15"/>
      <c r="I30" s="15" t="s">
        <v>528</v>
      </c>
      <c r="J30" s="15" t="s">
        <v>15991</v>
      </c>
    </row>
    <row r="31" spans="2:10">
      <c r="B31" s="15" t="s">
        <v>20462</v>
      </c>
      <c r="C31" s="15" t="s">
        <v>20493</v>
      </c>
      <c r="D31" s="15" t="s">
        <v>350</v>
      </c>
      <c r="E31" s="15" t="s">
        <v>305</v>
      </c>
      <c r="F31" s="15" t="s">
        <v>20494</v>
      </c>
      <c r="G31" s="15"/>
      <c r="H31" s="15"/>
      <c r="I31" s="15" t="s">
        <v>528</v>
      </c>
      <c r="J31" s="15" t="s">
        <v>15991</v>
      </c>
    </row>
    <row r="32" spans="2:10">
      <c r="B32" s="15" t="s">
        <v>20462</v>
      </c>
      <c r="C32" s="15" t="s">
        <v>16237</v>
      </c>
      <c r="D32" s="15" t="s">
        <v>316</v>
      </c>
      <c r="E32" s="15" t="s">
        <v>305</v>
      </c>
      <c r="F32" s="15" t="s">
        <v>16274</v>
      </c>
      <c r="G32" s="15"/>
      <c r="H32" s="15"/>
      <c r="I32" s="15" t="s">
        <v>528</v>
      </c>
      <c r="J32" s="15" t="s">
        <v>15991</v>
      </c>
    </row>
    <row r="33" spans="2:10">
      <c r="B33" s="15" t="s">
        <v>20462</v>
      </c>
      <c r="C33" s="15" t="s">
        <v>16239</v>
      </c>
      <c r="D33" s="15" t="s">
        <v>316</v>
      </c>
      <c r="E33" s="15" t="s">
        <v>305</v>
      </c>
      <c r="F33" s="15" t="s">
        <v>16236</v>
      </c>
      <c r="G33" s="15"/>
      <c r="H33" s="15"/>
      <c r="I33" s="15" t="s">
        <v>528</v>
      </c>
      <c r="J33" s="15" t="s">
        <v>15991</v>
      </c>
    </row>
    <row r="34" spans="2:10">
      <c r="B34" s="15" t="s">
        <v>20462</v>
      </c>
      <c r="C34" s="15" t="s">
        <v>16086</v>
      </c>
      <c r="D34" s="15" t="s">
        <v>327</v>
      </c>
      <c r="E34" s="15" t="s">
        <v>305</v>
      </c>
      <c r="F34" s="15" t="s">
        <v>301</v>
      </c>
      <c r="G34" s="15"/>
      <c r="H34" s="15"/>
      <c r="I34" s="15" t="s">
        <v>528</v>
      </c>
      <c r="J34" s="15" t="s">
        <v>15991</v>
      </c>
    </row>
    <row r="35" spans="2:10">
      <c r="B35" s="15" t="s">
        <v>20462</v>
      </c>
      <c r="C35" s="15" t="s">
        <v>20495</v>
      </c>
      <c r="D35" s="15" t="s">
        <v>513</v>
      </c>
      <c r="E35" s="15" t="s">
        <v>305</v>
      </c>
      <c r="F35" s="15" t="s">
        <v>20496</v>
      </c>
      <c r="G35" s="15"/>
      <c r="H35" s="15"/>
      <c r="I35" s="15" t="s">
        <v>528</v>
      </c>
      <c r="J35" s="15" t="s">
        <v>15991</v>
      </c>
    </row>
    <row r="36" spans="2:10">
      <c r="B36" s="15" t="s">
        <v>20462</v>
      </c>
      <c r="C36" s="15" t="s">
        <v>20497</v>
      </c>
      <c r="D36" s="15" t="s">
        <v>513</v>
      </c>
      <c r="E36" s="15" t="s">
        <v>305</v>
      </c>
      <c r="F36" s="15" t="s">
        <v>7322</v>
      </c>
      <c r="G36" s="52" t="str">
        <f>HYPERLINK("#码值映射清单!B5469","Sex")</f>
        <v>Sex</v>
      </c>
      <c r="H36" s="15"/>
      <c r="I36" s="15" t="s">
        <v>528</v>
      </c>
      <c r="J36" s="15" t="s">
        <v>15991</v>
      </c>
    </row>
    <row r="37" spans="2:10">
      <c r="B37" s="15" t="s">
        <v>20462</v>
      </c>
      <c r="C37" s="15" t="s">
        <v>20498</v>
      </c>
      <c r="D37" s="15" t="s">
        <v>327</v>
      </c>
      <c r="E37" s="15" t="s">
        <v>305</v>
      </c>
      <c r="F37" s="15" t="s">
        <v>20499</v>
      </c>
      <c r="G37" s="15"/>
      <c r="H37" s="15"/>
      <c r="I37" s="15" t="s">
        <v>528</v>
      </c>
      <c r="J37" s="15" t="s">
        <v>15991</v>
      </c>
    </row>
    <row r="38" spans="2:10">
      <c r="B38" s="15" t="s">
        <v>20462</v>
      </c>
      <c r="C38" s="15" t="s">
        <v>20500</v>
      </c>
      <c r="D38" s="15" t="s">
        <v>513</v>
      </c>
      <c r="E38" s="15" t="s">
        <v>305</v>
      </c>
      <c r="F38" s="15" t="s">
        <v>1133</v>
      </c>
      <c r="G38" s="52" t="str">
        <f>HYPERLINK("#码值映射清单!B310","EducationExperience")</f>
        <v>EducationExperience</v>
      </c>
      <c r="H38" s="15"/>
      <c r="I38" s="15" t="s">
        <v>528</v>
      </c>
      <c r="J38" s="15" t="s">
        <v>15991</v>
      </c>
    </row>
    <row r="39" spans="2:10">
      <c r="B39" s="15" t="s">
        <v>20462</v>
      </c>
      <c r="C39" s="15" t="s">
        <v>20501</v>
      </c>
      <c r="D39" s="15" t="s">
        <v>513</v>
      </c>
      <c r="E39" s="15" t="s">
        <v>305</v>
      </c>
      <c r="F39" s="15" t="s">
        <v>20502</v>
      </c>
      <c r="G39" s="15"/>
      <c r="H39" s="15"/>
      <c r="I39" s="15" t="s">
        <v>528</v>
      </c>
      <c r="J39" s="15" t="s">
        <v>15991</v>
      </c>
    </row>
    <row r="40" spans="2:10">
      <c r="B40" s="15" t="s">
        <v>20462</v>
      </c>
      <c r="C40" s="15" t="s">
        <v>16361</v>
      </c>
      <c r="D40" s="15" t="s">
        <v>513</v>
      </c>
      <c r="E40" s="15" t="s">
        <v>305</v>
      </c>
      <c r="F40" s="15" t="s">
        <v>20503</v>
      </c>
      <c r="G40" s="15"/>
      <c r="H40" s="15"/>
      <c r="I40" s="15" t="s">
        <v>528</v>
      </c>
      <c r="J40" s="15" t="s">
        <v>15991</v>
      </c>
    </row>
    <row r="41" spans="2:10">
      <c r="B41" s="15" t="s">
        <v>20462</v>
      </c>
      <c r="C41" s="15" t="s">
        <v>20504</v>
      </c>
      <c r="D41" s="15" t="s">
        <v>327</v>
      </c>
      <c r="E41" s="15" t="s">
        <v>305</v>
      </c>
      <c r="F41" s="15" t="s">
        <v>6811</v>
      </c>
      <c r="G41" s="15"/>
      <c r="H41" s="15"/>
      <c r="I41" s="15" t="s">
        <v>528</v>
      </c>
      <c r="J41" s="15" t="s">
        <v>15991</v>
      </c>
    </row>
    <row r="42" spans="2:10">
      <c r="B42" s="15" t="s">
        <v>20462</v>
      </c>
      <c r="C42" s="15" t="s">
        <v>20505</v>
      </c>
      <c r="D42" s="15" t="s">
        <v>327</v>
      </c>
      <c r="E42" s="15" t="s">
        <v>305</v>
      </c>
      <c r="F42" s="15" t="s">
        <v>20506</v>
      </c>
      <c r="G42" s="15"/>
      <c r="H42" s="15"/>
      <c r="I42" s="15" t="s">
        <v>528</v>
      </c>
      <c r="J42" s="15" t="s">
        <v>15991</v>
      </c>
    </row>
    <row r="43" spans="2:10">
      <c r="B43" s="15" t="s">
        <v>20462</v>
      </c>
      <c r="C43" s="15" t="s">
        <v>20507</v>
      </c>
      <c r="D43" s="15" t="s">
        <v>316</v>
      </c>
      <c r="E43" s="15" t="s">
        <v>305</v>
      </c>
      <c r="F43" s="15" t="s">
        <v>20507</v>
      </c>
      <c r="G43" s="15"/>
      <c r="H43" s="15"/>
      <c r="I43" s="15" t="s">
        <v>528</v>
      </c>
      <c r="J43" s="15" t="s">
        <v>15991</v>
      </c>
    </row>
    <row r="44" spans="2:10">
      <c r="B44" s="15" t="s">
        <v>20462</v>
      </c>
      <c r="C44" s="15" t="s">
        <v>20508</v>
      </c>
      <c r="D44" s="15" t="s">
        <v>316</v>
      </c>
      <c r="E44" s="15" t="s">
        <v>305</v>
      </c>
      <c r="F44" s="15" t="s">
        <v>20509</v>
      </c>
      <c r="G44" s="15"/>
      <c r="H44" s="15"/>
      <c r="I44" s="15" t="s">
        <v>528</v>
      </c>
      <c r="J44" s="15" t="s">
        <v>15991</v>
      </c>
    </row>
    <row r="45" spans="2:10">
      <c r="B45" s="15" t="s">
        <v>20462</v>
      </c>
      <c r="C45" s="15" t="s">
        <v>20510</v>
      </c>
      <c r="D45" s="15" t="s">
        <v>316</v>
      </c>
      <c r="E45" s="15" t="s">
        <v>305</v>
      </c>
      <c r="F45" s="15" t="s">
        <v>12202</v>
      </c>
      <c r="G45" s="15"/>
      <c r="H45" s="15"/>
      <c r="I45" s="15" t="s">
        <v>528</v>
      </c>
      <c r="J45" s="15" t="s">
        <v>15991</v>
      </c>
    </row>
    <row r="46" spans="2:10">
      <c r="B46" s="15" t="s">
        <v>20462</v>
      </c>
      <c r="C46" s="15" t="s">
        <v>20511</v>
      </c>
      <c r="D46" s="15" t="s">
        <v>327</v>
      </c>
      <c r="E46" s="15" t="s">
        <v>305</v>
      </c>
      <c r="F46" s="15" t="s">
        <v>20512</v>
      </c>
      <c r="G46" s="15"/>
      <c r="H46" s="15"/>
      <c r="I46" s="15" t="s">
        <v>528</v>
      </c>
      <c r="J46" s="15" t="s">
        <v>15991</v>
      </c>
    </row>
    <row r="47" spans="2:10">
      <c r="B47" s="15" t="s">
        <v>20462</v>
      </c>
      <c r="C47" s="15" t="s">
        <v>20513</v>
      </c>
      <c r="D47" s="15" t="s">
        <v>316</v>
      </c>
      <c r="E47" s="15" t="s">
        <v>305</v>
      </c>
      <c r="F47" s="15" t="s">
        <v>20514</v>
      </c>
      <c r="G47" s="15"/>
      <c r="H47" s="15"/>
      <c r="I47" s="15" t="s">
        <v>528</v>
      </c>
      <c r="J47" s="15" t="s">
        <v>15991</v>
      </c>
    </row>
    <row r="48" spans="2:10">
      <c r="B48" s="15" t="s">
        <v>20462</v>
      </c>
      <c r="C48" s="15" t="s">
        <v>16009</v>
      </c>
      <c r="D48" s="15" t="s">
        <v>316</v>
      </c>
      <c r="E48" s="15" t="s">
        <v>305</v>
      </c>
      <c r="F48" s="15" t="s">
        <v>16010</v>
      </c>
      <c r="G48" s="15"/>
      <c r="H48" s="15"/>
      <c r="I48" s="15" t="s">
        <v>528</v>
      </c>
      <c r="J48" s="15" t="s">
        <v>15991</v>
      </c>
    </row>
    <row r="49" spans="2:10">
      <c r="B49" s="15" t="s">
        <v>20462</v>
      </c>
      <c r="C49" s="15" t="s">
        <v>16011</v>
      </c>
      <c r="D49" s="15" t="s">
        <v>316</v>
      </c>
      <c r="E49" s="15" t="s">
        <v>305</v>
      </c>
      <c r="F49" s="15" t="s">
        <v>16012</v>
      </c>
      <c r="G49" s="15"/>
      <c r="H49" s="15"/>
      <c r="I49" s="15" t="s">
        <v>528</v>
      </c>
      <c r="J49" s="15" t="s">
        <v>15991</v>
      </c>
    </row>
    <row r="50" spans="2:10">
      <c r="B50" s="15" t="s">
        <v>20462</v>
      </c>
      <c r="C50" s="15" t="s">
        <v>16015</v>
      </c>
      <c r="D50" s="15" t="s">
        <v>316</v>
      </c>
      <c r="E50" s="15" t="s">
        <v>305</v>
      </c>
      <c r="F50" s="15" t="s">
        <v>16016</v>
      </c>
      <c r="G50" s="15"/>
      <c r="H50" s="15"/>
      <c r="I50" s="15" t="s">
        <v>528</v>
      </c>
      <c r="J50" s="15" t="s">
        <v>15991</v>
      </c>
    </row>
    <row r="51" spans="2:10">
      <c r="B51" s="15" t="s">
        <v>20462</v>
      </c>
      <c r="C51" s="15" t="s">
        <v>16017</v>
      </c>
      <c r="D51" s="15" t="s">
        <v>316</v>
      </c>
      <c r="E51" s="15" t="s">
        <v>305</v>
      </c>
      <c r="F51" s="15" t="s">
        <v>16018</v>
      </c>
      <c r="G51" s="15"/>
      <c r="H51" s="15"/>
      <c r="I51" s="15" t="s">
        <v>528</v>
      </c>
      <c r="J51" s="15" t="s">
        <v>15991</v>
      </c>
    </row>
    <row r="52" spans="2:10">
      <c r="B52" s="15" t="s">
        <v>20462</v>
      </c>
      <c r="C52" s="15" t="s">
        <v>16243</v>
      </c>
      <c r="D52" s="15" t="s">
        <v>506</v>
      </c>
      <c r="E52" s="15" t="s">
        <v>305</v>
      </c>
      <c r="F52" s="53" t="s">
        <v>16018</v>
      </c>
      <c r="G52" s="15"/>
      <c r="H52" s="15"/>
      <c r="I52" s="15" t="s">
        <v>528</v>
      </c>
      <c r="J52" s="15" t="s">
        <v>15991</v>
      </c>
    </row>
    <row r="53" spans="2:10">
      <c r="B53" s="15" t="s">
        <v>20462</v>
      </c>
      <c r="C53" s="15" t="s">
        <v>16053</v>
      </c>
      <c r="D53" s="15" t="s">
        <v>506</v>
      </c>
      <c r="E53" s="15" t="s">
        <v>305</v>
      </c>
      <c r="F53" s="53" t="s">
        <v>16240</v>
      </c>
      <c r="G53" s="15"/>
      <c r="H53" s="15"/>
      <c r="I53" s="15" t="s">
        <v>528</v>
      </c>
      <c r="J53" s="15" t="s">
        <v>15991</v>
      </c>
    </row>
    <row r="54" spans="2:10">
      <c r="B54" s="15" t="s">
        <v>20462</v>
      </c>
      <c r="C54" s="15" t="s">
        <v>16241</v>
      </c>
      <c r="D54" s="15" t="s">
        <v>506</v>
      </c>
      <c r="E54" s="15" t="s">
        <v>305</v>
      </c>
      <c r="F54" s="53" t="s">
        <v>16242</v>
      </c>
      <c r="G54" s="15"/>
      <c r="H54" s="15"/>
      <c r="I54" s="15" t="s">
        <v>528</v>
      </c>
      <c r="J54" s="15" t="s">
        <v>15991</v>
      </c>
    </row>
    <row r="55" spans="2:10">
      <c r="B55" s="15" t="s">
        <v>20462</v>
      </c>
      <c r="C55" s="15" t="s">
        <v>16013</v>
      </c>
      <c r="D55" s="15" t="s">
        <v>316</v>
      </c>
      <c r="E55" s="15" t="s">
        <v>305</v>
      </c>
      <c r="F55" s="53" t="s">
        <v>16583</v>
      </c>
      <c r="G55" s="15"/>
      <c r="H55" s="15"/>
      <c r="I55" s="15" t="s">
        <v>528</v>
      </c>
      <c r="J55" s="15" t="s">
        <v>15991</v>
      </c>
    </row>
    <row r="56" spans="2:10">
      <c r="B56" s="15" t="s">
        <v>20462</v>
      </c>
      <c r="C56" s="15" t="s">
        <v>16019</v>
      </c>
      <c r="D56" s="15" t="s">
        <v>316</v>
      </c>
      <c r="E56" s="15" t="s">
        <v>305</v>
      </c>
      <c r="F56" s="53" t="s">
        <v>16020</v>
      </c>
      <c r="G56" s="15"/>
      <c r="H56" s="15"/>
      <c r="I56" s="15" t="s">
        <v>528</v>
      </c>
      <c r="J56" s="15" t="s">
        <v>15991</v>
      </c>
    </row>
    <row r="57" spans="2:10">
      <c r="B57" s="15" t="s">
        <v>20462</v>
      </c>
      <c r="C57" s="15" t="s">
        <v>20515</v>
      </c>
      <c r="D57" s="15" t="s">
        <v>316</v>
      </c>
      <c r="E57" s="15" t="s">
        <v>305</v>
      </c>
      <c r="F57" s="15" t="s">
        <v>20516</v>
      </c>
      <c r="G57" s="55" t="str">
        <f>HYPERLINK("#码值映射清单!B13691","WorkBench")</f>
        <v>WorkBench</v>
      </c>
      <c r="H57" s="15"/>
      <c r="I57" s="15" t="s">
        <v>528</v>
      </c>
      <c r="J57" s="15" t="s">
        <v>15991</v>
      </c>
    </row>
    <row r="58" spans="2:10">
      <c r="B58" s="15" t="s">
        <v>20462</v>
      </c>
      <c r="C58" s="15" t="s">
        <v>20517</v>
      </c>
      <c r="D58" s="15" t="s">
        <v>16087</v>
      </c>
      <c r="E58" s="15" t="s">
        <v>305</v>
      </c>
      <c r="F58" s="15" t="s">
        <v>20518</v>
      </c>
      <c r="G58" s="15"/>
      <c r="H58" s="15"/>
      <c r="I58" s="15" t="s">
        <v>528</v>
      </c>
      <c r="J58" s="15" t="s">
        <v>15991</v>
      </c>
    </row>
    <row r="59" spans="2:10">
      <c r="B59" s="15" t="s">
        <v>20462</v>
      </c>
      <c r="C59" s="15" t="s">
        <v>20519</v>
      </c>
      <c r="D59" s="15" t="s">
        <v>16087</v>
      </c>
      <c r="E59" s="15" t="s">
        <v>305</v>
      </c>
      <c r="F59" s="15" t="s">
        <v>20520</v>
      </c>
      <c r="G59" s="15"/>
      <c r="H59" s="15"/>
      <c r="I59" s="15" t="s">
        <v>528</v>
      </c>
      <c r="J59" s="15" t="s">
        <v>15991</v>
      </c>
    </row>
  </sheetData>
  <pageMargins left="0.75" right="0.75" top="1" bottom="1" header="0.5" footer="0.5"/>
  <pageSetup paperSize="1" orientation="portrait" horizontalDpi="300" verticalDpi="300"/>
  <headerFooter alignWithMargins="0" scaleWithDoc="0"/>
</worksheet>
</file>

<file path=xl/worksheets/sheet1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0"/>
  <sheetViews>
    <sheetView zoomScaleSheetLayoutView="60" workbookViewId="0">
      <selection activeCell="F30" sqref="F30"/>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52" t="str">
        <f>HYPERLINK("#表结构清单!A1","返回")</f>
        <v>返回</v>
      </c>
      <c r="B1" t="s">
        <v>20521</v>
      </c>
    </row>
    <row r="2" spans="2:10">
      <c r="B2" s="13" t="s">
        <v>15982</v>
      </c>
      <c r="C2" s="13" t="s">
        <v>297</v>
      </c>
      <c r="D2" s="13" t="s">
        <v>11870</v>
      </c>
      <c r="E2" s="13" t="s">
        <v>15983</v>
      </c>
      <c r="F2" s="13" t="s">
        <v>15984</v>
      </c>
      <c r="G2" s="13" t="s">
        <v>300</v>
      </c>
      <c r="H2" s="13" t="s">
        <v>301</v>
      </c>
      <c r="I2" s="13" t="s">
        <v>15985</v>
      </c>
      <c r="J2" s="13" t="s">
        <v>15986</v>
      </c>
    </row>
    <row r="3" spans="2:10">
      <c r="B3" s="15" t="s">
        <v>20522</v>
      </c>
      <c r="C3" s="15" t="s">
        <v>20523</v>
      </c>
      <c r="D3" s="15" t="s">
        <v>506</v>
      </c>
      <c r="E3" s="15" t="s">
        <v>305</v>
      </c>
      <c r="F3" s="15" t="s">
        <v>20524</v>
      </c>
      <c r="G3" s="15"/>
      <c r="H3" s="15"/>
      <c r="I3" s="15" t="s">
        <v>528</v>
      </c>
      <c r="J3" s="15" t="s">
        <v>15991</v>
      </c>
    </row>
    <row r="4" spans="2:10">
      <c r="B4" s="15" t="s">
        <v>20522</v>
      </c>
      <c r="C4" s="15" t="s">
        <v>20525</v>
      </c>
      <c r="D4" s="15" t="s">
        <v>316</v>
      </c>
      <c r="E4" s="15" t="s">
        <v>305</v>
      </c>
      <c r="F4" s="15" t="s">
        <v>20526</v>
      </c>
      <c r="G4" s="15"/>
      <c r="H4" s="15"/>
      <c r="I4" s="15" t="s">
        <v>528</v>
      </c>
      <c r="J4" s="15" t="s">
        <v>15991</v>
      </c>
    </row>
    <row r="5" spans="2:10">
      <c r="B5" s="15" t="s">
        <v>20522</v>
      </c>
      <c r="C5" s="15" t="s">
        <v>20527</v>
      </c>
      <c r="D5" s="15" t="s">
        <v>316</v>
      </c>
      <c r="E5" s="15" t="s">
        <v>305</v>
      </c>
      <c r="F5" s="15" t="s">
        <v>20034</v>
      </c>
      <c r="G5" s="15"/>
      <c r="H5" s="15"/>
      <c r="I5" s="15" t="s">
        <v>528</v>
      </c>
      <c r="J5" s="15" t="s">
        <v>15991</v>
      </c>
    </row>
    <row r="6" spans="2:10">
      <c r="B6" s="15" t="s">
        <v>20522</v>
      </c>
      <c r="C6" s="15" t="s">
        <v>20528</v>
      </c>
      <c r="D6" s="15" t="s">
        <v>316</v>
      </c>
      <c r="E6" s="15" t="s">
        <v>305</v>
      </c>
      <c r="F6" s="15" t="s">
        <v>16738</v>
      </c>
      <c r="G6" s="15"/>
      <c r="H6" s="15"/>
      <c r="I6" s="15" t="s">
        <v>528</v>
      </c>
      <c r="J6" s="15" t="s">
        <v>15991</v>
      </c>
    </row>
    <row r="7" spans="2:10">
      <c r="B7" s="15" t="s">
        <v>20522</v>
      </c>
      <c r="C7" s="15" t="s">
        <v>20529</v>
      </c>
      <c r="D7" s="15" t="s">
        <v>316</v>
      </c>
      <c r="E7" s="15" t="s">
        <v>305</v>
      </c>
      <c r="F7" s="15" t="s">
        <v>20214</v>
      </c>
      <c r="G7" s="15"/>
      <c r="H7" s="15"/>
      <c r="I7" s="15" t="s">
        <v>528</v>
      </c>
      <c r="J7" s="15" t="s">
        <v>15991</v>
      </c>
    </row>
    <row r="8" spans="2:10">
      <c r="B8" s="15" t="s">
        <v>20522</v>
      </c>
      <c r="C8" s="15" t="s">
        <v>20530</v>
      </c>
      <c r="D8" s="15" t="s">
        <v>506</v>
      </c>
      <c r="E8" s="15" t="s">
        <v>305</v>
      </c>
      <c r="F8" s="15" t="s">
        <v>19980</v>
      </c>
      <c r="G8" s="15"/>
      <c r="H8" s="15"/>
      <c r="I8" s="15" t="s">
        <v>528</v>
      </c>
      <c r="J8" s="15" t="s">
        <v>15991</v>
      </c>
    </row>
    <row r="9" spans="2:10">
      <c r="B9" s="15" t="s">
        <v>20522</v>
      </c>
      <c r="C9" s="15" t="s">
        <v>20531</v>
      </c>
      <c r="D9" s="15" t="s">
        <v>316</v>
      </c>
      <c r="E9" s="15" t="s">
        <v>305</v>
      </c>
      <c r="F9" s="15" t="s">
        <v>20532</v>
      </c>
      <c r="G9" s="15"/>
      <c r="H9" s="15"/>
      <c r="I9" s="15" t="s">
        <v>528</v>
      </c>
      <c r="J9" s="15" t="s">
        <v>15991</v>
      </c>
    </row>
    <row r="10" spans="2:10">
      <c r="B10" s="15" t="s">
        <v>20522</v>
      </c>
      <c r="C10" s="15" t="s">
        <v>20533</v>
      </c>
      <c r="D10" s="15" t="s">
        <v>506</v>
      </c>
      <c r="E10" s="15" t="s">
        <v>305</v>
      </c>
      <c r="F10" s="15" t="s">
        <v>20534</v>
      </c>
      <c r="G10" s="15"/>
      <c r="H10" s="15"/>
      <c r="I10" s="15" t="s">
        <v>528</v>
      </c>
      <c r="J10" s="15" t="s">
        <v>15991</v>
      </c>
    </row>
    <row r="11" spans="2:10">
      <c r="B11" s="15" t="s">
        <v>20522</v>
      </c>
      <c r="C11" s="15" t="s">
        <v>20535</v>
      </c>
      <c r="D11" s="15" t="s">
        <v>316</v>
      </c>
      <c r="E11" s="15" t="s">
        <v>305</v>
      </c>
      <c r="F11" s="15" t="s">
        <v>20536</v>
      </c>
      <c r="G11" s="15"/>
      <c r="H11" s="15"/>
      <c r="I11" s="15" t="s">
        <v>528</v>
      </c>
      <c r="J11" s="15" t="s">
        <v>15991</v>
      </c>
    </row>
    <row r="12" spans="2:10">
      <c r="B12" s="15" t="s">
        <v>20522</v>
      </c>
      <c r="C12" s="15" t="s">
        <v>20537</v>
      </c>
      <c r="D12" s="15" t="s">
        <v>506</v>
      </c>
      <c r="E12" s="15" t="s">
        <v>305</v>
      </c>
      <c r="F12" s="15" t="s">
        <v>20538</v>
      </c>
      <c r="G12" s="15"/>
      <c r="H12" s="15"/>
      <c r="I12" s="15" t="s">
        <v>528</v>
      </c>
      <c r="J12" s="15" t="s">
        <v>15991</v>
      </c>
    </row>
    <row r="13" spans="2:10">
      <c r="B13" s="15" t="s">
        <v>20522</v>
      </c>
      <c r="C13" s="15" t="s">
        <v>20539</v>
      </c>
      <c r="D13" s="15" t="s">
        <v>513</v>
      </c>
      <c r="E13" s="15" t="s">
        <v>305</v>
      </c>
      <c r="F13" s="15" t="s">
        <v>20540</v>
      </c>
      <c r="G13" s="15"/>
      <c r="H13" s="15"/>
      <c r="I13" s="15" t="s">
        <v>528</v>
      </c>
      <c r="J13" s="15" t="s">
        <v>15991</v>
      </c>
    </row>
    <row r="14" spans="2:10">
      <c r="B14" s="15" t="s">
        <v>20522</v>
      </c>
      <c r="C14" s="15" t="s">
        <v>20541</v>
      </c>
      <c r="D14" s="15" t="s">
        <v>316</v>
      </c>
      <c r="E14" s="15" t="s">
        <v>15989</v>
      </c>
      <c r="F14" s="15" t="s">
        <v>20542</v>
      </c>
      <c r="G14" s="15"/>
      <c r="H14" s="15"/>
      <c r="I14" s="15" t="s">
        <v>528</v>
      </c>
      <c r="J14" s="15" t="s">
        <v>15991</v>
      </c>
    </row>
    <row r="15" spans="2:10">
      <c r="B15" s="15" t="s">
        <v>20522</v>
      </c>
      <c r="C15" s="15" t="s">
        <v>20345</v>
      </c>
      <c r="D15" s="15" t="s">
        <v>316</v>
      </c>
      <c r="E15" s="15" t="s">
        <v>305</v>
      </c>
      <c r="F15" s="15" t="s">
        <v>16010</v>
      </c>
      <c r="G15" s="15"/>
      <c r="H15" s="15"/>
      <c r="I15" s="15" t="s">
        <v>528</v>
      </c>
      <c r="J15" s="15" t="s">
        <v>15991</v>
      </c>
    </row>
    <row r="16" spans="2:10">
      <c r="B16" s="15" t="s">
        <v>20522</v>
      </c>
      <c r="C16" s="15" t="s">
        <v>20346</v>
      </c>
      <c r="D16" s="15" t="s">
        <v>316</v>
      </c>
      <c r="E16" s="15" t="s">
        <v>305</v>
      </c>
      <c r="F16" s="15" t="s">
        <v>16012</v>
      </c>
      <c r="G16" s="15"/>
      <c r="H16" s="15"/>
      <c r="I16" s="15" t="s">
        <v>528</v>
      </c>
      <c r="J16" s="15" t="s">
        <v>15991</v>
      </c>
    </row>
    <row r="17" spans="2:10">
      <c r="B17" s="15" t="s">
        <v>20522</v>
      </c>
      <c r="C17" s="15" t="s">
        <v>20312</v>
      </c>
      <c r="D17" s="15" t="s">
        <v>17036</v>
      </c>
      <c r="E17" s="15" t="s">
        <v>305</v>
      </c>
      <c r="F17" s="15" t="s">
        <v>16014</v>
      </c>
      <c r="G17" s="15"/>
      <c r="H17" s="15"/>
      <c r="I17" s="15" t="s">
        <v>528</v>
      </c>
      <c r="J17" s="15" t="s">
        <v>15991</v>
      </c>
    </row>
    <row r="18" spans="2:10">
      <c r="B18" s="15" t="s">
        <v>20522</v>
      </c>
      <c r="C18" s="15" t="s">
        <v>20347</v>
      </c>
      <c r="D18" s="15" t="s">
        <v>316</v>
      </c>
      <c r="E18" s="15" t="s">
        <v>305</v>
      </c>
      <c r="F18" s="15" t="s">
        <v>16016</v>
      </c>
      <c r="G18" s="15"/>
      <c r="H18" s="15"/>
      <c r="I18" s="15" t="s">
        <v>528</v>
      </c>
      <c r="J18" s="15" t="s">
        <v>15991</v>
      </c>
    </row>
    <row r="19" spans="2:10">
      <c r="B19" s="15" t="s">
        <v>20522</v>
      </c>
      <c r="C19" s="15" t="s">
        <v>20348</v>
      </c>
      <c r="D19" s="15" t="s">
        <v>316</v>
      </c>
      <c r="E19" s="15" t="s">
        <v>305</v>
      </c>
      <c r="F19" s="15" t="s">
        <v>16018</v>
      </c>
      <c r="G19" s="15"/>
      <c r="H19" s="15"/>
      <c r="I19" s="15" t="s">
        <v>528</v>
      </c>
      <c r="J19" s="15" t="s">
        <v>15991</v>
      </c>
    </row>
    <row r="20" spans="2:10">
      <c r="B20" s="15" t="s">
        <v>20522</v>
      </c>
      <c r="C20" s="15" t="s">
        <v>20315</v>
      </c>
      <c r="D20" s="15" t="s">
        <v>17036</v>
      </c>
      <c r="E20" s="15" t="s">
        <v>305</v>
      </c>
      <c r="F20" s="15" t="s">
        <v>16020</v>
      </c>
      <c r="G20" s="15"/>
      <c r="H20" s="15"/>
      <c r="I20" s="15" t="s">
        <v>528</v>
      </c>
      <c r="J20" s="15" t="s">
        <v>15991</v>
      </c>
    </row>
  </sheetData>
  <pageMargins left="0.75" right="0.75" top="1" bottom="1" header="0.5" footer="0.5"/>
  <pageSetup paperSize="1" orientation="portrait" horizontalDpi="300" verticalDpi="300"/>
  <headerFooter alignWithMargins="0" scaleWithDoc="0"/>
</worksheet>
</file>

<file path=xl/worksheets/sheet17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6"/>
  <sheetViews>
    <sheetView zoomScaleSheetLayoutView="60" workbookViewId="0">
      <selection activeCell="A1" sqref="A1"/>
    </sheetView>
  </sheetViews>
  <sheetFormatPr defaultColWidth="9.14285714285714" defaultRowHeight="15.2" outlineLevelRow="5"/>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52" t="str">
        <f>HYPERLINK("#表结构清单!A1","返回")</f>
        <v>返回</v>
      </c>
      <c r="B1" t="s">
        <v>20543</v>
      </c>
    </row>
    <row r="2" spans="2:10">
      <c r="B2" s="13" t="s">
        <v>15982</v>
      </c>
      <c r="C2" s="13" t="s">
        <v>297</v>
      </c>
      <c r="D2" s="13" t="s">
        <v>11870</v>
      </c>
      <c r="E2" s="13" t="s">
        <v>15983</v>
      </c>
      <c r="F2" s="13" t="s">
        <v>15984</v>
      </c>
      <c r="G2" s="13" t="s">
        <v>300</v>
      </c>
      <c r="H2" s="13" t="s">
        <v>301</v>
      </c>
      <c r="I2" s="13" t="s">
        <v>15985</v>
      </c>
      <c r="J2" s="13" t="s">
        <v>15986</v>
      </c>
    </row>
    <row r="3" spans="2:10">
      <c r="B3" s="15" t="s">
        <v>20544</v>
      </c>
      <c r="C3" s="15" t="s">
        <v>16579</v>
      </c>
      <c r="D3" s="15" t="s">
        <v>316</v>
      </c>
      <c r="E3" s="15" t="s">
        <v>15989</v>
      </c>
      <c r="F3" s="15" t="s">
        <v>16638</v>
      </c>
      <c r="G3" s="15"/>
      <c r="H3" s="15"/>
      <c r="I3" s="15" t="s">
        <v>528</v>
      </c>
      <c r="J3" s="15" t="s">
        <v>15991</v>
      </c>
    </row>
    <row r="4" spans="2:10">
      <c r="B4" s="15" t="s">
        <v>20544</v>
      </c>
      <c r="C4" s="15" t="s">
        <v>20545</v>
      </c>
      <c r="D4" s="15" t="s">
        <v>506</v>
      </c>
      <c r="E4" s="15" t="s">
        <v>305</v>
      </c>
      <c r="F4" s="15" t="s">
        <v>20546</v>
      </c>
      <c r="G4" s="15"/>
      <c r="H4" s="15"/>
      <c r="I4" s="15" t="s">
        <v>528</v>
      </c>
      <c r="J4" s="15" t="s">
        <v>15991</v>
      </c>
    </row>
    <row r="5" spans="2:10">
      <c r="B5" s="15" t="s">
        <v>20544</v>
      </c>
      <c r="C5" s="15" t="s">
        <v>20547</v>
      </c>
      <c r="D5" s="15" t="s">
        <v>506</v>
      </c>
      <c r="E5" s="15" t="s">
        <v>305</v>
      </c>
      <c r="F5" s="15" t="s">
        <v>20548</v>
      </c>
      <c r="G5" s="15"/>
      <c r="H5" s="15"/>
      <c r="I5" s="15" t="s">
        <v>528</v>
      </c>
      <c r="J5" s="15" t="s">
        <v>15991</v>
      </c>
    </row>
    <row r="6" spans="2:10">
      <c r="B6" s="15" t="s">
        <v>20544</v>
      </c>
      <c r="C6" s="15" t="s">
        <v>16239</v>
      </c>
      <c r="D6" s="15" t="s">
        <v>316</v>
      </c>
      <c r="E6" s="15" t="s">
        <v>305</v>
      </c>
      <c r="F6" s="15" t="s">
        <v>16020</v>
      </c>
      <c r="G6" s="15"/>
      <c r="H6" s="15"/>
      <c r="I6" s="15" t="s">
        <v>528</v>
      </c>
      <c r="J6" s="15" t="s">
        <v>15991</v>
      </c>
    </row>
  </sheetData>
  <pageMargins left="0.75" right="0.75" top="1" bottom="1" header="0.5" footer="0.5"/>
  <pageSetup paperSize="1" orientation="portrait" horizontalDpi="300" verticalDpi="300"/>
  <headerFooter alignWithMargins="0" scaleWithDoc="0"/>
</worksheet>
</file>

<file path=xl/worksheets/sheet1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8"/>
  <sheetViews>
    <sheetView zoomScaleSheetLayoutView="60" workbookViewId="0">
      <selection activeCell="A1" sqref="A1"/>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52" t="str">
        <f>HYPERLINK("#表结构清单!A1","返回")</f>
        <v>返回</v>
      </c>
      <c r="B1" t="s">
        <v>20549</v>
      </c>
    </row>
    <row r="2" spans="2:10">
      <c r="B2" s="13" t="s">
        <v>15982</v>
      </c>
      <c r="C2" s="13" t="s">
        <v>297</v>
      </c>
      <c r="D2" s="13" t="s">
        <v>11870</v>
      </c>
      <c r="E2" s="13" t="s">
        <v>15983</v>
      </c>
      <c r="F2" s="13" t="s">
        <v>15984</v>
      </c>
      <c r="G2" s="13" t="s">
        <v>300</v>
      </c>
      <c r="H2" s="13" t="s">
        <v>301</v>
      </c>
      <c r="I2" s="13" t="s">
        <v>15985</v>
      </c>
      <c r="J2" s="13" t="s">
        <v>15986</v>
      </c>
    </row>
    <row r="3" spans="2:10">
      <c r="B3" s="15" t="s">
        <v>20550</v>
      </c>
      <c r="C3" s="15" t="s">
        <v>16579</v>
      </c>
      <c r="D3" s="15" t="s">
        <v>316</v>
      </c>
      <c r="E3" s="15" t="s">
        <v>15989</v>
      </c>
      <c r="F3" s="15" t="s">
        <v>16638</v>
      </c>
      <c r="G3" s="15"/>
      <c r="H3" s="15"/>
      <c r="I3" s="15" t="s">
        <v>528</v>
      </c>
      <c r="J3" s="15" t="s">
        <v>15991</v>
      </c>
    </row>
    <row r="4" spans="2:10">
      <c r="B4" s="15" t="s">
        <v>20550</v>
      </c>
      <c r="C4" s="15" t="s">
        <v>20551</v>
      </c>
      <c r="D4" s="15" t="s">
        <v>316</v>
      </c>
      <c r="E4" s="15" t="s">
        <v>305</v>
      </c>
      <c r="F4" s="15" t="s">
        <v>20552</v>
      </c>
      <c r="G4" s="15"/>
      <c r="H4" s="15"/>
      <c r="I4" s="15" t="s">
        <v>528</v>
      </c>
      <c r="J4" s="15" t="s">
        <v>15991</v>
      </c>
    </row>
    <row r="5" spans="2:10">
      <c r="B5" s="15" t="s">
        <v>20550</v>
      </c>
      <c r="C5" s="15" t="s">
        <v>20553</v>
      </c>
      <c r="D5" s="15" t="s">
        <v>16056</v>
      </c>
      <c r="E5" s="15" t="s">
        <v>305</v>
      </c>
      <c r="F5" s="15" t="s">
        <v>20554</v>
      </c>
      <c r="G5" s="15"/>
      <c r="H5" s="15"/>
      <c r="I5" s="15" t="s">
        <v>528</v>
      </c>
      <c r="J5" s="15" t="s">
        <v>15991</v>
      </c>
    </row>
    <row r="6" spans="2:10">
      <c r="B6" s="15" t="s">
        <v>20550</v>
      </c>
      <c r="C6" s="15" t="s">
        <v>20555</v>
      </c>
      <c r="D6" s="15" t="s">
        <v>16056</v>
      </c>
      <c r="E6" s="15" t="s">
        <v>305</v>
      </c>
      <c r="F6" s="15" t="s">
        <v>20556</v>
      </c>
      <c r="G6" s="15"/>
      <c r="H6" s="15"/>
      <c r="I6" s="15" t="s">
        <v>528</v>
      </c>
      <c r="J6" s="15" t="s">
        <v>15991</v>
      </c>
    </row>
    <row r="7" spans="2:10">
      <c r="B7" s="15" t="s">
        <v>20550</v>
      </c>
      <c r="C7" s="15" t="s">
        <v>20557</v>
      </c>
      <c r="D7" s="15" t="s">
        <v>316</v>
      </c>
      <c r="E7" s="15" t="s">
        <v>305</v>
      </c>
      <c r="F7" s="15" t="s">
        <v>20558</v>
      </c>
      <c r="G7" s="15"/>
      <c r="H7" s="15"/>
      <c r="I7" s="15" t="s">
        <v>528</v>
      </c>
      <c r="J7" s="15" t="s">
        <v>15991</v>
      </c>
    </row>
    <row r="8" spans="2:10">
      <c r="B8" s="15" t="s">
        <v>20550</v>
      </c>
      <c r="C8" s="15" t="s">
        <v>20559</v>
      </c>
      <c r="D8" s="15" t="s">
        <v>316</v>
      </c>
      <c r="E8" s="15" t="s">
        <v>305</v>
      </c>
      <c r="F8" s="15" t="s">
        <v>20560</v>
      </c>
      <c r="G8" s="15"/>
      <c r="H8" s="15"/>
      <c r="I8" s="15" t="s">
        <v>528</v>
      </c>
      <c r="J8" s="15" t="s">
        <v>15991</v>
      </c>
    </row>
    <row r="9" spans="2:10">
      <c r="B9" s="15" t="s">
        <v>20550</v>
      </c>
      <c r="C9" s="15" t="s">
        <v>20561</v>
      </c>
      <c r="D9" s="15" t="s">
        <v>316</v>
      </c>
      <c r="E9" s="15" t="s">
        <v>305</v>
      </c>
      <c r="F9" s="15" t="s">
        <v>20562</v>
      </c>
      <c r="G9" s="15"/>
      <c r="H9" s="15"/>
      <c r="I9" s="15" t="s">
        <v>528</v>
      </c>
      <c r="J9" s="15" t="s">
        <v>15991</v>
      </c>
    </row>
    <row r="10" spans="2:10">
      <c r="B10" s="15" t="s">
        <v>20550</v>
      </c>
      <c r="C10" s="15" t="s">
        <v>20563</v>
      </c>
      <c r="D10" s="15" t="s">
        <v>513</v>
      </c>
      <c r="E10" s="15" t="s">
        <v>305</v>
      </c>
      <c r="F10" s="15" t="s">
        <v>20564</v>
      </c>
      <c r="G10" s="15"/>
      <c r="H10" s="15"/>
      <c r="I10" s="15" t="s">
        <v>528</v>
      </c>
      <c r="J10" s="15" t="s">
        <v>15991</v>
      </c>
    </row>
    <row r="11" spans="2:10">
      <c r="B11" s="15" t="s">
        <v>20550</v>
      </c>
      <c r="C11" s="15" t="s">
        <v>20565</v>
      </c>
      <c r="D11" s="15" t="s">
        <v>367</v>
      </c>
      <c r="E11" s="15" t="s">
        <v>305</v>
      </c>
      <c r="F11" s="15" t="s">
        <v>20566</v>
      </c>
      <c r="G11" s="15"/>
      <c r="H11" s="15"/>
      <c r="I11" s="15" t="s">
        <v>528</v>
      </c>
      <c r="J11" s="15" t="s">
        <v>15991</v>
      </c>
    </row>
    <row r="12" spans="2:10">
      <c r="B12" s="15" t="s">
        <v>20550</v>
      </c>
      <c r="C12" s="15" t="s">
        <v>20511</v>
      </c>
      <c r="D12" s="15" t="s">
        <v>327</v>
      </c>
      <c r="E12" s="15" t="s">
        <v>305</v>
      </c>
      <c r="F12" s="15" t="s">
        <v>20512</v>
      </c>
      <c r="G12" s="15"/>
      <c r="H12" s="15"/>
      <c r="I12" s="15" t="s">
        <v>528</v>
      </c>
      <c r="J12" s="15" t="s">
        <v>15991</v>
      </c>
    </row>
    <row r="13" spans="2:10">
      <c r="B13" s="15" t="s">
        <v>20550</v>
      </c>
      <c r="C13" s="15" t="s">
        <v>16009</v>
      </c>
      <c r="D13" s="15" t="s">
        <v>316</v>
      </c>
      <c r="E13" s="15" t="s">
        <v>305</v>
      </c>
      <c r="F13" s="15" t="s">
        <v>16010</v>
      </c>
      <c r="G13" s="15"/>
      <c r="H13" s="15"/>
      <c r="I13" s="15" t="s">
        <v>528</v>
      </c>
      <c r="J13" s="15" t="s">
        <v>15991</v>
      </c>
    </row>
    <row r="14" spans="2:10">
      <c r="B14" s="15" t="s">
        <v>20550</v>
      </c>
      <c r="C14" s="15" t="s">
        <v>16011</v>
      </c>
      <c r="D14" s="15" t="s">
        <v>316</v>
      </c>
      <c r="E14" s="15" t="s">
        <v>305</v>
      </c>
      <c r="F14" s="15" t="s">
        <v>16012</v>
      </c>
      <c r="G14" s="15"/>
      <c r="H14" s="15"/>
      <c r="I14" s="15" t="s">
        <v>528</v>
      </c>
      <c r="J14" s="15" t="s">
        <v>15991</v>
      </c>
    </row>
    <row r="15" spans="2:10">
      <c r="B15" s="15" t="s">
        <v>20550</v>
      </c>
      <c r="C15" s="15" t="s">
        <v>16013</v>
      </c>
      <c r="D15" s="15" t="s">
        <v>371</v>
      </c>
      <c r="E15" s="15" t="s">
        <v>305</v>
      </c>
      <c r="F15" s="15" t="s">
        <v>16014</v>
      </c>
      <c r="G15" s="15"/>
      <c r="H15" s="15"/>
      <c r="I15" s="15" t="s">
        <v>528</v>
      </c>
      <c r="J15" s="15" t="s">
        <v>15991</v>
      </c>
    </row>
    <row r="16" spans="2:10">
      <c r="B16" s="15" t="s">
        <v>20550</v>
      </c>
      <c r="C16" s="15" t="s">
        <v>16015</v>
      </c>
      <c r="D16" s="15" t="s">
        <v>316</v>
      </c>
      <c r="E16" s="15" t="s">
        <v>305</v>
      </c>
      <c r="F16" s="15" t="s">
        <v>16016</v>
      </c>
      <c r="G16" s="15"/>
      <c r="H16" s="15"/>
      <c r="I16" s="15" t="s">
        <v>528</v>
      </c>
      <c r="J16" s="15" t="s">
        <v>15991</v>
      </c>
    </row>
    <row r="17" spans="2:10">
      <c r="B17" s="15" t="s">
        <v>20550</v>
      </c>
      <c r="C17" s="15" t="s">
        <v>16017</v>
      </c>
      <c r="D17" s="15" t="s">
        <v>316</v>
      </c>
      <c r="E17" s="15" t="s">
        <v>305</v>
      </c>
      <c r="F17" s="15" t="s">
        <v>16018</v>
      </c>
      <c r="G17" s="15"/>
      <c r="H17" s="15"/>
      <c r="I17" s="15" t="s">
        <v>528</v>
      </c>
      <c r="J17" s="15" t="s">
        <v>15991</v>
      </c>
    </row>
    <row r="18" spans="2:10">
      <c r="B18" s="15" t="s">
        <v>20550</v>
      </c>
      <c r="C18" s="15" t="s">
        <v>16019</v>
      </c>
      <c r="D18" s="15" t="s">
        <v>371</v>
      </c>
      <c r="E18" s="15" t="s">
        <v>305</v>
      </c>
      <c r="F18" s="15" t="s">
        <v>16020</v>
      </c>
      <c r="G18" s="15"/>
      <c r="H18" s="15"/>
      <c r="I18" s="15" t="s">
        <v>528</v>
      </c>
      <c r="J18" s="15" t="s">
        <v>15991</v>
      </c>
    </row>
  </sheetData>
  <pageMargins left="0.75" right="0.75" top="1" bottom="1" header="0.5" footer="0.5"/>
  <pageSetup paperSize="1" orientation="portrait" horizontalDpi="300" verticalDpi="300"/>
  <headerFooter alignWithMargins="0" scaleWithDoc="0"/>
</worksheet>
</file>

<file path=xl/worksheets/sheet1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2"/>
  <sheetViews>
    <sheetView zoomScaleSheetLayoutView="60" workbookViewId="0">
      <selection activeCell="A1" sqref="A1"/>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51" t="str">
        <f>HYPERLINK("#表结构清单!A1","返回")</f>
        <v>返回</v>
      </c>
      <c r="B1" t="s">
        <v>141</v>
      </c>
    </row>
    <row r="2" spans="2:10">
      <c r="B2" s="13" t="s">
        <v>15982</v>
      </c>
      <c r="C2" s="13" t="s">
        <v>297</v>
      </c>
      <c r="D2" s="13" t="s">
        <v>11870</v>
      </c>
      <c r="E2" s="13" t="s">
        <v>15983</v>
      </c>
      <c r="F2" s="13" t="s">
        <v>15984</v>
      </c>
      <c r="G2" s="13" t="s">
        <v>300</v>
      </c>
      <c r="H2" s="13" t="s">
        <v>301</v>
      </c>
      <c r="I2" s="13" t="s">
        <v>15985</v>
      </c>
      <c r="J2" s="13" t="s">
        <v>15986</v>
      </c>
    </row>
    <row r="3" spans="2:10">
      <c r="B3" s="15" t="s">
        <v>20567</v>
      </c>
      <c r="C3" s="15" t="s">
        <v>20568</v>
      </c>
      <c r="D3" s="15" t="s">
        <v>16056</v>
      </c>
      <c r="E3" s="15" t="s">
        <v>305</v>
      </c>
      <c r="F3" s="15" t="s">
        <v>20569</v>
      </c>
      <c r="G3" s="15"/>
      <c r="H3" s="15"/>
      <c r="I3" s="15" t="s">
        <v>528</v>
      </c>
      <c r="J3" s="15" t="s">
        <v>15991</v>
      </c>
    </row>
    <row r="4" spans="2:10">
      <c r="B4" s="15" t="s">
        <v>20567</v>
      </c>
      <c r="C4" s="15" t="s">
        <v>16579</v>
      </c>
      <c r="D4" s="15" t="s">
        <v>316</v>
      </c>
      <c r="E4" s="15" t="s">
        <v>15989</v>
      </c>
      <c r="F4" s="15" t="s">
        <v>16638</v>
      </c>
      <c r="G4" s="15"/>
      <c r="H4" s="15"/>
      <c r="I4" s="15" t="s">
        <v>528</v>
      </c>
      <c r="J4" s="15" t="s">
        <v>15991</v>
      </c>
    </row>
    <row r="5" spans="2:10">
      <c r="B5" s="15" t="s">
        <v>20567</v>
      </c>
      <c r="C5" s="15" t="s">
        <v>16561</v>
      </c>
      <c r="D5" s="15" t="s">
        <v>316</v>
      </c>
      <c r="E5" s="15" t="s">
        <v>15989</v>
      </c>
      <c r="F5" s="15" t="s">
        <v>16562</v>
      </c>
      <c r="G5" s="15"/>
      <c r="H5" s="15"/>
      <c r="I5" s="15" t="s">
        <v>528</v>
      </c>
      <c r="J5" s="15" t="s">
        <v>15991</v>
      </c>
    </row>
    <row r="6" spans="2:10">
      <c r="B6" s="15" t="s">
        <v>20567</v>
      </c>
      <c r="C6" s="15" t="s">
        <v>16493</v>
      </c>
      <c r="D6" s="15" t="s">
        <v>513</v>
      </c>
      <c r="E6" s="15" t="s">
        <v>305</v>
      </c>
      <c r="F6" s="15" t="s">
        <v>9968</v>
      </c>
      <c r="G6" s="15"/>
      <c r="H6" s="15"/>
      <c r="I6" s="15" t="s">
        <v>528</v>
      </c>
      <c r="J6" s="15" t="s">
        <v>15991</v>
      </c>
    </row>
    <row r="7" spans="2:10">
      <c r="B7" s="15" t="s">
        <v>20567</v>
      </c>
      <c r="C7" s="15" t="s">
        <v>16009</v>
      </c>
      <c r="D7" s="15" t="s">
        <v>316</v>
      </c>
      <c r="E7" s="15" t="s">
        <v>305</v>
      </c>
      <c r="F7" s="15" t="s">
        <v>16010</v>
      </c>
      <c r="G7" s="15"/>
      <c r="H7" s="15"/>
      <c r="I7" s="15" t="s">
        <v>528</v>
      </c>
      <c r="J7" s="15" t="s">
        <v>15991</v>
      </c>
    </row>
    <row r="8" spans="2:10">
      <c r="B8" s="15" t="s">
        <v>20567</v>
      </c>
      <c r="C8" s="15" t="s">
        <v>16011</v>
      </c>
      <c r="D8" s="15" t="s">
        <v>316</v>
      </c>
      <c r="E8" s="15" t="s">
        <v>305</v>
      </c>
      <c r="F8" s="15" t="s">
        <v>20219</v>
      </c>
      <c r="G8" s="15"/>
      <c r="H8" s="15"/>
      <c r="I8" s="15" t="s">
        <v>528</v>
      </c>
      <c r="J8" s="15" t="s">
        <v>15991</v>
      </c>
    </row>
    <row r="9" spans="2:10">
      <c r="B9" s="15" t="s">
        <v>20567</v>
      </c>
      <c r="C9" s="15" t="s">
        <v>16013</v>
      </c>
      <c r="D9" s="15" t="s">
        <v>17036</v>
      </c>
      <c r="E9" s="15" t="s">
        <v>305</v>
      </c>
      <c r="F9" s="15" t="s">
        <v>16014</v>
      </c>
      <c r="G9" s="15"/>
      <c r="H9" s="15"/>
      <c r="I9" s="15" t="s">
        <v>528</v>
      </c>
      <c r="J9" s="15" t="s">
        <v>15991</v>
      </c>
    </row>
    <row r="10" spans="2:10">
      <c r="B10" s="15" t="s">
        <v>20567</v>
      </c>
      <c r="C10" s="15" t="s">
        <v>16015</v>
      </c>
      <c r="D10" s="15" t="s">
        <v>316</v>
      </c>
      <c r="E10" s="15" t="s">
        <v>305</v>
      </c>
      <c r="F10" s="15" t="s">
        <v>16016</v>
      </c>
      <c r="G10" s="15"/>
      <c r="H10" s="15"/>
      <c r="I10" s="15" t="s">
        <v>528</v>
      </c>
      <c r="J10" s="15" t="s">
        <v>15991</v>
      </c>
    </row>
    <row r="11" spans="2:10">
      <c r="B11" s="15" t="s">
        <v>20567</v>
      </c>
      <c r="C11" s="15" t="s">
        <v>16017</v>
      </c>
      <c r="D11" s="15" t="s">
        <v>316</v>
      </c>
      <c r="E11" s="15" t="s">
        <v>305</v>
      </c>
      <c r="F11" s="15" t="s">
        <v>20220</v>
      </c>
      <c r="G11" s="15"/>
      <c r="H11" s="15"/>
      <c r="I11" s="15" t="s">
        <v>528</v>
      </c>
      <c r="J11" s="15" t="s">
        <v>15991</v>
      </c>
    </row>
    <row r="12" spans="2:10">
      <c r="B12" s="15" t="s">
        <v>20567</v>
      </c>
      <c r="C12" s="15" t="s">
        <v>16019</v>
      </c>
      <c r="D12" s="15" t="s">
        <v>17036</v>
      </c>
      <c r="E12" s="15" t="s">
        <v>305</v>
      </c>
      <c r="F12" s="15" t="s">
        <v>16020</v>
      </c>
      <c r="G12" s="15"/>
      <c r="H12" s="15"/>
      <c r="I12" s="15" t="s">
        <v>528</v>
      </c>
      <c r="J12" s="15" t="s">
        <v>15991</v>
      </c>
    </row>
  </sheetData>
  <pageMargins left="0.75" right="0.75" top="1" bottom="1" header="0.5" footer="0.5"/>
  <pageSetup paperSize="1" orientation="portrait" horizontalDpi="300" verticalDpi="300"/>
  <headerFooter alignWithMargins="0" scaleWithDoc="0"/>
</worksheet>
</file>

<file path=xl/worksheets/sheet18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8"/>
  <sheetViews>
    <sheetView zoomScaleSheetLayoutView="60" workbookViewId="0">
      <selection activeCell="A1" sqref="A1"/>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52" t="str">
        <f>HYPERLINK("#表结构清单!A1","返回")</f>
        <v>返回</v>
      </c>
      <c r="B1" t="s">
        <v>45</v>
      </c>
    </row>
    <row r="2" spans="2:10">
      <c r="B2" s="13" t="s">
        <v>15982</v>
      </c>
      <c r="C2" s="13" t="s">
        <v>297</v>
      </c>
      <c r="D2" s="13" t="s">
        <v>11870</v>
      </c>
      <c r="E2" s="13" t="s">
        <v>15983</v>
      </c>
      <c r="F2" s="13" t="s">
        <v>15984</v>
      </c>
      <c r="G2" s="13" t="s">
        <v>300</v>
      </c>
      <c r="H2" s="13" t="s">
        <v>301</v>
      </c>
      <c r="I2" s="13" t="s">
        <v>15985</v>
      </c>
      <c r="J2" s="13" t="s">
        <v>15986</v>
      </c>
    </row>
    <row r="3" spans="2:10">
      <c r="B3" s="15" t="s">
        <v>20570</v>
      </c>
      <c r="C3" s="15" t="s">
        <v>16579</v>
      </c>
      <c r="D3" s="15" t="s">
        <v>316</v>
      </c>
      <c r="E3" s="15" t="s">
        <v>15989</v>
      </c>
      <c r="F3" s="15" t="s">
        <v>16638</v>
      </c>
      <c r="G3" s="15"/>
      <c r="H3" s="15"/>
      <c r="I3" s="15" t="s">
        <v>528</v>
      </c>
      <c r="J3" s="15" t="s">
        <v>15991</v>
      </c>
    </row>
    <row r="4" spans="2:10">
      <c r="B4" s="15" t="s">
        <v>20570</v>
      </c>
      <c r="C4" s="15" t="s">
        <v>16668</v>
      </c>
      <c r="D4" s="15" t="s">
        <v>316</v>
      </c>
      <c r="E4" s="15" t="s">
        <v>15989</v>
      </c>
      <c r="F4" s="15" t="s">
        <v>20571</v>
      </c>
      <c r="G4" s="15"/>
      <c r="H4" s="15"/>
      <c r="I4" s="15" t="s">
        <v>528</v>
      </c>
      <c r="J4" s="15" t="s">
        <v>15991</v>
      </c>
    </row>
    <row r="5" spans="2:10">
      <c r="B5" s="15" t="s">
        <v>20570</v>
      </c>
      <c r="C5" s="15" t="s">
        <v>20572</v>
      </c>
      <c r="D5" s="15" t="s">
        <v>316</v>
      </c>
      <c r="E5" s="15" t="s">
        <v>15989</v>
      </c>
      <c r="F5" s="15" t="s">
        <v>20573</v>
      </c>
      <c r="G5" s="15"/>
      <c r="H5" s="15"/>
      <c r="I5" s="15" t="s">
        <v>528</v>
      </c>
      <c r="J5" s="15" t="s">
        <v>15991</v>
      </c>
    </row>
    <row r="6" spans="2:10">
      <c r="B6" s="15" t="s">
        <v>20570</v>
      </c>
      <c r="C6" s="15" t="s">
        <v>16781</v>
      </c>
      <c r="D6" s="15" t="s">
        <v>316</v>
      </c>
      <c r="E6" s="15" t="s">
        <v>15989</v>
      </c>
      <c r="F6" s="15" t="s">
        <v>20119</v>
      </c>
      <c r="G6" s="15"/>
      <c r="H6" s="15"/>
      <c r="I6" s="15" t="s">
        <v>528</v>
      </c>
      <c r="J6" s="15" t="s">
        <v>15991</v>
      </c>
    </row>
    <row r="7" spans="2:10">
      <c r="B7" s="15" t="s">
        <v>20570</v>
      </c>
      <c r="C7" s="15" t="s">
        <v>16782</v>
      </c>
      <c r="D7" s="15" t="s">
        <v>316</v>
      </c>
      <c r="E7" s="15" t="s">
        <v>305</v>
      </c>
      <c r="F7" s="15" t="s">
        <v>20574</v>
      </c>
      <c r="G7" s="15"/>
      <c r="H7" s="15"/>
      <c r="I7" s="15" t="s">
        <v>528</v>
      </c>
      <c r="J7" s="15" t="s">
        <v>15991</v>
      </c>
    </row>
    <row r="8" spans="2:10">
      <c r="B8" s="15" t="s">
        <v>20570</v>
      </c>
      <c r="C8" s="15" t="s">
        <v>20474</v>
      </c>
      <c r="D8" s="15" t="s">
        <v>367</v>
      </c>
      <c r="E8" s="15" t="s">
        <v>305</v>
      </c>
      <c r="F8" s="15" t="s">
        <v>20575</v>
      </c>
      <c r="G8" s="15"/>
      <c r="H8" s="15"/>
      <c r="I8" s="15" t="s">
        <v>528</v>
      </c>
      <c r="J8" s="15" t="s">
        <v>15991</v>
      </c>
    </row>
    <row r="9" spans="2:10">
      <c r="B9" s="15" t="s">
        <v>20570</v>
      </c>
      <c r="C9" s="15" t="s">
        <v>16126</v>
      </c>
      <c r="D9" s="15" t="s">
        <v>321</v>
      </c>
      <c r="E9" s="15" t="s">
        <v>305</v>
      </c>
      <c r="F9" s="15" t="s">
        <v>905</v>
      </c>
      <c r="G9" s="15"/>
      <c r="H9" s="15"/>
      <c r="I9" s="15" t="s">
        <v>528</v>
      </c>
      <c r="J9" s="15" t="s">
        <v>15991</v>
      </c>
    </row>
    <row r="10" spans="2:10">
      <c r="B10" s="15" t="s">
        <v>20570</v>
      </c>
      <c r="C10" s="15" t="s">
        <v>16237</v>
      </c>
      <c r="D10" s="15" t="s">
        <v>316</v>
      </c>
      <c r="E10" s="15" t="s">
        <v>305</v>
      </c>
      <c r="F10" s="15" t="s">
        <v>16274</v>
      </c>
      <c r="G10" s="15"/>
      <c r="H10" s="15"/>
      <c r="I10" s="15" t="s">
        <v>528</v>
      </c>
      <c r="J10" s="15" t="s">
        <v>15991</v>
      </c>
    </row>
    <row r="11" spans="2:10">
      <c r="B11" s="15" t="s">
        <v>20570</v>
      </c>
      <c r="C11" s="15" t="s">
        <v>16239</v>
      </c>
      <c r="D11" s="15" t="s">
        <v>316</v>
      </c>
      <c r="E11" s="15" t="s">
        <v>305</v>
      </c>
      <c r="F11" s="15" t="s">
        <v>16236</v>
      </c>
      <c r="G11" s="15"/>
      <c r="H11" s="15"/>
      <c r="I11" s="15" t="s">
        <v>528</v>
      </c>
      <c r="J11" s="15" t="s">
        <v>15991</v>
      </c>
    </row>
    <row r="12" spans="2:10">
      <c r="B12" s="15" t="s">
        <v>20570</v>
      </c>
      <c r="C12" s="15" t="s">
        <v>16086</v>
      </c>
      <c r="D12" s="15" t="s">
        <v>327</v>
      </c>
      <c r="E12" s="15" t="s">
        <v>305</v>
      </c>
      <c r="F12" s="15" t="s">
        <v>301</v>
      </c>
      <c r="G12" s="15"/>
      <c r="H12" s="15"/>
      <c r="I12" s="15" t="s">
        <v>528</v>
      </c>
      <c r="J12" s="15" t="s">
        <v>15991</v>
      </c>
    </row>
    <row r="13" spans="2:10">
      <c r="B13" s="15" t="s">
        <v>20570</v>
      </c>
      <c r="C13" s="15" t="s">
        <v>16009</v>
      </c>
      <c r="D13" s="15" t="s">
        <v>316</v>
      </c>
      <c r="E13" s="15" t="s">
        <v>305</v>
      </c>
      <c r="F13" s="15" t="s">
        <v>16010</v>
      </c>
      <c r="G13" s="15"/>
      <c r="H13" s="15"/>
      <c r="I13" s="15" t="s">
        <v>528</v>
      </c>
      <c r="J13" s="15" t="s">
        <v>15991</v>
      </c>
    </row>
    <row r="14" spans="2:10">
      <c r="B14" s="15" t="s">
        <v>20570</v>
      </c>
      <c r="C14" s="15" t="s">
        <v>16011</v>
      </c>
      <c r="D14" s="15" t="s">
        <v>316</v>
      </c>
      <c r="E14" s="15" t="s">
        <v>305</v>
      </c>
      <c r="F14" s="15" t="s">
        <v>16012</v>
      </c>
      <c r="G14" s="15"/>
      <c r="H14" s="15"/>
      <c r="I14" s="15" t="s">
        <v>528</v>
      </c>
      <c r="J14" s="15" t="s">
        <v>15991</v>
      </c>
    </row>
    <row r="15" spans="2:10">
      <c r="B15" s="15" t="s">
        <v>20570</v>
      </c>
      <c r="C15" s="15" t="s">
        <v>16013</v>
      </c>
      <c r="D15" s="15" t="s">
        <v>371</v>
      </c>
      <c r="E15" s="15" t="s">
        <v>305</v>
      </c>
      <c r="F15" s="15" t="s">
        <v>16014</v>
      </c>
      <c r="G15" s="15"/>
      <c r="H15" s="15"/>
      <c r="I15" s="15" t="s">
        <v>528</v>
      </c>
      <c r="J15" s="15" t="s">
        <v>15991</v>
      </c>
    </row>
    <row r="16" spans="2:10">
      <c r="B16" s="15" t="s">
        <v>20570</v>
      </c>
      <c r="C16" s="15" t="s">
        <v>16015</v>
      </c>
      <c r="D16" s="15" t="s">
        <v>316</v>
      </c>
      <c r="E16" s="15" t="s">
        <v>305</v>
      </c>
      <c r="F16" s="15" t="s">
        <v>16016</v>
      </c>
      <c r="G16" s="15"/>
      <c r="H16" s="15"/>
      <c r="I16" s="15" t="s">
        <v>528</v>
      </c>
      <c r="J16" s="15" t="s">
        <v>15991</v>
      </c>
    </row>
    <row r="17" spans="2:10">
      <c r="B17" s="15" t="s">
        <v>20570</v>
      </c>
      <c r="C17" s="15" t="s">
        <v>16017</v>
      </c>
      <c r="D17" s="15" t="s">
        <v>316</v>
      </c>
      <c r="E17" s="15" t="s">
        <v>305</v>
      </c>
      <c r="F17" s="15" t="s">
        <v>16018</v>
      </c>
      <c r="G17" s="15"/>
      <c r="H17" s="15"/>
      <c r="I17" s="15" t="s">
        <v>528</v>
      </c>
      <c r="J17" s="15" t="s">
        <v>15991</v>
      </c>
    </row>
    <row r="18" spans="2:10">
      <c r="B18" s="15" t="s">
        <v>20570</v>
      </c>
      <c r="C18" s="15" t="s">
        <v>16019</v>
      </c>
      <c r="D18" s="15" t="s">
        <v>371</v>
      </c>
      <c r="E18" s="15" t="s">
        <v>305</v>
      </c>
      <c r="F18" s="15" t="s">
        <v>16020</v>
      </c>
      <c r="G18" s="15"/>
      <c r="H18" s="15"/>
      <c r="I18" s="15" t="s">
        <v>528</v>
      </c>
      <c r="J18" s="15" t="s">
        <v>15991</v>
      </c>
    </row>
  </sheetData>
  <pageMargins left="0.75" right="0.75" top="1" bottom="1" header="0.5" footer="0.5"/>
  <pageSetup paperSize="1" orientation="portrait" horizontalDpi="300" verticalDpi="300"/>
  <headerFooter alignWithMargins="0" scaleWithDoc="0"/>
</worksheet>
</file>

<file path=xl/worksheets/sheet1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5"/>
  <sheetViews>
    <sheetView zoomScaleSheetLayoutView="60" workbookViewId="0">
      <selection activeCell="J25" sqref="A1:J25"/>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1" t="str">
        <f>HYPERLINK("#表结构清单!A1","返回")</f>
        <v>返回</v>
      </c>
      <c r="B1" t="s">
        <v>20576</v>
      </c>
    </row>
    <row r="2" spans="2:10">
      <c r="B2" s="13" t="s">
        <v>15982</v>
      </c>
      <c r="C2" s="13" t="s">
        <v>297</v>
      </c>
      <c r="D2" s="13" t="s">
        <v>11870</v>
      </c>
      <c r="E2" s="13" t="s">
        <v>15983</v>
      </c>
      <c r="F2" s="13" t="s">
        <v>15984</v>
      </c>
      <c r="G2" s="13" t="s">
        <v>300</v>
      </c>
      <c r="H2" s="13" t="s">
        <v>301</v>
      </c>
      <c r="I2" s="13" t="s">
        <v>15985</v>
      </c>
      <c r="J2" s="13" t="s">
        <v>15986</v>
      </c>
    </row>
    <row r="3" spans="2:10">
      <c r="B3" s="15" t="s">
        <v>20577</v>
      </c>
      <c r="C3" s="15" t="s">
        <v>16579</v>
      </c>
      <c r="D3" s="15" t="s">
        <v>316</v>
      </c>
      <c r="E3" s="15" t="s">
        <v>15989</v>
      </c>
      <c r="F3" s="15" t="s">
        <v>16638</v>
      </c>
      <c r="G3" s="15"/>
      <c r="H3" s="15"/>
      <c r="I3" s="15" t="s">
        <v>528</v>
      </c>
      <c r="J3" s="15" t="s">
        <v>15991</v>
      </c>
    </row>
    <row r="4" spans="2:10">
      <c r="B4" s="15" t="s">
        <v>20577</v>
      </c>
      <c r="C4" s="15" t="s">
        <v>16671</v>
      </c>
      <c r="D4" s="15" t="s">
        <v>316</v>
      </c>
      <c r="E4" s="15" t="s">
        <v>15989</v>
      </c>
      <c r="F4" s="15" t="s">
        <v>16672</v>
      </c>
      <c r="G4" s="15"/>
      <c r="H4" s="15"/>
      <c r="I4" s="15" t="s">
        <v>528</v>
      </c>
      <c r="J4" s="15" t="s">
        <v>15991</v>
      </c>
    </row>
    <row r="5" spans="2:10">
      <c r="B5" s="15" t="s">
        <v>20577</v>
      </c>
      <c r="C5" s="15" t="s">
        <v>20572</v>
      </c>
      <c r="D5" s="15" t="s">
        <v>316</v>
      </c>
      <c r="E5" s="15" t="s">
        <v>15989</v>
      </c>
      <c r="F5" s="15" t="s">
        <v>20573</v>
      </c>
      <c r="G5" s="15"/>
      <c r="H5" s="15"/>
      <c r="I5" s="15" t="s">
        <v>528</v>
      </c>
      <c r="J5" s="15" t="s">
        <v>15991</v>
      </c>
    </row>
    <row r="6" spans="2:10">
      <c r="B6" s="15" t="s">
        <v>20577</v>
      </c>
      <c r="C6" s="15" t="s">
        <v>16781</v>
      </c>
      <c r="D6" s="15" t="s">
        <v>316</v>
      </c>
      <c r="E6" s="15" t="s">
        <v>15989</v>
      </c>
      <c r="F6" s="15" t="s">
        <v>20578</v>
      </c>
      <c r="G6" s="15"/>
      <c r="H6" s="15"/>
      <c r="I6" s="15" t="s">
        <v>528</v>
      </c>
      <c r="J6" s="15" t="s">
        <v>15991</v>
      </c>
    </row>
    <row r="7" spans="2:10">
      <c r="B7" s="15" t="s">
        <v>20577</v>
      </c>
      <c r="C7" s="15" t="s">
        <v>16782</v>
      </c>
      <c r="D7" s="15" t="s">
        <v>316</v>
      </c>
      <c r="E7" s="15" t="s">
        <v>305</v>
      </c>
      <c r="F7" s="15" t="s">
        <v>20579</v>
      </c>
      <c r="G7" s="15"/>
      <c r="H7" s="15"/>
      <c r="I7" s="15" t="s">
        <v>528</v>
      </c>
      <c r="J7" s="15" t="s">
        <v>15991</v>
      </c>
    </row>
    <row r="8" spans="2:10">
      <c r="B8" s="15" t="s">
        <v>20577</v>
      </c>
      <c r="C8" s="15" t="s">
        <v>20474</v>
      </c>
      <c r="D8" s="15" t="s">
        <v>506</v>
      </c>
      <c r="E8" s="15" t="s">
        <v>305</v>
      </c>
      <c r="F8" s="15" t="s">
        <v>20575</v>
      </c>
      <c r="G8" s="15"/>
      <c r="H8" s="15"/>
      <c r="I8" s="15" t="s">
        <v>528</v>
      </c>
      <c r="J8" s="15" t="s">
        <v>15991</v>
      </c>
    </row>
    <row r="9" spans="2:10">
      <c r="B9" s="15" t="s">
        <v>20577</v>
      </c>
      <c r="C9" s="15" t="s">
        <v>16126</v>
      </c>
      <c r="D9" s="15" t="s">
        <v>506</v>
      </c>
      <c r="E9" s="15" t="s">
        <v>305</v>
      </c>
      <c r="F9" s="15" t="s">
        <v>905</v>
      </c>
      <c r="G9" s="15"/>
      <c r="H9" s="15"/>
      <c r="I9" s="15" t="s">
        <v>528</v>
      </c>
      <c r="J9" s="15" t="s">
        <v>15991</v>
      </c>
    </row>
    <row r="10" spans="2:10">
      <c r="B10" s="15" t="s">
        <v>20577</v>
      </c>
      <c r="C10" s="15" t="s">
        <v>16086</v>
      </c>
      <c r="D10" s="15" t="s">
        <v>327</v>
      </c>
      <c r="E10" s="15" t="s">
        <v>305</v>
      </c>
      <c r="F10" s="15" t="s">
        <v>301</v>
      </c>
      <c r="G10" s="15"/>
      <c r="H10" s="15"/>
      <c r="I10" s="15" t="s">
        <v>528</v>
      </c>
      <c r="J10" s="15" t="s">
        <v>15991</v>
      </c>
    </row>
    <row r="11" spans="2:10">
      <c r="B11" s="15" t="s">
        <v>20577</v>
      </c>
      <c r="C11" s="15" t="s">
        <v>16053</v>
      </c>
      <c r="D11" s="15" t="s">
        <v>316</v>
      </c>
      <c r="E11" s="15" t="s">
        <v>305</v>
      </c>
      <c r="F11" s="15" t="s">
        <v>16012</v>
      </c>
      <c r="G11" s="15"/>
      <c r="H11" s="15"/>
      <c r="I11" s="15" t="s">
        <v>528</v>
      </c>
      <c r="J11" s="15" t="s">
        <v>15991</v>
      </c>
    </row>
    <row r="12" spans="2:10">
      <c r="B12" s="15" t="s">
        <v>20577</v>
      </c>
      <c r="C12" s="15" t="s">
        <v>16241</v>
      </c>
      <c r="D12" s="15" t="s">
        <v>316</v>
      </c>
      <c r="E12" s="15" t="s">
        <v>305</v>
      </c>
      <c r="F12" s="15" t="s">
        <v>16010</v>
      </c>
      <c r="G12" s="15"/>
      <c r="H12" s="15"/>
      <c r="I12" s="15" t="s">
        <v>528</v>
      </c>
      <c r="J12" s="15" t="s">
        <v>15991</v>
      </c>
    </row>
    <row r="13" spans="2:10">
      <c r="B13" s="15" t="s">
        <v>20577</v>
      </c>
      <c r="C13" s="15" t="s">
        <v>16237</v>
      </c>
      <c r="D13" s="15" t="s">
        <v>316</v>
      </c>
      <c r="E13" s="15" t="s">
        <v>305</v>
      </c>
      <c r="F13" s="15" t="s">
        <v>16274</v>
      </c>
      <c r="G13" s="15"/>
      <c r="H13" s="15"/>
      <c r="I13" s="15" t="s">
        <v>528</v>
      </c>
      <c r="J13" s="15" t="s">
        <v>15991</v>
      </c>
    </row>
    <row r="14" spans="2:10">
      <c r="B14" s="15" t="s">
        <v>20577</v>
      </c>
      <c r="C14" s="15" t="s">
        <v>16243</v>
      </c>
      <c r="D14" s="15" t="s">
        <v>316</v>
      </c>
      <c r="E14" s="15" t="s">
        <v>305</v>
      </c>
      <c r="F14" s="15" t="s">
        <v>16018</v>
      </c>
      <c r="G14" s="15"/>
      <c r="H14" s="15"/>
      <c r="I14" s="15" t="s">
        <v>528</v>
      </c>
      <c r="J14" s="15" t="s">
        <v>15991</v>
      </c>
    </row>
    <row r="15" spans="2:10">
      <c r="B15" s="15" t="s">
        <v>20577</v>
      </c>
      <c r="C15" s="15" t="s">
        <v>16239</v>
      </c>
      <c r="D15" s="15" t="s">
        <v>316</v>
      </c>
      <c r="E15" s="15" t="s">
        <v>305</v>
      </c>
      <c r="F15" s="15" t="s">
        <v>16236</v>
      </c>
      <c r="G15" s="15"/>
      <c r="H15" s="15"/>
      <c r="I15" s="15" t="s">
        <v>528</v>
      </c>
      <c r="J15" s="15" t="s">
        <v>15991</v>
      </c>
    </row>
    <row r="16" spans="2:10">
      <c r="B16" s="15" t="s">
        <v>20577</v>
      </c>
      <c r="C16" s="15" t="s">
        <v>20580</v>
      </c>
      <c r="D16" s="15" t="s">
        <v>316</v>
      </c>
      <c r="E16" s="15" t="s">
        <v>305</v>
      </c>
      <c r="F16" s="15" t="s">
        <v>20581</v>
      </c>
      <c r="G16" s="15"/>
      <c r="H16" s="15"/>
      <c r="I16" s="15" t="s">
        <v>528</v>
      </c>
      <c r="J16" s="15" t="s">
        <v>15991</v>
      </c>
    </row>
    <row r="17" spans="2:10">
      <c r="B17" s="15" t="s">
        <v>20577</v>
      </c>
      <c r="C17" s="15" t="s">
        <v>16019</v>
      </c>
      <c r="D17" s="15" t="s">
        <v>371</v>
      </c>
      <c r="E17" s="15" t="s">
        <v>305</v>
      </c>
      <c r="F17" s="15" t="s">
        <v>16020</v>
      </c>
      <c r="G17" s="15"/>
      <c r="H17" s="15"/>
      <c r="I17" s="15" t="s">
        <v>528</v>
      </c>
      <c r="J17" s="15" t="s">
        <v>15991</v>
      </c>
    </row>
    <row r="18" spans="2:10">
      <c r="B18" s="15" t="s">
        <v>20577</v>
      </c>
      <c r="C18" s="15" t="s">
        <v>16013</v>
      </c>
      <c r="D18" s="15" t="s">
        <v>371</v>
      </c>
      <c r="E18" s="15" t="s">
        <v>305</v>
      </c>
      <c r="F18" s="15" t="s">
        <v>16014</v>
      </c>
      <c r="G18" s="15"/>
      <c r="H18" s="15"/>
      <c r="I18" s="15" t="s">
        <v>528</v>
      </c>
      <c r="J18" s="15" t="s">
        <v>15991</v>
      </c>
    </row>
    <row r="19" spans="2:10">
      <c r="B19" s="15" t="s">
        <v>20577</v>
      </c>
      <c r="C19" s="15" t="s">
        <v>16017</v>
      </c>
      <c r="D19" s="15" t="s">
        <v>316</v>
      </c>
      <c r="E19" s="15" t="s">
        <v>305</v>
      </c>
      <c r="F19" s="15" t="s">
        <v>20307</v>
      </c>
      <c r="G19" s="15"/>
      <c r="H19" s="15"/>
      <c r="I19" s="15" t="s">
        <v>528</v>
      </c>
      <c r="J19" s="15" t="s">
        <v>15991</v>
      </c>
    </row>
    <row r="20" spans="2:10">
      <c r="B20" s="15" t="s">
        <v>20577</v>
      </c>
      <c r="C20" s="15" t="s">
        <v>16015</v>
      </c>
      <c r="D20" s="15" t="s">
        <v>316</v>
      </c>
      <c r="E20" s="15" t="s">
        <v>305</v>
      </c>
      <c r="F20" s="15" t="s">
        <v>16016</v>
      </c>
      <c r="G20" s="15"/>
      <c r="H20" s="15"/>
      <c r="I20" s="15" t="s">
        <v>528</v>
      </c>
      <c r="J20" s="15" t="s">
        <v>15991</v>
      </c>
    </row>
    <row r="21" spans="2:10">
      <c r="B21" s="15" t="s">
        <v>20577</v>
      </c>
      <c r="C21" s="15" t="s">
        <v>16009</v>
      </c>
      <c r="D21" s="15" t="s">
        <v>316</v>
      </c>
      <c r="E21" s="15" t="s">
        <v>305</v>
      </c>
      <c r="F21" s="15" t="s">
        <v>20304</v>
      </c>
      <c r="G21" s="15"/>
      <c r="H21" s="15"/>
      <c r="I21" s="15" t="s">
        <v>528</v>
      </c>
      <c r="J21" s="15" t="s">
        <v>15991</v>
      </c>
    </row>
    <row r="22" spans="2:10">
      <c r="B22" s="15" t="s">
        <v>20577</v>
      </c>
      <c r="C22" s="15" t="s">
        <v>16011</v>
      </c>
      <c r="D22" s="15" t="s">
        <v>316</v>
      </c>
      <c r="E22" s="15" t="s">
        <v>305</v>
      </c>
      <c r="F22" s="15" t="s">
        <v>20305</v>
      </c>
      <c r="G22" s="15"/>
      <c r="H22" s="15"/>
      <c r="I22" s="15" t="s">
        <v>528</v>
      </c>
      <c r="J22" s="15" t="s">
        <v>15991</v>
      </c>
    </row>
    <row r="23" spans="2:10">
      <c r="B23" s="15" t="s">
        <v>20577</v>
      </c>
      <c r="C23" s="15" t="s">
        <v>20081</v>
      </c>
      <c r="D23" s="15" t="s">
        <v>371</v>
      </c>
      <c r="E23" s="15" t="s">
        <v>305</v>
      </c>
      <c r="F23" s="15" t="s">
        <v>19981</v>
      </c>
      <c r="G23" s="15"/>
      <c r="H23" s="15"/>
      <c r="I23" s="15" t="s">
        <v>528</v>
      </c>
      <c r="J23" s="15" t="s">
        <v>15991</v>
      </c>
    </row>
    <row r="24" spans="2:10">
      <c r="B24" s="15" t="s">
        <v>20577</v>
      </c>
      <c r="C24" s="15" t="s">
        <v>18279</v>
      </c>
      <c r="D24" s="15" t="s">
        <v>371</v>
      </c>
      <c r="E24" s="15" t="s">
        <v>305</v>
      </c>
      <c r="F24" s="15" t="s">
        <v>20582</v>
      </c>
      <c r="G24" s="15"/>
      <c r="H24" s="15"/>
      <c r="I24" s="15" t="s">
        <v>528</v>
      </c>
      <c r="J24" s="15" t="s">
        <v>15991</v>
      </c>
    </row>
    <row r="25" spans="2:10">
      <c r="B25" s="15" t="s">
        <v>20577</v>
      </c>
      <c r="C25" s="15" t="s">
        <v>20583</v>
      </c>
      <c r="D25" s="15" t="s">
        <v>316</v>
      </c>
      <c r="E25" s="15" t="s">
        <v>305</v>
      </c>
      <c r="F25" s="15" t="s">
        <v>20584</v>
      </c>
      <c r="G25" s="15"/>
      <c r="H25" s="15"/>
      <c r="I25" s="15" t="s">
        <v>528</v>
      </c>
      <c r="J25" s="15" t="s">
        <v>15991</v>
      </c>
    </row>
  </sheetData>
  <pageMargins left="0.75" right="0.75" top="1" bottom="1" header="0.5" footer="0.5"/>
  <pageSetup paperSize="1" orientation="portrait" horizontalDpi="300" verticalDpi="300"/>
  <headerFooter alignWithMargins="0" scaleWithDoc="0"/>
</worksheet>
</file>

<file path=xl/worksheets/sheet1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0"/>
  <sheetViews>
    <sheetView zoomScaleSheetLayoutView="60" workbookViewId="0">
      <selection activeCell="A1" sqref="A1"/>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52" t="str">
        <f>HYPERLINK("#表结构清单!A1","返回")</f>
        <v>返回</v>
      </c>
      <c r="B1" t="s">
        <v>46</v>
      </c>
    </row>
    <row r="2" spans="2:10">
      <c r="B2" s="13" t="s">
        <v>15982</v>
      </c>
      <c r="C2" s="13" t="s">
        <v>297</v>
      </c>
      <c r="D2" s="13" t="s">
        <v>11870</v>
      </c>
      <c r="E2" s="13" t="s">
        <v>15983</v>
      </c>
      <c r="F2" s="13" t="s">
        <v>15984</v>
      </c>
      <c r="G2" s="13" t="s">
        <v>300</v>
      </c>
      <c r="H2" s="13" t="s">
        <v>301</v>
      </c>
      <c r="I2" s="13" t="s">
        <v>15985</v>
      </c>
      <c r="J2" s="13" t="s">
        <v>15986</v>
      </c>
    </row>
    <row r="3" spans="2:10">
      <c r="B3" s="15" t="s">
        <v>20585</v>
      </c>
      <c r="C3" s="15" t="s">
        <v>15988</v>
      </c>
      <c r="D3" s="15" t="s">
        <v>316</v>
      </c>
      <c r="E3" s="15" t="s">
        <v>15989</v>
      </c>
      <c r="F3" s="15" t="s">
        <v>15990</v>
      </c>
      <c r="G3" s="15"/>
      <c r="H3" s="15"/>
      <c r="I3" s="15" t="s">
        <v>528</v>
      </c>
      <c r="J3" s="15" t="s">
        <v>15991</v>
      </c>
    </row>
    <row r="4" spans="2:10">
      <c r="B4" s="15" t="s">
        <v>20585</v>
      </c>
      <c r="C4" s="15" t="s">
        <v>20545</v>
      </c>
      <c r="D4" s="15" t="s">
        <v>506</v>
      </c>
      <c r="E4" s="15" t="s">
        <v>15989</v>
      </c>
      <c r="F4" s="15" t="s">
        <v>20586</v>
      </c>
      <c r="G4" s="15"/>
      <c r="H4" s="15"/>
      <c r="I4" s="15" t="s">
        <v>528</v>
      </c>
      <c r="J4" s="15" t="s">
        <v>15991</v>
      </c>
    </row>
    <row r="5" spans="2:10">
      <c r="B5" s="15" t="s">
        <v>20585</v>
      </c>
      <c r="C5" s="15" t="s">
        <v>16781</v>
      </c>
      <c r="D5" s="15" t="s">
        <v>316</v>
      </c>
      <c r="E5" s="15" t="s">
        <v>15989</v>
      </c>
      <c r="F5" s="15" t="s">
        <v>20119</v>
      </c>
      <c r="G5" s="15"/>
      <c r="H5" s="15"/>
      <c r="I5" s="15" t="s">
        <v>528</v>
      </c>
      <c r="J5" s="15" t="s">
        <v>15991</v>
      </c>
    </row>
    <row r="6" spans="2:10">
      <c r="B6" s="15" t="s">
        <v>20585</v>
      </c>
      <c r="C6" s="15" t="s">
        <v>16579</v>
      </c>
      <c r="D6" s="15" t="s">
        <v>316</v>
      </c>
      <c r="E6" s="15" t="s">
        <v>15989</v>
      </c>
      <c r="F6" s="15" t="s">
        <v>20034</v>
      </c>
      <c r="G6" s="15"/>
      <c r="H6" s="15"/>
      <c r="I6" s="15" t="s">
        <v>528</v>
      </c>
      <c r="J6" s="15" t="s">
        <v>15991</v>
      </c>
    </row>
    <row r="7" spans="2:10">
      <c r="B7" s="15" t="s">
        <v>20585</v>
      </c>
      <c r="C7" s="15" t="s">
        <v>19876</v>
      </c>
      <c r="D7" s="15" t="s">
        <v>506</v>
      </c>
      <c r="E7" s="15" t="s">
        <v>305</v>
      </c>
      <c r="F7" s="15" t="s">
        <v>20587</v>
      </c>
      <c r="G7" s="15"/>
      <c r="H7" s="15"/>
      <c r="I7" s="15" t="s">
        <v>528</v>
      </c>
      <c r="J7" s="15" t="s">
        <v>15991</v>
      </c>
    </row>
    <row r="8" spans="2:10">
      <c r="B8" s="15" t="s">
        <v>20585</v>
      </c>
      <c r="C8" s="15" t="s">
        <v>20588</v>
      </c>
      <c r="D8" s="15" t="s">
        <v>367</v>
      </c>
      <c r="E8" s="15" t="s">
        <v>15989</v>
      </c>
      <c r="F8" s="15" t="s">
        <v>20589</v>
      </c>
      <c r="G8" s="15"/>
      <c r="H8" s="15"/>
      <c r="I8" s="15" t="s">
        <v>528</v>
      </c>
      <c r="J8" s="15" t="s">
        <v>15991</v>
      </c>
    </row>
    <row r="9" spans="2:10">
      <c r="B9" s="15" t="s">
        <v>20585</v>
      </c>
      <c r="C9" s="15" t="s">
        <v>16782</v>
      </c>
      <c r="D9" s="15" t="s">
        <v>316</v>
      </c>
      <c r="E9" s="15" t="s">
        <v>305</v>
      </c>
      <c r="F9" s="15" t="s">
        <v>16783</v>
      </c>
      <c r="G9" s="15"/>
      <c r="H9" s="15"/>
      <c r="I9" s="15" t="s">
        <v>528</v>
      </c>
      <c r="J9" s="15" t="s">
        <v>15991</v>
      </c>
    </row>
    <row r="10" spans="2:10">
      <c r="B10" s="15" t="s">
        <v>20585</v>
      </c>
      <c r="C10" s="15" t="s">
        <v>20590</v>
      </c>
      <c r="D10" s="15" t="s">
        <v>350</v>
      </c>
      <c r="E10" s="15" t="s">
        <v>305</v>
      </c>
      <c r="F10" s="15" t="s">
        <v>16558</v>
      </c>
      <c r="G10" s="15"/>
      <c r="H10" s="15"/>
      <c r="I10" s="15" t="s">
        <v>528</v>
      </c>
      <c r="J10" s="15" t="s">
        <v>15991</v>
      </c>
    </row>
  </sheetData>
  <pageMargins left="0.75" right="0.75" top="1" bottom="1" header="0.5" footer="0.5"/>
  <pageSetup paperSize="1" orientation="portrait" horizontalDpi="300" verticalDpi="300"/>
  <headerFooter alignWithMargins="0" scaleWithDoc="0"/>
</worksheet>
</file>

<file path=xl/worksheets/sheet1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8"/>
  <sheetViews>
    <sheetView zoomScaleSheetLayoutView="60" workbookViewId="0">
      <selection activeCell="D3" sqref="D3:D19"/>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52" t="str">
        <f>HYPERLINK("#表结构清单!A1","返回")</f>
        <v>返回</v>
      </c>
      <c r="B1" t="s">
        <v>87</v>
      </c>
    </row>
    <row r="2" spans="2:10">
      <c r="B2" s="13" t="s">
        <v>15982</v>
      </c>
      <c r="C2" s="13" t="s">
        <v>297</v>
      </c>
      <c r="D2" s="13" t="s">
        <v>11870</v>
      </c>
      <c r="E2" s="13" t="s">
        <v>15983</v>
      </c>
      <c r="F2" s="13" t="s">
        <v>15984</v>
      </c>
      <c r="G2" s="13" t="s">
        <v>300</v>
      </c>
      <c r="H2" s="13" t="s">
        <v>301</v>
      </c>
      <c r="I2" s="13" t="s">
        <v>15985</v>
      </c>
      <c r="J2" s="13" t="s">
        <v>15986</v>
      </c>
    </row>
    <row r="3" spans="2:10">
      <c r="B3" s="15" t="s">
        <v>20591</v>
      </c>
      <c r="C3" s="15" t="s">
        <v>15988</v>
      </c>
      <c r="D3" s="15" t="s">
        <v>316</v>
      </c>
      <c r="E3" s="15" t="s">
        <v>15989</v>
      </c>
      <c r="F3" s="15" t="s">
        <v>15990</v>
      </c>
      <c r="G3" s="15"/>
      <c r="H3" s="15"/>
      <c r="I3" s="15" t="s">
        <v>528</v>
      </c>
      <c r="J3" s="15" t="s">
        <v>15991</v>
      </c>
    </row>
    <row r="4" spans="2:10">
      <c r="B4" s="15" t="s">
        <v>20591</v>
      </c>
      <c r="C4" s="15" t="s">
        <v>16579</v>
      </c>
      <c r="D4" s="15" t="s">
        <v>316</v>
      </c>
      <c r="E4" s="15" t="s">
        <v>15989</v>
      </c>
      <c r="F4" s="15" t="s">
        <v>20034</v>
      </c>
      <c r="G4" s="15"/>
      <c r="H4" s="15"/>
      <c r="I4" s="15" t="s">
        <v>528</v>
      </c>
      <c r="J4" s="15" t="s">
        <v>15991</v>
      </c>
    </row>
    <row r="5" spans="2:10">
      <c r="B5" s="15" t="s">
        <v>20591</v>
      </c>
      <c r="C5" s="15" t="s">
        <v>20592</v>
      </c>
      <c r="D5" s="15" t="s">
        <v>316</v>
      </c>
      <c r="E5" s="15" t="s">
        <v>15989</v>
      </c>
      <c r="F5" s="15" t="s">
        <v>20593</v>
      </c>
      <c r="G5" s="15"/>
      <c r="H5" s="15"/>
      <c r="I5" s="15" t="s">
        <v>528</v>
      </c>
      <c r="J5" s="15" t="s">
        <v>15991</v>
      </c>
    </row>
    <row r="6" spans="2:10">
      <c r="B6" s="15" t="s">
        <v>20591</v>
      </c>
      <c r="C6" s="15" t="s">
        <v>20594</v>
      </c>
      <c r="D6" s="15" t="s">
        <v>506</v>
      </c>
      <c r="E6" s="15" t="s">
        <v>15989</v>
      </c>
      <c r="F6" s="15" t="s">
        <v>20595</v>
      </c>
      <c r="G6" s="15"/>
      <c r="H6" s="15"/>
      <c r="I6" s="15" t="s">
        <v>528</v>
      </c>
      <c r="J6" s="15" t="s">
        <v>15991</v>
      </c>
    </row>
    <row r="7" spans="2:10">
      <c r="B7" s="15" t="s">
        <v>20591</v>
      </c>
      <c r="C7" s="15" t="s">
        <v>16306</v>
      </c>
      <c r="D7" s="15" t="s">
        <v>16087</v>
      </c>
      <c r="E7" s="15" t="s">
        <v>305</v>
      </c>
      <c r="F7" s="15" t="s">
        <v>20596</v>
      </c>
      <c r="G7" s="15"/>
      <c r="H7" s="15"/>
      <c r="I7" s="15" t="s">
        <v>528</v>
      </c>
      <c r="J7" s="15" t="s">
        <v>15991</v>
      </c>
    </row>
    <row r="8" spans="2:10">
      <c r="B8" s="15" t="s">
        <v>20591</v>
      </c>
      <c r="C8" s="15" t="s">
        <v>20597</v>
      </c>
      <c r="D8" s="15" t="s">
        <v>321</v>
      </c>
      <c r="E8" s="15" t="s">
        <v>305</v>
      </c>
      <c r="F8" s="15" t="s">
        <v>20598</v>
      </c>
      <c r="G8" s="15"/>
      <c r="H8" s="15"/>
      <c r="I8" s="15" t="s">
        <v>528</v>
      </c>
      <c r="J8" s="15" t="s">
        <v>15991</v>
      </c>
    </row>
    <row r="9" spans="2:10">
      <c r="B9" s="15" t="s">
        <v>20591</v>
      </c>
      <c r="C9" s="15" t="s">
        <v>20599</v>
      </c>
      <c r="D9" s="15" t="s">
        <v>321</v>
      </c>
      <c r="E9" s="15" t="s">
        <v>305</v>
      </c>
      <c r="F9" s="15" t="s">
        <v>20600</v>
      </c>
      <c r="G9" s="15"/>
      <c r="H9" s="15"/>
      <c r="I9" s="15" t="s">
        <v>528</v>
      </c>
      <c r="J9" s="15" t="s">
        <v>15991</v>
      </c>
    </row>
    <row r="10" spans="2:10">
      <c r="B10" s="15" t="s">
        <v>20591</v>
      </c>
      <c r="C10" s="15" t="s">
        <v>16086</v>
      </c>
      <c r="D10" s="15" t="s">
        <v>327</v>
      </c>
      <c r="E10" s="15" t="s">
        <v>305</v>
      </c>
      <c r="F10" s="15" t="s">
        <v>301</v>
      </c>
      <c r="G10" s="15"/>
      <c r="H10" s="15"/>
      <c r="I10" s="15" t="s">
        <v>528</v>
      </c>
      <c r="J10" s="15" t="s">
        <v>15991</v>
      </c>
    </row>
    <row r="11" spans="2:10">
      <c r="B11" s="15" t="s">
        <v>20591</v>
      </c>
      <c r="C11" s="15" t="s">
        <v>16237</v>
      </c>
      <c r="D11" s="15" t="s">
        <v>316</v>
      </c>
      <c r="E11" s="15" t="s">
        <v>305</v>
      </c>
      <c r="F11" s="15" t="s">
        <v>16274</v>
      </c>
      <c r="G11" s="15"/>
      <c r="H11" s="15"/>
      <c r="I11" s="15" t="s">
        <v>528</v>
      </c>
      <c r="J11" s="15" t="s">
        <v>15991</v>
      </c>
    </row>
    <row r="12" spans="2:10">
      <c r="B12" s="15" t="s">
        <v>20591</v>
      </c>
      <c r="C12" s="15" t="s">
        <v>16239</v>
      </c>
      <c r="D12" s="15" t="s">
        <v>316</v>
      </c>
      <c r="E12" s="15" t="s">
        <v>305</v>
      </c>
      <c r="F12" s="15" t="s">
        <v>16236</v>
      </c>
      <c r="G12" s="15"/>
      <c r="H12" s="15"/>
      <c r="I12" s="15" t="s">
        <v>528</v>
      </c>
      <c r="J12" s="15" t="s">
        <v>15991</v>
      </c>
    </row>
    <row r="13" spans="2:10">
      <c r="B13" s="15" t="s">
        <v>20591</v>
      </c>
      <c r="C13" s="15" t="s">
        <v>16009</v>
      </c>
      <c r="D13" s="15" t="s">
        <v>316</v>
      </c>
      <c r="E13" s="15" t="s">
        <v>305</v>
      </c>
      <c r="F13" s="15" t="s">
        <v>16010</v>
      </c>
      <c r="G13" s="15"/>
      <c r="H13" s="15"/>
      <c r="I13" s="15" t="s">
        <v>528</v>
      </c>
      <c r="J13" s="15" t="s">
        <v>15991</v>
      </c>
    </row>
    <row r="14" spans="2:10">
      <c r="B14" s="15" t="s">
        <v>20591</v>
      </c>
      <c r="C14" s="15" t="s">
        <v>16011</v>
      </c>
      <c r="D14" s="15" t="s">
        <v>316</v>
      </c>
      <c r="E14" s="15" t="s">
        <v>305</v>
      </c>
      <c r="F14" s="15" t="s">
        <v>16012</v>
      </c>
      <c r="G14" s="15"/>
      <c r="H14" s="15"/>
      <c r="I14" s="15" t="s">
        <v>528</v>
      </c>
      <c r="J14" s="15" t="s">
        <v>15991</v>
      </c>
    </row>
    <row r="15" spans="2:10">
      <c r="B15" s="15" t="s">
        <v>20591</v>
      </c>
      <c r="C15" s="15" t="s">
        <v>16013</v>
      </c>
      <c r="D15" s="15" t="s">
        <v>371</v>
      </c>
      <c r="E15" s="15" t="s">
        <v>305</v>
      </c>
      <c r="F15" s="15" t="s">
        <v>16014</v>
      </c>
      <c r="G15" s="15"/>
      <c r="H15" s="15"/>
      <c r="I15" s="15" t="s">
        <v>528</v>
      </c>
      <c r="J15" s="15" t="s">
        <v>15991</v>
      </c>
    </row>
    <row r="16" spans="2:10">
      <c r="B16" s="15" t="s">
        <v>20591</v>
      </c>
      <c r="C16" s="15" t="s">
        <v>16015</v>
      </c>
      <c r="D16" s="15" t="s">
        <v>316</v>
      </c>
      <c r="E16" s="15" t="s">
        <v>305</v>
      </c>
      <c r="F16" s="15" t="s">
        <v>16016</v>
      </c>
      <c r="G16" s="15"/>
      <c r="H16" s="15"/>
      <c r="I16" s="15" t="s">
        <v>528</v>
      </c>
      <c r="J16" s="15" t="s">
        <v>15991</v>
      </c>
    </row>
    <row r="17" spans="2:10">
      <c r="B17" s="15" t="s">
        <v>20591</v>
      </c>
      <c r="C17" s="15" t="s">
        <v>16017</v>
      </c>
      <c r="D17" s="15" t="s">
        <v>316</v>
      </c>
      <c r="E17" s="15" t="s">
        <v>305</v>
      </c>
      <c r="F17" s="15" t="s">
        <v>16018</v>
      </c>
      <c r="G17" s="15"/>
      <c r="H17" s="15"/>
      <c r="I17" s="15" t="s">
        <v>528</v>
      </c>
      <c r="J17" s="15" t="s">
        <v>15991</v>
      </c>
    </row>
    <row r="18" spans="2:10">
      <c r="B18" s="15" t="s">
        <v>20591</v>
      </c>
      <c r="C18" s="15" t="s">
        <v>16019</v>
      </c>
      <c r="D18" s="15" t="s">
        <v>371</v>
      </c>
      <c r="E18" s="15" t="s">
        <v>305</v>
      </c>
      <c r="F18" s="15" t="s">
        <v>16020</v>
      </c>
      <c r="G18" s="15"/>
      <c r="H18" s="15"/>
      <c r="I18" s="15" t="s">
        <v>528</v>
      </c>
      <c r="J18" s="15" t="s">
        <v>15991</v>
      </c>
    </row>
  </sheetData>
  <pageMargins left="0.75" right="0.75" top="1" bottom="1" header="0.5" footer="0.5"/>
  <pageSetup paperSize="1" orientation="portrait" horizontalDpi="300" verticalDpi="300"/>
  <headerFooter alignWithMargins="0" scaleWithDoc="0"/>
</worksheet>
</file>

<file path=xl/worksheets/sheet18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9"/>
  <sheetViews>
    <sheetView zoomScaleSheetLayoutView="60" workbookViewId="0">
      <selection activeCell="F19" sqref="F19"/>
    </sheetView>
  </sheetViews>
  <sheetFormatPr defaultColWidth="9.14285714285714" defaultRowHeight="15.2"/>
  <cols>
    <col min="2" max="2" width="19.5357142857143" customWidth="1"/>
    <col min="3" max="4" width="15.625" customWidth="1"/>
    <col min="5" max="5" width="7.79464285714286" customWidth="1"/>
    <col min="6" max="6" width="39.0625" customWidth="1"/>
    <col min="7" max="7" width="15.625" customWidth="1"/>
    <col min="10" max="10" width="11.6875" customWidth="1"/>
  </cols>
  <sheetData>
    <row r="1" spans="1:2">
      <c r="A1" s="52" t="str">
        <f>HYPERLINK("#表结构清单!A1","返回")</f>
        <v>返回</v>
      </c>
      <c r="B1" t="s">
        <v>20601</v>
      </c>
    </row>
    <row r="2" spans="2:10">
      <c r="B2" s="13" t="s">
        <v>15982</v>
      </c>
      <c r="C2" s="13" t="s">
        <v>297</v>
      </c>
      <c r="D2" s="13" t="s">
        <v>11870</v>
      </c>
      <c r="E2" s="13" t="s">
        <v>15983</v>
      </c>
      <c r="F2" s="13" t="s">
        <v>15984</v>
      </c>
      <c r="G2" s="13" t="s">
        <v>300</v>
      </c>
      <c r="H2" s="13" t="s">
        <v>301</v>
      </c>
      <c r="I2" s="13" t="s">
        <v>15985</v>
      </c>
      <c r="J2" s="13" t="s">
        <v>15986</v>
      </c>
    </row>
    <row r="3" spans="2:10">
      <c r="B3" s="15" t="s">
        <v>20602</v>
      </c>
      <c r="C3" s="15" t="s">
        <v>20603</v>
      </c>
      <c r="D3" s="15" t="s">
        <v>506</v>
      </c>
      <c r="E3" s="15" t="s">
        <v>15989</v>
      </c>
      <c r="F3" s="53" t="s">
        <v>16428</v>
      </c>
      <c r="G3" s="15"/>
      <c r="H3" s="15"/>
      <c r="I3" s="15" t="s">
        <v>528</v>
      </c>
      <c r="J3" s="15" t="s">
        <v>15991</v>
      </c>
    </row>
    <row r="4" spans="2:10">
      <c r="B4" s="15" t="s">
        <v>20602</v>
      </c>
      <c r="C4" s="15" t="s">
        <v>20604</v>
      </c>
      <c r="D4" s="15" t="s">
        <v>506</v>
      </c>
      <c r="E4" s="15" t="s">
        <v>305</v>
      </c>
      <c r="F4" s="53" t="s">
        <v>20605</v>
      </c>
      <c r="G4" s="15"/>
      <c r="H4" s="15"/>
      <c r="I4" s="15" t="s">
        <v>528</v>
      </c>
      <c r="J4" s="15" t="s">
        <v>15991</v>
      </c>
    </row>
    <row r="5" spans="2:10">
      <c r="B5" s="15" t="s">
        <v>20602</v>
      </c>
      <c r="C5" s="15" t="s">
        <v>20606</v>
      </c>
      <c r="D5" s="15" t="s">
        <v>506</v>
      </c>
      <c r="E5" s="15" t="s">
        <v>305</v>
      </c>
      <c r="F5" s="53" t="s">
        <v>19711</v>
      </c>
      <c r="G5" s="15"/>
      <c r="H5" s="15"/>
      <c r="I5" s="15" t="s">
        <v>528</v>
      </c>
      <c r="J5" s="15" t="s">
        <v>15991</v>
      </c>
    </row>
    <row r="6" spans="2:10">
      <c r="B6" s="15" t="s">
        <v>20602</v>
      </c>
      <c r="C6" s="15" t="s">
        <v>20607</v>
      </c>
      <c r="D6" s="15" t="s">
        <v>506</v>
      </c>
      <c r="E6" s="15" t="s">
        <v>305</v>
      </c>
      <c r="F6" s="53" t="s">
        <v>19886</v>
      </c>
      <c r="G6" s="15"/>
      <c r="H6" s="15"/>
      <c r="I6" s="15" t="s">
        <v>528</v>
      </c>
      <c r="J6" s="15" t="s">
        <v>15991</v>
      </c>
    </row>
    <row r="7" spans="2:10">
      <c r="B7" s="15" t="s">
        <v>20602</v>
      </c>
      <c r="C7" s="15" t="s">
        <v>20608</v>
      </c>
      <c r="D7" s="15" t="s">
        <v>506</v>
      </c>
      <c r="E7" s="15" t="s">
        <v>305</v>
      </c>
      <c r="F7" s="53" t="s">
        <v>19912</v>
      </c>
      <c r="G7" s="15"/>
      <c r="H7" s="15"/>
      <c r="I7" s="15" t="s">
        <v>528</v>
      </c>
      <c r="J7" s="15" t="s">
        <v>15991</v>
      </c>
    </row>
    <row r="8" spans="2:10">
      <c r="B8" s="15" t="s">
        <v>20602</v>
      </c>
      <c r="C8" s="15" t="s">
        <v>20609</v>
      </c>
      <c r="D8" s="15" t="s">
        <v>506</v>
      </c>
      <c r="E8" s="15" t="s">
        <v>305</v>
      </c>
      <c r="F8" s="53" t="s">
        <v>20610</v>
      </c>
      <c r="G8" s="15"/>
      <c r="H8" s="15"/>
      <c r="I8" s="15" t="s">
        <v>528</v>
      </c>
      <c r="J8" s="15" t="s">
        <v>15991</v>
      </c>
    </row>
    <row r="9" spans="2:10">
      <c r="B9" s="15" t="s">
        <v>20602</v>
      </c>
      <c r="C9" s="15" t="s">
        <v>904</v>
      </c>
      <c r="D9" s="15" t="s">
        <v>16056</v>
      </c>
      <c r="E9" s="15" t="s">
        <v>305</v>
      </c>
      <c r="F9" s="15" t="s">
        <v>905</v>
      </c>
      <c r="G9" s="15"/>
      <c r="H9" s="15"/>
      <c r="I9" s="15" t="s">
        <v>528</v>
      </c>
      <c r="J9" s="15" t="s">
        <v>15991</v>
      </c>
    </row>
    <row r="10" spans="2:10">
      <c r="B10" s="15" t="s">
        <v>20602</v>
      </c>
      <c r="C10" s="15" t="s">
        <v>20525</v>
      </c>
      <c r="D10" s="15" t="s">
        <v>371</v>
      </c>
      <c r="E10" s="15" t="s">
        <v>305</v>
      </c>
      <c r="F10" s="53" t="s">
        <v>20119</v>
      </c>
      <c r="G10" s="15"/>
      <c r="H10" s="15"/>
      <c r="I10" s="15" t="s">
        <v>528</v>
      </c>
      <c r="J10" s="15" t="s">
        <v>15991</v>
      </c>
    </row>
    <row r="11" spans="2:10">
      <c r="B11" s="15" t="s">
        <v>20602</v>
      </c>
      <c r="C11" s="15" t="s">
        <v>20611</v>
      </c>
      <c r="D11" s="15" t="s">
        <v>371</v>
      </c>
      <c r="E11" s="15" t="s">
        <v>305</v>
      </c>
      <c r="F11" s="53" t="s">
        <v>20612</v>
      </c>
      <c r="G11" s="15"/>
      <c r="H11" s="15"/>
      <c r="I11" s="15" t="s">
        <v>528</v>
      </c>
      <c r="J11" s="15" t="s">
        <v>15991</v>
      </c>
    </row>
    <row r="12" spans="2:10">
      <c r="B12" s="15" t="s">
        <v>20602</v>
      </c>
      <c r="C12" s="15" t="s">
        <v>20535</v>
      </c>
      <c r="D12" s="15" t="s">
        <v>371</v>
      </c>
      <c r="E12" s="15" t="s">
        <v>305</v>
      </c>
      <c r="F12" s="53" t="s">
        <v>16783</v>
      </c>
      <c r="G12" s="15"/>
      <c r="H12" s="15"/>
      <c r="I12" s="15" t="s">
        <v>528</v>
      </c>
      <c r="J12" s="15" t="s">
        <v>15991</v>
      </c>
    </row>
    <row r="13" spans="2:10">
      <c r="B13" s="15" t="s">
        <v>20602</v>
      </c>
      <c r="C13" s="15" t="s">
        <v>20613</v>
      </c>
      <c r="D13" s="15" t="s">
        <v>19748</v>
      </c>
      <c r="E13" s="15" t="s">
        <v>305</v>
      </c>
      <c r="F13" s="53" t="s">
        <v>20614</v>
      </c>
      <c r="G13" s="15"/>
      <c r="H13" s="15"/>
      <c r="I13" s="15" t="s">
        <v>528</v>
      </c>
      <c r="J13" s="15" t="s">
        <v>15991</v>
      </c>
    </row>
    <row r="14" spans="2:10">
      <c r="B14" s="15" t="s">
        <v>20602</v>
      </c>
      <c r="C14" s="15" t="s">
        <v>20615</v>
      </c>
      <c r="D14" s="15" t="s">
        <v>506</v>
      </c>
      <c r="E14" s="15" t="s">
        <v>305</v>
      </c>
      <c r="F14" s="53" t="s">
        <v>20616</v>
      </c>
      <c r="G14" s="15"/>
      <c r="H14" s="15"/>
      <c r="I14" s="15" t="s">
        <v>528</v>
      </c>
      <c r="J14" s="15" t="s">
        <v>15991</v>
      </c>
    </row>
    <row r="15" spans="2:10">
      <c r="B15" s="15" t="s">
        <v>20602</v>
      </c>
      <c r="C15" s="15" t="s">
        <v>20617</v>
      </c>
      <c r="D15" s="15" t="s">
        <v>327</v>
      </c>
      <c r="E15" s="15" t="s">
        <v>305</v>
      </c>
      <c r="F15" s="53" t="s">
        <v>19713</v>
      </c>
      <c r="G15" s="15"/>
      <c r="H15" s="15"/>
      <c r="I15" s="15" t="s">
        <v>528</v>
      </c>
      <c r="J15" s="15" t="s">
        <v>15991</v>
      </c>
    </row>
    <row r="16" spans="2:10">
      <c r="B16" s="15" t="s">
        <v>20602</v>
      </c>
      <c r="C16" s="15" t="s">
        <v>20618</v>
      </c>
      <c r="D16" s="15" t="s">
        <v>367</v>
      </c>
      <c r="E16" s="15" t="s">
        <v>305</v>
      </c>
      <c r="F16" s="15" t="s">
        <v>20619</v>
      </c>
      <c r="G16" s="15"/>
      <c r="H16" s="15"/>
      <c r="I16" s="15" t="s">
        <v>528</v>
      </c>
      <c r="J16" s="15" t="s">
        <v>15991</v>
      </c>
    </row>
    <row r="17" spans="2:10">
      <c r="B17" s="15" t="s">
        <v>20602</v>
      </c>
      <c r="C17" s="15" t="s">
        <v>20620</v>
      </c>
      <c r="D17" s="15" t="s">
        <v>367</v>
      </c>
      <c r="E17" s="15" t="s">
        <v>305</v>
      </c>
      <c r="F17" s="53" t="s">
        <v>20621</v>
      </c>
      <c r="G17" s="15"/>
      <c r="H17" s="15"/>
      <c r="I17" s="15" t="s">
        <v>528</v>
      </c>
      <c r="J17" s="15" t="s">
        <v>15991</v>
      </c>
    </row>
    <row r="18" spans="2:10">
      <c r="B18" s="15" t="s">
        <v>20602</v>
      </c>
      <c r="C18" s="15" t="s">
        <v>20012</v>
      </c>
      <c r="D18" s="15" t="s">
        <v>506</v>
      </c>
      <c r="E18" s="15" t="s">
        <v>305</v>
      </c>
      <c r="F18" s="53" t="s">
        <v>20622</v>
      </c>
      <c r="G18" s="15"/>
      <c r="H18" s="15"/>
      <c r="I18" s="15" t="s">
        <v>528</v>
      </c>
      <c r="J18" s="15" t="s">
        <v>15991</v>
      </c>
    </row>
    <row r="19" spans="2:10">
      <c r="B19" s="15" t="s">
        <v>20602</v>
      </c>
      <c r="C19" s="15" t="s">
        <v>20623</v>
      </c>
      <c r="D19" s="15" t="s">
        <v>506</v>
      </c>
      <c r="E19" s="15" t="s">
        <v>305</v>
      </c>
      <c r="F19" s="53" t="s">
        <v>20624</v>
      </c>
      <c r="G19" s="15"/>
      <c r="H19" s="15"/>
      <c r="I19" s="15" t="s">
        <v>528</v>
      </c>
      <c r="J19" s="15" t="s">
        <v>15991</v>
      </c>
    </row>
  </sheetData>
  <pageMargins left="0.75" right="0.75" top="1" bottom="1" header="0.5" footer="0.5"/>
  <pageSetup paperSize="1" orientation="portrait" horizontalDpi="300" verticalDpi="300"/>
  <headerFooter alignWithMargins="0" scaleWithDoc="0"/>
</worksheet>
</file>

<file path=xl/worksheets/sheet18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9"/>
  <sheetViews>
    <sheetView zoomScaleSheetLayoutView="60" workbookViewId="0">
      <selection activeCell="F18" sqref="F18"/>
    </sheetView>
  </sheetViews>
  <sheetFormatPr defaultColWidth="9.14285714285714" defaultRowHeight="15.2"/>
  <cols>
    <col min="2" max="2" width="19.5357142857143" customWidth="1"/>
    <col min="3" max="4" width="15.625" customWidth="1"/>
    <col min="5" max="5" width="7.79464285714286" customWidth="1"/>
    <col min="6" max="6" width="39.0625" customWidth="1"/>
    <col min="7" max="7" width="15.625" customWidth="1"/>
    <col min="10" max="10" width="11.6875" customWidth="1"/>
  </cols>
  <sheetData>
    <row r="1" spans="1:2">
      <c r="A1" s="51" t="str">
        <f>HYPERLINK("#表结构清单!A1","返回")</f>
        <v>返回</v>
      </c>
      <c r="B1" t="s">
        <v>94</v>
      </c>
    </row>
    <row r="2" spans="2:10">
      <c r="B2" s="13" t="s">
        <v>15982</v>
      </c>
      <c r="C2" s="13" t="s">
        <v>297</v>
      </c>
      <c r="D2" s="13" t="s">
        <v>11870</v>
      </c>
      <c r="E2" s="13" t="s">
        <v>15983</v>
      </c>
      <c r="F2" s="13" t="s">
        <v>15984</v>
      </c>
      <c r="G2" s="13" t="s">
        <v>300</v>
      </c>
      <c r="H2" s="13" t="s">
        <v>301</v>
      </c>
      <c r="I2" s="13" t="s">
        <v>15985</v>
      </c>
      <c r="J2" s="13" t="s">
        <v>15986</v>
      </c>
    </row>
    <row r="3" spans="2:10">
      <c r="B3" s="15" t="s">
        <v>20625</v>
      </c>
      <c r="C3" s="15" t="s">
        <v>20603</v>
      </c>
      <c r="D3" s="15" t="s">
        <v>506</v>
      </c>
      <c r="E3" s="15" t="s">
        <v>15989</v>
      </c>
      <c r="F3" s="53" t="s">
        <v>19886</v>
      </c>
      <c r="G3" s="15"/>
      <c r="H3" s="15"/>
      <c r="I3" s="15" t="s">
        <v>528</v>
      </c>
      <c r="J3" s="15" t="s">
        <v>15991</v>
      </c>
    </row>
    <row r="4" spans="2:10">
      <c r="B4" s="15" t="s">
        <v>20625</v>
      </c>
      <c r="C4" s="15" t="s">
        <v>20606</v>
      </c>
      <c r="D4" s="15" t="s">
        <v>506</v>
      </c>
      <c r="E4" s="15" t="s">
        <v>305</v>
      </c>
      <c r="F4" s="53" t="s">
        <v>19711</v>
      </c>
      <c r="G4" s="15"/>
      <c r="H4" s="15"/>
      <c r="I4" s="15" t="s">
        <v>528</v>
      </c>
      <c r="J4" s="15" t="s">
        <v>15991</v>
      </c>
    </row>
    <row r="5" spans="2:10">
      <c r="B5" s="15" t="s">
        <v>20625</v>
      </c>
      <c r="C5" s="15" t="s">
        <v>20608</v>
      </c>
      <c r="D5" s="15" t="s">
        <v>506</v>
      </c>
      <c r="E5" s="15" t="s">
        <v>305</v>
      </c>
      <c r="F5" s="53" t="s">
        <v>19912</v>
      </c>
      <c r="G5" s="15"/>
      <c r="H5" s="15"/>
      <c r="I5" s="15" t="s">
        <v>528</v>
      </c>
      <c r="J5" s="15" t="s">
        <v>15991</v>
      </c>
    </row>
    <row r="6" spans="2:10">
      <c r="B6" s="15" t="s">
        <v>20625</v>
      </c>
      <c r="C6" s="15" t="s">
        <v>20626</v>
      </c>
      <c r="D6" s="15" t="s">
        <v>16022</v>
      </c>
      <c r="E6" s="15" t="s">
        <v>305</v>
      </c>
      <c r="F6" s="53" t="s">
        <v>20627</v>
      </c>
      <c r="G6" s="15"/>
      <c r="H6" s="15"/>
      <c r="I6" s="15" t="s">
        <v>528</v>
      </c>
      <c r="J6" s="15" t="s">
        <v>15991</v>
      </c>
    </row>
    <row r="7" spans="2:10">
      <c r="B7" s="15" t="s">
        <v>20625</v>
      </c>
      <c r="C7" s="15" t="s">
        <v>20628</v>
      </c>
      <c r="D7" s="15" t="s">
        <v>506</v>
      </c>
      <c r="E7" s="15" t="s">
        <v>305</v>
      </c>
      <c r="F7" s="53" t="s">
        <v>20629</v>
      </c>
      <c r="G7" s="15"/>
      <c r="H7" s="15"/>
      <c r="I7" s="15" t="s">
        <v>528</v>
      </c>
      <c r="J7" s="15" t="s">
        <v>15991</v>
      </c>
    </row>
    <row r="8" spans="2:10">
      <c r="B8" s="15" t="s">
        <v>20625</v>
      </c>
      <c r="C8" s="15" t="s">
        <v>904</v>
      </c>
      <c r="D8" s="15" t="s">
        <v>16056</v>
      </c>
      <c r="E8" s="15" t="s">
        <v>305</v>
      </c>
      <c r="F8" s="53" t="s">
        <v>905</v>
      </c>
      <c r="G8" s="15"/>
      <c r="H8" s="15"/>
      <c r="I8" s="15" t="s">
        <v>528</v>
      </c>
      <c r="J8" s="15" t="s">
        <v>15991</v>
      </c>
    </row>
    <row r="9" spans="2:10">
      <c r="B9" s="15" t="s">
        <v>20625</v>
      </c>
      <c r="C9" s="15" t="s">
        <v>20630</v>
      </c>
      <c r="D9" s="15" t="s">
        <v>506</v>
      </c>
      <c r="E9" s="15" t="s">
        <v>305</v>
      </c>
      <c r="F9" s="53" t="s">
        <v>19699</v>
      </c>
      <c r="G9" s="15"/>
      <c r="H9" s="15"/>
      <c r="I9" s="15" t="s">
        <v>528</v>
      </c>
      <c r="J9" s="15" t="s">
        <v>15991</v>
      </c>
    </row>
    <row r="10" spans="2:10">
      <c r="B10" s="15" t="s">
        <v>20625</v>
      </c>
      <c r="C10" s="15" t="s">
        <v>20631</v>
      </c>
      <c r="D10" s="15" t="s">
        <v>371</v>
      </c>
      <c r="E10" s="15" t="s">
        <v>305</v>
      </c>
      <c r="F10" s="53" t="s">
        <v>16225</v>
      </c>
      <c r="G10" s="15"/>
      <c r="H10" s="15"/>
      <c r="I10" s="15" t="s">
        <v>528</v>
      </c>
      <c r="J10" s="15" t="s">
        <v>15991</v>
      </c>
    </row>
    <row r="11" spans="2:10">
      <c r="B11" s="15" t="s">
        <v>20625</v>
      </c>
      <c r="C11" s="15" t="s">
        <v>20632</v>
      </c>
      <c r="D11" s="15" t="s">
        <v>371</v>
      </c>
      <c r="E11" s="15" t="s">
        <v>305</v>
      </c>
      <c r="F11" s="53" t="s">
        <v>16783</v>
      </c>
      <c r="G11" s="15"/>
      <c r="H11" s="15"/>
      <c r="I11" s="15" t="s">
        <v>528</v>
      </c>
      <c r="J11" s="15" t="s">
        <v>15991</v>
      </c>
    </row>
    <row r="12" spans="2:10">
      <c r="B12" s="15" t="s">
        <v>20625</v>
      </c>
      <c r="C12" s="15" t="s">
        <v>20633</v>
      </c>
      <c r="D12" s="15" t="s">
        <v>19748</v>
      </c>
      <c r="E12" s="15" t="s">
        <v>305</v>
      </c>
      <c r="F12" s="53" t="s">
        <v>20634</v>
      </c>
      <c r="G12" s="15"/>
      <c r="H12" s="15"/>
      <c r="I12" s="15" t="s">
        <v>528</v>
      </c>
      <c r="J12" s="15" t="s">
        <v>15991</v>
      </c>
    </row>
    <row r="13" spans="2:10">
      <c r="B13" s="15" t="s">
        <v>20625</v>
      </c>
      <c r="C13" s="15" t="s">
        <v>20635</v>
      </c>
      <c r="D13" s="15" t="s">
        <v>506</v>
      </c>
      <c r="E13" s="15" t="s">
        <v>305</v>
      </c>
      <c r="F13" s="53" t="s">
        <v>20621</v>
      </c>
      <c r="G13" s="15"/>
      <c r="H13" s="15"/>
      <c r="I13" s="15" t="s">
        <v>528</v>
      </c>
      <c r="J13" s="15" t="s">
        <v>15991</v>
      </c>
    </row>
    <row r="14" spans="2:10">
      <c r="B14" s="15" t="s">
        <v>20625</v>
      </c>
      <c r="C14" s="15" t="s">
        <v>20636</v>
      </c>
      <c r="D14" s="15" t="s">
        <v>506</v>
      </c>
      <c r="E14" s="15" t="s">
        <v>305</v>
      </c>
      <c r="F14" s="53" t="s">
        <v>16526</v>
      </c>
      <c r="G14" s="15"/>
      <c r="H14" s="15"/>
      <c r="I14" s="15" t="s">
        <v>528</v>
      </c>
      <c r="J14" s="15" t="s">
        <v>15991</v>
      </c>
    </row>
    <row r="15" spans="2:10">
      <c r="B15" s="15" t="s">
        <v>20625</v>
      </c>
      <c r="C15" s="15" t="s">
        <v>20615</v>
      </c>
      <c r="D15" s="15" t="s">
        <v>506</v>
      </c>
      <c r="E15" s="15" t="s">
        <v>305</v>
      </c>
      <c r="F15" s="53" t="s">
        <v>20616</v>
      </c>
      <c r="G15" s="15"/>
      <c r="H15" s="15"/>
      <c r="I15" s="15" t="s">
        <v>528</v>
      </c>
      <c r="J15" s="15" t="s">
        <v>15991</v>
      </c>
    </row>
    <row r="16" spans="2:10">
      <c r="B16" s="15" t="s">
        <v>20625</v>
      </c>
      <c r="C16" s="15" t="s">
        <v>20617</v>
      </c>
      <c r="D16" s="15" t="s">
        <v>327</v>
      </c>
      <c r="E16" s="15" t="s">
        <v>305</v>
      </c>
      <c r="F16" s="54" t="s">
        <v>19713</v>
      </c>
      <c r="G16" s="15"/>
      <c r="H16" s="15"/>
      <c r="I16" s="15" t="s">
        <v>528</v>
      </c>
      <c r="J16" s="15" t="s">
        <v>15991</v>
      </c>
    </row>
    <row r="17" spans="2:10">
      <c r="B17" s="15" t="s">
        <v>20625</v>
      </c>
      <c r="C17" s="15" t="s">
        <v>20637</v>
      </c>
      <c r="D17" s="15" t="s">
        <v>367</v>
      </c>
      <c r="E17" s="15" t="s">
        <v>305</v>
      </c>
      <c r="F17" s="15" t="s">
        <v>6971</v>
      </c>
      <c r="G17" s="15"/>
      <c r="H17" s="15"/>
      <c r="I17" s="15" t="s">
        <v>528</v>
      </c>
      <c r="J17" s="15" t="s">
        <v>15991</v>
      </c>
    </row>
    <row r="18" spans="2:10">
      <c r="B18" s="15" t="s">
        <v>20625</v>
      </c>
      <c r="C18" s="15" t="s">
        <v>20618</v>
      </c>
      <c r="D18" s="15" t="s">
        <v>367</v>
      </c>
      <c r="E18" s="15" t="s">
        <v>305</v>
      </c>
      <c r="F18" s="53" t="s">
        <v>20638</v>
      </c>
      <c r="G18" s="15"/>
      <c r="H18" s="15"/>
      <c r="I18" s="15" t="s">
        <v>528</v>
      </c>
      <c r="J18" s="15" t="s">
        <v>15991</v>
      </c>
    </row>
    <row r="19" spans="2:10">
      <c r="B19" s="15" t="s">
        <v>20625</v>
      </c>
      <c r="C19" s="15" t="s">
        <v>19710</v>
      </c>
      <c r="D19" s="15" t="s">
        <v>506</v>
      </c>
      <c r="E19" s="15" t="s">
        <v>305</v>
      </c>
      <c r="F19" s="53" t="s">
        <v>19711</v>
      </c>
      <c r="G19" s="15"/>
      <c r="H19" s="15"/>
      <c r="I19" s="15" t="s">
        <v>528</v>
      </c>
      <c r="J19" s="15" t="s">
        <v>15991</v>
      </c>
    </row>
  </sheetData>
  <pageMargins left="0.75" right="0.75" top="1" bottom="1" header="0.5" footer="0.5"/>
  <pageSetup paperSize="1" orientation="portrait" horizontalDpi="300" verticalDpi="300"/>
  <headerFooter alignWithMargins="0" scaleWithDoc="0"/>
</worksheet>
</file>

<file path=xl/worksheets/sheet18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6"/>
  <sheetViews>
    <sheetView workbookViewId="0">
      <selection activeCell="E24" sqref="E24"/>
    </sheetView>
  </sheetViews>
  <sheetFormatPr defaultColWidth="9.14285714285714" defaultRowHeight="15.2"/>
  <cols>
    <col min="2" max="2" width="19.5357142857143" customWidth="1"/>
    <col min="3" max="4" width="15.625" customWidth="1"/>
    <col min="5" max="5" width="7.79464285714286" customWidth="1"/>
    <col min="6" max="6" width="39.0625" customWidth="1"/>
    <col min="7" max="7" width="15.625" customWidth="1"/>
    <col min="10" max="10" width="11.6875" customWidth="1"/>
  </cols>
  <sheetData>
    <row r="1" spans="1:2">
      <c r="A1" s="51" t="str">
        <f>HYPERLINK("#表结构清单!A1","返回")</f>
        <v>返回</v>
      </c>
      <c r="B1" s="54" t="s">
        <v>97</v>
      </c>
    </row>
    <row r="2" spans="2:10">
      <c r="B2" s="13" t="s">
        <v>15982</v>
      </c>
      <c r="C2" s="13" t="s">
        <v>297</v>
      </c>
      <c r="D2" s="13" t="s">
        <v>11870</v>
      </c>
      <c r="E2" s="13" t="s">
        <v>15983</v>
      </c>
      <c r="F2" s="13" t="s">
        <v>15984</v>
      </c>
      <c r="G2" s="13" t="s">
        <v>300</v>
      </c>
      <c r="H2" s="13" t="s">
        <v>301</v>
      </c>
      <c r="I2" s="13" t="s">
        <v>15985</v>
      </c>
      <c r="J2" s="13" t="s">
        <v>15986</v>
      </c>
    </row>
    <row r="3" spans="2:10">
      <c r="B3" s="15" t="s">
        <v>96</v>
      </c>
      <c r="C3" s="15" t="s">
        <v>20639</v>
      </c>
      <c r="D3" s="15" t="s">
        <v>316</v>
      </c>
      <c r="E3" s="15" t="s">
        <v>15989</v>
      </c>
      <c r="F3" s="15" t="s">
        <v>19908</v>
      </c>
      <c r="G3" s="15"/>
      <c r="H3" s="15"/>
      <c r="I3" s="15" t="s">
        <v>528</v>
      </c>
      <c r="J3" s="15" t="s">
        <v>15991</v>
      </c>
    </row>
    <row r="4" spans="2:10">
      <c r="B4" s="15" t="s">
        <v>96</v>
      </c>
      <c r="C4" s="15" t="s">
        <v>19909</v>
      </c>
      <c r="D4" s="15" t="s">
        <v>316</v>
      </c>
      <c r="E4" s="15" t="s">
        <v>15989</v>
      </c>
      <c r="F4" s="15" t="s">
        <v>19910</v>
      </c>
      <c r="G4" s="15"/>
      <c r="H4" s="15"/>
      <c r="I4" s="15" t="s">
        <v>528</v>
      </c>
      <c r="J4" s="15" t="s">
        <v>15991</v>
      </c>
    </row>
    <row r="5" spans="2:10">
      <c r="B5" s="15" t="s">
        <v>96</v>
      </c>
      <c r="C5" s="15" t="s">
        <v>16483</v>
      </c>
      <c r="D5" s="15" t="s">
        <v>316</v>
      </c>
      <c r="E5" s="15" t="s">
        <v>305</v>
      </c>
      <c r="F5" s="15" t="s">
        <v>19911</v>
      </c>
      <c r="G5" s="15"/>
      <c r="H5" s="15"/>
      <c r="I5" s="15" t="s">
        <v>528</v>
      </c>
      <c r="J5" s="15" t="s">
        <v>15991</v>
      </c>
    </row>
    <row r="6" spans="2:10">
      <c r="B6" s="15" t="s">
        <v>96</v>
      </c>
      <c r="C6" s="15" t="s">
        <v>16484</v>
      </c>
      <c r="D6" s="15" t="s">
        <v>316</v>
      </c>
      <c r="E6" s="15" t="s">
        <v>305</v>
      </c>
      <c r="F6" s="15" t="s">
        <v>19912</v>
      </c>
      <c r="G6" s="15"/>
      <c r="H6" s="15"/>
      <c r="I6" s="15" t="s">
        <v>528</v>
      </c>
      <c r="J6" s="15" t="s">
        <v>15991</v>
      </c>
    </row>
    <row r="7" spans="2:10">
      <c r="B7" s="15" t="s">
        <v>96</v>
      </c>
      <c r="C7" s="15" t="s">
        <v>19938</v>
      </c>
      <c r="D7" s="15" t="s">
        <v>16115</v>
      </c>
      <c r="E7" s="15" t="s">
        <v>305</v>
      </c>
      <c r="F7" s="15" t="s">
        <v>19939</v>
      </c>
      <c r="G7" s="15"/>
      <c r="H7" s="15"/>
      <c r="I7" s="15" t="s">
        <v>528</v>
      </c>
      <c r="J7" s="15" t="s">
        <v>15991</v>
      </c>
    </row>
    <row r="8" spans="2:10">
      <c r="B8" s="15" t="s">
        <v>96</v>
      </c>
      <c r="C8" s="15" t="s">
        <v>19940</v>
      </c>
      <c r="D8" s="15" t="s">
        <v>16115</v>
      </c>
      <c r="E8" s="15" t="s">
        <v>305</v>
      </c>
      <c r="F8" s="15" t="s">
        <v>19941</v>
      </c>
      <c r="G8" s="15"/>
      <c r="H8" s="15"/>
      <c r="I8" s="15" t="s">
        <v>528</v>
      </c>
      <c r="J8" s="15" t="s">
        <v>15991</v>
      </c>
    </row>
    <row r="9" spans="2:10">
      <c r="B9" s="15" t="s">
        <v>96</v>
      </c>
      <c r="C9" s="15" t="s">
        <v>19942</v>
      </c>
      <c r="D9" s="15" t="s">
        <v>16115</v>
      </c>
      <c r="E9" s="15" t="s">
        <v>305</v>
      </c>
      <c r="F9" s="15" t="s">
        <v>19943</v>
      </c>
      <c r="G9" s="15"/>
      <c r="H9" s="15"/>
      <c r="I9" s="15" t="s">
        <v>528</v>
      </c>
      <c r="J9" s="15" t="s">
        <v>15991</v>
      </c>
    </row>
    <row r="10" spans="2:10">
      <c r="B10" s="15" t="s">
        <v>96</v>
      </c>
      <c r="C10" s="15" t="s">
        <v>19944</v>
      </c>
      <c r="D10" s="15" t="s">
        <v>16115</v>
      </c>
      <c r="E10" s="15" t="s">
        <v>305</v>
      </c>
      <c r="F10" s="15" t="s">
        <v>19945</v>
      </c>
      <c r="G10" s="15"/>
      <c r="H10" s="15"/>
      <c r="I10" s="15" t="s">
        <v>528</v>
      </c>
      <c r="J10" s="15" t="s">
        <v>15991</v>
      </c>
    </row>
    <row r="11" spans="2:10">
      <c r="B11" s="15" t="s">
        <v>96</v>
      </c>
      <c r="C11" s="15" t="s">
        <v>16009</v>
      </c>
      <c r="D11" s="15" t="s">
        <v>316</v>
      </c>
      <c r="E11" s="15" t="s">
        <v>305</v>
      </c>
      <c r="F11" s="15" t="s">
        <v>16010</v>
      </c>
      <c r="G11" s="15"/>
      <c r="H11" s="15"/>
      <c r="I11" s="15" t="s">
        <v>528</v>
      </c>
      <c r="J11" s="15" t="s">
        <v>15991</v>
      </c>
    </row>
    <row r="12" spans="2:10">
      <c r="B12" s="15" t="s">
        <v>96</v>
      </c>
      <c r="C12" s="15" t="s">
        <v>16011</v>
      </c>
      <c r="D12" s="15" t="s">
        <v>316</v>
      </c>
      <c r="E12" s="15" t="s">
        <v>305</v>
      </c>
      <c r="F12" s="15" t="s">
        <v>16012</v>
      </c>
      <c r="G12" s="15"/>
      <c r="H12" s="15"/>
      <c r="I12" s="15" t="s">
        <v>528</v>
      </c>
      <c r="J12" s="15" t="s">
        <v>15991</v>
      </c>
    </row>
    <row r="13" spans="2:10">
      <c r="B13" s="15" t="s">
        <v>96</v>
      </c>
      <c r="C13" s="15" t="s">
        <v>16013</v>
      </c>
      <c r="D13" s="15" t="s">
        <v>371</v>
      </c>
      <c r="E13" s="15" t="s">
        <v>305</v>
      </c>
      <c r="F13" s="15" t="s">
        <v>16014</v>
      </c>
      <c r="G13" s="15"/>
      <c r="H13" s="15"/>
      <c r="I13" s="15" t="s">
        <v>528</v>
      </c>
      <c r="J13" s="15" t="s">
        <v>15991</v>
      </c>
    </row>
    <row r="14" spans="2:10">
      <c r="B14" s="15" t="s">
        <v>96</v>
      </c>
      <c r="C14" s="15" t="s">
        <v>16015</v>
      </c>
      <c r="D14" s="15" t="s">
        <v>316</v>
      </c>
      <c r="E14" s="15" t="s">
        <v>305</v>
      </c>
      <c r="F14" s="15" t="s">
        <v>16016</v>
      </c>
      <c r="G14" s="15"/>
      <c r="H14" s="15"/>
      <c r="I14" s="15" t="s">
        <v>528</v>
      </c>
      <c r="J14" s="15" t="s">
        <v>15991</v>
      </c>
    </row>
    <row r="15" spans="2:10">
      <c r="B15" s="15" t="s">
        <v>96</v>
      </c>
      <c r="C15" s="15" t="s">
        <v>16017</v>
      </c>
      <c r="D15" s="15" t="s">
        <v>316</v>
      </c>
      <c r="E15" s="15" t="s">
        <v>305</v>
      </c>
      <c r="F15" s="15" t="s">
        <v>16018</v>
      </c>
      <c r="G15" s="15"/>
      <c r="H15" s="15"/>
      <c r="I15" s="15" t="s">
        <v>528</v>
      </c>
      <c r="J15" s="15" t="s">
        <v>15991</v>
      </c>
    </row>
    <row r="16" spans="2:10">
      <c r="B16" s="15" t="s">
        <v>96</v>
      </c>
      <c r="C16" s="15" t="s">
        <v>16019</v>
      </c>
      <c r="D16" s="15" t="s">
        <v>371</v>
      </c>
      <c r="E16" s="15" t="s">
        <v>305</v>
      </c>
      <c r="F16" s="15" t="s">
        <v>16020</v>
      </c>
      <c r="G16" s="15"/>
      <c r="H16" s="15"/>
      <c r="I16" s="15" t="s">
        <v>528</v>
      </c>
      <c r="J16" s="15" t="s">
        <v>15991</v>
      </c>
    </row>
  </sheetData>
  <pageMargins left="0.75" right="0.75" top="1" bottom="1" header="0.5" footer="0.5"/>
  <headerFooter/>
</worksheet>
</file>

<file path=xl/worksheets/sheet18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0"/>
  <sheetViews>
    <sheetView zoomScaleSheetLayoutView="60" workbookViewId="0">
      <selection activeCell="F30" sqref="F30"/>
    </sheetView>
  </sheetViews>
  <sheetFormatPr defaultColWidth="9.14285714285714" defaultRowHeight="15.2"/>
  <cols>
    <col min="2" max="2" width="19.5357142857143" customWidth="1"/>
    <col min="3" max="4" width="15.625" customWidth="1"/>
    <col min="5" max="5" width="7.79464285714286" customWidth="1"/>
    <col min="6" max="6" width="39.0625" customWidth="1"/>
    <col min="7" max="7" width="15.625" customWidth="1"/>
    <col min="10" max="10" width="11.6875" customWidth="1"/>
  </cols>
  <sheetData>
    <row r="1" spans="1:2">
      <c r="A1" s="52" t="str">
        <f>HYPERLINK("#表结构清单!A1","返回")</f>
        <v>返回</v>
      </c>
      <c r="B1" t="s">
        <v>20640</v>
      </c>
    </row>
    <row r="2" spans="2:10">
      <c r="B2" s="13" t="s">
        <v>15982</v>
      </c>
      <c r="C2" s="13" t="s">
        <v>297</v>
      </c>
      <c r="D2" s="13" t="s">
        <v>11870</v>
      </c>
      <c r="E2" s="13" t="s">
        <v>15983</v>
      </c>
      <c r="F2" s="13" t="s">
        <v>15984</v>
      </c>
      <c r="G2" s="13" t="s">
        <v>300</v>
      </c>
      <c r="H2" s="13" t="s">
        <v>301</v>
      </c>
      <c r="I2" s="13" t="s">
        <v>15985</v>
      </c>
      <c r="J2" s="13" t="s">
        <v>15986</v>
      </c>
    </row>
    <row r="3" spans="2:10">
      <c r="B3" s="15" t="s">
        <v>20641</v>
      </c>
      <c r="C3" s="15" t="s">
        <v>20603</v>
      </c>
      <c r="D3" s="15" t="s">
        <v>506</v>
      </c>
      <c r="E3" s="15" t="s">
        <v>15989</v>
      </c>
      <c r="F3" s="53" t="s">
        <v>20642</v>
      </c>
      <c r="G3" s="15"/>
      <c r="H3" s="15"/>
      <c r="I3" s="15" t="s">
        <v>528</v>
      </c>
      <c r="J3" s="15" t="s">
        <v>15991</v>
      </c>
    </row>
    <row r="4" spans="2:10">
      <c r="B4" s="15" t="s">
        <v>20641</v>
      </c>
      <c r="C4" s="15" t="s">
        <v>20606</v>
      </c>
      <c r="D4" s="15" t="s">
        <v>506</v>
      </c>
      <c r="E4" s="15" t="s">
        <v>305</v>
      </c>
      <c r="F4" s="53" t="s">
        <v>19711</v>
      </c>
      <c r="G4" s="15"/>
      <c r="H4" s="15"/>
      <c r="I4" s="15" t="s">
        <v>528</v>
      </c>
      <c r="J4" s="15" t="s">
        <v>15991</v>
      </c>
    </row>
    <row r="5" spans="2:10">
      <c r="B5" s="15" t="s">
        <v>20641</v>
      </c>
      <c r="C5" s="15" t="s">
        <v>20607</v>
      </c>
      <c r="D5" s="15" t="s">
        <v>506</v>
      </c>
      <c r="E5" s="15" t="s">
        <v>305</v>
      </c>
      <c r="F5" s="53" t="s">
        <v>20642</v>
      </c>
      <c r="G5" s="15"/>
      <c r="H5" s="15"/>
      <c r="I5" s="15" t="s">
        <v>528</v>
      </c>
      <c r="J5" s="15" t="s">
        <v>15991</v>
      </c>
    </row>
    <row r="6" spans="2:10">
      <c r="B6" s="15" t="s">
        <v>20641</v>
      </c>
      <c r="C6" s="15" t="s">
        <v>20608</v>
      </c>
      <c r="D6" s="15" t="s">
        <v>506</v>
      </c>
      <c r="E6" s="15" t="s">
        <v>305</v>
      </c>
      <c r="F6" s="53" t="s">
        <v>19912</v>
      </c>
      <c r="G6" s="15"/>
      <c r="H6" s="15"/>
      <c r="I6" s="15" t="s">
        <v>528</v>
      </c>
      <c r="J6" s="15" t="s">
        <v>15991</v>
      </c>
    </row>
    <row r="7" spans="2:10">
      <c r="B7" s="15" t="s">
        <v>20641</v>
      </c>
      <c r="C7" s="15" t="s">
        <v>20604</v>
      </c>
      <c r="D7" s="15" t="s">
        <v>316</v>
      </c>
      <c r="E7" s="15" t="s">
        <v>305</v>
      </c>
      <c r="F7" s="53" t="s">
        <v>20643</v>
      </c>
      <c r="G7" s="15"/>
      <c r="H7" s="15"/>
      <c r="I7" s="15" t="s">
        <v>528</v>
      </c>
      <c r="J7" s="15" t="s">
        <v>15991</v>
      </c>
    </row>
    <row r="8" spans="2:10">
      <c r="B8" s="15" t="s">
        <v>20641</v>
      </c>
      <c r="C8" s="15" t="s">
        <v>20644</v>
      </c>
      <c r="D8" s="15" t="s">
        <v>506</v>
      </c>
      <c r="E8" s="15" t="s">
        <v>305</v>
      </c>
      <c r="F8" s="53" t="s">
        <v>20642</v>
      </c>
      <c r="G8" s="15"/>
      <c r="H8" s="15"/>
      <c r="I8" s="15" t="s">
        <v>528</v>
      </c>
      <c r="J8" s="15" t="s">
        <v>15991</v>
      </c>
    </row>
    <row r="9" spans="2:10">
      <c r="B9" s="15" t="s">
        <v>20641</v>
      </c>
      <c r="C9" s="15" t="s">
        <v>20645</v>
      </c>
      <c r="D9" s="15" t="s">
        <v>16056</v>
      </c>
      <c r="E9" s="15" t="s">
        <v>305</v>
      </c>
      <c r="F9" s="15" t="s">
        <v>20646</v>
      </c>
      <c r="G9" s="15"/>
      <c r="H9" s="15"/>
      <c r="I9" s="15" t="s">
        <v>528</v>
      </c>
      <c r="J9" s="15" t="s">
        <v>15991</v>
      </c>
    </row>
    <row r="10" spans="2:10">
      <c r="B10" s="15" t="s">
        <v>20641</v>
      </c>
      <c r="C10" s="15" t="s">
        <v>20527</v>
      </c>
      <c r="D10" s="15" t="s">
        <v>316</v>
      </c>
      <c r="E10" s="15" t="s">
        <v>305</v>
      </c>
      <c r="F10" s="53" t="s">
        <v>20647</v>
      </c>
      <c r="G10" s="15"/>
      <c r="H10" s="15"/>
      <c r="I10" s="15" t="s">
        <v>528</v>
      </c>
      <c r="J10" s="15" t="s">
        <v>15991</v>
      </c>
    </row>
    <row r="11" spans="2:10">
      <c r="B11" s="15" t="s">
        <v>20641</v>
      </c>
      <c r="C11" s="15" t="s">
        <v>904</v>
      </c>
      <c r="D11" s="15" t="s">
        <v>16056</v>
      </c>
      <c r="E11" s="15" t="s">
        <v>305</v>
      </c>
      <c r="F11" s="15" t="s">
        <v>905</v>
      </c>
      <c r="G11" s="15"/>
      <c r="H11" s="15"/>
      <c r="I11" s="15" t="s">
        <v>528</v>
      </c>
      <c r="J11" s="15" t="s">
        <v>15991</v>
      </c>
    </row>
    <row r="12" spans="2:10">
      <c r="B12" s="15" t="s">
        <v>20641</v>
      </c>
      <c r="C12" s="15" t="s">
        <v>20631</v>
      </c>
      <c r="D12" s="15" t="s">
        <v>371</v>
      </c>
      <c r="E12" s="15" t="s">
        <v>305</v>
      </c>
      <c r="F12" s="53" t="s">
        <v>16225</v>
      </c>
      <c r="G12" s="15"/>
      <c r="H12" s="15"/>
      <c r="I12" s="15" t="s">
        <v>528</v>
      </c>
      <c r="J12" s="15" t="s">
        <v>15991</v>
      </c>
    </row>
    <row r="13" spans="2:10">
      <c r="B13" s="15" t="s">
        <v>20641</v>
      </c>
      <c r="C13" s="15" t="s">
        <v>20525</v>
      </c>
      <c r="D13" s="15" t="s">
        <v>371</v>
      </c>
      <c r="E13" s="15" t="s">
        <v>305</v>
      </c>
      <c r="F13" s="53" t="s">
        <v>20119</v>
      </c>
      <c r="G13" s="15"/>
      <c r="H13" s="15"/>
      <c r="I13" s="15" t="s">
        <v>528</v>
      </c>
      <c r="J13" s="15" t="s">
        <v>15991</v>
      </c>
    </row>
    <row r="14" spans="2:10">
      <c r="B14" s="15" t="s">
        <v>20641</v>
      </c>
      <c r="C14" s="15" t="s">
        <v>20648</v>
      </c>
      <c r="D14" s="15" t="s">
        <v>316</v>
      </c>
      <c r="E14" s="15" t="s">
        <v>305</v>
      </c>
      <c r="F14" s="53" t="s">
        <v>20649</v>
      </c>
      <c r="G14" s="15"/>
      <c r="H14" s="15"/>
      <c r="I14" s="15" t="s">
        <v>528</v>
      </c>
      <c r="J14" s="15" t="s">
        <v>15991</v>
      </c>
    </row>
    <row r="15" spans="2:10">
      <c r="B15" s="15" t="s">
        <v>20641</v>
      </c>
      <c r="C15" s="15" t="s">
        <v>20650</v>
      </c>
      <c r="D15" s="15" t="s">
        <v>367</v>
      </c>
      <c r="E15" s="15" t="s">
        <v>305</v>
      </c>
      <c r="F15" s="15" t="s">
        <v>19699</v>
      </c>
      <c r="G15" s="15"/>
      <c r="H15" s="15"/>
      <c r="I15" s="15" t="s">
        <v>528</v>
      </c>
      <c r="J15" s="15" t="s">
        <v>15991</v>
      </c>
    </row>
    <row r="16" spans="2:10">
      <c r="B16" s="15" t="s">
        <v>20641</v>
      </c>
      <c r="C16" s="15" t="s">
        <v>20535</v>
      </c>
      <c r="D16" s="15" t="s">
        <v>371</v>
      </c>
      <c r="E16" s="15" t="s">
        <v>305</v>
      </c>
      <c r="F16" s="53" t="s">
        <v>16783</v>
      </c>
      <c r="G16" s="15"/>
      <c r="H16" s="15"/>
      <c r="I16" s="15" t="s">
        <v>528</v>
      </c>
      <c r="J16" s="15" t="s">
        <v>15991</v>
      </c>
    </row>
    <row r="17" spans="2:10">
      <c r="B17" s="15" t="s">
        <v>20641</v>
      </c>
      <c r="C17" s="15" t="s">
        <v>20651</v>
      </c>
      <c r="D17" s="15" t="s">
        <v>19748</v>
      </c>
      <c r="E17" s="15" t="s">
        <v>305</v>
      </c>
      <c r="F17" s="15" t="s">
        <v>20652</v>
      </c>
      <c r="G17" s="15"/>
      <c r="H17" s="15"/>
      <c r="I17" s="15" t="s">
        <v>528</v>
      </c>
      <c r="J17" s="15" t="s">
        <v>15991</v>
      </c>
    </row>
    <row r="18" spans="2:10">
      <c r="B18" s="15" t="s">
        <v>20641</v>
      </c>
      <c r="C18" s="15" t="s">
        <v>20653</v>
      </c>
      <c r="D18" s="15" t="s">
        <v>316</v>
      </c>
      <c r="E18" s="15" t="s">
        <v>305</v>
      </c>
      <c r="F18" s="53" t="s">
        <v>20654</v>
      </c>
      <c r="G18" s="15"/>
      <c r="H18" s="15"/>
      <c r="I18" s="15" t="s">
        <v>528</v>
      </c>
      <c r="J18" s="15" t="s">
        <v>15991</v>
      </c>
    </row>
    <row r="19" spans="2:10">
      <c r="B19" s="15" t="s">
        <v>20641</v>
      </c>
      <c r="C19" s="15" t="s">
        <v>20529</v>
      </c>
      <c r="D19" s="15" t="s">
        <v>316</v>
      </c>
      <c r="E19" s="15" t="s">
        <v>305</v>
      </c>
      <c r="F19" s="15" t="s">
        <v>20655</v>
      </c>
      <c r="G19" s="15"/>
      <c r="H19" s="15"/>
      <c r="I19" s="15" t="s">
        <v>528</v>
      </c>
      <c r="J19" s="15" t="s">
        <v>15991</v>
      </c>
    </row>
    <row r="20" spans="2:10">
      <c r="B20" s="15" t="s">
        <v>20641</v>
      </c>
      <c r="C20" s="15" t="s">
        <v>20656</v>
      </c>
      <c r="D20" s="15" t="s">
        <v>506</v>
      </c>
      <c r="E20" s="15" t="s">
        <v>305</v>
      </c>
      <c r="F20" s="53" t="s">
        <v>20657</v>
      </c>
      <c r="G20" s="15"/>
      <c r="H20" s="15"/>
      <c r="I20" s="15" t="s">
        <v>528</v>
      </c>
      <c r="J20" s="15" t="s">
        <v>15991</v>
      </c>
    </row>
    <row r="21" spans="2:10">
      <c r="B21" s="15" t="s">
        <v>20641</v>
      </c>
      <c r="C21" s="15" t="s">
        <v>20615</v>
      </c>
      <c r="D21" s="15" t="s">
        <v>506</v>
      </c>
      <c r="E21" s="15" t="s">
        <v>305</v>
      </c>
      <c r="F21" s="53" t="s">
        <v>19789</v>
      </c>
      <c r="G21" s="15"/>
      <c r="H21" s="15"/>
      <c r="I21" s="15" t="s">
        <v>528</v>
      </c>
      <c r="J21" s="15" t="s">
        <v>15991</v>
      </c>
    </row>
    <row r="22" spans="2:10">
      <c r="B22" s="15" t="s">
        <v>20641</v>
      </c>
      <c r="C22" s="15" t="s">
        <v>20658</v>
      </c>
      <c r="D22" s="15" t="s">
        <v>371</v>
      </c>
      <c r="E22" s="15" t="s">
        <v>305</v>
      </c>
      <c r="F22" s="53" t="s">
        <v>20659</v>
      </c>
      <c r="G22" s="15"/>
      <c r="H22" s="15"/>
      <c r="I22" s="15" t="s">
        <v>528</v>
      </c>
      <c r="J22" s="15" t="s">
        <v>15991</v>
      </c>
    </row>
    <row r="23" spans="2:10">
      <c r="B23" s="15" t="s">
        <v>20641</v>
      </c>
      <c r="C23" s="15" t="s">
        <v>20617</v>
      </c>
      <c r="D23" s="15" t="s">
        <v>327</v>
      </c>
      <c r="E23" s="15" t="s">
        <v>305</v>
      </c>
      <c r="F23" s="53" t="s">
        <v>19713</v>
      </c>
      <c r="G23" s="15"/>
      <c r="H23" s="15"/>
      <c r="I23" s="15" t="s">
        <v>528</v>
      </c>
      <c r="J23" s="15" t="s">
        <v>15991</v>
      </c>
    </row>
    <row r="24" spans="2:10">
      <c r="B24" s="15" t="s">
        <v>20641</v>
      </c>
      <c r="C24" s="15" t="s">
        <v>20618</v>
      </c>
      <c r="D24" s="15" t="s">
        <v>367</v>
      </c>
      <c r="E24" s="15" t="s">
        <v>305</v>
      </c>
      <c r="F24" s="15" t="s">
        <v>20619</v>
      </c>
      <c r="G24" s="15"/>
      <c r="H24" s="15"/>
      <c r="I24" s="15" t="s">
        <v>528</v>
      </c>
      <c r="J24" s="15" t="s">
        <v>15991</v>
      </c>
    </row>
    <row r="25" spans="2:10">
      <c r="B25" s="15" t="s">
        <v>20641</v>
      </c>
      <c r="C25" s="15" t="s">
        <v>20620</v>
      </c>
      <c r="D25" s="15" t="s">
        <v>367</v>
      </c>
      <c r="E25" s="15" t="s">
        <v>305</v>
      </c>
      <c r="F25" s="15" t="s">
        <v>20621</v>
      </c>
      <c r="G25" s="15"/>
      <c r="H25" s="15"/>
      <c r="I25" s="15" t="s">
        <v>528</v>
      </c>
      <c r="J25" s="15" t="s">
        <v>15991</v>
      </c>
    </row>
    <row r="26" spans="2:10">
      <c r="B26" s="15" t="s">
        <v>20641</v>
      </c>
      <c r="C26" s="15" t="s">
        <v>20637</v>
      </c>
      <c r="D26" s="15" t="s">
        <v>367</v>
      </c>
      <c r="E26" s="15" t="s">
        <v>305</v>
      </c>
      <c r="F26" s="53" t="s">
        <v>6971</v>
      </c>
      <c r="G26" s="15"/>
      <c r="H26" s="15"/>
      <c r="I26" s="15" t="s">
        <v>528</v>
      </c>
      <c r="J26" s="15" t="s">
        <v>15991</v>
      </c>
    </row>
    <row r="27" spans="2:10">
      <c r="B27" s="15" t="s">
        <v>20641</v>
      </c>
      <c r="C27" s="15" t="s">
        <v>20660</v>
      </c>
      <c r="D27" s="15" t="s">
        <v>506</v>
      </c>
      <c r="E27" s="15" t="s">
        <v>305</v>
      </c>
      <c r="F27" s="53" t="s">
        <v>20622</v>
      </c>
      <c r="G27" s="15"/>
      <c r="H27" s="15"/>
      <c r="I27" s="15" t="s">
        <v>528</v>
      </c>
      <c r="J27" s="15" t="s">
        <v>15991</v>
      </c>
    </row>
    <row r="28" spans="2:10">
      <c r="B28" s="15" t="s">
        <v>20641</v>
      </c>
      <c r="C28" s="15" t="s">
        <v>20661</v>
      </c>
      <c r="D28" s="15" t="s">
        <v>367</v>
      </c>
      <c r="E28" s="15" t="s">
        <v>305</v>
      </c>
      <c r="F28" s="15" t="s">
        <v>20587</v>
      </c>
      <c r="G28" s="15"/>
      <c r="H28" s="15"/>
      <c r="I28" s="15" t="s">
        <v>528</v>
      </c>
      <c r="J28" s="15" t="s">
        <v>15991</v>
      </c>
    </row>
    <row r="29" spans="2:10">
      <c r="B29" s="15" t="s">
        <v>20641</v>
      </c>
      <c r="C29" s="15" t="s">
        <v>20662</v>
      </c>
      <c r="D29" s="15" t="s">
        <v>367</v>
      </c>
      <c r="E29" s="15" t="s">
        <v>305</v>
      </c>
      <c r="F29" s="15" t="s">
        <v>19980</v>
      </c>
      <c r="G29" s="15"/>
      <c r="H29" s="15"/>
      <c r="I29" s="15" t="s">
        <v>528</v>
      </c>
      <c r="J29" s="15" t="s">
        <v>15991</v>
      </c>
    </row>
    <row r="30" spans="2:10">
      <c r="B30" s="15" t="s">
        <v>20641</v>
      </c>
      <c r="C30" s="15" t="s">
        <v>19710</v>
      </c>
      <c r="D30" s="15" t="s">
        <v>506</v>
      </c>
      <c r="E30" s="15" t="s">
        <v>305</v>
      </c>
      <c r="F30" s="53" t="s">
        <v>19976</v>
      </c>
      <c r="G30" s="15"/>
      <c r="H30" s="15"/>
      <c r="I30" s="15" t="s">
        <v>528</v>
      </c>
      <c r="J30" s="15" t="s">
        <v>15991</v>
      </c>
    </row>
  </sheetData>
  <pageMargins left="0.75" right="0.75" top="1" bottom="1" header="0.5" footer="0.5"/>
  <pageSetup paperSize="1" orientation="portrait" horizontalDpi="300" verticalDpi="300"/>
  <headerFooter alignWithMargins="0" scaleWithDoc="0"/>
</worksheet>
</file>

<file path=xl/worksheets/sheet18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9"/>
  <sheetViews>
    <sheetView zoomScaleSheetLayoutView="60" workbookViewId="0">
      <selection activeCell="F22" sqref="F22"/>
    </sheetView>
  </sheetViews>
  <sheetFormatPr defaultColWidth="9.14285714285714" defaultRowHeight="15.2"/>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52" t="str">
        <f>HYPERLINK("#表结构清单!A1","返回")</f>
        <v>返回</v>
      </c>
      <c r="B1" t="s">
        <v>89</v>
      </c>
    </row>
    <row r="2" spans="2:10">
      <c r="B2" s="13" t="s">
        <v>15982</v>
      </c>
      <c r="C2" s="13" t="s">
        <v>297</v>
      </c>
      <c r="D2" s="13" t="s">
        <v>11870</v>
      </c>
      <c r="E2" s="13" t="s">
        <v>15983</v>
      </c>
      <c r="F2" s="13" t="s">
        <v>15984</v>
      </c>
      <c r="G2" s="13" t="s">
        <v>300</v>
      </c>
      <c r="H2" s="13" t="s">
        <v>301</v>
      </c>
      <c r="I2" s="13" t="s">
        <v>15985</v>
      </c>
      <c r="J2" s="13" t="s">
        <v>15986</v>
      </c>
    </row>
    <row r="3" spans="2:10">
      <c r="B3" s="15" t="s">
        <v>20663</v>
      </c>
      <c r="C3" s="15" t="s">
        <v>20312</v>
      </c>
      <c r="D3" s="15" t="s">
        <v>371</v>
      </c>
      <c r="E3" s="15" t="s">
        <v>15989</v>
      </c>
      <c r="F3" s="15" t="s">
        <v>16238</v>
      </c>
      <c r="G3" s="15"/>
      <c r="H3" s="15"/>
      <c r="I3" s="15" t="s">
        <v>528</v>
      </c>
      <c r="J3" s="15" t="s">
        <v>15991</v>
      </c>
    </row>
    <row r="4" spans="2:10">
      <c r="B4" s="15" t="s">
        <v>20663</v>
      </c>
      <c r="C4" s="15" t="s">
        <v>20348</v>
      </c>
      <c r="D4" s="15" t="s">
        <v>316</v>
      </c>
      <c r="E4" s="15" t="s">
        <v>15989</v>
      </c>
      <c r="F4" s="15" t="s">
        <v>20664</v>
      </c>
      <c r="G4" s="15"/>
      <c r="H4" s="15"/>
      <c r="I4" s="15" t="s">
        <v>528</v>
      </c>
      <c r="J4" s="15" t="s">
        <v>15991</v>
      </c>
    </row>
    <row r="5" spans="2:10">
      <c r="B5" s="15" t="s">
        <v>20663</v>
      </c>
      <c r="C5" s="15" t="s">
        <v>20665</v>
      </c>
      <c r="D5" s="15" t="s">
        <v>16056</v>
      </c>
      <c r="E5" s="15" t="s">
        <v>305</v>
      </c>
      <c r="F5" s="15" t="s">
        <v>20666</v>
      </c>
      <c r="G5" s="15"/>
      <c r="H5" s="15"/>
      <c r="I5" s="15" t="s">
        <v>528</v>
      </c>
      <c r="J5" s="15" t="s">
        <v>15991</v>
      </c>
    </row>
    <row r="6" spans="2:10">
      <c r="B6" s="15" t="s">
        <v>20663</v>
      </c>
      <c r="C6" s="15" t="s">
        <v>20667</v>
      </c>
      <c r="D6" s="15" t="s">
        <v>363</v>
      </c>
      <c r="E6" s="15" t="s">
        <v>305</v>
      </c>
      <c r="F6" s="53" t="s">
        <v>20668</v>
      </c>
      <c r="G6" s="15"/>
      <c r="H6" s="15"/>
      <c r="I6" s="15" t="s">
        <v>528</v>
      </c>
      <c r="J6" s="15" t="s">
        <v>15991</v>
      </c>
    </row>
    <row r="7" spans="2:10">
      <c r="B7" s="15" t="s">
        <v>20663</v>
      </c>
      <c r="C7" s="15" t="s">
        <v>20529</v>
      </c>
      <c r="D7" s="15" t="s">
        <v>316</v>
      </c>
      <c r="E7" s="15" t="s">
        <v>305</v>
      </c>
      <c r="F7" s="15" t="s">
        <v>20669</v>
      </c>
      <c r="G7" s="15"/>
      <c r="H7" s="15"/>
      <c r="I7" s="15" t="s">
        <v>528</v>
      </c>
      <c r="J7" s="15" t="s">
        <v>15991</v>
      </c>
    </row>
    <row r="8" spans="2:10">
      <c r="B8" s="15" t="s">
        <v>20663</v>
      </c>
      <c r="C8" s="15" t="s">
        <v>20352</v>
      </c>
      <c r="D8" s="15" t="s">
        <v>316</v>
      </c>
      <c r="E8" s="15" t="s">
        <v>305</v>
      </c>
      <c r="F8" s="15" t="s">
        <v>16089</v>
      </c>
      <c r="G8" s="15"/>
      <c r="H8" s="15"/>
      <c r="I8" s="15" t="s">
        <v>528</v>
      </c>
      <c r="J8" s="15" t="s">
        <v>15991</v>
      </c>
    </row>
    <row r="9" spans="2:10">
      <c r="B9" s="15" t="s">
        <v>20663</v>
      </c>
      <c r="C9" s="15" t="s">
        <v>20670</v>
      </c>
      <c r="D9" s="15" t="s">
        <v>16056</v>
      </c>
      <c r="E9" s="15" t="s">
        <v>305</v>
      </c>
      <c r="F9" s="15" t="s">
        <v>20671</v>
      </c>
      <c r="G9" s="15"/>
      <c r="H9" s="15"/>
      <c r="I9" s="15" t="s">
        <v>528</v>
      </c>
      <c r="J9" s="15" t="s">
        <v>15991</v>
      </c>
    </row>
  </sheetData>
  <pageMargins left="0.75" right="0.75" top="1" bottom="1" header="0.5" footer="0.5"/>
  <pageSetup paperSize="1" orientation="portrait" horizontalDpi="300" verticalDpi="300"/>
  <headerFooter alignWithMargins="0" scaleWithDoc="0"/>
</worksheet>
</file>

<file path=xl/worksheets/sheet18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8"/>
  <sheetViews>
    <sheetView zoomScaleSheetLayoutView="60" workbookViewId="0">
      <selection activeCell="A1" sqref="A1"/>
    </sheetView>
  </sheetViews>
  <sheetFormatPr defaultColWidth="9.14285714285714" defaultRowHeight="15.2" outlineLevelRow="7"/>
  <cols>
    <col min="2" max="2" width="19.5357142857143" customWidth="1"/>
    <col min="3" max="4" width="15.625" customWidth="1"/>
    <col min="5" max="5" width="7.80357142857143" customWidth="1"/>
    <col min="6" max="6" width="39.0625" customWidth="1"/>
    <col min="7" max="7" width="15.625" customWidth="1"/>
    <col min="10" max="10" width="11.7053571428571" customWidth="1"/>
  </cols>
  <sheetData>
    <row r="1" spans="1:2">
      <c r="A1" s="51" t="str">
        <f>HYPERLINK("#表结构清单!A1","返回")</f>
        <v>返回</v>
      </c>
      <c r="B1" t="s">
        <v>90</v>
      </c>
    </row>
    <row r="2" spans="2:10">
      <c r="B2" s="13" t="s">
        <v>15982</v>
      </c>
      <c r="C2" s="13" t="s">
        <v>297</v>
      </c>
      <c r="D2" s="13" t="s">
        <v>11870</v>
      </c>
      <c r="E2" s="13" t="s">
        <v>15983</v>
      </c>
      <c r="F2" s="13" t="s">
        <v>15984</v>
      </c>
      <c r="G2" s="13" t="s">
        <v>300</v>
      </c>
      <c r="H2" s="13" t="s">
        <v>301</v>
      </c>
      <c r="I2" s="13" t="s">
        <v>15985</v>
      </c>
      <c r="J2" s="13" t="s">
        <v>15986</v>
      </c>
    </row>
    <row r="3" spans="2:10">
      <c r="B3" s="15" t="s">
        <v>20672</v>
      </c>
      <c r="C3" s="15" t="s">
        <v>20348</v>
      </c>
      <c r="D3" s="15" t="s">
        <v>316</v>
      </c>
      <c r="E3" s="15" t="s">
        <v>15989</v>
      </c>
      <c r="F3" s="15" t="s">
        <v>20664</v>
      </c>
      <c r="G3" s="15"/>
      <c r="H3" s="15"/>
      <c r="I3" s="15" t="s">
        <v>528</v>
      </c>
      <c r="J3" s="15" t="s">
        <v>15991</v>
      </c>
    </row>
    <row r="4" spans="2:10">
      <c r="B4" s="15" t="s">
        <v>20672</v>
      </c>
      <c r="C4" s="15" t="s">
        <v>20673</v>
      </c>
      <c r="D4" s="15" t="s">
        <v>16056</v>
      </c>
      <c r="E4" s="15" t="s">
        <v>305</v>
      </c>
      <c r="F4" s="15" t="s">
        <v>20674</v>
      </c>
      <c r="G4" s="15"/>
      <c r="H4" s="15"/>
      <c r="I4" s="15" t="s">
        <v>528</v>
      </c>
      <c r="J4" s="15" t="s">
        <v>15991</v>
      </c>
    </row>
    <row r="5" spans="2:10">
      <c r="B5" s="15" t="s">
        <v>20672</v>
      </c>
      <c r="C5" s="15" t="s">
        <v>2620</v>
      </c>
      <c r="D5" s="15" t="s">
        <v>16056</v>
      </c>
      <c r="E5" s="15" t="s">
        <v>305</v>
      </c>
      <c r="F5" s="15" t="s">
        <v>20675</v>
      </c>
      <c r="G5" s="15"/>
      <c r="H5" s="15"/>
      <c r="I5" s="15" t="s">
        <v>528</v>
      </c>
      <c r="J5" s="15" t="s">
        <v>15991</v>
      </c>
    </row>
    <row r="6" spans="2:10">
      <c r="B6" s="15" t="s">
        <v>20672</v>
      </c>
      <c r="C6" s="15" t="s">
        <v>20676</v>
      </c>
      <c r="D6" s="15" t="s">
        <v>16056</v>
      </c>
      <c r="E6" s="15" t="s">
        <v>305</v>
      </c>
      <c r="F6" s="15" t="s">
        <v>20677</v>
      </c>
      <c r="G6" s="15"/>
      <c r="H6" s="15"/>
      <c r="I6" s="15" t="s">
        <v>528</v>
      </c>
      <c r="J6" s="15" t="s">
        <v>15991</v>
      </c>
    </row>
    <row r="7" spans="2:10">
      <c r="B7" s="15" t="s">
        <v>20672</v>
      </c>
      <c r="C7" s="15" t="s">
        <v>20312</v>
      </c>
      <c r="D7" s="15" t="s">
        <v>371</v>
      </c>
      <c r="E7" s="15" t="s">
        <v>305</v>
      </c>
      <c r="F7" s="15" t="s">
        <v>16238</v>
      </c>
      <c r="G7" s="15"/>
      <c r="H7" s="15"/>
      <c r="I7" s="15" t="s">
        <v>528</v>
      </c>
      <c r="J7" s="15" t="s">
        <v>15991</v>
      </c>
    </row>
    <row r="8" spans="2:10">
      <c r="B8" s="15" t="s">
        <v>20672</v>
      </c>
      <c r="C8" s="15" t="s">
        <v>20352</v>
      </c>
      <c r="D8" s="15" t="s">
        <v>316</v>
      </c>
      <c r="E8" s="15" t="s">
        <v>305</v>
      </c>
      <c r="F8" s="15" t="s">
        <v>16089</v>
      </c>
      <c r="G8" s="15"/>
      <c r="H8" s="15"/>
      <c r="I8" s="15" t="s">
        <v>528</v>
      </c>
      <c r="J8" s="15" t="s">
        <v>15991</v>
      </c>
    </row>
  </sheetData>
  <pageMargins left="0.75" right="0.75" top="1" bottom="1" header="0.5" footer="0.5"/>
  <pageSetup paperSize="1" orientation="portrait" horizontalDpi="300" verticalDpi="300"/>
  <headerFooter alignWithMargins="0" scaleWithDoc="0"/>
</worksheet>
</file>

<file path=xl/worksheets/sheet19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4"/>
  <sheetViews>
    <sheetView workbookViewId="0">
      <selection activeCell="A1" sqref="A1"/>
    </sheetView>
  </sheetViews>
  <sheetFormatPr defaultColWidth="9.14285714285714" defaultRowHeight="15.2"/>
  <cols>
    <col min="3" max="3" width="15.1428571428571" customWidth="1"/>
  </cols>
  <sheetData>
    <row r="1" spans="1:2">
      <c r="A1" s="1" t="str">
        <f>HYPERLINK("#表结构清单!A1","返回")</f>
        <v>返回</v>
      </c>
      <c r="B1" s="2" t="s">
        <v>20678</v>
      </c>
    </row>
    <row r="2" spans="2:10">
      <c r="B2" s="13" t="s">
        <v>15982</v>
      </c>
      <c r="C2" s="13" t="s">
        <v>297</v>
      </c>
      <c r="D2" s="13" t="s">
        <v>11870</v>
      </c>
      <c r="E2" s="13" t="s">
        <v>15983</v>
      </c>
      <c r="F2" s="13" t="s">
        <v>15984</v>
      </c>
      <c r="G2" s="13" t="s">
        <v>300</v>
      </c>
      <c r="H2" s="13" t="s">
        <v>301</v>
      </c>
      <c r="I2" s="13" t="s">
        <v>15985</v>
      </c>
      <c r="J2" s="13" t="s">
        <v>15986</v>
      </c>
    </row>
    <row r="3" spans="2:10">
      <c r="B3" s="15" t="s">
        <v>20679</v>
      </c>
      <c r="C3" s="15" t="s">
        <v>16103</v>
      </c>
      <c r="D3" s="15" t="s">
        <v>316</v>
      </c>
      <c r="E3" s="15" t="s">
        <v>15989</v>
      </c>
      <c r="F3" s="20" t="s">
        <v>16986</v>
      </c>
      <c r="G3" s="15"/>
      <c r="H3" s="15"/>
      <c r="I3" s="15" t="s">
        <v>528</v>
      </c>
      <c r="J3" s="50">
        <v>45740</v>
      </c>
    </row>
    <row r="4" spans="2:10">
      <c r="B4" s="15" t="s">
        <v>20679</v>
      </c>
      <c r="C4" s="15" t="s">
        <v>20680</v>
      </c>
      <c r="D4" s="15" t="s">
        <v>316</v>
      </c>
      <c r="E4" s="15" t="s">
        <v>15989</v>
      </c>
      <c r="F4" s="20" t="s">
        <v>20681</v>
      </c>
      <c r="G4" s="15"/>
      <c r="H4" s="15"/>
      <c r="I4" s="15" t="s">
        <v>528</v>
      </c>
      <c r="J4" s="50">
        <v>45740</v>
      </c>
    </row>
    <row r="5" spans="2:10">
      <c r="B5" s="15" t="s">
        <v>20679</v>
      </c>
      <c r="C5" s="15" t="s">
        <v>16126</v>
      </c>
      <c r="D5" s="15" t="s">
        <v>18854</v>
      </c>
      <c r="E5" s="15" t="s">
        <v>305</v>
      </c>
      <c r="F5" s="15" t="s">
        <v>905</v>
      </c>
      <c r="G5" s="15"/>
      <c r="H5" s="15"/>
      <c r="I5" s="15" t="s">
        <v>528</v>
      </c>
      <c r="J5" s="50">
        <v>45740</v>
      </c>
    </row>
    <row r="6" spans="2:10">
      <c r="B6" s="15" t="s">
        <v>20679</v>
      </c>
      <c r="C6" s="15" t="s">
        <v>16053</v>
      </c>
      <c r="D6" s="15" t="s">
        <v>316</v>
      </c>
      <c r="E6" s="15" t="s">
        <v>305</v>
      </c>
      <c r="F6" s="15" t="s">
        <v>16012</v>
      </c>
      <c r="G6" s="15"/>
      <c r="H6" s="15"/>
      <c r="I6" s="15" t="s">
        <v>528</v>
      </c>
      <c r="J6" s="50">
        <v>45740</v>
      </c>
    </row>
    <row r="7" spans="2:10">
      <c r="B7" s="15" t="s">
        <v>20679</v>
      </c>
      <c r="C7" s="15" t="s">
        <v>16241</v>
      </c>
      <c r="D7" s="15" t="s">
        <v>316</v>
      </c>
      <c r="E7" s="15" t="s">
        <v>305</v>
      </c>
      <c r="F7" s="15" t="s">
        <v>16010</v>
      </c>
      <c r="G7" s="15"/>
      <c r="H7" s="15"/>
      <c r="I7" s="15" t="s">
        <v>528</v>
      </c>
      <c r="J7" s="50">
        <v>45740</v>
      </c>
    </row>
    <row r="8" spans="2:10">
      <c r="B8" s="15" t="s">
        <v>20679</v>
      </c>
      <c r="C8" s="15" t="s">
        <v>16237</v>
      </c>
      <c r="D8" s="15" t="s">
        <v>371</v>
      </c>
      <c r="E8" s="15" t="s">
        <v>305</v>
      </c>
      <c r="F8" s="15" t="s">
        <v>16274</v>
      </c>
      <c r="G8" s="15"/>
      <c r="H8" s="15"/>
      <c r="I8" s="15" t="s">
        <v>528</v>
      </c>
      <c r="J8" s="50">
        <v>45740</v>
      </c>
    </row>
    <row r="9" spans="2:10">
      <c r="B9" s="15" t="s">
        <v>20679</v>
      </c>
      <c r="C9" s="15" t="s">
        <v>16243</v>
      </c>
      <c r="D9" s="15" t="s">
        <v>316</v>
      </c>
      <c r="E9" s="15" t="s">
        <v>305</v>
      </c>
      <c r="F9" s="15" t="s">
        <v>16018</v>
      </c>
      <c r="G9" s="15"/>
      <c r="H9" s="15"/>
      <c r="I9" s="15" t="s">
        <v>528</v>
      </c>
      <c r="J9" s="50">
        <v>45740</v>
      </c>
    </row>
    <row r="10" spans="2:10">
      <c r="B10" s="15" t="s">
        <v>20679</v>
      </c>
      <c r="C10" s="15" t="s">
        <v>16239</v>
      </c>
      <c r="D10" s="15" t="s">
        <v>371</v>
      </c>
      <c r="E10" s="15" t="s">
        <v>305</v>
      </c>
      <c r="F10" s="15" t="s">
        <v>16236</v>
      </c>
      <c r="G10" s="15"/>
      <c r="H10" s="15"/>
      <c r="I10" s="15" t="s">
        <v>528</v>
      </c>
      <c r="J10" s="50">
        <v>45740</v>
      </c>
    </row>
    <row r="11" spans="2:10">
      <c r="B11" s="15" t="s">
        <v>20679</v>
      </c>
      <c r="C11" s="15" t="s">
        <v>16017</v>
      </c>
      <c r="D11" s="15" t="s">
        <v>316</v>
      </c>
      <c r="E11" s="15" t="s">
        <v>305</v>
      </c>
      <c r="F11" s="15" t="s">
        <v>20307</v>
      </c>
      <c r="G11" s="15"/>
      <c r="H11" s="15"/>
      <c r="I11" s="15" t="s">
        <v>528</v>
      </c>
      <c r="J11" s="50">
        <v>45740</v>
      </c>
    </row>
    <row r="12" spans="2:10">
      <c r="B12" s="15" t="s">
        <v>20679</v>
      </c>
      <c r="C12" s="15" t="s">
        <v>16015</v>
      </c>
      <c r="D12" s="15" t="s">
        <v>316</v>
      </c>
      <c r="E12" s="15" t="s">
        <v>305</v>
      </c>
      <c r="F12" s="15" t="s">
        <v>16016</v>
      </c>
      <c r="G12" s="15"/>
      <c r="H12" s="15"/>
      <c r="I12" s="15" t="s">
        <v>528</v>
      </c>
      <c r="J12" s="50">
        <v>45740</v>
      </c>
    </row>
    <row r="13" spans="2:10">
      <c r="B13" s="15" t="s">
        <v>20679</v>
      </c>
      <c r="C13" s="15" t="s">
        <v>16009</v>
      </c>
      <c r="D13" s="15" t="s">
        <v>316</v>
      </c>
      <c r="E13" s="15" t="s">
        <v>305</v>
      </c>
      <c r="F13" s="15" t="s">
        <v>20304</v>
      </c>
      <c r="G13" s="15"/>
      <c r="H13" s="15"/>
      <c r="I13" s="15" t="s">
        <v>528</v>
      </c>
      <c r="J13" s="50">
        <v>45740</v>
      </c>
    </row>
    <row r="14" spans="2:10">
      <c r="B14" s="15" t="s">
        <v>20679</v>
      </c>
      <c r="C14" s="15" t="s">
        <v>16011</v>
      </c>
      <c r="D14" s="15" t="s">
        <v>316</v>
      </c>
      <c r="E14" s="15" t="s">
        <v>305</v>
      </c>
      <c r="F14" s="15" t="s">
        <v>20305</v>
      </c>
      <c r="G14" s="15"/>
      <c r="H14" s="15"/>
      <c r="I14" s="15" t="s">
        <v>528</v>
      </c>
      <c r="J14" s="50">
        <v>45740</v>
      </c>
    </row>
  </sheetData>
  <pageMargins left="0.75" right="0.75" top="1" bottom="1" header="0.5" footer="0.5"/>
  <headerFooter/>
</worksheet>
</file>

<file path=xl/worksheets/sheet19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4"/>
  <sheetViews>
    <sheetView workbookViewId="0">
      <selection activeCell="C29" sqref="C29:F34"/>
    </sheetView>
  </sheetViews>
  <sheetFormatPr defaultColWidth="9.14285714285714" defaultRowHeight="15.2"/>
  <cols>
    <col min="2" max="2" width="28.4285714285714" customWidth="1"/>
    <col min="3" max="3" width="24.8571428571429" customWidth="1"/>
    <col min="4" max="4" width="14" customWidth="1"/>
    <col min="6" max="6" width="15.2857142857143" customWidth="1"/>
    <col min="12" max="12" width="30.7142857142857" customWidth="1"/>
    <col min="13" max="16" width="28.7142857142857" customWidth="1"/>
    <col min="17" max="17" width="11.0714285714286" customWidth="1"/>
  </cols>
  <sheetData>
    <row r="1" spans="1:2">
      <c r="A1" s="1" t="str">
        <f>HYPERLINK("#表结构清单!A1","返回")</f>
        <v>返回</v>
      </c>
      <c r="B1" s="2" t="s">
        <v>206</v>
      </c>
    </row>
    <row r="2" spans="2:10">
      <c r="B2" s="13" t="s">
        <v>15982</v>
      </c>
      <c r="C2" s="13" t="s">
        <v>297</v>
      </c>
      <c r="D2" s="13" t="s">
        <v>11870</v>
      </c>
      <c r="E2" s="13" t="s">
        <v>15983</v>
      </c>
      <c r="F2" s="13" t="s">
        <v>15984</v>
      </c>
      <c r="G2" s="13" t="s">
        <v>300</v>
      </c>
      <c r="H2" s="13" t="s">
        <v>301</v>
      </c>
      <c r="I2" s="13" t="s">
        <v>15985</v>
      </c>
      <c r="J2" s="13" t="s">
        <v>15986</v>
      </c>
    </row>
    <row r="3" spans="2:10">
      <c r="B3" s="15" t="s">
        <v>205</v>
      </c>
      <c r="C3" s="15" t="s">
        <v>15988</v>
      </c>
      <c r="D3" s="15" t="s">
        <v>20682</v>
      </c>
      <c r="E3" s="15" t="s">
        <v>15989</v>
      </c>
      <c r="F3" s="15" t="s">
        <v>15990</v>
      </c>
      <c r="G3" s="15"/>
      <c r="H3" s="15"/>
      <c r="I3" s="15"/>
      <c r="J3" s="35">
        <v>45727</v>
      </c>
    </row>
    <row r="4" spans="2:10">
      <c r="B4" s="24" t="s">
        <v>205</v>
      </c>
      <c r="C4" s="24" t="s">
        <v>18898</v>
      </c>
      <c r="D4" s="24" t="s">
        <v>20682</v>
      </c>
      <c r="E4" s="24" t="s">
        <v>15989</v>
      </c>
      <c r="F4" s="49" t="s">
        <v>20683</v>
      </c>
      <c r="G4" s="24"/>
      <c r="H4" s="24"/>
      <c r="I4" s="24"/>
      <c r="J4" s="14">
        <v>45727</v>
      </c>
    </row>
    <row r="5" spans="2:10">
      <c r="B5" s="15" t="s">
        <v>205</v>
      </c>
      <c r="C5" s="15" t="s">
        <v>20684</v>
      </c>
      <c r="D5" s="15" t="s">
        <v>20685</v>
      </c>
      <c r="E5" s="15" t="s">
        <v>305</v>
      </c>
      <c r="F5" s="15" t="s">
        <v>20686</v>
      </c>
      <c r="G5" s="15"/>
      <c r="H5" s="15"/>
      <c r="I5" s="15"/>
      <c r="J5" s="35">
        <v>45727</v>
      </c>
    </row>
    <row r="6" spans="2:10">
      <c r="B6" s="15" t="s">
        <v>205</v>
      </c>
      <c r="C6" s="15" t="s">
        <v>16941</v>
      </c>
      <c r="D6" s="15" t="s">
        <v>20687</v>
      </c>
      <c r="E6" s="15" t="s">
        <v>305</v>
      </c>
      <c r="F6" s="15" t="s">
        <v>20688</v>
      </c>
      <c r="G6" s="15"/>
      <c r="H6" s="15"/>
      <c r="I6" s="15" t="s">
        <v>528</v>
      </c>
      <c r="J6" s="35">
        <v>45727</v>
      </c>
    </row>
    <row r="7" spans="2:10">
      <c r="B7" s="15" t="s">
        <v>205</v>
      </c>
      <c r="C7" s="15" t="s">
        <v>20689</v>
      </c>
      <c r="D7" s="15" t="s">
        <v>20685</v>
      </c>
      <c r="E7" s="15" t="s">
        <v>305</v>
      </c>
      <c r="F7" s="15" t="s">
        <v>20690</v>
      </c>
      <c r="G7" s="15"/>
      <c r="H7" s="15"/>
      <c r="I7" s="15" t="s">
        <v>528</v>
      </c>
      <c r="J7" s="35">
        <v>45727</v>
      </c>
    </row>
    <row r="8" spans="2:10">
      <c r="B8" s="15" t="s">
        <v>205</v>
      </c>
      <c r="C8" s="15" t="s">
        <v>17789</v>
      </c>
      <c r="D8" s="15" t="s">
        <v>20691</v>
      </c>
      <c r="E8" s="15" t="s">
        <v>305</v>
      </c>
      <c r="F8" s="15" t="s">
        <v>20692</v>
      </c>
      <c r="G8" s="15"/>
      <c r="H8" s="15"/>
      <c r="I8" s="15" t="s">
        <v>528</v>
      </c>
      <c r="J8" s="35">
        <v>45727</v>
      </c>
    </row>
    <row r="9" spans="2:10">
      <c r="B9" s="15" t="s">
        <v>205</v>
      </c>
      <c r="C9" s="15" t="s">
        <v>20693</v>
      </c>
      <c r="D9" s="15" t="s">
        <v>20691</v>
      </c>
      <c r="E9" s="15" t="s">
        <v>305</v>
      </c>
      <c r="F9" s="15" t="s">
        <v>9953</v>
      </c>
      <c r="G9" s="15"/>
      <c r="H9" s="15"/>
      <c r="I9" s="15" t="s">
        <v>528</v>
      </c>
      <c r="J9" s="35">
        <v>45727</v>
      </c>
    </row>
    <row r="10" spans="2:10">
      <c r="B10" s="15" t="s">
        <v>205</v>
      </c>
      <c r="C10" s="15" t="s">
        <v>20694</v>
      </c>
      <c r="D10" s="15" t="s">
        <v>20695</v>
      </c>
      <c r="E10" s="15" t="s">
        <v>305</v>
      </c>
      <c r="F10" s="15" t="s">
        <v>20696</v>
      </c>
      <c r="G10" s="15"/>
      <c r="H10" s="15"/>
      <c r="I10" s="15" t="s">
        <v>528</v>
      </c>
      <c r="J10" s="35">
        <v>45727</v>
      </c>
    </row>
    <row r="11" spans="2:10">
      <c r="B11" s="15" t="s">
        <v>205</v>
      </c>
      <c r="C11" s="15" t="s">
        <v>20697</v>
      </c>
      <c r="D11" s="15" t="s">
        <v>20691</v>
      </c>
      <c r="E11" s="15" t="s">
        <v>305</v>
      </c>
      <c r="F11" s="15" t="s">
        <v>20698</v>
      </c>
      <c r="G11" s="15"/>
      <c r="H11" s="15"/>
      <c r="I11" s="15" t="s">
        <v>528</v>
      </c>
      <c r="J11" s="35">
        <v>45727</v>
      </c>
    </row>
    <row r="12" spans="2:10">
      <c r="B12" s="15" t="s">
        <v>205</v>
      </c>
      <c r="C12" s="15" t="s">
        <v>20699</v>
      </c>
      <c r="D12" s="15" t="s">
        <v>20700</v>
      </c>
      <c r="E12" s="15" t="s">
        <v>305</v>
      </c>
      <c r="F12" s="15" t="s">
        <v>20701</v>
      </c>
      <c r="G12" s="15"/>
      <c r="H12" s="15"/>
      <c r="I12" s="15" t="s">
        <v>528</v>
      </c>
      <c r="J12" s="35">
        <v>45727</v>
      </c>
    </row>
    <row r="13" spans="2:10">
      <c r="B13" s="15" t="s">
        <v>205</v>
      </c>
      <c r="C13" s="15" t="s">
        <v>18743</v>
      </c>
      <c r="D13" s="15" t="s">
        <v>20702</v>
      </c>
      <c r="E13" s="15" t="s">
        <v>305</v>
      </c>
      <c r="F13" s="15" t="s">
        <v>20703</v>
      </c>
      <c r="G13" s="15"/>
      <c r="H13" s="15"/>
      <c r="I13" s="15" t="s">
        <v>528</v>
      </c>
      <c r="J13" s="35">
        <v>45727</v>
      </c>
    </row>
    <row r="14" spans="2:10">
      <c r="B14" s="15" t="s">
        <v>205</v>
      </c>
      <c r="C14" s="15" t="s">
        <v>20704</v>
      </c>
      <c r="D14" s="15" t="s">
        <v>20691</v>
      </c>
      <c r="E14" s="15" t="s">
        <v>305</v>
      </c>
      <c r="F14" s="15" t="s">
        <v>20705</v>
      </c>
      <c r="G14" s="15"/>
      <c r="H14" s="15"/>
      <c r="I14" s="15" t="s">
        <v>528</v>
      </c>
      <c r="J14" s="35">
        <v>45727</v>
      </c>
    </row>
    <row r="15" spans="2:10">
      <c r="B15" s="15" t="s">
        <v>205</v>
      </c>
      <c r="C15" s="15" t="s">
        <v>20706</v>
      </c>
      <c r="D15" s="15" t="s">
        <v>20695</v>
      </c>
      <c r="E15" s="15" t="s">
        <v>305</v>
      </c>
      <c r="F15" s="15" t="s">
        <v>20707</v>
      </c>
      <c r="G15" s="15"/>
      <c r="H15" s="16"/>
      <c r="I15" s="16" t="s">
        <v>528</v>
      </c>
      <c r="J15" s="35">
        <v>45727</v>
      </c>
    </row>
    <row r="16" spans="2:10">
      <c r="B16" s="15" t="s">
        <v>205</v>
      </c>
      <c r="C16" s="15" t="s">
        <v>20708</v>
      </c>
      <c r="D16" s="15" t="s">
        <v>20695</v>
      </c>
      <c r="E16" s="15" t="s">
        <v>305</v>
      </c>
      <c r="F16" s="15" t="s">
        <v>20709</v>
      </c>
      <c r="G16" s="19"/>
      <c r="H16" s="5"/>
      <c r="I16" s="5"/>
      <c r="J16" s="35">
        <v>45727</v>
      </c>
    </row>
    <row r="17" spans="2:10">
      <c r="B17" s="15" t="s">
        <v>205</v>
      </c>
      <c r="C17" s="15" t="s">
        <v>20710</v>
      </c>
      <c r="D17" s="15" t="s">
        <v>20711</v>
      </c>
      <c r="E17" s="15" t="s">
        <v>305</v>
      </c>
      <c r="F17" s="15" t="s">
        <v>20712</v>
      </c>
      <c r="G17" s="19"/>
      <c r="H17" s="5"/>
      <c r="I17" s="5"/>
      <c r="J17" s="35">
        <v>45727</v>
      </c>
    </row>
    <row r="18" spans="2:10">
      <c r="B18" s="15" t="s">
        <v>205</v>
      </c>
      <c r="C18" s="15" t="s">
        <v>20713</v>
      </c>
      <c r="D18" s="15" t="s">
        <v>20691</v>
      </c>
      <c r="E18" s="15" t="s">
        <v>305</v>
      </c>
      <c r="F18" s="15" t="s">
        <v>20714</v>
      </c>
      <c r="G18" s="19"/>
      <c r="H18" s="5"/>
      <c r="I18" s="5"/>
      <c r="J18" s="35">
        <v>45727</v>
      </c>
    </row>
    <row r="19" spans="2:10">
      <c r="B19" s="15" t="s">
        <v>205</v>
      </c>
      <c r="C19" s="15" t="s">
        <v>20715</v>
      </c>
      <c r="D19" s="15" t="s">
        <v>20702</v>
      </c>
      <c r="E19" s="15" t="s">
        <v>305</v>
      </c>
      <c r="F19" s="15" t="s">
        <v>18089</v>
      </c>
      <c r="G19" s="19"/>
      <c r="H19" s="5"/>
      <c r="I19" s="5"/>
      <c r="J19" s="35">
        <v>45727</v>
      </c>
    </row>
    <row r="20" spans="2:10">
      <c r="B20" s="15" t="s">
        <v>205</v>
      </c>
      <c r="C20" s="15" t="s">
        <v>20716</v>
      </c>
      <c r="D20" s="15" t="s">
        <v>20691</v>
      </c>
      <c r="E20" s="15" t="s">
        <v>305</v>
      </c>
      <c r="F20" s="15" t="s">
        <v>20717</v>
      </c>
      <c r="G20" s="19"/>
      <c r="H20" s="5"/>
      <c r="I20" s="4"/>
      <c r="J20" s="35">
        <v>45727</v>
      </c>
    </row>
    <row r="21" spans="2:10">
      <c r="B21" s="15" t="s">
        <v>205</v>
      </c>
      <c r="C21" s="15" t="s">
        <v>20718</v>
      </c>
      <c r="D21" s="15" t="s">
        <v>20702</v>
      </c>
      <c r="E21" s="15" t="s">
        <v>305</v>
      </c>
      <c r="F21" s="15" t="s">
        <v>20719</v>
      </c>
      <c r="G21" s="19"/>
      <c r="H21" s="5"/>
      <c r="I21" s="5"/>
      <c r="J21" s="35">
        <v>45727</v>
      </c>
    </row>
    <row r="22" spans="2:10">
      <c r="B22" s="15" t="s">
        <v>205</v>
      </c>
      <c r="C22" s="15" t="s">
        <v>20720</v>
      </c>
      <c r="D22" s="15" t="s">
        <v>20691</v>
      </c>
      <c r="E22" s="15" t="s">
        <v>305</v>
      </c>
      <c r="F22" s="15" t="s">
        <v>20721</v>
      </c>
      <c r="G22" s="19"/>
      <c r="H22" s="5"/>
      <c r="I22" s="5"/>
      <c r="J22" s="35">
        <v>45727</v>
      </c>
    </row>
    <row r="23" spans="2:10">
      <c r="B23" s="15" t="s">
        <v>205</v>
      </c>
      <c r="C23" s="15" t="s">
        <v>16009</v>
      </c>
      <c r="D23" s="15" t="s">
        <v>20682</v>
      </c>
      <c r="E23" s="15" t="s">
        <v>305</v>
      </c>
      <c r="F23" s="15" t="s">
        <v>16526</v>
      </c>
      <c r="G23" s="19"/>
      <c r="H23" s="5"/>
      <c r="I23" s="5"/>
      <c r="J23" s="35">
        <v>45727</v>
      </c>
    </row>
    <row r="24" spans="2:10">
      <c r="B24" s="15" t="s">
        <v>205</v>
      </c>
      <c r="C24" s="15" t="s">
        <v>16013</v>
      </c>
      <c r="D24" s="15" t="s">
        <v>20691</v>
      </c>
      <c r="E24" s="15" t="s">
        <v>305</v>
      </c>
      <c r="F24" s="15" t="s">
        <v>16528</v>
      </c>
      <c r="G24" s="19"/>
      <c r="H24" s="5"/>
      <c r="I24" s="5"/>
      <c r="J24" s="35">
        <v>45727</v>
      </c>
    </row>
    <row r="25" spans="2:10">
      <c r="B25" s="15" t="s">
        <v>205</v>
      </c>
      <c r="C25" s="15" t="s">
        <v>16011</v>
      </c>
      <c r="D25" s="15" t="s">
        <v>20691</v>
      </c>
      <c r="E25" s="15" t="s">
        <v>305</v>
      </c>
      <c r="F25" s="15" t="s">
        <v>19699</v>
      </c>
      <c r="G25" s="19"/>
      <c r="H25" s="5"/>
      <c r="I25" s="5"/>
      <c r="J25" s="35">
        <v>45727</v>
      </c>
    </row>
    <row r="26" spans="2:10">
      <c r="B26" s="15" t="s">
        <v>205</v>
      </c>
      <c r="C26" s="15" t="s">
        <v>20722</v>
      </c>
      <c r="D26" s="15" t="s">
        <v>20711</v>
      </c>
      <c r="E26" s="15" t="s">
        <v>305</v>
      </c>
      <c r="F26" s="15" t="s">
        <v>20723</v>
      </c>
      <c r="G26" s="19"/>
      <c r="H26" s="5"/>
      <c r="I26" s="5"/>
      <c r="J26" s="35">
        <v>45727</v>
      </c>
    </row>
    <row r="27" spans="2:10">
      <c r="B27" s="15" t="s">
        <v>205</v>
      </c>
      <c r="C27" s="15" t="s">
        <v>20724</v>
      </c>
      <c r="D27" s="15" t="s">
        <v>20700</v>
      </c>
      <c r="E27" s="15" t="s">
        <v>305</v>
      </c>
      <c r="F27" s="15" t="s">
        <v>20725</v>
      </c>
      <c r="G27" s="19"/>
      <c r="H27" s="5"/>
      <c r="I27" s="5"/>
      <c r="J27" s="35">
        <v>45727</v>
      </c>
    </row>
    <row r="28" spans="2:10">
      <c r="B28" s="15" t="s">
        <v>205</v>
      </c>
      <c r="C28" s="15" t="s">
        <v>20726</v>
      </c>
      <c r="D28" s="15" t="s">
        <v>20727</v>
      </c>
      <c r="E28" s="15" t="s">
        <v>305</v>
      </c>
      <c r="F28" s="15" t="s">
        <v>2594</v>
      </c>
      <c r="G28" s="47"/>
      <c r="H28" s="48"/>
      <c r="I28" s="48"/>
      <c r="J28" s="35">
        <v>45727</v>
      </c>
    </row>
    <row r="29" spans="2:10">
      <c r="B29" s="15" t="s">
        <v>205</v>
      </c>
      <c r="C29" s="15" t="s">
        <v>16011</v>
      </c>
      <c r="D29" s="15" t="s">
        <v>316</v>
      </c>
      <c r="E29" s="15" t="s">
        <v>305</v>
      </c>
      <c r="F29" s="19" t="s">
        <v>16012</v>
      </c>
      <c r="G29" s="5"/>
      <c r="H29" s="5"/>
      <c r="I29" s="5"/>
      <c r="J29" s="45">
        <v>45727</v>
      </c>
    </row>
    <row r="30" spans="2:10">
      <c r="B30" s="15" t="s">
        <v>205</v>
      </c>
      <c r="C30" s="15" t="s">
        <v>16009</v>
      </c>
      <c r="D30" s="15" t="s">
        <v>316</v>
      </c>
      <c r="E30" s="15" t="s">
        <v>305</v>
      </c>
      <c r="F30" s="19" t="s">
        <v>16010</v>
      </c>
      <c r="G30" s="5"/>
      <c r="H30" s="5"/>
      <c r="I30" s="5"/>
      <c r="J30" s="45">
        <v>45727</v>
      </c>
    </row>
    <row r="31" spans="2:10">
      <c r="B31" s="15" t="s">
        <v>205</v>
      </c>
      <c r="C31" s="15" t="s">
        <v>16013</v>
      </c>
      <c r="D31" s="15" t="s">
        <v>371</v>
      </c>
      <c r="E31" s="15" t="s">
        <v>305</v>
      </c>
      <c r="F31" s="19" t="s">
        <v>16014</v>
      </c>
      <c r="G31" s="5"/>
      <c r="H31" s="5"/>
      <c r="I31" s="5"/>
      <c r="J31" s="45">
        <v>45727</v>
      </c>
    </row>
    <row r="32" spans="2:10">
      <c r="B32" s="15" t="s">
        <v>205</v>
      </c>
      <c r="C32" s="15" t="s">
        <v>16017</v>
      </c>
      <c r="D32" s="15" t="s">
        <v>316</v>
      </c>
      <c r="E32" s="15" t="s">
        <v>305</v>
      </c>
      <c r="F32" s="19" t="s">
        <v>16018</v>
      </c>
      <c r="G32" s="5"/>
      <c r="H32" s="5"/>
      <c r="I32" s="5"/>
      <c r="J32" s="45">
        <v>45727</v>
      </c>
    </row>
    <row r="33" spans="2:10">
      <c r="B33" s="15" t="s">
        <v>205</v>
      </c>
      <c r="C33" s="15" t="s">
        <v>16015</v>
      </c>
      <c r="D33" s="15" t="s">
        <v>316</v>
      </c>
      <c r="E33" s="15" t="s">
        <v>305</v>
      </c>
      <c r="F33" s="19" t="s">
        <v>16016</v>
      </c>
      <c r="G33" s="5"/>
      <c r="H33" s="5"/>
      <c r="I33" s="5"/>
      <c r="J33" s="45">
        <v>45727</v>
      </c>
    </row>
    <row r="34" spans="2:10">
      <c r="B34" s="15" t="s">
        <v>205</v>
      </c>
      <c r="C34" s="15" t="s">
        <v>16019</v>
      </c>
      <c r="D34" s="15" t="s">
        <v>371</v>
      </c>
      <c r="E34" s="15" t="s">
        <v>305</v>
      </c>
      <c r="F34" s="19" t="s">
        <v>16020</v>
      </c>
      <c r="G34" s="5"/>
      <c r="H34" s="5"/>
      <c r="I34" s="5"/>
      <c r="J34" s="45">
        <v>45727</v>
      </c>
    </row>
  </sheetData>
  <pageMargins left="0.75" right="0.75" top="1" bottom="1" header="0.5" footer="0.5"/>
  <headerFooter/>
</worksheet>
</file>

<file path=xl/worksheets/sheet19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52"/>
  <sheetViews>
    <sheetView workbookViewId="0">
      <selection activeCell="A1" sqref="A1"/>
    </sheetView>
  </sheetViews>
  <sheetFormatPr defaultColWidth="9.14285714285714" defaultRowHeight="15.2"/>
  <cols>
    <col min="2" max="2" width="28.4285714285714" customWidth="1"/>
    <col min="3" max="3" width="24.8571428571429" customWidth="1"/>
    <col min="4" max="4" width="14" customWidth="1"/>
    <col min="6" max="6" width="15.2857142857143" customWidth="1"/>
    <col min="12" max="15" width="30.7142857142857" customWidth="1"/>
    <col min="16" max="19" width="28.7142857142857" customWidth="1"/>
    <col min="20" max="20" width="11.0714285714286" customWidth="1"/>
  </cols>
  <sheetData>
    <row r="1" spans="1:2">
      <c r="A1" s="1" t="str">
        <f>HYPERLINK("#表结构清单!A1","返回")</f>
        <v>返回</v>
      </c>
      <c r="B1" s="2" t="s">
        <v>20728</v>
      </c>
    </row>
    <row r="2" spans="2:10">
      <c r="B2" s="13" t="s">
        <v>15982</v>
      </c>
      <c r="C2" s="13" t="s">
        <v>297</v>
      </c>
      <c r="D2" s="13" t="s">
        <v>11870</v>
      </c>
      <c r="E2" s="13" t="s">
        <v>15983</v>
      </c>
      <c r="F2" s="13" t="s">
        <v>15984</v>
      </c>
      <c r="G2" s="13" t="s">
        <v>300</v>
      </c>
      <c r="H2" s="13" t="s">
        <v>301</v>
      </c>
      <c r="I2" s="13" t="s">
        <v>15985</v>
      </c>
      <c r="J2" s="13" t="s">
        <v>15986</v>
      </c>
    </row>
    <row r="3" spans="2:10">
      <c r="B3" s="15" t="s">
        <v>207</v>
      </c>
      <c r="C3" s="15" t="s">
        <v>15988</v>
      </c>
      <c r="D3" s="15" t="s">
        <v>20682</v>
      </c>
      <c r="E3" s="15" t="s">
        <v>15989</v>
      </c>
      <c r="F3" s="15" t="s">
        <v>15990</v>
      </c>
      <c r="G3" s="15"/>
      <c r="H3" s="15"/>
      <c r="I3" s="15"/>
      <c r="J3" s="35">
        <v>45727</v>
      </c>
    </row>
    <row r="4" spans="2:10">
      <c r="B4" s="15" t="s">
        <v>207</v>
      </c>
      <c r="C4" s="24" t="s">
        <v>18898</v>
      </c>
      <c r="D4" s="24" t="s">
        <v>20682</v>
      </c>
      <c r="E4" s="24" t="s">
        <v>15989</v>
      </c>
      <c r="F4" s="43" t="s">
        <v>20683</v>
      </c>
      <c r="G4" s="24"/>
      <c r="H4" s="24"/>
      <c r="I4" s="24"/>
      <c r="J4" s="14">
        <v>45727</v>
      </c>
    </row>
    <row r="5" spans="2:10">
      <c r="B5" s="15" t="s">
        <v>207</v>
      </c>
      <c r="C5" s="15" t="s">
        <v>20684</v>
      </c>
      <c r="D5" s="15" t="s">
        <v>20685</v>
      </c>
      <c r="E5" s="15" t="s">
        <v>305</v>
      </c>
      <c r="F5" s="15" t="s">
        <v>20729</v>
      </c>
      <c r="G5" s="24"/>
      <c r="H5" s="24"/>
      <c r="I5" s="24"/>
      <c r="J5" s="14">
        <v>45727</v>
      </c>
    </row>
    <row r="6" spans="2:10">
      <c r="B6" s="15" t="s">
        <v>207</v>
      </c>
      <c r="C6" s="15" t="s">
        <v>20730</v>
      </c>
      <c r="D6" s="15" t="s">
        <v>20695</v>
      </c>
      <c r="E6" s="15" t="s">
        <v>305</v>
      </c>
      <c r="F6" s="15" t="s">
        <v>20686</v>
      </c>
      <c r="G6" s="15"/>
      <c r="H6" s="15"/>
      <c r="I6" s="15"/>
      <c r="J6" s="35">
        <v>45727</v>
      </c>
    </row>
    <row r="7" spans="2:10">
      <c r="B7" s="15" t="s">
        <v>207</v>
      </c>
      <c r="C7" s="15" t="s">
        <v>16941</v>
      </c>
      <c r="D7" s="15" t="s">
        <v>20687</v>
      </c>
      <c r="E7" s="15" t="s">
        <v>305</v>
      </c>
      <c r="F7" s="15" t="s">
        <v>20688</v>
      </c>
      <c r="G7" s="15"/>
      <c r="H7" s="15"/>
      <c r="I7" s="15" t="s">
        <v>528</v>
      </c>
      <c r="J7" s="35">
        <v>45727</v>
      </c>
    </row>
    <row r="8" spans="2:10">
      <c r="B8" s="15" t="s">
        <v>207</v>
      </c>
      <c r="C8" s="15" t="s">
        <v>20731</v>
      </c>
      <c r="D8" s="15" t="s">
        <v>20687</v>
      </c>
      <c r="E8" s="15" t="s">
        <v>305</v>
      </c>
      <c r="F8" s="15" t="s">
        <v>20732</v>
      </c>
      <c r="G8" s="15"/>
      <c r="H8" s="15"/>
      <c r="I8" s="15" t="s">
        <v>528</v>
      </c>
      <c r="J8" s="35">
        <v>45727</v>
      </c>
    </row>
    <row r="9" spans="2:10">
      <c r="B9" s="15" t="s">
        <v>207</v>
      </c>
      <c r="C9" s="15" t="s">
        <v>20733</v>
      </c>
      <c r="D9" s="15" t="s">
        <v>20711</v>
      </c>
      <c r="E9" s="15" t="s">
        <v>305</v>
      </c>
      <c r="F9" s="15" t="s">
        <v>20734</v>
      </c>
      <c r="G9" s="15"/>
      <c r="H9" s="15"/>
      <c r="I9" s="15" t="s">
        <v>528</v>
      </c>
      <c r="J9" s="35">
        <v>45727</v>
      </c>
    </row>
    <row r="10" spans="2:10">
      <c r="B10" s="15" t="s">
        <v>207</v>
      </c>
      <c r="C10" s="15" t="s">
        <v>20735</v>
      </c>
      <c r="D10" s="15" t="s">
        <v>20682</v>
      </c>
      <c r="E10" s="15" t="s">
        <v>305</v>
      </c>
      <c r="F10" s="15" t="s">
        <v>20736</v>
      </c>
      <c r="G10" s="15"/>
      <c r="H10" s="15"/>
      <c r="I10" s="15" t="s">
        <v>528</v>
      </c>
      <c r="J10" s="35">
        <v>45727</v>
      </c>
    </row>
    <row r="11" spans="2:10">
      <c r="B11" s="15" t="s">
        <v>207</v>
      </c>
      <c r="C11" s="15" t="s">
        <v>20737</v>
      </c>
      <c r="D11" s="15" t="s">
        <v>20691</v>
      </c>
      <c r="E11" s="15" t="s">
        <v>305</v>
      </c>
      <c r="F11" s="15" t="s">
        <v>20738</v>
      </c>
      <c r="G11" s="15"/>
      <c r="H11" s="15"/>
      <c r="I11" s="15" t="s">
        <v>528</v>
      </c>
      <c r="J11" s="35">
        <v>45727</v>
      </c>
    </row>
    <row r="12" spans="2:10">
      <c r="B12" s="15" t="s">
        <v>207</v>
      </c>
      <c r="C12" s="15" t="s">
        <v>20739</v>
      </c>
      <c r="D12" s="15" t="s">
        <v>20687</v>
      </c>
      <c r="E12" s="15" t="s">
        <v>305</v>
      </c>
      <c r="F12" s="15" t="s">
        <v>20740</v>
      </c>
      <c r="G12" s="15"/>
      <c r="H12" s="15"/>
      <c r="I12" s="15" t="s">
        <v>528</v>
      </c>
      <c r="J12" s="35">
        <v>45727</v>
      </c>
    </row>
    <row r="13" spans="2:10">
      <c r="B13" s="15" t="s">
        <v>207</v>
      </c>
      <c r="C13" s="15" t="s">
        <v>20741</v>
      </c>
      <c r="D13" s="15" t="s">
        <v>20682</v>
      </c>
      <c r="E13" s="15" t="s">
        <v>305</v>
      </c>
      <c r="F13" s="15" t="s">
        <v>20742</v>
      </c>
      <c r="G13" s="15"/>
      <c r="H13" s="15"/>
      <c r="I13" s="15" t="s">
        <v>528</v>
      </c>
      <c r="J13" s="35">
        <v>45727</v>
      </c>
    </row>
    <row r="14" spans="2:10">
      <c r="B14" s="15" t="s">
        <v>207</v>
      </c>
      <c r="C14" s="15" t="s">
        <v>20743</v>
      </c>
      <c r="D14" s="15" t="s">
        <v>20682</v>
      </c>
      <c r="E14" s="15" t="s">
        <v>305</v>
      </c>
      <c r="F14" s="15" t="s">
        <v>20744</v>
      </c>
      <c r="G14" s="15"/>
      <c r="H14" s="15"/>
      <c r="I14" s="15" t="s">
        <v>528</v>
      </c>
      <c r="J14" s="35">
        <v>45727</v>
      </c>
    </row>
    <row r="15" spans="2:10">
      <c r="B15" s="15" t="s">
        <v>207</v>
      </c>
      <c r="C15" s="15" t="s">
        <v>567</v>
      </c>
      <c r="D15" s="15" t="s">
        <v>20700</v>
      </c>
      <c r="E15" s="15" t="s">
        <v>305</v>
      </c>
      <c r="F15" s="15" t="s">
        <v>566</v>
      </c>
      <c r="G15" s="15"/>
      <c r="H15" s="15"/>
      <c r="I15" s="15" t="s">
        <v>528</v>
      </c>
      <c r="J15" s="35">
        <v>45727</v>
      </c>
    </row>
    <row r="16" spans="2:10">
      <c r="B16" s="15" t="s">
        <v>207</v>
      </c>
      <c r="C16" s="15" t="s">
        <v>595</v>
      </c>
      <c r="D16" s="15" t="s">
        <v>20691</v>
      </c>
      <c r="E16" s="15" t="s">
        <v>305</v>
      </c>
      <c r="F16" s="15" t="s">
        <v>20745</v>
      </c>
      <c r="G16" s="15"/>
      <c r="H16" s="16"/>
      <c r="I16" s="16" t="s">
        <v>528</v>
      </c>
      <c r="J16" s="35">
        <v>45727</v>
      </c>
    </row>
    <row r="17" spans="2:10">
      <c r="B17" s="15" t="s">
        <v>207</v>
      </c>
      <c r="C17" s="15" t="s">
        <v>18745</v>
      </c>
      <c r="D17" s="15" t="s">
        <v>20685</v>
      </c>
      <c r="E17" s="15" t="s">
        <v>305</v>
      </c>
      <c r="F17" s="15" t="s">
        <v>11401</v>
      </c>
      <c r="G17" s="19"/>
      <c r="H17" s="5"/>
      <c r="I17" s="5"/>
      <c r="J17" s="35">
        <v>45727</v>
      </c>
    </row>
    <row r="18" spans="2:10">
      <c r="B18" s="15" t="s">
        <v>207</v>
      </c>
      <c r="C18" s="15" t="s">
        <v>16086</v>
      </c>
      <c r="D18" s="15" t="s">
        <v>20746</v>
      </c>
      <c r="E18" s="15" t="s">
        <v>305</v>
      </c>
      <c r="F18" s="15" t="s">
        <v>301</v>
      </c>
      <c r="G18" s="19"/>
      <c r="H18" s="5"/>
      <c r="I18" s="5"/>
      <c r="J18" s="35">
        <v>45727</v>
      </c>
    </row>
    <row r="19" spans="2:10">
      <c r="B19" s="15" t="s">
        <v>207</v>
      </c>
      <c r="C19" s="15" t="s">
        <v>20747</v>
      </c>
      <c r="D19" s="15" t="s">
        <v>20685</v>
      </c>
      <c r="E19" s="15" t="s">
        <v>305</v>
      </c>
      <c r="F19" s="15" t="s">
        <v>20748</v>
      </c>
      <c r="G19" s="19"/>
      <c r="H19" s="5"/>
      <c r="I19" s="5"/>
      <c r="J19" s="35">
        <v>45727</v>
      </c>
    </row>
    <row r="20" spans="2:10">
      <c r="B20" s="15" t="s">
        <v>207</v>
      </c>
      <c r="C20" s="15" t="s">
        <v>20060</v>
      </c>
      <c r="D20" s="15" t="s">
        <v>20691</v>
      </c>
      <c r="E20" s="15" t="s">
        <v>305</v>
      </c>
      <c r="F20" s="15" t="s">
        <v>7322</v>
      </c>
      <c r="G20" s="19"/>
      <c r="H20" s="5"/>
      <c r="I20" s="5"/>
      <c r="J20" s="35">
        <v>45727</v>
      </c>
    </row>
    <row r="21" spans="2:10">
      <c r="B21" s="15" t="s">
        <v>207</v>
      </c>
      <c r="C21" s="15" t="s">
        <v>20749</v>
      </c>
      <c r="D21" s="15" t="s">
        <v>20685</v>
      </c>
      <c r="E21" s="15" t="s">
        <v>305</v>
      </c>
      <c r="F21" s="15" t="s">
        <v>20750</v>
      </c>
      <c r="G21" s="19"/>
      <c r="H21" s="5"/>
      <c r="I21" s="4"/>
      <c r="J21" s="35">
        <v>45727</v>
      </c>
    </row>
    <row r="22" spans="2:10">
      <c r="B22" s="15" t="s">
        <v>207</v>
      </c>
      <c r="C22" s="15" t="s">
        <v>20751</v>
      </c>
      <c r="D22" s="15" t="s">
        <v>20691</v>
      </c>
      <c r="E22" s="15" t="s">
        <v>305</v>
      </c>
      <c r="F22" s="15" t="s">
        <v>20752</v>
      </c>
      <c r="G22" s="19"/>
      <c r="H22" s="5"/>
      <c r="I22" s="5"/>
      <c r="J22" s="35">
        <v>45727</v>
      </c>
    </row>
    <row r="23" spans="2:10">
      <c r="B23" s="15" t="s">
        <v>207</v>
      </c>
      <c r="C23" s="15" t="s">
        <v>20753</v>
      </c>
      <c r="D23" s="15" t="s">
        <v>20754</v>
      </c>
      <c r="E23" s="15" t="s">
        <v>305</v>
      </c>
      <c r="F23" s="15" t="s">
        <v>20755</v>
      </c>
      <c r="G23" s="19"/>
      <c r="H23" s="5"/>
      <c r="I23" s="5"/>
      <c r="J23" s="35">
        <v>45727</v>
      </c>
    </row>
    <row r="24" spans="2:10">
      <c r="B24" s="15" t="s">
        <v>207</v>
      </c>
      <c r="C24" s="15" t="s">
        <v>20756</v>
      </c>
      <c r="D24" s="15" t="s">
        <v>20754</v>
      </c>
      <c r="E24" s="15" t="s">
        <v>305</v>
      </c>
      <c r="F24" s="15" t="s">
        <v>20757</v>
      </c>
      <c r="G24" s="19"/>
      <c r="H24" s="5"/>
      <c r="I24" s="5"/>
      <c r="J24" s="35">
        <v>45727</v>
      </c>
    </row>
    <row r="25" spans="2:10">
      <c r="B25" s="15" t="s">
        <v>207</v>
      </c>
      <c r="C25" s="15" t="s">
        <v>16668</v>
      </c>
      <c r="D25" s="15" t="s">
        <v>20682</v>
      </c>
      <c r="E25" s="15" t="s">
        <v>305</v>
      </c>
      <c r="F25" s="15" t="s">
        <v>20758</v>
      </c>
      <c r="G25" s="19"/>
      <c r="H25" s="5"/>
      <c r="I25" s="5"/>
      <c r="J25" s="35">
        <v>45727</v>
      </c>
    </row>
    <row r="26" spans="2:10">
      <c r="B26" s="15" t="s">
        <v>207</v>
      </c>
      <c r="C26" s="15" t="s">
        <v>20759</v>
      </c>
      <c r="D26" s="15" t="s">
        <v>20682</v>
      </c>
      <c r="E26" s="15" t="s">
        <v>305</v>
      </c>
      <c r="F26" s="15" t="s">
        <v>20760</v>
      </c>
      <c r="G26" s="19"/>
      <c r="H26" s="5"/>
      <c r="I26" s="5"/>
      <c r="J26" s="35">
        <v>45727</v>
      </c>
    </row>
    <row r="27" spans="2:10">
      <c r="B27" s="15" t="s">
        <v>207</v>
      </c>
      <c r="C27" s="15" t="s">
        <v>20761</v>
      </c>
      <c r="D27" s="15" t="s">
        <v>20687</v>
      </c>
      <c r="E27" s="15" t="s">
        <v>305</v>
      </c>
      <c r="F27" s="15" t="s">
        <v>20762</v>
      </c>
      <c r="G27" s="19"/>
      <c r="H27" s="5"/>
      <c r="I27" s="5"/>
      <c r="J27" s="35">
        <v>45727</v>
      </c>
    </row>
    <row r="28" spans="2:10">
      <c r="B28" s="15" t="s">
        <v>207</v>
      </c>
      <c r="C28" s="15" t="s">
        <v>20763</v>
      </c>
      <c r="D28" s="15" t="s">
        <v>20691</v>
      </c>
      <c r="E28" s="15" t="s">
        <v>305</v>
      </c>
      <c r="F28" s="15" t="s">
        <v>20764</v>
      </c>
      <c r="G28" s="19"/>
      <c r="H28" s="5"/>
      <c r="I28" s="5"/>
      <c r="J28" s="35">
        <v>45727</v>
      </c>
    </row>
    <row r="29" spans="2:10">
      <c r="B29" s="15" t="s">
        <v>207</v>
      </c>
      <c r="C29" s="15" t="s">
        <v>20765</v>
      </c>
      <c r="D29" s="15" t="s">
        <v>20766</v>
      </c>
      <c r="E29" s="15" t="s">
        <v>305</v>
      </c>
      <c r="F29" s="15" t="s">
        <v>20767</v>
      </c>
      <c r="G29" s="19"/>
      <c r="H29" s="5"/>
      <c r="I29" s="5"/>
      <c r="J29" s="35">
        <v>45727</v>
      </c>
    </row>
    <row r="30" spans="2:10">
      <c r="B30" s="15" t="s">
        <v>207</v>
      </c>
      <c r="C30" s="15" t="s">
        <v>20768</v>
      </c>
      <c r="D30" s="15" t="s">
        <v>20766</v>
      </c>
      <c r="E30" s="15" t="s">
        <v>305</v>
      </c>
      <c r="F30" s="15" t="s">
        <v>20769</v>
      </c>
      <c r="G30" s="19"/>
      <c r="H30" s="5"/>
      <c r="I30" s="5"/>
      <c r="J30" s="35">
        <v>45727</v>
      </c>
    </row>
    <row r="31" spans="2:10">
      <c r="B31" s="15" t="s">
        <v>207</v>
      </c>
      <c r="C31" s="15" t="s">
        <v>20770</v>
      </c>
      <c r="D31" s="15" t="s">
        <v>20682</v>
      </c>
      <c r="E31" s="15" t="s">
        <v>305</v>
      </c>
      <c r="F31" s="15" t="s">
        <v>20771</v>
      </c>
      <c r="G31" s="19"/>
      <c r="H31" s="5"/>
      <c r="I31" s="5"/>
      <c r="J31" s="35">
        <v>45727</v>
      </c>
    </row>
    <row r="32" spans="2:10">
      <c r="B32" s="15" t="s">
        <v>207</v>
      </c>
      <c r="C32" s="15" t="s">
        <v>20772</v>
      </c>
      <c r="D32" s="15" t="s">
        <v>20711</v>
      </c>
      <c r="E32" s="15" t="s">
        <v>305</v>
      </c>
      <c r="F32" s="15" t="s">
        <v>20773</v>
      </c>
      <c r="G32" s="19"/>
      <c r="H32" s="5"/>
      <c r="I32" s="5"/>
      <c r="J32" s="35">
        <v>45727</v>
      </c>
    </row>
    <row r="33" spans="2:10">
      <c r="B33" s="15" t="s">
        <v>207</v>
      </c>
      <c r="C33" s="15" t="s">
        <v>20774</v>
      </c>
      <c r="D33" s="15" t="s">
        <v>20682</v>
      </c>
      <c r="E33" s="15" t="s">
        <v>305</v>
      </c>
      <c r="F33" s="15" t="s">
        <v>20775</v>
      </c>
      <c r="G33" s="19"/>
      <c r="H33" s="5"/>
      <c r="I33" s="5"/>
      <c r="J33" s="35">
        <v>45727</v>
      </c>
    </row>
    <row r="34" spans="2:10">
      <c r="B34" s="15" t="s">
        <v>207</v>
      </c>
      <c r="C34" s="15" t="s">
        <v>20776</v>
      </c>
      <c r="D34" s="15" t="s">
        <v>20691</v>
      </c>
      <c r="E34" s="15" t="s">
        <v>305</v>
      </c>
      <c r="F34" s="15" t="s">
        <v>20777</v>
      </c>
      <c r="G34" s="19"/>
      <c r="H34" s="5"/>
      <c r="I34" s="5"/>
      <c r="J34" s="35">
        <v>45727</v>
      </c>
    </row>
    <row r="35" spans="2:10">
      <c r="B35" s="15" t="s">
        <v>207</v>
      </c>
      <c r="C35" s="15" t="s">
        <v>20778</v>
      </c>
      <c r="D35" s="15" t="s">
        <v>20682</v>
      </c>
      <c r="E35" s="15" t="s">
        <v>305</v>
      </c>
      <c r="F35" s="15" t="s">
        <v>20779</v>
      </c>
      <c r="G35" s="19"/>
      <c r="H35" s="5"/>
      <c r="I35" s="5"/>
      <c r="J35" s="35">
        <v>45727</v>
      </c>
    </row>
    <row r="36" spans="2:10">
      <c r="B36" s="15" t="s">
        <v>207</v>
      </c>
      <c r="C36" s="15" t="s">
        <v>20484</v>
      </c>
      <c r="D36" s="15" t="s">
        <v>20780</v>
      </c>
      <c r="E36" s="15" t="s">
        <v>305</v>
      </c>
      <c r="F36" s="15" t="s">
        <v>5414</v>
      </c>
      <c r="G36" s="19"/>
      <c r="H36" s="5"/>
      <c r="I36" s="5"/>
      <c r="J36" s="35">
        <v>45727</v>
      </c>
    </row>
    <row r="37" spans="2:10">
      <c r="B37" s="15" t="s">
        <v>207</v>
      </c>
      <c r="C37" s="15" t="s">
        <v>20781</v>
      </c>
      <c r="D37" s="15" t="s">
        <v>20695</v>
      </c>
      <c r="E37" s="15" t="s">
        <v>305</v>
      </c>
      <c r="F37" s="15" t="s">
        <v>20782</v>
      </c>
      <c r="G37" s="19"/>
      <c r="H37" s="5"/>
      <c r="I37" s="5"/>
      <c r="J37" s="35">
        <v>45727</v>
      </c>
    </row>
    <row r="38" spans="2:10">
      <c r="B38" s="15" t="s">
        <v>207</v>
      </c>
      <c r="C38" s="15" t="s">
        <v>16019</v>
      </c>
      <c r="D38" s="15" t="s">
        <v>20711</v>
      </c>
      <c r="E38" s="15" t="s">
        <v>305</v>
      </c>
      <c r="F38" s="15" t="s">
        <v>20783</v>
      </c>
      <c r="G38" s="19"/>
      <c r="H38" s="5"/>
      <c r="I38" s="5"/>
      <c r="J38" s="35">
        <v>45727</v>
      </c>
    </row>
    <row r="39" spans="2:10">
      <c r="B39" s="15" t="s">
        <v>207</v>
      </c>
      <c r="C39" s="15" t="s">
        <v>16013</v>
      </c>
      <c r="D39" s="15" t="s">
        <v>20711</v>
      </c>
      <c r="E39" s="15" t="s">
        <v>305</v>
      </c>
      <c r="F39" s="15" t="s">
        <v>20784</v>
      </c>
      <c r="G39" s="19"/>
      <c r="H39" s="5"/>
      <c r="I39" s="5"/>
      <c r="J39" s="35">
        <v>45727</v>
      </c>
    </row>
    <row r="40" spans="2:10">
      <c r="B40" s="15" t="s">
        <v>207</v>
      </c>
      <c r="C40" s="15" t="s">
        <v>16045</v>
      </c>
      <c r="D40" s="15" t="s">
        <v>20682</v>
      </c>
      <c r="E40" s="15" t="s">
        <v>305</v>
      </c>
      <c r="F40" s="15" t="s">
        <v>20785</v>
      </c>
      <c r="G40" s="19"/>
      <c r="H40" s="5"/>
      <c r="I40" s="5"/>
      <c r="J40" s="35">
        <v>45727</v>
      </c>
    </row>
    <row r="41" spans="2:10">
      <c r="B41" s="15" t="s">
        <v>207</v>
      </c>
      <c r="C41" s="15" t="s">
        <v>20087</v>
      </c>
      <c r="D41" s="15" t="s">
        <v>20691</v>
      </c>
      <c r="E41" s="15" t="s">
        <v>305</v>
      </c>
      <c r="F41" s="15" t="s">
        <v>20786</v>
      </c>
      <c r="G41" s="19"/>
      <c r="H41" s="5"/>
      <c r="I41" s="5"/>
      <c r="J41" s="35">
        <v>45727</v>
      </c>
    </row>
    <row r="42" spans="2:10">
      <c r="B42" s="15" t="s">
        <v>207</v>
      </c>
      <c r="C42" s="15" t="s">
        <v>20787</v>
      </c>
      <c r="D42" s="15" t="s">
        <v>20682</v>
      </c>
      <c r="E42" s="15" t="s">
        <v>305</v>
      </c>
      <c r="F42" s="15" t="s">
        <v>20788</v>
      </c>
      <c r="G42" s="19"/>
      <c r="H42" s="5"/>
      <c r="I42" s="5"/>
      <c r="J42" s="35">
        <v>45727</v>
      </c>
    </row>
    <row r="43" spans="2:10">
      <c r="B43" s="15" t="s">
        <v>207</v>
      </c>
      <c r="C43" s="15" t="s">
        <v>20789</v>
      </c>
      <c r="D43" s="15" t="s">
        <v>20682</v>
      </c>
      <c r="E43" s="15" t="s">
        <v>305</v>
      </c>
      <c r="F43" s="15" t="s">
        <v>20790</v>
      </c>
      <c r="G43" s="19"/>
      <c r="H43" s="5"/>
      <c r="I43" s="5"/>
      <c r="J43" s="35">
        <v>45727</v>
      </c>
    </row>
    <row r="44" spans="2:10">
      <c r="B44" s="15" t="s">
        <v>207</v>
      </c>
      <c r="C44" s="15" t="s">
        <v>18378</v>
      </c>
      <c r="D44" s="15" t="s">
        <v>20682</v>
      </c>
      <c r="E44" s="15" t="s">
        <v>305</v>
      </c>
      <c r="F44" s="15" t="s">
        <v>16534</v>
      </c>
      <c r="G44" s="19"/>
      <c r="H44" s="5"/>
      <c r="I44" s="5"/>
      <c r="J44" s="35">
        <v>45727</v>
      </c>
    </row>
    <row r="45" spans="2:10">
      <c r="B45" s="15" t="s">
        <v>207</v>
      </c>
      <c r="C45" s="15" t="s">
        <v>16325</v>
      </c>
      <c r="D45" s="15" t="s">
        <v>20682</v>
      </c>
      <c r="E45" s="15" t="s">
        <v>305</v>
      </c>
      <c r="F45" s="15" t="s">
        <v>20791</v>
      </c>
      <c r="G45" s="19"/>
      <c r="H45" s="5"/>
      <c r="I45" s="5"/>
      <c r="J45" s="35">
        <v>45727</v>
      </c>
    </row>
    <row r="46" spans="2:10">
      <c r="B46" s="15" t="s">
        <v>207</v>
      </c>
      <c r="C46" s="15" t="s">
        <v>20792</v>
      </c>
      <c r="D46" s="15" t="s">
        <v>20685</v>
      </c>
      <c r="E46" s="15" t="s">
        <v>305</v>
      </c>
      <c r="F46" s="16" t="s">
        <v>20793</v>
      </c>
      <c r="G46" s="47"/>
      <c r="H46" s="48"/>
      <c r="I46" s="48"/>
      <c r="J46" s="35">
        <v>45727</v>
      </c>
    </row>
    <row r="47" spans="2:10">
      <c r="B47" s="15" t="s">
        <v>207</v>
      </c>
      <c r="C47" s="15" t="s">
        <v>16011</v>
      </c>
      <c r="D47" s="15" t="s">
        <v>316</v>
      </c>
      <c r="E47" s="19" t="s">
        <v>305</v>
      </c>
      <c r="F47" s="4" t="s">
        <v>16012</v>
      </c>
      <c r="G47" s="5"/>
      <c r="H47" s="5"/>
      <c r="I47" s="5"/>
      <c r="J47" s="45">
        <v>45727</v>
      </c>
    </row>
    <row r="48" spans="2:10">
      <c r="B48" s="15" t="s">
        <v>207</v>
      </c>
      <c r="C48" s="15" t="s">
        <v>16009</v>
      </c>
      <c r="D48" s="15" t="s">
        <v>316</v>
      </c>
      <c r="E48" s="19" t="s">
        <v>305</v>
      </c>
      <c r="F48" s="4" t="s">
        <v>16010</v>
      </c>
      <c r="G48" s="5"/>
      <c r="H48" s="5"/>
      <c r="I48" s="5"/>
      <c r="J48" s="45">
        <v>45727</v>
      </c>
    </row>
    <row r="49" spans="2:10">
      <c r="B49" s="15" t="s">
        <v>207</v>
      </c>
      <c r="C49" s="15" t="s">
        <v>16013</v>
      </c>
      <c r="D49" s="15" t="s">
        <v>371</v>
      </c>
      <c r="E49" s="19" t="s">
        <v>305</v>
      </c>
      <c r="F49" s="4" t="s">
        <v>16014</v>
      </c>
      <c r="G49" s="5"/>
      <c r="H49" s="5"/>
      <c r="I49" s="5"/>
      <c r="J49" s="45">
        <v>45727</v>
      </c>
    </row>
    <row r="50" spans="2:10">
      <c r="B50" s="15" t="s">
        <v>207</v>
      </c>
      <c r="C50" s="15" t="s">
        <v>16017</v>
      </c>
      <c r="D50" s="15" t="s">
        <v>316</v>
      </c>
      <c r="E50" s="19" t="s">
        <v>305</v>
      </c>
      <c r="F50" s="4" t="s">
        <v>16018</v>
      </c>
      <c r="G50" s="5"/>
      <c r="H50" s="5"/>
      <c r="I50" s="5"/>
      <c r="J50" s="45">
        <v>45727</v>
      </c>
    </row>
    <row r="51" spans="2:10">
      <c r="B51" s="15" t="s">
        <v>207</v>
      </c>
      <c r="C51" s="15" t="s">
        <v>16015</v>
      </c>
      <c r="D51" s="15" t="s">
        <v>316</v>
      </c>
      <c r="E51" s="19" t="s">
        <v>305</v>
      </c>
      <c r="F51" s="4" t="s">
        <v>16016</v>
      </c>
      <c r="G51" s="5"/>
      <c r="H51" s="5"/>
      <c r="I51" s="5"/>
      <c r="J51" s="45">
        <v>45727</v>
      </c>
    </row>
    <row r="52" spans="2:10">
      <c r="B52" s="15" t="s">
        <v>207</v>
      </c>
      <c r="C52" s="15" t="s">
        <v>16019</v>
      </c>
      <c r="D52" s="15" t="s">
        <v>371</v>
      </c>
      <c r="E52" s="19" t="s">
        <v>305</v>
      </c>
      <c r="F52" s="4" t="s">
        <v>16020</v>
      </c>
      <c r="G52" s="5"/>
      <c r="H52" s="5"/>
      <c r="I52" s="5"/>
      <c r="J52" s="45">
        <v>45727</v>
      </c>
    </row>
  </sheetData>
  <pageMargins left="0.75" right="0.75" top="1" bottom="1" header="0.5" footer="0.5"/>
  <headerFooter/>
</worksheet>
</file>

<file path=xl/worksheets/sheet19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5"/>
  <sheetViews>
    <sheetView workbookViewId="0">
      <selection activeCell="A1" sqref="A1"/>
    </sheetView>
  </sheetViews>
  <sheetFormatPr defaultColWidth="9.14285714285714" defaultRowHeight="15.2"/>
  <cols>
    <col min="2" max="2" width="36.4285714285714" customWidth="1"/>
    <col min="3" max="3" width="24.8571428571429" customWidth="1"/>
    <col min="4" max="4" width="14" customWidth="1"/>
    <col min="6" max="6" width="15.2857142857143" customWidth="1"/>
    <col min="12" max="20" width="30.7142857142857" customWidth="1"/>
    <col min="21" max="24" width="28.7142857142857" customWidth="1"/>
    <col min="25" max="25" width="11.0714285714286" customWidth="1"/>
  </cols>
  <sheetData>
    <row r="1" spans="1:2">
      <c r="A1" s="1" t="str">
        <f>HYPERLINK("#表结构清单!A1","返回")</f>
        <v>返回</v>
      </c>
      <c r="B1" s="2" t="s">
        <v>210</v>
      </c>
    </row>
    <row r="2" spans="2:10">
      <c r="B2" s="13" t="s">
        <v>15982</v>
      </c>
      <c r="C2" s="13" t="s">
        <v>297</v>
      </c>
      <c r="D2" s="13" t="s">
        <v>11870</v>
      </c>
      <c r="E2" s="13" t="s">
        <v>15983</v>
      </c>
      <c r="F2" s="13" t="s">
        <v>15984</v>
      </c>
      <c r="G2" s="13" t="s">
        <v>300</v>
      </c>
      <c r="H2" s="13" t="s">
        <v>301</v>
      </c>
      <c r="I2" s="13" t="s">
        <v>15985</v>
      </c>
      <c r="J2" s="13" t="s">
        <v>15986</v>
      </c>
    </row>
    <row r="3" spans="2:10">
      <c r="B3" s="15" t="s">
        <v>209</v>
      </c>
      <c r="C3" s="15" t="s">
        <v>15988</v>
      </c>
      <c r="D3" s="15" t="s">
        <v>20682</v>
      </c>
      <c r="E3" s="15" t="s">
        <v>15989</v>
      </c>
      <c r="F3" s="15" t="s">
        <v>15990</v>
      </c>
      <c r="G3" s="15"/>
      <c r="H3" s="15"/>
      <c r="I3" s="15"/>
      <c r="J3" s="35">
        <v>45727</v>
      </c>
    </row>
    <row r="4" spans="2:10">
      <c r="B4" s="15" t="s">
        <v>209</v>
      </c>
      <c r="C4" s="15" t="s">
        <v>18898</v>
      </c>
      <c r="D4" s="15" t="s">
        <v>20682</v>
      </c>
      <c r="E4" s="15" t="s">
        <v>15989</v>
      </c>
      <c r="F4" s="46" t="s">
        <v>20683</v>
      </c>
      <c r="G4" s="24"/>
      <c r="H4" s="24"/>
      <c r="I4" s="24"/>
      <c r="J4" s="14">
        <v>45727</v>
      </c>
    </row>
    <row r="5" spans="2:10">
      <c r="B5" s="15" t="s">
        <v>209</v>
      </c>
      <c r="C5" s="15" t="s">
        <v>16174</v>
      </c>
      <c r="D5" s="15" t="s">
        <v>20727</v>
      </c>
      <c r="E5" s="15" t="s">
        <v>15989</v>
      </c>
      <c r="F5" s="15" t="s">
        <v>16733</v>
      </c>
      <c r="G5" s="24"/>
      <c r="H5" s="24"/>
      <c r="I5" s="24"/>
      <c r="J5" s="14">
        <v>45727</v>
      </c>
    </row>
    <row r="6" spans="2:10">
      <c r="B6" s="15" t="s">
        <v>209</v>
      </c>
      <c r="C6" s="15" t="s">
        <v>20794</v>
      </c>
      <c r="D6" s="15" t="s">
        <v>20727</v>
      </c>
      <c r="E6" s="15" t="s">
        <v>15989</v>
      </c>
      <c r="F6" s="15" t="s">
        <v>10016</v>
      </c>
      <c r="G6" s="24"/>
      <c r="H6" s="24"/>
      <c r="I6" s="24"/>
      <c r="J6" s="14">
        <v>45727</v>
      </c>
    </row>
    <row r="7" spans="2:10">
      <c r="B7" s="15" t="s">
        <v>209</v>
      </c>
      <c r="C7" s="15" t="s">
        <v>18473</v>
      </c>
      <c r="D7" s="15" t="s">
        <v>20700</v>
      </c>
      <c r="E7" s="15" t="s">
        <v>15989</v>
      </c>
      <c r="F7" s="15" t="s">
        <v>20795</v>
      </c>
      <c r="G7" s="15"/>
      <c r="H7" s="15"/>
      <c r="I7" s="15"/>
      <c r="J7" s="35">
        <v>45727</v>
      </c>
    </row>
    <row r="8" spans="2:10">
      <c r="B8" s="15" t="s">
        <v>209</v>
      </c>
      <c r="C8" s="15" t="s">
        <v>20796</v>
      </c>
      <c r="D8" s="15" t="s">
        <v>479</v>
      </c>
      <c r="E8" s="15" t="s">
        <v>305</v>
      </c>
      <c r="F8" s="15" t="s">
        <v>20797</v>
      </c>
      <c r="G8" s="15"/>
      <c r="H8" s="15"/>
      <c r="I8" s="15" t="s">
        <v>528</v>
      </c>
      <c r="J8" s="35">
        <v>45727</v>
      </c>
    </row>
    <row r="9" spans="2:10">
      <c r="B9" s="15" t="s">
        <v>209</v>
      </c>
      <c r="C9" s="15" t="s">
        <v>16011</v>
      </c>
      <c r="D9" s="15" t="s">
        <v>20682</v>
      </c>
      <c r="E9" s="15" t="s">
        <v>305</v>
      </c>
      <c r="F9" s="15" t="s">
        <v>16012</v>
      </c>
      <c r="G9" s="15"/>
      <c r="H9" s="15"/>
      <c r="I9" s="15" t="s">
        <v>528</v>
      </c>
      <c r="J9" s="35">
        <v>45727</v>
      </c>
    </row>
    <row r="10" spans="2:10">
      <c r="B10" s="15" t="s">
        <v>209</v>
      </c>
      <c r="C10" s="15" t="s">
        <v>16009</v>
      </c>
      <c r="D10" s="15" t="s">
        <v>20682</v>
      </c>
      <c r="E10" s="15" t="s">
        <v>305</v>
      </c>
      <c r="F10" s="15" t="s">
        <v>16010</v>
      </c>
      <c r="G10" s="15"/>
      <c r="H10" s="15"/>
      <c r="I10" s="15" t="s">
        <v>528</v>
      </c>
      <c r="J10" s="35">
        <v>45727</v>
      </c>
    </row>
    <row r="11" spans="2:10">
      <c r="B11" s="15" t="s">
        <v>209</v>
      </c>
      <c r="C11" s="15" t="s">
        <v>16013</v>
      </c>
      <c r="D11" s="15" t="s">
        <v>20682</v>
      </c>
      <c r="E11" s="15" t="s">
        <v>305</v>
      </c>
      <c r="F11" s="15" t="s">
        <v>16274</v>
      </c>
      <c r="G11" s="16"/>
      <c r="H11" s="16"/>
      <c r="I11" s="16" t="s">
        <v>528</v>
      </c>
      <c r="J11" s="35">
        <v>45727</v>
      </c>
    </row>
    <row r="12" spans="2:10">
      <c r="B12" s="15" t="s">
        <v>209</v>
      </c>
      <c r="C12" s="15" t="s">
        <v>16017</v>
      </c>
      <c r="D12" s="15" t="s">
        <v>316</v>
      </c>
      <c r="E12" s="15" t="s">
        <v>305</v>
      </c>
      <c r="F12" s="19" t="s">
        <v>16018</v>
      </c>
      <c r="G12" s="5"/>
      <c r="H12" s="5"/>
      <c r="I12" s="5"/>
      <c r="J12" s="45">
        <v>45727</v>
      </c>
    </row>
    <row r="13" spans="2:10">
      <c r="B13" s="15" t="s">
        <v>209</v>
      </c>
      <c r="C13" s="15" t="s">
        <v>16015</v>
      </c>
      <c r="D13" s="15" t="s">
        <v>316</v>
      </c>
      <c r="E13" s="15" t="s">
        <v>305</v>
      </c>
      <c r="F13" s="19" t="s">
        <v>16016</v>
      </c>
      <c r="G13" s="5"/>
      <c r="H13" s="5"/>
      <c r="I13" s="5"/>
      <c r="J13" s="45">
        <v>45727</v>
      </c>
    </row>
    <row r="14" spans="2:10">
      <c r="B14" s="15" t="s">
        <v>209</v>
      </c>
      <c r="C14" s="15" t="s">
        <v>16019</v>
      </c>
      <c r="D14" s="15" t="s">
        <v>371</v>
      </c>
      <c r="E14" s="15" t="s">
        <v>305</v>
      </c>
      <c r="F14" s="19" t="s">
        <v>16020</v>
      </c>
      <c r="G14" s="5"/>
      <c r="H14" s="5"/>
      <c r="I14" s="5"/>
      <c r="J14" s="45">
        <v>45727</v>
      </c>
    </row>
    <row r="15" spans="6:6">
      <c r="F15" s="15"/>
    </row>
  </sheetData>
  <pageMargins left="0.75" right="0.75" top="1" bottom="1" header="0.5" footer="0.5"/>
  <headerFooter/>
</worksheet>
</file>

<file path=xl/worksheets/sheet19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3"/>
  <sheetViews>
    <sheetView workbookViewId="0">
      <selection activeCell="F18" sqref="F18"/>
    </sheetView>
  </sheetViews>
  <sheetFormatPr defaultColWidth="9.14285714285714" defaultRowHeight="15.2"/>
  <cols>
    <col min="2" max="2" width="36.4285714285714" customWidth="1"/>
    <col min="3" max="3" width="24.8571428571429" customWidth="1"/>
    <col min="4" max="4" width="14" customWidth="1"/>
    <col min="6" max="6" width="33.6428571428571" customWidth="1"/>
    <col min="12" max="24" width="30.7142857142857" customWidth="1"/>
    <col min="25" max="28" width="28.7142857142857" customWidth="1"/>
    <col min="29" max="29" width="11.0714285714286" customWidth="1"/>
  </cols>
  <sheetData>
    <row r="1" spans="1:2">
      <c r="A1" s="1" t="str">
        <f>HYPERLINK("#表结构清单!A1","返回")</f>
        <v>返回</v>
      </c>
      <c r="B1" s="2" t="s">
        <v>212</v>
      </c>
    </row>
    <row r="2" spans="2:10">
      <c r="B2" s="13" t="s">
        <v>15982</v>
      </c>
      <c r="C2" s="13" t="s">
        <v>297</v>
      </c>
      <c r="D2" s="13" t="s">
        <v>11870</v>
      </c>
      <c r="E2" s="13" t="s">
        <v>15983</v>
      </c>
      <c r="F2" s="13" t="s">
        <v>15984</v>
      </c>
      <c r="G2" s="13" t="s">
        <v>300</v>
      </c>
      <c r="H2" s="13" t="s">
        <v>301</v>
      </c>
      <c r="I2" s="13" t="s">
        <v>15985</v>
      </c>
      <c r="J2" s="13" t="s">
        <v>15986</v>
      </c>
    </row>
    <row r="3" spans="2:10">
      <c r="B3" s="15" t="s">
        <v>20798</v>
      </c>
      <c r="C3" s="15" t="s">
        <v>15988</v>
      </c>
      <c r="D3" s="15" t="s">
        <v>20682</v>
      </c>
      <c r="E3" s="15" t="s">
        <v>15989</v>
      </c>
      <c r="F3" s="15" t="s">
        <v>15990</v>
      </c>
      <c r="G3" s="15"/>
      <c r="H3" s="15"/>
      <c r="I3" s="15"/>
      <c r="J3" s="35">
        <v>45727</v>
      </c>
    </row>
    <row r="4" spans="2:10">
      <c r="B4" s="15" t="s">
        <v>20798</v>
      </c>
      <c r="C4" s="15" t="s">
        <v>20799</v>
      </c>
      <c r="D4" s="15" t="s">
        <v>20695</v>
      </c>
      <c r="E4" s="15" t="s">
        <v>305</v>
      </c>
      <c r="F4" s="15" t="s">
        <v>11866</v>
      </c>
      <c r="G4" s="24"/>
      <c r="H4" s="24"/>
      <c r="I4" s="24"/>
      <c r="J4" s="14">
        <v>45727</v>
      </c>
    </row>
    <row r="5" spans="2:10">
      <c r="B5" s="15" t="s">
        <v>20798</v>
      </c>
      <c r="C5" s="15" t="s">
        <v>20800</v>
      </c>
      <c r="D5" s="15" t="s">
        <v>20691</v>
      </c>
      <c r="E5" s="15" t="s">
        <v>305</v>
      </c>
      <c r="F5" s="15" t="s">
        <v>20801</v>
      </c>
      <c r="G5" s="24"/>
      <c r="H5" s="24"/>
      <c r="I5" s="24"/>
      <c r="J5" s="14">
        <v>45727</v>
      </c>
    </row>
    <row r="6" spans="2:10">
      <c r="B6" s="15" t="s">
        <v>20798</v>
      </c>
      <c r="C6" s="15" t="s">
        <v>20802</v>
      </c>
      <c r="D6" s="15" t="s">
        <v>20695</v>
      </c>
      <c r="E6" s="15" t="s">
        <v>305</v>
      </c>
      <c r="F6" s="15" t="s">
        <v>20803</v>
      </c>
      <c r="G6" s="24"/>
      <c r="H6" s="24"/>
      <c r="I6" s="24"/>
      <c r="J6" s="14">
        <v>45727</v>
      </c>
    </row>
    <row r="7" spans="2:10">
      <c r="B7" s="15" t="s">
        <v>20798</v>
      </c>
      <c r="C7" s="15" t="s">
        <v>20804</v>
      </c>
      <c r="D7" s="15" t="s">
        <v>20805</v>
      </c>
      <c r="E7" s="15" t="s">
        <v>305</v>
      </c>
      <c r="F7" s="15" t="s">
        <v>20806</v>
      </c>
      <c r="G7" s="15"/>
      <c r="H7" s="15"/>
      <c r="I7" s="15"/>
      <c r="J7" s="35">
        <v>45727</v>
      </c>
    </row>
    <row r="8" spans="2:10">
      <c r="B8" s="15" t="s">
        <v>20798</v>
      </c>
      <c r="C8" s="15" t="s">
        <v>20807</v>
      </c>
      <c r="D8" s="15" t="s">
        <v>20805</v>
      </c>
      <c r="E8" s="15" t="s">
        <v>305</v>
      </c>
      <c r="F8" s="15" t="s">
        <v>20808</v>
      </c>
      <c r="G8" s="15"/>
      <c r="H8" s="15"/>
      <c r="I8" s="15" t="s">
        <v>528</v>
      </c>
      <c r="J8" s="35">
        <v>45727</v>
      </c>
    </row>
    <row r="9" spans="2:10">
      <c r="B9" s="15" t="s">
        <v>20798</v>
      </c>
      <c r="C9" s="15" t="s">
        <v>20809</v>
      </c>
      <c r="D9" s="15" t="s">
        <v>20711</v>
      </c>
      <c r="E9" s="15" t="s">
        <v>305</v>
      </c>
      <c r="F9" s="15" t="s">
        <v>20810</v>
      </c>
      <c r="G9" s="15"/>
      <c r="H9" s="15"/>
      <c r="I9" s="15" t="s">
        <v>528</v>
      </c>
      <c r="J9" s="35">
        <v>45727</v>
      </c>
    </row>
    <row r="10" spans="2:10">
      <c r="B10" s="15" t="s">
        <v>20798</v>
      </c>
      <c r="C10" s="15" t="s">
        <v>20811</v>
      </c>
      <c r="D10" s="15" t="s">
        <v>20812</v>
      </c>
      <c r="E10" s="15" t="s">
        <v>305</v>
      </c>
      <c r="F10" s="15" t="s">
        <v>20813</v>
      </c>
      <c r="G10" s="15"/>
      <c r="H10" s="15"/>
      <c r="I10" s="15" t="s">
        <v>528</v>
      </c>
      <c r="J10" s="35">
        <v>45727</v>
      </c>
    </row>
    <row r="11" spans="2:10">
      <c r="B11" s="15" t="s">
        <v>20798</v>
      </c>
      <c r="C11" s="15" t="s">
        <v>20814</v>
      </c>
      <c r="D11" s="15" t="s">
        <v>20691</v>
      </c>
      <c r="E11" s="15" t="s">
        <v>305</v>
      </c>
      <c r="F11" s="15" t="s">
        <v>20815</v>
      </c>
      <c r="G11" s="15"/>
      <c r="H11" s="15"/>
      <c r="I11" s="15" t="s">
        <v>528</v>
      </c>
      <c r="J11" s="35">
        <v>45727</v>
      </c>
    </row>
    <row r="12" spans="2:10">
      <c r="B12" s="15" t="s">
        <v>20798</v>
      </c>
      <c r="C12" s="15" t="s">
        <v>20816</v>
      </c>
      <c r="D12" s="15" t="s">
        <v>20817</v>
      </c>
      <c r="E12" s="15" t="s">
        <v>305</v>
      </c>
      <c r="F12" s="15" t="s">
        <v>20818</v>
      </c>
      <c r="G12" s="15"/>
      <c r="H12" s="15"/>
      <c r="I12" s="15"/>
      <c r="J12" s="35">
        <v>45727</v>
      </c>
    </row>
    <row r="13" spans="2:10">
      <c r="B13" s="15" t="s">
        <v>20798</v>
      </c>
      <c r="C13" s="15" t="s">
        <v>20819</v>
      </c>
      <c r="D13" s="15" t="s">
        <v>20805</v>
      </c>
      <c r="E13" s="15" t="s">
        <v>305</v>
      </c>
      <c r="F13" s="15" t="s">
        <v>20820</v>
      </c>
      <c r="G13" s="15"/>
      <c r="H13" s="15"/>
      <c r="I13" s="15"/>
      <c r="J13" s="35">
        <v>45727</v>
      </c>
    </row>
    <row r="14" spans="2:10">
      <c r="B14" s="15" t="s">
        <v>20798</v>
      </c>
      <c r="C14" s="15" t="s">
        <v>20821</v>
      </c>
      <c r="D14" s="15" t="s">
        <v>20805</v>
      </c>
      <c r="E14" s="15" t="s">
        <v>305</v>
      </c>
      <c r="F14" s="15" t="s">
        <v>20822</v>
      </c>
      <c r="G14" s="15"/>
      <c r="H14" s="15"/>
      <c r="I14" s="15"/>
      <c r="J14" s="35">
        <v>45727</v>
      </c>
    </row>
    <row r="15" spans="2:10">
      <c r="B15" s="15" t="s">
        <v>20798</v>
      </c>
      <c r="C15" s="15" t="s">
        <v>20823</v>
      </c>
      <c r="D15" s="15" t="s">
        <v>20824</v>
      </c>
      <c r="E15" s="15" t="s">
        <v>305</v>
      </c>
      <c r="F15" s="15" t="s">
        <v>20686</v>
      </c>
      <c r="G15" s="15"/>
      <c r="H15" s="15"/>
      <c r="I15" s="15"/>
      <c r="J15" s="35">
        <v>45727</v>
      </c>
    </row>
    <row r="16" spans="2:10">
      <c r="B16" s="15" t="s">
        <v>20798</v>
      </c>
      <c r="C16" s="15" t="s">
        <v>20825</v>
      </c>
      <c r="D16" s="15" t="s">
        <v>20826</v>
      </c>
      <c r="E16" s="15" t="s">
        <v>305</v>
      </c>
      <c r="F16" s="15" t="s">
        <v>20690</v>
      </c>
      <c r="G16" s="15"/>
      <c r="H16" s="15"/>
      <c r="I16" s="15"/>
      <c r="J16" s="35">
        <v>45727</v>
      </c>
    </row>
    <row r="17" spans="2:10">
      <c r="B17" s="15" t="s">
        <v>20798</v>
      </c>
      <c r="C17" s="15" t="s">
        <v>20827</v>
      </c>
      <c r="D17" s="15" t="s">
        <v>20727</v>
      </c>
      <c r="E17" s="15" t="s">
        <v>305</v>
      </c>
      <c r="F17" s="15" t="s">
        <v>20707</v>
      </c>
      <c r="G17" s="15"/>
      <c r="H17" s="15"/>
      <c r="I17" s="15"/>
      <c r="J17" s="35">
        <v>45727</v>
      </c>
    </row>
    <row r="18" spans="2:10">
      <c r="B18" s="15" t="s">
        <v>20798</v>
      </c>
      <c r="C18" s="15" t="s">
        <v>20828</v>
      </c>
      <c r="D18" s="15" t="s">
        <v>20695</v>
      </c>
      <c r="E18" s="15" t="s">
        <v>305</v>
      </c>
      <c r="F18" s="15" t="s">
        <v>20829</v>
      </c>
      <c r="G18" s="15"/>
      <c r="H18" s="15"/>
      <c r="I18" s="15"/>
      <c r="J18" s="35">
        <v>45727</v>
      </c>
    </row>
    <row r="19" spans="2:10">
      <c r="B19" s="15" t="s">
        <v>20798</v>
      </c>
      <c r="C19" s="15" t="s">
        <v>20830</v>
      </c>
      <c r="D19" s="15" t="s">
        <v>350</v>
      </c>
      <c r="E19" s="15" t="s">
        <v>305</v>
      </c>
      <c r="F19" s="15" t="s">
        <v>20831</v>
      </c>
      <c r="G19" s="15"/>
      <c r="H19" s="15"/>
      <c r="I19" s="15"/>
      <c r="J19" s="35">
        <v>45727</v>
      </c>
    </row>
    <row r="20" spans="2:10">
      <c r="B20" s="15" t="s">
        <v>20798</v>
      </c>
      <c r="C20" s="15" t="s">
        <v>20832</v>
      </c>
      <c r="D20" s="15" t="s">
        <v>20824</v>
      </c>
      <c r="E20" s="15" t="s">
        <v>305</v>
      </c>
      <c r="F20" s="15" t="s">
        <v>20833</v>
      </c>
      <c r="G20" s="15"/>
      <c r="H20" s="15"/>
      <c r="I20" s="15"/>
      <c r="J20" s="35">
        <v>45727</v>
      </c>
    </row>
    <row r="21" spans="2:10">
      <c r="B21" s="15" t="s">
        <v>20798</v>
      </c>
      <c r="C21" s="15" t="s">
        <v>20834</v>
      </c>
      <c r="D21" s="15" t="s">
        <v>20695</v>
      </c>
      <c r="E21" s="15" t="s">
        <v>305</v>
      </c>
      <c r="F21" s="15" t="s">
        <v>20835</v>
      </c>
      <c r="G21" s="15"/>
      <c r="H21" s="15"/>
      <c r="I21" s="15"/>
      <c r="J21" s="35">
        <v>45727</v>
      </c>
    </row>
    <row r="22" spans="2:10">
      <c r="B22" s="15" t="s">
        <v>20798</v>
      </c>
      <c r="C22" s="15" t="s">
        <v>18805</v>
      </c>
      <c r="D22" s="15" t="s">
        <v>20691</v>
      </c>
      <c r="E22" s="15" t="s">
        <v>305</v>
      </c>
      <c r="F22" s="15" t="s">
        <v>20836</v>
      </c>
      <c r="G22" s="15"/>
      <c r="H22" s="15"/>
      <c r="I22" s="15"/>
      <c r="J22" s="35">
        <v>45727</v>
      </c>
    </row>
    <row r="23" spans="2:10">
      <c r="B23" s="15" t="s">
        <v>20798</v>
      </c>
      <c r="C23" s="15" t="s">
        <v>18807</v>
      </c>
      <c r="D23" s="15" t="s">
        <v>20691</v>
      </c>
      <c r="E23" s="15" t="s">
        <v>305</v>
      </c>
      <c r="F23" s="15" t="s">
        <v>20837</v>
      </c>
      <c r="G23" s="15"/>
      <c r="H23" s="15"/>
      <c r="I23" s="15"/>
      <c r="J23" s="35">
        <v>45727</v>
      </c>
    </row>
    <row r="24" spans="2:10">
      <c r="B24" s="15" t="s">
        <v>20798</v>
      </c>
      <c r="C24" s="15" t="s">
        <v>16011</v>
      </c>
      <c r="D24" s="15" t="s">
        <v>20691</v>
      </c>
      <c r="E24" s="15" t="s">
        <v>305</v>
      </c>
      <c r="F24" s="15" t="s">
        <v>16012</v>
      </c>
      <c r="G24" s="15"/>
      <c r="H24" s="15"/>
      <c r="I24" s="15"/>
      <c r="J24" s="35">
        <v>45727</v>
      </c>
    </row>
    <row r="25" spans="2:10">
      <c r="B25" s="15" t="s">
        <v>20798</v>
      </c>
      <c r="C25" s="15" t="s">
        <v>16009</v>
      </c>
      <c r="D25" s="15" t="s">
        <v>20691</v>
      </c>
      <c r="E25" s="15" t="s">
        <v>305</v>
      </c>
      <c r="F25" s="15" t="s">
        <v>16010</v>
      </c>
      <c r="G25" s="15"/>
      <c r="H25" s="15"/>
      <c r="I25" s="15"/>
      <c r="J25" s="35">
        <v>45727</v>
      </c>
    </row>
    <row r="26" spans="2:10">
      <c r="B26" s="15" t="s">
        <v>20798</v>
      </c>
      <c r="C26" s="15" t="s">
        <v>20838</v>
      </c>
      <c r="D26" s="15" t="s">
        <v>20682</v>
      </c>
      <c r="E26" s="15" t="s">
        <v>305</v>
      </c>
      <c r="F26" s="15" t="s">
        <v>20839</v>
      </c>
      <c r="G26" s="15"/>
      <c r="H26" s="15"/>
      <c r="I26" s="15"/>
      <c r="J26" s="35">
        <v>45727</v>
      </c>
    </row>
    <row r="27" spans="2:10">
      <c r="B27" s="15" t="s">
        <v>20798</v>
      </c>
      <c r="C27" s="15" t="s">
        <v>20840</v>
      </c>
      <c r="D27" s="15" t="s">
        <v>20691</v>
      </c>
      <c r="E27" s="15" t="s">
        <v>305</v>
      </c>
      <c r="F27" s="15" t="s">
        <v>20841</v>
      </c>
      <c r="G27" s="15"/>
      <c r="H27" s="15"/>
      <c r="I27" s="15"/>
      <c r="J27" s="35">
        <v>45727</v>
      </c>
    </row>
    <row r="28" spans="2:10">
      <c r="B28" s="15" t="s">
        <v>20798</v>
      </c>
      <c r="C28" s="15" t="s">
        <v>20842</v>
      </c>
      <c r="D28" s="15" t="s">
        <v>20805</v>
      </c>
      <c r="E28" s="15" t="s">
        <v>305</v>
      </c>
      <c r="F28" s="15" t="s">
        <v>20843</v>
      </c>
      <c r="G28" s="15"/>
      <c r="H28" s="15"/>
      <c r="I28" s="15"/>
      <c r="J28" s="35">
        <v>45727</v>
      </c>
    </row>
    <row r="29" spans="2:10">
      <c r="B29" s="15" t="s">
        <v>20798</v>
      </c>
      <c r="C29" s="15" t="s">
        <v>20844</v>
      </c>
      <c r="D29" s="15" t="s">
        <v>20805</v>
      </c>
      <c r="E29" s="15" t="s">
        <v>305</v>
      </c>
      <c r="F29" s="15" t="s">
        <v>20845</v>
      </c>
      <c r="G29" s="15"/>
      <c r="H29" s="15"/>
      <c r="I29" s="15"/>
      <c r="J29" s="35">
        <v>45727</v>
      </c>
    </row>
    <row r="30" spans="2:10">
      <c r="B30" s="15" t="s">
        <v>20798</v>
      </c>
      <c r="C30" s="15" t="s">
        <v>20846</v>
      </c>
      <c r="D30" s="15" t="s">
        <v>20805</v>
      </c>
      <c r="E30" s="15" t="s">
        <v>305</v>
      </c>
      <c r="F30" s="15" t="s">
        <v>20847</v>
      </c>
      <c r="G30" s="15"/>
      <c r="H30" s="15"/>
      <c r="I30" s="15"/>
      <c r="J30" s="35">
        <v>45727</v>
      </c>
    </row>
    <row r="31" spans="2:10">
      <c r="B31" s="15" t="s">
        <v>20798</v>
      </c>
      <c r="C31" s="15" t="s">
        <v>20848</v>
      </c>
      <c r="D31" s="15" t="s">
        <v>20754</v>
      </c>
      <c r="E31" s="15" t="s">
        <v>305</v>
      </c>
      <c r="F31" s="15" t="s">
        <v>20849</v>
      </c>
      <c r="G31" s="15"/>
      <c r="H31" s="15"/>
      <c r="I31" s="15"/>
      <c r="J31" s="35">
        <v>45727</v>
      </c>
    </row>
    <row r="32" spans="2:10">
      <c r="B32" s="15" t="s">
        <v>20798</v>
      </c>
      <c r="C32" s="15" t="s">
        <v>16103</v>
      </c>
      <c r="D32" s="15" t="s">
        <v>20682</v>
      </c>
      <c r="E32" s="15" t="s">
        <v>305</v>
      </c>
      <c r="F32" s="20" t="s">
        <v>16986</v>
      </c>
      <c r="G32" s="15"/>
      <c r="H32" s="15"/>
      <c r="I32" s="15"/>
      <c r="J32" s="35">
        <v>45727</v>
      </c>
    </row>
    <row r="33" spans="2:10">
      <c r="B33" s="15" t="s">
        <v>20798</v>
      </c>
      <c r="C33" s="15" t="s">
        <v>18898</v>
      </c>
      <c r="D33" s="15" t="s">
        <v>20682</v>
      </c>
      <c r="E33" s="15" t="s">
        <v>305</v>
      </c>
      <c r="F33" s="20" t="s">
        <v>20683</v>
      </c>
      <c r="G33" s="15"/>
      <c r="H33" s="15"/>
      <c r="I33" s="15"/>
      <c r="J33" s="35">
        <v>45727</v>
      </c>
    </row>
  </sheetData>
  <pageMargins left="0.75" right="0.75" top="1" bottom="1" header="0.5" footer="0.5"/>
  <headerFooter/>
</worksheet>
</file>

<file path=xl/worksheets/sheet19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0"/>
  <sheetViews>
    <sheetView workbookViewId="0">
      <selection activeCell="A1" sqref="A1"/>
    </sheetView>
  </sheetViews>
  <sheetFormatPr defaultColWidth="9.14285714285714" defaultRowHeight="15.2"/>
  <cols>
    <col min="2" max="2" width="27.5267857142857" customWidth="1"/>
    <col min="3" max="3" width="18" customWidth="1"/>
    <col min="4" max="4" width="14" customWidth="1"/>
    <col min="6" max="6" width="12.9464285714286" customWidth="1"/>
    <col min="12" max="27" width="30.7142857142857" customWidth="1"/>
    <col min="28" max="31" width="28.7142857142857" customWidth="1"/>
    <col min="32" max="32" width="11.0714285714286" customWidth="1"/>
  </cols>
  <sheetData>
    <row r="1" spans="1:2">
      <c r="A1" s="1" t="str">
        <f>HYPERLINK("#表结构清单!A1","返回")</f>
        <v>返回</v>
      </c>
      <c r="B1" s="2" t="s">
        <v>214</v>
      </c>
    </row>
    <row r="2" spans="2:10">
      <c r="B2" s="13" t="s">
        <v>15982</v>
      </c>
      <c r="C2" s="13" t="s">
        <v>297</v>
      </c>
      <c r="D2" s="13" t="s">
        <v>11870</v>
      </c>
      <c r="E2" s="13" t="s">
        <v>15983</v>
      </c>
      <c r="F2" s="13" t="s">
        <v>15984</v>
      </c>
      <c r="G2" s="13" t="s">
        <v>300</v>
      </c>
      <c r="H2" s="13" t="s">
        <v>301</v>
      </c>
      <c r="I2" s="13" t="s">
        <v>15985</v>
      </c>
      <c r="J2" s="13" t="s">
        <v>15986</v>
      </c>
    </row>
    <row r="3" spans="2:10">
      <c r="B3" s="15" t="s">
        <v>213</v>
      </c>
      <c r="C3" s="15" t="s">
        <v>15988</v>
      </c>
      <c r="D3" s="15" t="s">
        <v>20682</v>
      </c>
      <c r="E3" s="15" t="s">
        <v>15989</v>
      </c>
      <c r="F3" s="15" t="s">
        <v>15990</v>
      </c>
      <c r="G3" s="15"/>
      <c r="H3" s="15"/>
      <c r="I3" s="15"/>
      <c r="J3" s="35">
        <v>45727</v>
      </c>
    </row>
    <row r="4" spans="2:10">
      <c r="B4" s="15" t="s">
        <v>213</v>
      </c>
      <c r="C4" s="24" t="s">
        <v>19304</v>
      </c>
      <c r="D4" s="24" t="s">
        <v>20682</v>
      </c>
      <c r="E4" s="24" t="s">
        <v>305</v>
      </c>
      <c r="F4" s="24" t="s">
        <v>20839</v>
      </c>
      <c r="G4" s="24"/>
      <c r="H4" s="24"/>
      <c r="I4" s="24"/>
      <c r="J4" s="14">
        <v>45727</v>
      </c>
    </row>
    <row r="5" spans="2:10">
      <c r="B5" s="15" t="s">
        <v>213</v>
      </c>
      <c r="C5" s="24" t="s">
        <v>20850</v>
      </c>
      <c r="D5" s="24" t="s">
        <v>20682</v>
      </c>
      <c r="E5" s="24" t="s">
        <v>305</v>
      </c>
      <c r="F5" s="24" t="s">
        <v>20851</v>
      </c>
      <c r="G5" s="24"/>
      <c r="H5" s="24"/>
      <c r="I5" s="24"/>
      <c r="J5" s="14">
        <v>45727</v>
      </c>
    </row>
    <row r="6" spans="2:10">
      <c r="B6" s="15" t="s">
        <v>213</v>
      </c>
      <c r="C6" s="24" t="s">
        <v>20852</v>
      </c>
      <c r="D6" s="24" t="s">
        <v>20853</v>
      </c>
      <c r="E6" s="24" t="s">
        <v>305</v>
      </c>
      <c r="F6" s="24" t="s">
        <v>20854</v>
      </c>
      <c r="G6" s="24"/>
      <c r="H6" s="24"/>
      <c r="I6" s="24"/>
      <c r="J6" s="14">
        <v>45727</v>
      </c>
    </row>
    <row r="7" spans="2:10">
      <c r="B7" s="15" t="s">
        <v>213</v>
      </c>
      <c r="C7" s="24" t="s">
        <v>20855</v>
      </c>
      <c r="D7" s="24" t="s">
        <v>20853</v>
      </c>
      <c r="E7" s="24" t="s">
        <v>305</v>
      </c>
      <c r="F7" s="24" t="s">
        <v>20707</v>
      </c>
      <c r="G7" s="15"/>
      <c r="H7" s="15"/>
      <c r="I7" s="15"/>
      <c r="J7" s="35">
        <v>45727</v>
      </c>
    </row>
    <row r="8" spans="2:10">
      <c r="B8" s="15" t="s">
        <v>213</v>
      </c>
      <c r="C8" s="24" t="s">
        <v>20856</v>
      </c>
      <c r="D8" s="24" t="s">
        <v>20727</v>
      </c>
      <c r="E8" s="24" t="s">
        <v>305</v>
      </c>
      <c r="F8" s="24" t="s">
        <v>20696</v>
      </c>
      <c r="G8" s="15"/>
      <c r="H8" s="15"/>
      <c r="I8" s="15" t="s">
        <v>528</v>
      </c>
      <c r="J8" s="35">
        <v>45727</v>
      </c>
    </row>
    <row r="9" spans="2:10">
      <c r="B9" s="15" t="s">
        <v>213</v>
      </c>
      <c r="C9" s="24" t="s">
        <v>20857</v>
      </c>
      <c r="D9" s="24" t="s">
        <v>20727</v>
      </c>
      <c r="E9" s="24" t="s">
        <v>305</v>
      </c>
      <c r="F9" s="24" t="s">
        <v>20858</v>
      </c>
      <c r="G9" s="15"/>
      <c r="H9" s="15"/>
      <c r="I9" s="15" t="s">
        <v>528</v>
      </c>
      <c r="J9" s="35">
        <v>45727</v>
      </c>
    </row>
    <row r="10" spans="2:10">
      <c r="B10" s="15" t="s">
        <v>213</v>
      </c>
      <c r="C10" s="24" t="s">
        <v>20859</v>
      </c>
      <c r="D10" s="24" t="s">
        <v>20754</v>
      </c>
      <c r="E10" s="24" t="s">
        <v>305</v>
      </c>
      <c r="F10" s="24" t="s">
        <v>20815</v>
      </c>
      <c r="G10" s="15"/>
      <c r="H10" s="15"/>
      <c r="I10" s="15" t="s">
        <v>528</v>
      </c>
      <c r="J10" s="35">
        <v>45727</v>
      </c>
    </row>
    <row r="11" spans="2:10">
      <c r="B11" s="15" t="s">
        <v>213</v>
      </c>
      <c r="C11" s="24" t="s">
        <v>20860</v>
      </c>
      <c r="D11" s="24" t="s">
        <v>20727</v>
      </c>
      <c r="E11" s="24" t="s">
        <v>305</v>
      </c>
      <c r="F11" s="24" t="s">
        <v>20861</v>
      </c>
      <c r="G11" s="15"/>
      <c r="H11" s="15"/>
      <c r="I11" s="15" t="s">
        <v>528</v>
      </c>
      <c r="J11" s="35">
        <v>45727</v>
      </c>
    </row>
    <row r="12" spans="2:10">
      <c r="B12" s="15" t="s">
        <v>213</v>
      </c>
      <c r="C12" s="24" t="s">
        <v>20862</v>
      </c>
      <c r="D12" s="24" t="s">
        <v>20727</v>
      </c>
      <c r="E12" s="24" t="s">
        <v>305</v>
      </c>
      <c r="F12" s="24" t="s">
        <v>19307</v>
      </c>
      <c r="G12" s="15"/>
      <c r="H12" s="15"/>
      <c r="I12" s="15"/>
      <c r="J12" s="35">
        <v>45727</v>
      </c>
    </row>
    <row r="13" spans="2:10">
      <c r="B13" s="15" t="s">
        <v>213</v>
      </c>
      <c r="C13" s="24" t="s">
        <v>20863</v>
      </c>
      <c r="D13" s="24" t="s">
        <v>20700</v>
      </c>
      <c r="E13" s="24" t="s">
        <v>305</v>
      </c>
      <c r="F13" s="24" t="s">
        <v>20864</v>
      </c>
      <c r="G13" s="15"/>
      <c r="H13" s="15"/>
      <c r="I13" s="15"/>
      <c r="J13" s="35">
        <v>45727</v>
      </c>
    </row>
    <row r="14" spans="2:10">
      <c r="B14" s="15" t="s">
        <v>213</v>
      </c>
      <c r="C14" s="24" t="s">
        <v>20865</v>
      </c>
      <c r="D14" s="24" t="s">
        <v>20727</v>
      </c>
      <c r="E14" s="24" t="s">
        <v>305</v>
      </c>
      <c r="F14" s="24" t="s">
        <v>20866</v>
      </c>
      <c r="G14" s="15"/>
      <c r="H14" s="15"/>
      <c r="I14" s="15"/>
      <c r="J14" s="35">
        <v>45727</v>
      </c>
    </row>
    <row r="15" spans="2:10">
      <c r="B15" s="15" t="s">
        <v>213</v>
      </c>
      <c r="C15" s="24" t="s">
        <v>20867</v>
      </c>
      <c r="D15" s="24" t="s">
        <v>20695</v>
      </c>
      <c r="E15" s="24" t="s">
        <v>305</v>
      </c>
      <c r="F15" s="24" t="s">
        <v>20829</v>
      </c>
      <c r="G15" s="15"/>
      <c r="H15" s="15"/>
      <c r="I15" s="15"/>
      <c r="J15" s="35">
        <v>45727</v>
      </c>
    </row>
    <row r="16" spans="2:10">
      <c r="B16" s="15" t="s">
        <v>213</v>
      </c>
      <c r="C16" s="24" t="s">
        <v>20868</v>
      </c>
      <c r="D16" s="24" t="s">
        <v>20805</v>
      </c>
      <c r="E16" s="24" t="s">
        <v>305</v>
      </c>
      <c r="F16" s="24" t="s">
        <v>16274</v>
      </c>
      <c r="G16" s="15"/>
      <c r="H16" s="15"/>
      <c r="I16" s="15"/>
      <c r="J16" s="35">
        <v>45727</v>
      </c>
    </row>
    <row r="17" spans="2:10">
      <c r="B17" s="15" t="s">
        <v>213</v>
      </c>
      <c r="C17" s="24" t="s">
        <v>20869</v>
      </c>
      <c r="D17" s="24" t="s">
        <v>20695</v>
      </c>
      <c r="E17" s="24" t="s">
        <v>305</v>
      </c>
      <c r="F17" s="24" t="s">
        <v>20785</v>
      </c>
      <c r="G17" s="15"/>
      <c r="H17" s="15"/>
      <c r="I17" s="15"/>
      <c r="J17" s="35">
        <v>45727</v>
      </c>
    </row>
    <row r="18" spans="2:10">
      <c r="B18" s="15" t="s">
        <v>213</v>
      </c>
      <c r="C18" s="24" t="s">
        <v>20870</v>
      </c>
      <c r="D18" s="24" t="s">
        <v>20754</v>
      </c>
      <c r="E18" s="24" t="s">
        <v>305</v>
      </c>
      <c r="F18" s="24" t="s">
        <v>20871</v>
      </c>
      <c r="G18" s="15"/>
      <c r="H18" s="15"/>
      <c r="I18" s="15"/>
      <c r="J18" s="35">
        <v>45727</v>
      </c>
    </row>
    <row r="19" spans="2:10">
      <c r="B19" s="15" t="s">
        <v>213</v>
      </c>
      <c r="C19" s="24" t="s">
        <v>15992</v>
      </c>
      <c r="D19" s="24" t="s">
        <v>20691</v>
      </c>
      <c r="E19" s="24" t="s">
        <v>305</v>
      </c>
      <c r="F19" s="24" t="s">
        <v>20872</v>
      </c>
      <c r="G19" s="15"/>
      <c r="H19" s="15"/>
      <c r="I19" s="15"/>
      <c r="J19" s="35">
        <v>45727</v>
      </c>
    </row>
    <row r="20" spans="2:10">
      <c r="B20" s="15" t="s">
        <v>213</v>
      </c>
      <c r="C20" s="24" t="s">
        <v>20873</v>
      </c>
      <c r="D20" s="24" t="s">
        <v>20691</v>
      </c>
      <c r="E20" s="24" t="s">
        <v>305</v>
      </c>
      <c r="F20" s="24" t="s">
        <v>20874</v>
      </c>
      <c r="G20" s="15"/>
      <c r="H20" s="15"/>
      <c r="I20" s="15"/>
      <c r="J20" s="35">
        <v>45727</v>
      </c>
    </row>
    <row r="21" spans="2:10">
      <c r="B21" s="15" t="s">
        <v>213</v>
      </c>
      <c r="C21" s="24" t="s">
        <v>20875</v>
      </c>
      <c r="D21" s="24" t="s">
        <v>20805</v>
      </c>
      <c r="E21" s="24" t="s">
        <v>305</v>
      </c>
      <c r="F21" s="24" t="s">
        <v>16014</v>
      </c>
      <c r="G21" s="15"/>
      <c r="H21" s="15"/>
      <c r="I21" s="15"/>
      <c r="J21" s="35">
        <v>45727</v>
      </c>
    </row>
    <row r="22" spans="2:10">
      <c r="B22" s="15" t="s">
        <v>213</v>
      </c>
      <c r="C22" s="15" t="s">
        <v>16019</v>
      </c>
      <c r="D22" s="15" t="s">
        <v>20805</v>
      </c>
      <c r="E22" s="15" t="s">
        <v>305</v>
      </c>
      <c r="F22" s="15" t="s">
        <v>16020</v>
      </c>
      <c r="G22" s="15"/>
      <c r="H22" s="15"/>
      <c r="I22" s="15"/>
      <c r="J22" s="35">
        <v>45727</v>
      </c>
    </row>
    <row r="23" spans="2:10">
      <c r="B23" s="15" t="s">
        <v>213</v>
      </c>
      <c r="C23" s="15" t="s">
        <v>16103</v>
      </c>
      <c r="D23" s="15" t="s">
        <v>20682</v>
      </c>
      <c r="E23" s="15" t="s">
        <v>305</v>
      </c>
      <c r="F23" s="20" t="s">
        <v>16986</v>
      </c>
      <c r="G23" s="15"/>
      <c r="H23" s="15"/>
      <c r="I23" s="15"/>
      <c r="J23" s="35">
        <v>45727</v>
      </c>
    </row>
    <row r="24" spans="2:10">
      <c r="B24" s="15" t="s">
        <v>213</v>
      </c>
      <c r="C24" s="15" t="s">
        <v>18898</v>
      </c>
      <c r="D24" s="15" t="s">
        <v>20682</v>
      </c>
      <c r="E24" s="15" t="s">
        <v>305</v>
      </c>
      <c r="F24" s="20" t="s">
        <v>20683</v>
      </c>
      <c r="G24" s="16"/>
      <c r="H24" s="16"/>
      <c r="I24" s="16"/>
      <c r="J24" s="35">
        <v>45727</v>
      </c>
    </row>
    <row r="25" spans="2:10">
      <c r="B25" s="15" t="s">
        <v>213</v>
      </c>
      <c r="C25" s="15" t="s">
        <v>16011</v>
      </c>
      <c r="D25" s="15" t="s">
        <v>316</v>
      </c>
      <c r="E25" s="15" t="s">
        <v>305</v>
      </c>
      <c r="F25" s="19" t="s">
        <v>16012</v>
      </c>
      <c r="G25" s="5"/>
      <c r="H25" s="5"/>
      <c r="I25" s="5"/>
      <c r="J25" s="45">
        <v>45727</v>
      </c>
    </row>
    <row r="26" spans="2:10">
      <c r="B26" s="15" t="s">
        <v>213</v>
      </c>
      <c r="C26" s="15" t="s">
        <v>16009</v>
      </c>
      <c r="D26" s="15" t="s">
        <v>316</v>
      </c>
      <c r="E26" s="15" t="s">
        <v>305</v>
      </c>
      <c r="F26" s="19" t="s">
        <v>16010</v>
      </c>
      <c r="G26" s="5"/>
      <c r="H26" s="5"/>
      <c r="I26" s="5"/>
      <c r="J26" s="45">
        <v>45727</v>
      </c>
    </row>
    <row r="27" spans="2:10">
      <c r="B27" s="15" t="s">
        <v>213</v>
      </c>
      <c r="C27" s="15" t="s">
        <v>16013</v>
      </c>
      <c r="D27" s="15" t="s">
        <v>371</v>
      </c>
      <c r="E27" s="15" t="s">
        <v>305</v>
      </c>
      <c r="F27" s="19" t="s">
        <v>16014</v>
      </c>
      <c r="G27" s="5"/>
      <c r="H27" s="5"/>
      <c r="I27" s="5"/>
      <c r="J27" s="45">
        <v>45727</v>
      </c>
    </row>
    <row r="28" spans="2:10">
      <c r="B28" s="15" t="s">
        <v>213</v>
      </c>
      <c r="C28" s="15" t="s">
        <v>16017</v>
      </c>
      <c r="D28" s="15" t="s">
        <v>316</v>
      </c>
      <c r="E28" s="15" t="s">
        <v>305</v>
      </c>
      <c r="F28" s="19" t="s">
        <v>16018</v>
      </c>
      <c r="G28" s="5"/>
      <c r="H28" s="5"/>
      <c r="I28" s="5"/>
      <c r="J28" s="45">
        <v>45727</v>
      </c>
    </row>
    <row r="29" spans="2:10">
      <c r="B29" s="15" t="s">
        <v>213</v>
      </c>
      <c r="C29" s="15" t="s">
        <v>16015</v>
      </c>
      <c r="D29" s="15" t="s">
        <v>316</v>
      </c>
      <c r="E29" s="15" t="s">
        <v>305</v>
      </c>
      <c r="F29" s="19" t="s">
        <v>16016</v>
      </c>
      <c r="G29" s="5"/>
      <c r="H29" s="5"/>
      <c r="I29" s="5"/>
      <c r="J29" s="45">
        <v>45727</v>
      </c>
    </row>
    <row r="30" spans="2:10">
      <c r="B30" s="15" t="s">
        <v>213</v>
      </c>
      <c r="C30" s="15" t="s">
        <v>16019</v>
      </c>
      <c r="D30" s="15" t="s">
        <v>371</v>
      </c>
      <c r="E30" s="15" t="s">
        <v>305</v>
      </c>
      <c r="F30" s="19" t="s">
        <v>16020</v>
      </c>
      <c r="G30" s="5"/>
      <c r="H30" s="5"/>
      <c r="I30" s="5"/>
      <c r="J30" s="45">
        <v>45727</v>
      </c>
    </row>
  </sheetData>
  <pageMargins left="0.75" right="0.75" top="1" bottom="1" header="0.5" footer="0.5"/>
  <headerFooter/>
</worksheet>
</file>

<file path=xl/worksheets/sheet19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3"/>
  <sheetViews>
    <sheetView workbookViewId="0">
      <selection activeCell="A1" sqref="A1"/>
    </sheetView>
  </sheetViews>
  <sheetFormatPr defaultColWidth="9.14285714285714" defaultRowHeight="15.2"/>
  <cols>
    <col min="2" max="2" width="27.5267857142857" customWidth="1"/>
    <col min="3" max="3" width="18" customWidth="1"/>
    <col min="4" max="4" width="14" customWidth="1"/>
    <col min="6" max="6" width="12.9464285714286" customWidth="1"/>
    <col min="12" max="27" width="30.7142857142857" customWidth="1"/>
    <col min="28" max="31" width="28.7142857142857" customWidth="1"/>
    <col min="32" max="32" width="11.0714285714286" customWidth="1"/>
  </cols>
  <sheetData>
    <row r="1" spans="1:2">
      <c r="A1" s="1" t="str">
        <f>HYPERLINK("#表结构清单!A1","返回")</f>
        <v>返回</v>
      </c>
      <c r="B1" s="2" t="s">
        <v>216</v>
      </c>
    </row>
    <row r="2" spans="2:10">
      <c r="B2" s="13" t="s">
        <v>15982</v>
      </c>
      <c r="C2" s="13" t="s">
        <v>297</v>
      </c>
      <c r="D2" s="13" t="s">
        <v>11870</v>
      </c>
      <c r="E2" s="13" t="s">
        <v>15983</v>
      </c>
      <c r="F2" s="13" t="s">
        <v>15984</v>
      </c>
      <c r="G2" s="13" t="s">
        <v>300</v>
      </c>
      <c r="H2" s="13" t="s">
        <v>301</v>
      </c>
      <c r="I2" s="13" t="s">
        <v>15985</v>
      </c>
      <c r="J2" s="13" t="s">
        <v>15986</v>
      </c>
    </row>
    <row r="3" spans="2:10">
      <c r="B3" s="15" t="s">
        <v>215</v>
      </c>
      <c r="C3" s="15" t="s">
        <v>19197</v>
      </c>
      <c r="D3" s="15" t="s">
        <v>20682</v>
      </c>
      <c r="E3" s="15" t="s">
        <v>15989</v>
      </c>
      <c r="F3" s="20" t="s">
        <v>19198</v>
      </c>
      <c r="G3" s="15"/>
      <c r="H3" s="15"/>
      <c r="I3" s="15"/>
      <c r="J3" s="35">
        <v>45727</v>
      </c>
    </row>
    <row r="4" spans="2:10">
      <c r="B4" s="15" t="s">
        <v>215</v>
      </c>
      <c r="C4" s="15" t="s">
        <v>20876</v>
      </c>
      <c r="D4" s="15" t="s">
        <v>20682</v>
      </c>
      <c r="E4" s="15" t="s">
        <v>305</v>
      </c>
      <c r="F4" s="20" t="s">
        <v>19111</v>
      </c>
      <c r="G4" s="24"/>
      <c r="H4" s="24"/>
      <c r="I4" s="24"/>
      <c r="J4" s="14">
        <v>45727</v>
      </c>
    </row>
    <row r="5" spans="2:10">
      <c r="B5" s="15" t="s">
        <v>215</v>
      </c>
      <c r="C5" s="15" t="s">
        <v>16053</v>
      </c>
      <c r="D5" s="15" t="s">
        <v>316</v>
      </c>
      <c r="E5" s="15" t="s">
        <v>305</v>
      </c>
      <c r="F5" s="15" t="s">
        <v>16012</v>
      </c>
      <c r="G5" s="15"/>
      <c r="H5" s="15"/>
      <c r="I5" s="15" t="s">
        <v>528</v>
      </c>
      <c r="J5" s="35">
        <v>45727</v>
      </c>
    </row>
    <row r="6" spans="2:10">
      <c r="B6" s="15" t="s">
        <v>215</v>
      </c>
      <c r="C6" s="15" t="s">
        <v>16241</v>
      </c>
      <c r="D6" s="15" t="s">
        <v>316</v>
      </c>
      <c r="E6" s="15" t="s">
        <v>305</v>
      </c>
      <c r="F6" s="15" t="s">
        <v>16010</v>
      </c>
      <c r="G6" s="15"/>
      <c r="H6" s="15"/>
      <c r="I6" s="15" t="s">
        <v>528</v>
      </c>
      <c r="J6" s="35">
        <v>45727</v>
      </c>
    </row>
    <row r="7" spans="2:10">
      <c r="B7" s="15" t="s">
        <v>215</v>
      </c>
      <c r="C7" s="15" t="s">
        <v>16237</v>
      </c>
      <c r="D7" s="15" t="s">
        <v>371</v>
      </c>
      <c r="E7" s="15" t="s">
        <v>305</v>
      </c>
      <c r="F7" s="15" t="s">
        <v>16274</v>
      </c>
      <c r="G7" s="15"/>
      <c r="H7" s="15"/>
      <c r="I7" s="15" t="s">
        <v>528</v>
      </c>
      <c r="J7" s="35">
        <v>45727</v>
      </c>
    </row>
    <row r="8" spans="2:10">
      <c r="B8" s="15" t="s">
        <v>215</v>
      </c>
      <c r="C8" s="15" t="s">
        <v>16243</v>
      </c>
      <c r="D8" s="15" t="s">
        <v>316</v>
      </c>
      <c r="E8" s="15" t="s">
        <v>305</v>
      </c>
      <c r="F8" s="15" t="s">
        <v>16018</v>
      </c>
      <c r="G8" s="15"/>
      <c r="H8" s="15"/>
      <c r="I8" s="15" t="s">
        <v>528</v>
      </c>
      <c r="J8" s="35">
        <v>45727</v>
      </c>
    </row>
    <row r="9" spans="2:10">
      <c r="B9" s="15" t="s">
        <v>215</v>
      </c>
      <c r="C9" s="15" t="s">
        <v>16239</v>
      </c>
      <c r="D9" s="15" t="s">
        <v>371</v>
      </c>
      <c r="E9" s="15" t="s">
        <v>305</v>
      </c>
      <c r="F9" s="15" t="s">
        <v>16236</v>
      </c>
      <c r="G9" s="15"/>
      <c r="H9" s="15"/>
      <c r="I9" s="15" t="s">
        <v>528</v>
      </c>
      <c r="J9" s="35">
        <v>45727</v>
      </c>
    </row>
    <row r="10" spans="2:10">
      <c r="B10" s="15" t="s">
        <v>215</v>
      </c>
      <c r="C10" s="15" t="s">
        <v>16017</v>
      </c>
      <c r="D10" s="15" t="s">
        <v>316</v>
      </c>
      <c r="E10" s="15" t="s">
        <v>305</v>
      </c>
      <c r="F10" s="15" t="s">
        <v>20307</v>
      </c>
      <c r="G10" s="15"/>
      <c r="H10" s="15"/>
      <c r="I10" s="15" t="s">
        <v>528</v>
      </c>
      <c r="J10" s="35">
        <v>45727</v>
      </c>
    </row>
    <row r="11" spans="2:10">
      <c r="B11" s="15" t="s">
        <v>215</v>
      </c>
      <c r="C11" s="15" t="s">
        <v>16015</v>
      </c>
      <c r="D11" s="15" t="s">
        <v>316</v>
      </c>
      <c r="E11" s="15" t="s">
        <v>305</v>
      </c>
      <c r="F11" s="15" t="s">
        <v>16016</v>
      </c>
      <c r="G11" s="15"/>
      <c r="H11" s="15"/>
      <c r="I11" s="15" t="s">
        <v>528</v>
      </c>
      <c r="J11" s="35">
        <v>45727</v>
      </c>
    </row>
    <row r="12" spans="2:10">
      <c r="B12" s="15" t="s">
        <v>215</v>
      </c>
      <c r="C12" s="15" t="s">
        <v>16009</v>
      </c>
      <c r="D12" s="15" t="s">
        <v>316</v>
      </c>
      <c r="E12" s="15" t="s">
        <v>305</v>
      </c>
      <c r="F12" s="15" t="s">
        <v>20304</v>
      </c>
      <c r="G12" s="15"/>
      <c r="H12" s="15"/>
      <c r="I12" s="15" t="s">
        <v>528</v>
      </c>
      <c r="J12" s="35">
        <v>45727</v>
      </c>
    </row>
    <row r="13" spans="2:10">
      <c r="B13" s="15" t="s">
        <v>215</v>
      </c>
      <c r="C13" s="15" t="s">
        <v>16011</v>
      </c>
      <c r="D13" s="15" t="s">
        <v>316</v>
      </c>
      <c r="E13" s="15" t="s">
        <v>305</v>
      </c>
      <c r="F13" s="15" t="s">
        <v>20305</v>
      </c>
      <c r="G13" s="15"/>
      <c r="H13" s="15"/>
      <c r="I13" s="15" t="s">
        <v>528</v>
      </c>
      <c r="J13" s="35">
        <v>45727</v>
      </c>
    </row>
  </sheetData>
  <pageMargins left="0.75" right="0.75" top="1" bottom="1" header="0.5" footer="0.5"/>
  <headerFooter/>
</worksheet>
</file>

<file path=xl/worksheets/sheet19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9"/>
  <sheetViews>
    <sheetView workbookViewId="0">
      <selection activeCell="A1" sqref="A1"/>
    </sheetView>
  </sheetViews>
  <sheetFormatPr defaultColWidth="9.14285714285714" defaultRowHeight="15.2"/>
  <cols>
    <col min="2" max="2" width="29.3125" customWidth="1"/>
    <col min="3" max="3" width="18" customWidth="1"/>
    <col min="4" max="4" width="14" customWidth="1"/>
    <col min="6" max="6" width="22.3571428571429" customWidth="1"/>
    <col min="12" max="27" width="30.7142857142857" customWidth="1"/>
    <col min="28" max="31" width="28.7142857142857" customWidth="1"/>
    <col min="32" max="32" width="11.0714285714286" customWidth="1"/>
  </cols>
  <sheetData>
    <row r="1" spans="1:2">
      <c r="A1" s="1" t="str">
        <f>HYPERLINK("#表结构清单!A1","返回")</f>
        <v>返回</v>
      </c>
      <c r="B1" s="2" t="s">
        <v>220</v>
      </c>
    </row>
    <row r="2" spans="2:10">
      <c r="B2" s="13" t="s">
        <v>15982</v>
      </c>
      <c r="C2" s="13" t="s">
        <v>297</v>
      </c>
      <c r="D2" s="13" t="s">
        <v>11870</v>
      </c>
      <c r="E2" s="13" t="s">
        <v>15983</v>
      </c>
      <c r="F2" s="13" t="s">
        <v>15984</v>
      </c>
      <c r="G2" s="13" t="s">
        <v>300</v>
      </c>
      <c r="H2" s="13" t="s">
        <v>301</v>
      </c>
      <c r="I2" s="13" t="s">
        <v>15985</v>
      </c>
      <c r="J2" s="13" t="s">
        <v>15986</v>
      </c>
    </row>
    <row r="3" spans="2:10">
      <c r="B3" s="15" t="s">
        <v>219</v>
      </c>
      <c r="C3" s="15" t="s">
        <v>15988</v>
      </c>
      <c r="D3" s="15" t="s">
        <v>20682</v>
      </c>
      <c r="E3" s="15" t="s">
        <v>15989</v>
      </c>
      <c r="F3" s="20" t="s">
        <v>15990</v>
      </c>
      <c r="G3" s="15"/>
      <c r="H3" s="15"/>
      <c r="I3" s="15"/>
      <c r="J3" s="35">
        <v>45727</v>
      </c>
    </row>
    <row r="4" spans="2:10">
      <c r="B4" s="15" t="s">
        <v>219</v>
      </c>
      <c r="C4" s="15" t="s">
        <v>19118</v>
      </c>
      <c r="D4" s="15" t="s">
        <v>20682</v>
      </c>
      <c r="E4" s="15" t="s">
        <v>15989</v>
      </c>
      <c r="F4" s="20" t="s">
        <v>19172</v>
      </c>
      <c r="G4" s="24"/>
      <c r="H4" s="24"/>
      <c r="I4" s="24"/>
      <c r="J4" s="14">
        <v>45727</v>
      </c>
    </row>
    <row r="5" spans="2:10">
      <c r="B5" s="15" t="s">
        <v>219</v>
      </c>
      <c r="C5" s="15" t="s">
        <v>20877</v>
      </c>
      <c r="D5" s="15" t="s">
        <v>20682</v>
      </c>
      <c r="E5" s="15" t="s">
        <v>305</v>
      </c>
      <c r="F5" s="20" t="s">
        <v>20878</v>
      </c>
      <c r="G5" s="24"/>
      <c r="H5" s="24"/>
      <c r="I5" s="24"/>
      <c r="J5" s="35">
        <v>45727</v>
      </c>
    </row>
    <row r="6" spans="2:10">
      <c r="B6" s="15" t="s">
        <v>219</v>
      </c>
      <c r="C6" s="15" t="s">
        <v>16126</v>
      </c>
      <c r="D6" s="15" t="s">
        <v>20682</v>
      </c>
      <c r="E6" s="15" t="s">
        <v>305</v>
      </c>
      <c r="F6" s="20" t="s">
        <v>19186</v>
      </c>
      <c r="G6" s="24"/>
      <c r="H6" s="43" t="s">
        <v>20879</v>
      </c>
      <c r="I6" s="24"/>
      <c r="J6" s="14">
        <v>45727</v>
      </c>
    </row>
    <row r="7" spans="2:10">
      <c r="B7" s="15" t="s">
        <v>219</v>
      </c>
      <c r="C7" s="15" t="s">
        <v>19874</v>
      </c>
      <c r="D7" s="15" t="s">
        <v>20682</v>
      </c>
      <c r="E7" s="15" t="s">
        <v>305</v>
      </c>
      <c r="F7" s="20" t="s">
        <v>20108</v>
      </c>
      <c r="G7" s="24"/>
      <c r="H7" s="24"/>
      <c r="I7" s="24"/>
      <c r="J7" s="14">
        <v>45727</v>
      </c>
    </row>
    <row r="8" spans="2:10">
      <c r="B8" s="15" t="s">
        <v>219</v>
      </c>
      <c r="C8" s="15" t="s">
        <v>16622</v>
      </c>
      <c r="D8" s="15" t="s">
        <v>20682</v>
      </c>
      <c r="E8" s="15" t="s">
        <v>305</v>
      </c>
      <c r="F8" s="20" t="s">
        <v>20110</v>
      </c>
      <c r="G8" s="24"/>
      <c r="H8" s="24"/>
      <c r="I8" s="24"/>
      <c r="J8" s="14">
        <v>45727</v>
      </c>
    </row>
    <row r="9" spans="2:10">
      <c r="B9" s="15" t="s">
        <v>219</v>
      </c>
      <c r="C9" s="15" t="s">
        <v>16053</v>
      </c>
      <c r="D9" s="15" t="s">
        <v>316</v>
      </c>
      <c r="E9" s="15" t="s">
        <v>305</v>
      </c>
      <c r="F9" s="15" t="s">
        <v>16012</v>
      </c>
      <c r="G9" s="15"/>
      <c r="H9" s="15"/>
      <c r="I9" s="15" t="s">
        <v>528</v>
      </c>
      <c r="J9" s="35">
        <v>45727</v>
      </c>
    </row>
    <row r="10" spans="2:10">
      <c r="B10" s="15" t="s">
        <v>219</v>
      </c>
      <c r="C10" s="15" t="s">
        <v>16241</v>
      </c>
      <c r="D10" s="15" t="s">
        <v>316</v>
      </c>
      <c r="E10" s="15" t="s">
        <v>305</v>
      </c>
      <c r="F10" s="15" t="s">
        <v>16010</v>
      </c>
      <c r="G10" s="15"/>
      <c r="H10" s="15"/>
      <c r="I10" s="15" t="s">
        <v>528</v>
      </c>
      <c r="J10" s="35">
        <v>45727</v>
      </c>
    </row>
    <row r="11" spans="2:10">
      <c r="B11" s="15" t="s">
        <v>219</v>
      </c>
      <c r="C11" s="15" t="s">
        <v>16237</v>
      </c>
      <c r="D11" s="15" t="s">
        <v>371</v>
      </c>
      <c r="E11" s="15" t="s">
        <v>305</v>
      </c>
      <c r="F11" s="15" t="s">
        <v>16274</v>
      </c>
      <c r="G11" s="15"/>
      <c r="H11" s="15"/>
      <c r="I11" s="15" t="s">
        <v>528</v>
      </c>
      <c r="J11" s="35">
        <v>45727</v>
      </c>
    </row>
    <row r="12" spans="2:10">
      <c r="B12" s="15" t="s">
        <v>219</v>
      </c>
      <c r="C12" s="15" t="s">
        <v>16243</v>
      </c>
      <c r="D12" s="15" t="s">
        <v>316</v>
      </c>
      <c r="E12" s="15" t="s">
        <v>305</v>
      </c>
      <c r="F12" s="15" t="s">
        <v>16018</v>
      </c>
      <c r="G12" s="15"/>
      <c r="H12" s="15"/>
      <c r="I12" s="15" t="s">
        <v>528</v>
      </c>
      <c r="J12" s="35">
        <v>45727</v>
      </c>
    </row>
    <row r="13" spans="2:10">
      <c r="B13" s="15" t="s">
        <v>219</v>
      </c>
      <c r="C13" s="15" t="s">
        <v>16239</v>
      </c>
      <c r="D13" s="15" t="s">
        <v>371</v>
      </c>
      <c r="E13" s="15" t="s">
        <v>305</v>
      </c>
      <c r="F13" s="15" t="s">
        <v>16236</v>
      </c>
      <c r="G13" s="15"/>
      <c r="H13" s="15"/>
      <c r="I13" s="15" t="s">
        <v>528</v>
      </c>
      <c r="J13" s="35">
        <v>45727</v>
      </c>
    </row>
    <row r="14" spans="2:10">
      <c r="B14" s="15" t="s">
        <v>219</v>
      </c>
      <c r="C14" s="15" t="s">
        <v>16017</v>
      </c>
      <c r="D14" s="15" t="s">
        <v>316</v>
      </c>
      <c r="E14" s="15" t="s">
        <v>305</v>
      </c>
      <c r="F14" s="15" t="s">
        <v>20307</v>
      </c>
      <c r="G14" s="15"/>
      <c r="H14" s="15"/>
      <c r="I14" s="15" t="s">
        <v>528</v>
      </c>
      <c r="J14" s="35">
        <v>45727</v>
      </c>
    </row>
    <row r="15" spans="2:10">
      <c r="B15" s="15" t="s">
        <v>219</v>
      </c>
      <c r="C15" s="15" t="s">
        <v>16015</v>
      </c>
      <c r="D15" s="15" t="s">
        <v>316</v>
      </c>
      <c r="E15" s="15" t="s">
        <v>305</v>
      </c>
      <c r="F15" s="15" t="s">
        <v>16016</v>
      </c>
      <c r="G15" s="15"/>
      <c r="H15" s="15"/>
      <c r="I15" s="15" t="s">
        <v>528</v>
      </c>
      <c r="J15" s="35">
        <v>45727</v>
      </c>
    </row>
    <row r="16" spans="2:10">
      <c r="B16" s="15" t="s">
        <v>219</v>
      </c>
      <c r="C16" s="16" t="s">
        <v>16009</v>
      </c>
      <c r="D16" s="16" t="s">
        <v>316</v>
      </c>
      <c r="E16" s="16" t="s">
        <v>305</v>
      </c>
      <c r="F16" s="16" t="s">
        <v>20304</v>
      </c>
      <c r="G16" s="16"/>
      <c r="H16" s="16"/>
      <c r="I16" s="16" t="s">
        <v>528</v>
      </c>
      <c r="J16" s="44">
        <v>45727</v>
      </c>
    </row>
    <row r="17" spans="2:10">
      <c r="B17" s="19" t="s">
        <v>219</v>
      </c>
      <c r="C17" s="4" t="s">
        <v>16011</v>
      </c>
      <c r="D17" s="4" t="s">
        <v>316</v>
      </c>
      <c r="E17" s="4" t="s">
        <v>305</v>
      </c>
      <c r="F17" s="4" t="s">
        <v>20305</v>
      </c>
      <c r="G17" s="4"/>
      <c r="H17" s="4"/>
      <c r="I17" s="4" t="s">
        <v>528</v>
      </c>
      <c r="J17" s="42">
        <v>45727</v>
      </c>
    </row>
    <row r="18" spans="2:10">
      <c r="B18" s="19" t="s">
        <v>219</v>
      </c>
      <c r="C18" s="5" t="s">
        <v>17022</v>
      </c>
      <c r="D18" s="4" t="s">
        <v>20682</v>
      </c>
      <c r="E18" s="5" t="s">
        <v>305</v>
      </c>
      <c r="F18" s="36" t="s">
        <v>20880</v>
      </c>
      <c r="G18" s="5"/>
      <c r="H18" s="5"/>
      <c r="I18" s="5"/>
      <c r="J18" s="42">
        <v>45727</v>
      </c>
    </row>
    <row r="19" spans="2:10">
      <c r="B19" s="19" t="s">
        <v>219</v>
      </c>
      <c r="C19" s="5" t="s">
        <v>17082</v>
      </c>
      <c r="D19" s="4" t="s">
        <v>20881</v>
      </c>
      <c r="E19" s="5" t="s">
        <v>305</v>
      </c>
      <c r="F19" s="36" t="s">
        <v>20882</v>
      </c>
      <c r="G19" s="5"/>
      <c r="H19" s="36" t="s">
        <v>20883</v>
      </c>
      <c r="I19" s="5"/>
      <c r="J19" s="42">
        <v>45727</v>
      </c>
    </row>
  </sheetData>
  <pageMargins left="0.75" right="0.75" top="1" bottom="1" header="0.5" footer="0.5"/>
  <headerFooter/>
</worksheet>
</file>

<file path=xl/worksheets/sheet19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6"/>
  <sheetViews>
    <sheetView workbookViewId="0">
      <selection activeCell="A1" sqref="A1"/>
    </sheetView>
  </sheetViews>
  <sheetFormatPr defaultColWidth="9.14285714285714" defaultRowHeight="15.2"/>
  <cols>
    <col min="2" max="2" width="25.2946428571429" customWidth="1"/>
    <col min="3" max="3" width="18" customWidth="1"/>
    <col min="4" max="4" width="14" customWidth="1"/>
    <col min="6" max="6" width="12.9464285714286" customWidth="1"/>
    <col min="12" max="27" width="30.7142857142857" customWidth="1"/>
    <col min="28" max="31" width="28.7142857142857" customWidth="1"/>
    <col min="32" max="32" width="11.0714285714286" customWidth="1"/>
  </cols>
  <sheetData>
    <row r="1" spans="1:2">
      <c r="A1" s="1" t="str">
        <f>HYPERLINK("#表结构清单!A1","返回")</f>
        <v>返回</v>
      </c>
      <c r="B1" s="2" t="s">
        <v>218</v>
      </c>
    </row>
    <row r="2" spans="2:10">
      <c r="B2" s="13" t="s">
        <v>15982</v>
      </c>
      <c r="C2" s="13" t="s">
        <v>297</v>
      </c>
      <c r="D2" s="13" t="s">
        <v>11870</v>
      </c>
      <c r="E2" s="13" t="s">
        <v>15983</v>
      </c>
      <c r="F2" s="13" t="s">
        <v>15984</v>
      </c>
      <c r="G2" s="13" t="s">
        <v>300</v>
      </c>
      <c r="H2" s="13" t="s">
        <v>301</v>
      </c>
      <c r="I2" s="13" t="s">
        <v>15985</v>
      </c>
      <c r="J2" s="13" t="s">
        <v>15986</v>
      </c>
    </row>
    <row r="3" spans="2:10">
      <c r="B3" s="15" t="s">
        <v>217</v>
      </c>
      <c r="C3" s="15" t="s">
        <v>15988</v>
      </c>
      <c r="D3" s="15" t="s">
        <v>20682</v>
      </c>
      <c r="E3" s="15" t="s">
        <v>15989</v>
      </c>
      <c r="F3" s="20" t="s">
        <v>15990</v>
      </c>
      <c r="G3" s="15"/>
      <c r="H3" s="15"/>
      <c r="I3" s="15"/>
      <c r="J3" s="35">
        <v>45727</v>
      </c>
    </row>
    <row r="4" spans="2:10">
      <c r="B4" s="15" t="s">
        <v>217</v>
      </c>
      <c r="C4" s="15" t="s">
        <v>16103</v>
      </c>
      <c r="D4" s="15" t="s">
        <v>20682</v>
      </c>
      <c r="E4" s="15" t="s">
        <v>15989</v>
      </c>
      <c r="F4" s="20" t="s">
        <v>16986</v>
      </c>
      <c r="G4" s="24"/>
      <c r="H4" s="24"/>
      <c r="I4" s="24"/>
      <c r="J4" s="14">
        <v>45727</v>
      </c>
    </row>
    <row r="5" spans="2:10">
      <c r="B5" s="15" t="s">
        <v>217</v>
      </c>
      <c r="C5" s="15" t="s">
        <v>18730</v>
      </c>
      <c r="D5" s="15" t="s">
        <v>20682</v>
      </c>
      <c r="E5" s="15" t="s">
        <v>305</v>
      </c>
      <c r="F5" s="20" t="s">
        <v>18731</v>
      </c>
      <c r="G5" s="24"/>
      <c r="H5" s="24"/>
      <c r="I5" s="24"/>
      <c r="J5" s="35">
        <v>45727</v>
      </c>
    </row>
    <row r="6" spans="2:10">
      <c r="B6" s="15" t="s">
        <v>217</v>
      </c>
      <c r="C6" s="15" t="s">
        <v>18451</v>
      </c>
      <c r="D6" s="15" t="s">
        <v>20682</v>
      </c>
      <c r="E6" s="15" t="s">
        <v>305</v>
      </c>
      <c r="F6" s="20" t="s">
        <v>1535</v>
      </c>
      <c r="G6" s="24"/>
      <c r="H6" s="43" t="s">
        <v>20884</v>
      </c>
      <c r="I6" s="24"/>
      <c r="J6" s="14">
        <v>45727</v>
      </c>
    </row>
    <row r="7" spans="2:10">
      <c r="B7" s="15" t="s">
        <v>217</v>
      </c>
      <c r="C7" s="15" t="s">
        <v>20885</v>
      </c>
      <c r="D7" s="15" t="s">
        <v>20682</v>
      </c>
      <c r="E7" s="15" t="s">
        <v>305</v>
      </c>
      <c r="F7" s="20" t="s">
        <v>2377</v>
      </c>
      <c r="G7" s="15" t="s">
        <v>8605</v>
      </c>
      <c r="H7" s="43" t="s">
        <v>20886</v>
      </c>
      <c r="I7" s="24"/>
      <c r="J7" s="14"/>
    </row>
    <row r="8" spans="2:10">
      <c r="B8" s="15" t="s">
        <v>217</v>
      </c>
      <c r="C8" s="15" t="s">
        <v>19177</v>
      </c>
      <c r="D8" s="15" t="s">
        <v>20887</v>
      </c>
      <c r="E8" s="15" t="s">
        <v>305</v>
      </c>
      <c r="F8" s="20" t="s">
        <v>6971</v>
      </c>
      <c r="G8" s="24" t="s">
        <v>9931</v>
      </c>
      <c r="H8" s="43" t="s">
        <v>20888</v>
      </c>
      <c r="I8" s="24"/>
      <c r="J8" s="14"/>
    </row>
    <row r="9" spans="2:10">
      <c r="B9" s="15" t="s">
        <v>217</v>
      </c>
      <c r="C9" s="15" t="s">
        <v>19208</v>
      </c>
      <c r="D9" s="15" t="s">
        <v>20889</v>
      </c>
      <c r="E9" s="15" t="s">
        <v>305</v>
      </c>
      <c r="F9" s="20" t="s">
        <v>20890</v>
      </c>
      <c r="G9" s="24"/>
      <c r="H9" s="43"/>
      <c r="I9" s="24"/>
      <c r="J9" s="14"/>
    </row>
    <row r="10" spans="2:10">
      <c r="B10" s="15" t="s">
        <v>217</v>
      </c>
      <c r="C10" s="15" t="s">
        <v>20891</v>
      </c>
      <c r="D10" s="15" t="s">
        <v>350</v>
      </c>
      <c r="E10" s="15" t="s">
        <v>305</v>
      </c>
      <c r="F10" s="20" t="s">
        <v>20892</v>
      </c>
      <c r="G10" s="24"/>
      <c r="H10" s="43"/>
      <c r="I10" s="24"/>
      <c r="J10" s="14"/>
    </row>
    <row r="11" spans="2:10">
      <c r="B11" s="15" t="s">
        <v>217</v>
      </c>
      <c r="C11" s="15" t="s">
        <v>16126</v>
      </c>
      <c r="D11" s="15" t="s">
        <v>20889</v>
      </c>
      <c r="E11" s="15" t="s">
        <v>305</v>
      </c>
      <c r="F11" s="20" t="s">
        <v>18858</v>
      </c>
      <c r="G11" s="37"/>
      <c r="H11" s="38" t="s">
        <v>20893</v>
      </c>
      <c r="I11" s="24"/>
      <c r="J11" s="14"/>
    </row>
    <row r="12" spans="2:10">
      <c r="B12" s="15" t="s">
        <v>217</v>
      </c>
      <c r="C12" s="15" t="s">
        <v>20894</v>
      </c>
      <c r="D12" s="15" t="s">
        <v>20889</v>
      </c>
      <c r="E12" s="15" t="s">
        <v>305</v>
      </c>
      <c r="F12" s="20" t="s">
        <v>20895</v>
      </c>
      <c r="G12" s="37"/>
      <c r="H12" s="38" t="s">
        <v>20896</v>
      </c>
      <c r="I12" s="24"/>
      <c r="J12" s="14"/>
    </row>
    <row r="13" spans="2:10">
      <c r="B13" s="15" t="s">
        <v>217</v>
      </c>
      <c r="C13" s="15" t="s">
        <v>19874</v>
      </c>
      <c r="D13" s="15" t="s">
        <v>20682</v>
      </c>
      <c r="E13" s="15" t="s">
        <v>305</v>
      </c>
      <c r="F13" s="20" t="s">
        <v>19980</v>
      </c>
      <c r="G13" s="24"/>
      <c r="H13" s="24"/>
      <c r="I13" s="24"/>
      <c r="J13" s="14">
        <v>45727</v>
      </c>
    </row>
    <row r="14" spans="2:10">
      <c r="B14" s="15" t="s">
        <v>217</v>
      </c>
      <c r="C14" s="15" t="s">
        <v>16622</v>
      </c>
      <c r="D14" s="15" t="s">
        <v>20682</v>
      </c>
      <c r="E14" s="15" t="s">
        <v>305</v>
      </c>
      <c r="F14" s="20" t="s">
        <v>20214</v>
      </c>
      <c r="G14" s="24"/>
      <c r="H14" s="24"/>
      <c r="I14" s="24"/>
      <c r="J14" s="14">
        <v>45727</v>
      </c>
    </row>
    <row r="15" spans="2:10">
      <c r="B15" s="15" t="s">
        <v>217</v>
      </c>
      <c r="C15" s="15" t="s">
        <v>16053</v>
      </c>
      <c r="D15" s="15" t="s">
        <v>316</v>
      </c>
      <c r="E15" s="15" t="s">
        <v>305</v>
      </c>
      <c r="F15" s="15" t="s">
        <v>16012</v>
      </c>
      <c r="G15" s="15"/>
      <c r="H15" s="15"/>
      <c r="I15" s="15" t="s">
        <v>528</v>
      </c>
      <c r="J15" s="35">
        <v>45727</v>
      </c>
    </row>
    <row r="16" spans="2:10">
      <c r="B16" s="15" t="s">
        <v>217</v>
      </c>
      <c r="C16" s="15" t="s">
        <v>16241</v>
      </c>
      <c r="D16" s="15" t="s">
        <v>316</v>
      </c>
      <c r="E16" s="15" t="s">
        <v>305</v>
      </c>
      <c r="F16" s="15" t="s">
        <v>16010</v>
      </c>
      <c r="G16" s="15"/>
      <c r="H16" s="15"/>
      <c r="I16" s="15" t="s">
        <v>528</v>
      </c>
      <c r="J16" s="35">
        <v>45727</v>
      </c>
    </row>
    <row r="17" spans="2:10">
      <c r="B17" s="15" t="s">
        <v>217</v>
      </c>
      <c r="C17" s="15" t="s">
        <v>16237</v>
      </c>
      <c r="D17" s="15" t="s">
        <v>371</v>
      </c>
      <c r="E17" s="15" t="s">
        <v>305</v>
      </c>
      <c r="F17" s="15" t="s">
        <v>16274</v>
      </c>
      <c r="G17" s="15"/>
      <c r="H17" s="15"/>
      <c r="I17" s="15" t="s">
        <v>528</v>
      </c>
      <c r="J17" s="35">
        <v>45727</v>
      </c>
    </row>
    <row r="18" spans="2:10">
      <c r="B18" s="15" t="s">
        <v>217</v>
      </c>
      <c r="C18" s="15" t="s">
        <v>16243</v>
      </c>
      <c r="D18" s="15" t="s">
        <v>316</v>
      </c>
      <c r="E18" s="15" t="s">
        <v>305</v>
      </c>
      <c r="F18" s="15" t="s">
        <v>16018</v>
      </c>
      <c r="G18" s="15"/>
      <c r="H18" s="15"/>
      <c r="I18" s="15" t="s">
        <v>528</v>
      </c>
      <c r="J18" s="35">
        <v>45727</v>
      </c>
    </row>
    <row r="19" spans="2:10">
      <c r="B19" s="15" t="s">
        <v>217</v>
      </c>
      <c r="C19" s="15" t="s">
        <v>16239</v>
      </c>
      <c r="D19" s="15" t="s">
        <v>371</v>
      </c>
      <c r="E19" s="15" t="s">
        <v>305</v>
      </c>
      <c r="F19" s="15" t="s">
        <v>16236</v>
      </c>
      <c r="G19" s="15"/>
      <c r="H19" s="15"/>
      <c r="I19" s="15" t="s">
        <v>528</v>
      </c>
      <c r="J19" s="35">
        <v>45727</v>
      </c>
    </row>
    <row r="20" spans="2:10">
      <c r="B20" s="15" t="s">
        <v>217</v>
      </c>
      <c r="C20" s="15" t="s">
        <v>16017</v>
      </c>
      <c r="D20" s="15" t="s">
        <v>316</v>
      </c>
      <c r="E20" s="15" t="s">
        <v>305</v>
      </c>
      <c r="F20" s="15" t="s">
        <v>20307</v>
      </c>
      <c r="G20" s="15"/>
      <c r="H20" s="15"/>
      <c r="I20" s="15" t="s">
        <v>528</v>
      </c>
      <c r="J20" s="35">
        <v>45727</v>
      </c>
    </row>
    <row r="21" spans="2:10">
      <c r="B21" s="15" t="s">
        <v>217</v>
      </c>
      <c r="C21" s="15" t="s">
        <v>16015</v>
      </c>
      <c r="D21" s="15" t="s">
        <v>316</v>
      </c>
      <c r="E21" s="15" t="s">
        <v>305</v>
      </c>
      <c r="F21" s="15" t="s">
        <v>16016</v>
      </c>
      <c r="G21" s="15"/>
      <c r="H21" s="15"/>
      <c r="I21" s="15" t="s">
        <v>528</v>
      </c>
      <c r="J21" s="35">
        <v>45727</v>
      </c>
    </row>
    <row r="22" spans="2:10">
      <c r="B22" s="15" t="s">
        <v>217</v>
      </c>
      <c r="C22" s="15" t="s">
        <v>16009</v>
      </c>
      <c r="D22" s="15" t="s">
        <v>316</v>
      </c>
      <c r="E22" s="15" t="s">
        <v>305</v>
      </c>
      <c r="F22" s="15" t="s">
        <v>20304</v>
      </c>
      <c r="G22" s="15"/>
      <c r="H22" s="15"/>
      <c r="I22" s="15" t="s">
        <v>528</v>
      </c>
      <c r="J22" s="35">
        <v>45727</v>
      </c>
    </row>
    <row r="23" spans="2:10">
      <c r="B23" s="15" t="s">
        <v>217</v>
      </c>
      <c r="C23" s="15" t="s">
        <v>16011</v>
      </c>
      <c r="D23" s="15" t="s">
        <v>316</v>
      </c>
      <c r="E23" s="15" t="s">
        <v>305</v>
      </c>
      <c r="F23" s="15" t="s">
        <v>20305</v>
      </c>
      <c r="G23" s="15"/>
      <c r="H23" s="15"/>
      <c r="I23" s="15" t="s">
        <v>528</v>
      </c>
      <c r="J23" s="35">
        <v>45727</v>
      </c>
    </row>
    <row r="24" spans="2:10">
      <c r="B24" s="15" t="s">
        <v>217</v>
      </c>
      <c r="C24" s="5" t="s">
        <v>17022</v>
      </c>
      <c r="D24" s="4" t="s">
        <v>20682</v>
      </c>
      <c r="E24" s="5" t="s">
        <v>305</v>
      </c>
      <c r="F24" s="36" t="s">
        <v>20880</v>
      </c>
      <c r="G24" s="5"/>
      <c r="H24" s="5"/>
      <c r="I24" s="5"/>
      <c r="J24" s="42">
        <v>45727</v>
      </c>
    </row>
    <row r="25" spans="2:10">
      <c r="B25" s="15" t="s">
        <v>217</v>
      </c>
      <c r="C25" s="5" t="s">
        <v>17082</v>
      </c>
      <c r="D25" s="4" t="s">
        <v>20881</v>
      </c>
      <c r="E25" s="5" t="s">
        <v>305</v>
      </c>
      <c r="F25" s="36" t="s">
        <v>20882</v>
      </c>
      <c r="G25" s="5"/>
      <c r="H25" s="36" t="s">
        <v>20883</v>
      </c>
      <c r="I25" s="5"/>
      <c r="J25" s="42">
        <v>45727</v>
      </c>
    </row>
    <row r="26" spans="4:4">
      <c r="D26" s="4"/>
    </row>
  </sheetData>
  <pageMargins left="0.75" right="0.75" top="1" bottom="1" header="0.5" footer="0.5"/>
  <headerFooter/>
</worksheet>
</file>

<file path=xl/worksheets/sheet19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9"/>
  <sheetViews>
    <sheetView workbookViewId="0">
      <selection activeCell="K40" sqref="K40"/>
    </sheetView>
  </sheetViews>
  <sheetFormatPr defaultColWidth="9.14285714285714" defaultRowHeight="15.2"/>
  <cols>
    <col min="2" max="2" width="25.2946428571429" customWidth="1"/>
    <col min="3" max="3" width="21.7142857142857" customWidth="1"/>
    <col min="4" max="4" width="18.7857142857143" customWidth="1"/>
    <col min="6" max="6" width="28.0714285714286" customWidth="1"/>
    <col min="11" max="11" width="21.7142857142857" customWidth="1"/>
    <col min="12" max="27" width="30.7142857142857" customWidth="1"/>
    <col min="28" max="31" width="28.7142857142857" customWidth="1"/>
    <col min="32" max="32" width="11.0714285714286" customWidth="1"/>
  </cols>
  <sheetData>
    <row r="1" spans="1:2">
      <c r="A1" s="1" t="str">
        <f>HYPERLINK("#表结构清单!A1","返回")</f>
        <v>返回</v>
      </c>
      <c r="B1" s="2" t="s">
        <v>227</v>
      </c>
    </row>
    <row r="2" spans="2:10">
      <c r="B2" s="3" t="s">
        <v>15982</v>
      </c>
      <c r="C2" s="3" t="s">
        <v>297</v>
      </c>
      <c r="D2" s="3" t="s">
        <v>11870</v>
      </c>
      <c r="E2" s="3" t="s">
        <v>15983</v>
      </c>
      <c r="F2" s="3" t="s">
        <v>15984</v>
      </c>
      <c r="G2" s="3" t="s">
        <v>300</v>
      </c>
      <c r="H2" s="3" t="s">
        <v>301</v>
      </c>
      <c r="I2" s="3" t="s">
        <v>15985</v>
      </c>
      <c r="J2" s="3" t="s">
        <v>15986</v>
      </c>
    </row>
    <row r="3" spans="2:10">
      <c r="B3" s="4" t="s">
        <v>217</v>
      </c>
      <c r="C3" s="4" t="s">
        <v>19195</v>
      </c>
      <c r="D3" s="4" t="s">
        <v>20897</v>
      </c>
      <c r="E3" s="4" t="s">
        <v>305</v>
      </c>
      <c r="F3" s="4" t="s">
        <v>20898</v>
      </c>
      <c r="G3" s="4"/>
      <c r="H3" s="4"/>
      <c r="I3" s="4"/>
      <c r="J3" s="42">
        <v>45727</v>
      </c>
    </row>
    <row r="4" spans="2:10">
      <c r="B4" s="4" t="s">
        <v>217</v>
      </c>
      <c r="C4" s="4" t="s">
        <v>20899</v>
      </c>
      <c r="D4" s="4" t="s">
        <v>20900</v>
      </c>
      <c r="E4" s="4" t="s">
        <v>305</v>
      </c>
      <c r="F4" s="4" t="s">
        <v>20901</v>
      </c>
      <c r="G4" s="4" t="s">
        <v>20902</v>
      </c>
      <c r="H4" s="4"/>
      <c r="I4" s="41"/>
      <c r="J4" s="18">
        <v>45727</v>
      </c>
    </row>
    <row r="5" ht="17" spans="2:10">
      <c r="B5" s="4" t="s">
        <v>217</v>
      </c>
      <c r="C5" s="4" t="s">
        <v>19310</v>
      </c>
      <c r="D5" s="4" t="s">
        <v>20897</v>
      </c>
      <c r="E5" s="4" t="s">
        <v>305</v>
      </c>
      <c r="F5" s="4" t="s">
        <v>20903</v>
      </c>
      <c r="G5" s="4" t="s">
        <v>20902</v>
      </c>
      <c r="H5" s="4"/>
      <c r="I5" s="41"/>
      <c r="J5" s="42">
        <v>45727</v>
      </c>
    </row>
    <row r="6" spans="2:10">
      <c r="B6" s="4" t="s">
        <v>217</v>
      </c>
      <c r="C6" s="4" t="s">
        <v>20904</v>
      </c>
      <c r="D6" s="4" t="s">
        <v>20905</v>
      </c>
      <c r="E6" s="4" t="s">
        <v>305</v>
      </c>
      <c r="F6" s="4" t="s">
        <v>19318</v>
      </c>
      <c r="G6" s="4" t="s">
        <v>20902</v>
      </c>
      <c r="H6" s="4"/>
      <c r="I6" s="41"/>
      <c r="J6" s="18">
        <v>45727</v>
      </c>
    </row>
    <row r="7" spans="2:10">
      <c r="B7" s="4" t="s">
        <v>217</v>
      </c>
      <c r="C7" s="4" t="s">
        <v>16103</v>
      </c>
      <c r="D7" s="4" t="s">
        <v>20897</v>
      </c>
      <c r="E7" s="4" t="s">
        <v>305</v>
      </c>
      <c r="F7" s="4" t="s">
        <v>16986</v>
      </c>
      <c r="G7" s="4"/>
      <c r="H7" s="4"/>
      <c r="I7" s="41"/>
      <c r="J7" s="18">
        <v>45727</v>
      </c>
    </row>
    <row r="8" spans="2:10">
      <c r="B8" s="4" t="s">
        <v>217</v>
      </c>
      <c r="C8" s="4" t="s">
        <v>20906</v>
      </c>
      <c r="D8" s="4" t="s">
        <v>20900</v>
      </c>
      <c r="E8" s="4" t="s">
        <v>305</v>
      </c>
      <c r="F8" s="4" t="s">
        <v>20907</v>
      </c>
      <c r="G8" s="4"/>
      <c r="H8" s="4"/>
      <c r="I8" s="41"/>
      <c r="J8" s="18">
        <v>45727</v>
      </c>
    </row>
    <row r="9" ht="17" spans="2:10">
      <c r="B9" s="4" t="s">
        <v>217</v>
      </c>
      <c r="C9" s="4" t="s">
        <v>20908</v>
      </c>
      <c r="D9" s="4" t="s">
        <v>20905</v>
      </c>
      <c r="E9" s="4" t="s">
        <v>305</v>
      </c>
      <c r="F9" s="4" t="s">
        <v>20909</v>
      </c>
      <c r="G9" s="4"/>
      <c r="H9" s="4"/>
      <c r="I9" s="41"/>
      <c r="J9" s="18">
        <v>45727</v>
      </c>
    </row>
    <row r="10" spans="2:10">
      <c r="B10" s="4" t="s">
        <v>217</v>
      </c>
      <c r="C10" s="4" t="s">
        <v>20910</v>
      </c>
      <c r="D10" s="4" t="s">
        <v>20911</v>
      </c>
      <c r="E10" s="4" t="s">
        <v>305</v>
      </c>
      <c r="F10" s="40" t="s">
        <v>20912</v>
      </c>
      <c r="G10" s="4"/>
      <c r="H10" s="4" t="s">
        <v>20913</v>
      </c>
      <c r="I10" s="4"/>
      <c r="J10" s="18">
        <v>45727</v>
      </c>
    </row>
    <row r="11" spans="2:10">
      <c r="B11" s="4" t="s">
        <v>217</v>
      </c>
      <c r="C11" s="4" t="s">
        <v>16053</v>
      </c>
      <c r="D11" s="4" t="s">
        <v>316</v>
      </c>
      <c r="E11" s="4" t="s">
        <v>305</v>
      </c>
      <c r="F11" s="4" t="s">
        <v>16012</v>
      </c>
      <c r="G11" s="4"/>
      <c r="H11" s="4"/>
      <c r="I11" s="4" t="s">
        <v>528</v>
      </c>
      <c r="J11" s="18">
        <v>45727</v>
      </c>
    </row>
    <row r="12" spans="2:10">
      <c r="B12" s="4" t="s">
        <v>217</v>
      </c>
      <c r="C12" s="4" t="s">
        <v>16241</v>
      </c>
      <c r="D12" s="4" t="s">
        <v>316</v>
      </c>
      <c r="E12" s="4" t="s">
        <v>305</v>
      </c>
      <c r="F12" s="4" t="s">
        <v>16010</v>
      </c>
      <c r="G12" s="4"/>
      <c r="H12" s="4"/>
      <c r="I12" s="4" t="s">
        <v>528</v>
      </c>
      <c r="J12" s="18">
        <v>45727</v>
      </c>
    </row>
    <row r="13" spans="2:10">
      <c r="B13" s="4" t="s">
        <v>217</v>
      </c>
      <c r="C13" s="4" t="s">
        <v>16237</v>
      </c>
      <c r="D13" s="4" t="s">
        <v>371</v>
      </c>
      <c r="E13" s="4" t="s">
        <v>305</v>
      </c>
      <c r="F13" s="4" t="s">
        <v>16274</v>
      </c>
      <c r="G13" s="4"/>
      <c r="H13" s="4"/>
      <c r="I13" s="4" t="s">
        <v>528</v>
      </c>
      <c r="J13" s="18">
        <v>45727</v>
      </c>
    </row>
    <row r="14" spans="2:10">
      <c r="B14" s="4" t="s">
        <v>217</v>
      </c>
      <c r="C14" s="4" t="s">
        <v>16243</v>
      </c>
      <c r="D14" s="4" t="s">
        <v>316</v>
      </c>
      <c r="E14" s="4" t="s">
        <v>305</v>
      </c>
      <c r="F14" s="41" t="s">
        <v>16018</v>
      </c>
      <c r="G14" s="4"/>
      <c r="H14" s="4"/>
      <c r="I14" s="4" t="s">
        <v>528</v>
      </c>
      <c r="J14" s="18">
        <v>45727</v>
      </c>
    </row>
    <row r="15" spans="2:10">
      <c r="B15" s="4" t="s">
        <v>217</v>
      </c>
      <c r="C15" s="4" t="s">
        <v>16239</v>
      </c>
      <c r="D15" s="4" t="s">
        <v>371</v>
      </c>
      <c r="E15" s="4" t="s">
        <v>305</v>
      </c>
      <c r="F15" s="41" t="s">
        <v>16236</v>
      </c>
      <c r="G15" s="4"/>
      <c r="H15" s="4"/>
      <c r="I15" s="4" t="s">
        <v>528</v>
      </c>
      <c r="J15" s="42">
        <v>45727</v>
      </c>
    </row>
    <row r="16" spans="2:10">
      <c r="B16" s="4" t="s">
        <v>217</v>
      </c>
      <c r="C16" s="4" t="s">
        <v>16017</v>
      </c>
      <c r="D16" s="4" t="s">
        <v>316</v>
      </c>
      <c r="E16" s="4" t="s">
        <v>305</v>
      </c>
      <c r="F16" s="41" t="s">
        <v>20307</v>
      </c>
      <c r="G16" s="4"/>
      <c r="H16" s="4"/>
      <c r="I16" s="4" t="s">
        <v>528</v>
      </c>
      <c r="J16" s="42">
        <v>45727</v>
      </c>
    </row>
    <row r="17" spans="2:10">
      <c r="B17" s="4" t="s">
        <v>217</v>
      </c>
      <c r="C17" s="4" t="s">
        <v>16015</v>
      </c>
      <c r="D17" s="4" t="s">
        <v>316</v>
      </c>
      <c r="E17" s="4" t="s">
        <v>305</v>
      </c>
      <c r="F17" s="41" t="s">
        <v>16016</v>
      </c>
      <c r="G17" s="4"/>
      <c r="H17" s="4"/>
      <c r="I17" s="4" t="s">
        <v>528</v>
      </c>
      <c r="J17" s="42">
        <v>45727</v>
      </c>
    </row>
    <row r="18" spans="2:10">
      <c r="B18" s="4" t="s">
        <v>217</v>
      </c>
      <c r="C18" s="4" t="s">
        <v>16009</v>
      </c>
      <c r="D18" s="4" t="s">
        <v>316</v>
      </c>
      <c r="E18" s="4" t="s">
        <v>305</v>
      </c>
      <c r="F18" s="4" t="s">
        <v>20304</v>
      </c>
      <c r="G18" s="4"/>
      <c r="H18" s="4"/>
      <c r="I18" s="4" t="s">
        <v>528</v>
      </c>
      <c r="J18" s="42">
        <v>45727</v>
      </c>
    </row>
    <row r="19" spans="2:10">
      <c r="B19" s="4" t="s">
        <v>217</v>
      </c>
      <c r="C19" s="4" t="s">
        <v>16011</v>
      </c>
      <c r="D19" s="4" t="s">
        <v>316</v>
      </c>
      <c r="E19" s="4" t="s">
        <v>305</v>
      </c>
      <c r="F19" s="4" t="s">
        <v>20305</v>
      </c>
      <c r="G19" s="4"/>
      <c r="H19" s="4"/>
      <c r="I19" s="4" t="s">
        <v>528</v>
      </c>
      <c r="J19" s="42">
        <v>45727</v>
      </c>
    </row>
  </sheetData>
  <pageMargins left="0.75" right="0.75" top="1" bottom="1" header="0.5" footer="0.5"/>
  <headerFooter/>
</worksheet>
</file>

<file path=xl/worksheets/sheet20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9"/>
  <sheetViews>
    <sheetView workbookViewId="0">
      <selection activeCell="A1" sqref="A1"/>
    </sheetView>
  </sheetViews>
  <sheetFormatPr defaultColWidth="9.14285714285714" defaultRowHeight="15.2"/>
  <cols>
    <col min="2" max="2" width="19.9375" customWidth="1"/>
    <col min="3" max="3" width="18" customWidth="1"/>
    <col min="4" max="4" width="14" customWidth="1"/>
    <col min="6" max="6" width="34.0714285714286" customWidth="1"/>
    <col min="10" max="10" width="16.2232142857143" customWidth="1"/>
    <col min="11" max="13" width="20.8214285714286" customWidth="1"/>
    <col min="14" max="28" width="30.7142857142857" customWidth="1"/>
    <col min="29" max="32" width="28.7142857142857" customWidth="1"/>
    <col min="33" max="33" width="11.0714285714286" customWidth="1"/>
  </cols>
  <sheetData>
    <row r="1" spans="1:2">
      <c r="A1" s="1" t="str">
        <f>HYPERLINK("#表结构清单!A1","返回")</f>
        <v>返回</v>
      </c>
      <c r="B1" s="2" t="s">
        <v>230</v>
      </c>
    </row>
    <row r="2" spans="2:10">
      <c r="B2" s="13" t="s">
        <v>15982</v>
      </c>
      <c r="C2" s="13" t="s">
        <v>297</v>
      </c>
      <c r="D2" s="13" t="s">
        <v>11870</v>
      </c>
      <c r="E2" s="13" t="s">
        <v>15983</v>
      </c>
      <c r="F2" s="13" t="s">
        <v>15984</v>
      </c>
      <c r="G2" s="13" t="s">
        <v>300</v>
      </c>
      <c r="H2" s="13" t="s">
        <v>301</v>
      </c>
      <c r="I2" s="13" t="s">
        <v>15985</v>
      </c>
      <c r="J2" s="13" t="s">
        <v>15986</v>
      </c>
    </row>
    <row r="3" spans="2:10">
      <c r="B3" s="15" t="s">
        <v>229</v>
      </c>
      <c r="C3" s="16" t="s">
        <v>15988</v>
      </c>
      <c r="D3" s="15" t="s">
        <v>20682</v>
      </c>
      <c r="E3" s="15" t="s">
        <v>15989</v>
      </c>
      <c r="F3" s="20" t="s">
        <v>15990</v>
      </c>
      <c r="G3" s="15"/>
      <c r="H3" s="15"/>
      <c r="I3" s="15"/>
      <c r="J3" s="35">
        <v>45727</v>
      </c>
    </row>
    <row r="4" spans="2:10">
      <c r="B4" s="15" t="s">
        <v>229</v>
      </c>
      <c r="C4" s="19" t="s">
        <v>19195</v>
      </c>
      <c r="D4" s="19" t="s">
        <v>20897</v>
      </c>
      <c r="E4" s="19" t="s">
        <v>15989</v>
      </c>
      <c r="F4" s="19" t="s">
        <v>20898</v>
      </c>
      <c r="G4" s="19"/>
      <c r="H4" s="19"/>
      <c r="I4" s="19"/>
      <c r="J4" s="14">
        <v>45727</v>
      </c>
    </row>
    <row r="5" spans="2:10">
      <c r="B5" s="15" t="s">
        <v>229</v>
      </c>
      <c r="C5" s="19" t="s">
        <v>16894</v>
      </c>
      <c r="D5" s="19" t="s">
        <v>20897</v>
      </c>
      <c r="E5" s="19" t="s">
        <v>15989</v>
      </c>
      <c r="F5" s="19" t="s">
        <v>16895</v>
      </c>
      <c r="G5" s="19"/>
      <c r="H5" s="19"/>
      <c r="I5" s="19"/>
      <c r="J5" s="35">
        <v>45727</v>
      </c>
    </row>
    <row r="6" spans="2:10">
      <c r="B6" s="15" t="s">
        <v>229</v>
      </c>
      <c r="C6" s="19" t="s">
        <v>16941</v>
      </c>
      <c r="D6" s="19" t="s">
        <v>20914</v>
      </c>
      <c r="E6" s="19" t="s">
        <v>15989</v>
      </c>
      <c r="F6" s="19" t="s">
        <v>309</v>
      </c>
      <c r="G6" s="19"/>
      <c r="H6" s="19"/>
      <c r="I6" s="19"/>
      <c r="J6" s="14">
        <v>45727</v>
      </c>
    </row>
    <row r="7" ht="17" spans="2:10">
      <c r="B7" s="15" t="s">
        <v>229</v>
      </c>
      <c r="C7" s="19" t="s">
        <v>16945</v>
      </c>
      <c r="D7" s="19" t="s">
        <v>20915</v>
      </c>
      <c r="E7" s="19" t="s">
        <v>15989</v>
      </c>
      <c r="F7" s="19" t="s">
        <v>20916</v>
      </c>
      <c r="G7" s="19"/>
      <c r="H7" s="19" t="s">
        <v>16946</v>
      </c>
      <c r="I7" s="19"/>
      <c r="J7" s="14">
        <v>45727</v>
      </c>
    </row>
    <row r="8" spans="2:10">
      <c r="B8" s="15" t="s">
        <v>229</v>
      </c>
      <c r="C8" s="19" t="s">
        <v>20885</v>
      </c>
      <c r="D8" s="19" t="s">
        <v>20905</v>
      </c>
      <c r="E8" s="19" t="s">
        <v>305</v>
      </c>
      <c r="F8" s="19" t="s">
        <v>20917</v>
      </c>
      <c r="G8" s="19" t="s">
        <v>8605</v>
      </c>
      <c r="H8" s="19"/>
      <c r="I8" s="19"/>
      <c r="J8" s="14">
        <v>45727</v>
      </c>
    </row>
    <row r="9" spans="2:10">
      <c r="B9" s="15" t="s">
        <v>229</v>
      </c>
      <c r="C9" s="19" t="s">
        <v>3875</v>
      </c>
      <c r="D9" s="19" t="s">
        <v>20905</v>
      </c>
      <c r="E9" s="19" t="s">
        <v>305</v>
      </c>
      <c r="F9" s="19" t="s">
        <v>20918</v>
      </c>
      <c r="G9" s="19" t="s">
        <v>3875</v>
      </c>
      <c r="H9" s="19"/>
      <c r="I9" s="19"/>
      <c r="J9" s="14">
        <v>45727</v>
      </c>
    </row>
    <row r="10" spans="2:10">
      <c r="B10" s="15" t="s">
        <v>229</v>
      </c>
      <c r="C10" s="19" t="s">
        <v>20919</v>
      </c>
      <c r="D10" s="19" t="s">
        <v>20900</v>
      </c>
      <c r="E10" s="19" t="s">
        <v>305</v>
      </c>
      <c r="F10" s="19" t="s">
        <v>20920</v>
      </c>
      <c r="G10" s="19"/>
      <c r="H10" s="19"/>
      <c r="I10" s="19"/>
      <c r="J10" s="14">
        <v>45727</v>
      </c>
    </row>
    <row r="11" spans="2:10">
      <c r="B11" s="15" t="s">
        <v>229</v>
      </c>
      <c r="C11" s="19" t="s">
        <v>20921</v>
      </c>
      <c r="D11" s="19" t="s">
        <v>20900</v>
      </c>
      <c r="E11" s="19" t="s">
        <v>305</v>
      </c>
      <c r="F11" s="19" t="s">
        <v>20922</v>
      </c>
      <c r="G11" s="19"/>
      <c r="H11" s="19"/>
      <c r="I11" s="19"/>
      <c r="J11" s="14">
        <v>45727</v>
      </c>
    </row>
    <row r="12" spans="2:10">
      <c r="B12" s="15" t="s">
        <v>229</v>
      </c>
      <c r="C12" s="19" t="s">
        <v>20923</v>
      </c>
      <c r="D12" s="19" t="s">
        <v>20915</v>
      </c>
      <c r="E12" s="19" t="s">
        <v>305</v>
      </c>
      <c r="F12" s="19" t="s">
        <v>16948</v>
      </c>
      <c r="G12" s="19"/>
      <c r="H12" s="19"/>
      <c r="I12" s="19"/>
      <c r="J12" s="14">
        <v>45727</v>
      </c>
    </row>
    <row r="13" spans="2:10">
      <c r="B13" s="15" t="s">
        <v>229</v>
      </c>
      <c r="C13" s="19" t="s">
        <v>20924</v>
      </c>
      <c r="D13" s="19" t="s">
        <v>20915</v>
      </c>
      <c r="E13" s="19" t="s">
        <v>305</v>
      </c>
      <c r="F13" s="19" t="s">
        <v>16950</v>
      </c>
      <c r="G13" s="19"/>
      <c r="H13" s="19"/>
      <c r="I13" s="19"/>
      <c r="J13" s="14">
        <v>45727</v>
      </c>
    </row>
    <row r="14" spans="2:10">
      <c r="B14" s="15" t="s">
        <v>229</v>
      </c>
      <c r="C14" s="19" t="s">
        <v>20899</v>
      </c>
      <c r="D14" s="19" t="s">
        <v>20925</v>
      </c>
      <c r="E14" s="19" t="s">
        <v>15989</v>
      </c>
      <c r="F14" s="19" t="s">
        <v>20901</v>
      </c>
      <c r="G14" s="19"/>
      <c r="H14" s="19"/>
      <c r="I14" s="19"/>
      <c r="J14" s="14">
        <v>45727</v>
      </c>
    </row>
    <row r="15" ht="17" spans="2:10">
      <c r="B15" s="15" t="s">
        <v>229</v>
      </c>
      <c r="C15" s="19" t="s">
        <v>19310</v>
      </c>
      <c r="D15" s="19" t="s">
        <v>20926</v>
      </c>
      <c r="E15" s="19" t="s">
        <v>15989</v>
      </c>
      <c r="F15" s="19" t="s">
        <v>20903</v>
      </c>
      <c r="G15" s="19"/>
      <c r="H15" s="19"/>
      <c r="I15" s="19" t="s">
        <v>528</v>
      </c>
      <c r="J15" s="35">
        <v>45727</v>
      </c>
    </row>
    <row r="16" ht="17" spans="2:10">
      <c r="B16" s="15" t="s">
        <v>229</v>
      </c>
      <c r="C16" s="19" t="s">
        <v>19317</v>
      </c>
      <c r="D16" s="19" t="s">
        <v>20927</v>
      </c>
      <c r="E16" s="19" t="s">
        <v>15989</v>
      </c>
      <c r="F16" s="19" t="s">
        <v>19318</v>
      </c>
      <c r="G16" s="19" t="s">
        <v>6892</v>
      </c>
      <c r="H16" s="19"/>
      <c r="I16" s="19" t="s">
        <v>528</v>
      </c>
      <c r="J16" s="35">
        <v>45727</v>
      </c>
    </row>
    <row r="17" spans="2:10">
      <c r="B17" s="15" t="s">
        <v>229</v>
      </c>
      <c r="C17" s="19" t="s">
        <v>20910</v>
      </c>
      <c r="D17" s="15" t="s">
        <v>20911</v>
      </c>
      <c r="E17" s="19" t="s">
        <v>15989</v>
      </c>
      <c r="F17" s="19" t="s">
        <v>20912</v>
      </c>
      <c r="G17" s="19"/>
      <c r="H17" s="19"/>
      <c r="I17" s="19" t="s">
        <v>528</v>
      </c>
      <c r="J17" s="35">
        <v>45727</v>
      </c>
    </row>
    <row r="18" ht="17" spans="2:10">
      <c r="B18" s="15" t="s">
        <v>229</v>
      </c>
      <c r="C18" s="19" t="s">
        <v>20928</v>
      </c>
      <c r="D18" s="19" t="s">
        <v>20914</v>
      </c>
      <c r="E18" s="19" t="s">
        <v>15989</v>
      </c>
      <c r="F18" s="19" t="s">
        <v>20929</v>
      </c>
      <c r="G18" s="19"/>
      <c r="H18" s="19" t="s">
        <v>20664</v>
      </c>
      <c r="I18" s="19" t="s">
        <v>528</v>
      </c>
      <c r="J18" s="35">
        <v>45727</v>
      </c>
    </row>
    <row r="19" spans="2:10">
      <c r="B19" s="15" t="s">
        <v>229</v>
      </c>
      <c r="C19" s="19" t="s">
        <v>16960</v>
      </c>
      <c r="D19" s="19" t="s">
        <v>20914</v>
      </c>
      <c r="E19" s="19" t="s">
        <v>15989</v>
      </c>
      <c r="F19" s="19" t="s">
        <v>20930</v>
      </c>
      <c r="G19" s="19"/>
      <c r="H19" s="19" t="s">
        <v>16961</v>
      </c>
      <c r="I19" s="19" t="s">
        <v>528</v>
      </c>
      <c r="J19" s="35">
        <v>45727</v>
      </c>
    </row>
    <row r="20" spans="2:10">
      <c r="B20" s="15" t="s">
        <v>229</v>
      </c>
      <c r="C20" s="19" t="s">
        <v>18865</v>
      </c>
      <c r="D20" s="19" t="s">
        <v>20897</v>
      </c>
      <c r="E20" s="19" t="s">
        <v>15989</v>
      </c>
      <c r="F20" s="19" t="s">
        <v>20931</v>
      </c>
      <c r="G20" s="19"/>
      <c r="H20" s="19"/>
      <c r="I20" s="19" t="s">
        <v>528</v>
      </c>
      <c r="J20" s="35">
        <v>45727</v>
      </c>
    </row>
    <row r="21" spans="2:10">
      <c r="B21" s="15" t="s">
        <v>229</v>
      </c>
      <c r="C21" s="15" t="s">
        <v>16053</v>
      </c>
      <c r="D21" s="15" t="s">
        <v>316</v>
      </c>
      <c r="E21" s="15" t="s">
        <v>305</v>
      </c>
      <c r="F21" s="15" t="s">
        <v>16012</v>
      </c>
      <c r="G21" s="19"/>
      <c r="H21" s="19"/>
      <c r="I21" s="19" t="s">
        <v>528</v>
      </c>
      <c r="J21" s="35">
        <v>45727</v>
      </c>
    </row>
    <row r="22" spans="2:10">
      <c r="B22" s="15" t="s">
        <v>229</v>
      </c>
      <c r="C22" s="15" t="s">
        <v>16241</v>
      </c>
      <c r="D22" s="15" t="s">
        <v>316</v>
      </c>
      <c r="E22" s="15" t="s">
        <v>305</v>
      </c>
      <c r="F22" s="15" t="s">
        <v>16010</v>
      </c>
      <c r="G22" s="15"/>
      <c r="H22" s="15"/>
      <c r="I22" s="15" t="s">
        <v>528</v>
      </c>
      <c r="J22" s="35">
        <v>45727</v>
      </c>
    </row>
    <row r="23" spans="2:10">
      <c r="B23" s="15" t="s">
        <v>229</v>
      </c>
      <c r="C23" s="15" t="s">
        <v>16237</v>
      </c>
      <c r="D23" s="15" t="s">
        <v>371</v>
      </c>
      <c r="E23" s="15" t="s">
        <v>305</v>
      </c>
      <c r="F23" s="15" t="s">
        <v>16274</v>
      </c>
      <c r="G23" s="15"/>
      <c r="H23" s="15"/>
      <c r="I23" s="15" t="s">
        <v>528</v>
      </c>
      <c r="J23" s="35">
        <v>45727</v>
      </c>
    </row>
    <row r="24" spans="2:10">
      <c r="B24" s="15" t="s">
        <v>229</v>
      </c>
      <c r="C24" s="15" t="s">
        <v>16243</v>
      </c>
      <c r="D24" s="15" t="s">
        <v>316</v>
      </c>
      <c r="E24" s="15" t="s">
        <v>305</v>
      </c>
      <c r="F24" s="15" t="s">
        <v>16018</v>
      </c>
      <c r="G24" s="15"/>
      <c r="H24" s="15"/>
      <c r="I24" s="15"/>
      <c r="J24" s="35">
        <v>45727</v>
      </c>
    </row>
    <row r="25" spans="2:10">
      <c r="B25" s="15" t="s">
        <v>229</v>
      </c>
      <c r="C25" s="15" t="s">
        <v>16239</v>
      </c>
      <c r="D25" s="15" t="s">
        <v>371</v>
      </c>
      <c r="E25" s="15" t="s">
        <v>305</v>
      </c>
      <c r="F25" s="15" t="s">
        <v>16236</v>
      </c>
      <c r="G25" s="15"/>
      <c r="H25" s="15"/>
      <c r="I25" s="15"/>
      <c r="J25" s="35">
        <v>45727</v>
      </c>
    </row>
    <row r="26" spans="2:10">
      <c r="B26" s="15" t="s">
        <v>229</v>
      </c>
      <c r="C26" s="15" t="s">
        <v>16017</v>
      </c>
      <c r="D26" s="15" t="s">
        <v>316</v>
      </c>
      <c r="E26" s="15" t="s">
        <v>305</v>
      </c>
      <c r="F26" s="15" t="s">
        <v>20307</v>
      </c>
      <c r="G26" s="15"/>
      <c r="H26" s="15"/>
      <c r="I26" s="15"/>
      <c r="J26" s="35">
        <v>45727</v>
      </c>
    </row>
    <row r="27" spans="2:10">
      <c r="B27" s="15" t="s">
        <v>229</v>
      </c>
      <c r="C27" s="15" t="s">
        <v>16015</v>
      </c>
      <c r="D27" s="15" t="s">
        <v>316</v>
      </c>
      <c r="E27" s="15" t="s">
        <v>305</v>
      </c>
      <c r="F27" s="15" t="s">
        <v>16016</v>
      </c>
      <c r="G27" s="15"/>
      <c r="H27" s="15"/>
      <c r="I27" s="15"/>
      <c r="J27" s="35">
        <v>45727</v>
      </c>
    </row>
    <row r="28" spans="2:10">
      <c r="B28" s="15" t="s">
        <v>229</v>
      </c>
      <c r="C28" s="15" t="s">
        <v>16009</v>
      </c>
      <c r="D28" s="15" t="s">
        <v>316</v>
      </c>
      <c r="E28" s="15" t="s">
        <v>305</v>
      </c>
      <c r="F28" s="15" t="s">
        <v>20304</v>
      </c>
      <c r="G28" s="15"/>
      <c r="H28" s="15"/>
      <c r="I28" s="15"/>
      <c r="J28" s="35">
        <v>45727</v>
      </c>
    </row>
    <row r="29" spans="2:10">
      <c r="B29" s="15" t="s">
        <v>229</v>
      </c>
      <c r="C29" s="15" t="s">
        <v>16011</v>
      </c>
      <c r="D29" s="15" t="s">
        <v>316</v>
      </c>
      <c r="E29" s="15" t="s">
        <v>305</v>
      </c>
      <c r="F29" s="15" t="s">
        <v>20305</v>
      </c>
      <c r="G29" s="15"/>
      <c r="H29" s="15"/>
      <c r="I29" s="15"/>
      <c r="J29" s="35">
        <v>45727</v>
      </c>
    </row>
  </sheetData>
  <pageMargins left="0.75" right="0.75" top="1" bottom="1" header="0.5" footer="0.5"/>
  <headerFooter/>
</worksheet>
</file>

<file path=xl/worksheets/sheet20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3"/>
  <sheetViews>
    <sheetView workbookViewId="0">
      <selection activeCell="A1" sqref="A1"/>
    </sheetView>
  </sheetViews>
  <sheetFormatPr defaultColWidth="9.14285714285714" defaultRowHeight="15.2"/>
  <cols>
    <col min="2" max="2" width="25.2946428571429" customWidth="1"/>
    <col min="3" max="3" width="18" customWidth="1"/>
    <col min="4" max="4" width="14" customWidth="1"/>
    <col min="6" max="6" width="25.0714285714286" customWidth="1"/>
    <col min="8" max="8" width="15.2857142857143" customWidth="1"/>
    <col min="10" max="10" width="16.0625" customWidth="1"/>
    <col min="11" max="11" width="25.0714285714286" customWidth="1"/>
    <col min="12" max="27" width="30.7142857142857" customWidth="1"/>
    <col min="28" max="31" width="28.7142857142857" customWidth="1"/>
    <col min="32" max="32" width="11.0714285714286" customWidth="1"/>
  </cols>
  <sheetData>
    <row r="1" spans="1:2">
      <c r="A1" s="1" t="str">
        <f>HYPERLINK("#表结构清单!A1","返回")</f>
        <v>返回</v>
      </c>
      <c r="B1" s="2" t="s">
        <v>232</v>
      </c>
    </row>
    <row r="2" spans="2:10">
      <c r="B2" s="13" t="s">
        <v>15982</v>
      </c>
      <c r="C2" s="13" t="s">
        <v>297</v>
      </c>
      <c r="D2" s="13" t="s">
        <v>11870</v>
      </c>
      <c r="E2" s="13" t="s">
        <v>15983</v>
      </c>
      <c r="F2" s="13" t="s">
        <v>15984</v>
      </c>
      <c r="G2" s="13" t="s">
        <v>300</v>
      </c>
      <c r="H2" s="3" t="s">
        <v>301</v>
      </c>
      <c r="I2" s="13" t="s">
        <v>15985</v>
      </c>
      <c r="J2" s="13" t="s">
        <v>15986</v>
      </c>
    </row>
    <row r="3" spans="2:10">
      <c r="B3" s="15" t="s">
        <v>231</v>
      </c>
      <c r="C3" s="15" t="s">
        <v>16103</v>
      </c>
      <c r="D3" s="15" t="s">
        <v>20897</v>
      </c>
      <c r="E3" s="15" t="s">
        <v>305</v>
      </c>
      <c r="F3" s="15" t="s">
        <v>16986</v>
      </c>
      <c r="G3" s="19"/>
      <c r="H3" s="5"/>
      <c r="I3" s="7"/>
      <c r="J3" s="14">
        <v>45727</v>
      </c>
    </row>
    <row r="4" spans="2:10">
      <c r="B4" s="15" t="s">
        <v>231</v>
      </c>
      <c r="C4" s="15" t="s">
        <v>18451</v>
      </c>
      <c r="D4" s="15" t="s">
        <v>20905</v>
      </c>
      <c r="E4" s="15" t="s">
        <v>305</v>
      </c>
      <c r="F4" s="15" t="s">
        <v>1535</v>
      </c>
      <c r="G4" s="19"/>
      <c r="H4" s="15" t="s">
        <v>6942</v>
      </c>
      <c r="I4" s="7"/>
      <c r="J4" s="14">
        <v>45727</v>
      </c>
    </row>
    <row r="5" spans="2:10">
      <c r="B5" s="15" t="s">
        <v>231</v>
      </c>
      <c r="C5" s="15" t="s">
        <v>18927</v>
      </c>
      <c r="D5" s="15" t="s">
        <v>20897</v>
      </c>
      <c r="E5" s="15" t="s">
        <v>305</v>
      </c>
      <c r="F5" s="15" t="s">
        <v>20932</v>
      </c>
      <c r="G5" s="19"/>
      <c r="H5" s="5"/>
      <c r="I5" s="7"/>
      <c r="J5" s="14">
        <v>45727</v>
      </c>
    </row>
    <row r="6" spans="2:10">
      <c r="B6" s="15" t="s">
        <v>231</v>
      </c>
      <c r="C6" s="15" t="s">
        <v>18929</v>
      </c>
      <c r="D6" s="15" t="s">
        <v>20914</v>
      </c>
      <c r="E6" s="15" t="s">
        <v>305</v>
      </c>
      <c r="F6" s="15" t="s">
        <v>20933</v>
      </c>
      <c r="G6" s="19"/>
      <c r="H6" s="5"/>
      <c r="I6" s="7"/>
      <c r="J6" s="14">
        <v>45727</v>
      </c>
    </row>
    <row r="7" spans="2:10">
      <c r="B7" s="15" t="s">
        <v>231</v>
      </c>
      <c r="C7" s="15" t="s">
        <v>18775</v>
      </c>
      <c r="D7" s="15" t="s">
        <v>20905</v>
      </c>
      <c r="E7" s="15" t="s">
        <v>305</v>
      </c>
      <c r="F7" s="15" t="s">
        <v>20934</v>
      </c>
      <c r="G7" s="19"/>
      <c r="H7" s="4" t="s">
        <v>18776</v>
      </c>
      <c r="I7" s="7"/>
      <c r="J7" s="14">
        <v>45727</v>
      </c>
    </row>
    <row r="8" ht="17" spans="2:10">
      <c r="B8" s="15" t="s">
        <v>231</v>
      </c>
      <c r="C8" s="15" t="s">
        <v>18781</v>
      </c>
      <c r="D8" s="15" t="s">
        <v>350</v>
      </c>
      <c r="E8" s="15" t="s">
        <v>305</v>
      </c>
      <c r="F8" s="15" t="s">
        <v>20935</v>
      </c>
      <c r="G8" s="19"/>
      <c r="H8" s="4" t="s">
        <v>18782</v>
      </c>
      <c r="I8" s="7"/>
      <c r="J8" s="14">
        <v>45727</v>
      </c>
    </row>
    <row r="9" ht="16" spans="2:10">
      <c r="B9" s="15" t="s">
        <v>231</v>
      </c>
      <c r="C9" s="15" t="s">
        <v>20899</v>
      </c>
      <c r="D9" s="15" t="s">
        <v>350</v>
      </c>
      <c r="E9" s="15" t="s">
        <v>305</v>
      </c>
      <c r="F9" s="20" t="s">
        <v>20936</v>
      </c>
      <c r="G9" s="19"/>
      <c r="H9" s="36" t="s">
        <v>20937</v>
      </c>
      <c r="I9" s="7"/>
      <c r="J9" s="14">
        <v>45727</v>
      </c>
    </row>
    <row r="10" spans="2:10">
      <c r="B10" s="15" t="s">
        <v>231</v>
      </c>
      <c r="C10" s="15" t="s">
        <v>18777</v>
      </c>
      <c r="D10" s="15" t="s">
        <v>371</v>
      </c>
      <c r="E10" s="15" t="s">
        <v>305</v>
      </c>
      <c r="F10" s="15" t="s">
        <v>20938</v>
      </c>
      <c r="G10" s="19"/>
      <c r="H10" s="4" t="s">
        <v>18778</v>
      </c>
      <c r="I10" s="7"/>
      <c r="J10" s="14">
        <v>45727</v>
      </c>
    </row>
    <row r="11" spans="2:10">
      <c r="B11" s="15" t="s">
        <v>231</v>
      </c>
      <c r="C11" s="15" t="s">
        <v>20906</v>
      </c>
      <c r="D11" s="15" t="s">
        <v>350</v>
      </c>
      <c r="E11" s="15" t="s">
        <v>305</v>
      </c>
      <c r="F11" s="15" t="s">
        <v>20907</v>
      </c>
      <c r="G11" s="19"/>
      <c r="H11" s="5"/>
      <c r="I11" s="7"/>
      <c r="J11" s="14">
        <v>45727</v>
      </c>
    </row>
    <row r="12" ht="17" spans="2:10">
      <c r="B12" s="15" t="s">
        <v>231</v>
      </c>
      <c r="C12" s="15" t="s">
        <v>20908</v>
      </c>
      <c r="D12" s="15" t="s">
        <v>20905</v>
      </c>
      <c r="E12" s="15" t="s">
        <v>305</v>
      </c>
      <c r="F12" s="15" t="s">
        <v>20909</v>
      </c>
      <c r="G12" s="19"/>
      <c r="H12" s="36" t="s">
        <v>15866</v>
      </c>
      <c r="I12" s="7"/>
      <c r="J12" s="14">
        <v>45727</v>
      </c>
    </row>
    <row r="13" ht="17" spans="2:10">
      <c r="B13" s="15" t="s">
        <v>231</v>
      </c>
      <c r="C13" s="15" t="s">
        <v>18946</v>
      </c>
      <c r="D13" s="15" t="s">
        <v>20905</v>
      </c>
      <c r="E13" s="15" t="s">
        <v>305</v>
      </c>
      <c r="F13" s="15" t="s">
        <v>20939</v>
      </c>
      <c r="G13" s="19"/>
      <c r="H13" s="5"/>
      <c r="I13" s="7"/>
      <c r="J13" s="14">
        <v>45727</v>
      </c>
    </row>
    <row r="14" customHeight="1" spans="2:10">
      <c r="B14" s="15" t="s">
        <v>231</v>
      </c>
      <c r="C14" t="s">
        <v>18853</v>
      </c>
      <c r="D14" s="15" t="s">
        <v>20905</v>
      </c>
      <c r="E14" s="15" t="s">
        <v>305</v>
      </c>
      <c r="F14" s="15" t="s">
        <v>20940</v>
      </c>
      <c r="G14" s="37" t="s">
        <v>4672</v>
      </c>
      <c r="H14" s="38" t="s">
        <v>18856</v>
      </c>
      <c r="I14" s="7"/>
      <c r="J14" s="14">
        <v>45727</v>
      </c>
    </row>
    <row r="15" customHeight="1" spans="2:10">
      <c r="B15" s="15" t="s">
        <v>231</v>
      </c>
      <c r="C15" s="15" t="s">
        <v>20910</v>
      </c>
      <c r="D15" s="15" t="s">
        <v>371</v>
      </c>
      <c r="E15" s="15" t="s">
        <v>305</v>
      </c>
      <c r="F15" s="15" t="s">
        <v>20912</v>
      </c>
      <c r="G15" s="39"/>
      <c r="H15" s="15" t="s">
        <v>20913</v>
      </c>
      <c r="I15" s="7"/>
      <c r="J15" s="14">
        <v>45727</v>
      </c>
    </row>
    <row r="16" spans="2:10">
      <c r="B16" s="15" t="s">
        <v>231</v>
      </c>
      <c r="C16" s="15" t="s">
        <v>16241</v>
      </c>
      <c r="D16" s="15" t="s">
        <v>316</v>
      </c>
      <c r="E16" s="15" t="s">
        <v>305</v>
      </c>
      <c r="F16" s="15" t="s">
        <v>16010</v>
      </c>
      <c r="G16" s="19"/>
      <c r="H16" s="5"/>
      <c r="I16" s="7" t="s">
        <v>528</v>
      </c>
      <c r="J16" s="14">
        <v>45727</v>
      </c>
    </row>
    <row r="17" spans="2:10">
      <c r="B17" s="15" t="s">
        <v>231</v>
      </c>
      <c r="C17" s="15" t="s">
        <v>16237</v>
      </c>
      <c r="D17" s="15" t="s">
        <v>371</v>
      </c>
      <c r="E17" s="15" t="s">
        <v>305</v>
      </c>
      <c r="F17" s="15" t="s">
        <v>16274</v>
      </c>
      <c r="G17" s="15"/>
      <c r="H17" s="23"/>
      <c r="I17" s="15" t="s">
        <v>528</v>
      </c>
      <c r="J17" s="14">
        <v>45727</v>
      </c>
    </row>
    <row r="18" spans="2:10">
      <c r="B18" s="15" t="s">
        <v>231</v>
      </c>
      <c r="C18" s="15" t="s">
        <v>16243</v>
      </c>
      <c r="D18" s="15" t="s">
        <v>316</v>
      </c>
      <c r="E18" s="15" t="s">
        <v>305</v>
      </c>
      <c r="F18" s="15" t="s">
        <v>16018</v>
      </c>
      <c r="G18" s="15"/>
      <c r="H18" s="15"/>
      <c r="I18" s="15" t="s">
        <v>528</v>
      </c>
      <c r="J18" s="14">
        <v>45727</v>
      </c>
    </row>
    <row r="19" spans="2:10">
      <c r="B19" s="15" t="s">
        <v>231</v>
      </c>
      <c r="C19" s="15" t="s">
        <v>16239</v>
      </c>
      <c r="D19" s="15" t="s">
        <v>371</v>
      </c>
      <c r="E19" s="15" t="s">
        <v>305</v>
      </c>
      <c r="F19" s="15" t="s">
        <v>16236</v>
      </c>
      <c r="G19" s="15"/>
      <c r="H19" s="15"/>
      <c r="I19" s="15" t="s">
        <v>528</v>
      </c>
      <c r="J19" s="14">
        <v>45727</v>
      </c>
    </row>
    <row r="20" spans="2:10">
      <c r="B20" s="15" t="s">
        <v>231</v>
      </c>
      <c r="C20" s="15" t="s">
        <v>16017</v>
      </c>
      <c r="D20" s="15" t="s">
        <v>316</v>
      </c>
      <c r="E20" s="15" t="s">
        <v>305</v>
      </c>
      <c r="F20" s="15" t="s">
        <v>20307</v>
      </c>
      <c r="G20" s="15"/>
      <c r="H20" s="15"/>
      <c r="I20" s="15" t="s">
        <v>528</v>
      </c>
      <c r="J20" s="14">
        <v>45727</v>
      </c>
    </row>
    <row r="21" spans="2:10">
      <c r="B21" s="15" t="s">
        <v>231</v>
      </c>
      <c r="C21" s="15" t="s">
        <v>16015</v>
      </c>
      <c r="D21" s="15" t="s">
        <v>316</v>
      </c>
      <c r="E21" s="15" t="s">
        <v>305</v>
      </c>
      <c r="F21" s="15" t="s">
        <v>16016</v>
      </c>
      <c r="G21" s="15"/>
      <c r="H21" s="15"/>
      <c r="I21" s="15" t="s">
        <v>528</v>
      </c>
      <c r="J21" s="14">
        <v>45727</v>
      </c>
    </row>
    <row r="22" spans="2:10">
      <c r="B22" s="15" t="s">
        <v>231</v>
      </c>
      <c r="C22" s="15" t="s">
        <v>16009</v>
      </c>
      <c r="D22" s="15" t="s">
        <v>316</v>
      </c>
      <c r="E22" s="15" t="s">
        <v>305</v>
      </c>
      <c r="F22" s="15" t="s">
        <v>20304</v>
      </c>
      <c r="G22" s="15"/>
      <c r="H22" s="15"/>
      <c r="I22" s="15" t="s">
        <v>528</v>
      </c>
      <c r="J22" s="14">
        <v>45727</v>
      </c>
    </row>
    <row r="23" spans="2:10">
      <c r="B23" s="15" t="s">
        <v>231</v>
      </c>
      <c r="C23" s="15" t="s">
        <v>16011</v>
      </c>
      <c r="D23" s="15" t="s">
        <v>316</v>
      </c>
      <c r="E23" s="15" t="s">
        <v>305</v>
      </c>
      <c r="F23" s="15" t="s">
        <v>20305</v>
      </c>
      <c r="G23" s="15"/>
      <c r="H23" s="15"/>
      <c r="I23" s="15" t="s">
        <v>528</v>
      </c>
      <c r="J23" s="14">
        <v>45727</v>
      </c>
    </row>
  </sheetData>
  <pageMargins left="0.75" right="0.75" top="1" bottom="1" header="0.5" footer="0.5"/>
  <headerFooter/>
</worksheet>
</file>

<file path=xl/worksheets/sheet20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8"/>
  <sheetViews>
    <sheetView workbookViewId="0">
      <selection activeCell="F31" sqref="$A1:$XFD1048576"/>
    </sheetView>
  </sheetViews>
  <sheetFormatPr defaultColWidth="9.14285714285714" defaultRowHeight="15.2"/>
  <cols>
    <col min="2" max="2" width="25.2946428571429" customWidth="1"/>
    <col min="3" max="3" width="18" customWidth="1"/>
    <col min="4" max="4" width="14" customWidth="1"/>
    <col min="6" max="6" width="25.0714285714286" customWidth="1"/>
    <col min="8" max="8" width="15.2857142857143" customWidth="1"/>
    <col min="10" max="10" width="16.0625" customWidth="1"/>
    <col min="11" max="11" width="25.0714285714286" customWidth="1"/>
    <col min="12" max="27" width="30.7142857142857" customWidth="1"/>
    <col min="28" max="31" width="28.7142857142857" customWidth="1"/>
    <col min="32" max="32" width="11.0714285714286" customWidth="1"/>
  </cols>
  <sheetData>
    <row r="1" spans="1:2">
      <c r="A1" s="27" t="str">
        <f>HYPERLINK("#表结构清单!A1","返回")</f>
        <v>返回</v>
      </c>
      <c r="B1" s="28" t="s">
        <v>196</v>
      </c>
    </row>
    <row r="2" spans="2:10">
      <c r="B2" s="29" t="s">
        <v>15982</v>
      </c>
      <c r="C2" s="29" t="s">
        <v>297</v>
      </c>
      <c r="D2" s="29" t="s">
        <v>11870</v>
      </c>
      <c r="E2" s="29" t="s">
        <v>15983</v>
      </c>
      <c r="F2" s="29" t="s">
        <v>15984</v>
      </c>
      <c r="G2" s="29" t="s">
        <v>300</v>
      </c>
      <c r="H2" s="30" t="s">
        <v>301</v>
      </c>
      <c r="I2" s="29" t="s">
        <v>15985</v>
      </c>
      <c r="J2" s="29" t="s">
        <v>15986</v>
      </c>
    </row>
    <row r="3" spans="2:10">
      <c r="B3" s="15" t="s">
        <v>195</v>
      </c>
      <c r="C3" s="29" t="s">
        <v>15988</v>
      </c>
      <c r="D3" s="29" t="s">
        <v>316</v>
      </c>
      <c r="E3" s="29" t="s">
        <v>15989</v>
      </c>
      <c r="F3" s="29" t="s">
        <v>20941</v>
      </c>
      <c r="G3" s="31"/>
      <c r="H3" s="30"/>
      <c r="I3" s="34"/>
      <c r="J3" s="35">
        <v>45727</v>
      </c>
    </row>
    <row r="4" spans="2:10">
      <c r="B4" s="15" t="s">
        <v>195</v>
      </c>
      <c r="C4" s="15" t="s">
        <v>16103</v>
      </c>
      <c r="D4" s="15" t="s">
        <v>20897</v>
      </c>
      <c r="E4" s="15" t="s">
        <v>305</v>
      </c>
      <c r="F4" s="15" t="s">
        <v>16986</v>
      </c>
      <c r="G4" s="19"/>
      <c r="H4" s="5"/>
      <c r="I4" s="7"/>
      <c r="J4" s="35">
        <v>45727</v>
      </c>
    </row>
    <row r="5" spans="2:10">
      <c r="B5" s="15" t="s">
        <v>195</v>
      </c>
      <c r="C5" s="15" t="s">
        <v>18204</v>
      </c>
      <c r="D5" s="15" t="s">
        <v>20897</v>
      </c>
      <c r="E5" s="15" t="s">
        <v>305</v>
      </c>
      <c r="F5" s="32" t="s">
        <v>18205</v>
      </c>
      <c r="G5" s="19"/>
      <c r="H5" s="15"/>
      <c r="I5" s="7"/>
      <c r="J5" s="35">
        <v>45727</v>
      </c>
    </row>
    <row r="6" spans="2:10">
      <c r="B6" s="15" t="s">
        <v>195</v>
      </c>
      <c r="C6" s="15" t="s">
        <v>20942</v>
      </c>
      <c r="D6" s="15" t="s">
        <v>20897</v>
      </c>
      <c r="E6" s="15" t="s">
        <v>305</v>
      </c>
      <c r="F6" s="15" t="s">
        <v>20943</v>
      </c>
      <c r="G6" s="19"/>
      <c r="H6" s="5"/>
      <c r="I6" s="7"/>
      <c r="J6" s="35">
        <v>45727</v>
      </c>
    </row>
    <row r="7" spans="2:10">
      <c r="B7" s="15" t="s">
        <v>195</v>
      </c>
      <c r="C7" s="15" t="s">
        <v>20944</v>
      </c>
      <c r="D7" s="15" t="s">
        <v>20914</v>
      </c>
      <c r="E7" s="15" t="s">
        <v>305</v>
      </c>
      <c r="F7" s="15" t="s">
        <v>20945</v>
      </c>
      <c r="G7" s="19"/>
      <c r="H7" s="5"/>
      <c r="I7" s="7"/>
      <c r="J7" s="35">
        <v>45727</v>
      </c>
    </row>
    <row r="8" spans="2:10">
      <c r="B8" s="15" t="s">
        <v>195</v>
      </c>
      <c r="C8" s="15" t="s">
        <v>19195</v>
      </c>
      <c r="D8" s="15" t="s">
        <v>20905</v>
      </c>
      <c r="E8" s="15" t="s">
        <v>305</v>
      </c>
      <c r="F8" s="15" t="s">
        <v>19464</v>
      </c>
      <c r="G8" s="19"/>
      <c r="H8" s="4"/>
      <c r="I8" s="7"/>
      <c r="J8" s="35">
        <v>45727</v>
      </c>
    </row>
    <row r="9" spans="2:10">
      <c r="B9" s="15" t="s">
        <v>195</v>
      </c>
      <c r="C9" s="15" t="s">
        <v>18372</v>
      </c>
      <c r="D9" s="15" t="s">
        <v>350</v>
      </c>
      <c r="E9" s="15" t="s">
        <v>305</v>
      </c>
      <c r="F9" s="32" t="s">
        <v>20946</v>
      </c>
      <c r="G9" s="19"/>
      <c r="H9" s="4"/>
      <c r="I9" s="7"/>
      <c r="J9" s="35">
        <v>45727</v>
      </c>
    </row>
    <row r="10" spans="2:10">
      <c r="B10" s="15" t="s">
        <v>195</v>
      </c>
      <c r="C10" s="15" t="s">
        <v>18375</v>
      </c>
      <c r="D10" s="15" t="s">
        <v>350</v>
      </c>
      <c r="E10" s="15" t="s">
        <v>305</v>
      </c>
      <c r="F10" s="32" t="s">
        <v>20947</v>
      </c>
      <c r="G10" s="19"/>
      <c r="H10" s="33"/>
      <c r="I10" s="7"/>
      <c r="J10" s="35">
        <v>45727</v>
      </c>
    </row>
    <row r="11" spans="2:10">
      <c r="B11" s="15" t="s">
        <v>195</v>
      </c>
      <c r="C11" s="15" t="s">
        <v>16241</v>
      </c>
      <c r="D11" s="15" t="s">
        <v>316</v>
      </c>
      <c r="E11" s="15" t="s">
        <v>305</v>
      </c>
      <c r="F11" s="32" t="s">
        <v>16010</v>
      </c>
      <c r="G11" s="19"/>
      <c r="H11" s="5"/>
      <c r="I11" s="7" t="s">
        <v>528</v>
      </c>
      <c r="J11" s="35">
        <v>45727</v>
      </c>
    </row>
    <row r="12" spans="2:10">
      <c r="B12" s="15" t="s">
        <v>195</v>
      </c>
      <c r="C12" s="15" t="s">
        <v>16237</v>
      </c>
      <c r="D12" s="15" t="s">
        <v>371</v>
      </c>
      <c r="E12" s="15" t="s">
        <v>305</v>
      </c>
      <c r="F12" s="32" t="s">
        <v>16274</v>
      </c>
      <c r="G12" s="15"/>
      <c r="H12" s="23"/>
      <c r="I12" s="15" t="s">
        <v>528</v>
      </c>
      <c r="J12" s="35">
        <v>45727</v>
      </c>
    </row>
    <row r="13" spans="2:10">
      <c r="B13" s="15" t="s">
        <v>195</v>
      </c>
      <c r="C13" s="15" t="s">
        <v>16243</v>
      </c>
      <c r="D13" s="15" t="s">
        <v>316</v>
      </c>
      <c r="E13" s="15" t="s">
        <v>305</v>
      </c>
      <c r="F13" s="32" t="s">
        <v>16018</v>
      </c>
      <c r="G13" s="15"/>
      <c r="H13" s="15"/>
      <c r="I13" s="15" t="s">
        <v>528</v>
      </c>
      <c r="J13" s="35">
        <v>45727</v>
      </c>
    </row>
    <row r="14" spans="2:10">
      <c r="B14" s="15" t="s">
        <v>195</v>
      </c>
      <c r="C14" s="15" t="s">
        <v>16239</v>
      </c>
      <c r="D14" s="15" t="s">
        <v>371</v>
      </c>
      <c r="E14" s="15" t="s">
        <v>305</v>
      </c>
      <c r="F14" s="32" t="s">
        <v>16236</v>
      </c>
      <c r="G14" s="15"/>
      <c r="H14" s="15"/>
      <c r="I14" s="15" t="s">
        <v>528</v>
      </c>
      <c r="J14" s="35">
        <v>45727</v>
      </c>
    </row>
    <row r="15" spans="2:10">
      <c r="B15" s="15" t="s">
        <v>195</v>
      </c>
      <c r="C15" s="15" t="s">
        <v>16017</v>
      </c>
      <c r="D15" s="15" t="s">
        <v>316</v>
      </c>
      <c r="E15" s="15" t="s">
        <v>305</v>
      </c>
      <c r="F15" s="32" t="s">
        <v>20307</v>
      </c>
      <c r="G15" s="15"/>
      <c r="H15" s="15"/>
      <c r="I15" s="15" t="s">
        <v>528</v>
      </c>
      <c r="J15" s="35">
        <v>45727</v>
      </c>
    </row>
    <row r="16" spans="2:10">
      <c r="B16" s="15" t="s">
        <v>195</v>
      </c>
      <c r="C16" s="15" t="s">
        <v>16015</v>
      </c>
      <c r="D16" s="15" t="s">
        <v>316</v>
      </c>
      <c r="E16" s="15" t="s">
        <v>305</v>
      </c>
      <c r="F16" s="32" t="s">
        <v>16016</v>
      </c>
      <c r="G16" s="15"/>
      <c r="H16" s="15"/>
      <c r="I16" s="15" t="s">
        <v>528</v>
      </c>
      <c r="J16" s="35">
        <v>45727</v>
      </c>
    </row>
    <row r="17" spans="2:10">
      <c r="B17" s="15" t="s">
        <v>195</v>
      </c>
      <c r="C17" s="15" t="s">
        <v>16009</v>
      </c>
      <c r="D17" s="15" t="s">
        <v>316</v>
      </c>
      <c r="E17" s="15" t="s">
        <v>305</v>
      </c>
      <c r="F17" s="32" t="s">
        <v>20304</v>
      </c>
      <c r="G17" s="15"/>
      <c r="H17" s="15"/>
      <c r="I17" s="15" t="s">
        <v>528</v>
      </c>
      <c r="J17" s="35">
        <v>45727</v>
      </c>
    </row>
    <row r="18" spans="2:10">
      <c r="B18" s="15" t="s">
        <v>195</v>
      </c>
      <c r="C18" s="15" t="s">
        <v>16011</v>
      </c>
      <c r="D18" s="15" t="s">
        <v>316</v>
      </c>
      <c r="E18" s="15" t="s">
        <v>305</v>
      </c>
      <c r="F18" s="32" t="s">
        <v>20305</v>
      </c>
      <c r="G18" s="15"/>
      <c r="H18" s="15"/>
      <c r="I18" s="15" t="s">
        <v>528</v>
      </c>
      <c r="J18" s="35">
        <v>45727</v>
      </c>
    </row>
  </sheetData>
  <pageMargins left="0.75" right="0.75" top="1" bottom="1" header="0.5" footer="0.5"/>
  <headerFooter/>
</worksheet>
</file>

<file path=xl/worksheets/sheet20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4"/>
  <sheetViews>
    <sheetView workbookViewId="0">
      <selection activeCell="B14" sqref="B14"/>
    </sheetView>
  </sheetViews>
  <sheetFormatPr defaultColWidth="9.14285714285714" defaultRowHeight="15.2"/>
  <cols>
    <col min="2" max="2" width="30.4285714285714" customWidth="1"/>
    <col min="3" max="3" width="18" customWidth="1"/>
    <col min="4" max="4" width="14" customWidth="1"/>
    <col min="6" max="6" width="64.5714285714286" customWidth="1"/>
    <col min="8" max="8" width="15.2857142857143" customWidth="1"/>
    <col min="10" max="10" width="16.0625" customWidth="1"/>
    <col min="11" max="11" width="25.0714285714286" customWidth="1"/>
    <col min="12" max="27" width="30.7142857142857" customWidth="1"/>
    <col min="28" max="31" width="28.7142857142857" customWidth="1"/>
    <col min="32" max="32" width="11.0714285714286" customWidth="1"/>
  </cols>
  <sheetData>
    <row r="1" spans="1:2">
      <c r="A1" s="1" t="str">
        <f>HYPERLINK("#表结构清单!A1","返回")</f>
        <v>返回</v>
      </c>
      <c r="B1" s="2" t="s">
        <v>20948</v>
      </c>
    </row>
    <row r="2" spans="2:11">
      <c r="B2" s="13" t="s">
        <v>15982</v>
      </c>
      <c r="C2" s="13" t="s">
        <v>297</v>
      </c>
      <c r="D2" s="13" t="s">
        <v>11870</v>
      </c>
      <c r="E2" s="13" t="s">
        <v>15983</v>
      </c>
      <c r="F2" s="13" t="s">
        <v>15984</v>
      </c>
      <c r="G2" s="13" t="s">
        <v>300</v>
      </c>
      <c r="H2" s="3" t="s">
        <v>301</v>
      </c>
      <c r="I2" s="13" t="s">
        <v>15985</v>
      </c>
      <c r="J2" s="25" t="s">
        <v>15986</v>
      </c>
      <c r="K2" s="5"/>
    </row>
    <row r="3" spans="2:11">
      <c r="B3" s="24" t="s">
        <v>178</v>
      </c>
      <c r="C3" s="15" t="s">
        <v>20949</v>
      </c>
      <c r="D3" s="15" t="s">
        <v>20950</v>
      </c>
      <c r="E3" s="15" t="s">
        <v>305</v>
      </c>
      <c r="F3" s="20" t="s">
        <v>20951</v>
      </c>
      <c r="G3" s="19"/>
      <c r="H3" s="5"/>
      <c r="I3" s="7"/>
      <c r="J3" s="26">
        <v>45727</v>
      </c>
      <c r="K3" s="5"/>
    </row>
    <row r="4" spans="2:11">
      <c r="B4" s="24" t="s">
        <v>178</v>
      </c>
      <c r="C4" s="15" t="s">
        <v>16103</v>
      </c>
      <c r="D4" s="15" t="s">
        <v>20950</v>
      </c>
      <c r="E4" s="15" t="s">
        <v>305</v>
      </c>
      <c r="F4" s="20" t="s">
        <v>16986</v>
      </c>
      <c r="G4" s="19"/>
      <c r="H4" s="15"/>
      <c r="I4" s="7"/>
      <c r="J4" s="26">
        <v>45727</v>
      </c>
      <c r="K4" s="5"/>
    </row>
    <row r="5" ht="16" spans="2:11">
      <c r="B5" s="24" t="s">
        <v>178</v>
      </c>
      <c r="C5" s="15" t="s">
        <v>20952</v>
      </c>
      <c r="D5" s="15" t="s">
        <v>18577</v>
      </c>
      <c r="E5" s="15" t="s">
        <v>305</v>
      </c>
      <c r="F5" s="20" t="s">
        <v>20953</v>
      </c>
      <c r="G5" s="19"/>
      <c r="H5" s="21" t="s">
        <v>20954</v>
      </c>
      <c r="I5" s="7"/>
      <c r="J5" s="26">
        <v>45727</v>
      </c>
      <c r="K5" s="5"/>
    </row>
    <row r="6" spans="2:11">
      <c r="B6" s="24" t="s">
        <v>178</v>
      </c>
      <c r="C6" s="15" t="s">
        <v>16241</v>
      </c>
      <c r="D6" s="15" t="s">
        <v>316</v>
      </c>
      <c r="E6" s="15" t="s">
        <v>305</v>
      </c>
      <c r="F6" s="20" t="s">
        <v>16010</v>
      </c>
      <c r="G6" s="19"/>
      <c r="H6" s="5"/>
      <c r="I6" s="7" t="s">
        <v>528</v>
      </c>
      <c r="J6" s="26">
        <v>45727</v>
      </c>
      <c r="K6" s="5"/>
    </row>
    <row r="7" spans="2:11">
      <c r="B7" s="24" t="s">
        <v>178</v>
      </c>
      <c r="C7" s="15" t="s">
        <v>16237</v>
      </c>
      <c r="D7" s="15" t="s">
        <v>371</v>
      </c>
      <c r="E7" s="15" t="s">
        <v>305</v>
      </c>
      <c r="F7" s="20" t="s">
        <v>16274</v>
      </c>
      <c r="G7" s="15"/>
      <c r="H7" s="23"/>
      <c r="I7" s="15" t="s">
        <v>528</v>
      </c>
      <c r="J7" s="26">
        <v>45727</v>
      </c>
      <c r="K7" s="5"/>
    </row>
    <row r="8" spans="2:11">
      <c r="B8" s="24" t="s">
        <v>178</v>
      </c>
      <c r="C8" s="15" t="s">
        <v>16243</v>
      </c>
      <c r="D8" s="15" t="s">
        <v>316</v>
      </c>
      <c r="E8" s="15" t="s">
        <v>305</v>
      </c>
      <c r="F8" s="20" t="s">
        <v>16018</v>
      </c>
      <c r="G8" s="15"/>
      <c r="H8" s="15"/>
      <c r="I8" s="15" t="s">
        <v>528</v>
      </c>
      <c r="J8" s="26">
        <v>45727</v>
      </c>
      <c r="K8" s="5"/>
    </row>
    <row r="9" spans="2:11">
      <c r="B9" s="24" t="s">
        <v>178</v>
      </c>
      <c r="C9" s="15" t="s">
        <v>16239</v>
      </c>
      <c r="D9" s="15" t="s">
        <v>371</v>
      </c>
      <c r="E9" s="15" t="s">
        <v>305</v>
      </c>
      <c r="F9" s="20" t="s">
        <v>16236</v>
      </c>
      <c r="G9" s="15"/>
      <c r="H9" s="15"/>
      <c r="I9" s="15" t="s">
        <v>528</v>
      </c>
      <c r="J9" s="26">
        <v>45727</v>
      </c>
      <c r="K9" s="5"/>
    </row>
    <row r="10" spans="2:11">
      <c r="B10" s="24" t="s">
        <v>178</v>
      </c>
      <c r="C10" s="15" t="s">
        <v>16017</v>
      </c>
      <c r="D10" s="15" t="s">
        <v>316</v>
      </c>
      <c r="E10" s="15" t="s">
        <v>305</v>
      </c>
      <c r="F10" s="20" t="s">
        <v>20307</v>
      </c>
      <c r="G10" s="15"/>
      <c r="H10" s="15"/>
      <c r="I10" s="15" t="s">
        <v>528</v>
      </c>
      <c r="J10" s="26">
        <v>45727</v>
      </c>
      <c r="K10" s="5"/>
    </row>
    <row r="11" spans="2:11">
      <c r="B11" s="24" t="s">
        <v>178</v>
      </c>
      <c r="C11" s="15" t="s">
        <v>16015</v>
      </c>
      <c r="D11" s="15" t="s">
        <v>316</v>
      </c>
      <c r="E11" s="15" t="s">
        <v>305</v>
      </c>
      <c r="F11" s="20" t="s">
        <v>16016</v>
      </c>
      <c r="G11" s="15"/>
      <c r="H11" s="15"/>
      <c r="I11" s="15" t="s">
        <v>528</v>
      </c>
      <c r="J11" s="26">
        <v>45727</v>
      </c>
      <c r="K11" s="5"/>
    </row>
    <row r="12" spans="2:11">
      <c r="B12" s="24" t="s">
        <v>178</v>
      </c>
      <c r="C12" s="15" t="s">
        <v>16009</v>
      </c>
      <c r="D12" s="15" t="s">
        <v>316</v>
      </c>
      <c r="E12" s="15" t="s">
        <v>305</v>
      </c>
      <c r="F12" s="20" t="s">
        <v>20304</v>
      </c>
      <c r="G12" s="15"/>
      <c r="H12" s="15"/>
      <c r="I12" s="15" t="s">
        <v>528</v>
      </c>
      <c r="J12" s="26">
        <v>45727</v>
      </c>
      <c r="K12" s="5"/>
    </row>
    <row r="13" spans="2:11">
      <c r="B13" s="24" t="s">
        <v>178</v>
      </c>
      <c r="C13" s="15" t="s">
        <v>16011</v>
      </c>
      <c r="D13" s="15" t="s">
        <v>316</v>
      </c>
      <c r="E13" s="15" t="s">
        <v>305</v>
      </c>
      <c r="F13" s="20" t="s">
        <v>20305</v>
      </c>
      <c r="G13" s="15"/>
      <c r="H13" s="15"/>
      <c r="I13" s="15" t="s">
        <v>528</v>
      </c>
      <c r="J13" s="26">
        <v>45727</v>
      </c>
      <c r="K13" s="5"/>
    </row>
    <row r="14" spans="6:6">
      <c r="F14" s="2"/>
    </row>
  </sheetData>
  <pageMargins left="0.75" right="0.75" top="1" bottom="1" header="0.5" footer="0.5"/>
  <headerFooter/>
</worksheet>
</file>

<file path=xl/worksheets/sheet20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1"/>
  <sheetViews>
    <sheetView zoomScale="104" zoomScaleNormal="104" workbookViewId="0">
      <selection activeCell="A1" sqref="A1"/>
    </sheetView>
  </sheetViews>
  <sheetFormatPr defaultColWidth="9.14285714285714" defaultRowHeight="15.2"/>
  <cols>
    <col min="2" max="2" width="25.2946428571429" customWidth="1"/>
    <col min="3" max="3" width="20.1428571428571" customWidth="1"/>
    <col min="4" max="4" width="14" customWidth="1"/>
    <col min="6" max="6" width="64.5714285714286" customWidth="1"/>
    <col min="8" max="8" width="15.2857142857143" customWidth="1"/>
    <col min="10" max="10" width="16.0625" customWidth="1"/>
    <col min="11" max="11" width="25.0714285714286" customWidth="1"/>
    <col min="12" max="27" width="30.7142857142857" customWidth="1"/>
    <col min="28" max="31" width="28.7142857142857" customWidth="1"/>
    <col min="32" max="32" width="11.0714285714286" customWidth="1"/>
  </cols>
  <sheetData>
    <row r="1" spans="1:2">
      <c r="A1" s="1" t="str">
        <f>HYPERLINK("#表结构清单!A1","返回")</f>
        <v>返回</v>
      </c>
      <c r="B1" s="2" t="s">
        <v>177</v>
      </c>
    </row>
    <row r="2" spans="2:10">
      <c r="B2" s="13" t="s">
        <v>15982</v>
      </c>
      <c r="C2" s="13" t="s">
        <v>297</v>
      </c>
      <c r="D2" s="13" t="s">
        <v>11870</v>
      </c>
      <c r="E2" s="13" t="s">
        <v>15983</v>
      </c>
      <c r="F2" s="13" t="s">
        <v>15984</v>
      </c>
      <c r="G2" s="13" t="s">
        <v>300</v>
      </c>
      <c r="H2" s="3" t="s">
        <v>301</v>
      </c>
      <c r="I2" s="13" t="s">
        <v>15985</v>
      </c>
      <c r="J2" s="13" t="s">
        <v>15986</v>
      </c>
    </row>
    <row r="3" spans="2:10">
      <c r="B3" s="15" t="s">
        <v>176</v>
      </c>
      <c r="C3" s="15" t="s">
        <v>15988</v>
      </c>
      <c r="D3" s="15" t="s">
        <v>20950</v>
      </c>
      <c r="E3" s="15" t="s">
        <v>305</v>
      </c>
      <c r="F3" s="20" t="s">
        <v>20955</v>
      </c>
      <c r="G3" s="19"/>
      <c r="H3" s="5"/>
      <c r="I3" s="7"/>
      <c r="J3" s="14">
        <v>45727</v>
      </c>
    </row>
    <row r="4" spans="2:10">
      <c r="B4" s="15" t="s">
        <v>176</v>
      </c>
      <c r="C4" s="15" t="s">
        <v>16103</v>
      </c>
      <c r="D4" s="15" t="s">
        <v>20950</v>
      </c>
      <c r="E4" s="15" t="s">
        <v>305</v>
      </c>
      <c r="F4" s="20" t="s">
        <v>16986</v>
      </c>
      <c r="G4" s="19"/>
      <c r="H4" s="15"/>
      <c r="I4" s="7"/>
      <c r="J4" s="14">
        <v>45727</v>
      </c>
    </row>
    <row r="5" spans="2:10">
      <c r="B5" s="15" t="s">
        <v>176</v>
      </c>
      <c r="C5" s="15" t="s">
        <v>20949</v>
      </c>
      <c r="D5" s="15" t="s">
        <v>20950</v>
      </c>
      <c r="E5" s="15" t="s">
        <v>305</v>
      </c>
      <c r="F5" s="20" t="s">
        <v>20956</v>
      </c>
      <c r="G5" s="19"/>
      <c r="H5" s="15"/>
      <c r="I5" s="7"/>
      <c r="J5" s="14">
        <v>45727</v>
      </c>
    </row>
    <row r="6" ht="16" spans="2:10">
      <c r="B6" s="15" t="s">
        <v>176</v>
      </c>
      <c r="C6" s="15" t="s">
        <v>20952</v>
      </c>
      <c r="D6" s="15" t="s">
        <v>18577</v>
      </c>
      <c r="E6" s="15" t="s">
        <v>305</v>
      </c>
      <c r="F6" s="20" t="s">
        <v>20953</v>
      </c>
      <c r="G6" s="19"/>
      <c r="H6" s="21" t="s">
        <v>20954</v>
      </c>
      <c r="I6" s="7"/>
      <c r="J6" s="14">
        <v>45727</v>
      </c>
    </row>
    <row r="7" spans="2:10">
      <c r="B7" s="15" t="s">
        <v>176</v>
      </c>
      <c r="C7" t="s">
        <v>17447</v>
      </c>
      <c r="D7" s="19" t="s">
        <v>20925</v>
      </c>
      <c r="E7" s="15" t="s">
        <v>305</v>
      </c>
      <c r="F7" s="20" t="s">
        <v>20957</v>
      </c>
      <c r="G7" s="19"/>
      <c r="H7" s="21"/>
      <c r="I7" s="7"/>
      <c r="J7" s="14">
        <v>45727</v>
      </c>
    </row>
    <row r="8" spans="2:10">
      <c r="B8" s="15" t="s">
        <v>176</v>
      </c>
      <c r="C8" t="s">
        <v>19237</v>
      </c>
      <c r="D8" s="19" t="s">
        <v>20925</v>
      </c>
      <c r="E8" s="15" t="s">
        <v>305</v>
      </c>
      <c r="F8" s="20" t="s">
        <v>20958</v>
      </c>
      <c r="G8" s="19"/>
      <c r="H8" s="21"/>
      <c r="I8" s="7"/>
      <c r="J8" s="14">
        <v>45727</v>
      </c>
    </row>
    <row r="9" spans="2:10">
      <c r="B9" s="15" t="s">
        <v>176</v>
      </c>
      <c r="C9" s="15" t="s">
        <v>18573</v>
      </c>
      <c r="D9" s="15" t="s">
        <v>371</v>
      </c>
      <c r="E9" s="15" t="s">
        <v>305</v>
      </c>
      <c r="F9" s="20" t="s">
        <v>20959</v>
      </c>
      <c r="G9" s="19"/>
      <c r="H9" s="21"/>
      <c r="I9" s="7"/>
      <c r="J9" s="14">
        <v>45727</v>
      </c>
    </row>
    <row r="10" spans="2:10">
      <c r="B10" s="15" t="s">
        <v>176</v>
      </c>
      <c r="C10" s="15" t="s">
        <v>16027</v>
      </c>
      <c r="D10" s="15" t="s">
        <v>20950</v>
      </c>
      <c r="E10" s="15" t="s">
        <v>305</v>
      </c>
      <c r="F10" s="20" t="s">
        <v>16028</v>
      </c>
      <c r="G10" s="19"/>
      <c r="H10" s="21"/>
      <c r="I10" s="7"/>
      <c r="J10" s="14">
        <v>45727</v>
      </c>
    </row>
    <row r="11" spans="2:10">
      <c r="B11" s="15" t="s">
        <v>176</v>
      </c>
      <c r="C11" s="15" t="s">
        <v>16025</v>
      </c>
      <c r="D11" s="15" t="s">
        <v>20950</v>
      </c>
      <c r="E11" s="15" t="s">
        <v>305</v>
      </c>
      <c r="F11" s="20" t="s">
        <v>16026</v>
      </c>
      <c r="G11" s="19"/>
      <c r="H11" s="21"/>
      <c r="I11" s="7"/>
      <c r="J11" s="14">
        <v>45727</v>
      </c>
    </row>
    <row r="12" spans="2:10">
      <c r="B12" s="15" t="s">
        <v>176</v>
      </c>
      <c r="C12" s="15" t="s">
        <v>20960</v>
      </c>
      <c r="D12" s="15" t="s">
        <v>20950</v>
      </c>
      <c r="E12" s="15" t="s">
        <v>305</v>
      </c>
      <c r="F12" s="20" t="s">
        <v>2681</v>
      </c>
      <c r="G12" s="22" t="str">
        <f>HYPERLINK("#码值映射清单!B6437","OutterEvalMethod")</f>
        <v>OutterEvalMethod</v>
      </c>
      <c r="H12" s="21"/>
      <c r="I12" s="7"/>
      <c r="J12" s="14">
        <v>45727</v>
      </c>
    </row>
    <row r="13" spans="2:10">
      <c r="B13" s="15" t="s">
        <v>176</v>
      </c>
      <c r="C13" s="15" t="s">
        <v>16241</v>
      </c>
      <c r="D13" s="15" t="s">
        <v>316</v>
      </c>
      <c r="E13" s="15" t="s">
        <v>305</v>
      </c>
      <c r="F13" s="20" t="s">
        <v>16010</v>
      </c>
      <c r="G13" s="19"/>
      <c r="H13" s="5"/>
      <c r="I13" s="7" t="s">
        <v>528</v>
      </c>
      <c r="J13" s="14">
        <v>45727</v>
      </c>
    </row>
    <row r="14" spans="2:10">
      <c r="B14" s="15" t="s">
        <v>176</v>
      </c>
      <c r="C14" s="15" t="s">
        <v>16237</v>
      </c>
      <c r="D14" s="15" t="s">
        <v>371</v>
      </c>
      <c r="E14" s="15" t="s">
        <v>305</v>
      </c>
      <c r="F14" s="20" t="s">
        <v>16274</v>
      </c>
      <c r="G14" s="15"/>
      <c r="H14" s="23"/>
      <c r="I14" s="15" t="s">
        <v>528</v>
      </c>
      <c r="J14" s="14">
        <v>45727</v>
      </c>
    </row>
    <row r="15" spans="2:10">
      <c r="B15" s="15" t="s">
        <v>176</v>
      </c>
      <c r="C15" s="15" t="s">
        <v>16243</v>
      </c>
      <c r="D15" s="15" t="s">
        <v>316</v>
      </c>
      <c r="E15" s="15" t="s">
        <v>305</v>
      </c>
      <c r="F15" s="20" t="s">
        <v>16018</v>
      </c>
      <c r="G15" s="15"/>
      <c r="H15" s="15"/>
      <c r="I15" s="15" t="s">
        <v>528</v>
      </c>
      <c r="J15" s="14">
        <v>45727</v>
      </c>
    </row>
    <row r="16" spans="2:10">
      <c r="B16" s="15" t="s">
        <v>176</v>
      </c>
      <c r="C16" s="15" t="s">
        <v>16239</v>
      </c>
      <c r="D16" s="15" t="s">
        <v>371</v>
      </c>
      <c r="E16" s="15" t="s">
        <v>305</v>
      </c>
      <c r="F16" s="20" t="s">
        <v>16236</v>
      </c>
      <c r="G16" s="15"/>
      <c r="H16" s="15"/>
      <c r="I16" s="15" t="s">
        <v>528</v>
      </c>
      <c r="J16" s="14">
        <v>45727</v>
      </c>
    </row>
    <row r="17" spans="2:10">
      <c r="B17" s="15" t="s">
        <v>176</v>
      </c>
      <c r="C17" s="15" t="s">
        <v>16017</v>
      </c>
      <c r="D17" s="15" t="s">
        <v>316</v>
      </c>
      <c r="E17" s="15" t="s">
        <v>305</v>
      </c>
      <c r="F17" s="20" t="s">
        <v>20307</v>
      </c>
      <c r="G17" s="15"/>
      <c r="H17" s="15"/>
      <c r="I17" s="15" t="s">
        <v>528</v>
      </c>
      <c r="J17" s="14">
        <v>45727</v>
      </c>
    </row>
    <row r="18" spans="2:10">
      <c r="B18" s="15" t="s">
        <v>176</v>
      </c>
      <c r="C18" s="15" t="s">
        <v>16015</v>
      </c>
      <c r="D18" s="15" t="s">
        <v>316</v>
      </c>
      <c r="E18" s="15" t="s">
        <v>305</v>
      </c>
      <c r="F18" s="20" t="s">
        <v>16016</v>
      </c>
      <c r="G18" s="15"/>
      <c r="H18" s="15"/>
      <c r="I18" s="15" t="s">
        <v>528</v>
      </c>
      <c r="J18" s="14">
        <v>45727</v>
      </c>
    </row>
    <row r="19" spans="2:10">
      <c r="B19" s="15" t="s">
        <v>176</v>
      </c>
      <c r="C19" s="15" t="s">
        <v>16009</v>
      </c>
      <c r="D19" s="15" t="s">
        <v>316</v>
      </c>
      <c r="E19" s="15" t="s">
        <v>305</v>
      </c>
      <c r="F19" s="20" t="s">
        <v>20304</v>
      </c>
      <c r="G19" s="15"/>
      <c r="H19" s="15"/>
      <c r="I19" s="15" t="s">
        <v>528</v>
      </c>
      <c r="J19" s="14">
        <v>45727</v>
      </c>
    </row>
    <row r="20" spans="2:10">
      <c r="B20" s="15" t="s">
        <v>176</v>
      </c>
      <c r="C20" s="15" t="s">
        <v>16011</v>
      </c>
      <c r="D20" s="15" t="s">
        <v>316</v>
      </c>
      <c r="E20" s="15" t="s">
        <v>305</v>
      </c>
      <c r="F20" s="20" t="s">
        <v>20305</v>
      </c>
      <c r="G20" s="15"/>
      <c r="H20" s="15"/>
      <c r="I20" s="15" t="s">
        <v>528</v>
      </c>
      <c r="J20" s="14">
        <v>45727</v>
      </c>
    </row>
    <row r="21" spans="6:6">
      <c r="F21" s="2"/>
    </row>
  </sheetData>
  <pageMargins left="0.75" right="0.75" top="1" bottom="1" header="0.5" footer="0.5"/>
  <headerFooter/>
</worksheet>
</file>

<file path=xl/worksheets/sheet20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7"/>
  <sheetViews>
    <sheetView zoomScale="104" zoomScaleNormal="104" workbookViewId="0">
      <selection activeCell="J27" sqref="J27"/>
    </sheetView>
  </sheetViews>
  <sheetFormatPr defaultColWidth="9.14285714285714" defaultRowHeight="15.2"/>
  <cols>
    <col min="2" max="2" width="25.2946428571429" customWidth="1"/>
    <col min="3" max="3" width="20.1428571428571" customWidth="1"/>
    <col min="4" max="4" width="14" customWidth="1"/>
    <col min="6" max="6" width="17.5982142857143" customWidth="1"/>
    <col min="8" max="8" width="15.2857142857143" customWidth="1"/>
    <col min="10" max="10" width="16.0625" customWidth="1"/>
    <col min="11" max="11" width="25.0714285714286" customWidth="1"/>
    <col min="12" max="27" width="30.7142857142857" customWidth="1"/>
    <col min="28" max="31" width="28.7142857142857" customWidth="1"/>
    <col min="32" max="32" width="11.0714285714286" customWidth="1"/>
  </cols>
  <sheetData>
    <row r="1" spans="1:2">
      <c r="A1" s="1" t="str">
        <f>HYPERLINK("#表结构清单!A1","返回")</f>
        <v>返回</v>
      </c>
      <c r="B1" s="2" t="s">
        <v>177</v>
      </c>
    </row>
    <row r="2" spans="2:10">
      <c r="B2" s="3" t="s">
        <v>15982</v>
      </c>
      <c r="C2" s="3" t="s">
        <v>297</v>
      </c>
      <c r="D2" s="3" t="s">
        <v>11870</v>
      </c>
      <c r="E2" s="3" t="s">
        <v>15983</v>
      </c>
      <c r="F2" s="3" t="s">
        <v>15984</v>
      </c>
      <c r="G2" s="3" t="s">
        <v>300</v>
      </c>
      <c r="H2" s="3" t="s">
        <v>301</v>
      </c>
      <c r="I2" s="13" t="s">
        <v>15985</v>
      </c>
      <c r="J2" s="13" t="s">
        <v>15986</v>
      </c>
    </row>
    <row r="3" spans="2:10">
      <c r="B3" s="4" t="s">
        <v>233</v>
      </c>
      <c r="C3" s="5" t="s">
        <v>20961</v>
      </c>
      <c r="D3" s="5" t="s">
        <v>20962</v>
      </c>
      <c r="E3" s="4" t="s">
        <v>15989</v>
      </c>
      <c r="F3" s="5" t="s">
        <v>20963</v>
      </c>
      <c r="G3" s="4"/>
      <c r="H3" s="6"/>
      <c r="I3" s="7"/>
      <c r="J3" s="14">
        <v>45727</v>
      </c>
    </row>
    <row r="4" spans="2:10">
      <c r="B4" s="4" t="s">
        <v>233</v>
      </c>
      <c r="C4" s="5" t="s">
        <v>20964</v>
      </c>
      <c r="D4" s="5" t="s">
        <v>20754</v>
      </c>
      <c r="E4" s="4" t="s">
        <v>305</v>
      </c>
      <c r="F4" s="5" t="s">
        <v>20965</v>
      </c>
      <c r="G4" s="4"/>
      <c r="H4" s="7"/>
      <c r="I4" s="7"/>
      <c r="J4" s="14">
        <v>45727</v>
      </c>
    </row>
    <row r="5" spans="2:10">
      <c r="B5" s="4" t="s">
        <v>233</v>
      </c>
      <c r="C5" s="5" t="s">
        <v>20966</v>
      </c>
      <c r="D5" s="5" t="s">
        <v>20967</v>
      </c>
      <c r="E5" s="4" t="s">
        <v>305</v>
      </c>
      <c r="F5" s="5" t="s">
        <v>20968</v>
      </c>
      <c r="G5" s="4"/>
      <c r="H5" s="7"/>
      <c r="I5" s="7"/>
      <c r="J5" s="14">
        <v>45727</v>
      </c>
    </row>
    <row r="6" spans="2:10">
      <c r="B6" s="4" t="s">
        <v>233</v>
      </c>
      <c r="C6" s="5" t="s">
        <v>20969</v>
      </c>
      <c r="D6" s="5" t="s">
        <v>20962</v>
      </c>
      <c r="E6" s="4" t="s">
        <v>305</v>
      </c>
      <c r="F6" s="5" t="s">
        <v>20970</v>
      </c>
      <c r="G6" s="4"/>
      <c r="H6" s="8"/>
      <c r="I6" s="7"/>
      <c r="J6" s="14">
        <v>45727</v>
      </c>
    </row>
    <row r="7" spans="2:10">
      <c r="B7" s="4" t="s">
        <v>233</v>
      </c>
      <c r="C7" s="5" t="s">
        <v>20971</v>
      </c>
      <c r="D7" s="5" t="s">
        <v>20972</v>
      </c>
      <c r="E7" s="4" t="s">
        <v>305</v>
      </c>
      <c r="F7" s="5" t="s">
        <v>20973</v>
      </c>
      <c r="G7" s="4"/>
      <c r="H7" s="8"/>
      <c r="I7" s="7"/>
      <c r="J7" s="14">
        <v>45727</v>
      </c>
    </row>
    <row r="8" spans="2:10">
      <c r="B8" s="4" t="s">
        <v>233</v>
      </c>
      <c r="C8" s="5" t="s">
        <v>20974</v>
      </c>
      <c r="D8" s="5" t="s">
        <v>20975</v>
      </c>
      <c r="E8" s="4" t="s">
        <v>305</v>
      </c>
      <c r="F8" s="5" t="s">
        <v>20976</v>
      </c>
      <c r="G8" s="4"/>
      <c r="H8" s="8"/>
      <c r="I8" s="7"/>
      <c r="J8" s="14">
        <v>45727</v>
      </c>
    </row>
    <row r="9" spans="2:10">
      <c r="B9" s="4" t="s">
        <v>233</v>
      </c>
      <c r="C9" s="5" t="s">
        <v>20977</v>
      </c>
      <c r="D9" s="5" t="s">
        <v>20962</v>
      </c>
      <c r="E9" s="4" t="s">
        <v>305</v>
      </c>
      <c r="F9" s="5" t="s">
        <v>20978</v>
      </c>
      <c r="G9" s="4"/>
      <c r="H9" s="8"/>
      <c r="I9" s="7"/>
      <c r="J9" s="14">
        <v>45727</v>
      </c>
    </row>
    <row r="10" spans="2:10">
      <c r="B10" s="4" t="s">
        <v>233</v>
      </c>
      <c r="C10" s="5" t="s">
        <v>20979</v>
      </c>
      <c r="D10" s="5" t="s">
        <v>20962</v>
      </c>
      <c r="E10" s="4" t="s">
        <v>305</v>
      </c>
      <c r="F10" s="5" t="s">
        <v>20980</v>
      </c>
      <c r="G10" s="4"/>
      <c r="H10" s="8"/>
      <c r="I10" s="7"/>
      <c r="J10" s="14">
        <v>45727</v>
      </c>
    </row>
    <row r="11" spans="2:10">
      <c r="B11" s="4" t="s">
        <v>233</v>
      </c>
      <c r="C11" s="5" t="s">
        <v>20981</v>
      </c>
      <c r="D11" s="5" t="s">
        <v>20982</v>
      </c>
      <c r="E11" s="4" t="s">
        <v>305</v>
      </c>
      <c r="F11" s="5" t="s">
        <v>20983</v>
      </c>
      <c r="G11" s="4"/>
      <c r="H11" s="8"/>
      <c r="I11" s="7"/>
      <c r="J11" s="14">
        <v>45727</v>
      </c>
    </row>
    <row r="12" spans="2:10">
      <c r="B12" s="4" t="s">
        <v>233</v>
      </c>
      <c r="C12" s="5" t="s">
        <v>20984</v>
      </c>
      <c r="D12" s="5" t="s">
        <v>20985</v>
      </c>
      <c r="E12" s="4" t="s">
        <v>305</v>
      </c>
      <c r="F12" s="5" t="s">
        <v>20986</v>
      </c>
      <c r="G12" s="9"/>
      <c r="H12" s="8"/>
      <c r="I12" s="7"/>
      <c r="J12" s="14">
        <v>45727</v>
      </c>
    </row>
    <row r="13" spans="2:10">
      <c r="B13" s="4" t="s">
        <v>233</v>
      </c>
      <c r="C13" s="5" t="s">
        <v>20987</v>
      </c>
      <c r="D13" s="5" t="s">
        <v>20988</v>
      </c>
      <c r="E13" s="4" t="s">
        <v>305</v>
      </c>
      <c r="F13" s="5" t="s">
        <v>20989</v>
      </c>
      <c r="G13" s="4"/>
      <c r="H13" s="6"/>
      <c r="I13" s="7"/>
      <c r="J13" s="14">
        <v>45727</v>
      </c>
    </row>
    <row r="14" spans="2:10">
      <c r="B14" s="4" t="s">
        <v>233</v>
      </c>
      <c r="C14" s="5" t="s">
        <v>20990</v>
      </c>
      <c r="D14" s="5" t="s">
        <v>20975</v>
      </c>
      <c r="E14" s="4" t="s">
        <v>305</v>
      </c>
      <c r="F14" s="5" t="s">
        <v>20991</v>
      </c>
      <c r="G14" s="4"/>
      <c r="H14" s="10"/>
      <c r="I14" s="15" t="s">
        <v>528</v>
      </c>
      <c r="J14" s="14">
        <v>45727</v>
      </c>
    </row>
    <row r="15" spans="2:10">
      <c r="B15" s="4" t="s">
        <v>233</v>
      </c>
      <c r="C15" s="5" t="s">
        <v>20992</v>
      </c>
      <c r="D15" s="5" t="s">
        <v>20691</v>
      </c>
      <c r="E15" s="4" t="s">
        <v>305</v>
      </c>
      <c r="F15" s="5" t="s">
        <v>20993</v>
      </c>
      <c r="G15" s="4"/>
      <c r="H15" s="7"/>
      <c r="I15" s="15" t="s">
        <v>528</v>
      </c>
      <c r="J15" s="14">
        <v>45727</v>
      </c>
    </row>
    <row r="16" spans="2:10">
      <c r="B16" s="4" t="s">
        <v>233</v>
      </c>
      <c r="C16" s="5" t="s">
        <v>20994</v>
      </c>
      <c r="D16" s="5" t="s">
        <v>20995</v>
      </c>
      <c r="E16" s="4" t="s">
        <v>305</v>
      </c>
      <c r="F16" s="5" t="s">
        <v>11401</v>
      </c>
      <c r="G16" s="4"/>
      <c r="H16" s="7"/>
      <c r="I16" s="15" t="s">
        <v>528</v>
      </c>
      <c r="J16" s="14">
        <v>45727</v>
      </c>
    </row>
    <row r="17" spans="2:10">
      <c r="B17" s="4" t="s">
        <v>233</v>
      </c>
      <c r="C17" s="5" t="s">
        <v>20996</v>
      </c>
      <c r="D17" s="5" t="s">
        <v>20985</v>
      </c>
      <c r="E17" s="4" t="s">
        <v>305</v>
      </c>
      <c r="F17" s="5" t="s">
        <v>20790</v>
      </c>
      <c r="G17" s="4"/>
      <c r="H17" s="7"/>
      <c r="I17" s="15" t="s">
        <v>528</v>
      </c>
      <c r="J17" s="14">
        <v>45727</v>
      </c>
    </row>
    <row r="18" spans="2:10">
      <c r="B18" s="4" t="s">
        <v>233</v>
      </c>
      <c r="C18" s="5" t="s">
        <v>20997</v>
      </c>
      <c r="D18" s="5" t="s">
        <v>20682</v>
      </c>
      <c r="E18" s="4" t="s">
        <v>305</v>
      </c>
      <c r="F18" s="5" t="s">
        <v>20998</v>
      </c>
      <c r="G18" s="4"/>
      <c r="H18" s="7"/>
      <c r="I18" s="15" t="s">
        <v>528</v>
      </c>
      <c r="J18" s="14">
        <v>45727</v>
      </c>
    </row>
    <row r="19" spans="2:10">
      <c r="B19" s="4" t="s">
        <v>233</v>
      </c>
      <c r="C19" s="5" t="s">
        <v>20484</v>
      </c>
      <c r="D19" s="5" t="s">
        <v>20988</v>
      </c>
      <c r="E19" s="4" t="s">
        <v>305</v>
      </c>
      <c r="F19" s="5" t="s">
        <v>20999</v>
      </c>
      <c r="G19" s="4"/>
      <c r="H19" s="11"/>
      <c r="I19" s="16" t="s">
        <v>528</v>
      </c>
      <c r="J19" s="17">
        <v>45727</v>
      </c>
    </row>
    <row r="20" spans="2:10">
      <c r="B20" s="4" t="s">
        <v>233</v>
      </c>
      <c r="C20" s="5" t="s">
        <v>21000</v>
      </c>
      <c r="D20" s="5" t="s">
        <v>20881</v>
      </c>
      <c r="E20" s="4" t="s">
        <v>305</v>
      </c>
      <c r="F20" s="5" t="s">
        <v>21001</v>
      </c>
      <c r="G20" s="4"/>
      <c r="H20" s="12"/>
      <c r="I20" s="4" t="s">
        <v>528</v>
      </c>
      <c r="J20" s="18">
        <v>45727</v>
      </c>
    </row>
    <row r="21" spans="2:10">
      <c r="B21" s="4" t="s">
        <v>233</v>
      </c>
      <c r="C21" s="5" t="s">
        <v>21002</v>
      </c>
      <c r="D21" s="5" t="s">
        <v>21003</v>
      </c>
      <c r="E21" s="4" t="s">
        <v>305</v>
      </c>
      <c r="F21" s="5" t="s">
        <v>301</v>
      </c>
      <c r="G21" s="5"/>
      <c r="H21" s="6"/>
      <c r="I21" s="5"/>
      <c r="J21" s="18">
        <v>45727</v>
      </c>
    </row>
    <row r="22" spans="2:10">
      <c r="B22" s="4" t="s">
        <v>233</v>
      </c>
      <c r="C22" s="5" t="s">
        <v>21004</v>
      </c>
      <c r="D22" s="5" t="s">
        <v>20881</v>
      </c>
      <c r="E22" s="4" t="s">
        <v>305</v>
      </c>
      <c r="F22" s="5" t="s">
        <v>16020</v>
      </c>
      <c r="G22" s="5"/>
      <c r="H22" s="6"/>
      <c r="I22" s="5"/>
      <c r="J22" s="18">
        <v>45727</v>
      </c>
    </row>
    <row r="23" spans="2:10">
      <c r="B23" s="4" t="s">
        <v>233</v>
      </c>
      <c r="C23" s="5" t="s">
        <v>21005</v>
      </c>
      <c r="D23" s="5" t="s">
        <v>20881</v>
      </c>
      <c r="E23" s="4" t="s">
        <v>305</v>
      </c>
      <c r="F23" s="5" t="s">
        <v>16236</v>
      </c>
      <c r="G23" s="5"/>
      <c r="H23" s="6"/>
      <c r="I23" s="5"/>
      <c r="J23" s="18">
        <v>45727</v>
      </c>
    </row>
    <row r="24" spans="2:10">
      <c r="B24" s="4" t="s">
        <v>233</v>
      </c>
      <c r="C24" s="5" t="s">
        <v>21006</v>
      </c>
      <c r="D24" s="5" t="s">
        <v>20982</v>
      </c>
      <c r="E24" s="4" t="s">
        <v>305</v>
      </c>
      <c r="F24" s="5" t="s">
        <v>21007</v>
      </c>
      <c r="G24" s="5"/>
      <c r="H24" s="6"/>
      <c r="I24" s="5"/>
      <c r="J24" s="18">
        <v>45727</v>
      </c>
    </row>
    <row r="25" spans="2:10">
      <c r="B25" s="4" t="s">
        <v>233</v>
      </c>
      <c r="C25" s="5" t="s">
        <v>21008</v>
      </c>
      <c r="D25" s="5" t="s">
        <v>20691</v>
      </c>
      <c r="E25" s="4" t="s">
        <v>305</v>
      </c>
      <c r="F25" s="5" t="s">
        <v>21009</v>
      </c>
      <c r="G25" s="5"/>
      <c r="H25" s="6"/>
      <c r="I25" s="5"/>
      <c r="J25" s="18">
        <v>45727</v>
      </c>
    </row>
    <row r="26" spans="2:10">
      <c r="B26" s="4" t="s">
        <v>233</v>
      </c>
      <c r="C26" s="5" t="s">
        <v>21010</v>
      </c>
      <c r="D26" s="5" t="s">
        <v>21011</v>
      </c>
      <c r="E26" s="4" t="s">
        <v>305</v>
      </c>
      <c r="F26" s="5" t="s">
        <v>16225</v>
      </c>
      <c r="G26" s="5"/>
      <c r="H26" s="6"/>
      <c r="I26" s="5"/>
      <c r="J26" s="18">
        <v>45727</v>
      </c>
    </row>
    <row r="27" spans="2:10">
      <c r="B27" s="4" t="s">
        <v>233</v>
      </c>
      <c r="C27" s="5" t="s">
        <v>21012</v>
      </c>
      <c r="D27" s="5" t="s">
        <v>21011</v>
      </c>
      <c r="E27" s="4" t="s">
        <v>305</v>
      </c>
      <c r="F27" s="5" t="s">
        <v>21013</v>
      </c>
      <c r="G27" s="5"/>
      <c r="H27" s="6"/>
      <c r="I27" s="5"/>
      <c r="J27" s="18">
        <v>45727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205</vt:i4>
      </vt:variant>
    </vt:vector>
  </HeadingPairs>
  <TitlesOfParts>
    <vt:vector size="205" baseType="lpstr">
      <vt:lpstr>表结构清单</vt:lpstr>
      <vt:lpstr>表结构清单 (2)</vt:lpstr>
      <vt:lpstr>Sheet1</vt:lpstr>
      <vt:lpstr>Sheet2</vt:lpstr>
      <vt:lpstr>新增字段查找</vt:lpstr>
      <vt:lpstr>码值映射清单</vt:lpstr>
      <vt:lpstr>audit_info</vt:lpstr>
      <vt:lpstr>appraisal_agency</vt:lpstr>
      <vt:lpstr>appraisal_agency_apply</vt:lpstr>
      <vt:lpstr>appraisal_agency_appraise</vt:lpstr>
      <vt:lpstr>appraisal_agency_cooperation</vt:lpstr>
      <vt:lpstr>appraisal_agency_event</vt:lpstr>
      <vt:lpstr>appraisal_agency_expenses</vt:lpstr>
      <vt:lpstr>appraisal_agency_file</vt:lpstr>
      <vt:lpstr>appraisal_agency_information</vt:lpstr>
      <vt:lpstr>appraisal_agency_qualification</vt:lpstr>
      <vt:lpstr>appraisal_apply_relative</vt:lpstr>
      <vt:lpstr>awe_bizfile_info</vt:lpstr>
      <vt:lpstr>awe_dict_errmsg</vt:lpstr>
      <vt:lpstr>awe_do_catalog</vt:lpstr>
      <vt:lpstr>awe_do_col_validate</vt:lpstr>
      <vt:lpstr>awe_do_event</vt:lpstr>
      <vt:lpstr>awe_do_function</vt:lpstr>
      <vt:lpstr>awe_do_group</vt:lpstr>
      <vt:lpstr>awe_do_js_function</vt:lpstr>
      <vt:lpstr>awe_do_keyfilter</vt:lpstr>
      <vt:lpstr>awe_do_library</vt:lpstr>
      <vt:lpstr>awe_do_modes</vt:lpstr>
      <vt:lpstr>awe_do_validate</vt:lpstr>
      <vt:lpstr>awe_do_validate_catalog</vt:lpstr>
      <vt:lpstr>awe_dw_context</vt:lpstr>
      <vt:lpstr>awe_function_info</vt:lpstr>
      <vt:lpstr>awe_function_url</vt:lpstr>
      <vt:lpstr>awe_group_catalog</vt:lpstr>
      <vt:lpstr>awe_group_classify</vt:lpstr>
      <vt:lpstr>awe_group_item</vt:lpstr>
      <vt:lpstr>awe_href_info</vt:lpstr>
      <vt:lpstr>awe_jsp_runtime</vt:lpstr>
      <vt:lpstr>awe_menu_info</vt:lpstr>
      <vt:lpstr>awe_message_info</vt:lpstr>
      <vt:lpstr>awe_message_user</vt:lpstr>
      <vt:lpstr>awe_query_info</vt:lpstr>
      <vt:lpstr>awe_query_user</vt:lpstr>
      <vt:lpstr>awe_quick_href</vt:lpstr>
      <vt:lpstr>awe_record_info</vt:lpstr>
      <vt:lpstr>awe_right_menu</vt:lpstr>
      <vt:lpstr>awe_role_function</vt:lpstr>
      <vt:lpstr>awe_role_menu</vt:lpstr>
      <vt:lpstr>awe_role_right</vt:lpstr>
      <vt:lpstr>awe_role_url</vt:lpstr>
      <vt:lpstr>awe_shortcut</vt:lpstr>
      <vt:lpstr>awe_shortcutitem</vt:lpstr>
      <vt:lpstr>awe_task_info</vt:lpstr>
      <vt:lpstr>awe_task_process</vt:lpstr>
      <vt:lpstr>awe_wizard_catalog</vt:lpstr>
      <vt:lpstr>awe_wizard_library</vt:lpstr>
      <vt:lpstr>awe_wizard_runner</vt:lpstr>
      <vt:lpstr>bat_task_error</vt:lpstr>
      <vt:lpstr>bat_task_log</vt:lpstr>
      <vt:lpstr>bat_upload</vt:lpstr>
      <vt:lpstr>bill_info</vt:lpstr>
      <vt:lpstr>board_list</vt:lpstr>
      <vt:lpstr>board_user</vt:lpstr>
      <vt:lpstr>business_contract</vt:lpstr>
      <vt:lpstr>class_catalog</vt:lpstr>
      <vt:lpstr>class_method</vt:lpstr>
      <vt:lpstr>clr_asset_finance</vt:lpstr>
      <vt:lpstr>clr_asset_others_equipment</vt:lpstr>
      <vt:lpstr>clr_asset_others_inventory</vt:lpstr>
      <vt:lpstr>clr_asset_others_resource</vt:lpstr>
      <vt:lpstr>clr_asset_others_sbc</vt:lpstr>
      <vt:lpstr>clr_asset_others_tlpr</vt:lpstr>
      <vt:lpstr>clr_asset_realty</vt:lpstr>
      <vt:lpstr>clr_asset_receivable</vt:lpstr>
      <vt:lpstr>clr_cargo_info</vt:lpstr>
      <vt:lpstr>clr_catalog</vt:lpstr>
      <vt:lpstr>clr_commodity_market</vt:lpstr>
      <vt:lpstr>clr_evaluation_appl</vt:lpstr>
      <vt:lpstr>clr_evaluation_data</vt:lpstr>
      <vt:lpstr>clr_evaluation_record</vt:lpstr>
      <vt:lpstr>clr_fund_market</vt:lpstr>
      <vt:lpstr>clr_fund_market_detail</vt:lpstr>
      <vt:lpstr>clr_guascheme_relative</vt:lpstr>
      <vt:lpstr>clr_handle_info</vt:lpstr>
      <vt:lpstr>clr_info</vt:lpstr>
      <vt:lpstr>clr_insurance_record</vt:lpstr>
      <vt:lpstr>clr_material_catalog</vt:lpstr>
      <vt:lpstr>clr_notarization_record</vt:lpstr>
      <vt:lpstr>clr_owner</vt:lpstr>
      <vt:lpstr>clr_param</vt:lpstr>
      <vt:lpstr>clr_priceindex</vt:lpstr>
      <vt:lpstr>clr_qualification_info</vt:lpstr>
      <vt:lpstr>clr_register_record</vt:lpstr>
      <vt:lpstr>clr_rightcert_info</vt:lpstr>
      <vt:lpstr>clr_rightcert_package_info</vt:lpstr>
      <vt:lpstr>clr_rightcert_tranrecord</vt:lpstr>
      <vt:lpstr>clr_rightcert_trappl</vt:lpstr>
      <vt:lpstr>clr_rightcert_trappl_group</vt:lpstr>
      <vt:lpstr>clr_sample_houseing</vt:lpstr>
      <vt:lpstr>clr_sample_selected</vt:lpstr>
      <vt:lpstr>clr_stock_market</vt:lpstr>
      <vt:lpstr>clr_stock_market_detail</vt:lpstr>
      <vt:lpstr>clr_stress_bu_detail</vt:lpstr>
      <vt:lpstr>clr_stress_clr_detail</vt:lpstr>
      <vt:lpstr>clr_stress_link</vt:lpstr>
      <vt:lpstr>clr_stress_record</vt:lpstr>
      <vt:lpstr>clr_stress_test</vt:lpstr>
      <vt:lpstr>clr_verification_info</vt:lpstr>
      <vt:lpstr>clr_verification_record</vt:lpstr>
      <vt:lpstr>code_catalog</vt:lpstr>
      <vt:lpstr>code_library</vt:lpstr>
      <vt:lpstr>conf_erate_info</vt:lpstr>
      <vt:lpstr>conf_quick_menu_url</vt:lpstr>
      <vt:lpstr>corporation_info</vt:lpstr>
      <vt:lpstr>doc_attachment</vt:lpstr>
      <vt:lpstr>doc_library</vt:lpstr>
      <vt:lpstr>doc_relative</vt:lpstr>
      <vt:lpstr>erate_info</vt:lpstr>
      <vt:lpstr>evaluate_catalog</vt:lpstr>
      <vt:lpstr>evaluate_data</vt:lpstr>
      <vt:lpstr>evaluate_model</vt:lpstr>
      <vt:lpstr>evaluate_record</vt:lpstr>
      <vt:lpstr>flow_activities</vt:lpstr>
      <vt:lpstr>flow_attributegroup</vt:lpstr>
      <vt:lpstr>flow_buttongroup</vt:lpstr>
      <vt:lpstr>flow_buttonitem</vt:lpstr>
      <vt:lpstr>flow_catalog</vt:lpstr>
      <vt:lpstr>flow_def</vt:lpstr>
      <vt:lpstr>flow_deploy</vt:lpstr>
      <vt:lpstr>flow_group</vt:lpstr>
      <vt:lpstr>flow_hi_model</vt:lpstr>
      <vt:lpstr>flow_message</vt:lpstr>
      <vt:lpstr>flow_model</vt:lpstr>
      <vt:lpstr>flow_model_relative</vt:lpstr>
      <vt:lpstr>flow_object</vt:lpstr>
      <vt:lpstr>flow_object_summary</vt:lpstr>
      <vt:lpstr>flow_opinion</vt:lpstr>
      <vt:lpstr>flow_phasetype</vt:lpstr>
      <vt:lpstr>flow_props</vt:lpstr>
      <vt:lpstr>flow_ru_model</vt:lpstr>
      <vt:lpstr>flow_swimlane</vt:lpstr>
      <vt:lpstr>flow_task</vt:lpstr>
      <vt:lpstr>flow_task_closed</vt:lpstr>
      <vt:lpstr>flow_user_rela</vt:lpstr>
      <vt:lpstr>flow_userconf</vt:lpstr>
      <vt:lpstr>guarantor_info</vt:lpstr>
      <vt:lpstr>guaranty_contract</vt:lpstr>
      <vt:lpstr>guaranty_relative</vt:lpstr>
      <vt:lpstr>log_auditinfo</vt:lpstr>
      <vt:lpstr>manage_change</vt:lpstr>
      <vt:lpstr>object_attribute</vt:lpstr>
      <vt:lpstr>object_maxsn</vt:lpstr>
      <vt:lpstr>objecttype_catalog</vt:lpstr>
      <vt:lpstr>objecttype_rela</vt:lpstr>
      <vt:lpstr>org_belong</vt:lpstr>
      <vt:lpstr>org_info</vt:lpstr>
      <vt:lpstr>post_sublicense</vt:lpstr>
      <vt:lpstr>rate_info</vt:lpstr>
      <vt:lpstr>role_info</vt:lpstr>
      <vt:lpstr>role_right</vt:lpstr>
      <vt:lpstr>scenario_args</vt:lpstr>
      <vt:lpstr>scenario_catalog</vt:lpstr>
      <vt:lpstr>scenario_group</vt:lpstr>
      <vt:lpstr>scenario_model</vt:lpstr>
      <vt:lpstr>scenario_relative</vt:lpstr>
      <vt:lpstr>security_audit</vt:lpstr>
      <vt:lpstr>select_catalog</vt:lpstr>
      <vt:lpstr>sys_calendar</vt:lpstr>
      <vt:lpstr>system_setup</vt:lpstr>
      <vt:lpstr>task_run_history</vt:lpstr>
      <vt:lpstr>task_run_interact</vt:lpstr>
      <vt:lpstr>task_run_status</vt:lpstr>
      <vt:lpstr>user_defineinfo</vt:lpstr>
      <vt:lpstr>user_failedlist</vt:lpstr>
      <vt:lpstr>user_info</vt:lpstr>
      <vt:lpstr>user_list</vt:lpstr>
      <vt:lpstr>user_logon_session</vt:lpstr>
      <vt:lpstr>user_markinfo</vt:lpstr>
      <vt:lpstr>user_menu_counter</vt:lpstr>
      <vt:lpstr>user_right</vt:lpstr>
      <vt:lpstr>user_role</vt:lpstr>
      <vt:lpstr>user_runtime</vt:lpstr>
      <vt:lpstr>user_worktips</vt:lpstr>
      <vt:lpstr>wf_activeinstance</vt:lpstr>
      <vt:lpstr>wf_instance</vt:lpstr>
      <vt:lpstr>wf_opinion</vt:lpstr>
      <vt:lpstr>wf_workitem</vt:lpstr>
      <vt:lpstr>worktip_condition</vt:lpstr>
      <vt:lpstr>worktip_summary</vt:lpstr>
      <vt:lpstr>clr_belong</vt:lpstr>
      <vt:lpstr>CLR_PROPERTY_HOUSE_INFO</vt:lpstr>
      <vt:lpstr>CLR_PROPERTY_RIGHT_HOLDER_INFO</vt:lpstr>
      <vt:lpstr>CLR_GUARANTY_FILE_UP_RECORD</vt:lpstr>
      <vt:lpstr>GUARANTY_REGISTER_INFO</vt:lpstr>
      <vt:lpstr>CLR_OWNERSHIP_CHANGE_INFO</vt:lpstr>
      <vt:lpstr>CLR_RIGHTCERT_TRAPPL_RELA</vt:lpstr>
      <vt:lpstr>CLR_CORE_REGISTER_PACKAGE</vt:lpstr>
      <vt:lpstr>CLR_CORE_REGISTER_INFO</vt:lpstr>
      <vt:lpstr>RISK_MITIGATION_DETAIL</vt:lpstr>
      <vt:lpstr>RISK_MITIGATION_BIZ</vt:lpstr>
      <vt:lpstr>RISK_MITIGATION_CLR</vt:lpstr>
      <vt:lpstr>CLR_INVOICE_RECORD</vt:lpstr>
      <vt:lpstr>CLR_EVALUATION_APPL_GROUP</vt:lpstr>
      <vt:lpstr>CLR_ONLINE_RESULT</vt:lpstr>
      <vt:lpstr>CCMS_PARTYINF</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董洪斌</cp:lastModifiedBy>
  <dcterms:created xsi:type="dcterms:W3CDTF">2023-01-17T19:51:00Z</dcterms:created>
  <dcterms:modified xsi:type="dcterms:W3CDTF">2025-03-25T17:11:00Z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
  </property>
  <property fmtid="{D5CDD505-2E9C-101B-9397-08002B2CF9AE}" pid="3" name="KSOProductBuildVer">
    <vt:lpwstr>2052-5.3.0.7863</vt:lpwstr>
  </property>
</Properties>
</file>